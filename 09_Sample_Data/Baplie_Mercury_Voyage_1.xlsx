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Load_Baplie_Out_Plus" sheetId="1" state="visible" r:id="rId1"/>
    <sheet xmlns:r="http://schemas.openxmlformats.org/officeDocument/2006/relationships" name="Load_Booking_Report" sheetId="2" state="visible" r:id="rId2"/>
    <sheet xmlns:r="http://schemas.openxmlformats.org/officeDocument/2006/relationships" name="Disch_Baplie_Out_Plus" sheetId="3" state="visible" r:id="rId3"/>
    <sheet xmlns:r="http://schemas.openxmlformats.org/officeDocument/2006/relationships" name="Disch_Booking_Repor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"/>
    <numFmt numFmtId="165" formatCode="&quot;R$&quot;\ #,##0"/>
    <numFmt numFmtId="166" formatCode="########0.00"/>
    <numFmt numFmtId="167" formatCode="#########0"/>
  </numFmts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color rgb="FF000000"/>
      <sz val="9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FF0000"/>
      <sz val="8"/>
    </font>
    <font>
      <name val="Calibri"/>
      <family val="2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C1C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7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2" fillId="0" borderId="0"/>
    <xf numFmtId="49" fontId="22" fillId="0" borderId="0"/>
    <xf numFmtId="166" fontId="22" fillId="0" borderId="0"/>
    <xf numFmtId="167" fontId="22" fillId="0" borderId="0"/>
    <xf numFmtId="0" fontId="24" fillId="0" borderId="0"/>
  </cellStyleXfs>
  <cellXfs count="44">
    <xf numFmtId="0" fontId="0" fillId="0" borderId="0" pivotButton="0" quotePrefix="0" xfId="0"/>
    <xf numFmtId="0" fontId="16" fillId="0" borderId="11" applyAlignment="1" pivotButton="0" quotePrefix="0" xfId="0">
      <alignment horizontal="center"/>
    </xf>
    <xf numFmtId="164" fontId="0" fillId="0" borderId="0" pivotButton="0" quotePrefix="0" xfId="0"/>
    <xf numFmtId="0" fontId="18" fillId="36" borderId="0" applyAlignment="1" pivotButton="0" quotePrefix="0" xfId="0">
      <alignment horizontal="center"/>
    </xf>
    <xf numFmtId="0" fontId="19" fillId="33" borderId="12" applyAlignment="1" pivotButton="0" quotePrefix="0" xfId="0">
      <alignment vertical="top"/>
    </xf>
    <xf numFmtId="0" fontId="19" fillId="34" borderId="0" applyAlignment="1" pivotButton="0" quotePrefix="0" xfId="0">
      <alignment vertical="top"/>
    </xf>
    <xf numFmtId="0" fontId="19" fillId="33" borderId="0" applyAlignment="1" pivotButton="0" quotePrefix="0" xfId="0">
      <alignment vertical="top"/>
    </xf>
    <xf numFmtId="15" fontId="19" fillId="33" borderId="12" applyAlignment="1" pivotButton="0" quotePrefix="0" xfId="0">
      <alignment vertical="top"/>
    </xf>
    <xf numFmtId="0" fontId="21" fillId="33" borderId="12" applyAlignment="1" pivotButton="0" quotePrefix="0" xfId="0">
      <alignment vertical="top"/>
    </xf>
    <xf numFmtId="0" fontId="19" fillId="33" borderId="12" applyAlignment="1" pivotButton="0" quotePrefix="0" xfId="0">
      <alignment horizontal="center" vertical="top"/>
    </xf>
    <xf numFmtId="0" fontId="19" fillId="33" borderId="12" applyAlignment="1" pivotButton="0" quotePrefix="0" xfId="0">
      <alignment horizontal="right" vertical="top"/>
    </xf>
    <xf numFmtId="0" fontId="19" fillId="33" borderId="14" applyAlignment="1" pivotButton="0" quotePrefix="0" xfId="0">
      <alignment vertical="top"/>
    </xf>
    <xf numFmtId="0" fontId="19" fillId="33" borderId="15" applyAlignment="1" pivotButton="0" quotePrefix="0" xfId="0">
      <alignment vertical="top"/>
    </xf>
    <xf numFmtId="0" fontId="20" fillId="34" borderId="16" applyAlignment="1" pivotButton="0" quotePrefix="0" xfId="0">
      <alignment vertical="top"/>
    </xf>
    <xf numFmtId="0" fontId="20" fillId="34" borderId="17" applyAlignment="1" pivotButton="0" quotePrefix="0" xfId="0">
      <alignment vertical="top"/>
    </xf>
    <xf numFmtId="0" fontId="20" fillId="34" borderId="18" applyAlignment="1" pivotButton="0" quotePrefix="0" xfId="0">
      <alignment vertical="top"/>
    </xf>
    <xf numFmtId="0" fontId="19" fillId="33" borderId="19" applyAlignment="1" pivotButton="0" quotePrefix="0" xfId="0">
      <alignment vertical="top"/>
    </xf>
    <xf numFmtId="0" fontId="19" fillId="33" borderId="20" applyAlignment="1" pivotButton="0" quotePrefix="0" xfId="0">
      <alignment vertical="top"/>
    </xf>
    <xf numFmtId="15" fontId="19" fillId="33" borderId="20" applyAlignment="1" pivotButton="0" quotePrefix="0" xfId="0">
      <alignment vertical="top"/>
    </xf>
    <xf numFmtId="0" fontId="21" fillId="33" borderId="20" applyAlignment="1" pivotButton="0" quotePrefix="0" xfId="0">
      <alignment vertical="top"/>
    </xf>
    <xf numFmtId="0" fontId="19" fillId="33" borderId="21" applyAlignment="1" pivotButton="0" quotePrefix="0" xfId="0">
      <alignment vertical="top"/>
    </xf>
    <xf numFmtId="0" fontId="0" fillId="0" borderId="12" pivotButton="0" quotePrefix="0" xfId="0"/>
    <xf numFmtId="0" fontId="18" fillId="37" borderId="0" applyAlignment="1" pivotButton="0" quotePrefix="0" xfId="0">
      <alignment horizontal="center"/>
    </xf>
    <xf numFmtId="165" fontId="18" fillId="36" borderId="0" applyAlignment="1" pivotButton="0" quotePrefix="0" xfId="0">
      <alignment horizontal="center"/>
    </xf>
    <xf numFmtId="0" fontId="16" fillId="38" borderId="12" applyAlignment="1" pivotButton="0" quotePrefix="0" xfId="0">
      <alignment horizontal="center"/>
    </xf>
    <xf numFmtId="0" fontId="16" fillId="38" borderId="12" applyAlignment="1" pivotButton="0" quotePrefix="0" xfId="0">
      <alignment vertical="top"/>
    </xf>
    <xf numFmtId="164" fontId="16" fillId="38" borderId="13" applyAlignment="1" pivotButton="0" quotePrefix="0" xfId="0">
      <alignment horizontal="center"/>
    </xf>
    <xf numFmtId="164" fontId="0" fillId="0" borderId="12" pivotButton="0" quotePrefix="0" xfId="0"/>
    <xf numFmtId="0" fontId="16" fillId="39" borderId="12" applyAlignment="1" pivotButton="0" quotePrefix="0" xfId="0">
      <alignment horizontal="center"/>
    </xf>
    <xf numFmtId="0" fontId="16" fillId="35" borderId="12" applyAlignment="1" pivotButton="0" quotePrefix="0" xfId="0">
      <alignment horizontal="center"/>
    </xf>
    <xf numFmtId="0" fontId="16" fillId="35" borderId="12" applyAlignment="1" pivotButton="0" quotePrefix="0" xfId="0">
      <alignment vertical="top"/>
    </xf>
    <xf numFmtId="164" fontId="16" fillId="35" borderId="12" applyAlignment="1" pivotButton="0" quotePrefix="0" xfId="0">
      <alignment horizontal="center"/>
    </xf>
    <xf numFmtId="3" fontId="16" fillId="35" borderId="12" applyAlignment="1" pivotButton="0" quotePrefix="0" xfId="0">
      <alignment horizontal="center"/>
    </xf>
    <xf numFmtId="3" fontId="0" fillId="0" borderId="12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0" pivotButton="0" quotePrefix="0" xfId="0"/>
    <xf numFmtId="0" fontId="0" fillId="35" borderId="0" pivotButton="0" quotePrefix="0" xfId="0"/>
    <xf numFmtId="0" fontId="0" fillId="0" borderId="10" applyAlignment="1" pivotButton="0" quotePrefix="0" xfId="0">
      <alignment horizontal="center"/>
    </xf>
    <xf numFmtId="164" fontId="0" fillId="0" borderId="0" pivotButton="0" quotePrefix="0" xfId="0"/>
    <xf numFmtId="164" fontId="16" fillId="35" borderId="12" applyAlignment="1" pivotButton="0" quotePrefix="0" xfId="0">
      <alignment horizontal="center"/>
    </xf>
    <xf numFmtId="164" fontId="0" fillId="0" borderId="12" pivotButton="0" quotePrefix="0" xfId="0"/>
    <xf numFmtId="165" fontId="18" fillId="36" borderId="0" applyAlignment="1" pivotButton="0" quotePrefix="0" xfId="0">
      <alignment horizontal="center"/>
    </xf>
    <xf numFmtId="164" fontId="16" fillId="38" borderId="13" applyAlignment="1" pivotButton="0" quotePrefix="0" xfId="0">
      <alignment horizontal="center"/>
    </xf>
  </cellXfs>
  <cellStyles count="47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  <cellStyle name="Normal 2" xfId="42"/>
    <cellStyle name="Estilo0000" xfId="43"/>
    <cellStyle name="Estilo0001" xfId="44"/>
    <cellStyle name="Estilo0002" xfId="45"/>
    <cellStyle name="Normal 2 2" xfId="46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FF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numFmt numFmtId="20" formatCode="dd/mmm/yy"/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FFFFFF"/>
        </patternFill>
      </fill>
      <alignment horizontal="general" vertical="top"/>
    </dxf>
    <dxf>
      <border outline="0"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EEEEEE"/>
        </patternFill>
      </fill>
      <alignment horizontal="general" vertical="top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2" displayName="Tabela2" ref="A1:V509" headerRowCount="1" totalsRowShown="0" headerRowDxfId="72">
  <tableColumns count="22">
    <tableColumn id="1" name="Bay" dataDxfId="71"/>
    <tableColumn id="2" name="Slot" dataDxfId="70"/>
    <tableColumn id="3" name="Container Id" dataDxfId="69"/>
    <tableColumn id="4" name="Size" dataDxfId="68"/>
    <tableColumn id="5" name="POL" dataDxfId="67"/>
    <tableColumn id="6" name="POD" dataDxfId="66"/>
    <tableColumn id="7" name="Weight" dataDxfId="65"/>
    <tableColumn id="8" name="Carrier" dataDxfId="64"/>
    <tableColumn id="9" name="Type" dataDxfId="63"/>
    <tableColumn id="10" name="Class" dataDxfId="62"/>
    <tableColumn id="11" name="Setting" dataDxfId="61"/>
    <tableColumn id="12" name="Height" dataDxfId="60"/>
    <tableColumn id="13" name="Full" dataDxfId="59"/>
    <tableColumn id="14" name="Delivery" dataDxfId="58"/>
    <tableColumn id="15" name="Opt Port" dataDxfId="57"/>
    <tableColumn id="16" name="Vessel Origem">
      <calculatedColumnFormula array="1">IFERROR(INDEX(Disch_Booking_Report!B:B, MATCH(TRUE, ISNUMBER(FIND(SUBSTITUTE(C2," ",""), Disch_Booking_Report!AC:AC)), 0)), "Not Found")</calculatedColumnFormula>
    </tableColumn>
    <tableColumn id="17" name="Booking Number">
      <calculatedColumnFormula array="1">IFERROR(INDEX(Disch_Booking_Report!C:C, MATCH(TRUE, ISNUMBER(FIND(SUBSTITUTE(C2," ",""), Disch_Booking_Report!AC:AC)), 0)), "Not Found")</calculatedColumnFormula>
    </tableColumn>
    <tableColumn id="21" name="Type2" dataDxfId="56">
      <calculatedColumnFormula array="1">IFERROR(INDEX(Disch_Booking_Report!AD:AD, MATCH(TRUE, ISNUMBER(FIND(SUBSTITUTE(C2," ",""), Disch_Booking_Report!AC:AC)), 0)), "Not Found")</calculatedColumnFormula>
    </tableColumn>
    <tableColumn id="22" name="Weight2" dataDxfId="55">
      <calculatedColumnFormula>Tabela2[[#This Row],[Weight]]</calculatedColumnFormula>
    </tableColumn>
    <tableColumn id="18" name="Booking party">
      <calculatedColumnFormula array="1">IFERROR(INDEX(Disch_Booking_Report!L:L, MATCH(TRUE, ISNUMBER(FIND(SUBSTITUTE(C2," ",""), Disch_Booking_Report!AC:AC)), 0)), "Not Found")</calculatedColumnFormula>
    </tableColumn>
    <tableColumn id="19" name="FPOD">
      <calculatedColumnFormula array="1">IFERROR(INDEX(Disch_Booking_Report!I:I, MATCH(TRUE, ISNUMBER(FIND(SUBSTITUTE(C2," ",""), Disch_Booking_Report!AC:AC)), 0)), "Not Found")</calculatedColumnFormula>
    </tableColumn>
    <tableColumn id="20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" displayName="Tabela1" ref="A1:AT528" headerRowCount="1" totalsRowShown="0" headerRowDxfId="54" dataDxfId="52" headerRowBorderDxfId="53" tableBorderDxfId="51" totalsRowBorderDxfId="50">
  <tableColumns count="46">
    <tableColumn id="1" name="S.No" dataDxfId="49"/>
    <tableColumn id="2" name="Vessel / Voy." dataDxfId="48"/>
    <tableColumn id="3" name="BL No" dataDxfId="47"/>
    <tableColumn id="4" name="BL Date" dataDxfId="46"/>
    <tableColumn id="5" name="ETA Date" dataDxfId="45"/>
    <tableColumn id="6" name="Origin" dataDxfId="44"/>
    <tableColumn id="7" name="Load Port" dataDxfId="43"/>
    <tableColumn id="8" name="POD / TS Port" dataDxfId="42"/>
    <tableColumn id="9" name="Final Dest" dataDxfId="41"/>
    <tableColumn id="10" name="Transit Type" dataDxfId="40"/>
    <tableColumn id="11" name="BLSurrender Status" dataDxfId="39"/>
    <tableColumn id="12" name="Shipper Name" dataDxfId="38"/>
    <tableColumn id="13" name="Shipper Address" dataDxfId="37"/>
    <tableColumn id="14" name="Consignee Code" dataDxfId="36"/>
    <tableColumn id="15" name="Economical Code / National Id" dataDxfId="35"/>
    <tableColumn id="16" name="Consignee Name" dataDxfId="34"/>
    <tableColumn id="17" name="Consignee Address" dataDxfId="33"/>
    <tableColumn id="18" name="Mobile No" dataDxfId="32"/>
    <tableColumn id="19" name="Email" dataDxfId="31"/>
    <tableColumn id="20" name="Notify Name" dataDxfId="30"/>
    <tableColumn id="21" name="Notify Address" dataDxfId="29"/>
    <tableColumn id="22" name="Free Days" dataDxfId="28"/>
    <tableColumn id="23" name="POD REEFER Plugin Free Days" dataDxfId="27"/>
    <tableColumn id="24" name="BL Total Gross Wt" dataDxfId="26"/>
    <tableColumn id="25" name="BL Total Nett Wt" dataDxfId="25"/>
    <tableColumn id="26" name="BL Total Packages" dataDxfId="24"/>
    <tableColumn id="27" name="Master BL" dataDxfId="23"/>
    <tableColumn id="28" name="Cargo Description" dataDxfId="22"/>
    <tableColumn id="29" name="Container No" dataDxfId="21"/>
    <tableColumn id="30" name="Ctr Type" dataDxfId="20"/>
    <tableColumn id="31" name="Seal No" dataDxfId="19"/>
    <tableColumn id="32" name="Custom Seal No" dataDxfId="18"/>
    <tableColumn id="33" name="Shipment Terms" dataDxfId="17"/>
    <tableColumn id="34" name="Product" dataDxfId="16"/>
    <tableColumn id="35" name="Ctr Gross Weight" dataDxfId="15"/>
    <tableColumn id="36" name="No. of Pkgs" dataDxfId="14"/>
    <tableColumn id="37" name="Package Type" dataDxfId="13"/>
    <tableColumn id="38" name="IMO" dataDxfId="12"/>
    <tableColumn id="39" name="UN No" dataDxfId="11"/>
    <tableColumn id="40" name="Reefer" dataDxfId="10"/>
    <tableColumn id="41" name="HSN Codes" dataDxfId="9"/>
    <tableColumn id="42" name="Total HSN Pkgs" dataDxfId="8"/>
    <tableColumn id="43" name="Total HSN Gross Wt" dataDxfId="7"/>
    <tableColumn id="44" name="Tare Wt" dataDxfId="6"/>
    <tableColumn id="45" name="VGM Wt(KGS)" dataDxfId="5"/>
    <tableColumn id="46" name="SOC FLA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4"/>
  <sheetViews>
    <sheetView zoomScale="62" zoomScaleNormal="62" workbookViewId="0">
      <pane ySplit="1" topLeftCell="A435" activePane="bottomLeft" state="frozen"/>
      <selection activeCell="B1" sqref="B1"/>
      <selection pane="bottomLeft" activeCell="P454" sqref="P454"/>
    </sheetView>
  </sheetViews>
  <sheetFormatPr baseColWidth="8" defaultRowHeight="14.5"/>
  <cols>
    <col width="3.90625" bestFit="1" customWidth="1" min="1" max="1"/>
    <col width="9.54296875" bestFit="1" customWidth="1" min="2" max="2"/>
    <col width="23" bestFit="1" customWidth="1" min="3" max="3"/>
    <col width="4.26953125" bestFit="1" customWidth="1" min="4" max="4"/>
    <col width="9.08984375" bestFit="1" customWidth="1" min="5" max="5"/>
    <col width="6.36328125" bestFit="1" customWidth="1" min="6" max="6"/>
    <col width="8.81640625" bestFit="1" customWidth="1" min="7" max="7"/>
    <col width="6.54296875" bestFit="1" customWidth="1" min="8" max="8"/>
    <col width="7.1796875" bestFit="1" customWidth="1" min="9" max="9"/>
    <col width="5.453125" bestFit="1" customWidth="1" min="10" max="10"/>
    <col width="11.453125" bestFit="1" customWidth="1" min="12" max="12"/>
    <col width="4" bestFit="1" customWidth="1" min="13" max="13"/>
    <col width="15.26953125" bestFit="1" customWidth="1" min="14" max="14"/>
    <col width="12.81640625" bestFit="1" customWidth="1" min="15" max="15"/>
    <col width="13.7265625" bestFit="1" customWidth="1" min="16" max="16"/>
    <col width="26.54296875" bestFit="1" customWidth="1" min="17" max="17"/>
    <col width="19.90625" bestFit="1" customWidth="1" min="18" max="18"/>
    <col width="9.54296875" bestFit="1" customWidth="1" min="19" max="19"/>
    <col width="6.90625" bestFit="1" customWidth="1" min="20" max="20"/>
    <col width="11.7265625" bestFit="1" customWidth="1" style="34" min="21" max="21"/>
    <col width="5.54296875" customWidth="1" min="22" max="22"/>
    <col width="38.36328125" bestFit="1" customWidth="1" min="23" max="23"/>
    <col width="9.08984375" bestFit="1" customWidth="1" min="24" max="24"/>
    <col width="9.08984375" customWidth="1" min="25" max="25"/>
    <col width="13.6328125" bestFit="1" customWidth="1" style="39" min="26" max="26"/>
  </cols>
  <sheetData>
    <row r="1">
      <c r="A1" s="28" t="inlineStr">
        <is>
          <t>Bay</t>
        </is>
      </c>
      <c r="B1" s="28" t="inlineStr">
        <is>
          <t>Slot</t>
        </is>
      </c>
      <c r="C1" s="28" t="inlineStr">
        <is>
          <t>Container Id</t>
        </is>
      </c>
      <c r="D1" s="28" t="inlineStr">
        <is>
          <t>Size</t>
        </is>
      </c>
      <c r="E1" s="28" t="inlineStr">
        <is>
          <t>POL</t>
        </is>
      </c>
      <c r="F1" s="28" t="inlineStr">
        <is>
          <t>POD</t>
        </is>
      </c>
      <c r="G1" s="28" t="inlineStr">
        <is>
          <t>Weight</t>
        </is>
      </c>
      <c r="H1" s="28" t="inlineStr">
        <is>
          <t>Carrier</t>
        </is>
      </c>
      <c r="I1" s="28" t="inlineStr">
        <is>
          <t>Type</t>
        </is>
      </c>
      <c r="J1" s="28" t="inlineStr">
        <is>
          <t>Class</t>
        </is>
      </c>
      <c r="K1" s="28" t="inlineStr">
        <is>
          <t>Setting</t>
        </is>
      </c>
      <c r="L1" s="28" t="inlineStr">
        <is>
          <t>Height</t>
        </is>
      </c>
      <c r="M1" s="28" t="inlineStr">
        <is>
          <t>Full</t>
        </is>
      </c>
      <c r="N1" s="28" t="inlineStr">
        <is>
          <t>Delivery</t>
        </is>
      </c>
      <c r="O1" s="28" t="inlineStr">
        <is>
          <t>Opt Port</t>
        </is>
      </c>
      <c r="P1" s="29" t="inlineStr">
        <is>
          <t>Container</t>
        </is>
      </c>
      <c r="Q1" s="29" t="inlineStr">
        <is>
          <t>Vessel Origem</t>
        </is>
      </c>
      <c r="R1" s="29" t="inlineStr">
        <is>
          <t>Booking Number</t>
        </is>
      </c>
      <c r="S1" s="29" t="inlineStr">
        <is>
          <t>Type</t>
        </is>
      </c>
      <c r="T1" s="29" t="inlineStr">
        <is>
          <t>Weight</t>
        </is>
      </c>
      <c r="U1" s="32" t="inlineStr">
        <is>
          <t>Temp</t>
        </is>
      </c>
      <c r="V1" s="29" t="inlineStr">
        <is>
          <t>IMO</t>
        </is>
      </c>
      <c r="W1" s="29" t="inlineStr">
        <is>
          <t>Booking party</t>
        </is>
      </c>
      <c r="X1" s="30" t="inlineStr">
        <is>
          <t>POO</t>
        </is>
      </c>
      <c r="Y1" s="30" t="inlineStr">
        <is>
          <t>FPOD</t>
        </is>
      </c>
      <c r="Z1" s="40" t="inlineStr">
        <is>
          <t>Revenue</t>
        </is>
      </c>
    </row>
    <row r="2">
      <c r="A2" t="n">
        <v>31</v>
      </c>
      <c r="B2" t="n">
        <v>310806</v>
      </c>
      <c r="C2" t="inlineStr">
        <is>
          <t>ANON0000000</t>
        </is>
      </c>
      <c r="D2" t="n">
        <v>20</v>
      </c>
      <c r="E2" t="inlineStr">
        <is>
          <t>USNFK</t>
        </is>
      </c>
      <c r="F2" t="inlineStr">
        <is>
          <t>RULED</t>
        </is>
      </c>
      <c r="G2" t="n">
        <v>21466</v>
      </c>
      <c r="H2" t="inlineStr">
        <is>
          <t>ART</t>
        </is>
      </c>
      <c r="I2" t="inlineStr">
        <is>
          <t>22G1</t>
        </is>
      </c>
      <c r="L2" t="inlineStr">
        <is>
          <t>OOG</t>
        </is>
      </c>
      <c r="M2" t="inlineStr">
        <is>
          <t>Full</t>
        </is>
      </c>
      <c r="N2" t="inlineStr">
        <is>
          <t>RULED</t>
        </is>
      </c>
      <c r="P2" s="21">
        <f>C2</f>
        <v/>
      </c>
      <c r="Q2" s="21">
        <f t="array" ref="Q2">IFERROR(INDEX(Load_Booking_Report!AC:AC, MATCH(TRUE, ISNUMBER(FIND(SUBSTITUTE(C2," ",""), Load_Booking_Report!AL:AL)), 0)), "Not Found")</f>
        <v/>
      </c>
      <c r="R2" s="21">
        <f t="array" ref="R2">IFERROR(INDEX(Load_Booking_Report!C:C, MATCH(TRUE, ISNUMBER(FIND(SUBSTITUTE(C2," ",""), Load_Booking_Report!AL:AL)), 0)), "Not Found")</f>
        <v/>
      </c>
      <c r="S2" s="21">
        <f t="array" ref="S2">IFERROR(INDEX(Load_Booking_Report!AG:AG, MATCH(TRUE, ISNUMBER(FIND(SUBSTITUTE(C2," ",""), Load_Booking_Report!AL:AL)), 0)), "Not Found")</f>
        <v/>
      </c>
      <c r="T2" s="21">
        <f>G2</f>
        <v/>
      </c>
      <c r="U2" s="33">
        <f t="array" ref="U2">IFERROR(
   IF(
      INDEX(Load_Booking_Report!AM:AM,
             MATCH(TRUE,
                     ISNUMBER(FIND(SUBSTITUTE(C2," ",""),
                                    Load_Booking_Report!AL:AL)),
                     0)
      )=0,
      "",
      INDEX(Load_Booking_Report!AM:AM,
             MATCH(TRUE,
                     ISNUMBER(FIND(SUBSTITUTE(C2," ",""),
                                    Load_Booking_Report!AL:AL)),
                     0)
      )
   ),
   ""
)</f>
        <v/>
      </c>
      <c r="V2" s="21">
        <f t="array" ref="V2">IFERROR(
   IF(
      INDEX(Load_Booking_Report!AR:AR,
             MATCH(TRUE,
                     ISNUMBER(FIND(SUBSTITUTE(C2," ",""),
                                    Load_Booking_Report!AL:AL)),
                     0)
      )=0,
      "",
      INDEX(Load_Booking_Report!AR:AR,
             MATCH(TRUE,
                     ISNUMBER(FIND(SUBSTITUTE(C2," ",""),
                                    Load_Booking_Report!AL:AL)),
                     0)
      )
   ),
   ""
)</f>
        <v/>
      </c>
      <c r="W2" s="21">
        <f t="array" ref="W2">IFERROR(INDEX(Load_Booking_Report!F:F, MATCH(TRUE, ISNUMBER(FIND(SUBSTITUTE(C2," ",""), Load_Booking_Report!AL:AL)), 0)), "Not Found")</f>
        <v/>
      </c>
      <c r="X2" s="21">
        <f t="array" ref="X2">IFERROR(INDEX(Load_Booking_Report!N:N, MATCH(TRUE, ISNUMBER(FIND(SUBSTITUTE(C2," ",""), Load_Booking_Report!AL:AL)), 0)), "Not Found")</f>
        <v/>
      </c>
      <c r="Y2" s="21">
        <f t="array" ref="Y2">IFERROR(INDEX(Load_Booking_Report!V:V, MATCH(TRUE, ISNUMBER(FIND(SUBSTITUTE(C2," ",""), Load_Booking_Report!AL:AL)), 0)), "Not Found")</f>
        <v/>
      </c>
      <c r="Z2" s="41">
        <f t="array" ref="Z2">IFERROR(INDEX(Load_Booking_Report!BC:BC, MATCH(TRUE, ISNUMBER(FIND(SUBSTITUTE(C2," ",""), Load_Booking_Report!AL:AL)), 0)), "Not Found")</f>
        <v/>
      </c>
    </row>
    <row r="3">
      <c r="A3" t="n">
        <v>25</v>
      </c>
      <c r="B3" t="n">
        <v>250504</v>
      </c>
      <c r="C3" t="inlineStr">
        <is>
          <t>ANON0000000</t>
        </is>
      </c>
      <c r="D3" t="n">
        <v>20</v>
      </c>
      <c r="E3" t="inlineStr">
        <is>
          <t>USNYC</t>
        </is>
      </c>
      <c r="F3" t="inlineStr">
        <is>
          <t>RULED</t>
        </is>
      </c>
      <c r="G3" t="n">
        <v>27050</v>
      </c>
      <c r="H3" t="inlineStr">
        <is>
          <t>ART</t>
        </is>
      </c>
      <c r="I3" t="inlineStr">
        <is>
          <t>22G1</t>
        </is>
      </c>
      <c r="L3" t="inlineStr">
        <is>
          <t>8'6</t>
        </is>
      </c>
      <c r="M3" t="inlineStr">
        <is>
          <t>Full</t>
        </is>
      </c>
      <c r="N3" t="inlineStr">
        <is>
          <t>RULED</t>
        </is>
      </c>
      <c r="P3" s="21">
        <f>C3</f>
        <v/>
      </c>
      <c r="Q3" s="21">
        <f t="array" ref="Q3">IFERROR(INDEX(Load_Booking_Report!AC:AC, MATCH(TRUE, ISNUMBER(FIND(SUBSTITUTE(C3," ",""), Load_Booking_Report!AL:AL)), 0)), "Not Found")</f>
        <v/>
      </c>
      <c r="R3" s="21">
        <f t="array" ref="R3">IFERROR(INDEX(Load_Booking_Report!C:C, MATCH(TRUE, ISNUMBER(FIND(SUBSTITUTE(C3," ",""), Load_Booking_Report!AL:AL)), 0)), "Not Found")</f>
        <v/>
      </c>
      <c r="S3" s="21">
        <f t="array" ref="S3">IFERROR(INDEX(Load_Booking_Report!AG:AG, MATCH(TRUE, ISNUMBER(FIND(SUBSTITUTE(C3," ",""), Load_Booking_Report!AL:AL)), 0)), "Not Found")</f>
        <v/>
      </c>
      <c r="T3" s="21">
        <f>G3</f>
        <v/>
      </c>
      <c r="U3" s="33">
        <f t="array" ref="U3">IFERROR(
   IF(
      INDEX(Load_Booking_Report!AM:AM,
             MATCH(TRUE,
                     ISNUMBER(FIND(SUBSTITUTE(C3," ",""),
                                    Load_Booking_Report!AL:AL)),
                     0)
      )=0,
      "",
      INDEX(Load_Booking_Report!AM:AM,
             MATCH(TRUE,
                     ISNUMBER(FIND(SUBSTITUTE(C3," ",""),
                                    Load_Booking_Report!AL:AL)),
                     0)
      )
   ),
   ""
)</f>
        <v/>
      </c>
      <c r="V3" s="21">
        <f t="array" ref="V3">IFERROR(
   IF(
      INDEX(Load_Booking_Report!AR:AR,
             MATCH(TRUE,
                     ISNUMBER(FIND(SUBSTITUTE(C3," ",""),
                                    Load_Booking_Report!AL:AL)),
                     0)
      )=0,
      "",
      INDEX(Load_Booking_Report!AR:AR,
             MATCH(TRUE,
                     ISNUMBER(FIND(SUBSTITUTE(C3," ",""),
                                    Load_Booking_Report!AL:AL)),
                     0)
      )
   ),
   ""
)</f>
        <v/>
      </c>
      <c r="W3" s="21">
        <f t="array" ref="W3">IFERROR(INDEX(Load_Booking_Report!F:F, MATCH(TRUE, ISNUMBER(FIND(SUBSTITUTE(C3," ",""), Load_Booking_Report!AL:AL)), 0)), "Not Found")</f>
        <v/>
      </c>
      <c r="X3" s="21">
        <f t="array" ref="X3">IFERROR(INDEX(Load_Booking_Report!N:N, MATCH(TRUE, ISNUMBER(FIND(SUBSTITUTE(C3," ",""), Load_Booking_Report!AL:AL)), 0)), "Not Found")</f>
        <v/>
      </c>
      <c r="Y3" s="21">
        <f t="array" ref="Y3">IFERROR(INDEX(Load_Booking_Report!V:V, MATCH(TRUE, ISNUMBER(FIND(SUBSTITUTE(C3," ",""), Load_Booking_Report!AL:AL)), 0)), "Not Found")</f>
        <v/>
      </c>
      <c r="Z3" s="41">
        <f t="array" ref="Z3">IFERROR(INDEX(Load_Booking_Report!BC:BC, MATCH(TRUE, ISNUMBER(FIND(SUBSTITUTE(C3," ",""), Load_Booking_Report!AL:AL)), 0)), "Not Found")</f>
        <v/>
      </c>
    </row>
    <row r="4">
      <c r="A4" t="n">
        <v>27</v>
      </c>
      <c r="B4" t="n">
        <v>270302</v>
      </c>
      <c r="C4" t="inlineStr">
        <is>
          <t>ANON0000000</t>
        </is>
      </c>
      <c r="D4" t="n">
        <v>20</v>
      </c>
      <c r="E4" t="inlineStr">
        <is>
          <t>USNYC</t>
        </is>
      </c>
      <c r="F4" t="inlineStr">
        <is>
          <t>RULED</t>
        </is>
      </c>
      <c r="G4" t="n">
        <v>27000</v>
      </c>
      <c r="H4" t="inlineStr">
        <is>
          <t>ART</t>
        </is>
      </c>
      <c r="I4" t="inlineStr">
        <is>
          <t>22G1</t>
        </is>
      </c>
      <c r="L4" t="inlineStr">
        <is>
          <t>8'6</t>
        </is>
      </c>
      <c r="M4" t="inlineStr">
        <is>
          <t>Full</t>
        </is>
      </c>
      <c r="N4" t="inlineStr">
        <is>
          <t>RULED</t>
        </is>
      </c>
      <c r="P4" s="21">
        <f>C4</f>
        <v/>
      </c>
      <c r="Q4" s="21">
        <f t="array" ref="Q4">IFERROR(INDEX(Load_Booking_Report!AC:AC, MATCH(TRUE, ISNUMBER(FIND(SUBSTITUTE(C4," ",""), Load_Booking_Report!AL:AL)), 0)), "Not Found")</f>
        <v/>
      </c>
      <c r="R4" s="21">
        <f t="array" ref="R4">IFERROR(INDEX(Load_Booking_Report!C:C, MATCH(TRUE, ISNUMBER(FIND(SUBSTITUTE(C4," ",""), Load_Booking_Report!AL:AL)), 0)), "Not Found")</f>
        <v/>
      </c>
      <c r="S4" s="21">
        <f t="array" ref="S4">IFERROR(INDEX(Load_Booking_Report!AG:AG, MATCH(TRUE, ISNUMBER(FIND(SUBSTITUTE(C4," ",""), Load_Booking_Report!AL:AL)), 0)), "Not Found")</f>
        <v/>
      </c>
      <c r="T4" s="21">
        <f>G4</f>
        <v/>
      </c>
      <c r="U4" s="33">
        <f t="array" ref="U4">IFERROR(
   IF(
      INDEX(Load_Booking_Report!AM:AM,
             MATCH(TRUE,
                     ISNUMBER(FIND(SUBSTITUTE(C4," ",""),
                                    Load_Booking_Report!AL:AL)),
                     0)
      )=0,
      "",
      INDEX(Load_Booking_Report!AM:AM,
             MATCH(TRUE,
                     ISNUMBER(FIND(SUBSTITUTE(C4," ",""),
                                    Load_Booking_Report!AL:AL)),
                     0)
      )
   ),
   ""
)</f>
        <v/>
      </c>
      <c r="V4" s="21">
        <f t="array" ref="V4">IFERROR(
   IF(
      INDEX(Load_Booking_Report!AR:AR,
             MATCH(TRUE,
                     ISNUMBER(FIND(SUBSTITUTE(C4," ",""),
                                    Load_Booking_Report!AL:AL)),
                     0)
      )=0,
      "",
      INDEX(Load_Booking_Report!AR:AR,
             MATCH(TRUE,
                     ISNUMBER(FIND(SUBSTITUTE(C4," ",""),
                                    Load_Booking_Report!AL:AL)),
                     0)
      )
   ),
   ""
)</f>
        <v/>
      </c>
      <c r="W4" s="21">
        <f t="array" ref="W4">IFERROR(INDEX(Load_Booking_Report!F:F, MATCH(TRUE, ISNUMBER(FIND(SUBSTITUTE(C4," ",""), Load_Booking_Report!AL:AL)), 0)), "Not Found")</f>
        <v/>
      </c>
      <c r="X4" s="21">
        <f t="array" ref="X4">IFERROR(INDEX(Load_Booking_Report!N:N, MATCH(TRUE, ISNUMBER(FIND(SUBSTITUTE(C4," ",""), Load_Booking_Report!AL:AL)), 0)), "Not Found")</f>
        <v/>
      </c>
      <c r="Y4" s="21">
        <f t="array" ref="Y4">IFERROR(INDEX(Load_Booking_Report!V:V, MATCH(TRUE, ISNUMBER(FIND(SUBSTITUTE(C4," ",""), Load_Booking_Report!AL:AL)), 0)), "Not Found")</f>
        <v/>
      </c>
      <c r="Z4" s="41">
        <f t="array" ref="Z4">IFERROR(INDEX(Load_Booking_Report!BC:BC, MATCH(TRUE, ISNUMBER(FIND(SUBSTITUTE(C4," ",""), Load_Booking_Report!AL:AL)), 0)), "Not Found")</f>
        <v/>
      </c>
    </row>
    <row r="5">
      <c r="A5" t="n">
        <v>25</v>
      </c>
      <c r="B5" t="n">
        <v>250302</v>
      </c>
      <c r="C5" t="inlineStr">
        <is>
          <t>ANON0000000</t>
        </is>
      </c>
      <c r="D5" t="n">
        <v>20</v>
      </c>
      <c r="E5" t="inlineStr">
        <is>
          <t>USNYC</t>
        </is>
      </c>
      <c r="F5" t="inlineStr">
        <is>
          <t>RULED</t>
        </is>
      </c>
      <c r="G5" t="n">
        <v>27040</v>
      </c>
      <c r="H5" t="inlineStr">
        <is>
          <t>ART</t>
        </is>
      </c>
      <c r="I5" t="inlineStr">
        <is>
          <t>22G1</t>
        </is>
      </c>
      <c r="L5" t="inlineStr">
        <is>
          <t>8'6</t>
        </is>
      </c>
      <c r="M5" t="inlineStr">
        <is>
          <t>Full</t>
        </is>
      </c>
      <c r="N5" t="inlineStr">
        <is>
          <t>RULED</t>
        </is>
      </c>
      <c r="P5" s="21">
        <f>C5</f>
        <v/>
      </c>
      <c r="Q5" s="21">
        <f t="array" ref="Q5">IFERROR(INDEX(Load_Booking_Report!AC:AC, MATCH(TRUE, ISNUMBER(FIND(SUBSTITUTE(C5," ",""), Load_Booking_Report!AL:AL)), 0)), "Not Found")</f>
        <v/>
      </c>
      <c r="R5" s="21">
        <f t="array" ref="R5">IFERROR(INDEX(Load_Booking_Report!C:C, MATCH(TRUE, ISNUMBER(FIND(SUBSTITUTE(C5," ",""), Load_Booking_Report!AL:AL)), 0)), "Not Found")</f>
        <v/>
      </c>
      <c r="S5" s="21">
        <f t="array" ref="S5">IFERROR(INDEX(Load_Booking_Report!AG:AG, MATCH(TRUE, ISNUMBER(FIND(SUBSTITUTE(C5," ",""), Load_Booking_Report!AL:AL)), 0)), "Not Found")</f>
        <v/>
      </c>
      <c r="T5" s="21">
        <f>G5</f>
        <v/>
      </c>
      <c r="U5" s="33">
        <f t="array" ref="U5">IFERROR(
   IF(
      INDEX(Load_Booking_Report!AM:AM,
             MATCH(TRUE,
                     ISNUMBER(FIND(SUBSTITUTE(C5," ",""),
                                    Load_Booking_Report!AL:AL)),
                     0)
      )=0,
      "",
      INDEX(Load_Booking_Report!AM:AM,
             MATCH(TRUE,
                     ISNUMBER(FIND(SUBSTITUTE(C5," ",""),
                                    Load_Booking_Report!AL:AL)),
                     0)
      )
   ),
   ""
)</f>
        <v/>
      </c>
      <c r="V5" s="21">
        <f t="array" ref="V5">IFERROR(
   IF(
      INDEX(Load_Booking_Report!AR:AR,
             MATCH(TRUE,
                     ISNUMBER(FIND(SUBSTITUTE(C5," ",""),
                                    Load_Booking_Report!AL:AL)),
                     0)
      )=0,
      "",
      INDEX(Load_Booking_Report!AR:AR,
             MATCH(TRUE,
                     ISNUMBER(FIND(SUBSTITUTE(C5," ",""),
                                    Load_Booking_Report!AL:AL)),
                     0)
      )
   ),
   ""
)</f>
        <v/>
      </c>
      <c r="W5" s="21">
        <f t="array" ref="W5">IFERROR(INDEX(Load_Booking_Report!F:F, MATCH(TRUE, ISNUMBER(FIND(SUBSTITUTE(C5," ",""), Load_Booking_Report!AL:AL)), 0)), "Not Found")</f>
        <v/>
      </c>
      <c r="X5" s="21">
        <f t="array" ref="X5">IFERROR(INDEX(Load_Booking_Report!N:N, MATCH(TRUE, ISNUMBER(FIND(SUBSTITUTE(C5," ",""), Load_Booking_Report!AL:AL)), 0)), "Not Found")</f>
        <v/>
      </c>
      <c r="Y5" s="21">
        <f t="array" ref="Y5">IFERROR(INDEX(Load_Booking_Report!V:V, MATCH(TRUE, ISNUMBER(FIND(SUBSTITUTE(C5," ",""), Load_Booking_Report!AL:AL)), 0)), "Not Found")</f>
        <v/>
      </c>
      <c r="Z5" s="41">
        <f t="array" ref="Z5">IFERROR(INDEX(Load_Booking_Report!BC:BC, MATCH(TRUE, ISNUMBER(FIND(SUBSTITUTE(C5," ",""), Load_Booking_Report!AL:AL)), 0)), "Not Found")</f>
        <v/>
      </c>
    </row>
    <row r="6">
      <c r="A6" t="n">
        <v>33</v>
      </c>
      <c r="B6" t="n">
        <v>330604</v>
      </c>
      <c r="C6" t="inlineStr">
        <is>
          <t>ANON0000000</t>
        </is>
      </c>
      <c r="D6" t="n">
        <v>20</v>
      </c>
      <c r="E6" t="inlineStr">
        <is>
          <t>USNYC</t>
        </is>
      </c>
      <c r="F6" t="inlineStr">
        <is>
          <t>RULED</t>
        </is>
      </c>
      <c r="G6" t="n">
        <v>26900</v>
      </c>
      <c r="H6" t="inlineStr">
        <is>
          <t>ART</t>
        </is>
      </c>
      <c r="I6" t="inlineStr">
        <is>
          <t>22G1</t>
        </is>
      </c>
      <c r="L6" t="inlineStr">
        <is>
          <t>8'6</t>
        </is>
      </c>
      <c r="M6" t="inlineStr">
        <is>
          <t>Full</t>
        </is>
      </c>
      <c r="N6" t="inlineStr">
        <is>
          <t>RULED</t>
        </is>
      </c>
      <c r="P6" s="21">
        <f>C6</f>
        <v/>
      </c>
      <c r="Q6" s="21">
        <f t="array" ref="Q6">IFERROR(INDEX(Load_Booking_Report!AC:AC, MATCH(TRUE, ISNUMBER(FIND(SUBSTITUTE(C6," ",""), Load_Booking_Report!AL:AL)), 0)), "Not Found")</f>
        <v/>
      </c>
      <c r="R6" s="21">
        <f t="array" ref="R6">IFERROR(INDEX(Load_Booking_Report!C:C, MATCH(TRUE, ISNUMBER(FIND(SUBSTITUTE(C6," ",""), Load_Booking_Report!AL:AL)), 0)), "Not Found")</f>
        <v/>
      </c>
      <c r="S6" s="21">
        <f t="array" ref="S6">IFERROR(INDEX(Load_Booking_Report!AG:AG, MATCH(TRUE, ISNUMBER(FIND(SUBSTITUTE(C6," ",""), Load_Booking_Report!AL:AL)), 0)), "Not Found")</f>
        <v/>
      </c>
      <c r="T6" s="21">
        <f>G6</f>
        <v/>
      </c>
      <c r="U6" s="33">
        <f t="array" ref="U6">IFERROR(
   IF(
      INDEX(Load_Booking_Report!AM:AM,
             MATCH(TRUE,
                     ISNUMBER(FIND(SUBSTITUTE(C6," ",""),
                                    Load_Booking_Report!AL:AL)),
                     0)
      )=0,
      "",
      INDEX(Load_Booking_Report!AM:AM,
             MATCH(TRUE,
                     ISNUMBER(FIND(SUBSTITUTE(C6," ",""),
                                    Load_Booking_Report!AL:AL)),
                     0)
      )
   ),
   ""
)</f>
        <v/>
      </c>
      <c r="V6" s="21">
        <f t="array" ref="V6">IFERROR(
   IF(
      INDEX(Load_Booking_Report!AR:AR,
             MATCH(TRUE,
                     ISNUMBER(FIND(SUBSTITUTE(C6," ",""),
                                    Load_Booking_Report!AL:AL)),
                     0)
      )=0,
      "",
      INDEX(Load_Booking_Report!AR:AR,
             MATCH(TRUE,
                     ISNUMBER(FIND(SUBSTITUTE(C6," ",""),
                                    Load_Booking_Report!AL:AL)),
                     0)
      )
   ),
   ""
)</f>
        <v/>
      </c>
      <c r="W6" s="21">
        <f t="array" ref="W6">IFERROR(INDEX(Load_Booking_Report!F:F, MATCH(TRUE, ISNUMBER(FIND(SUBSTITUTE(C6," ",""), Load_Booking_Report!AL:AL)), 0)), "Not Found")</f>
        <v/>
      </c>
      <c r="X6" s="21">
        <f t="array" ref="X6">IFERROR(INDEX(Load_Booking_Report!N:N, MATCH(TRUE, ISNUMBER(FIND(SUBSTITUTE(C6," ",""), Load_Booking_Report!AL:AL)), 0)), "Not Found")</f>
        <v/>
      </c>
      <c r="Y6" s="21">
        <f t="array" ref="Y6">IFERROR(INDEX(Load_Booking_Report!V:V, MATCH(TRUE, ISNUMBER(FIND(SUBSTITUTE(C6," ",""), Load_Booking_Report!AL:AL)), 0)), "Not Found")</f>
        <v/>
      </c>
      <c r="Z6" s="41">
        <f t="array" ref="Z6">IFERROR(INDEX(Load_Booking_Report!BC:BC, MATCH(TRUE, ISNUMBER(FIND(SUBSTITUTE(C6," ",""), Load_Booking_Report!AL:AL)), 0)), "Not Found")</f>
        <v/>
      </c>
    </row>
    <row r="7">
      <c r="A7" t="n">
        <v>27</v>
      </c>
      <c r="B7" t="n">
        <v>270206</v>
      </c>
      <c r="C7" t="inlineStr">
        <is>
          <t>ANON0000000</t>
        </is>
      </c>
      <c r="D7" t="n">
        <v>20</v>
      </c>
      <c r="E7" t="inlineStr">
        <is>
          <t>USNYC</t>
        </is>
      </c>
      <c r="F7" t="inlineStr">
        <is>
          <t>RULED</t>
        </is>
      </c>
      <c r="G7" t="n">
        <v>27110</v>
      </c>
      <c r="H7" t="inlineStr">
        <is>
          <t>ART</t>
        </is>
      </c>
      <c r="I7" t="inlineStr">
        <is>
          <t>22G1</t>
        </is>
      </c>
      <c r="L7" t="inlineStr">
        <is>
          <t>8'6</t>
        </is>
      </c>
      <c r="M7" t="inlineStr">
        <is>
          <t>Full</t>
        </is>
      </c>
      <c r="N7" t="inlineStr">
        <is>
          <t>RULED</t>
        </is>
      </c>
      <c r="P7" s="21">
        <f>C7</f>
        <v/>
      </c>
      <c r="Q7" s="21">
        <f t="array" ref="Q7">IFERROR(INDEX(Load_Booking_Report!AC:AC, MATCH(TRUE, ISNUMBER(FIND(SUBSTITUTE(C7," ",""), Load_Booking_Report!AL:AL)), 0)), "Not Found")</f>
        <v/>
      </c>
      <c r="R7" s="21">
        <f t="array" ref="R7">IFERROR(INDEX(Load_Booking_Report!C:C, MATCH(TRUE, ISNUMBER(FIND(SUBSTITUTE(C7," ",""), Load_Booking_Report!AL:AL)), 0)), "Not Found")</f>
        <v/>
      </c>
      <c r="S7" s="21">
        <f t="array" ref="S7">IFERROR(INDEX(Load_Booking_Report!AG:AG, MATCH(TRUE, ISNUMBER(FIND(SUBSTITUTE(C7," ",""), Load_Booking_Report!AL:AL)), 0)), "Not Found")</f>
        <v/>
      </c>
      <c r="T7" s="21">
        <f>G7</f>
        <v/>
      </c>
      <c r="U7" s="33">
        <f t="array" ref="U7">IFERROR(
   IF(
      INDEX(Load_Booking_Report!AM:AM,
             MATCH(TRUE,
                     ISNUMBER(FIND(SUBSTITUTE(C7," ",""),
                                    Load_Booking_Report!AL:AL)),
                     0)
      )=0,
      "",
      INDEX(Load_Booking_Report!AM:AM,
             MATCH(TRUE,
                     ISNUMBER(FIND(SUBSTITUTE(C7," ",""),
                                    Load_Booking_Report!AL:AL)),
                     0)
      )
   ),
   ""
)</f>
        <v/>
      </c>
      <c r="V7" s="21">
        <f t="array" ref="V7">IFERROR(
   IF(
      INDEX(Load_Booking_Report!AR:AR,
             MATCH(TRUE,
                     ISNUMBER(FIND(SUBSTITUTE(C7," ",""),
                                    Load_Booking_Report!AL:AL)),
                     0)
      )=0,
      "",
      INDEX(Load_Booking_Report!AR:AR,
             MATCH(TRUE,
                     ISNUMBER(FIND(SUBSTITUTE(C7," ",""),
                                    Load_Booking_Report!AL:AL)),
                     0)
      )
   ),
   ""
)</f>
        <v/>
      </c>
      <c r="W7" s="21">
        <f t="array" ref="W7">IFERROR(INDEX(Load_Booking_Report!F:F, MATCH(TRUE, ISNUMBER(FIND(SUBSTITUTE(C7," ",""), Load_Booking_Report!AL:AL)), 0)), "Not Found")</f>
        <v/>
      </c>
      <c r="X7" s="21">
        <f t="array" ref="X7">IFERROR(INDEX(Load_Booking_Report!N:N, MATCH(TRUE, ISNUMBER(FIND(SUBSTITUTE(C7," ",""), Load_Booking_Report!AL:AL)), 0)), "Not Found")</f>
        <v/>
      </c>
      <c r="Y7" s="21">
        <f t="array" ref="Y7">IFERROR(INDEX(Load_Booking_Report!V:V, MATCH(TRUE, ISNUMBER(FIND(SUBSTITUTE(C7," ",""), Load_Booking_Report!AL:AL)), 0)), "Not Found")</f>
        <v/>
      </c>
      <c r="Z7" s="41">
        <f t="array" ref="Z7">IFERROR(INDEX(Load_Booking_Report!BC:BC, MATCH(TRUE, ISNUMBER(FIND(SUBSTITUTE(C7," ",""), Load_Booking_Report!AL:AL)), 0)), "Not Found")</f>
        <v/>
      </c>
    </row>
    <row r="8">
      <c r="A8" t="n">
        <v>9</v>
      </c>
      <c r="B8" t="n">
        <v>90102</v>
      </c>
      <c r="C8" t="inlineStr">
        <is>
          <t>ANON0000000</t>
        </is>
      </c>
      <c r="D8" t="n">
        <v>20</v>
      </c>
      <c r="E8" t="inlineStr">
        <is>
          <t>USNFK</t>
        </is>
      </c>
      <c r="F8" t="inlineStr">
        <is>
          <t>RULED</t>
        </is>
      </c>
      <c r="G8" t="n">
        <v>21448</v>
      </c>
      <c r="H8" t="inlineStr">
        <is>
          <t>ART</t>
        </is>
      </c>
      <c r="I8" t="inlineStr">
        <is>
          <t>22G1</t>
        </is>
      </c>
      <c r="L8" t="inlineStr">
        <is>
          <t>OOG</t>
        </is>
      </c>
      <c r="M8" t="inlineStr">
        <is>
          <t>Full</t>
        </is>
      </c>
      <c r="N8" t="inlineStr">
        <is>
          <t>RULED</t>
        </is>
      </c>
      <c r="P8" s="21">
        <f>C8</f>
        <v/>
      </c>
      <c r="Q8" s="21">
        <f t="array" ref="Q8">IFERROR(INDEX(Load_Booking_Report!AC:AC, MATCH(TRUE, ISNUMBER(FIND(SUBSTITUTE(C8," ",""), Load_Booking_Report!AL:AL)), 0)), "Not Found")</f>
        <v/>
      </c>
      <c r="R8" s="21">
        <f t="array" ref="R8">IFERROR(INDEX(Load_Booking_Report!C:C, MATCH(TRUE, ISNUMBER(FIND(SUBSTITUTE(C8," ",""), Load_Booking_Report!AL:AL)), 0)), "Not Found")</f>
        <v/>
      </c>
      <c r="S8" s="21">
        <f t="array" ref="S8">IFERROR(INDEX(Load_Booking_Report!AG:AG, MATCH(TRUE, ISNUMBER(FIND(SUBSTITUTE(C8," ",""), Load_Booking_Report!AL:AL)), 0)), "Not Found")</f>
        <v/>
      </c>
      <c r="T8" s="21">
        <f>G8</f>
        <v/>
      </c>
      <c r="U8" s="33">
        <f t="array" ref="U8">IFERROR(
   IF(
      INDEX(Load_Booking_Report!AM:AM,
             MATCH(TRUE,
                     ISNUMBER(FIND(SUBSTITUTE(C8," ",""),
                                    Load_Booking_Report!AL:AL)),
                     0)
      )=0,
      "",
      INDEX(Load_Booking_Report!AM:AM,
             MATCH(TRUE,
                     ISNUMBER(FIND(SUBSTITUTE(C8," ",""),
                                    Load_Booking_Report!AL:AL)),
                     0)
      )
   ),
   ""
)</f>
        <v/>
      </c>
      <c r="V8" s="21">
        <f t="array" ref="V8">IFERROR(
   IF(
      INDEX(Load_Booking_Report!AR:AR,
             MATCH(TRUE,
                     ISNUMBER(FIND(SUBSTITUTE(C8," ",""),
                                    Load_Booking_Report!AL:AL)),
                     0)
      )=0,
      "",
      INDEX(Load_Booking_Report!AR:AR,
             MATCH(TRUE,
                     ISNUMBER(FIND(SUBSTITUTE(C8," ",""),
                                    Load_Booking_Report!AL:AL)),
                     0)
      )
   ),
   ""
)</f>
        <v/>
      </c>
      <c r="W8" s="21">
        <f t="array" ref="W8">IFERROR(INDEX(Load_Booking_Report!F:F, MATCH(TRUE, ISNUMBER(FIND(SUBSTITUTE(C8," ",""), Load_Booking_Report!AL:AL)), 0)), "Not Found")</f>
        <v/>
      </c>
      <c r="X8" s="21">
        <f t="array" ref="X8">IFERROR(INDEX(Load_Booking_Report!N:N, MATCH(TRUE, ISNUMBER(FIND(SUBSTITUTE(C8," ",""), Load_Booking_Report!AL:AL)), 0)), "Not Found")</f>
        <v/>
      </c>
      <c r="Y8" s="21">
        <f t="array" ref="Y8">IFERROR(INDEX(Load_Booking_Report!V:V, MATCH(TRUE, ISNUMBER(FIND(SUBSTITUTE(C8," ",""), Load_Booking_Report!AL:AL)), 0)), "Not Found")</f>
        <v/>
      </c>
      <c r="Z8" s="41">
        <f t="array" ref="Z8">IFERROR(INDEX(Load_Booking_Report!BC:BC, MATCH(TRUE, ISNUMBER(FIND(SUBSTITUTE(C8," ",""), Load_Booking_Report!AL:AL)), 0)), "Not Found")</f>
        <v/>
      </c>
    </row>
    <row r="9">
      <c r="A9" t="n">
        <v>27</v>
      </c>
      <c r="B9" t="n">
        <v>270108</v>
      </c>
      <c r="C9" t="inlineStr">
        <is>
          <t>ANON0000000</t>
        </is>
      </c>
      <c r="D9" t="n">
        <v>20</v>
      </c>
      <c r="E9" t="inlineStr">
        <is>
          <t>USNYC</t>
        </is>
      </c>
      <c r="F9" t="inlineStr">
        <is>
          <t>RULED</t>
        </is>
      </c>
      <c r="G9" t="n">
        <v>27100</v>
      </c>
      <c r="H9" t="inlineStr">
        <is>
          <t>ART</t>
        </is>
      </c>
      <c r="I9" t="inlineStr">
        <is>
          <t>22G1</t>
        </is>
      </c>
      <c r="L9" t="inlineStr">
        <is>
          <t>8'6</t>
        </is>
      </c>
      <c r="M9" t="inlineStr">
        <is>
          <t>Full</t>
        </is>
      </c>
      <c r="N9" t="inlineStr">
        <is>
          <t>RUBLT</t>
        </is>
      </c>
      <c r="P9" s="21">
        <f>C9</f>
        <v/>
      </c>
      <c r="Q9" s="21">
        <f t="array" ref="Q9">IFERROR(INDEX(Load_Booking_Report!AC:AC, MATCH(TRUE, ISNUMBER(FIND(SUBSTITUTE(C9," ",""), Load_Booking_Report!AL:AL)), 0)), "Not Found")</f>
        <v/>
      </c>
      <c r="R9" s="21">
        <f t="array" ref="R9">IFERROR(INDEX(Load_Booking_Report!C:C, MATCH(TRUE, ISNUMBER(FIND(SUBSTITUTE(C9," ",""), Load_Booking_Report!AL:AL)), 0)), "Not Found")</f>
        <v/>
      </c>
      <c r="S9" s="21">
        <f t="array" ref="S9">IFERROR(INDEX(Load_Booking_Report!AG:AG, MATCH(TRUE, ISNUMBER(FIND(SUBSTITUTE(C9," ",""), Load_Booking_Report!AL:AL)), 0)), "Not Found")</f>
        <v/>
      </c>
      <c r="T9" s="21">
        <f>G9</f>
        <v/>
      </c>
      <c r="U9" s="33">
        <f t="array" ref="U9">IFERROR(
   IF(
      INDEX(Load_Booking_Report!AM:AM,
             MATCH(TRUE,
                     ISNUMBER(FIND(SUBSTITUTE(C9," ",""),
                                    Load_Booking_Report!AL:AL)),
                     0)
      )=0,
      "",
      INDEX(Load_Booking_Report!AM:AM,
             MATCH(TRUE,
                     ISNUMBER(FIND(SUBSTITUTE(C9," ",""),
                                    Load_Booking_Report!AL:AL)),
                     0)
      )
   ),
   ""
)</f>
        <v/>
      </c>
      <c r="V9" s="21">
        <f t="array" ref="V9">IFERROR(
   IF(
      INDEX(Load_Booking_Report!AR:AR,
             MATCH(TRUE,
                     ISNUMBER(FIND(SUBSTITUTE(C9," ",""),
                                    Load_Booking_Report!AL:AL)),
                     0)
      )=0,
      "",
      INDEX(Load_Booking_Report!AR:AR,
             MATCH(TRUE,
                     ISNUMBER(FIND(SUBSTITUTE(C9," ",""),
                                    Load_Booking_Report!AL:AL)),
                     0)
      )
   ),
   ""
)</f>
        <v/>
      </c>
      <c r="W9" s="21">
        <f t="array" ref="W9">IFERROR(INDEX(Load_Booking_Report!F:F, MATCH(TRUE, ISNUMBER(FIND(SUBSTITUTE(C9," ",""), Load_Booking_Report!AL:AL)), 0)), "Not Found")</f>
        <v/>
      </c>
      <c r="X9" s="21">
        <f t="array" ref="X9">IFERROR(INDEX(Load_Booking_Report!N:N, MATCH(TRUE, ISNUMBER(FIND(SUBSTITUTE(C9," ",""), Load_Booking_Report!AL:AL)), 0)), "Not Found")</f>
        <v/>
      </c>
      <c r="Y9" s="21">
        <f t="array" ref="Y9">IFERROR(INDEX(Load_Booking_Report!V:V, MATCH(TRUE, ISNUMBER(FIND(SUBSTITUTE(C9," ",""), Load_Booking_Report!AL:AL)), 0)), "Not Found")</f>
        <v/>
      </c>
      <c r="Z9" s="41">
        <f t="array" ref="Z9">IFERROR(INDEX(Load_Booking_Report!BC:BC, MATCH(TRUE, ISNUMBER(FIND(SUBSTITUTE(C9," ",""), Load_Booking_Report!AL:AL)), 0)), "Not Found")</f>
        <v/>
      </c>
    </row>
    <row r="10">
      <c r="A10" t="n">
        <v>25</v>
      </c>
      <c r="B10" t="n">
        <v>250108</v>
      </c>
      <c r="C10" t="inlineStr">
        <is>
          <t>ANON0000000</t>
        </is>
      </c>
      <c r="D10" t="n">
        <v>20</v>
      </c>
      <c r="E10" t="inlineStr">
        <is>
          <t>USNYC</t>
        </is>
      </c>
      <c r="F10" t="inlineStr">
        <is>
          <t>RULED</t>
        </is>
      </c>
      <c r="G10" t="n">
        <v>27100</v>
      </c>
      <c r="H10" t="inlineStr">
        <is>
          <t>ART</t>
        </is>
      </c>
      <c r="I10" t="inlineStr">
        <is>
          <t>22G1</t>
        </is>
      </c>
      <c r="L10" t="inlineStr">
        <is>
          <t>8'6</t>
        </is>
      </c>
      <c r="M10" t="inlineStr">
        <is>
          <t>Full</t>
        </is>
      </c>
      <c r="N10" t="inlineStr">
        <is>
          <t>RULED</t>
        </is>
      </c>
      <c r="P10" s="21">
        <f>C10</f>
        <v/>
      </c>
      <c r="Q10" s="21">
        <f t="array" ref="Q10">IFERROR(INDEX(Load_Booking_Report!AC:AC, MATCH(TRUE, ISNUMBER(FIND(SUBSTITUTE(C10," ",""), Load_Booking_Report!AL:AL)), 0)), "Not Found")</f>
        <v/>
      </c>
      <c r="R10" s="21">
        <f t="array" ref="R10">IFERROR(INDEX(Load_Booking_Report!C:C, MATCH(TRUE, ISNUMBER(FIND(SUBSTITUTE(C10," ",""), Load_Booking_Report!AL:AL)), 0)), "Not Found")</f>
        <v/>
      </c>
      <c r="S10" s="21">
        <f t="array" ref="S10">IFERROR(INDEX(Load_Booking_Report!AG:AG, MATCH(TRUE, ISNUMBER(FIND(SUBSTITUTE(C10," ",""), Load_Booking_Report!AL:AL)), 0)), "Not Found")</f>
        <v/>
      </c>
      <c r="T10" s="21">
        <f>G10</f>
        <v/>
      </c>
      <c r="U10" s="33">
        <f t="array" ref="U10">IFERROR(
   IF(
      INDEX(Load_Booking_Report!AM:AM,
             MATCH(TRUE,
                     ISNUMBER(FIND(SUBSTITUTE(C10," ",""),
                                    Load_Booking_Report!AL:AL)),
                     0)
      )=0,
      "",
      INDEX(Load_Booking_Report!AM:AM,
             MATCH(TRUE,
                     ISNUMBER(FIND(SUBSTITUTE(C10," ",""),
                                    Load_Booking_Report!AL:AL)),
                     0)
      )
   ),
   ""
)</f>
        <v/>
      </c>
      <c r="V10" s="21">
        <f t="array" ref="V10">IFERROR(
   IF(
      INDEX(Load_Booking_Report!AR:AR,
             MATCH(TRUE,
                     ISNUMBER(FIND(SUBSTITUTE(C10," ",""),
                                    Load_Booking_Report!AL:AL)),
                     0)
      )=0,
      "",
      INDEX(Load_Booking_Report!AR:AR,
             MATCH(TRUE,
                     ISNUMBER(FIND(SUBSTITUTE(C10," ",""),
                                    Load_Booking_Report!AL:AL)),
                     0)
      )
   ),
   ""
)</f>
        <v/>
      </c>
      <c r="W10" s="21">
        <f t="array" ref="W10">IFERROR(INDEX(Load_Booking_Report!F:F, MATCH(TRUE, ISNUMBER(FIND(SUBSTITUTE(C10," ",""), Load_Booking_Report!AL:AL)), 0)), "Not Found")</f>
        <v/>
      </c>
      <c r="X10" s="21">
        <f t="array" ref="X10">IFERROR(INDEX(Load_Booking_Report!N:N, MATCH(TRUE, ISNUMBER(FIND(SUBSTITUTE(C10," ",""), Load_Booking_Report!AL:AL)), 0)), "Not Found")</f>
        <v/>
      </c>
      <c r="Y10" s="21">
        <f t="array" ref="Y10">IFERROR(INDEX(Load_Booking_Report!V:V, MATCH(TRUE, ISNUMBER(FIND(SUBSTITUTE(C10," ",""), Load_Booking_Report!AL:AL)), 0)), "Not Found")</f>
        <v/>
      </c>
      <c r="Z10" s="41">
        <f t="array" ref="Z10">IFERROR(INDEX(Load_Booking_Report!BC:BC, MATCH(TRUE, ISNUMBER(FIND(SUBSTITUTE(C10," ",""), Load_Booking_Report!AL:AL)), 0)), "Not Found")</f>
        <v/>
      </c>
    </row>
    <row r="11">
      <c r="A11" t="n">
        <v>25</v>
      </c>
      <c r="B11" t="n">
        <v>250106</v>
      </c>
      <c r="C11" t="inlineStr">
        <is>
          <t>ANON0000000</t>
        </is>
      </c>
      <c r="D11" t="n">
        <v>20</v>
      </c>
      <c r="E11" t="inlineStr">
        <is>
          <t>USNYC</t>
        </is>
      </c>
      <c r="F11" t="inlineStr">
        <is>
          <t>RULED</t>
        </is>
      </c>
      <c r="G11" t="n">
        <v>26980</v>
      </c>
      <c r="H11" t="inlineStr">
        <is>
          <t>ART</t>
        </is>
      </c>
      <c r="I11" t="inlineStr">
        <is>
          <t>22G1</t>
        </is>
      </c>
      <c r="L11" t="inlineStr">
        <is>
          <t>8'6</t>
        </is>
      </c>
      <c r="M11" t="inlineStr">
        <is>
          <t>Full</t>
        </is>
      </c>
      <c r="N11" t="inlineStr">
        <is>
          <t>RULED</t>
        </is>
      </c>
      <c r="P11" s="21">
        <f>C11</f>
        <v/>
      </c>
      <c r="Q11" s="21">
        <f t="array" ref="Q11">IFERROR(INDEX(Load_Booking_Report!AC:AC, MATCH(TRUE, ISNUMBER(FIND(SUBSTITUTE(C11," ",""), Load_Booking_Report!AL:AL)), 0)), "Not Found")</f>
        <v/>
      </c>
      <c r="R11" s="21">
        <f t="array" ref="R11">IFERROR(INDEX(Load_Booking_Report!C:C, MATCH(TRUE, ISNUMBER(FIND(SUBSTITUTE(C11," ",""), Load_Booking_Report!AL:AL)), 0)), "Not Found")</f>
        <v/>
      </c>
      <c r="S11" s="21">
        <f t="array" ref="S11">IFERROR(INDEX(Load_Booking_Report!AG:AG, MATCH(TRUE, ISNUMBER(FIND(SUBSTITUTE(C11," ",""), Load_Booking_Report!AL:AL)), 0)), "Not Found")</f>
        <v/>
      </c>
      <c r="T11" s="21">
        <f>G11</f>
        <v/>
      </c>
      <c r="U11" s="33">
        <f t="array" ref="U11">IFERROR(
   IF(
      INDEX(Load_Booking_Report!AM:AM,
             MATCH(TRUE,
                     ISNUMBER(FIND(SUBSTITUTE(C11," ",""),
                                    Load_Booking_Report!AL:AL)),
                     0)
      )=0,
      "",
      INDEX(Load_Booking_Report!AM:AM,
             MATCH(TRUE,
                     ISNUMBER(FIND(SUBSTITUTE(C11," ",""),
                                    Load_Booking_Report!AL:AL)),
                     0)
      )
   ),
   ""
)</f>
        <v/>
      </c>
      <c r="V11" s="21">
        <f t="array" ref="V11">IFERROR(
   IF(
      INDEX(Load_Booking_Report!AR:AR,
             MATCH(TRUE,
                     ISNUMBER(FIND(SUBSTITUTE(C11," ",""),
                                    Load_Booking_Report!AL:AL)),
                     0)
      )=0,
      "",
      INDEX(Load_Booking_Report!AR:AR,
             MATCH(TRUE,
                     ISNUMBER(FIND(SUBSTITUTE(C11," ",""),
                                    Load_Booking_Report!AL:AL)),
                     0)
      )
   ),
   ""
)</f>
        <v/>
      </c>
      <c r="W11" s="21">
        <f t="array" ref="W11">IFERROR(INDEX(Load_Booking_Report!F:F, MATCH(TRUE, ISNUMBER(FIND(SUBSTITUTE(C11," ",""), Load_Booking_Report!AL:AL)), 0)), "Not Found")</f>
        <v/>
      </c>
      <c r="X11" s="21">
        <f t="array" ref="X11">IFERROR(INDEX(Load_Booking_Report!N:N, MATCH(TRUE, ISNUMBER(FIND(SUBSTITUTE(C11," ",""), Load_Booking_Report!AL:AL)), 0)), "Not Found")</f>
        <v/>
      </c>
      <c r="Y11" s="21">
        <f t="array" ref="Y11">IFERROR(INDEX(Load_Booking_Report!V:V, MATCH(TRUE, ISNUMBER(FIND(SUBSTITUTE(C11," ",""), Load_Booking_Report!AL:AL)), 0)), "Not Found")</f>
        <v/>
      </c>
      <c r="Z11" s="41">
        <f t="array" ref="Z11">IFERROR(INDEX(Load_Booking_Report!BC:BC, MATCH(TRUE, ISNUMBER(FIND(SUBSTITUTE(C11," ",""), Load_Booking_Report!AL:AL)), 0)), "Not Found")</f>
        <v/>
      </c>
    </row>
    <row r="12">
      <c r="A12" t="n">
        <v>7</v>
      </c>
      <c r="B12" t="n">
        <v>70508</v>
      </c>
      <c r="C12" t="inlineStr">
        <is>
          <t>ANON0000000</t>
        </is>
      </c>
      <c r="D12" t="n">
        <v>20</v>
      </c>
      <c r="E12" t="inlineStr">
        <is>
          <t>USNFK</t>
        </is>
      </c>
      <c r="F12" t="inlineStr">
        <is>
          <t>RULED</t>
        </is>
      </c>
      <c r="G12" t="n">
        <v>28300</v>
      </c>
      <c r="H12" t="inlineStr">
        <is>
          <t>ART</t>
        </is>
      </c>
      <c r="I12" t="inlineStr">
        <is>
          <t>22G1</t>
        </is>
      </c>
      <c r="L12" t="inlineStr">
        <is>
          <t>8'6</t>
        </is>
      </c>
      <c r="M12" t="inlineStr">
        <is>
          <t>Full</t>
        </is>
      </c>
      <c r="N12" t="inlineStr">
        <is>
          <t>RULED</t>
        </is>
      </c>
      <c r="P12" s="21">
        <f>C12</f>
        <v/>
      </c>
      <c r="Q12" s="21">
        <f t="array" ref="Q12">IFERROR(INDEX(Load_Booking_Report!AC:AC, MATCH(TRUE, ISNUMBER(FIND(SUBSTITUTE(C12," ",""), Load_Booking_Report!AL:AL)), 0)), "Not Found")</f>
        <v/>
      </c>
      <c r="R12" s="21">
        <f t="array" ref="R12">IFERROR(INDEX(Load_Booking_Report!C:C, MATCH(TRUE, ISNUMBER(FIND(SUBSTITUTE(C12," ",""), Load_Booking_Report!AL:AL)), 0)), "Not Found")</f>
        <v/>
      </c>
      <c r="S12" s="21">
        <f t="array" ref="S12">IFERROR(INDEX(Load_Booking_Report!AG:AG, MATCH(TRUE, ISNUMBER(FIND(SUBSTITUTE(C12," ",""), Load_Booking_Report!AL:AL)), 0)), "Not Found")</f>
        <v/>
      </c>
      <c r="T12" s="21">
        <f>G12</f>
        <v/>
      </c>
      <c r="U12" s="33">
        <f t="array" ref="U12">IFERROR(
   IF(
      INDEX(Load_Booking_Report!AM:AM,
             MATCH(TRUE,
                     ISNUMBER(FIND(SUBSTITUTE(C12," ",""),
                                    Load_Booking_Report!AL:AL)),
                     0)
      )=0,
      "",
      INDEX(Load_Booking_Report!AM:AM,
             MATCH(TRUE,
                     ISNUMBER(FIND(SUBSTITUTE(C12," ",""),
                                    Load_Booking_Report!AL:AL)),
                     0)
      )
   ),
   ""
)</f>
        <v/>
      </c>
      <c r="V12" s="21">
        <f t="array" ref="V12">IFERROR(
   IF(
      INDEX(Load_Booking_Report!AR:AR,
             MATCH(TRUE,
                     ISNUMBER(FIND(SUBSTITUTE(C12," ",""),
                                    Load_Booking_Report!AL:AL)),
                     0)
      )=0,
      "",
      INDEX(Load_Booking_Report!AR:AR,
             MATCH(TRUE,
                     ISNUMBER(FIND(SUBSTITUTE(C12," ",""),
                                    Load_Booking_Report!AL:AL)),
                     0)
      )
   ),
   ""
)</f>
        <v/>
      </c>
      <c r="W12" s="21">
        <f t="array" ref="W12">IFERROR(INDEX(Load_Booking_Report!F:F, MATCH(TRUE, ISNUMBER(FIND(SUBSTITUTE(C12," ",""), Load_Booking_Report!AL:AL)), 0)), "Not Found")</f>
        <v/>
      </c>
      <c r="X12" s="21">
        <f t="array" ref="X12">IFERROR(INDEX(Load_Booking_Report!N:N, MATCH(TRUE, ISNUMBER(FIND(SUBSTITUTE(C12," ",""), Load_Booking_Report!AL:AL)), 0)), "Not Found")</f>
        <v/>
      </c>
      <c r="Y12" s="21">
        <f t="array" ref="Y12">IFERROR(INDEX(Load_Booking_Report!V:V, MATCH(TRUE, ISNUMBER(FIND(SUBSTITUTE(C12," ",""), Load_Booking_Report!AL:AL)), 0)), "Not Found")</f>
        <v/>
      </c>
      <c r="Z12" s="41">
        <f t="array" ref="Z12">IFERROR(INDEX(Load_Booking_Report!BC:BC, MATCH(TRUE, ISNUMBER(FIND(SUBSTITUTE(C12," ",""), Load_Booking_Report!AL:AL)), 0)), "Not Found")</f>
        <v/>
      </c>
    </row>
    <row r="13">
      <c r="A13" t="n">
        <v>31</v>
      </c>
      <c r="B13" t="n">
        <v>310404</v>
      </c>
      <c r="C13" t="inlineStr">
        <is>
          <t>ANON0000000</t>
        </is>
      </c>
      <c r="D13" t="n">
        <v>20</v>
      </c>
      <c r="E13" t="inlineStr">
        <is>
          <t>USNFK</t>
        </is>
      </c>
      <c r="F13" t="inlineStr">
        <is>
          <t>RULED</t>
        </is>
      </c>
      <c r="G13" t="n">
        <v>27900</v>
      </c>
      <c r="H13" t="inlineStr">
        <is>
          <t>ART</t>
        </is>
      </c>
      <c r="I13" t="inlineStr">
        <is>
          <t>22G1</t>
        </is>
      </c>
      <c r="L13" t="inlineStr">
        <is>
          <t>OOG</t>
        </is>
      </c>
      <c r="M13" t="inlineStr">
        <is>
          <t>Full</t>
        </is>
      </c>
      <c r="N13" t="inlineStr">
        <is>
          <t>RULED</t>
        </is>
      </c>
      <c r="P13" s="21">
        <f>C13</f>
        <v/>
      </c>
      <c r="Q13" s="21">
        <f t="array" ref="Q13">IFERROR(INDEX(Load_Booking_Report!AC:AC, MATCH(TRUE, ISNUMBER(FIND(SUBSTITUTE(C13," ",""), Load_Booking_Report!AL:AL)), 0)), "Not Found")</f>
        <v/>
      </c>
      <c r="R13" s="21">
        <f t="array" ref="R13">IFERROR(INDEX(Load_Booking_Report!C:C, MATCH(TRUE, ISNUMBER(FIND(SUBSTITUTE(C13," ",""), Load_Booking_Report!AL:AL)), 0)), "Not Found")</f>
        <v/>
      </c>
      <c r="S13" s="21">
        <f t="array" ref="S13">IFERROR(INDEX(Load_Booking_Report!AG:AG, MATCH(TRUE, ISNUMBER(FIND(SUBSTITUTE(C13," ",""), Load_Booking_Report!AL:AL)), 0)), "Not Found")</f>
        <v/>
      </c>
      <c r="T13" s="21">
        <f>G13</f>
        <v/>
      </c>
      <c r="U13" s="33">
        <f t="array" ref="U13">IFERROR(
   IF(
      INDEX(Load_Booking_Report!AM:AM,
             MATCH(TRUE,
                     ISNUMBER(FIND(SUBSTITUTE(C13," ",""),
                                    Load_Booking_Report!AL:AL)),
                     0)
      )=0,
      "",
      INDEX(Load_Booking_Report!AM:AM,
             MATCH(TRUE,
                     ISNUMBER(FIND(SUBSTITUTE(C13," ",""),
                                    Load_Booking_Report!AL:AL)),
                     0)
      )
   ),
   ""
)</f>
        <v/>
      </c>
      <c r="V13" s="21">
        <f t="array" ref="V13">IFERROR(
   IF(
      INDEX(Load_Booking_Report!AR:AR,
             MATCH(TRUE,
                     ISNUMBER(FIND(SUBSTITUTE(C13," ",""),
                                    Load_Booking_Report!AL:AL)),
                     0)
      )=0,
      "",
      INDEX(Load_Booking_Report!AR:AR,
             MATCH(TRUE,
                     ISNUMBER(FIND(SUBSTITUTE(C13," ",""),
                                    Load_Booking_Report!AL:AL)),
                     0)
      )
   ),
   ""
)</f>
        <v/>
      </c>
      <c r="W13" s="21">
        <f t="array" ref="W13">IFERROR(INDEX(Load_Booking_Report!F:F, MATCH(TRUE, ISNUMBER(FIND(SUBSTITUTE(C13," ",""), Load_Booking_Report!AL:AL)), 0)), "Not Found")</f>
        <v/>
      </c>
      <c r="X13" s="21">
        <f t="array" ref="X13">IFERROR(INDEX(Load_Booking_Report!N:N, MATCH(TRUE, ISNUMBER(FIND(SUBSTITUTE(C13," ",""), Load_Booking_Report!AL:AL)), 0)), "Not Found")</f>
        <v/>
      </c>
      <c r="Y13" s="21">
        <f t="array" ref="Y13">IFERROR(INDEX(Load_Booking_Report!V:V, MATCH(TRUE, ISNUMBER(FIND(SUBSTITUTE(C13," ",""), Load_Booking_Report!AL:AL)), 0)), "Not Found")</f>
        <v/>
      </c>
      <c r="Z13" s="41">
        <f t="array" ref="Z13">IFERROR(INDEX(Load_Booking_Report!BC:BC, MATCH(TRUE, ISNUMBER(FIND(SUBSTITUTE(C13," ",""), Load_Booking_Report!AL:AL)), 0)), "Not Found")</f>
        <v/>
      </c>
    </row>
    <row r="14">
      <c r="A14" t="n">
        <v>29</v>
      </c>
      <c r="B14" t="n">
        <v>290304</v>
      </c>
      <c r="C14" t="inlineStr">
        <is>
          <t>ANON0000000</t>
        </is>
      </c>
      <c r="D14" t="n">
        <v>20</v>
      </c>
      <c r="E14" t="inlineStr">
        <is>
          <t>USNFK</t>
        </is>
      </c>
      <c r="F14" t="inlineStr">
        <is>
          <t>RULED</t>
        </is>
      </c>
      <c r="G14" t="n">
        <v>27950</v>
      </c>
      <c r="H14" t="inlineStr">
        <is>
          <t>ART</t>
        </is>
      </c>
      <c r="I14" t="inlineStr">
        <is>
          <t>22G1</t>
        </is>
      </c>
      <c r="L14" t="inlineStr">
        <is>
          <t>OOG</t>
        </is>
      </c>
      <c r="M14" t="inlineStr">
        <is>
          <t>Full</t>
        </is>
      </c>
      <c r="N14" t="inlineStr">
        <is>
          <t>RULED</t>
        </is>
      </c>
      <c r="P14" s="21">
        <f>C14</f>
        <v/>
      </c>
      <c r="Q14" s="21">
        <f t="array" ref="Q14">IFERROR(INDEX(Load_Booking_Report!AC:AC, MATCH(TRUE, ISNUMBER(FIND(SUBSTITUTE(C14," ",""), Load_Booking_Report!AL:AL)), 0)), "Not Found")</f>
        <v/>
      </c>
      <c r="R14" s="21">
        <f t="array" ref="R14">IFERROR(INDEX(Load_Booking_Report!C:C, MATCH(TRUE, ISNUMBER(FIND(SUBSTITUTE(C14," ",""), Load_Booking_Report!AL:AL)), 0)), "Not Found")</f>
        <v/>
      </c>
      <c r="S14" s="21">
        <f t="array" ref="S14">IFERROR(INDEX(Load_Booking_Report!AG:AG, MATCH(TRUE, ISNUMBER(FIND(SUBSTITUTE(C14," ",""), Load_Booking_Report!AL:AL)), 0)), "Not Found")</f>
        <v/>
      </c>
      <c r="T14" s="21">
        <f>G14</f>
        <v/>
      </c>
      <c r="U14" s="33">
        <f t="array" ref="U14">IFERROR(
   IF(
      INDEX(Load_Booking_Report!AM:AM,
             MATCH(TRUE,
                     ISNUMBER(FIND(SUBSTITUTE(C14," ",""),
                                    Load_Booking_Report!AL:AL)),
                     0)
      )=0,
      "",
      INDEX(Load_Booking_Report!AM:AM,
             MATCH(TRUE,
                     ISNUMBER(FIND(SUBSTITUTE(C14," ",""),
                                    Load_Booking_Report!AL:AL)),
                     0)
      )
   ),
   ""
)</f>
        <v/>
      </c>
      <c r="V14" s="21">
        <f t="array" ref="V14">IFERROR(
   IF(
      INDEX(Load_Booking_Report!AR:AR,
             MATCH(TRUE,
                     ISNUMBER(FIND(SUBSTITUTE(C14," ",""),
                                    Load_Booking_Report!AL:AL)),
                     0)
      )=0,
      "",
      INDEX(Load_Booking_Report!AR:AR,
             MATCH(TRUE,
                     ISNUMBER(FIND(SUBSTITUTE(C14," ",""),
                                    Load_Booking_Report!AL:AL)),
                     0)
      )
   ),
   ""
)</f>
        <v/>
      </c>
      <c r="W14" s="21">
        <f t="array" ref="W14">IFERROR(INDEX(Load_Booking_Report!F:F, MATCH(TRUE, ISNUMBER(FIND(SUBSTITUTE(C14," ",""), Load_Booking_Report!AL:AL)), 0)), "Not Found")</f>
        <v/>
      </c>
      <c r="X14" s="21">
        <f t="array" ref="X14">IFERROR(INDEX(Load_Booking_Report!N:N, MATCH(TRUE, ISNUMBER(FIND(SUBSTITUTE(C14," ",""), Load_Booking_Report!AL:AL)), 0)), "Not Found")</f>
        <v/>
      </c>
      <c r="Y14" s="21">
        <f t="array" ref="Y14">IFERROR(INDEX(Load_Booking_Report!V:V, MATCH(TRUE, ISNUMBER(FIND(SUBSTITUTE(C14," ",""), Load_Booking_Report!AL:AL)), 0)), "Not Found")</f>
        <v/>
      </c>
      <c r="Z14" s="41">
        <f t="array" ref="Z14">IFERROR(INDEX(Load_Booking_Report!BC:BC, MATCH(TRUE, ISNUMBER(FIND(SUBSTITUTE(C14," ",""), Load_Booking_Report!AL:AL)), 0)), "Not Found")</f>
        <v/>
      </c>
    </row>
    <row r="15">
      <c r="A15" t="n">
        <v>27</v>
      </c>
      <c r="B15" t="n">
        <v>270502</v>
      </c>
      <c r="C15" t="inlineStr">
        <is>
          <t>ANON0000000</t>
        </is>
      </c>
      <c r="D15" t="n">
        <v>20</v>
      </c>
      <c r="E15" t="inlineStr">
        <is>
          <t>USNYC</t>
        </is>
      </c>
      <c r="F15" t="inlineStr">
        <is>
          <t>RULED</t>
        </is>
      </c>
      <c r="G15" t="n">
        <v>27020</v>
      </c>
      <c r="H15" t="inlineStr">
        <is>
          <t>ART</t>
        </is>
      </c>
      <c r="I15" t="inlineStr">
        <is>
          <t>22G1</t>
        </is>
      </c>
      <c r="L15" t="inlineStr">
        <is>
          <t>8'6</t>
        </is>
      </c>
      <c r="M15" t="inlineStr">
        <is>
          <t>Full</t>
        </is>
      </c>
      <c r="N15" t="inlineStr">
        <is>
          <t>RULED</t>
        </is>
      </c>
      <c r="P15" s="21">
        <f>C15</f>
        <v/>
      </c>
      <c r="Q15" s="21">
        <f t="array" ref="Q15">IFERROR(INDEX(Load_Booking_Report!AC:AC, MATCH(TRUE, ISNUMBER(FIND(SUBSTITUTE(C15," ",""), Load_Booking_Report!AL:AL)), 0)), "Not Found")</f>
        <v/>
      </c>
      <c r="R15" s="21">
        <f t="array" ref="R15">IFERROR(INDEX(Load_Booking_Report!C:C, MATCH(TRUE, ISNUMBER(FIND(SUBSTITUTE(C15," ",""), Load_Booking_Report!AL:AL)), 0)), "Not Found")</f>
        <v/>
      </c>
      <c r="S15" s="21">
        <f t="array" ref="S15">IFERROR(INDEX(Load_Booking_Report!AG:AG, MATCH(TRUE, ISNUMBER(FIND(SUBSTITUTE(C15," ",""), Load_Booking_Report!AL:AL)), 0)), "Not Found")</f>
        <v/>
      </c>
      <c r="T15" s="21">
        <f>G15</f>
        <v/>
      </c>
      <c r="U15" s="33">
        <f t="array" ref="U15">IFERROR(
   IF(
      INDEX(Load_Booking_Report!AM:AM,
             MATCH(TRUE,
                     ISNUMBER(FIND(SUBSTITUTE(C15," ",""),
                                    Load_Booking_Report!AL:AL)),
                     0)
      )=0,
      "",
      INDEX(Load_Booking_Report!AM:AM,
             MATCH(TRUE,
                     ISNUMBER(FIND(SUBSTITUTE(C15," ",""),
                                    Load_Booking_Report!AL:AL)),
                     0)
      )
   ),
   ""
)</f>
        <v/>
      </c>
      <c r="V15" s="21">
        <f t="array" ref="V15">IFERROR(
   IF(
      INDEX(Load_Booking_Report!AR:AR,
             MATCH(TRUE,
                     ISNUMBER(FIND(SUBSTITUTE(C15," ",""),
                                    Load_Booking_Report!AL:AL)),
                     0)
      )=0,
      "",
      INDEX(Load_Booking_Report!AR:AR,
             MATCH(TRUE,
                     ISNUMBER(FIND(SUBSTITUTE(C15," ",""),
                                    Load_Booking_Report!AL:AL)),
                     0)
      )
   ),
   ""
)</f>
        <v/>
      </c>
      <c r="W15" s="21">
        <f t="array" ref="W15">IFERROR(INDEX(Load_Booking_Report!F:F, MATCH(TRUE, ISNUMBER(FIND(SUBSTITUTE(C15," ",""), Load_Booking_Report!AL:AL)), 0)), "Not Found")</f>
        <v/>
      </c>
      <c r="X15" s="21">
        <f t="array" ref="X15">IFERROR(INDEX(Load_Booking_Report!N:N, MATCH(TRUE, ISNUMBER(FIND(SUBSTITUTE(C15," ",""), Load_Booking_Report!AL:AL)), 0)), "Not Found")</f>
        <v/>
      </c>
      <c r="Y15" s="21">
        <f t="array" ref="Y15">IFERROR(INDEX(Load_Booking_Report!V:V, MATCH(TRUE, ISNUMBER(FIND(SUBSTITUTE(C15," ",""), Load_Booking_Report!AL:AL)), 0)), "Not Found")</f>
        <v/>
      </c>
      <c r="Z15" s="41">
        <f t="array" ref="Z15">IFERROR(INDEX(Load_Booking_Report!BC:BC, MATCH(TRUE, ISNUMBER(FIND(SUBSTITUTE(C15," ",""), Load_Booking_Report!AL:AL)), 0)), "Not Found")</f>
        <v/>
      </c>
    </row>
    <row r="16">
      <c r="A16" t="n">
        <v>29</v>
      </c>
      <c r="B16" t="n">
        <v>290604</v>
      </c>
      <c r="C16" t="inlineStr">
        <is>
          <t>ANON0000000</t>
        </is>
      </c>
      <c r="D16" t="n">
        <v>20</v>
      </c>
      <c r="E16" t="inlineStr">
        <is>
          <t>USNFK</t>
        </is>
      </c>
      <c r="F16" t="inlineStr">
        <is>
          <t>RULED</t>
        </is>
      </c>
      <c r="G16" t="n">
        <v>28210</v>
      </c>
      <c r="H16" t="inlineStr">
        <is>
          <t>ART</t>
        </is>
      </c>
      <c r="I16" t="inlineStr">
        <is>
          <t>22G1</t>
        </is>
      </c>
      <c r="L16" t="inlineStr">
        <is>
          <t>OOG</t>
        </is>
      </c>
      <c r="M16" t="inlineStr">
        <is>
          <t>Full</t>
        </is>
      </c>
      <c r="N16" t="inlineStr">
        <is>
          <t>RULED</t>
        </is>
      </c>
      <c r="P16" s="21">
        <f>C16</f>
        <v/>
      </c>
      <c r="Q16" s="21">
        <f t="array" ref="Q16">IFERROR(INDEX(Load_Booking_Report!AC:AC, MATCH(TRUE, ISNUMBER(FIND(SUBSTITUTE(C16," ",""), Load_Booking_Report!AL:AL)), 0)), "Not Found")</f>
        <v/>
      </c>
      <c r="R16" s="21">
        <f t="array" ref="R16">IFERROR(INDEX(Load_Booking_Report!C:C, MATCH(TRUE, ISNUMBER(FIND(SUBSTITUTE(C16," ",""), Load_Booking_Report!AL:AL)), 0)), "Not Found")</f>
        <v/>
      </c>
      <c r="S16" s="21">
        <f t="array" ref="S16">IFERROR(INDEX(Load_Booking_Report!AG:AG, MATCH(TRUE, ISNUMBER(FIND(SUBSTITUTE(C16," ",""), Load_Booking_Report!AL:AL)), 0)), "Not Found")</f>
        <v/>
      </c>
      <c r="T16" s="21">
        <f>G16</f>
        <v/>
      </c>
      <c r="U16" s="33">
        <f t="array" ref="U16">IFERROR(
   IF(
      INDEX(Load_Booking_Report!AM:AM,
             MATCH(TRUE,
                     ISNUMBER(FIND(SUBSTITUTE(C16," ",""),
                                    Load_Booking_Report!AL:AL)),
                     0)
      )=0,
      "",
      INDEX(Load_Booking_Report!AM:AM,
             MATCH(TRUE,
                     ISNUMBER(FIND(SUBSTITUTE(C16," ",""),
                                    Load_Booking_Report!AL:AL)),
                     0)
      )
   ),
   ""
)</f>
        <v/>
      </c>
      <c r="V16" s="21">
        <f t="array" ref="V16">IFERROR(
   IF(
      INDEX(Load_Booking_Report!AR:AR,
             MATCH(TRUE,
                     ISNUMBER(FIND(SUBSTITUTE(C16," ",""),
                                    Load_Booking_Report!AL:AL)),
                     0)
      )=0,
      "",
      INDEX(Load_Booking_Report!AR:AR,
             MATCH(TRUE,
                     ISNUMBER(FIND(SUBSTITUTE(C16," ",""),
                                    Load_Booking_Report!AL:AL)),
                     0)
      )
   ),
   ""
)</f>
        <v/>
      </c>
      <c r="W16" s="21">
        <f t="array" ref="W16">IFERROR(INDEX(Load_Booking_Report!F:F, MATCH(TRUE, ISNUMBER(FIND(SUBSTITUTE(C16," ",""), Load_Booking_Report!AL:AL)), 0)), "Not Found")</f>
        <v/>
      </c>
      <c r="X16" s="21">
        <f t="array" ref="X16">IFERROR(INDEX(Load_Booking_Report!N:N, MATCH(TRUE, ISNUMBER(FIND(SUBSTITUTE(C16," ",""), Load_Booking_Report!AL:AL)), 0)), "Not Found")</f>
        <v/>
      </c>
      <c r="Y16" s="21">
        <f t="array" ref="Y16">IFERROR(INDEX(Load_Booking_Report!V:V, MATCH(TRUE, ISNUMBER(FIND(SUBSTITUTE(C16," ",""), Load_Booking_Report!AL:AL)), 0)), "Not Found")</f>
        <v/>
      </c>
      <c r="Z16" s="41">
        <f t="array" ref="Z16">IFERROR(INDEX(Load_Booking_Report!BC:BC, MATCH(TRUE, ISNUMBER(FIND(SUBSTITUTE(C16," ",""), Load_Booking_Report!AL:AL)), 0)), "Not Found")</f>
        <v/>
      </c>
    </row>
    <row r="17">
      <c r="A17" t="n">
        <v>27</v>
      </c>
      <c r="B17" t="n">
        <v>270404</v>
      </c>
      <c r="C17" t="inlineStr">
        <is>
          <t>ANON0000000</t>
        </is>
      </c>
      <c r="D17" t="n">
        <v>20</v>
      </c>
      <c r="E17" t="inlineStr">
        <is>
          <t>USNYC</t>
        </is>
      </c>
      <c r="F17" t="inlineStr">
        <is>
          <t>RULED</t>
        </is>
      </c>
      <c r="G17" t="n">
        <v>27060</v>
      </c>
      <c r="H17" t="inlineStr">
        <is>
          <t>ART</t>
        </is>
      </c>
      <c r="I17" t="inlineStr">
        <is>
          <t>22G1</t>
        </is>
      </c>
      <c r="L17" t="inlineStr">
        <is>
          <t>8'6</t>
        </is>
      </c>
      <c r="M17" t="inlineStr">
        <is>
          <t>Full</t>
        </is>
      </c>
      <c r="N17" t="inlineStr">
        <is>
          <t>RULED</t>
        </is>
      </c>
      <c r="P17" s="21">
        <f>C17</f>
        <v/>
      </c>
      <c r="Q17" s="21">
        <f t="array" ref="Q17">IFERROR(INDEX(Load_Booking_Report!AC:AC, MATCH(TRUE, ISNUMBER(FIND(SUBSTITUTE(C17," ",""), Load_Booking_Report!AL:AL)), 0)), "Not Found")</f>
        <v/>
      </c>
      <c r="R17" s="21">
        <f t="array" ref="R17">IFERROR(INDEX(Load_Booking_Report!C:C, MATCH(TRUE, ISNUMBER(FIND(SUBSTITUTE(C17," ",""), Load_Booking_Report!AL:AL)), 0)), "Not Found")</f>
        <v/>
      </c>
      <c r="S17" s="21">
        <f t="array" ref="S17">IFERROR(INDEX(Load_Booking_Report!AG:AG, MATCH(TRUE, ISNUMBER(FIND(SUBSTITUTE(C17," ",""), Load_Booking_Report!AL:AL)), 0)), "Not Found")</f>
        <v/>
      </c>
      <c r="T17" s="21">
        <f>G17</f>
        <v/>
      </c>
      <c r="U17" s="33">
        <f t="array" ref="U17">IFERROR(
   IF(
      INDEX(Load_Booking_Report!AM:AM,
             MATCH(TRUE,
                     ISNUMBER(FIND(SUBSTITUTE(C17," ",""),
                                    Load_Booking_Report!AL:AL)),
                     0)
      )=0,
      "",
      INDEX(Load_Booking_Report!AM:AM,
             MATCH(TRUE,
                     ISNUMBER(FIND(SUBSTITUTE(C17," ",""),
                                    Load_Booking_Report!AL:AL)),
                     0)
      )
   ),
   ""
)</f>
        <v/>
      </c>
      <c r="V17" s="21">
        <f t="array" ref="V17">IFERROR(
   IF(
      INDEX(Load_Booking_Report!AR:AR,
             MATCH(TRUE,
                     ISNUMBER(FIND(SUBSTITUTE(C17," ",""),
                                    Load_Booking_Report!AL:AL)),
                     0)
      )=0,
      "",
      INDEX(Load_Booking_Report!AR:AR,
             MATCH(TRUE,
                     ISNUMBER(FIND(SUBSTITUTE(C17," ",""),
                                    Load_Booking_Report!AL:AL)),
                     0)
      )
   ),
   ""
)</f>
        <v/>
      </c>
      <c r="W17" s="21">
        <f t="array" ref="W17">IFERROR(INDEX(Load_Booking_Report!F:F, MATCH(TRUE, ISNUMBER(FIND(SUBSTITUTE(C17," ",""), Load_Booking_Report!AL:AL)), 0)), "Not Found")</f>
        <v/>
      </c>
      <c r="X17" s="21">
        <f t="array" ref="X17">IFERROR(INDEX(Load_Booking_Report!N:N, MATCH(TRUE, ISNUMBER(FIND(SUBSTITUTE(C17," ",""), Load_Booking_Report!AL:AL)), 0)), "Not Found")</f>
        <v/>
      </c>
      <c r="Y17" s="21">
        <f t="array" ref="Y17">IFERROR(INDEX(Load_Booking_Report!V:V, MATCH(TRUE, ISNUMBER(FIND(SUBSTITUTE(C17," ",""), Load_Booking_Report!AL:AL)), 0)), "Not Found")</f>
        <v/>
      </c>
      <c r="Z17" s="41">
        <f t="array" ref="Z17">IFERROR(INDEX(Load_Booking_Report!BC:BC, MATCH(TRUE, ISNUMBER(FIND(SUBSTITUTE(C17," ",""), Load_Booking_Report!AL:AL)), 0)), "Not Found")</f>
        <v/>
      </c>
    </row>
    <row r="18">
      <c r="A18" t="n">
        <v>19</v>
      </c>
      <c r="B18" t="n">
        <v>190402</v>
      </c>
      <c r="C18" t="inlineStr">
        <is>
          <t>ANON0000000</t>
        </is>
      </c>
      <c r="D18" t="n">
        <v>20</v>
      </c>
      <c r="E18" t="inlineStr">
        <is>
          <t>USNFK</t>
        </is>
      </c>
      <c r="F18" t="inlineStr">
        <is>
          <t>RULED</t>
        </is>
      </c>
      <c r="G18" t="n">
        <v>27230</v>
      </c>
      <c r="H18" t="inlineStr">
        <is>
          <t>ART</t>
        </is>
      </c>
      <c r="I18" t="inlineStr">
        <is>
          <t>22G1</t>
        </is>
      </c>
      <c r="L18" t="inlineStr">
        <is>
          <t>OOG</t>
        </is>
      </c>
      <c r="M18" t="inlineStr">
        <is>
          <t>Full</t>
        </is>
      </c>
      <c r="N18" t="inlineStr">
        <is>
          <t>RULED</t>
        </is>
      </c>
      <c r="P18" s="21">
        <f>C18</f>
        <v/>
      </c>
      <c r="Q18" s="21">
        <f t="array" ref="Q18">IFERROR(INDEX(Load_Booking_Report!AC:AC, MATCH(TRUE, ISNUMBER(FIND(SUBSTITUTE(C18," ",""), Load_Booking_Report!AL:AL)), 0)), "Not Found")</f>
        <v/>
      </c>
      <c r="R18" s="21">
        <f t="array" ref="R18">IFERROR(INDEX(Load_Booking_Report!C:C, MATCH(TRUE, ISNUMBER(FIND(SUBSTITUTE(C18," ",""), Load_Booking_Report!AL:AL)), 0)), "Not Found")</f>
        <v/>
      </c>
      <c r="S18" s="21">
        <f t="array" ref="S18">IFERROR(INDEX(Load_Booking_Report!AG:AG, MATCH(TRUE, ISNUMBER(FIND(SUBSTITUTE(C18," ",""), Load_Booking_Report!AL:AL)), 0)), "Not Found")</f>
        <v/>
      </c>
      <c r="T18" s="21">
        <f>G18</f>
        <v/>
      </c>
      <c r="U18" s="33">
        <f t="array" ref="U18">IFERROR(
   IF(
      INDEX(Load_Booking_Report!AM:AM,
             MATCH(TRUE,
                     ISNUMBER(FIND(SUBSTITUTE(C18," ",""),
                                    Load_Booking_Report!AL:AL)),
                     0)
      )=0,
      "",
      INDEX(Load_Booking_Report!AM:AM,
             MATCH(TRUE,
                     ISNUMBER(FIND(SUBSTITUTE(C18," ",""),
                                    Load_Booking_Report!AL:AL)),
                     0)
      )
   ),
   ""
)</f>
        <v/>
      </c>
      <c r="V18" s="21">
        <f t="array" ref="V18">IFERROR(
   IF(
      INDEX(Load_Booking_Report!AR:AR,
             MATCH(TRUE,
                     ISNUMBER(FIND(SUBSTITUTE(C18," ",""),
                                    Load_Booking_Report!AL:AL)),
                     0)
      )=0,
      "",
      INDEX(Load_Booking_Report!AR:AR,
             MATCH(TRUE,
                     ISNUMBER(FIND(SUBSTITUTE(C18," ",""),
                                    Load_Booking_Report!AL:AL)),
                     0)
      )
   ),
   ""
)</f>
        <v/>
      </c>
      <c r="W18" s="21">
        <f t="array" ref="W18">IFERROR(INDEX(Load_Booking_Report!F:F, MATCH(TRUE, ISNUMBER(FIND(SUBSTITUTE(C18," ",""), Load_Booking_Report!AL:AL)), 0)), "Not Found")</f>
        <v/>
      </c>
      <c r="X18" s="21">
        <f t="array" ref="X18">IFERROR(INDEX(Load_Booking_Report!N:N, MATCH(TRUE, ISNUMBER(FIND(SUBSTITUTE(C18," ",""), Load_Booking_Report!AL:AL)), 0)), "Not Found")</f>
        <v/>
      </c>
      <c r="Y18" s="21">
        <f t="array" ref="Y18">IFERROR(INDEX(Load_Booking_Report!V:V, MATCH(TRUE, ISNUMBER(FIND(SUBSTITUTE(C18," ",""), Load_Booking_Report!AL:AL)), 0)), "Not Found")</f>
        <v/>
      </c>
      <c r="Z18" s="41">
        <f t="array" ref="Z18">IFERROR(INDEX(Load_Booking_Report!BC:BC, MATCH(TRUE, ISNUMBER(FIND(SUBSTITUTE(C18," ",""), Load_Booking_Report!AL:AL)), 0)), "Not Found")</f>
        <v/>
      </c>
    </row>
    <row r="19">
      <c r="A19" t="n">
        <v>19</v>
      </c>
      <c r="B19" t="n">
        <v>190102</v>
      </c>
      <c r="C19" t="inlineStr">
        <is>
          <t>ANON0000000</t>
        </is>
      </c>
      <c r="D19" t="n">
        <v>20</v>
      </c>
      <c r="E19" t="inlineStr">
        <is>
          <t>USNFK</t>
        </is>
      </c>
      <c r="F19" t="inlineStr">
        <is>
          <t>RULED</t>
        </is>
      </c>
      <c r="G19" t="n">
        <v>27090</v>
      </c>
      <c r="H19" t="inlineStr">
        <is>
          <t>ART</t>
        </is>
      </c>
      <c r="I19" t="inlineStr">
        <is>
          <t>22G1</t>
        </is>
      </c>
      <c r="L19" t="inlineStr">
        <is>
          <t>OOG</t>
        </is>
      </c>
      <c r="M19" t="inlineStr">
        <is>
          <t>Full</t>
        </is>
      </c>
      <c r="N19" t="inlineStr">
        <is>
          <t>RULED</t>
        </is>
      </c>
      <c r="P19" s="21">
        <f>C19</f>
        <v/>
      </c>
      <c r="Q19" s="21">
        <f t="array" ref="Q19">IFERROR(INDEX(Load_Booking_Report!AC:AC, MATCH(TRUE, ISNUMBER(FIND(SUBSTITUTE(C19," ",""), Load_Booking_Report!AL:AL)), 0)), "Not Found")</f>
        <v/>
      </c>
      <c r="R19" s="21">
        <f t="array" ref="R19">IFERROR(INDEX(Load_Booking_Report!C:C, MATCH(TRUE, ISNUMBER(FIND(SUBSTITUTE(C19," ",""), Load_Booking_Report!AL:AL)), 0)), "Not Found")</f>
        <v/>
      </c>
      <c r="S19" s="21">
        <f t="array" ref="S19">IFERROR(INDEX(Load_Booking_Report!AG:AG, MATCH(TRUE, ISNUMBER(FIND(SUBSTITUTE(C19," ",""), Load_Booking_Report!AL:AL)), 0)), "Not Found")</f>
        <v/>
      </c>
      <c r="T19" s="21">
        <f>G19</f>
        <v/>
      </c>
      <c r="U19" s="33">
        <f t="array" ref="U19">IFERROR(
   IF(
      INDEX(Load_Booking_Report!AM:AM,
             MATCH(TRUE,
                     ISNUMBER(FIND(SUBSTITUTE(C19," ",""),
                                    Load_Booking_Report!AL:AL)),
                     0)
      )=0,
      "",
      INDEX(Load_Booking_Report!AM:AM,
             MATCH(TRUE,
                     ISNUMBER(FIND(SUBSTITUTE(C19," ",""),
                                    Load_Booking_Report!AL:AL)),
                     0)
      )
   ),
   ""
)</f>
        <v/>
      </c>
      <c r="V19" s="21">
        <f t="array" ref="V19">IFERROR(
   IF(
      INDEX(Load_Booking_Report!AR:AR,
             MATCH(TRUE,
                     ISNUMBER(FIND(SUBSTITUTE(C19," ",""),
                                    Load_Booking_Report!AL:AL)),
                     0)
      )=0,
      "",
      INDEX(Load_Booking_Report!AR:AR,
             MATCH(TRUE,
                     ISNUMBER(FIND(SUBSTITUTE(C19," ",""),
                                    Load_Booking_Report!AL:AL)),
                     0)
      )
   ),
   ""
)</f>
        <v/>
      </c>
      <c r="W19" s="21">
        <f t="array" ref="W19">IFERROR(INDEX(Load_Booking_Report!F:F, MATCH(TRUE, ISNUMBER(FIND(SUBSTITUTE(C19," ",""), Load_Booking_Report!AL:AL)), 0)), "Not Found")</f>
        <v/>
      </c>
      <c r="X19" s="21">
        <f t="array" ref="X19">IFERROR(INDEX(Load_Booking_Report!N:N, MATCH(TRUE, ISNUMBER(FIND(SUBSTITUTE(C19," ",""), Load_Booking_Report!AL:AL)), 0)), "Not Found")</f>
        <v/>
      </c>
      <c r="Y19" s="21">
        <f t="array" ref="Y19">IFERROR(INDEX(Load_Booking_Report!V:V, MATCH(TRUE, ISNUMBER(FIND(SUBSTITUTE(C19," ",""), Load_Booking_Report!AL:AL)), 0)), "Not Found")</f>
        <v/>
      </c>
      <c r="Z19" s="41">
        <f t="array" ref="Z19">IFERROR(INDEX(Load_Booking_Report!BC:BC, MATCH(TRUE, ISNUMBER(FIND(SUBSTITUTE(C19," ",""), Load_Booking_Report!AL:AL)), 0)), "Not Found")</f>
        <v/>
      </c>
    </row>
    <row r="20">
      <c r="A20" t="n">
        <v>31</v>
      </c>
      <c r="B20" t="n">
        <v>310204</v>
      </c>
      <c r="C20" t="inlineStr">
        <is>
          <t>ANON0000000</t>
        </is>
      </c>
      <c r="D20" t="n">
        <v>20</v>
      </c>
      <c r="E20" t="inlineStr">
        <is>
          <t>USNFK</t>
        </is>
      </c>
      <c r="F20" t="inlineStr">
        <is>
          <t>RULED</t>
        </is>
      </c>
      <c r="G20" t="n">
        <v>27690</v>
      </c>
      <c r="H20" t="inlineStr">
        <is>
          <t>ART</t>
        </is>
      </c>
      <c r="I20" t="inlineStr">
        <is>
          <t>22G1</t>
        </is>
      </c>
      <c r="L20" t="inlineStr">
        <is>
          <t>OOG</t>
        </is>
      </c>
      <c r="M20" t="inlineStr">
        <is>
          <t>Full</t>
        </is>
      </c>
      <c r="N20" t="inlineStr">
        <is>
          <t>RULED</t>
        </is>
      </c>
      <c r="P20" s="21">
        <f>C20</f>
        <v/>
      </c>
      <c r="Q20" s="21">
        <f t="array" ref="Q20">IFERROR(INDEX(Load_Booking_Report!AC:AC, MATCH(TRUE, ISNUMBER(FIND(SUBSTITUTE(C20," ",""), Load_Booking_Report!AL:AL)), 0)), "Not Found")</f>
        <v/>
      </c>
      <c r="R20" s="21">
        <f t="array" ref="R20">IFERROR(INDEX(Load_Booking_Report!C:C, MATCH(TRUE, ISNUMBER(FIND(SUBSTITUTE(C20," ",""), Load_Booking_Report!AL:AL)), 0)), "Not Found")</f>
        <v/>
      </c>
      <c r="S20" s="21">
        <f t="array" ref="S20">IFERROR(INDEX(Load_Booking_Report!AG:AG, MATCH(TRUE, ISNUMBER(FIND(SUBSTITUTE(C20," ",""), Load_Booking_Report!AL:AL)), 0)), "Not Found")</f>
        <v/>
      </c>
      <c r="T20" s="21">
        <f>G20</f>
        <v/>
      </c>
      <c r="U20" s="33">
        <f t="array" ref="U20">IFERROR(
   IF(
      INDEX(Load_Booking_Report!AM:AM,
             MATCH(TRUE,
                     ISNUMBER(FIND(SUBSTITUTE(C20," ",""),
                                    Load_Booking_Report!AL:AL)),
                     0)
      )=0,
      "",
      INDEX(Load_Booking_Report!AM:AM,
             MATCH(TRUE,
                     ISNUMBER(FIND(SUBSTITUTE(C20," ",""),
                                    Load_Booking_Report!AL:AL)),
                     0)
      )
   ),
   ""
)</f>
        <v/>
      </c>
      <c r="V20" s="21">
        <f t="array" ref="V20">IFERROR(
   IF(
      INDEX(Load_Booking_Report!AR:AR,
             MATCH(TRUE,
                     ISNUMBER(FIND(SUBSTITUTE(C20," ",""),
                                    Load_Booking_Report!AL:AL)),
                     0)
      )=0,
      "",
      INDEX(Load_Booking_Report!AR:AR,
             MATCH(TRUE,
                     ISNUMBER(FIND(SUBSTITUTE(C20," ",""),
                                    Load_Booking_Report!AL:AL)),
                     0)
      )
   ),
   ""
)</f>
        <v/>
      </c>
      <c r="W20" s="21">
        <f t="array" ref="W20">IFERROR(INDEX(Load_Booking_Report!F:F, MATCH(TRUE, ISNUMBER(FIND(SUBSTITUTE(C20," ",""), Load_Booking_Report!AL:AL)), 0)), "Not Found")</f>
        <v/>
      </c>
      <c r="X20" s="21">
        <f t="array" ref="X20">IFERROR(INDEX(Load_Booking_Report!N:N, MATCH(TRUE, ISNUMBER(FIND(SUBSTITUTE(C20," ",""), Load_Booking_Report!AL:AL)), 0)), "Not Found")</f>
        <v/>
      </c>
      <c r="Y20" s="21">
        <f t="array" ref="Y20">IFERROR(INDEX(Load_Booking_Report!V:V, MATCH(TRUE, ISNUMBER(FIND(SUBSTITUTE(C20," ",""), Load_Booking_Report!AL:AL)), 0)), "Not Found")</f>
        <v/>
      </c>
      <c r="Z20" s="41">
        <f t="array" ref="Z20">IFERROR(INDEX(Load_Booking_Report!BC:BC, MATCH(TRUE, ISNUMBER(FIND(SUBSTITUTE(C20," ",""), Load_Booking_Report!AL:AL)), 0)), "Not Found")</f>
        <v/>
      </c>
    </row>
    <row r="21">
      <c r="A21" t="n">
        <v>11</v>
      </c>
      <c r="B21" t="n">
        <v>110104</v>
      </c>
      <c r="C21" t="inlineStr">
        <is>
          <t>ANON0000000</t>
        </is>
      </c>
      <c r="D21" t="n">
        <v>20</v>
      </c>
      <c r="E21" t="inlineStr">
        <is>
          <t>USNFK</t>
        </is>
      </c>
      <c r="F21" t="inlineStr">
        <is>
          <t>RULED</t>
        </is>
      </c>
      <c r="G21" t="n">
        <v>28250</v>
      </c>
      <c r="H21" t="inlineStr">
        <is>
          <t>ART</t>
        </is>
      </c>
      <c r="I21" t="inlineStr">
        <is>
          <t>22G1</t>
        </is>
      </c>
      <c r="L21" t="inlineStr">
        <is>
          <t>8'6</t>
        </is>
      </c>
      <c r="M21" t="inlineStr">
        <is>
          <t>Full</t>
        </is>
      </c>
      <c r="N21" t="inlineStr">
        <is>
          <t>RULED</t>
        </is>
      </c>
      <c r="P21" s="21">
        <f>C21</f>
        <v/>
      </c>
      <c r="Q21" s="21">
        <f t="array" ref="Q21">IFERROR(INDEX(Load_Booking_Report!AC:AC, MATCH(TRUE, ISNUMBER(FIND(SUBSTITUTE(C21," ",""), Load_Booking_Report!AL:AL)), 0)), "Not Found")</f>
        <v/>
      </c>
      <c r="R21" s="21">
        <f t="array" ref="R21">IFERROR(INDEX(Load_Booking_Report!C:C, MATCH(TRUE, ISNUMBER(FIND(SUBSTITUTE(C21," ",""), Load_Booking_Report!AL:AL)), 0)), "Not Found")</f>
        <v/>
      </c>
      <c r="S21" s="21">
        <f t="array" ref="S21">IFERROR(INDEX(Load_Booking_Report!AG:AG, MATCH(TRUE, ISNUMBER(FIND(SUBSTITUTE(C21," ",""), Load_Booking_Report!AL:AL)), 0)), "Not Found")</f>
        <v/>
      </c>
      <c r="T21" s="21">
        <f>G21</f>
        <v/>
      </c>
      <c r="U21" s="33">
        <f t="array" ref="U21">IFERROR(
   IF(
      INDEX(Load_Booking_Report!AM:AM,
             MATCH(TRUE,
                     ISNUMBER(FIND(SUBSTITUTE(C21," ",""),
                                    Load_Booking_Report!AL:AL)),
                     0)
      )=0,
      "",
      INDEX(Load_Booking_Report!AM:AM,
             MATCH(TRUE,
                     ISNUMBER(FIND(SUBSTITUTE(C21," ",""),
                                    Load_Booking_Report!AL:AL)),
                     0)
      )
   ),
   ""
)</f>
        <v/>
      </c>
      <c r="V21" s="21">
        <f t="array" ref="V21">IFERROR(
   IF(
      INDEX(Load_Booking_Report!AR:AR,
             MATCH(TRUE,
                     ISNUMBER(FIND(SUBSTITUTE(C21," ",""),
                                    Load_Booking_Report!AL:AL)),
                     0)
      )=0,
      "",
      INDEX(Load_Booking_Report!AR:AR,
             MATCH(TRUE,
                     ISNUMBER(FIND(SUBSTITUTE(C21," ",""),
                                    Load_Booking_Report!AL:AL)),
                     0)
      )
   ),
   ""
)</f>
        <v/>
      </c>
      <c r="W21" s="21">
        <f t="array" ref="W21">IFERROR(INDEX(Load_Booking_Report!F:F, MATCH(TRUE, ISNUMBER(FIND(SUBSTITUTE(C21," ",""), Load_Booking_Report!AL:AL)), 0)), "Not Found")</f>
        <v/>
      </c>
      <c r="X21" s="21">
        <f t="array" ref="X21">IFERROR(INDEX(Load_Booking_Report!N:N, MATCH(TRUE, ISNUMBER(FIND(SUBSTITUTE(C21," ",""), Load_Booking_Report!AL:AL)), 0)), "Not Found")</f>
        <v/>
      </c>
      <c r="Y21" s="21">
        <f t="array" ref="Y21">IFERROR(INDEX(Load_Booking_Report!V:V, MATCH(TRUE, ISNUMBER(FIND(SUBSTITUTE(C21," ",""), Load_Booking_Report!AL:AL)), 0)), "Not Found")</f>
        <v/>
      </c>
      <c r="Z21" s="41">
        <f t="array" ref="Z21">IFERROR(INDEX(Load_Booking_Report!BC:BC, MATCH(TRUE, ISNUMBER(FIND(SUBSTITUTE(C21," ",""), Load_Booking_Report!AL:AL)), 0)), "Not Found")</f>
        <v/>
      </c>
    </row>
    <row r="22">
      <c r="A22" t="n">
        <v>35</v>
      </c>
      <c r="B22" t="n">
        <v>350202</v>
      </c>
      <c r="C22" t="inlineStr">
        <is>
          <t>ANON0000000</t>
        </is>
      </c>
      <c r="D22" t="n">
        <v>20</v>
      </c>
      <c r="E22" t="inlineStr">
        <is>
          <t>USNYC</t>
        </is>
      </c>
      <c r="F22" t="inlineStr">
        <is>
          <t>RULED</t>
        </is>
      </c>
      <c r="G22" t="n">
        <v>27220</v>
      </c>
      <c r="H22" t="inlineStr">
        <is>
          <t>ART</t>
        </is>
      </c>
      <c r="I22" t="inlineStr">
        <is>
          <t>22G1</t>
        </is>
      </c>
      <c r="L22" t="inlineStr">
        <is>
          <t>8'6</t>
        </is>
      </c>
      <c r="M22" t="inlineStr">
        <is>
          <t>Full</t>
        </is>
      </c>
      <c r="N22" t="inlineStr">
        <is>
          <t>RULED</t>
        </is>
      </c>
      <c r="P22" s="21">
        <f>C22</f>
        <v/>
      </c>
      <c r="Q22" s="21">
        <f t="array" ref="Q22">IFERROR(INDEX(Load_Booking_Report!AC:AC, MATCH(TRUE, ISNUMBER(FIND(SUBSTITUTE(C22," ",""), Load_Booking_Report!AL:AL)), 0)), "Not Found")</f>
        <v/>
      </c>
      <c r="R22" s="21">
        <f t="array" ref="R22">IFERROR(INDEX(Load_Booking_Report!C:C, MATCH(TRUE, ISNUMBER(FIND(SUBSTITUTE(C22," ",""), Load_Booking_Report!AL:AL)), 0)), "Not Found")</f>
        <v/>
      </c>
      <c r="S22" s="21">
        <f t="array" ref="S22">IFERROR(INDEX(Load_Booking_Report!AG:AG, MATCH(TRUE, ISNUMBER(FIND(SUBSTITUTE(C22," ",""), Load_Booking_Report!AL:AL)), 0)), "Not Found")</f>
        <v/>
      </c>
      <c r="T22" s="21">
        <f>G22</f>
        <v/>
      </c>
      <c r="U22" s="33">
        <f t="array" ref="U22">IFERROR(
   IF(
      INDEX(Load_Booking_Report!AM:AM,
             MATCH(TRUE,
                     ISNUMBER(FIND(SUBSTITUTE(C22," ",""),
                                    Load_Booking_Report!AL:AL)),
                     0)
      )=0,
      "",
      INDEX(Load_Booking_Report!AM:AM,
             MATCH(TRUE,
                     ISNUMBER(FIND(SUBSTITUTE(C22," ",""),
                                    Load_Booking_Report!AL:AL)),
                     0)
      )
   ),
   ""
)</f>
        <v/>
      </c>
      <c r="V22" s="21">
        <f t="array" ref="V22">IFERROR(
   IF(
      INDEX(Load_Booking_Report!AR:AR,
             MATCH(TRUE,
                     ISNUMBER(FIND(SUBSTITUTE(C22," ",""),
                                    Load_Booking_Report!AL:AL)),
                     0)
      )=0,
      "",
      INDEX(Load_Booking_Report!AR:AR,
             MATCH(TRUE,
                     ISNUMBER(FIND(SUBSTITUTE(C22," ",""),
                                    Load_Booking_Report!AL:AL)),
                     0)
      )
   ),
   ""
)</f>
        <v/>
      </c>
      <c r="W22" s="21">
        <f t="array" ref="W22">IFERROR(INDEX(Load_Booking_Report!F:F, MATCH(TRUE, ISNUMBER(FIND(SUBSTITUTE(C22," ",""), Load_Booking_Report!AL:AL)), 0)), "Not Found")</f>
        <v/>
      </c>
      <c r="X22" s="21">
        <f t="array" ref="X22">IFERROR(INDEX(Load_Booking_Report!N:N, MATCH(TRUE, ISNUMBER(FIND(SUBSTITUTE(C22," ",""), Load_Booking_Report!AL:AL)), 0)), "Not Found")</f>
        <v/>
      </c>
      <c r="Y22" s="21">
        <f t="array" ref="Y22">IFERROR(INDEX(Load_Booking_Report!V:V, MATCH(TRUE, ISNUMBER(FIND(SUBSTITUTE(C22," ",""), Load_Booking_Report!AL:AL)), 0)), "Not Found")</f>
        <v/>
      </c>
      <c r="Z22" s="41">
        <f t="array" ref="Z22">IFERROR(INDEX(Load_Booking_Report!BC:BC, MATCH(TRUE, ISNUMBER(FIND(SUBSTITUTE(C22," ",""), Load_Booking_Report!AL:AL)), 0)), "Not Found")</f>
        <v/>
      </c>
    </row>
    <row r="23">
      <c r="A23" t="n">
        <v>27</v>
      </c>
      <c r="B23" t="n">
        <v>270204</v>
      </c>
      <c r="C23" t="inlineStr">
        <is>
          <t>ANON0000000</t>
        </is>
      </c>
      <c r="D23" t="n">
        <v>20</v>
      </c>
      <c r="E23" t="inlineStr">
        <is>
          <t>USNYC</t>
        </is>
      </c>
      <c r="F23" t="inlineStr">
        <is>
          <t>RULED</t>
        </is>
      </c>
      <c r="G23" t="n">
        <v>27220</v>
      </c>
      <c r="H23" t="inlineStr">
        <is>
          <t>ART</t>
        </is>
      </c>
      <c r="I23" t="inlineStr">
        <is>
          <t>22G1</t>
        </is>
      </c>
      <c r="L23" t="inlineStr">
        <is>
          <t>8'6</t>
        </is>
      </c>
      <c r="M23" t="inlineStr">
        <is>
          <t>Full</t>
        </is>
      </c>
      <c r="N23" t="inlineStr">
        <is>
          <t>RULED</t>
        </is>
      </c>
      <c r="P23" s="21">
        <f>C23</f>
        <v/>
      </c>
      <c r="Q23" s="21">
        <f t="array" ref="Q23">IFERROR(INDEX(Load_Booking_Report!AC:AC, MATCH(TRUE, ISNUMBER(FIND(SUBSTITUTE(C23," ",""), Load_Booking_Report!AL:AL)), 0)), "Not Found")</f>
        <v/>
      </c>
      <c r="R23" s="21">
        <f t="array" ref="R23">IFERROR(INDEX(Load_Booking_Report!C:C, MATCH(TRUE, ISNUMBER(FIND(SUBSTITUTE(C23," ",""), Load_Booking_Report!AL:AL)), 0)), "Not Found")</f>
        <v/>
      </c>
      <c r="S23" s="21">
        <f t="array" ref="S23">IFERROR(INDEX(Load_Booking_Report!AG:AG, MATCH(TRUE, ISNUMBER(FIND(SUBSTITUTE(C23," ",""), Load_Booking_Report!AL:AL)), 0)), "Not Found")</f>
        <v/>
      </c>
      <c r="T23" s="21">
        <f>G23</f>
        <v/>
      </c>
      <c r="U23" s="33">
        <f t="array" ref="U23">IFERROR(
   IF(
      INDEX(Load_Booking_Report!AM:AM,
             MATCH(TRUE,
                     ISNUMBER(FIND(SUBSTITUTE(C23," ",""),
                                    Load_Booking_Report!AL:AL)),
                     0)
      )=0,
      "",
      INDEX(Load_Booking_Report!AM:AM,
             MATCH(TRUE,
                     ISNUMBER(FIND(SUBSTITUTE(C23," ",""),
                                    Load_Booking_Report!AL:AL)),
                     0)
      )
   ),
   ""
)</f>
        <v/>
      </c>
      <c r="V23" s="21">
        <f t="array" ref="V23">IFERROR(
   IF(
      INDEX(Load_Booking_Report!AR:AR,
             MATCH(TRUE,
                     ISNUMBER(FIND(SUBSTITUTE(C23," ",""),
                                    Load_Booking_Report!AL:AL)),
                     0)
      )=0,
      "",
      INDEX(Load_Booking_Report!AR:AR,
             MATCH(TRUE,
                     ISNUMBER(FIND(SUBSTITUTE(C23," ",""),
                                    Load_Booking_Report!AL:AL)),
                     0)
      )
   ),
   ""
)</f>
        <v/>
      </c>
      <c r="W23" s="21">
        <f t="array" ref="W23">IFERROR(INDEX(Load_Booking_Report!F:F, MATCH(TRUE, ISNUMBER(FIND(SUBSTITUTE(C23," ",""), Load_Booking_Report!AL:AL)), 0)), "Not Found")</f>
        <v/>
      </c>
      <c r="X23" s="21">
        <f t="array" ref="X23">IFERROR(INDEX(Load_Booking_Report!N:N, MATCH(TRUE, ISNUMBER(FIND(SUBSTITUTE(C23," ",""), Load_Booking_Report!AL:AL)), 0)), "Not Found")</f>
        <v/>
      </c>
      <c r="Y23" s="21">
        <f t="array" ref="Y23">IFERROR(INDEX(Load_Booking_Report!V:V, MATCH(TRUE, ISNUMBER(FIND(SUBSTITUTE(C23," ",""), Load_Booking_Report!AL:AL)), 0)), "Not Found")</f>
        <v/>
      </c>
      <c r="Z23" s="41">
        <f t="array" ref="Z23">IFERROR(INDEX(Load_Booking_Report!BC:BC, MATCH(TRUE, ISNUMBER(FIND(SUBSTITUTE(C23," ",""), Load_Booking_Report!AL:AL)), 0)), "Not Found")</f>
        <v/>
      </c>
    </row>
    <row r="24">
      <c r="A24" t="n">
        <v>25</v>
      </c>
      <c r="B24" t="n">
        <v>250804</v>
      </c>
      <c r="C24" t="inlineStr">
        <is>
          <t>ANON0000000</t>
        </is>
      </c>
      <c r="D24" t="n">
        <v>20</v>
      </c>
      <c r="E24" t="inlineStr">
        <is>
          <t>USNYC</t>
        </is>
      </c>
      <c r="F24" t="inlineStr">
        <is>
          <t>RULED</t>
        </is>
      </c>
      <c r="G24" t="n">
        <v>27070</v>
      </c>
      <c r="H24" t="inlineStr">
        <is>
          <t>ART</t>
        </is>
      </c>
      <c r="I24" t="inlineStr">
        <is>
          <t>22G1</t>
        </is>
      </c>
      <c r="L24" t="inlineStr">
        <is>
          <t>8'6</t>
        </is>
      </c>
      <c r="M24" t="inlineStr">
        <is>
          <t>Full</t>
        </is>
      </c>
      <c r="N24" t="inlineStr">
        <is>
          <t>RULED</t>
        </is>
      </c>
      <c r="P24" s="21">
        <f>C24</f>
        <v/>
      </c>
      <c r="Q24" s="21">
        <f t="array" ref="Q24">IFERROR(INDEX(Load_Booking_Report!AC:AC, MATCH(TRUE, ISNUMBER(FIND(SUBSTITUTE(C24," ",""), Load_Booking_Report!AL:AL)), 0)), "Not Found")</f>
        <v/>
      </c>
      <c r="R24" s="21">
        <f t="array" ref="R24">IFERROR(INDEX(Load_Booking_Report!C:C, MATCH(TRUE, ISNUMBER(FIND(SUBSTITUTE(C24," ",""), Load_Booking_Report!AL:AL)), 0)), "Not Found")</f>
        <v/>
      </c>
      <c r="S24" s="21">
        <f t="array" ref="S24">IFERROR(INDEX(Load_Booking_Report!AG:AG, MATCH(TRUE, ISNUMBER(FIND(SUBSTITUTE(C24," ",""), Load_Booking_Report!AL:AL)), 0)), "Not Found")</f>
        <v/>
      </c>
      <c r="T24" s="21">
        <f>G24</f>
        <v/>
      </c>
      <c r="U24" s="33">
        <f t="array" ref="U24">IFERROR(
   IF(
      INDEX(Load_Booking_Report!AM:AM,
             MATCH(TRUE,
                     ISNUMBER(FIND(SUBSTITUTE(C24," ",""),
                                    Load_Booking_Report!AL:AL)),
                     0)
      )=0,
      "",
      INDEX(Load_Booking_Report!AM:AM,
             MATCH(TRUE,
                     ISNUMBER(FIND(SUBSTITUTE(C24," ",""),
                                    Load_Booking_Report!AL:AL)),
                     0)
      )
   ),
   ""
)</f>
        <v/>
      </c>
      <c r="V24" s="21">
        <f t="array" ref="V24">IFERROR(
   IF(
      INDEX(Load_Booking_Report!AR:AR,
             MATCH(TRUE,
                     ISNUMBER(FIND(SUBSTITUTE(C24," ",""),
                                    Load_Booking_Report!AL:AL)),
                     0)
      )=0,
      "",
      INDEX(Load_Booking_Report!AR:AR,
             MATCH(TRUE,
                     ISNUMBER(FIND(SUBSTITUTE(C24," ",""),
                                    Load_Booking_Report!AL:AL)),
                     0)
      )
   ),
   ""
)</f>
        <v/>
      </c>
      <c r="W24" s="21">
        <f t="array" ref="W24">IFERROR(INDEX(Load_Booking_Report!F:F, MATCH(TRUE, ISNUMBER(FIND(SUBSTITUTE(C24," ",""), Load_Booking_Report!AL:AL)), 0)), "Not Found")</f>
        <v/>
      </c>
      <c r="X24" s="21">
        <f t="array" ref="X24">IFERROR(INDEX(Load_Booking_Report!N:N, MATCH(TRUE, ISNUMBER(FIND(SUBSTITUTE(C24," ",""), Load_Booking_Report!AL:AL)), 0)), "Not Found")</f>
        <v/>
      </c>
      <c r="Y24" s="21">
        <f t="array" ref="Y24">IFERROR(INDEX(Load_Booking_Report!V:V, MATCH(TRUE, ISNUMBER(FIND(SUBSTITUTE(C24," ",""), Load_Booking_Report!AL:AL)), 0)), "Not Found")</f>
        <v/>
      </c>
      <c r="Z24" s="41">
        <f t="array" ref="Z24">IFERROR(INDEX(Load_Booking_Report!BC:BC, MATCH(TRUE, ISNUMBER(FIND(SUBSTITUTE(C24," ",""), Load_Booking_Report!AL:AL)), 0)), "Not Found")</f>
        <v/>
      </c>
    </row>
    <row r="25">
      <c r="A25" t="n">
        <v>33</v>
      </c>
      <c r="B25" t="n">
        <v>330402</v>
      </c>
      <c r="C25" t="inlineStr">
        <is>
          <t>ANON0000000</t>
        </is>
      </c>
      <c r="D25" t="n">
        <v>20</v>
      </c>
      <c r="E25" t="inlineStr">
        <is>
          <t>USNYC</t>
        </is>
      </c>
      <c r="F25" t="inlineStr">
        <is>
          <t>RULED</t>
        </is>
      </c>
      <c r="G25" t="n">
        <v>27080</v>
      </c>
      <c r="H25" t="inlineStr">
        <is>
          <t>ART</t>
        </is>
      </c>
      <c r="I25" t="inlineStr">
        <is>
          <t>22G1</t>
        </is>
      </c>
      <c r="L25" t="inlineStr">
        <is>
          <t>8'6</t>
        </is>
      </c>
      <c r="M25" t="inlineStr">
        <is>
          <t>Full</t>
        </is>
      </c>
      <c r="N25" t="inlineStr">
        <is>
          <t>RULED</t>
        </is>
      </c>
      <c r="P25" s="21">
        <f>C25</f>
        <v/>
      </c>
      <c r="Q25" s="21">
        <f t="array" ref="Q25">IFERROR(INDEX(Load_Booking_Report!AC:AC, MATCH(TRUE, ISNUMBER(FIND(SUBSTITUTE(C25," ",""), Load_Booking_Report!AL:AL)), 0)), "Not Found")</f>
        <v/>
      </c>
      <c r="R25" s="21">
        <f t="array" ref="R25">IFERROR(INDEX(Load_Booking_Report!C:C, MATCH(TRUE, ISNUMBER(FIND(SUBSTITUTE(C25," ",""), Load_Booking_Report!AL:AL)), 0)), "Not Found")</f>
        <v/>
      </c>
      <c r="S25" s="21">
        <f t="array" ref="S25">IFERROR(INDEX(Load_Booking_Report!AG:AG, MATCH(TRUE, ISNUMBER(FIND(SUBSTITUTE(C25," ",""), Load_Booking_Report!AL:AL)), 0)), "Not Found")</f>
        <v/>
      </c>
      <c r="T25" s="21">
        <f>G25</f>
        <v/>
      </c>
      <c r="U25" s="33">
        <f t="array" ref="U25">IFERROR(
   IF(
      INDEX(Load_Booking_Report!AM:AM,
             MATCH(TRUE,
                     ISNUMBER(FIND(SUBSTITUTE(C25," ",""),
                                    Load_Booking_Report!AL:AL)),
                     0)
      )=0,
      "",
      INDEX(Load_Booking_Report!AM:AM,
             MATCH(TRUE,
                     ISNUMBER(FIND(SUBSTITUTE(C25," ",""),
                                    Load_Booking_Report!AL:AL)),
                     0)
      )
   ),
   ""
)</f>
        <v/>
      </c>
      <c r="V25" s="21">
        <f t="array" ref="V25">IFERROR(
   IF(
      INDEX(Load_Booking_Report!AR:AR,
             MATCH(TRUE,
                     ISNUMBER(FIND(SUBSTITUTE(C25," ",""),
                                    Load_Booking_Report!AL:AL)),
                     0)
      )=0,
      "",
      INDEX(Load_Booking_Report!AR:AR,
             MATCH(TRUE,
                     ISNUMBER(FIND(SUBSTITUTE(C25," ",""),
                                    Load_Booking_Report!AL:AL)),
                     0)
      )
   ),
   ""
)</f>
        <v/>
      </c>
      <c r="W25" s="21">
        <f t="array" ref="W25">IFERROR(INDEX(Load_Booking_Report!F:F, MATCH(TRUE, ISNUMBER(FIND(SUBSTITUTE(C25," ",""), Load_Booking_Report!AL:AL)), 0)), "Not Found")</f>
        <v/>
      </c>
      <c r="X25" s="21">
        <f t="array" ref="X25">IFERROR(INDEX(Load_Booking_Report!N:N, MATCH(TRUE, ISNUMBER(FIND(SUBSTITUTE(C25," ",""), Load_Booking_Report!AL:AL)), 0)), "Not Found")</f>
        <v/>
      </c>
      <c r="Y25" s="21">
        <f t="array" ref="Y25">IFERROR(INDEX(Load_Booking_Report!V:V, MATCH(TRUE, ISNUMBER(FIND(SUBSTITUTE(C25," ",""), Load_Booking_Report!AL:AL)), 0)), "Not Found")</f>
        <v/>
      </c>
      <c r="Z25" s="41">
        <f t="array" ref="Z25">IFERROR(INDEX(Load_Booking_Report!BC:BC, MATCH(TRUE, ISNUMBER(FIND(SUBSTITUTE(C25," ",""), Load_Booking_Report!AL:AL)), 0)), "Not Found")</f>
        <v/>
      </c>
    </row>
    <row r="26">
      <c r="A26" t="n">
        <v>27</v>
      </c>
      <c r="B26" t="n">
        <v>270604</v>
      </c>
      <c r="C26" t="inlineStr">
        <is>
          <t>ANON0000000</t>
        </is>
      </c>
      <c r="D26" t="n">
        <v>20</v>
      </c>
      <c r="E26" t="inlineStr">
        <is>
          <t>USNYC</t>
        </is>
      </c>
      <c r="F26" t="inlineStr">
        <is>
          <t>RULED</t>
        </is>
      </c>
      <c r="G26" t="n">
        <v>26990</v>
      </c>
      <c r="H26" t="inlineStr">
        <is>
          <t>ART</t>
        </is>
      </c>
      <c r="I26" t="inlineStr">
        <is>
          <t>22G1</t>
        </is>
      </c>
      <c r="L26" t="inlineStr">
        <is>
          <t>8'6</t>
        </is>
      </c>
      <c r="M26" t="inlineStr">
        <is>
          <t>Full</t>
        </is>
      </c>
      <c r="N26" t="inlineStr">
        <is>
          <t>RULED</t>
        </is>
      </c>
      <c r="P26" s="21">
        <f>C26</f>
        <v/>
      </c>
      <c r="Q26" s="21">
        <f t="array" ref="Q26">IFERROR(INDEX(Load_Booking_Report!AC:AC, MATCH(TRUE, ISNUMBER(FIND(SUBSTITUTE(C26," ",""), Load_Booking_Report!AL:AL)), 0)), "Not Found")</f>
        <v/>
      </c>
      <c r="R26" s="21">
        <f t="array" ref="R26">IFERROR(INDEX(Load_Booking_Report!C:C, MATCH(TRUE, ISNUMBER(FIND(SUBSTITUTE(C26," ",""), Load_Booking_Report!AL:AL)), 0)), "Not Found")</f>
        <v/>
      </c>
      <c r="S26" s="21">
        <f t="array" ref="S26">IFERROR(INDEX(Load_Booking_Report!AG:AG, MATCH(TRUE, ISNUMBER(FIND(SUBSTITUTE(C26," ",""), Load_Booking_Report!AL:AL)), 0)), "Not Found")</f>
        <v/>
      </c>
      <c r="T26" s="21">
        <f>G26</f>
        <v/>
      </c>
      <c r="U26" s="33">
        <f t="array" ref="U26">IFERROR(
   IF(
      INDEX(Load_Booking_Report!AM:AM,
             MATCH(TRUE,
                     ISNUMBER(FIND(SUBSTITUTE(C26," ",""),
                                    Load_Booking_Report!AL:AL)),
                     0)
      )=0,
      "",
      INDEX(Load_Booking_Report!AM:AM,
             MATCH(TRUE,
                     ISNUMBER(FIND(SUBSTITUTE(C26," ",""),
                                    Load_Booking_Report!AL:AL)),
                     0)
      )
   ),
   ""
)</f>
        <v/>
      </c>
      <c r="V26" s="21">
        <f t="array" ref="V26">IFERROR(
   IF(
      INDEX(Load_Booking_Report!AR:AR,
             MATCH(TRUE,
                     ISNUMBER(FIND(SUBSTITUTE(C26," ",""),
                                    Load_Booking_Report!AL:AL)),
                     0)
      )=0,
      "",
      INDEX(Load_Booking_Report!AR:AR,
             MATCH(TRUE,
                     ISNUMBER(FIND(SUBSTITUTE(C26," ",""),
                                    Load_Booking_Report!AL:AL)),
                     0)
      )
   ),
   ""
)</f>
        <v/>
      </c>
      <c r="W26" s="21">
        <f t="array" ref="W26">IFERROR(INDEX(Load_Booking_Report!F:F, MATCH(TRUE, ISNUMBER(FIND(SUBSTITUTE(C26," ",""), Load_Booking_Report!AL:AL)), 0)), "Not Found")</f>
        <v/>
      </c>
      <c r="X26" s="21">
        <f t="array" ref="X26">IFERROR(INDEX(Load_Booking_Report!N:N, MATCH(TRUE, ISNUMBER(FIND(SUBSTITUTE(C26," ",""), Load_Booking_Report!AL:AL)), 0)), "Not Found")</f>
        <v/>
      </c>
      <c r="Y26" s="21">
        <f t="array" ref="Y26">IFERROR(INDEX(Load_Booking_Report!V:V, MATCH(TRUE, ISNUMBER(FIND(SUBSTITUTE(C26," ",""), Load_Booking_Report!AL:AL)), 0)), "Not Found")</f>
        <v/>
      </c>
      <c r="Z26" s="41">
        <f t="array" ref="Z26">IFERROR(INDEX(Load_Booking_Report!BC:BC, MATCH(TRUE, ISNUMBER(FIND(SUBSTITUTE(C26," ",""), Load_Booking_Report!AL:AL)), 0)), "Not Found")</f>
        <v/>
      </c>
    </row>
    <row r="27">
      <c r="A27" t="n">
        <v>27</v>
      </c>
      <c r="B27" t="n">
        <v>270804</v>
      </c>
      <c r="C27" t="inlineStr">
        <is>
          <t>ANON0000000</t>
        </is>
      </c>
      <c r="D27" t="n">
        <v>20</v>
      </c>
      <c r="E27" t="inlineStr">
        <is>
          <t>USNYC</t>
        </is>
      </c>
      <c r="F27" t="inlineStr">
        <is>
          <t>RULED</t>
        </is>
      </c>
      <c r="G27" t="n">
        <v>27010</v>
      </c>
      <c r="H27" t="inlineStr">
        <is>
          <t>ART</t>
        </is>
      </c>
      <c r="I27" t="inlineStr">
        <is>
          <t>22G1</t>
        </is>
      </c>
      <c r="L27" t="inlineStr">
        <is>
          <t>8'6</t>
        </is>
      </c>
      <c r="M27" t="inlineStr">
        <is>
          <t>Full</t>
        </is>
      </c>
      <c r="N27" t="inlineStr">
        <is>
          <t>RULED</t>
        </is>
      </c>
      <c r="P27" s="21">
        <f>C27</f>
        <v/>
      </c>
      <c r="Q27" s="21">
        <f t="array" ref="Q27">IFERROR(INDEX(Load_Booking_Report!AC:AC, MATCH(TRUE, ISNUMBER(FIND(SUBSTITUTE(C27," ",""), Load_Booking_Report!AL:AL)), 0)), "Not Found")</f>
        <v/>
      </c>
      <c r="R27" s="21">
        <f t="array" ref="R27">IFERROR(INDEX(Load_Booking_Report!C:C, MATCH(TRUE, ISNUMBER(FIND(SUBSTITUTE(C27," ",""), Load_Booking_Report!AL:AL)), 0)), "Not Found")</f>
        <v/>
      </c>
      <c r="S27" s="21">
        <f t="array" ref="S27">IFERROR(INDEX(Load_Booking_Report!AG:AG, MATCH(TRUE, ISNUMBER(FIND(SUBSTITUTE(C27," ",""), Load_Booking_Report!AL:AL)), 0)), "Not Found")</f>
        <v/>
      </c>
      <c r="T27" s="21">
        <f>G27</f>
        <v/>
      </c>
      <c r="U27" s="33">
        <f t="array" ref="U27">IFERROR(
   IF(
      INDEX(Load_Booking_Report!AM:AM,
             MATCH(TRUE,
                     ISNUMBER(FIND(SUBSTITUTE(C27," ",""),
                                    Load_Booking_Report!AL:AL)),
                     0)
      )=0,
      "",
      INDEX(Load_Booking_Report!AM:AM,
             MATCH(TRUE,
                     ISNUMBER(FIND(SUBSTITUTE(C27," ",""),
                                    Load_Booking_Report!AL:AL)),
                     0)
      )
   ),
   ""
)</f>
        <v/>
      </c>
      <c r="V27" s="21">
        <f t="array" ref="V27">IFERROR(
   IF(
      INDEX(Load_Booking_Report!AR:AR,
             MATCH(TRUE,
                     ISNUMBER(FIND(SUBSTITUTE(C27," ",""),
                                    Load_Booking_Report!AL:AL)),
                     0)
      )=0,
      "",
      INDEX(Load_Booking_Report!AR:AR,
             MATCH(TRUE,
                     ISNUMBER(FIND(SUBSTITUTE(C27," ",""),
                                    Load_Booking_Report!AL:AL)),
                     0)
      )
   ),
   ""
)</f>
        <v/>
      </c>
      <c r="W27" s="21">
        <f t="array" ref="W27">IFERROR(INDEX(Load_Booking_Report!F:F, MATCH(TRUE, ISNUMBER(FIND(SUBSTITUTE(C27," ",""), Load_Booking_Report!AL:AL)), 0)), "Not Found")</f>
        <v/>
      </c>
      <c r="X27" s="21">
        <f t="array" ref="X27">IFERROR(INDEX(Load_Booking_Report!N:N, MATCH(TRUE, ISNUMBER(FIND(SUBSTITUTE(C27," ",""), Load_Booking_Report!AL:AL)), 0)), "Not Found")</f>
        <v/>
      </c>
      <c r="Y27" s="21">
        <f t="array" ref="Y27">IFERROR(INDEX(Load_Booking_Report!V:V, MATCH(TRUE, ISNUMBER(FIND(SUBSTITUTE(C27," ",""), Load_Booking_Report!AL:AL)), 0)), "Not Found")</f>
        <v/>
      </c>
      <c r="Z27" s="41">
        <f t="array" ref="Z27">IFERROR(INDEX(Load_Booking_Report!BC:BC, MATCH(TRUE, ISNUMBER(FIND(SUBSTITUTE(C27," ",""), Load_Booking_Report!AL:AL)), 0)), "Not Found")</f>
        <v/>
      </c>
    </row>
    <row r="28">
      <c r="A28" t="n">
        <v>13</v>
      </c>
      <c r="B28" t="n">
        <v>130706</v>
      </c>
      <c r="C28" t="inlineStr">
        <is>
          <t>ANON0000000</t>
        </is>
      </c>
      <c r="D28" t="n">
        <v>20</v>
      </c>
      <c r="E28" t="inlineStr">
        <is>
          <t>USNFK</t>
        </is>
      </c>
      <c r="F28" t="inlineStr">
        <is>
          <t>RULED</t>
        </is>
      </c>
      <c r="G28" t="n">
        <v>26440</v>
      </c>
      <c r="H28" t="inlineStr">
        <is>
          <t>ART</t>
        </is>
      </c>
      <c r="I28" t="inlineStr">
        <is>
          <t>22G1</t>
        </is>
      </c>
      <c r="L28" t="inlineStr">
        <is>
          <t>OOG</t>
        </is>
      </c>
      <c r="M28" t="inlineStr">
        <is>
          <t>Full</t>
        </is>
      </c>
      <c r="N28" t="inlineStr">
        <is>
          <t>RULED</t>
        </is>
      </c>
      <c r="P28" s="21">
        <f>C28</f>
        <v/>
      </c>
      <c r="Q28" s="21">
        <f t="array" ref="Q28">IFERROR(INDEX(Load_Booking_Report!AC:AC, MATCH(TRUE, ISNUMBER(FIND(SUBSTITUTE(C28," ",""), Load_Booking_Report!AL:AL)), 0)), "Not Found")</f>
        <v/>
      </c>
      <c r="R28" s="21">
        <f t="array" ref="R28">IFERROR(INDEX(Load_Booking_Report!C:C, MATCH(TRUE, ISNUMBER(FIND(SUBSTITUTE(C28," ",""), Load_Booking_Report!AL:AL)), 0)), "Not Found")</f>
        <v/>
      </c>
      <c r="S28" s="21">
        <f t="array" ref="S28">IFERROR(INDEX(Load_Booking_Report!AG:AG, MATCH(TRUE, ISNUMBER(FIND(SUBSTITUTE(C28," ",""), Load_Booking_Report!AL:AL)), 0)), "Not Found")</f>
        <v/>
      </c>
      <c r="T28" s="21">
        <f>G28</f>
        <v/>
      </c>
      <c r="U28" s="33">
        <f t="array" ref="U28">IFERROR(
   IF(
      INDEX(Load_Booking_Report!AM:AM,
             MATCH(TRUE,
                     ISNUMBER(FIND(SUBSTITUTE(C28," ",""),
                                    Load_Booking_Report!AL:AL)),
                     0)
      )=0,
      "",
      INDEX(Load_Booking_Report!AM:AM,
             MATCH(TRUE,
                     ISNUMBER(FIND(SUBSTITUTE(C28," ",""),
                                    Load_Booking_Report!AL:AL)),
                     0)
      )
   ),
   ""
)</f>
        <v/>
      </c>
      <c r="V28" s="21">
        <f t="array" ref="V28">IFERROR(
   IF(
      INDEX(Load_Booking_Report!AR:AR,
             MATCH(TRUE,
                     ISNUMBER(FIND(SUBSTITUTE(C28," ",""),
                                    Load_Booking_Report!AL:AL)),
                     0)
      )=0,
      "",
      INDEX(Load_Booking_Report!AR:AR,
             MATCH(TRUE,
                     ISNUMBER(FIND(SUBSTITUTE(C28," ",""),
                                    Load_Booking_Report!AL:AL)),
                     0)
      )
   ),
   ""
)</f>
        <v/>
      </c>
      <c r="W28" s="21">
        <f t="array" ref="W28">IFERROR(INDEX(Load_Booking_Report!F:F, MATCH(TRUE, ISNUMBER(FIND(SUBSTITUTE(C28," ",""), Load_Booking_Report!AL:AL)), 0)), "Not Found")</f>
        <v/>
      </c>
      <c r="X28" s="21">
        <f t="array" ref="X28">IFERROR(INDEX(Load_Booking_Report!N:N, MATCH(TRUE, ISNUMBER(FIND(SUBSTITUTE(C28," ",""), Load_Booking_Report!AL:AL)), 0)), "Not Found")</f>
        <v/>
      </c>
      <c r="Y28" s="21">
        <f t="array" ref="Y28">IFERROR(INDEX(Load_Booking_Report!V:V, MATCH(TRUE, ISNUMBER(FIND(SUBSTITUTE(C28," ",""), Load_Booking_Report!AL:AL)), 0)), "Not Found")</f>
        <v/>
      </c>
      <c r="Z28" s="41">
        <f t="array" ref="Z28">IFERROR(INDEX(Load_Booking_Report!BC:BC, MATCH(TRUE, ISNUMBER(FIND(SUBSTITUTE(C28," ",""), Load_Booking_Report!AL:AL)), 0)), "Not Found")</f>
        <v/>
      </c>
    </row>
    <row r="29">
      <c r="A29" t="n">
        <v>31</v>
      </c>
      <c r="B29" t="n">
        <v>310306</v>
      </c>
      <c r="C29" t="inlineStr">
        <is>
          <t>ANON0000000</t>
        </is>
      </c>
      <c r="D29" t="n">
        <v>20</v>
      </c>
      <c r="E29" t="inlineStr">
        <is>
          <t>USNFK</t>
        </is>
      </c>
      <c r="F29" t="inlineStr">
        <is>
          <t>RULED</t>
        </is>
      </c>
      <c r="G29" t="n">
        <v>21356</v>
      </c>
      <c r="H29" t="inlineStr">
        <is>
          <t>ART</t>
        </is>
      </c>
      <c r="I29" t="inlineStr">
        <is>
          <t>22G1</t>
        </is>
      </c>
      <c r="L29" t="inlineStr">
        <is>
          <t>OOG</t>
        </is>
      </c>
      <c r="M29" t="inlineStr">
        <is>
          <t>Full</t>
        </is>
      </c>
      <c r="N29" t="inlineStr">
        <is>
          <t>RULED</t>
        </is>
      </c>
      <c r="P29" s="21">
        <f>C29</f>
        <v/>
      </c>
      <c r="Q29" s="21">
        <f t="array" ref="Q29">IFERROR(INDEX(Load_Booking_Report!AC:AC, MATCH(TRUE, ISNUMBER(FIND(SUBSTITUTE(C29," ",""), Load_Booking_Report!AL:AL)), 0)), "Not Found")</f>
        <v/>
      </c>
      <c r="R29" s="21">
        <f t="array" ref="R29">IFERROR(INDEX(Load_Booking_Report!C:C, MATCH(TRUE, ISNUMBER(FIND(SUBSTITUTE(C29," ",""), Load_Booking_Report!AL:AL)), 0)), "Not Found")</f>
        <v/>
      </c>
      <c r="S29" s="21">
        <f t="array" ref="S29">IFERROR(INDEX(Load_Booking_Report!AG:AG, MATCH(TRUE, ISNUMBER(FIND(SUBSTITUTE(C29," ",""), Load_Booking_Report!AL:AL)), 0)), "Not Found")</f>
        <v/>
      </c>
      <c r="T29" s="21">
        <f>G29</f>
        <v/>
      </c>
      <c r="U29" s="33">
        <f t="array" ref="U29">IFERROR(
   IF(
      INDEX(Load_Booking_Report!AM:AM,
             MATCH(TRUE,
                     ISNUMBER(FIND(SUBSTITUTE(C29," ",""),
                                    Load_Booking_Report!AL:AL)),
                     0)
      )=0,
      "",
      INDEX(Load_Booking_Report!AM:AM,
             MATCH(TRUE,
                     ISNUMBER(FIND(SUBSTITUTE(C29," ",""),
                                    Load_Booking_Report!AL:AL)),
                     0)
      )
   ),
   ""
)</f>
        <v/>
      </c>
      <c r="V29" s="21">
        <f t="array" ref="V29">IFERROR(
   IF(
      INDEX(Load_Booking_Report!AR:AR,
             MATCH(TRUE,
                     ISNUMBER(FIND(SUBSTITUTE(C29," ",""),
                                    Load_Booking_Report!AL:AL)),
                     0)
      )=0,
      "",
      INDEX(Load_Booking_Report!AR:AR,
             MATCH(TRUE,
                     ISNUMBER(FIND(SUBSTITUTE(C29," ",""),
                                    Load_Booking_Report!AL:AL)),
                     0)
      )
   ),
   ""
)</f>
        <v/>
      </c>
      <c r="W29" s="21">
        <f t="array" ref="W29">IFERROR(INDEX(Load_Booking_Report!F:F, MATCH(TRUE, ISNUMBER(FIND(SUBSTITUTE(C29," ",""), Load_Booking_Report!AL:AL)), 0)), "Not Found")</f>
        <v/>
      </c>
      <c r="X29" s="21">
        <f t="array" ref="X29">IFERROR(INDEX(Load_Booking_Report!N:N, MATCH(TRUE, ISNUMBER(FIND(SUBSTITUTE(C29," ",""), Load_Booking_Report!AL:AL)), 0)), "Not Found")</f>
        <v/>
      </c>
      <c r="Y29" s="21">
        <f t="array" ref="Y29">IFERROR(INDEX(Load_Booking_Report!V:V, MATCH(TRUE, ISNUMBER(FIND(SUBSTITUTE(C29," ",""), Load_Booking_Report!AL:AL)), 0)), "Not Found")</f>
        <v/>
      </c>
      <c r="Z29" s="41">
        <f t="array" ref="Z29">IFERROR(INDEX(Load_Booking_Report!BC:BC, MATCH(TRUE, ISNUMBER(FIND(SUBSTITUTE(C29," ",""), Load_Booking_Report!AL:AL)), 0)), "Not Found")</f>
        <v/>
      </c>
    </row>
    <row r="30">
      <c r="A30" t="n">
        <v>7</v>
      </c>
      <c r="B30" t="n">
        <v>70608</v>
      </c>
      <c r="C30" t="inlineStr">
        <is>
          <t>ANON0000000</t>
        </is>
      </c>
      <c r="D30" t="n">
        <v>20</v>
      </c>
      <c r="E30" t="inlineStr">
        <is>
          <t>USNFK</t>
        </is>
      </c>
      <c r="F30" t="inlineStr">
        <is>
          <t>RULED</t>
        </is>
      </c>
      <c r="G30" t="n">
        <v>28700</v>
      </c>
      <c r="H30" t="inlineStr">
        <is>
          <t>ART</t>
        </is>
      </c>
      <c r="I30" t="inlineStr">
        <is>
          <t>22G1</t>
        </is>
      </c>
      <c r="L30" t="inlineStr">
        <is>
          <t>8'6</t>
        </is>
      </c>
      <c r="M30" t="inlineStr">
        <is>
          <t>Full</t>
        </is>
      </c>
      <c r="N30" t="inlineStr">
        <is>
          <t>RULED</t>
        </is>
      </c>
      <c r="P30" s="21">
        <f>C30</f>
        <v/>
      </c>
      <c r="Q30" s="21">
        <f t="array" ref="Q30">IFERROR(INDEX(Load_Booking_Report!AC:AC, MATCH(TRUE, ISNUMBER(FIND(SUBSTITUTE(C30," ",""), Load_Booking_Report!AL:AL)), 0)), "Not Found")</f>
        <v/>
      </c>
      <c r="R30" s="21">
        <f t="array" ref="R30">IFERROR(INDEX(Load_Booking_Report!C:C, MATCH(TRUE, ISNUMBER(FIND(SUBSTITUTE(C30," ",""), Load_Booking_Report!AL:AL)), 0)), "Not Found")</f>
        <v/>
      </c>
      <c r="S30" s="21">
        <f t="array" ref="S30">IFERROR(INDEX(Load_Booking_Report!AG:AG, MATCH(TRUE, ISNUMBER(FIND(SUBSTITUTE(C30," ",""), Load_Booking_Report!AL:AL)), 0)), "Not Found")</f>
        <v/>
      </c>
      <c r="T30" s="21">
        <f>G30</f>
        <v/>
      </c>
      <c r="U30" s="33">
        <f t="array" ref="U30">IFERROR(
   IF(
      INDEX(Load_Booking_Report!AM:AM,
             MATCH(TRUE,
                     ISNUMBER(FIND(SUBSTITUTE(C30," ",""),
                                    Load_Booking_Report!AL:AL)),
                     0)
      )=0,
      "",
      INDEX(Load_Booking_Report!AM:AM,
             MATCH(TRUE,
                     ISNUMBER(FIND(SUBSTITUTE(C30," ",""),
                                    Load_Booking_Report!AL:AL)),
                     0)
      )
   ),
   ""
)</f>
        <v/>
      </c>
      <c r="V30" s="21">
        <f t="array" ref="V30">IFERROR(
   IF(
      INDEX(Load_Booking_Report!AR:AR,
             MATCH(TRUE,
                     ISNUMBER(FIND(SUBSTITUTE(C30," ",""),
                                    Load_Booking_Report!AL:AL)),
                     0)
      )=0,
      "",
      INDEX(Load_Booking_Report!AR:AR,
             MATCH(TRUE,
                     ISNUMBER(FIND(SUBSTITUTE(C30," ",""),
                                    Load_Booking_Report!AL:AL)),
                     0)
      )
   ),
   ""
)</f>
        <v/>
      </c>
      <c r="W30" s="21">
        <f t="array" ref="W30">IFERROR(INDEX(Load_Booking_Report!F:F, MATCH(TRUE, ISNUMBER(FIND(SUBSTITUTE(C30," ",""), Load_Booking_Report!AL:AL)), 0)), "Not Found")</f>
        <v/>
      </c>
      <c r="X30" s="21">
        <f t="array" ref="X30">IFERROR(INDEX(Load_Booking_Report!N:N, MATCH(TRUE, ISNUMBER(FIND(SUBSTITUTE(C30," ",""), Load_Booking_Report!AL:AL)), 0)), "Not Found")</f>
        <v/>
      </c>
      <c r="Y30" s="21">
        <f t="array" ref="Y30">IFERROR(INDEX(Load_Booking_Report!V:V, MATCH(TRUE, ISNUMBER(FIND(SUBSTITUTE(C30," ",""), Load_Booking_Report!AL:AL)), 0)), "Not Found")</f>
        <v/>
      </c>
      <c r="Z30" s="41">
        <f t="array" ref="Z30">IFERROR(INDEX(Load_Booking_Report!BC:BC, MATCH(TRUE, ISNUMBER(FIND(SUBSTITUTE(C30," ",""), Load_Booking_Report!AL:AL)), 0)), "Not Found")</f>
        <v/>
      </c>
    </row>
    <row r="31">
      <c r="A31" t="n">
        <v>25</v>
      </c>
      <c r="B31" t="n">
        <v>250206</v>
      </c>
      <c r="C31" t="inlineStr">
        <is>
          <t>ANON0000000</t>
        </is>
      </c>
      <c r="D31" t="n">
        <v>20</v>
      </c>
      <c r="E31" t="inlineStr">
        <is>
          <t>USNYC</t>
        </is>
      </c>
      <c r="F31" t="inlineStr">
        <is>
          <t>RULED</t>
        </is>
      </c>
      <c r="G31" t="n">
        <v>27210</v>
      </c>
      <c r="H31" t="inlineStr">
        <is>
          <t>ART</t>
        </is>
      </c>
      <c r="I31" t="inlineStr">
        <is>
          <t>22G1</t>
        </is>
      </c>
      <c r="L31" t="inlineStr">
        <is>
          <t>8'6</t>
        </is>
      </c>
      <c r="M31" t="inlineStr">
        <is>
          <t>Full</t>
        </is>
      </c>
      <c r="N31" t="inlineStr">
        <is>
          <t>RULED</t>
        </is>
      </c>
      <c r="P31" s="21">
        <f>C31</f>
        <v/>
      </c>
      <c r="Q31" s="21">
        <f t="array" ref="Q31">IFERROR(INDEX(Load_Booking_Report!AC:AC, MATCH(TRUE, ISNUMBER(FIND(SUBSTITUTE(C31," ",""), Load_Booking_Report!AL:AL)), 0)), "Not Found")</f>
        <v/>
      </c>
      <c r="R31" s="21">
        <f t="array" ref="R31">IFERROR(INDEX(Load_Booking_Report!C:C, MATCH(TRUE, ISNUMBER(FIND(SUBSTITUTE(C31," ",""), Load_Booking_Report!AL:AL)), 0)), "Not Found")</f>
        <v/>
      </c>
      <c r="S31" s="21">
        <f t="array" ref="S31">IFERROR(INDEX(Load_Booking_Report!AG:AG, MATCH(TRUE, ISNUMBER(FIND(SUBSTITUTE(C31," ",""), Load_Booking_Report!AL:AL)), 0)), "Not Found")</f>
        <v/>
      </c>
      <c r="T31" s="21">
        <f>G31</f>
        <v/>
      </c>
      <c r="U31" s="33">
        <f t="array" ref="U31">IFERROR(
   IF(
      INDEX(Load_Booking_Report!AM:AM,
             MATCH(TRUE,
                     ISNUMBER(FIND(SUBSTITUTE(C31," ",""),
                                    Load_Booking_Report!AL:AL)),
                     0)
      )=0,
      "",
      INDEX(Load_Booking_Report!AM:AM,
             MATCH(TRUE,
                     ISNUMBER(FIND(SUBSTITUTE(C31," ",""),
                                    Load_Booking_Report!AL:AL)),
                     0)
      )
   ),
   ""
)</f>
        <v/>
      </c>
      <c r="V31" s="21">
        <f t="array" ref="V31">IFERROR(
   IF(
      INDEX(Load_Booking_Report!AR:AR,
             MATCH(TRUE,
                     ISNUMBER(FIND(SUBSTITUTE(C31," ",""),
                                    Load_Booking_Report!AL:AL)),
                     0)
      )=0,
      "",
      INDEX(Load_Booking_Report!AR:AR,
             MATCH(TRUE,
                     ISNUMBER(FIND(SUBSTITUTE(C31," ",""),
                                    Load_Booking_Report!AL:AL)),
                     0)
      )
   ),
   ""
)</f>
        <v/>
      </c>
      <c r="W31" s="21">
        <f t="array" ref="W31">IFERROR(INDEX(Load_Booking_Report!F:F, MATCH(TRUE, ISNUMBER(FIND(SUBSTITUTE(C31," ",""), Load_Booking_Report!AL:AL)), 0)), "Not Found")</f>
        <v/>
      </c>
      <c r="X31" s="21">
        <f t="array" ref="X31">IFERROR(INDEX(Load_Booking_Report!N:N, MATCH(TRUE, ISNUMBER(FIND(SUBSTITUTE(C31," ",""), Load_Booking_Report!AL:AL)), 0)), "Not Found")</f>
        <v/>
      </c>
      <c r="Y31" s="21">
        <f t="array" ref="Y31">IFERROR(INDEX(Load_Booking_Report!V:V, MATCH(TRUE, ISNUMBER(FIND(SUBSTITUTE(C31," ",""), Load_Booking_Report!AL:AL)), 0)), "Not Found")</f>
        <v/>
      </c>
      <c r="Z31" s="41">
        <f t="array" ref="Z31">IFERROR(INDEX(Load_Booking_Report!BC:BC, MATCH(TRUE, ISNUMBER(FIND(SUBSTITUTE(C31," ",""), Load_Booking_Report!AL:AL)), 0)), "Not Found")</f>
        <v/>
      </c>
    </row>
    <row r="32">
      <c r="A32" t="n">
        <v>33</v>
      </c>
      <c r="B32" t="n">
        <v>330806</v>
      </c>
      <c r="C32" t="inlineStr">
        <is>
          <t>ANON0000000</t>
        </is>
      </c>
      <c r="D32" t="n">
        <v>20</v>
      </c>
      <c r="E32" t="inlineStr">
        <is>
          <t>USNYC</t>
        </is>
      </c>
      <c r="F32" t="inlineStr">
        <is>
          <t>RULED</t>
        </is>
      </c>
      <c r="G32" t="n">
        <v>26980</v>
      </c>
      <c r="H32" t="inlineStr">
        <is>
          <t>ART</t>
        </is>
      </c>
      <c r="I32" t="inlineStr">
        <is>
          <t>22G1</t>
        </is>
      </c>
      <c r="L32" t="inlineStr">
        <is>
          <t>8'6</t>
        </is>
      </c>
      <c r="M32" t="inlineStr">
        <is>
          <t>Full</t>
        </is>
      </c>
      <c r="N32" t="inlineStr">
        <is>
          <t>RULED</t>
        </is>
      </c>
      <c r="P32" s="21">
        <f>C32</f>
        <v/>
      </c>
      <c r="Q32" s="21">
        <f t="array" ref="Q32">IFERROR(INDEX(Load_Booking_Report!AC:AC, MATCH(TRUE, ISNUMBER(FIND(SUBSTITUTE(C32," ",""), Load_Booking_Report!AL:AL)), 0)), "Not Found")</f>
        <v/>
      </c>
      <c r="R32" s="21">
        <f t="array" ref="R32">IFERROR(INDEX(Load_Booking_Report!C:C, MATCH(TRUE, ISNUMBER(FIND(SUBSTITUTE(C32," ",""), Load_Booking_Report!AL:AL)), 0)), "Not Found")</f>
        <v/>
      </c>
      <c r="S32" s="21">
        <f t="array" ref="S32">IFERROR(INDEX(Load_Booking_Report!AG:AG, MATCH(TRUE, ISNUMBER(FIND(SUBSTITUTE(C32," ",""), Load_Booking_Report!AL:AL)), 0)), "Not Found")</f>
        <v/>
      </c>
      <c r="T32" s="21">
        <f>G32</f>
        <v/>
      </c>
      <c r="U32" s="33">
        <f t="array" ref="U32">IFERROR(
   IF(
      INDEX(Load_Booking_Report!AM:AM,
             MATCH(TRUE,
                     ISNUMBER(FIND(SUBSTITUTE(C32," ",""),
                                    Load_Booking_Report!AL:AL)),
                     0)
      )=0,
      "",
      INDEX(Load_Booking_Report!AM:AM,
             MATCH(TRUE,
                     ISNUMBER(FIND(SUBSTITUTE(C32," ",""),
                                    Load_Booking_Report!AL:AL)),
                     0)
      )
   ),
   ""
)</f>
        <v/>
      </c>
      <c r="V32" s="21">
        <f t="array" ref="V32">IFERROR(
   IF(
      INDEX(Load_Booking_Report!AR:AR,
             MATCH(TRUE,
                     ISNUMBER(FIND(SUBSTITUTE(C32," ",""),
                                    Load_Booking_Report!AL:AL)),
                     0)
      )=0,
      "",
      INDEX(Load_Booking_Report!AR:AR,
             MATCH(TRUE,
                     ISNUMBER(FIND(SUBSTITUTE(C32," ",""),
                                    Load_Booking_Report!AL:AL)),
                     0)
      )
   ),
   ""
)</f>
        <v/>
      </c>
      <c r="W32" s="21">
        <f t="array" ref="W32">IFERROR(INDEX(Load_Booking_Report!F:F, MATCH(TRUE, ISNUMBER(FIND(SUBSTITUTE(C32," ",""), Load_Booking_Report!AL:AL)), 0)), "Not Found")</f>
        <v/>
      </c>
      <c r="X32" s="21">
        <f t="array" ref="X32">IFERROR(INDEX(Load_Booking_Report!N:N, MATCH(TRUE, ISNUMBER(FIND(SUBSTITUTE(C32," ",""), Load_Booking_Report!AL:AL)), 0)), "Not Found")</f>
        <v/>
      </c>
      <c r="Y32" s="21">
        <f t="array" ref="Y32">IFERROR(INDEX(Load_Booking_Report!V:V, MATCH(TRUE, ISNUMBER(FIND(SUBSTITUTE(C32," ",""), Load_Booking_Report!AL:AL)), 0)), "Not Found")</f>
        <v/>
      </c>
      <c r="Z32" s="41">
        <f t="array" ref="Z32">IFERROR(INDEX(Load_Booking_Report!BC:BC, MATCH(TRUE, ISNUMBER(FIND(SUBSTITUTE(C32," ",""), Load_Booking_Report!AL:AL)), 0)), "Not Found")</f>
        <v/>
      </c>
    </row>
    <row r="33">
      <c r="A33" t="n">
        <v>25</v>
      </c>
      <c r="B33" t="n">
        <v>250204</v>
      </c>
      <c r="C33" t="inlineStr">
        <is>
          <t>ANON0000000</t>
        </is>
      </c>
      <c r="D33" t="n">
        <v>20</v>
      </c>
      <c r="E33" t="inlineStr">
        <is>
          <t>USNYC</t>
        </is>
      </c>
      <c r="F33" t="inlineStr">
        <is>
          <t>RULED</t>
        </is>
      </c>
      <c r="G33" t="n">
        <v>27210</v>
      </c>
      <c r="H33" t="inlineStr">
        <is>
          <t>ART</t>
        </is>
      </c>
      <c r="I33" t="inlineStr">
        <is>
          <t>22G1</t>
        </is>
      </c>
      <c r="L33" t="inlineStr">
        <is>
          <t>8'6</t>
        </is>
      </c>
      <c r="M33" t="inlineStr">
        <is>
          <t>Full</t>
        </is>
      </c>
      <c r="N33" t="inlineStr">
        <is>
          <t>RULED</t>
        </is>
      </c>
      <c r="P33" s="21">
        <f>C33</f>
        <v/>
      </c>
      <c r="Q33" s="21">
        <f t="array" ref="Q33">IFERROR(INDEX(Load_Booking_Report!AC:AC, MATCH(TRUE, ISNUMBER(FIND(SUBSTITUTE(C33," ",""), Load_Booking_Report!AL:AL)), 0)), "Not Found")</f>
        <v/>
      </c>
      <c r="R33" s="21">
        <f t="array" ref="R33">IFERROR(INDEX(Load_Booking_Report!C:C, MATCH(TRUE, ISNUMBER(FIND(SUBSTITUTE(C33," ",""), Load_Booking_Report!AL:AL)), 0)), "Not Found")</f>
        <v/>
      </c>
      <c r="S33" s="21">
        <f t="array" ref="S33">IFERROR(INDEX(Load_Booking_Report!AG:AG, MATCH(TRUE, ISNUMBER(FIND(SUBSTITUTE(C33," ",""), Load_Booking_Report!AL:AL)), 0)), "Not Found")</f>
        <v/>
      </c>
      <c r="T33" s="21">
        <f>G33</f>
        <v/>
      </c>
      <c r="U33" s="33">
        <f t="array" ref="U33">IFERROR(
   IF(
      INDEX(Load_Booking_Report!AM:AM,
             MATCH(TRUE,
                     ISNUMBER(FIND(SUBSTITUTE(C33," ",""),
                                    Load_Booking_Report!AL:AL)),
                     0)
      )=0,
      "",
      INDEX(Load_Booking_Report!AM:AM,
             MATCH(TRUE,
                     ISNUMBER(FIND(SUBSTITUTE(C33," ",""),
                                    Load_Booking_Report!AL:AL)),
                     0)
      )
   ),
   ""
)</f>
        <v/>
      </c>
      <c r="V33" s="21">
        <f t="array" ref="V33">IFERROR(
   IF(
      INDEX(Load_Booking_Report!AR:AR,
             MATCH(TRUE,
                     ISNUMBER(FIND(SUBSTITUTE(C33," ",""),
                                    Load_Booking_Report!AL:AL)),
                     0)
      )=0,
      "",
      INDEX(Load_Booking_Report!AR:AR,
             MATCH(TRUE,
                     ISNUMBER(FIND(SUBSTITUTE(C33," ",""),
                                    Load_Booking_Report!AL:AL)),
                     0)
      )
   ),
   ""
)</f>
        <v/>
      </c>
      <c r="W33" s="21">
        <f t="array" ref="W33">IFERROR(INDEX(Load_Booking_Report!F:F, MATCH(TRUE, ISNUMBER(FIND(SUBSTITUTE(C33," ",""), Load_Booking_Report!AL:AL)), 0)), "Not Found")</f>
        <v/>
      </c>
      <c r="X33" s="21">
        <f t="array" ref="X33">IFERROR(INDEX(Load_Booking_Report!N:N, MATCH(TRUE, ISNUMBER(FIND(SUBSTITUTE(C33," ",""), Load_Booking_Report!AL:AL)), 0)), "Not Found")</f>
        <v/>
      </c>
      <c r="Y33" s="21">
        <f t="array" ref="Y33">IFERROR(INDEX(Load_Booking_Report!V:V, MATCH(TRUE, ISNUMBER(FIND(SUBSTITUTE(C33," ",""), Load_Booking_Report!AL:AL)), 0)), "Not Found")</f>
        <v/>
      </c>
      <c r="Z33" s="41">
        <f t="array" ref="Z33">IFERROR(INDEX(Load_Booking_Report!BC:BC, MATCH(TRUE, ISNUMBER(FIND(SUBSTITUTE(C33," ",""), Load_Booking_Report!AL:AL)), 0)), "Not Found")</f>
        <v/>
      </c>
    </row>
    <row r="34">
      <c r="A34" t="n">
        <v>27</v>
      </c>
      <c r="B34" t="n">
        <v>270202</v>
      </c>
      <c r="C34" t="inlineStr">
        <is>
          <t>ANON0000000</t>
        </is>
      </c>
      <c r="D34" t="n">
        <v>20</v>
      </c>
      <c r="E34" t="inlineStr">
        <is>
          <t>USNYC</t>
        </is>
      </c>
      <c r="F34" t="inlineStr">
        <is>
          <t>RULED</t>
        </is>
      </c>
      <c r="G34" t="n">
        <v>27050</v>
      </c>
      <c r="H34" t="inlineStr">
        <is>
          <t>ART</t>
        </is>
      </c>
      <c r="I34" t="inlineStr">
        <is>
          <t>22G1</t>
        </is>
      </c>
      <c r="L34" t="inlineStr">
        <is>
          <t>8'6</t>
        </is>
      </c>
      <c r="M34" t="inlineStr">
        <is>
          <t>Full</t>
        </is>
      </c>
      <c r="N34" t="inlineStr">
        <is>
          <t>RULED</t>
        </is>
      </c>
      <c r="P34" s="21">
        <f>C34</f>
        <v/>
      </c>
      <c r="Q34" s="21">
        <f t="array" ref="Q34">IFERROR(INDEX(Load_Booking_Report!AC:AC, MATCH(TRUE, ISNUMBER(FIND(SUBSTITUTE(C34," ",""), Load_Booking_Report!AL:AL)), 0)), "Not Found")</f>
        <v/>
      </c>
      <c r="R34" s="21">
        <f t="array" ref="R34">IFERROR(INDEX(Load_Booking_Report!C:C, MATCH(TRUE, ISNUMBER(FIND(SUBSTITUTE(C34," ",""), Load_Booking_Report!AL:AL)), 0)), "Not Found")</f>
        <v/>
      </c>
      <c r="S34" s="21">
        <f t="array" ref="S34">IFERROR(INDEX(Load_Booking_Report!AG:AG, MATCH(TRUE, ISNUMBER(FIND(SUBSTITUTE(C34," ",""), Load_Booking_Report!AL:AL)), 0)), "Not Found")</f>
        <v/>
      </c>
      <c r="T34" s="21">
        <f>G34</f>
        <v/>
      </c>
      <c r="U34" s="33">
        <f t="array" ref="U34">IFERROR(
   IF(
      INDEX(Load_Booking_Report!AM:AM,
             MATCH(TRUE,
                     ISNUMBER(FIND(SUBSTITUTE(C34," ",""),
                                    Load_Booking_Report!AL:AL)),
                     0)
      )=0,
      "",
      INDEX(Load_Booking_Report!AM:AM,
             MATCH(TRUE,
                     ISNUMBER(FIND(SUBSTITUTE(C34," ",""),
                                    Load_Booking_Report!AL:AL)),
                     0)
      )
   ),
   ""
)</f>
        <v/>
      </c>
      <c r="V34" s="21">
        <f t="array" ref="V34">IFERROR(
   IF(
      INDEX(Load_Booking_Report!AR:AR,
             MATCH(TRUE,
                     ISNUMBER(FIND(SUBSTITUTE(C34," ",""),
                                    Load_Booking_Report!AL:AL)),
                     0)
      )=0,
      "",
      INDEX(Load_Booking_Report!AR:AR,
             MATCH(TRUE,
                     ISNUMBER(FIND(SUBSTITUTE(C34," ",""),
                                    Load_Booking_Report!AL:AL)),
                     0)
      )
   ),
   ""
)</f>
        <v/>
      </c>
      <c r="W34" s="21">
        <f t="array" ref="W34">IFERROR(INDEX(Load_Booking_Report!F:F, MATCH(TRUE, ISNUMBER(FIND(SUBSTITUTE(C34," ",""), Load_Booking_Report!AL:AL)), 0)), "Not Found")</f>
        <v/>
      </c>
      <c r="X34" s="21">
        <f t="array" ref="X34">IFERROR(INDEX(Load_Booking_Report!N:N, MATCH(TRUE, ISNUMBER(FIND(SUBSTITUTE(C34," ",""), Load_Booking_Report!AL:AL)), 0)), "Not Found")</f>
        <v/>
      </c>
      <c r="Y34" s="21">
        <f t="array" ref="Y34">IFERROR(INDEX(Load_Booking_Report!V:V, MATCH(TRUE, ISNUMBER(FIND(SUBSTITUTE(C34," ",""), Load_Booking_Report!AL:AL)), 0)), "Not Found")</f>
        <v/>
      </c>
      <c r="Z34" s="41">
        <f t="array" ref="Z34">IFERROR(INDEX(Load_Booking_Report!BC:BC, MATCH(TRUE, ISNUMBER(FIND(SUBSTITUTE(C34," ",""), Load_Booking_Report!AL:AL)), 0)), "Not Found")</f>
        <v/>
      </c>
    </row>
    <row r="35">
      <c r="A35" t="n">
        <v>27</v>
      </c>
      <c r="B35" t="n">
        <v>270802</v>
      </c>
      <c r="C35" t="inlineStr">
        <is>
          <t>ANON0000000</t>
        </is>
      </c>
      <c r="D35" t="n">
        <v>20</v>
      </c>
      <c r="E35" t="inlineStr">
        <is>
          <t>USNYC</t>
        </is>
      </c>
      <c r="F35" t="inlineStr">
        <is>
          <t>RULED</t>
        </is>
      </c>
      <c r="G35" t="n">
        <v>27050</v>
      </c>
      <c r="H35" t="inlineStr">
        <is>
          <t>ART</t>
        </is>
      </c>
      <c r="I35" t="inlineStr">
        <is>
          <t>22G1</t>
        </is>
      </c>
      <c r="L35" t="inlineStr">
        <is>
          <t>8'6</t>
        </is>
      </c>
      <c r="M35" t="inlineStr">
        <is>
          <t>Full</t>
        </is>
      </c>
      <c r="N35" t="inlineStr">
        <is>
          <t>RULED</t>
        </is>
      </c>
      <c r="P35" s="21">
        <f>C35</f>
        <v/>
      </c>
      <c r="Q35" s="21">
        <f t="array" ref="Q35">IFERROR(INDEX(Load_Booking_Report!AC:AC, MATCH(TRUE, ISNUMBER(FIND(SUBSTITUTE(C35," ",""), Load_Booking_Report!AL:AL)), 0)), "Not Found")</f>
        <v/>
      </c>
      <c r="R35" s="21">
        <f t="array" ref="R35">IFERROR(INDEX(Load_Booking_Report!C:C, MATCH(TRUE, ISNUMBER(FIND(SUBSTITUTE(C35," ",""), Load_Booking_Report!AL:AL)), 0)), "Not Found")</f>
        <v/>
      </c>
      <c r="S35" s="21">
        <f t="array" ref="S35">IFERROR(INDEX(Load_Booking_Report!AG:AG, MATCH(TRUE, ISNUMBER(FIND(SUBSTITUTE(C35," ",""), Load_Booking_Report!AL:AL)), 0)), "Not Found")</f>
        <v/>
      </c>
      <c r="T35" s="21">
        <f>G35</f>
        <v/>
      </c>
      <c r="U35" s="33">
        <f t="array" ref="U35">IFERROR(
   IF(
      INDEX(Load_Booking_Report!AM:AM,
             MATCH(TRUE,
                     ISNUMBER(FIND(SUBSTITUTE(C35," ",""),
                                    Load_Booking_Report!AL:AL)),
                     0)
      )=0,
      "",
      INDEX(Load_Booking_Report!AM:AM,
             MATCH(TRUE,
                     ISNUMBER(FIND(SUBSTITUTE(C35," ",""),
                                    Load_Booking_Report!AL:AL)),
                     0)
      )
   ),
   ""
)</f>
        <v/>
      </c>
      <c r="V35" s="21">
        <f t="array" ref="V35">IFERROR(
   IF(
      INDEX(Load_Booking_Report!AR:AR,
             MATCH(TRUE,
                     ISNUMBER(FIND(SUBSTITUTE(C35," ",""),
                                    Load_Booking_Report!AL:AL)),
                     0)
      )=0,
      "",
      INDEX(Load_Booking_Report!AR:AR,
             MATCH(TRUE,
                     ISNUMBER(FIND(SUBSTITUTE(C35," ",""),
                                    Load_Booking_Report!AL:AL)),
                     0)
      )
   ),
   ""
)</f>
        <v/>
      </c>
      <c r="W35" s="21">
        <f t="array" ref="W35">IFERROR(INDEX(Load_Booking_Report!F:F, MATCH(TRUE, ISNUMBER(FIND(SUBSTITUTE(C35," ",""), Load_Booking_Report!AL:AL)), 0)), "Not Found")</f>
        <v/>
      </c>
      <c r="X35" s="21">
        <f t="array" ref="X35">IFERROR(INDEX(Load_Booking_Report!N:N, MATCH(TRUE, ISNUMBER(FIND(SUBSTITUTE(C35," ",""), Load_Booking_Report!AL:AL)), 0)), "Not Found")</f>
        <v/>
      </c>
      <c r="Y35" s="21">
        <f t="array" ref="Y35">IFERROR(INDEX(Load_Booking_Report!V:V, MATCH(TRUE, ISNUMBER(FIND(SUBSTITUTE(C35," ",""), Load_Booking_Report!AL:AL)), 0)), "Not Found")</f>
        <v/>
      </c>
      <c r="Z35" s="41">
        <f t="array" ref="Z35">IFERROR(INDEX(Load_Booking_Report!BC:BC, MATCH(TRUE, ISNUMBER(FIND(SUBSTITUTE(C35," ",""), Load_Booking_Report!AL:AL)), 0)), "Not Found")</f>
        <v/>
      </c>
    </row>
    <row r="36">
      <c r="A36" t="n">
        <v>35</v>
      </c>
      <c r="B36" t="n">
        <v>350102</v>
      </c>
      <c r="C36" t="inlineStr">
        <is>
          <t>ANON0000000</t>
        </is>
      </c>
      <c r="D36" t="n">
        <v>20</v>
      </c>
      <c r="E36" t="inlineStr">
        <is>
          <t>USNYC</t>
        </is>
      </c>
      <c r="F36" t="inlineStr">
        <is>
          <t>RULED</t>
        </is>
      </c>
      <c r="G36" t="n">
        <v>27100</v>
      </c>
      <c r="H36" t="inlineStr">
        <is>
          <t>ART</t>
        </is>
      </c>
      <c r="I36" t="inlineStr">
        <is>
          <t>22G1</t>
        </is>
      </c>
      <c r="L36" t="inlineStr">
        <is>
          <t>8'6</t>
        </is>
      </c>
      <c r="M36" t="inlineStr">
        <is>
          <t>Full</t>
        </is>
      </c>
      <c r="N36" t="inlineStr">
        <is>
          <t>RULED</t>
        </is>
      </c>
      <c r="P36" s="21">
        <f>C36</f>
        <v/>
      </c>
      <c r="Q36" s="21">
        <f t="array" ref="Q36">IFERROR(INDEX(Load_Booking_Report!AC:AC, MATCH(TRUE, ISNUMBER(FIND(SUBSTITUTE(C36," ",""), Load_Booking_Report!AL:AL)), 0)), "Not Found")</f>
        <v/>
      </c>
      <c r="R36" s="21">
        <f t="array" ref="R36">IFERROR(INDEX(Load_Booking_Report!C:C, MATCH(TRUE, ISNUMBER(FIND(SUBSTITUTE(C36," ",""), Load_Booking_Report!AL:AL)), 0)), "Not Found")</f>
        <v/>
      </c>
      <c r="S36" s="21">
        <f t="array" ref="S36">IFERROR(INDEX(Load_Booking_Report!AG:AG, MATCH(TRUE, ISNUMBER(FIND(SUBSTITUTE(C36," ",""), Load_Booking_Report!AL:AL)), 0)), "Not Found")</f>
        <v/>
      </c>
      <c r="T36" s="21">
        <f>G36</f>
        <v/>
      </c>
      <c r="U36" s="33">
        <f t="array" ref="U36">IFERROR(
   IF(
      INDEX(Load_Booking_Report!AM:AM,
             MATCH(TRUE,
                     ISNUMBER(FIND(SUBSTITUTE(C36," ",""),
                                    Load_Booking_Report!AL:AL)),
                     0)
      )=0,
      "",
      INDEX(Load_Booking_Report!AM:AM,
             MATCH(TRUE,
                     ISNUMBER(FIND(SUBSTITUTE(C36," ",""),
                                    Load_Booking_Report!AL:AL)),
                     0)
      )
   ),
   ""
)</f>
        <v/>
      </c>
      <c r="V36" s="21">
        <f t="array" ref="V36">IFERROR(
   IF(
      INDEX(Load_Booking_Report!AR:AR,
             MATCH(TRUE,
                     ISNUMBER(FIND(SUBSTITUTE(C36," ",""),
                                    Load_Booking_Report!AL:AL)),
                     0)
      )=0,
      "",
      INDEX(Load_Booking_Report!AR:AR,
             MATCH(TRUE,
                     ISNUMBER(FIND(SUBSTITUTE(C36," ",""),
                                    Load_Booking_Report!AL:AL)),
                     0)
      )
   ),
   ""
)</f>
        <v/>
      </c>
      <c r="W36" s="21">
        <f t="array" ref="W36">IFERROR(INDEX(Load_Booking_Report!F:F, MATCH(TRUE, ISNUMBER(FIND(SUBSTITUTE(C36," ",""), Load_Booking_Report!AL:AL)), 0)), "Not Found")</f>
        <v/>
      </c>
      <c r="X36" s="21">
        <f t="array" ref="X36">IFERROR(INDEX(Load_Booking_Report!N:N, MATCH(TRUE, ISNUMBER(FIND(SUBSTITUTE(C36," ",""), Load_Booking_Report!AL:AL)), 0)), "Not Found")</f>
        <v/>
      </c>
      <c r="Y36" s="21">
        <f t="array" ref="Y36">IFERROR(INDEX(Load_Booking_Report!V:V, MATCH(TRUE, ISNUMBER(FIND(SUBSTITUTE(C36," ",""), Load_Booking_Report!AL:AL)), 0)), "Not Found")</f>
        <v/>
      </c>
      <c r="Z36" s="41">
        <f t="array" ref="Z36">IFERROR(INDEX(Load_Booking_Report!BC:BC, MATCH(TRUE, ISNUMBER(FIND(SUBSTITUTE(C36," ",""), Load_Booking_Report!AL:AL)), 0)), "Not Found")</f>
        <v/>
      </c>
    </row>
    <row r="37">
      <c r="A37" t="n">
        <v>29</v>
      </c>
      <c r="B37" t="n">
        <v>290804</v>
      </c>
      <c r="C37" t="inlineStr">
        <is>
          <t>ANON0000000</t>
        </is>
      </c>
      <c r="D37" t="n">
        <v>20</v>
      </c>
      <c r="E37" t="inlineStr">
        <is>
          <t>USNFK</t>
        </is>
      </c>
      <c r="F37" t="inlineStr">
        <is>
          <t>RULED</t>
        </is>
      </c>
      <c r="G37" t="n">
        <v>28150</v>
      </c>
      <c r="H37" t="inlineStr">
        <is>
          <t>ART</t>
        </is>
      </c>
      <c r="I37" t="inlineStr">
        <is>
          <t>22G1</t>
        </is>
      </c>
      <c r="L37" t="inlineStr">
        <is>
          <t>OOG</t>
        </is>
      </c>
      <c r="M37" t="inlineStr">
        <is>
          <t>Full</t>
        </is>
      </c>
      <c r="N37" t="inlineStr">
        <is>
          <t>RULED</t>
        </is>
      </c>
      <c r="P37" s="21">
        <f>C37</f>
        <v/>
      </c>
      <c r="Q37" s="21">
        <f t="array" ref="Q37">IFERROR(INDEX(Load_Booking_Report!AC:AC, MATCH(TRUE, ISNUMBER(FIND(SUBSTITUTE(C37," ",""), Load_Booking_Report!AL:AL)), 0)), "Not Found")</f>
        <v/>
      </c>
      <c r="R37" s="21">
        <f t="array" ref="R37">IFERROR(INDEX(Load_Booking_Report!C:C, MATCH(TRUE, ISNUMBER(FIND(SUBSTITUTE(C37," ",""), Load_Booking_Report!AL:AL)), 0)), "Not Found")</f>
        <v/>
      </c>
      <c r="S37" s="21">
        <f t="array" ref="S37">IFERROR(INDEX(Load_Booking_Report!AG:AG, MATCH(TRUE, ISNUMBER(FIND(SUBSTITUTE(C37," ",""), Load_Booking_Report!AL:AL)), 0)), "Not Found")</f>
        <v/>
      </c>
      <c r="T37" s="21">
        <f>G37</f>
        <v/>
      </c>
      <c r="U37" s="33">
        <f t="array" ref="U37">IFERROR(
   IF(
      INDEX(Load_Booking_Report!AM:AM,
             MATCH(TRUE,
                     ISNUMBER(FIND(SUBSTITUTE(C37," ",""),
                                    Load_Booking_Report!AL:AL)),
                     0)
      )=0,
      "",
      INDEX(Load_Booking_Report!AM:AM,
             MATCH(TRUE,
                     ISNUMBER(FIND(SUBSTITUTE(C37," ",""),
                                    Load_Booking_Report!AL:AL)),
                     0)
      )
   ),
   ""
)</f>
        <v/>
      </c>
      <c r="V37" s="21">
        <f t="array" ref="V37">IFERROR(
   IF(
      INDEX(Load_Booking_Report!AR:AR,
             MATCH(TRUE,
                     ISNUMBER(FIND(SUBSTITUTE(C37," ",""),
                                    Load_Booking_Report!AL:AL)),
                     0)
      )=0,
      "",
      INDEX(Load_Booking_Report!AR:AR,
             MATCH(TRUE,
                     ISNUMBER(FIND(SUBSTITUTE(C37," ",""),
                                    Load_Booking_Report!AL:AL)),
                     0)
      )
   ),
   ""
)</f>
        <v/>
      </c>
      <c r="W37" s="21">
        <f t="array" ref="W37">IFERROR(INDEX(Load_Booking_Report!F:F, MATCH(TRUE, ISNUMBER(FIND(SUBSTITUTE(C37," ",""), Load_Booking_Report!AL:AL)), 0)), "Not Found")</f>
        <v/>
      </c>
      <c r="X37" s="21">
        <f t="array" ref="X37">IFERROR(INDEX(Load_Booking_Report!N:N, MATCH(TRUE, ISNUMBER(FIND(SUBSTITUTE(C37," ",""), Load_Booking_Report!AL:AL)), 0)), "Not Found")</f>
        <v/>
      </c>
      <c r="Y37" s="21">
        <f t="array" ref="Y37">IFERROR(INDEX(Load_Booking_Report!V:V, MATCH(TRUE, ISNUMBER(FIND(SUBSTITUTE(C37," ",""), Load_Booking_Report!AL:AL)), 0)), "Not Found")</f>
        <v/>
      </c>
      <c r="Z37" s="41">
        <f t="array" ref="Z37">IFERROR(INDEX(Load_Booking_Report!BC:BC, MATCH(TRUE, ISNUMBER(FIND(SUBSTITUTE(C37," ",""), Load_Booking_Report!AL:AL)), 0)), "Not Found")</f>
        <v/>
      </c>
    </row>
    <row r="38">
      <c r="A38" t="n">
        <v>33</v>
      </c>
      <c r="B38" t="n">
        <v>330202</v>
      </c>
      <c r="C38" t="inlineStr">
        <is>
          <t>ANON0000000</t>
        </is>
      </c>
      <c r="D38" t="n">
        <v>20</v>
      </c>
      <c r="E38" t="inlineStr">
        <is>
          <t>USNYC</t>
        </is>
      </c>
      <c r="F38" t="inlineStr">
        <is>
          <t>RULED</t>
        </is>
      </c>
      <c r="G38" t="n">
        <v>27100</v>
      </c>
      <c r="H38" t="inlineStr">
        <is>
          <t>ART</t>
        </is>
      </c>
      <c r="I38" t="inlineStr">
        <is>
          <t>22G1</t>
        </is>
      </c>
      <c r="L38" t="inlineStr">
        <is>
          <t>8'6</t>
        </is>
      </c>
      <c r="M38" t="inlineStr">
        <is>
          <t>Full</t>
        </is>
      </c>
      <c r="N38" t="inlineStr">
        <is>
          <t>RULED</t>
        </is>
      </c>
      <c r="P38" s="21">
        <f>C38</f>
        <v/>
      </c>
      <c r="Q38" s="21">
        <f t="array" ref="Q38">IFERROR(INDEX(Load_Booking_Report!AC:AC, MATCH(TRUE, ISNUMBER(FIND(SUBSTITUTE(C38," ",""), Load_Booking_Report!AL:AL)), 0)), "Not Found")</f>
        <v/>
      </c>
      <c r="R38" s="21">
        <f t="array" ref="R38">IFERROR(INDEX(Load_Booking_Report!C:C, MATCH(TRUE, ISNUMBER(FIND(SUBSTITUTE(C38," ",""), Load_Booking_Report!AL:AL)), 0)), "Not Found")</f>
        <v/>
      </c>
      <c r="S38" s="21">
        <f t="array" ref="S38">IFERROR(INDEX(Load_Booking_Report!AG:AG, MATCH(TRUE, ISNUMBER(FIND(SUBSTITUTE(C38," ",""), Load_Booking_Report!AL:AL)), 0)), "Not Found")</f>
        <v/>
      </c>
      <c r="T38" s="21">
        <f>G38</f>
        <v/>
      </c>
      <c r="U38" s="33">
        <f t="array" ref="U38">IFERROR(
   IF(
      INDEX(Load_Booking_Report!AM:AM,
             MATCH(TRUE,
                     ISNUMBER(FIND(SUBSTITUTE(C38," ",""),
                                    Load_Booking_Report!AL:AL)),
                     0)
      )=0,
      "",
      INDEX(Load_Booking_Report!AM:AM,
             MATCH(TRUE,
                     ISNUMBER(FIND(SUBSTITUTE(C38," ",""),
                                    Load_Booking_Report!AL:AL)),
                     0)
      )
   ),
   ""
)</f>
        <v/>
      </c>
      <c r="V38" s="21">
        <f t="array" ref="V38">IFERROR(
   IF(
      INDEX(Load_Booking_Report!AR:AR,
             MATCH(TRUE,
                     ISNUMBER(FIND(SUBSTITUTE(C38," ",""),
                                    Load_Booking_Report!AL:AL)),
                     0)
      )=0,
      "",
      INDEX(Load_Booking_Report!AR:AR,
             MATCH(TRUE,
                     ISNUMBER(FIND(SUBSTITUTE(C38," ",""),
                                    Load_Booking_Report!AL:AL)),
                     0)
      )
   ),
   ""
)</f>
        <v/>
      </c>
      <c r="W38" s="21">
        <f t="array" ref="W38">IFERROR(INDEX(Load_Booking_Report!F:F, MATCH(TRUE, ISNUMBER(FIND(SUBSTITUTE(C38," ",""), Load_Booking_Report!AL:AL)), 0)), "Not Found")</f>
        <v/>
      </c>
      <c r="X38" s="21">
        <f t="array" ref="X38">IFERROR(INDEX(Load_Booking_Report!N:N, MATCH(TRUE, ISNUMBER(FIND(SUBSTITUTE(C38," ",""), Load_Booking_Report!AL:AL)), 0)), "Not Found")</f>
        <v/>
      </c>
      <c r="Y38" s="21">
        <f t="array" ref="Y38">IFERROR(INDEX(Load_Booking_Report!V:V, MATCH(TRUE, ISNUMBER(FIND(SUBSTITUTE(C38," ",""), Load_Booking_Report!AL:AL)), 0)), "Not Found")</f>
        <v/>
      </c>
      <c r="Z38" s="41">
        <f t="array" ref="Z38">IFERROR(INDEX(Load_Booking_Report!BC:BC, MATCH(TRUE, ISNUMBER(FIND(SUBSTITUTE(C38," ",""), Load_Booking_Report!AL:AL)), 0)), "Not Found")</f>
        <v/>
      </c>
    </row>
    <row r="39">
      <c r="A39" t="n">
        <v>1</v>
      </c>
      <c r="B39" t="n">
        <v>10004</v>
      </c>
      <c r="C39" t="inlineStr">
        <is>
          <t>ANON0000000</t>
        </is>
      </c>
      <c r="D39" t="n">
        <v>20</v>
      </c>
      <c r="E39" t="inlineStr">
        <is>
          <t>USNFK</t>
        </is>
      </c>
      <c r="F39" t="inlineStr">
        <is>
          <t>RULED</t>
        </is>
      </c>
      <c r="G39" t="n">
        <v>26230</v>
      </c>
      <c r="H39" t="inlineStr">
        <is>
          <t>ART</t>
        </is>
      </c>
      <c r="I39" t="inlineStr">
        <is>
          <t>22G1</t>
        </is>
      </c>
      <c r="L39" t="inlineStr">
        <is>
          <t>8'6</t>
        </is>
      </c>
      <c r="M39" t="inlineStr">
        <is>
          <t>Full</t>
        </is>
      </c>
      <c r="N39" t="inlineStr">
        <is>
          <t>RULED</t>
        </is>
      </c>
      <c r="P39" s="21">
        <f>C39</f>
        <v/>
      </c>
      <c r="Q39" s="21">
        <f t="array" ref="Q39">IFERROR(INDEX(Load_Booking_Report!AC:AC, MATCH(TRUE, ISNUMBER(FIND(SUBSTITUTE(C39," ",""), Load_Booking_Report!AL:AL)), 0)), "Not Found")</f>
        <v/>
      </c>
      <c r="R39" s="21">
        <f t="array" ref="R39">IFERROR(INDEX(Load_Booking_Report!C:C, MATCH(TRUE, ISNUMBER(FIND(SUBSTITUTE(C39," ",""), Load_Booking_Report!AL:AL)), 0)), "Not Found")</f>
        <v/>
      </c>
      <c r="S39" s="21">
        <f t="array" ref="S39">IFERROR(INDEX(Load_Booking_Report!AG:AG, MATCH(TRUE, ISNUMBER(FIND(SUBSTITUTE(C39," ",""), Load_Booking_Report!AL:AL)), 0)), "Not Found")</f>
        <v/>
      </c>
      <c r="T39" s="21">
        <f>G39</f>
        <v/>
      </c>
      <c r="U39" s="33">
        <f t="array" ref="U39">IFERROR(
   IF(
      INDEX(Load_Booking_Report!AM:AM,
             MATCH(TRUE,
                     ISNUMBER(FIND(SUBSTITUTE(C39," ",""),
                                    Load_Booking_Report!AL:AL)),
                     0)
      )=0,
      "",
      INDEX(Load_Booking_Report!AM:AM,
             MATCH(TRUE,
                     ISNUMBER(FIND(SUBSTITUTE(C39," ",""),
                                    Load_Booking_Report!AL:AL)),
                     0)
      )
   ),
   ""
)</f>
        <v/>
      </c>
      <c r="V39" s="21">
        <f t="array" ref="V39">IFERROR(
   IF(
      INDEX(Load_Booking_Report!AR:AR,
             MATCH(TRUE,
                     ISNUMBER(FIND(SUBSTITUTE(C39," ",""),
                                    Load_Booking_Report!AL:AL)),
                     0)
      )=0,
      "",
      INDEX(Load_Booking_Report!AR:AR,
             MATCH(TRUE,
                     ISNUMBER(FIND(SUBSTITUTE(C39," ",""),
                                    Load_Booking_Report!AL:AL)),
                     0)
      )
   ),
   ""
)</f>
        <v/>
      </c>
      <c r="W39" s="21">
        <f t="array" ref="W39">IFERROR(INDEX(Load_Booking_Report!F:F, MATCH(TRUE, ISNUMBER(FIND(SUBSTITUTE(C39," ",""), Load_Booking_Report!AL:AL)), 0)), "Not Found")</f>
        <v/>
      </c>
      <c r="X39" s="21">
        <f t="array" ref="X39">IFERROR(INDEX(Load_Booking_Report!N:N, MATCH(TRUE, ISNUMBER(FIND(SUBSTITUTE(C39," ",""), Load_Booking_Report!AL:AL)), 0)), "Not Found")</f>
        <v/>
      </c>
      <c r="Y39" s="21">
        <f t="array" ref="Y39">IFERROR(INDEX(Load_Booking_Report!V:V, MATCH(TRUE, ISNUMBER(FIND(SUBSTITUTE(C39," ",""), Load_Booking_Report!AL:AL)), 0)), "Not Found")</f>
        <v/>
      </c>
      <c r="Z39" s="41">
        <f t="array" ref="Z39">IFERROR(INDEX(Load_Booking_Report!BC:BC, MATCH(TRUE, ISNUMBER(FIND(SUBSTITUTE(C39," ",""), Load_Booking_Report!AL:AL)), 0)), "Not Found")</f>
        <v/>
      </c>
    </row>
    <row r="40">
      <c r="A40" t="n">
        <v>15</v>
      </c>
      <c r="B40" t="n">
        <v>150106</v>
      </c>
      <c r="C40" t="inlineStr">
        <is>
          <t>ANON0000000</t>
        </is>
      </c>
      <c r="D40" t="n">
        <v>20</v>
      </c>
      <c r="E40" t="inlineStr">
        <is>
          <t>USNFK</t>
        </is>
      </c>
      <c r="F40" t="inlineStr">
        <is>
          <t>RULED</t>
        </is>
      </c>
      <c r="G40" t="n">
        <v>22186</v>
      </c>
      <c r="H40" t="inlineStr">
        <is>
          <t>ART</t>
        </is>
      </c>
      <c r="I40" t="inlineStr">
        <is>
          <t>22G1</t>
        </is>
      </c>
      <c r="L40" t="inlineStr">
        <is>
          <t>OOG</t>
        </is>
      </c>
      <c r="M40" t="inlineStr">
        <is>
          <t>Full</t>
        </is>
      </c>
      <c r="N40" t="inlineStr">
        <is>
          <t>RULED</t>
        </is>
      </c>
      <c r="P40" s="21">
        <f>C40</f>
        <v/>
      </c>
      <c r="Q40" s="21">
        <f t="array" ref="Q40">IFERROR(INDEX(Load_Booking_Report!AC:AC, MATCH(TRUE, ISNUMBER(FIND(SUBSTITUTE(C40," ",""), Load_Booking_Report!AL:AL)), 0)), "Not Found")</f>
        <v/>
      </c>
      <c r="R40" s="21">
        <f t="array" ref="R40">IFERROR(INDEX(Load_Booking_Report!C:C, MATCH(TRUE, ISNUMBER(FIND(SUBSTITUTE(C40," ",""), Load_Booking_Report!AL:AL)), 0)), "Not Found")</f>
        <v/>
      </c>
      <c r="S40" s="21">
        <f t="array" ref="S40">IFERROR(INDEX(Load_Booking_Report!AG:AG, MATCH(TRUE, ISNUMBER(FIND(SUBSTITUTE(C40," ",""), Load_Booking_Report!AL:AL)), 0)), "Not Found")</f>
        <v/>
      </c>
      <c r="T40" s="21">
        <f>G40</f>
        <v/>
      </c>
      <c r="U40" s="33">
        <f t="array" ref="U40">IFERROR(
   IF(
      INDEX(Load_Booking_Report!AM:AM,
             MATCH(TRUE,
                     ISNUMBER(FIND(SUBSTITUTE(C40," ",""),
                                    Load_Booking_Report!AL:AL)),
                     0)
      )=0,
      "",
      INDEX(Load_Booking_Report!AM:AM,
             MATCH(TRUE,
                     ISNUMBER(FIND(SUBSTITUTE(C40," ",""),
                                    Load_Booking_Report!AL:AL)),
                     0)
      )
   ),
   ""
)</f>
        <v/>
      </c>
      <c r="V40" s="21">
        <f t="array" ref="V40">IFERROR(
   IF(
      INDEX(Load_Booking_Report!AR:AR,
             MATCH(TRUE,
                     ISNUMBER(FIND(SUBSTITUTE(C40," ",""),
                                    Load_Booking_Report!AL:AL)),
                     0)
      )=0,
      "",
      INDEX(Load_Booking_Report!AR:AR,
             MATCH(TRUE,
                     ISNUMBER(FIND(SUBSTITUTE(C40," ",""),
                                    Load_Booking_Report!AL:AL)),
                     0)
      )
   ),
   ""
)</f>
        <v/>
      </c>
      <c r="W40" s="21">
        <f t="array" ref="W40">IFERROR(INDEX(Load_Booking_Report!F:F, MATCH(TRUE, ISNUMBER(FIND(SUBSTITUTE(C40," ",""), Load_Booking_Report!AL:AL)), 0)), "Not Found")</f>
        <v/>
      </c>
      <c r="X40" s="21">
        <f t="array" ref="X40">IFERROR(INDEX(Load_Booking_Report!N:N, MATCH(TRUE, ISNUMBER(FIND(SUBSTITUTE(C40," ",""), Load_Booking_Report!AL:AL)), 0)), "Not Found")</f>
        <v/>
      </c>
      <c r="Y40" s="21">
        <f t="array" ref="Y40">IFERROR(INDEX(Load_Booking_Report!V:V, MATCH(TRUE, ISNUMBER(FIND(SUBSTITUTE(C40," ",""), Load_Booking_Report!AL:AL)), 0)), "Not Found")</f>
        <v/>
      </c>
      <c r="Z40" s="41">
        <f t="array" ref="Z40">IFERROR(INDEX(Load_Booking_Report!BC:BC, MATCH(TRUE, ISNUMBER(FIND(SUBSTITUTE(C40," ",""), Load_Booking_Report!AL:AL)), 0)), "Not Found")</f>
        <v/>
      </c>
    </row>
    <row r="41">
      <c r="A41" t="n">
        <v>29</v>
      </c>
      <c r="B41" t="n">
        <v>290202</v>
      </c>
      <c r="C41" t="inlineStr">
        <is>
          <t>ANON0000000</t>
        </is>
      </c>
      <c r="D41" t="n">
        <v>20</v>
      </c>
      <c r="E41" t="inlineStr">
        <is>
          <t>USNFK</t>
        </is>
      </c>
      <c r="F41" t="inlineStr">
        <is>
          <t>RULED</t>
        </is>
      </c>
      <c r="G41" t="n">
        <v>28080</v>
      </c>
      <c r="H41" t="inlineStr">
        <is>
          <t>ART</t>
        </is>
      </c>
      <c r="I41" t="inlineStr">
        <is>
          <t>22G1</t>
        </is>
      </c>
      <c r="L41" t="inlineStr">
        <is>
          <t>OOG</t>
        </is>
      </c>
      <c r="M41" t="inlineStr">
        <is>
          <t>Full</t>
        </is>
      </c>
      <c r="N41" t="inlineStr">
        <is>
          <t>RULED</t>
        </is>
      </c>
      <c r="P41" s="21">
        <f>C41</f>
        <v/>
      </c>
      <c r="Q41" s="21">
        <f t="array" ref="Q41">IFERROR(INDEX(Load_Booking_Report!AC:AC, MATCH(TRUE, ISNUMBER(FIND(SUBSTITUTE(C41," ",""), Load_Booking_Report!AL:AL)), 0)), "Not Found")</f>
        <v/>
      </c>
      <c r="R41" s="21">
        <f t="array" ref="R41">IFERROR(INDEX(Load_Booking_Report!C:C, MATCH(TRUE, ISNUMBER(FIND(SUBSTITUTE(C41," ",""), Load_Booking_Report!AL:AL)), 0)), "Not Found")</f>
        <v/>
      </c>
      <c r="S41" s="21">
        <f t="array" ref="S41">IFERROR(INDEX(Load_Booking_Report!AG:AG, MATCH(TRUE, ISNUMBER(FIND(SUBSTITUTE(C41," ",""), Load_Booking_Report!AL:AL)), 0)), "Not Found")</f>
        <v/>
      </c>
      <c r="T41" s="21">
        <f>G41</f>
        <v/>
      </c>
      <c r="U41" s="33">
        <f t="array" ref="U41">IFERROR(
   IF(
      INDEX(Load_Booking_Report!AM:AM,
             MATCH(TRUE,
                     ISNUMBER(FIND(SUBSTITUTE(C41," ",""),
                                    Load_Booking_Report!AL:AL)),
                     0)
      )=0,
      "",
      INDEX(Load_Booking_Report!AM:AM,
             MATCH(TRUE,
                     ISNUMBER(FIND(SUBSTITUTE(C41," ",""),
                                    Load_Booking_Report!AL:AL)),
                     0)
      )
   ),
   ""
)</f>
        <v/>
      </c>
      <c r="V41" s="21">
        <f t="array" ref="V41">IFERROR(
   IF(
      INDEX(Load_Booking_Report!AR:AR,
             MATCH(TRUE,
                     ISNUMBER(FIND(SUBSTITUTE(C41," ",""),
                                    Load_Booking_Report!AL:AL)),
                     0)
      )=0,
      "",
      INDEX(Load_Booking_Report!AR:AR,
             MATCH(TRUE,
                     ISNUMBER(FIND(SUBSTITUTE(C41," ",""),
                                    Load_Booking_Report!AL:AL)),
                     0)
      )
   ),
   ""
)</f>
        <v/>
      </c>
      <c r="W41" s="21">
        <f t="array" ref="W41">IFERROR(INDEX(Load_Booking_Report!F:F, MATCH(TRUE, ISNUMBER(FIND(SUBSTITUTE(C41," ",""), Load_Booking_Report!AL:AL)), 0)), "Not Found")</f>
        <v/>
      </c>
      <c r="X41" s="21">
        <f t="array" ref="X41">IFERROR(INDEX(Load_Booking_Report!N:N, MATCH(TRUE, ISNUMBER(FIND(SUBSTITUTE(C41," ",""), Load_Booking_Report!AL:AL)), 0)), "Not Found")</f>
        <v/>
      </c>
      <c r="Y41" s="21">
        <f t="array" ref="Y41">IFERROR(INDEX(Load_Booking_Report!V:V, MATCH(TRUE, ISNUMBER(FIND(SUBSTITUTE(C41," ",""), Load_Booking_Report!AL:AL)), 0)), "Not Found")</f>
        <v/>
      </c>
      <c r="Z41" s="41">
        <f t="array" ref="Z41">IFERROR(INDEX(Load_Booking_Report!BC:BC, MATCH(TRUE, ISNUMBER(FIND(SUBSTITUTE(C41," ",""), Load_Booking_Report!AL:AL)), 0)), "Not Found")</f>
        <v/>
      </c>
    </row>
    <row r="42">
      <c r="A42" t="n">
        <v>15</v>
      </c>
      <c r="B42" t="n">
        <v>150206</v>
      </c>
      <c r="C42" t="inlineStr">
        <is>
          <t>ANON0000000</t>
        </is>
      </c>
      <c r="D42" t="n">
        <v>20</v>
      </c>
      <c r="E42" t="inlineStr">
        <is>
          <t>USNFK</t>
        </is>
      </c>
      <c r="F42" t="inlineStr">
        <is>
          <t>RULED</t>
        </is>
      </c>
      <c r="G42" t="n">
        <v>21275</v>
      </c>
      <c r="H42" t="inlineStr">
        <is>
          <t>ART</t>
        </is>
      </c>
      <c r="I42" t="inlineStr">
        <is>
          <t>22G1</t>
        </is>
      </c>
      <c r="L42" t="inlineStr">
        <is>
          <t>OOG</t>
        </is>
      </c>
      <c r="M42" t="inlineStr">
        <is>
          <t>Full</t>
        </is>
      </c>
      <c r="N42" t="inlineStr">
        <is>
          <t>RULED</t>
        </is>
      </c>
      <c r="P42" s="21">
        <f>C42</f>
        <v/>
      </c>
      <c r="Q42" s="21">
        <f t="array" ref="Q42">IFERROR(INDEX(Load_Booking_Report!AC:AC, MATCH(TRUE, ISNUMBER(FIND(SUBSTITUTE(C42," ",""), Load_Booking_Report!AL:AL)), 0)), "Not Found")</f>
        <v/>
      </c>
      <c r="R42" s="21">
        <f t="array" ref="R42">IFERROR(INDEX(Load_Booking_Report!C:C, MATCH(TRUE, ISNUMBER(FIND(SUBSTITUTE(C42," ",""), Load_Booking_Report!AL:AL)), 0)), "Not Found")</f>
        <v/>
      </c>
      <c r="S42" s="21">
        <f t="array" ref="S42">IFERROR(INDEX(Load_Booking_Report!AG:AG, MATCH(TRUE, ISNUMBER(FIND(SUBSTITUTE(C42," ",""), Load_Booking_Report!AL:AL)), 0)), "Not Found")</f>
        <v/>
      </c>
      <c r="T42" s="21">
        <f>G42</f>
        <v/>
      </c>
      <c r="U42" s="33">
        <f t="array" ref="U42">IFERROR(
   IF(
      INDEX(Load_Booking_Report!AM:AM,
             MATCH(TRUE,
                     ISNUMBER(FIND(SUBSTITUTE(C42," ",""),
                                    Load_Booking_Report!AL:AL)),
                     0)
      )=0,
      "",
      INDEX(Load_Booking_Report!AM:AM,
             MATCH(TRUE,
                     ISNUMBER(FIND(SUBSTITUTE(C42," ",""),
                                    Load_Booking_Report!AL:AL)),
                     0)
      )
   ),
   ""
)</f>
        <v/>
      </c>
      <c r="V42" s="21">
        <f t="array" ref="V42">IFERROR(
   IF(
      INDEX(Load_Booking_Report!AR:AR,
             MATCH(TRUE,
                     ISNUMBER(FIND(SUBSTITUTE(C42," ",""),
                                    Load_Booking_Report!AL:AL)),
                     0)
      )=0,
      "",
      INDEX(Load_Booking_Report!AR:AR,
             MATCH(TRUE,
                     ISNUMBER(FIND(SUBSTITUTE(C42," ",""),
                                    Load_Booking_Report!AL:AL)),
                     0)
      )
   ),
   ""
)</f>
        <v/>
      </c>
      <c r="W42" s="21">
        <f t="array" ref="W42">IFERROR(INDEX(Load_Booking_Report!F:F, MATCH(TRUE, ISNUMBER(FIND(SUBSTITUTE(C42," ",""), Load_Booking_Report!AL:AL)), 0)), "Not Found")</f>
        <v/>
      </c>
      <c r="X42" s="21">
        <f t="array" ref="X42">IFERROR(INDEX(Load_Booking_Report!N:N, MATCH(TRUE, ISNUMBER(FIND(SUBSTITUTE(C42," ",""), Load_Booking_Report!AL:AL)), 0)), "Not Found")</f>
        <v/>
      </c>
      <c r="Y42" s="21">
        <f t="array" ref="Y42">IFERROR(INDEX(Load_Booking_Report!V:V, MATCH(TRUE, ISNUMBER(FIND(SUBSTITUTE(C42," ",""), Load_Booking_Report!AL:AL)), 0)), "Not Found")</f>
        <v/>
      </c>
      <c r="Z42" s="41">
        <f t="array" ref="Z42">IFERROR(INDEX(Load_Booking_Report!BC:BC, MATCH(TRUE, ISNUMBER(FIND(SUBSTITUTE(C42," ",""), Load_Booking_Report!AL:AL)), 0)), "Not Found")</f>
        <v/>
      </c>
    </row>
    <row r="43">
      <c r="A43" t="n">
        <v>25</v>
      </c>
      <c r="B43" t="n">
        <v>250502</v>
      </c>
      <c r="C43" t="inlineStr">
        <is>
          <t>ANON0000000</t>
        </is>
      </c>
      <c r="D43" t="n">
        <v>20</v>
      </c>
      <c r="E43" t="inlineStr">
        <is>
          <t>USNYC</t>
        </is>
      </c>
      <c r="F43" t="inlineStr">
        <is>
          <t>RULED</t>
        </is>
      </c>
      <c r="G43" t="n">
        <v>27180</v>
      </c>
      <c r="H43" t="inlineStr">
        <is>
          <t>ART</t>
        </is>
      </c>
      <c r="I43" t="inlineStr">
        <is>
          <t>22G1</t>
        </is>
      </c>
      <c r="L43" t="inlineStr">
        <is>
          <t>8'6</t>
        </is>
      </c>
      <c r="M43" t="inlineStr">
        <is>
          <t>Full</t>
        </is>
      </c>
      <c r="N43" t="inlineStr">
        <is>
          <t>RULED</t>
        </is>
      </c>
      <c r="P43" s="21">
        <f>C43</f>
        <v/>
      </c>
      <c r="Q43" s="21">
        <f t="array" ref="Q43">IFERROR(INDEX(Load_Booking_Report!AC:AC, MATCH(TRUE, ISNUMBER(FIND(SUBSTITUTE(C43," ",""), Load_Booking_Report!AL:AL)), 0)), "Not Found")</f>
        <v/>
      </c>
      <c r="R43" s="21">
        <f t="array" ref="R43">IFERROR(INDEX(Load_Booking_Report!C:C, MATCH(TRUE, ISNUMBER(FIND(SUBSTITUTE(C43," ",""), Load_Booking_Report!AL:AL)), 0)), "Not Found")</f>
        <v/>
      </c>
      <c r="S43" s="21">
        <f t="array" ref="S43">IFERROR(INDEX(Load_Booking_Report!AG:AG, MATCH(TRUE, ISNUMBER(FIND(SUBSTITUTE(C43," ",""), Load_Booking_Report!AL:AL)), 0)), "Not Found")</f>
        <v/>
      </c>
      <c r="T43" s="21">
        <f>G43</f>
        <v/>
      </c>
      <c r="U43" s="33">
        <f t="array" ref="U43">IFERROR(
   IF(
      INDEX(Load_Booking_Report!AM:AM,
             MATCH(TRUE,
                     ISNUMBER(FIND(SUBSTITUTE(C43," ",""),
                                    Load_Booking_Report!AL:AL)),
                     0)
      )=0,
      "",
      INDEX(Load_Booking_Report!AM:AM,
             MATCH(TRUE,
                     ISNUMBER(FIND(SUBSTITUTE(C43," ",""),
                                    Load_Booking_Report!AL:AL)),
                     0)
      )
   ),
   ""
)</f>
        <v/>
      </c>
      <c r="V43" s="21">
        <f t="array" ref="V43">IFERROR(
   IF(
      INDEX(Load_Booking_Report!AR:AR,
             MATCH(TRUE,
                     ISNUMBER(FIND(SUBSTITUTE(C43," ",""),
                                    Load_Booking_Report!AL:AL)),
                     0)
      )=0,
      "",
      INDEX(Load_Booking_Report!AR:AR,
             MATCH(TRUE,
                     ISNUMBER(FIND(SUBSTITUTE(C43," ",""),
                                    Load_Booking_Report!AL:AL)),
                     0)
      )
   ),
   ""
)</f>
        <v/>
      </c>
      <c r="W43" s="21">
        <f t="array" ref="W43">IFERROR(INDEX(Load_Booking_Report!F:F, MATCH(TRUE, ISNUMBER(FIND(SUBSTITUTE(C43," ",""), Load_Booking_Report!AL:AL)), 0)), "Not Found")</f>
        <v/>
      </c>
      <c r="X43" s="21">
        <f t="array" ref="X43">IFERROR(INDEX(Load_Booking_Report!N:N, MATCH(TRUE, ISNUMBER(FIND(SUBSTITUTE(C43," ",""), Load_Booking_Report!AL:AL)), 0)), "Not Found")</f>
        <v/>
      </c>
      <c r="Y43" s="21">
        <f t="array" ref="Y43">IFERROR(INDEX(Load_Booking_Report!V:V, MATCH(TRUE, ISNUMBER(FIND(SUBSTITUTE(C43," ",""), Load_Booking_Report!AL:AL)), 0)), "Not Found")</f>
        <v/>
      </c>
      <c r="Z43" s="41">
        <f t="array" ref="Z43">IFERROR(INDEX(Load_Booking_Report!BC:BC, MATCH(TRUE, ISNUMBER(FIND(SUBSTITUTE(C43," ",""), Load_Booking_Report!AL:AL)), 0)), "Not Found")</f>
        <v/>
      </c>
    </row>
    <row r="44">
      <c r="A44" t="n">
        <v>7</v>
      </c>
      <c r="B44" t="n">
        <v>70304</v>
      </c>
      <c r="C44" t="inlineStr">
        <is>
          <t>ANON0000000</t>
        </is>
      </c>
      <c r="D44" t="n">
        <v>20</v>
      </c>
      <c r="E44" t="inlineStr">
        <is>
          <t>USNFK</t>
        </is>
      </c>
      <c r="F44" t="inlineStr">
        <is>
          <t>RULED</t>
        </is>
      </c>
      <c r="G44" t="n">
        <v>28250</v>
      </c>
      <c r="H44" t="inlineStr">
        <is>
          <t>ART</t>
        </is>
      </c>
      <c r="I44" t="inlineStr">
        <is>
          <t>22G1</t>
        </is>
      </c>
      <c r="L44" t="inlineStr">
        <is>
          <t>8'6</t>
        </is>
      </c>
      <c r="M44" t="inlineStr">
        <is>
          <t>Full</t>
        </is>
      </c>
      <c r="N44" t="inlineStr">
        <is>
          <t>RULED</t>
        </is>
      </c>
      <c r="P44" s="21">
        <f>C44</f>
        <v/>
      </c>
      <c r="Q44" s="21">
        <f t="array" ref="Q44">IFERROR(INDEX(Load_Booking_Report!AC:AC, MATCH(TRUE, ISNUMBER(FIND(SUBSTITUTE(C44," ",""), Load_Booking_Report!AL:AL)), 0)), "Not Found")</f>
        <v/>
      </c>
      <c r="R44" s="21">
        <f t="array" ref="R44">IFERROR(INDEX(Load_Booking_Report!C:C, MATCH(TRUE, ISNUMBER(FIND(SUBSTITUTE(C44," ",""), Load_Booking_Report!AL:AL)), 0)), "Not Found")</f>
        <v/>
      </c>
      <c r="S44" s="21">
        <f t="array" ref="S44">IFERROR(INDEX(Load_Booking_Report!AG:AG, MATCH(TRUE, ISNUMBER(FIND(SUBSTITUTE(C44," ",""), Load_Booking_Report!AL:AL)), 0)), "Not Found")</f>
        <v/>
      </c>
      <c r="T44" s="21">
        <f>G44</f>
        <v/>
      </c>
      <c r="U44" s="33">
        <f t="array" ref="U44">IFERROR(
   IF(
      INDEX(Load_Booking_Report!AM:AM,
             MATCH(TRUE,
                     ISNUMBER(FIND(SUBSTITUTE(C44," ",""),
                                    Load_Booking_Report!AL:AL)),
                     0)
      )=0,
      "",
      INDEX(Load_Booking_Report!AM:AM,
             MATCH(TRUE,
                     ISNUMBER(FIND(SUBSTITUTE(C44," ",""),
                                    Load_Booking_Report!AL:AL)),
                     0)
      )
   ),
   ""
)</f>
        <v/>
      </c>
      <c r="V44" s="21">
        <f t="array" ref="V44">IFERROR(
   IF(
      INDEX(Load_Booking_Report!AR:AR,
             MATCH(TRUE,
                     ISNUMBER(FIND(SUBSTITUTE(C44," ",""),
                                    Load_Booking_Report!AL:AL)),
                     0)
      )=0,
      "",
      INDEX(Load_Booking_Report!AR:AR,
             MATCH(TRUE,
                     ISNUMBER(FIND(SUBSTITUTE(C44," ",""),
                                    Load_Booking_Report!AL:AL)),
                     0)
      )
   ),
   ""
)</f>
        <v/>
      </c>
      <c r="W44" s="21">
        <f t="array" ref="W44">IFERROR(INDEX(Load_Booking_Report!F:F, MATCH(TRUE, ISNUMBER(FIND(SUBSTITUTE(C44," ",""), Load_Booking_Report!AL:AL)), 0)), "Not Found")</f>
        <v/>
      </c>
      <c r="X44" s="21">
        <f t="array" ref="X44">IFERROR(INDEX(Load_Booking_Report!N:N, MATCH(TRUE, ISNUMBER(FIND(SUBSTITUTE(C44," ",""), Load_Booking_Report!AL:AL)), 0)), "Not Found")</f>
        <v/>
      </c>
      <c r="Y44" s="21">
        <f t="array" ref="Y44">IFERROR(INDEX(Load_Booking_Report!V:V, MATCH(TRUE, ISNUMBER(FIND(SUBSTITUTE(C44," ",""), Load_Booking_Report!AL:AL)), 0)), "Not Found")</f>
        <v/>
      </c>
      <c r="Z44" s="41">
        <f t="array" ref="Z44">IFERROR(INDEX(Load_Booking_Report!BC:BC, MATCH(TRUE, ISNUMBER(FIND(SUBSTITUTE(C44," ",""), Load_Booking_Report!AL:AL)), 0)), "Not Found")</f>
        <v/>
      </c>
    </row>
    <row r="45">
      <c r="A45" t="n">
        <v>29</v>
      </c>
      <c r="B45" t="n">
        <v>290302</v>
      </c>
      <c r="C45" t="inlineStr">
        <is>
          <t>ANON0000000</t>
        </is>
      </c>
      <c r="D45" t="n">
        <v>20</v>
      </c>
      <c r="E45" t="inlineStr">
        <is>
          <t>USNFK</t>
        </is>
      </c>
      <c r="F45" t="inlineStr">
        <is>
          <t>RULED</t>
        </is>
      </c>
      <c r="G45" t="n">
        <v>28150</v>
      </c>
      <c r="H45" t="inlineStr">
        <is>
          <t>ART</t>
        </is>
      </c>
      <c r="I45" t="inlineStr">
        <is>
          <t>22G1</t>
        </is>
      </c>
      <c r="L45" t="inlineStr">
        <is>
          <t>OOG</t>
        </is>
      </c>
      <c r="M45" t="inlineStr">
        <is>
          <t>Full</t>
        </is>
      </c>
      <c r="N45" t="inlineStr">
        <is>
          <t>RULED</t>
        </is>
      </c>
      <c r="P45" s="21">
        <f>C45</f>
        <v/>
      </c>
      <c r="Q45" s="21">
        <f t="array" ref="Q45">IFERROR(INDEX(Load_Booking_Report!AC:AC, MATCH(TRUE, ISNUMBER(FIND(SUBSTITUTE(C45," ",""), Load_Booking_Report!AL:AL)), 0)), "Not Found")</f>
        <v/>
      </c>
      <c r="R45" s="21">
        <f t="array" ref="R45">IFERROR(INDEX(Load_Booking_Report!C:C, MATCH(TRUE, ISNUMBER(FIND(SUBSTITUTE(C45," ",""), Load_Booking_Report!AL:AL)), 0)), "Not Found")</f>
        <v/>
      </c>
      <c r="S45" s="21">
        <f t="array" ref="S45">IFERROR(INDEX(Load_Booking_Report!AG:AG, MATCH(TRUE, ISNUMBER(FIND(SUBSTITUTE(C45," ",""), Load_Booking_Report!AL:AL)), 0)), "Not Found")</f>
        <v/>
      </c>
      <c r="T45" s="21">
        <f>G45</f>
        <v/>
      </c>
      <c r="U45" s="33">
        <f t="array" ref="U45">IFERROR(
   IF(
      INDEX(Load_Booking_Report!AM:AM,
             MATCH(TRUE,
                     ISNUMBER(FIND(SUBSTITUTE(C45," ",""),
                                    Load_Booking_Report!AL:AL)),
                     0)
      )=0,
      "",
      INDEX(Load_Booking_Report!AM:AM,
             MATCH(TRUE,
                     ISNUMBER(FIND(SUBSTITUTE(C45," ",""),
                                    Load_Booking_Report!AL:AL)),
                     0)
      )
   ),
   ""
)</f>
        <v/>
      </c>
      <c r="V45" s="21">
        <f t="array" ref="V45">IFERROR(
   IF(
      INDEX(Load_Booking_Report!AR:AR,
             MATCH(TRUE,
                     ISNUMBER(FIND(SUBSTITUTE(C45," ",""),
                                    Load_Booking_Report!AL:AL)),
                     0)
      )=0,
      "",
      INDEX(Load_Booking_Report!AR:AR,
             MATCH(TRUE,
                     ISNUMBER(FIND(SUBSTITUTE(C45," ",""),
                                    Load_Booking_Report!AL:AL)),
                     0)
      )
   ),
   ""
)</f>
        <v/>
      </c>
      <c r="W45" s="21">
        <f t="array" ref="W45">IFERROR(INDEX(Load_Booking_Report!F:F, MATCH(TRUE, ISNUMBER(FIND(SUBSTITUTE(C45," ",""), Load_Booking_Report!AL:AL)), 0)), "Not Found")</f>
        <v/>
      </c>
      <c r="X45" s="21">
        <f t="array" ref="X45">IFERROR(INDEX(Load_Booking_Report!N:N, MATCH(TRUE, ISNUMBER(FIND(SUBSTITUTE(C45," ",""), Load_Booking_Report!AL:AL)), 0)), "Not Found")</f>
        <v/>
      </c>
      <c r="Y45" s="21">
        <f t="array" ref="Y45">IFERROR(INDEX(Load_Booking_Report!V:V, MATCH(TRUE, ISNUMBER(FIND(SUBSTITUTE(C45," ",""), Load_Booking_Report!AL:AL)), 0)), "Not Found")</f>
        <v/>
      </c>
      <c r="Z45" s="41">
        <f t="array" ref="Z45">IFERROR(INDEX(Load_Booking_Report!BC:BC, MATCH(TRUE, ISNUMBER(FIND(SUBSTITUTE(C45," ",""), Load_Booking_Report!AL:AL)), 0)), "Not Found")</f>
        <v/>
      </c>
    </row>
    <row r="46">
      <c r="A46" t="n">
        <v>29</v>
      </c>
      <c r="B46" t="n">
        <v>290104</v>
      </c>
      <c r="C46" t="inlineStr">
        <is>
          <t>ANON0000000</t>
        </is>
      </c>
      <c r="D46" t="n">
        <v>20</v>
      </c>
      <c r="E46" t="inlineStr">
        <is>
          <t>USNFK</t>
        </is>
      </c>
      <c r="F46" t="inlineStr">
        <is>
          <t>RULED</t>
        </is>
      </c>
      <c r="G46" t="n">
        <v>27840</v>
      </c>
      <c r="H46" t="inlineStr">
        <is>
          <t>ART</t>
        </is>
      </c>
      <c r="I46" t="inlineStr">
        <is>
          <t>22G1</t>
        </is>
      </c>
      <c r="L46" t="inlineStr">
        <is>
          <t>OOG</t>
        </is>
      </c>
      <c r="M46" t="inlineStr">
        <is>
          <t>Full</t>
        </is>
      </c>
      <c r="N46" t="inlineStr">
        <is>
          <t>RULED</t>
        </is>
      </c>
      <c r="P46" s="21">
        <f>C46</f>
        <v/>
      </c>
      <c r="Q46" s="21">
        <f t="array" ref="Q46">IFERROR(INDEX(Load_Booking_Report!AC:AC, MATCH(TRUE, ISNUMBER(FIND(SUBSTITUTE(C46," ",""), Load_Booking_Report!AL:AL)), 0)), "Not Found")</f>
        <v/>
      </c>
      <c r="R46" s="21">
        <f t="array" ref="R46">IFERROR(INDEX(Load_Booking_Report!C:C, MATCH(TRUE, ISNUMBER(FIND(SUBSTITUTE(C46," ",""), Load_Booking_Report!AL:AL)), 0)), "Not Found")</f>
        <v/>
      </c>
      <c r="S46" s="21">
        <f t="array" ref="S46">IFERROR(INDEX(Load_Booking_Report!AG:AG, MATCH(TRUE, ISNUMBER(FIND(SUBSTITUTE(C46," ",""), Load_Booking_Report!AL:AL)), 0)), "Not Found")</f>
        <v/>
      </c>
      <c r="T46" s="21">
        <f>G46</f>
        <v/>
      </c>
      <c r="U46" s="33">
        <f t="array" ref="U46">IFERROR(
   IF(
      INDEX(Load_Booking_Report!AM:AM,
             MATCH(TRUE,
                     ISNUMBER(FIND(SUBSTITUTE(C46," ",""),
                                    Load_Booking_Report!AL:AL)),
                     0)
      )=0,
      "",
      INDEX(Load_Booking_Report!AM:AM,
             MATCH(TRUE,
                     ISNUMBER(FIND(SUBSTITUTE(C46," ",""),
                                    Load_Booking_Report!AL:AL)),
                     0)
      )
   ),
   ""
)</f>
        <v/>
      </c>
      <c r="V46" s="21">
        <f t="array" ref="V46">IFERROR(
   IF(
      INDEX(Load_Booking_Report!AR:AR,
             MATCH(TRUE,
                     ISNUMBER(FIND(SUBSTITUTE(C46," ",""),
                                    Load_Booking_Report!AL:AL)),
                     0)
      )=0,
      "",
      INDEX(Load_Booking_Report!AR:AR,
             MATCH(TRUE,
                     ISNUMBER(FIND(SUBSTITUTE(C46," ",""),
                                    Load_Booking_Report!AL:AL)),
                     0)
      )
   ),
   ""
)</f>
        <v/>
      </c>
      <c r="W46" s="21">
        <f t="array" ref="W46">IFERROR(INDEX(Load_Booking_Report!F:F, MATCH(TRUE, ISNUMBER(FIND(SUBSTITUTE(C46," ",""), Load_Booking_Report!AL:AL)), 0)), "Not Found")</f>
        <v/>
      </c>
      <c r="X46" s="21">
        <f t="array" ref="X46">IFERROR(INDEX(Load_Booking_Report!N:N, MATCH(TRUE, ISNUMBER(FIND(SUBSTITUTE(C46," ",""), Load_Booking_Report!AL:AL)), 0)), "Not Found")</f>
        <v/>
      </c>
      <c r="Y46" s="21">
        <f t="array" ref="Y46">IFERROR(INDEX(Load_Booking_Report!V:V, MATCH(TRUE, ISNUMBER(FIND(SUBSTITUTE(C46," ",""), Load_Booking_Report!AL:AL)), 0)), "Not Found")</f>
        <v/>
      </c>
      <c r="Z46" s="41">
        <f t="array" ref="Z46">IFERROR(INDEX(Load_Booking_Report!BC:BC, MATCH(TRUE, ISNUMBER(FIND(SUBSTITUTE(C46," ",""), Load_Booking_Report!AL:AL)), 0)), "Not Found")</f>
        <v/>
      </c>
    </row>
    <row r="47">
      <c r="A47" t="n">
        <v>3</v>
      </c>
      <c r="B47" t="n">
        <v>30004</v>
      </c>
      <c r="C47" t="inlineStr">
        <is>
          <t>ANON0000000</t>
        </is>
      </c>
      <c r="D47" t="n">
        <v>20</v>
      </c>
      <c r="E47" t="inlineStr">
        <is>
          <t>USNFK</t>
        </is>
      </c>
      <c r="F47" t="inlineStr">
        <is>
          <t>RULED</t>
        </is>
      </c>
      <c r="G47" t="n">
        <v>28100</v>
      </c>
      <c r="H47" t="inlineStr">
        <is>
          <t>ART</t>
        </is>
      </c>
      <c r="I47" t="inlineStr">
        <is>
          <t>22G1</t>
        </is>
      </c>
      <c r="L47" t="inlineStr">
        <is>
          <t>8'6</t>
        </is>
      </c>
      <c r="M47" t="inlineStr">
        <is>
          <t>Full</t>
        </is>
      </c>
      <c r="N47" t="inlineStr">
        <is>
          <t>RULED</t>
        </is>
      </c>
      <c r="P47" s="21">
        <f>C47</f>
        <v/>
      </c>
      <c r="Q47" s="21">
        <f t="array" ref="Q47">IFERROR(INDEX(Load_Booking_Report!AC:AC, MATCH(TRUE, ISNUMBER(FIND(SUBSTITUTE(C47," ",""), Load_Booking_Report!AL:AL)), 0)), "Not Found")</f>
        <v/>
      </c>
      <c r="R47" s="21">
        <f t="array" ref="R47">IFERROR(INDEX(Load_Booking_Report!C:C, MATCH(TRUE, ISNUMBER(FIND(SUBSTITUTE(C47," ",""), Load_Booking_Report!AL:AL)), 0)), "Not Found")</f>
        <v/>
      </c>
      <c r="S47" s="21">
        <f t="array" ref="S47">IFERROR(INDEX(Load_Booking_Report!AG:AG, MATCH(TRUE, ISNUMBER(FIND(SUBSTITUTE(C47," ",""), Load_Booking_Report!AL:AL)), 0)), "Not Found")</f>
        <v/>
      </c>
      <c r="T47" s="21">
        <f>G47</f>
        <v/>
      </c>
      <c r="U47" s="33">
        <f t="array" ref="U47">IFERROR(
   IF(
      INDEX(Load_Booking_Report!AM:AM,
             MATCH(TRUE,
                     ISNUMBER(FIND(SUBSTITUTE(C47," ",""),
                                    Load_Booking_Report!AL:AL)),
                     0)
      )=0,
      "",
      INDEX(Load_Booking_Report!AM:AM,
             MATCH(TRUE,
                     ISNUMBER(FIND(SUBSTITUTE(C47," ",""),
                                    Load_Booking_Report!AL:AL)),
                     0)
      )
   ),
   ""
)</f>
        <v/>
      </c>
      <c r="V47" s="21">
        <f t="array" ref="V47">IFERROR(
   IF(
      INDEX(Load_Booking_Report!AR:AR,
             MATCH(TRUE,
                     ISNUMBER(FIND(SUBSTITUTE(C47," ",""),
                                    Load_Booking_Report!AL:AL)),
                     0)
      )=0,
      "",
      INDEX(Load_Booking_Report!AR:AR,
             MATCH(TRUE,
                     ISNUMBER(FIND(SUBSTITUTE(C47," ",""),
                                    Load_Booking_Report!AL:AL)),
                     0)
      )
   ),
   ""
)</f>
        <v/>
      </c>
      <c r="W47" s="21">
        <f t="array" ref="W47">IFERROR(INDEX(Load_Booking_Report!F:F, MATCH(TRUE, ISNUMBER(FIND(SUBSTITUTE(C47," ",""), Load_Booking_Report!AL:AL)), 0)), "Not Found")</f>
        <v/>
      </c>
      <c r="X47" s="21">
        <f t="array" ref="X47">IFERROR(INDEX(Load_Booking_Report!N:N, MATCH(TRUE, ISNUMBER(FIND(SUBSTITUTE(C47," ",""), Load_Booking_Report!AL:AL)), 0)), "Not Found")</f>
        <v/>
      </c>
      <c r="Y47" s="21">
        <f t="array" ref="Y47">IFERROR(INDEX(Load_Booking_Report!V:V, MATCH(TRUE, ISNUMBER(FIND(SUBSTITUTE(C47," ",""), Load_Booking_Report!AL:AL)), 0)), "Not Found")</f>
        <v/>
      </c>
      <c r="Z47" s="41">
        <f t="array" ref="Z47">IFERROR(INDEX(Load_Booking_Report!BC:BC, MATCH(TRUE, ISNUMBER(FIND(SUBSTITUTE(C47," ",""), Load_Booking_Report!AL:AL)), 0)), "Not Found")</f>
        <v/>
      </c>
    </row>
    <row r="48">
      <c r="A48" t="n">
        <v>15</v>
      </c>
      <c r="B48" t="n">
        <v>150706</v>
      </c>
      <c r="C48" t="inlineStr">
        <is>
          <t>ANON0000000</t>
        </is>
      </c>
      <c r="D48" t="n">
        <v>20</v>
      </c>
      <c r="E48" t="inlineStr">
        <is>
          <t>USNFK</t>
        </is>
      </c>
      <c r="F48" t="inlineStr">
        <is>
          <t>RULED</t>
        </is>
      </c>
      <c r="G48" t="n">
        <v>23643</v>
      </c>
      <c r="H48" t="inlineStr">
        <is>
          <t>ART</t>
        </is>
      </c>
      <c r="I48" t="inlineStr">
        <is>
          <t>22G1</t>
        </is>
      </c>
      <c r="L48" t="inlineStr">
        <is>
          <t>OOG</t>
        </is>
      </c>
      <c r="M48" t="inlineStr">
        <is>
          <t>Full</t>
        </is>
      </c>
      <c r="N48" t="inlineStr">
        <is>
          <t>RULED</t>
        </is>
      </c>
      <c r="P48" s="21">
        <f>C48</f>
        <v/>
      </c>
      <c r="Q48" s="21">
        <f t="array" ref="Q48">IFERROR(INDEX(Load_Booking_Report!AC:AC, MATCH(TRUE, ISNUMBER(FIND(SUBSTITUTE(C48," ",""), Load_Booking_Report!AL:AL)), 0)), "Not Found")</f>
        <v/>
      </c>
      <c r="R48" s="21">
        <f t="array" ref="R48">IFERROR(INDEX(Load_Booking_Report!C:C, MATCH(TRUE, ISNUMBER(FIND(SUBSTITUTE(C48," ",""), Load_Booking_Report!AL:AL)), 0)), "Not Found")</f>
        <v/>
      </c>
      <c r="S48" s="21">
        <f t="array" ref="S48">IFERROR(INDEX(Load_Booking_Report!AG:AG, MATCH(TRUE, ISNUMBER(FIND(SUBSTITUTE(C48," ",""), Load_Booking_Report!AL:AL)), 0)), "Not Found")</f>
        <v/>
      </c>
      <c r="T48" s="21">
        <f>G48</f>
        <v/>
      </c>
      <c r="U48" s="33">
        <f t="array" ref="U48">IFERROR(
   IF(
      INDEX(Load_Booking_Report!AM:AM,
             MATCH(TRUE,
                     ISNUMBER(FIND(SUBSTITUTE(C48," ",""),
                                    Load_Booking_Report!AL:AL)),
                     0)
      )=0,
      "",
      INDEX(Load_Booking_Report!AM:AM,
             MATCH(TRUE,
                     ISNUMBER(FIND(SUBSTITUTE(C48," ",""),
                                    Load_Booking_Report!AL:AL)),
                     0)
      )
   ),
   ""
)</f>
        <v/>
      </c>
      <c r="V48" s="21">
        <f t="array" ref="V48">IFERROR(
   IF(
      INDEX(Load_Booking_Report!AR:AR,
             MATCH(TRUE,
                     ISNUMBER(FIND(SUBSTITUTE(C48," ",""),
                                    Load_Booking_Report!AL:AL)),
                     0)
      )=0,
      "",
      INDEX(Load_Booking_Report!AR:AR,
             MATCH(TRUE,
                     ISNUMBER(FIND(SUBSTITUTE(C48," ",""),
                                    Load_Booking_Report!AL:AL)),
                     0)
      )
   ),
   ""
)</f>
        <v/>
      </c>
      <c r="W48" s="21">
        <f t="array" ref="W48">IFERROR(INDEX(Load_Booking_Report!F:F, MATCH(TRUE, ISNUMBER(FIND(SUBSTITUTE(C48," ",""), Load_Booking_Report!AL:AL)), 0)), "Not Found")</f>
        <v/>
      </c>
      <c r="X48" s="21">
        <f t="array" ref="X48">IFERROR(INDEX(Load_Booking_Report!N:N, MATCH(TRUE, ISNUMBER(FIND(SUBSTITUTE(C48," ",""), Load_Booking_Report!AL:AL)), 0)), "Not Found")</f>
        <v/>
      </c>
      <c r="Y48" s="21">
        <f t="array" ref="Y48">IFERROR(INDEX(Load_Booking_Report!V:V, MATCH(TRUE, ISNUMBER(FIND(SUBSTITUTE(C48," ",""), Load_Booking_Report!AL:AL)), 0)), "Not Found")</f>
        <v/>
      </c>
      <c r="Z48" s="41">
        <f t="array" ref="Z48">IFERROR(INDEX(Load_Booking_Report!BC:BC, MATCH(TRUE, ISNUMBER(FIND(SUBSTITUTE(C48," ",""), Load_Booking_Report!AL:AL)), 0)), "Not Found")</f>
        <v/>
      </c>
    </row>
    <row r="49">
      <c r="A49" t="n">
        <v>13</v>
      </c>
      <c r="B49" t="n">
        <v>130804</v>
      </c>
      <c r="C49" t="inlineStr">
        <is>
          <t>ANON0000000</t>
        </is>
      </c>
      <c r="D49" t="n">
        <v>20</v>
      </c>
      <c r="E49" t="inlineStr">
        <is>
          <t>USNFK</t>
        </is>
      </c>
      <c r="F49" t="inlineStr">
        <is>
          <t>RULED</t>
        </is>
      </c>
      <c r="G49" t="n">
        <v>25450</v>
      </c>
      <c r="H49" t="inlineStr">
        <is>
          <t>ART</t>
        </is>
      </c>
      <c r="I49" t="inlineStr">
        <is>
          <t>22G1</t>
        </is>
      </c>
      <c r="L49" t="inlineStr">
        <is>
          <t>OOG</t>
        </is>
      </c>
      <c r="M49" t="inlineStr">
        <is>
          <t>Full</t>
        </is>
      </c>
      <c r="N49" t="inlineStr">
        <is>
          <t>RULED</t>
        </is>
      </c>
      <c r="P49" s="21">
        <f>C49</f>
        <v/>
      </c>
      <c r="Q49" s="21">
        <f t="array" ref="Q49">IFERROR(INDEX(Load_Booking_Report!AC:AC, MATCH(TRUE, ISNUMBER(FIND(SUBSTITUTE(C49," ",""), Load_Booking_Report!AL:AL)), 0)), "Not Found")</f>
        <v/>
      </c>
      <c r="R49" s="21">
        <f t="array" ref="R49">IFERROR(INDEX(Load_Booking_Report!C:C, MATCH(TRUE, ISNUMBER(FIND(SUBSTITUTE(C49," ",""), Load_Booking_Report!AL:AL)), 0)), "Not Found")</f>
        <v/>
      </c>
      <c r="S49" s="21">
        <f t="array" ref="S49">IFERROR(INDEX(Load_Booking_Report!AG:AG, MATCH(TRUE, ISNUMBER(FIND(SUBSTITUTE(C49," ",""), Load_Booking_Report!AL:AL)), 0)), "Not Found")</f>
        <v/>
      </c>
      <c r="T49" s="21">
        <f>G49</f>
        <v/>
      </c>
      <c r="U49" s="33">
        <f t="array" ref="U49">IFERROR(
   IF(
      INDEX(Load_Booking_Report!AM:AM,
             MATCH(TRUE,
                     ISNUMBER(FIND(SUBSTITUTE(C49," ",""),
                                    Load_Booking_Report!AL:AL)),
                     0)
      )=0,
      "",
      INDEX(Load_Booking_Report!AM:AM,
             MATCH(TRUE,
                     ISNUMBER(FIND(SUBSTITUTE(C49," ",""),
                                    Load_Booking_Report!AL:AL)),
                     0)
      )
   ),
   ""
)</f>
        <v/>
      </c>
      <c r="V49" s="21">
        <f t="array" ref="V49">IFERROR(
   IF(
      INDEX(Load_Booking_Report!AR:AR,
             MATCH(TRUE,
                     ISNUMBER(FIND(SUBSTITUTE(C49," ",""),
                                    Load_Booking_Report!AL:AL)),
                     0)
      )=0,
      "",
      INDEX(Load_Booking_Report!AR:AR,
             MATCH(TRUE,
                     ISNUMBER(FIND(SUBSTITUTE(C49," ",""),
                                    Load_Booking_Report!AL:AL)),
                     0)
      )
   ),
   ""
)</f>
        <v/>
      </c>
      <c r="W49" s="21">
        <f t="array" ref="W49">IFERROR(INDEX(Load_Booking_Report!F:F, MATCH(TRUE, ISNUMBER(FIND(SUBSTITUTE(C49," ",""), Load_Booking_Report!AL:AL)), 0)), "Not Found")</f>
        <v/>
      </c>
      <c r="X49" s="21">
        <f t="array" ref="X49">IFERROR(INDEX(Load_Booking_Report!N:N, MATCH(TRUE, ISNUMBER(FIND(SUBSTITUTE(C49," ",""), Load_Booking_Report!AL:AL)), 0)), "Not Found")</f>
        <v/>
      </c>
      <c r="Y49" s="21">
        <f t="array" ref="Y49">IFERROR(INDEX(Load_Booking_Report!V:V, MATCH(TRUE, ISNUMBER(FIND(SUBSTITUTE(C49," ",""), Load_Booking_Report!AL:AL)), 0)), "Not Found")</f>
        <v/>
      </c>
      <c r="Z49" s="41">
        <f t="array" ref="Z49">IFERROR(INDEX(Load_Booking_Report!BC:BC, MATCH(TRUE, ISNUMBER(FIND(SUBSTITUTE(C49," ",""), Load_Booking_Report!AL:AL)), 0)), "Not Found")</f>
        <v/>
      </c>
    </row>
    <row r="50">
      <c r="A50" t="n">
        <v>15</v>
      </c>
      <c r="B50" t="n">
        <v>150502</v>
      </c>
      <c r="C50" t="inlineStr">
        <is>
          <t>ANON0000000</t>
        </is>
      </c>
      <c r="D50" t="n">
        <v>20</v>
      </c>
      <c r="E50" t="inlineStr">
        <is>
          <t>USNFK</t>
        </is>
      </c>
      <c r="F50" t="inlineStr">
        <is>
          <t>RULED</t>
        </is>
      </c>
      <c r="G50" t="n">
        <v>25420</v>
      </c>
      <c r="H50" t="inlineStr">
        <is>
          <t>ART</t>
        </is>
      </c>
      <c r="I50" t="inlineStr">
        <is>
          <t>22G1</t>
        </is>
      </c>
      <c r="L50" t="inlineStr">
        <is>
          <t>OOG</t>
        </is>
      </c>
      <c r="M50" t="inlineStr">
        <is>
          <t>Full</t>
        </is>
      </c>
      <c r="N50" t="inlineStr">
        <is>
          <t>RULED</t>
        </is>
      </c>
      <c r="P50" s="21">
        <f>C50</f>
        <v/>
      </c>
      <c r="Q50" s="21">
        <f t="array" ref="Q50">IFERROR(INDEX(Load_Booking_Report!AC:AC, MATCH(TRUE, ISNUMBER(FIND(SUBSTITUTE(C50," ",""), Load_Booking_Report!AL:AL)), 0)), "Not Found")</f>
        <v/>
      </c>
      <c r="R50" s="21">
        <f t="array" ref="R50">IFERROR(INDEX(Load_Booking_Report!C:C, MATCH(TRUE, ISNUMBER(FIND(SUBSTITUTE(C50," ",""), Load_Booking_Report!AL:AL)), 0)), "Not Found")</f>
        <v/>
      </c>
      <c r="S50" s="21">
        <f t="array" ref="S50">IFERROR(INDEX(Load_Booking_Report!AG:AG, MATCH(TRUE, ISNUMBER(FIND(SUBSTITUTE(C50," ",""), Load_Booking_Report!AL:AL)), 0)), "Not Found")</f>
        <v/>
      </c>
      <c r="T50" s="21">
        <f>G50</f>
        <v/>
      </c>
      <c r="U50" s="33">
        <f t="array" ref="U50">IFERROR(
   IF(
      INDEX(Load_Booking_Report!AM:AM,
             MATCH(TRUE,
                     ISNUMBER(FIND(SUBSTITUTE(C50," ",""),
                                    Load_Booking_Report!AL:AL)),
                     0)
      )=0,
      "",
      INDEX(Load_Booking_Report!AM:AM,
             MATCH(TRUE,
                     ISNUMBER(FIND(SUBSTITUTE(C50," ",""),
                                    Load_Booking_Report!AL:AL)),
                     0)
      )
   ),
   ""
)</f>
        <v/>
      </c>
      <c r="V50" s="21">
        <f t="array" ref="V50">IFERROR(
   IF(
      INDEX(Load_Booking_Report!AR:AR,
             MATCH(TRUE,
                     ISNUMBER(FIND(SUBSTITUTE(C50," ",""),
                                    Load_Booking_Report!AL:AL)),
                     0)
      )=0,
      "",
      INDEX(Load_Booking_Report!AR:AR,
             MATCH(TRUE,
                     ISNUMBER(FIND(SUBSTITUTE(C50," ",""),
                                    Load_Booking_Report!AL:AL)),
                     0)
      )
   ),
   ""
)</f>
        <v/>
      </c>
      <c r="W50" s="21">
        <f t="array" ref="W50">IFERROR(INDEX(Load_Booking_Report!F:F, MATCH(TRUE, ISNUMBER(FIND(SUBSTITUTE(C50," ",""), Load_Booking_Report!AL:AL)), 0)), "Not Found")</f>
        <v/>
      </c>
      <c r="X50" s="21">
        <f t="array" ref="X50">IFERROR(INDEX(Load_Booking_Report!N:N, MATCH(TRUE, ISNUMBER(FIND(SUBSTITUTE(C50," ",""), Load_Booking_Report!AL:AL)), 0)), "Not Found")</f>
        <v/>
      </c>
      <c r="Y50" s="21">
        <f t="array" ref="Y50">IFERROR(INDEX(Load_Booking_Report!V:V, MATCH(TRUE, ISNUMBER(FIND(SUBSTITUTE(C50," ",""), Load_Booking_Report!AL:AL)), 0)), "Not Found")</f>
        <v/>
      </c>
      <c r="Z50" s="41">
        <f t="array" ref="Z50">IFERROR(INDEX(Load_Booking_Report!BC:BC, MATCH(TRUE, ISNUMBER(FIND(SUBSTITUTE(C50," ",""), Load_Booking_Report!AL:AL)), 0)), "Not Found")</f>
        <v/>
      </c>
    </row>
    <row r="51">
      <c r="A51" t="n">
        <v>29</v>
      </c>
      <c r="B51" t="n">
        <v>290502</v>
      </c>
      <c r="C51" t="inlineStr">
        <is>
          <t>ANON0000000</t>
        </is>
      </c>
      <c r="D51" t="n">
        <v>20</v>
      </c>
      <c r="E51" t="inlineStr">
        <is>
          <t>USNFK</t>
        </is>
      </c>
      <c r="F51" t="inlineStr">
        <is>
          <t>RULED</t>
        </is>
      </c>
      <c r="G51" t="n">
        <v>28190</v>
      </c>
      <c r="H51" t="inlineStr">
        <is>
          <t>ART</t>
        </is>
      </c>
      <c r="I51" t="inlineStr">
        <is>
          <t>22G1</t>
        </is>
      </c>
      <c r="L51" t="inlineStr">
        <is>
          <t>OOG</t>
        </is>
      </c>
      <c r="M51" t="inlineStr">
        <is>
          <t>Full</t>
        </is>
      </c>
      <c r="N51" t="inlineStr">
        <is>
          <t>RULED</t>
        </is>
      </c>
      <c r="P51" s="21">
        <f>C51</f>
        <v/>
      </c>
      <c r="Q51" s="21">
        <f t="array" ref="Q51">IFERROR(INDEX(Load_Booking_Report!AC:AC, MATCH(TRUE, ISNUMBER(FIND(SUBSTITUTE(C51," ",""), Load_Booking_Report!AL:AL)), 0)), "Not Found")</f>
        <v/>
      </c>
      <c r="R51" s="21">
        <f t="array" ref="R51">IFERROR(INDEX(Load_Booking_Report!C:C, MATCH(TRUE, ISNUMBER(FIND(SUBSTITUTE(C51," ",""), Load_Booking_Report!AL:AL)), 0)), "Not Found")</f>
        <v/>
      </c>
      <c r="S51" s="21">
        <f t="array" ref="S51">IFERROR(INDEX(Load_Booking_Report!AG:AG, MATCH(TRUE, ISNUMBER(FIND(SUBSTITUTE(C51," ",""), Load_Booking_Report!AL:AL)), 0)), "Not Found")</f>
        <v/>
      </c>
      <c r="T51" s="21">
        <f>G51</f>
        <v/>
      </c>
      <c r="U51" s="33">
        <f t="array" ref="U51">IFERROR(
   IF(
      INDEX(Load_Booking_Report!AM:AM,
             MATCH(TRUE,
                     ISNUMBER(FIND(SUBSTITUTE(C51," ",""),
                                    Load_Booking_Report!AL:AL)),
                     0)
      )=0,
      "",
      INDEX(Load_Booking_Report!AM:AM,
             MATCH(TRUE,
                     ISNUMBER(FIND(SUBSTITUTE(C51," ",""),
                                    Load_Booking_Report!AL:AL)),
                     0)
      )
   ),
   ""
)</f>
        <v/>
      </c>
      <c r="V51" s="21">
        <f t="array" ref="V51">IFERROR(
   IF(
      INDEX(Load_Booking_Report!AR:AR,
             MATCH(TRUE,
                     ISNUMBER(FIND(SUBSTITUTE(C51," ",""),
                                    Load_Booking_Report!AL:AL)),
                     0)
      )=0,
      "",
      INDEX(Load_Booking_Report!AR:AR,
             MATCH(TRUE,
                     ISNUMBER(FIND(SUBSTITUTE(C51," ",""),
                                    Load_Booking_Report!AL:AL)),
                     0)
      )
   ),
   ""
)</f>
        <v/>
      </c>
      <c r="W51" s="21">
        <f t="array" ref="W51">IFERROR(INDEX(Load_Booking_Report!F:F, MATCH(TRUE, ISNUMBER(FIND(SUBSTITUTE(C51," ",""), Load_Booking_Report!AL:AL)), 0)), "Not Found")</f>
        <v/>
      </c>
      <c r="X51" s="21">
        <f t="array" ref="X51">IFERROR(INDEX(Load_Booking_Report!N:N, MATCH(TRUE, ISNUMBER(FIND(SUBSTITUTE(C51," ",""), Load_Booking_Report!AL:AL)), 0)), "Not Found")</f>
        <v/>
      </c>
      <c r="Y51" s="21">
        <f t="array" ref="Y51">IFERROR(INDEX(Load_Booking_Report!V:V, MATCH(TRUE, ISNUMBER(FIND(SUBSTITUTE(C51," ",""), Load_Booking_Report!AL:AL)), 0)), "Not Found")</f>
        <v/>
      </c>
      <c r="Z51" s="41">
        <f t="array" ref="Z51">IFERROR(INDEX(Load_Booking_Report!BC:BC, MATCH(TRUE, ISNUMBER(FIND(SUBSTITUTE(C51," ",""), Load_Booking_Report!AL:AL)), 0)), "Not Found")</f>
        <v/>
      </c>
    </row>
    <row r="52">
      <c r="A52" t="n">
        <v>25</v>
      </c>
      <c r="B52" t="n">
        <v>250604</v>
      </c>
      <c r="C52" t="inlineStr">
        <is>
          <t>ANON0000000</t>
        </is>
      </c>
      <c r="D52" t="n">
        <v>20</v>
      </c>
      <c r="E52" t="inlineStr">
        <is>
          <t>USNYC</t>
        </is>
      </c>
      <c r="F52" t="inlineStr">
        <is>
          <t>RULED</t>
        </is>
      </c>
      <c r="G52" t="n">
        <v>27020</v>
      </c>
      <c r="H52" t="inlineStr">
        <is>
          <t>ART</t>
        </is>
      </c>
      <c r="I52" t="inlineStr">
        <is>
          <t>22G1</t>
        </is>
      </c>
      <c r="L52" t="inlineStr">
        <is>
          <t>8'6</t>
        </is>
      </c>
      <c r="M52" t="inlineStr">
        <is>
          <t>Full</t>
        </is>
      </c>
      <c r="N52" t="inlineStr">
        <is>
          <t>RULED</t>
        </is>
      </c>
      <c r="P52" s="21">
        <f>C52</f>
        <v/>
      </c>
      <c r="Q52" s="21">
        <f t="array" ref="Q52">IFERROR(INDEX(Load_Booking_Report!AC:AC, MATCH(TRUE, ISNUMBER(FIND(SUBSTITUTE(C52," ",""), Load_Booking_Report!AL:AL)), 0)), "Not Found")</f>
        <v/>
      </c>
      <c r="R52" s="21">
        <f t="array" ref="R52">IFERROR(INDEX(Load_Booking_Report!C:C, MATCH(TRUE, ISNUMBER(FIND(SUBSTITUTE(C52," ",""), Load_Booking_Report!AL:AL)), 0)), "Not Found")</f>
        <v/>
      </c>
      <c r="S52" s="21">
        <f t="array" ref="S52">IFERROR(INDEX(Load_Booking_Report!AG:AG, MATCH(TRUE, ISNUMBER(FIND(SUBSTITUTE(C52," ",""), Load_Booking_Report!AL:AL)), 0)), "Not Found")</f>
        <v/>
      </c>
      <c r="T52" s="21">
        <f>G52</f>
        <v/>
      </c>
      <c r="U52" s="33">
        <f t="array" ref="U52">IFERROR(
   IF(
      INDEX(Load_Booking_Report!AM:AM,
             MATCH(TRUE,
                     ISNUMBER(FIND(SUBSTITUTE(C52," ",""),
                                    Load_Booking_Report!AL:AL)),
                     0)
      )=0,
      "",
      INDEX(Load_Booking_Report!AM:AM,
             MATCH(TRUE,
                     ISNUMBER(FIND(SUBSTITUTE(C52," ",""),
                                    Load_Booking_Report!AL:AL)),
                     0)
      )
   ),
   ""
)</f>
        <v/>
      </c>
      <c r="V52" s="21">
        <f t="array" ref="V52">IFERROR(
   IF(
      INDEX(Load_Booking_Report!AR:AR,
             MATCH(TRUE,
                     ISNUMBER(FIND(SUBSTITUTE(C52," ",""),
                                    Load_Booking_Report!AL:AL)),
                     0)
      )=0,
      "",
      INDEX(Load_Booking_Report!AR:AR,
             MATCH(TRUE,
                     ISNUMBER(FIND(SUBSTITUTE(C52," ",""),
                                    Load_Booking_Report!AL:AL)),
                     0)
      )
   ),
   ""
)</f>
        <v/>
      </c>
      <c r="W52" s="21">
        <f t="array" ref="W52">IFERROR(INDEX(Load_Booking_Report!F:F, MATCH(TRUE, ISNUMBER(FIND(SUBSTITUTE(C52," ",""), Load_Booking_Report!AL:AL)), 0)), "Not Found")</f>
        <v/>
      </c>
      <c r="X52" s="21">
        <f t="array" ref="X52">IFERROR(INDEX(Load_Booking_Report!N:N, MATCH(TRUE, ISNUMBER(FIND(SUBSTITUTE(C52," ",""), Load_Booking_Report!AL:AL)), 0)), "Not Found")</f>
        <v/>
      </c>
      <c r="Y52" s="21">
        <f t="array" ref="Y52">IFERROR(INDEX(Load_Booking_Report!V:V, MATCH(TRUE, ISNUMBER(FIND(SUBSTITUTE(C52," ",""), Load_Booking_Report!AL:AL)), 0)), "Not Found")</f>
        <v/>
      </c>
      <c r="Z52" s="41">
        <f t="array" ref="Z52">IFERROR(INDEX(Load_Booking_Report!BC:BC, MATCH(TRUE, ISNUMBER(FIND(SUBSTITUTE(C52," ",""), Load_Booking_Report!AL:AL)), 0)), "Not Found")</f>
        <v/>
      </c>
    </row>
    <row r="53">
      <c r="A53" t="n">
        <v>19</v>
      </c>
      <c r="B53" t="n">
        <v>190104</v>
      </c>
      <c r="C53" t="inlineStr">
        <is>
          <t>ANON0000000</t>
        </is>
      </c>
      <c r="D53" t="n">
        <v>20</v>
      </c>
      <c r="E53" t="inlineStr">
        <is>
          <t>USNFK</t>
        </is>
      </c>
      <c r="F53" t="inlineStr">
        <is>
          <t>RULED</t>
        </is>
      </c>
      <c r="G53" t="n">
        <v>26440</v>
      </c>
      <c r="H53" t="inlineStr">
        <is>
          <t>ART</t>
        </is>
      </c>
      <c r="I53" t="inlineStr">
        <is>
          <t>22G1</t>
        </is>
      </c>
      <c r="L53" t="inlineStr">
        <is>
          <t>OOG</t>
        </is>
      </c>
      <c r="M53" t="inlineStr">
        <is>
          <t>Full</t>
        </is>
      </c>
      <c r="N53" t="inlineStr">
        <is>
          <t>RULED</t>
        </is>
      </c>
      <c r="P53" s="21">
        <f>C53</f>
        <v/>
      </c>
      <c r="Q53" s="21">
        <f t="array" ref="Q53">IFERROR(INDEX(Load_Booking_Report!AC:AC, MATCH(TRUE, ISNUMBER(FIND(SUBSTITUTE(C53," ",""), Load_Booking_Report!AL:AL)), 0)), "Not Found")</f>
        <v/>
      </c>
      <c r="R53" s="21">
        <f t="array" ref="R53">IFERROR(INDEX(Load_Booking_Report!C:C, MATCH(TRUE, ISNUMBER(FIND(SUBSTITUTE(C53," ",""), Load_Booking_Report!AL:AL)), 0)), "Not Found")</f>
        <v/>
      </c>
      <c r="S53" s="21">
        <f t="array" ref="S53">IFERROR(INDEX(Load_Booking_Report!AG:AG, MATCH(TRUE, ISNUMBER(FIND(SUBSTITUTE(C53," ",""), Load_Booking_Report!AL:AL)), 0)), "Not Found")</f>
        <v/>
      </c>
      <c r="T53" s="21">
        <f>G53</f>
        <v/>
      </c>
      <c r="U53" s="33">
        <f t="array" ref="U53">IFERROR(
   IF(
      INDEX(Load_Booking_Report!AM:AM,
             MATCH(TRUE,
                     ISNUMBER(FIND(SUBSTITUTE(C53," ",""),
                                    Load_Booking_Report!AL:AL)),
                     0)
      )=0,
      "",
      INDEX(Load_Booking_Report!AM:AM,
             MATCH(TRUE,
                     ISNUMBER(FIND(SUBSTITUTE(C53," ",""),
                                    Load_Booking_Report!AL:AL)),
                     0)
      )
   ),
   ""
)</f>
        <v/>
      </c>
      <c r="V53" s="21">
        <f t="array" ref="V53">IFERROR(
   IF(
      INDEX(Load_Booking_Report!AR:AR,
             MATCH(TRUE,
                     ISNUMBER(FIND(SUBSTITUTE(C53," ",""),
                                    Load_Booking_Report!AL:AL)),
                     0)
      )=0,
      "",
      INDEX(Load_Booking_Report!AR:AR,
             MATCH(TRUE,
                     ISNUMBER(FIND(SUBSTITUTE(C53," ",""),
                                    Load_Booking_Report!AL:AL)),
                     0)
      )
   ),
   ""
)</f>
        <v/>
      </c>
      <c r="W53" s="21">
        <f t="array" ref="W53">IFERROR(INDEX(Load_Booking_Report!F:F, MATCH(TRUE, ISNUMBER(FIND(SUBSTITUTE(C53," ",""), Load_Booking_Report!AL:AL)), 0)), "Not Found")</f>
        <v/>
      </c>
      <c r="X53" s="21">
        <f t="array" ref="X53">IFERROR(INDEX(Load_Booking_Report!N:N, MATCH(TRUE, ISNUMBER(FIND(SUBSTITUTE(C53," ",""), Load_Booking_Report!AL:AL)), 0)), "Not Found")</f>
        <v/>
      </c>
      <c r="Y53" s="21">
        <f t="array" ref="Y53">IFERROR(INDEX(Load_Booking_Report!V:V, MATCH(TRUE, ISNUMBER(FIND(SUBSTITUTE(C53," ",""), Load_Booking_Report!AL:AL)), 0)), "Not Found")</f>
        <v/>
      </c>
      <c r="Z53" s="41">
        <f t="array" ref="Z53">IFERROR(INDEX(Load_Booking_Report!BC:BC, MATCH(TRUE, ISNUMBER(FIND(SUBSTITUTE(C53," ",""), Load_Booking_Report!AL:AL)), 0)), "Not Found")</f>
        <v/>
      </c>
    </row>
    <row r="54">
      <c r="A54" t="n">
        <v>29</v>
      </c>
      <c r="B54" t="n">
        <v>290404</v>
      </c>
      <c r="C54" t="inlineStr">
        <is>
          <t>ANON0000000</t>
        </is>
      </c>
      <c r="D54" t="n">
        <v>20</v>
      </c>
      <c r="E54" t="inlineStr">
        <is>
          <t>USNFK</t>
        </is>
      </c>
      <c r="F54" t="inlineStr">
        <is>
          <t>RULED</t>
        </is>
      </c>
      <c r="G54" t="n">
        <v>28120</v>
      </c>
      <c r="H54" t="inlineStr">
        <is>
          <t>ART</t>
        </is>
      </c>
      <c r="I54" t="inlineStr">
        <is>
          <t>22G1</t>
        </is>
      </c>
      <c r="L54" t="inlineStr">
        <is>
          <t>OOG</t>
        </is>
      </c>
      <c r="M54" t="inlineStr">
        <is>
          <t>Full</t>
        </is>
      </c>
      <c r="N54" t="inlineStr">
        <is>
          <t>RULED</t>
        </is>
      </c>
      <c r="P54" s="21">
        <f>C54</f>
        <v/>
      </c>
      <c r="Q54" s="21">
        <f t="array" ref="Q54">IFERROR(INDEX(Load_Booking_Report!AC:AC, MATCH(TRUE, ISNUMBER(FIND(SUBSTITUTE(C54," ",""), Load_Booking_Report!AL:AL)), 0)), "Not Found")</f>
        <v/>
      </c>
      <c r="R54" s="21">
        <f t="array" ref="R54">IFERROR(INDEX(Load_Booking_Report!C:C, MATCH(TRUE, ISNUMBER(FIND(SUBSTITUTE(C54," ",""), Load_Booking_Report!AL:AL)), 0)), "Not Found")</f>
        <v/>
      </c>
      <c r="S54" s="21">
        <f t="array" ref="S54">IFERROR(INDEX(Load_Booking_Report!AG:AG, MATCH(TRUE, ISNUMBER(FIND(SUBSTITUTE(C54," ",""), Load_Booking_Report!AL:AL)), 0)), "Not Found")</f>
        <v/>
      </c>
      <c r="T54" s="21">
        <f>G54</f>
        <v/>
      </c>
      <c r="U54" s="33">
        <f t="array" ref="U54">IFERROR(
   IF(
      INDEX(Load_Booking_Report!AM:AM,
             MATCH(TRUE,
                     ISNUMBER(FIND(SUBSTITUTE(C54," ",""),
                                    Load_Booking_Report!AL:AL)),
                     0)
      )=0,
      "",
      INDEX(Load_Booking_Report!AM:AM,
             MATCH(TRUE,
                     ISNUMBER(FIND(SUBSTITUTE(C54," ",""),
                                    Load_Booking_Report!AL:AL)),
                     0)
      )
   ),
   ""
)</f>
        <v/>
      </c>
      <c r="V54" s="21">
        <f t="array" ref="V54">IFERROR(
   IF(
      INDEX(Load_Booking_Report!AR:AR,
             MATCH(TRUE,
                     ISNUMBER(FIND(SUBSTITUTE(C54," ",""),
                                    Load_Booking_Report!AL:AL)),
                     0)
      )=0,
      "",
      INDEX(Load_Booking_Report!AR:AR,
             MATCH(TRUE,
                     ISNUMBER(FIND(SUBSTITUTE(C54," ",""),
                                    Load_Booking_Report!AL:AL)),
                     0)
      )
   ),
   ""
)</f>
        <v/>
      </c>
      <c r="W54" s="21">
        <f t="array" ref="W54">IFERROR(INDEX(Load_Booking_Report!F:F, MATCH(TRUE, ISNUMBER(FIND(SUBSTITUTE(C54," ",""), Load_Booking_Report!AL:AL)), 0)), "Not Found")</f>
        <v/>
      </c>
      <c r="X54" s="21">
        <f t="array" ref="X54">IFERROR(INDEX(Load_Booking_Report!N:N, MATCH(TRUE, ISNUMBER(FIND(SUBSTITUTE(C54," ",""), Load_Booking_Report!AL:AL)), 0)), "Not Found")</f>
        <v/>
      </c>
      <c r="Y54" s="21">
        <f t="array" ref="Y54">IFERROR(INDEX(Load_Booking_Report!V:V, MATCH(TRUE, ISNUMBER(FIND(SUBSTITUTE(C54," ",""), Load_Booking_Report!AL:AL)), 0)), "Not Found")</f>
        <v/>
      </c>
      <c r="Z54" s="41">
        <f t="array" ref="Z54">IFERROR(INDEX(Load_Booking_Report!BC:BC, MATCH(TRUE, ISNUMBER(FIND(SUBSTITUTE(C54," ",""), Load_Booking_Report!AL:AL)), 0)), "Not Found")</f>
        <v/>
      </c>
    </row>
    <row r="55">
      <c r="A55" t="n">
        <v>27</v>
      </c>
      <c r="B55" t="n">
        <v>270602</v>
      </c>
      <c r="C55" t="inlineStr">
        <is>
          <t>ANON0000000</t>
        </is>
      </c>
      <c r="D55" t="n">
        <v>20</v>
      </c>
      <c r="E55" t="inlineStr">
        <is>
          <t>USNYC</t>
        </is>
      </c>
      <c r="F55" t="inlineStr">
        <is>
          <t>RULED</t>
        </is>
      </c>
      <c r="G55" t="n">
        <v>27050</v>
      </c>
      <c r="H55" t="inlineStr">
        <is>
          <t>ART</t>
        </is>
      </c>
      <c r="I55" t="inlineStr">
        <is>
          <t>22G1</t>
        </is>
      </c>
      <c r="L55" t="inlineStr">
        <is>
          <t>8'6</t>
        </is>
      </c>
      <c r="M55" t="inlineStr">
        <is>
          <t>Full</t>
        </is>
      </c>
      <c r="N55" t="inlineStr">
        <is>
          <t>RULED</t>
        </is>
      </c>
      <c r="P55" s="21">
        <f>C55</f>
        <v/>
      </c>
      <c r="Q55" s="21">
        <f t="array" ref="Q55">IFERROR(INDEX(Load_Booking_Report!AC:AC, MATCH(TRUE, ISNUMBER(FIND(SUBSTITUTE(C55," ",""), Load_Booking_Report!AL:AL)), 0)), "Not Found")</f>
        <v/>
      </c>
      <c r="R55" s="21">
        <f t="array" ref="R55">IFERROR(INDEX(Load_Booking_Report!C:C, MATCH(TRUE, ISNUMBER(FIND(SUBSTITUTE(C55," ",""), Load_Booking_Report!AL:AL)), 0)), "Not Found")</f>
        <v/>
      </c>
      <c r="S55" s="21">
        <f t="array" ref="S55">IFERROR(INDEX(Load_Booking_Report!AG:AG, MATCH(TRUE, ISNUMBER(FIND(SUBSTITUTE(C55," ",""), Load_Booking_Report!AL:AL)), 0)), "Not Found")</f>
        <v/>
      </c>
      <c r="T55" s="21">
        <f>G55</f>
        <v/>
      </c>
      <c r="U55" s="33">
        <f t="array" ref="U55">IFERROR(
   IF(
      INDEX(Load_Booking_Report!AM:AM,
             MATCH(TRUE,
                     ISNUMBER(FIND(SUBSTITUTE(C55," ",""),
                                    Load_Booking_Report!AL:AL)),
                     0)
      )=0,
      "",
      INDEX(Load_Booking_Report!AM:AM,
             MATCH(TRUE,
                     ISNUMBER(FIND(SUBSTITUTE(C55," ",""),
                                    Load_Booking_Report!AL:AL)),
                     0)
      )
   ),
   ""
)</f>
        <v/>
      </c>
      <c r="V55" s="21">
        <f t="array" ref="V55">IFERROR(
   IF(
      INDEX(Load_Booking_Report!AR:AR,
             MATCH(TRUE,
                     ISNUMBER(FIND(SUBSTITUTE(C55," ",""),
                                    Load_Booking_Report!AL:AL)),
                     0)
      )=0,
      "",
      INDEX(Load_Booking_Report!AR:AR,
             MATCH(TRUE,
                     ISNUMBER(FIND(SUBSTITUTE(C55," ",""),
                                    Load_Booking_Report!AL:AL)),
                     0)
      )
   ),
   ""
)</f>
        <v/>
      </c>
      <c r="W55" s="21">
        <f t="array" ref="W55">IFERROR(INDEX(Load_Booking_Report!F:F, MATCH(TRUE, ISNUMBER(FIND(SUBSTITUTE(C55," ",""), Load_Booking_Report!AL:AL)), 0)), "Not Found")</f>
        <v/>
      </c>
      <c r="X55" s="21">
        <f t="array" ref="X55">IFERROR(INDEX(Load_Booking_Report!N:N, MATCH(TRUE, ISNUMBER(FIND(SUBSTITUTE(C55," ",""), Load_Booking_Report!AL:AL)), 0)), "Not Found")</f>
        <v/>
      </c>
      <c r="Y55" s="21">
        <f t="array" ref="Y55">IFERROR(INDEX(Load_Booking_Report!V:V, MATCH(TRUE, ISNUMBER(FIND(SUBSTITUTE(C55," ",""), Load_Booking_Report!AL:AL)), 0)), "Not Found")</f>
        <v/>
      </c>
      <c r="Z55" s="41">
        <f t="array" ref="Z55">IFERROR(INDEX(Load_Booking_Report!BC:BC, MATCH(TRUE, ISNUMBER(FIND(SUBSTITUTE(C55," ",""), Load_Booking_Report!AL:AL)), 0)), "Not Found")</f>
        <v/>
      </c>
    </row>
    <row r="56">
      <c r="A56" t="n">
        <v>21</v>
      </c>
      <c r="B56" t="n">
        <v>210402</v>
      </c>
      <c r="C56" t="inlineStr">
        <is>
          <t>ANON0000000</t>
        </is>
      </c>
      <c r="D56" t="n">
        <v>20</v>
      </c>
      <c r="E56" t="inlineStr">
        <is>
          <t>USNFK</t>
        </is>
      </c>
      <c r="F56" t="inlineStr">
        <is>
          <t>RULED</t>
        </is>
      </c>
      <c r="G56" t="n">
        <v>28070</v>
      </c>
      <c r="H56" t="inlineStr">
        <is>
          <t>ART</t>
        </is>
      </c>
      <c r="I56" t="inlineStr">
        <is>
          <t>22G1</t>
        </is>
      </c>
      <c r="L56" t="inlineStr">
        <is>
          <t>8'6</t>
        </is>
      </c>
      <c r="M56" t="inlineStr">
        <is>
          <t>Full</t>
        </is>
      </c>
      <c r="N56" t="inlineStr">
        <is>
          <t>RULED</t>
        </is>
      </c>
      <c r="P56" s="21">
        <f>C56</f>
        <v/>
      </c>
      <c r="Q56" s="21">
        <f t="array" ref="Q56">IFERROR(INDEX(Load_Booking_Report!AC:AC, MATCH(TRUE, ISNUMBER(FIND(SUBSTITUTE(C56," ",""), Load_Booking_Report!AL:AL)), 0)), "Not Found")</f>
        <v/>
      </c>
      <c r="R56" s="21">
        <f t="array" ref="R56">IFERROR(INDEX(Load_Booking_Report!C:C, MATCH(TRUE, ISNUMBER(FIND(SUBSTITUTE(C56," ",""), Load_Booking_Report!AL:AL)), 0)), "Not Found")</f>
        <v/>
      </c>
      <c r="S56" s="21">
        <f t="array" ref="S56">IFERROR(INDEX(Load_Booking_Report!AG:AG, MATCH(TRUE, ISNUMBER(FIND(SUBSTITUTE(C56," ",""), Load_Booking_Report!AL:AL)), 0)), "Not Found")</f>
        <v/>
      </c>
      <c r="T56" s="21">
        <f>G56</f>
        <v/>
      </c>
      <c r="U56" s="33">
        <f t="array" ref="U56">IFERROR(
   IF(
      INDEX(Load_Booking_Report!AM:AM,
             MATCH(TRUE,
                     ISNUMBER(FIND(SUBSTITUTE(C56," ",""),
                                    Load_Booking_Report!AL:AL)),
                     0)
      )=0,
      "",
      INDEX(Load_Booking_Report!AM:AM,
             MATCH(TRUE,
                     ISNUMBER(FIND(SUBSTITUTE(C56," ",""),
                                    Load_Booking_Report!AL:AL)),
                     0)
      )
   ),
   ""
)</f>
        <v/>
      </c>
      <c r="V56" s="21">
        <f t="array" ref="V56">IFERROR(
   IF(
      INDEX(Load_Booking_Report!AR:AR,
             MATCH(TRUE,
                     ISNUMBER(FIND(SUBSTITUTE(C56," ",""),
                                    Load_Booking_Report!AL:AL)),
                     0)
      )=0,
      "",
      INDEX(Load_Booking_Report!AR:AR,
             MATCH(TRUE,
                     ISNUMBER(FIND(SUBSTITUTE(C56," ",""),
                                    Load_Booking_Report!AL:AL)),
                     0)
      )
   ),
   ""
)</f>
        <v/>
      </c>
      <c r="W56" s="21">
        <f t="array" ref="W56">IFERROR(INDEX(Load_Booking_Report!F:F, MATCH(TRUE, ISNUMBER(FIND(SUBSTITUTE(C56," ",""), Load_Booking_Report!AL:AL)), 0)), "Not Found")</f>
        <v/>
      </c>
      <c r="X56" s="21">
        <f t="array" ref="X56">IFERROR(INDEX(Load_Booking_Report!N:N, MATCH(TRUE, ISNUMBER(FIND(SUBSTITUTE(C56," ",""), Load_Booking_Report!AL:AL)), 0)), "Not Found")</f>
        <v/>
      </c>
      <c r="Y56" s="21">
        <f t="array" ref="Y56">IFERROR(INDEX(Load_Booking_Report!V:V, MATCH(TRUE, ISNUMBER(FIND(SUBSTITUTE(C56," ",""), Load_Booking_Report!AL:AL)), 0)), "Not Found")</f>
        <v/>
      </c>
      <c r="Z56" s="41">
        <f t="array" ref="Z56">IFERROR(INDEX(Load_Booking_Report!BC:BC, MATCH(TRUE, ISNUMBER(FIND(SUBSTITUTE(C56," ",""), Load_Booking_Report!AL:AL)), 0)), "Not Found")</f>
        <v/>
      </c>
    </row>
    <row r="57">
      <c r="A57" t="n">
        <v>27</v>
      </c>
      <c r="B57" t="n">
        <v>270104</v>
      </c>
      <c r="C57" t="inlineStr">
        <is>
          <t>ANON0000000</t>
        </is>
      </c>
      <c r="D57" t="n">
        <v>20</v>
      </c>
      <c r="E57" t="inlineStr">
        <is>
          <t>USNYC</t>
        </is>
      </c>
      <c r="F57" t="inlineStr">
        <is>
          <t>RULED</t>
        </is>
      </c>
      <c r="G57" t="n">
        <v>26950</v>
      </c>
      <c r="H57" t="inlineStr">
        <is>
          <t>ART</t>
        </is>
      </c>
      <c r="I57" t="inlineStr">
        <is>
          <t>22G1</t>
        </is>
      </c>
      <c r="L57" t="inlineStr">
        <is>
          <t>8'6</t>
        </is>
      </c>
      <c r="M57" t="inlineStr">
        <is>
          <t>Full</t>
        </is>
      </c>
      <c r="N57" t="inlineStr">
        <is>
          <t>RULED</t>
        </is>
      </c>
      <c r="P57" s="21">
        <f>C57</f>
        <v/>
      </c>
      <c r="Q57" s="21">
        <f t="array" ref="Q57">IFERROR(INDEX(Load_Booking_Report!AC:AC, MATCH(TRUE, ISNUMBER(FIND(SUBSTITUTE(C57," ",""), Load_Booking_Report!AL:AL)), 0)), "Not Found")</f>
        <v/>
      </c>
      <c r="R57" s="21">
        <f t="array" ref="R57">IFERROR(INDEX(Load_Booking_Report!C:C, MATCH(TRUE, ISNUMBER(FIND(SUBSTITUTE(C57," ",""), Load_Booking_Report!AL:AL)), 0)), "Not Found")</f>
        <v/>
      </c>
      <c r="S57" s="21">
        <f t="array" ref="S57">IFERROR(INDEX(Load_Booking_Report!AG:AG, MATCH(TRUE, ISNUMBER(FIND(SUBSTITUTE(C57," ",""), Load_Booking_Report!AL:AL)), 0)), "Not Found")</f>
        <v/>
      </c>
      <c r="T57" s="21">
        <f>G57</f>
        <v/>
      </c>
      <c r="U57" s="33">
        <f t="array" ref="U57">IFERROR(
   IF(
      INDEX(Load_Booking_Report!AM:AM,
             MATCH(TRUE,
                     ISNUMBER(FIND(SUBSTITUTE(C57," ",""),
                                    Load_Booking_Report!AL:AL)),
                     0)
      )=0,
      "",
      INDEX(Load_Booking_Report!AM:AM,
             MATCH(TRUE,
                     ISNUMBER(FIND(SUBSTITUTE(C57," ",""),
                                    Load_Booking_Report!AL:AL)),
                     0)
      )
   ),
   ""
)</f>
        <v/>
      </c>
      <c r="V57" s="21">
        <f t="array" ref="V57">IFERROR(
   IF(
      INDEX(Load_Booking_Report!AR:AR,
             MATCH(TRUE,
                     ISNUMBER(FIND(SUBSTITUTE(C57," ",""),
                                    Load_Booking_Report!AL:AL)),
                     0)
      )=0,
      "",
      INDEX(Load_Booking_Report!AR:AR,
             MATCH(TRUE,
                     ISNUMBER(FIND(SUBSTITUTE(C57," ",""),
                                    Load_Booking_Report!AL:AL)),
                     0)
      )
   ),
   ""
)</f>
        <v/>
      </c>
      <c r="W57" s="21">
        <f t="array" ref="W57">IFERROR(INDEX(Load_Booking_Report!F:F, MATCH(TRUE, ISNUMBER(FIND(SUBSTITUTE(C57," ",""), Load_Booking_Report!AL:AL)), 0)), "Not Found")</f>
        <v/>
      </c>
      <c r="X57" s="21">
        <f t="array" ref="X57">IFERROR(INDEX(Load_Booking_Report!N:N, MATCH(TRUE, ISNUMBER(FIND(SUBSTITUTE(C57," ",""), Load_Booking_Report!AL:AL)), 0)), "Not Found")</f>
        <v/>
      </c>
      <c r="Y57" s="21">
        <f t="array" ref="Y57">IFERROR(INDEX(Load_Booking_Report!V:V, MATCH(TRUE, ISNUMBER(FIND(SUBSTITUTE(C57," ",""), Load_Booking_Report!AL:AL)), 0)), "Not Found")</f>
        <v/>
      </c>
      <c r="Z57" s="41">
        <f t="array" ref="Z57">IFERROR(INDEX(Load_Booking_Report!BC:BC, MATCH(TRUE, ISNUMBER(FIND(SUBSTITUTE(C57," ",""), Load_Booking_Report!AL:AL)), 0)), "Not Found")</f>
        <v/>
      </c>
    </row>
    <row r="58">
      <c r="A58" t="n">
        <v>15</v>
      </c>
      <c r="B58" t="n">
        <v>150306</v>
      </c>
      <c r="C58" t="inlineStr">
        <is>
          <t>ANON0000000</t>
        </is>
      </c>
      <c r="D58" t="n">
        <v>20</v>
      </c>
      <c r="E58" t="inlineStr">
        <is>
          <t>USNFK</t>
        </is>
      </c>
      <c r="F58" t="inlineStr">
        <is>
          <t>RULED</t>
        </is>
      </c>
      <c r="G58" t="n">
        <v>21275</v>
      </c>
      <c r="H58" t="inlineStr">
        <is>
          <t>ART</t>
        </is>
      </c>
      <c r="I58" t="inlineStr">
        <is>
          <t>22G1</t>
        </is>
      </c>
      <c r="L58" t="inlineStr">
        <is>
          <t>OOG</t>
        </is>
      </c>
      <c r="M58" t="inlineStr">
        <is>
          <t>Full</t>
        </is>
      </c>
      <c r="N58" t="inlineStr">
        <is>
          <t>RULED</t>
        </is>
      </c>
      <c r="P58" s="21">
        <f>C58</f>
        <v/>
      </c>
      <c r="Q58" s="21">
        <f t="array" ref="Q58">IFERROR(INDEX(Load_Booking_Report!AC:AC, MATCH(TRUE, ISNUMBER(FIND(SUBSTITUTE(C58," ",""), Load_Booking_Report!AL:AL)), 0)), "Not Found")</f>
        <v/>
      </c>
      <c r="R58" s="21">
        <f t="array" ref="R58">IFERROR(INDEX(Load_Booking_Report!C:C, MATCH(TRUE, ISNUMBER(FIND(SUBSTITUTE(C58," ",""), Load_Booking_Report!AL:AL)), 0)), "Not Found")</f>
        <v/>
      </c>
      <c r="S58" s="21">
        <f t="array" ref="S58">IFERROR(INDEX(Load_Booking_Report!AG:AG, MATCH(TRUE, ISNUMBER(FIND(SUBSTITUTE(C58," ",""), Load_Booking_Report!AL:AL)), 0)), "Not Found")</f>
        <v/>
      </c>
      <c r="T58" s="21">
        <f>G58</f>
        <v/>
      </c>
      <c r="U58" s="33">
        <f t="array" ref="U58">IFERROR(
   IF(
      INDEX(Load_Booking_Report!AM:AM,
             MATCH(TRUE,
                     ISNUMBER(FIND(SUBSTITUTE(C58," ",""),
                                    Load_Booking_Report!AL:AL)),
                     0)
      )=0,
      "",
      INDEX(Load_Booking_Report!AM:AM,
             MATCH(TRUE,
                     ISNUMBER(FIND(SUBSTITUTE(C58," ",""),
                                    Load_Booking_Report!AL:AL)),
                     0)
      )
   ),
   ""
)</f>
        <v/>
      </c>
      <c r="V58" s="21">
        <f t="array" ref="V58">IFERROR(
   IF(
      INDEX(Load_Booking_Report!AR:AR,
             MATCH(TRUE,
                     ISNUMBER(FIND(SUBSTITUTE(C58," ",""),
                                    Load_Booking_Report!AL:AL)),
                     0)
      )=0,
      "",
      INDEX(Load_Booking_Report!AR:AR,
             MATCH(TRUE,
                     ISNUMBER(FIND(SUBSTITUTE(C58," ",""),
                                    Load_Booking_Report!AL:AL)),
                     0)
      )
   ),
   ""
)</f>
        <v/>
      </c>
      <c r="W58" s="21">
        <f t="array" ref="W58">IFERROR(INDEX(Load_Booking_Report!F:F, MATCH(TRUE, ISNUMBER(FIND(SUBSTITUTE(C58," ",""), Load_Booking_Report!AL:AL)), 0)), "Not Found")</f>
        <v/>
      </c>
      <c r="X58" s="21">
        <f t="array" ref="X58">IFERROR(INDEX(Load_Booking_Report!N:N, MATCH(TRUE, ISNUMBER(FIND(SUBSTITUTE(C58," ",""), Load_Booking_Report!AL:AL)), 0)), "Not Found")</f>
        <v/>
      </c>
      <c r="Y58" s="21">
        <f t="array" ref="Y58">IFERROR(INDEX(Load_Booking_Report!V:V, MATCH(TRUE, ISNUMBER(FIND(SUBSTITUTE(C58," ",""), Load_Booking_Report!AL:AL)), 0)), "Not Found")</f>
        <v/>
      </c>
      <c r="Z58" s="41">
        <f t="array" ref="Z58">IFERROR(INDEX(Load_Booking_Report!BC:BC, MATCH(TRUE, ISNUMBER(FIND(SUBSTITUTE(C58," ",""), Load_Booking_Report!AL:AL)), 0)), "Not Found")</f>
        <v/>
      </c>
    </row>
    <row r="59">
      <c r="A59" t="n">
        <v>13</v>
      </c>
      <c r="B59" t="n">
        <v>130502</v>
      </c>
      <c r="C59" t="inlineStr">
        <is>
          <t>ANON0000000</t>
        </is>
      </c>
      <c r="D59" t="n">
        <v>20</v>
      </c>
      <c r="E59" t="inlineStr">
        <is>
          <t>USNFK</t>
        </is>
      </c>
      <c r="F59" t="inlineStr">
        <is>
          <t>RULED</t>
        </is>
      </c>
      <c r="G59" t="n">
        <v>25400</v>
      </c>
      <c r="H59" t="inlineStr">
        <is>
          <t>ART</t>
        </is>
      </c>
      <c r="I59" t="inlineStr">
        <is>
          <t>22G1</t>
        </is>
      </c>
      <c r="L59" t="inlineStr">
        <is>
          <t>OOG</t>
        </is>
      </c>
      <c r="M59" t="inlineStr">
        <is>
          <t>Full</t>
        </is>
      </c>
      <c r="N59" t="inlineStr">
        <is>
          <t>RULED</t>
        </is>
      </c>
      <c r="P59" s="21">
        <f>C59</f>
        <v/>
      </c>
      <c r="Q59" s="21">
        <f t="array" ref="Q59">IFERROR(INDEX(Load_Booking_Report!AC:AC, MATCH(TRUE, ISNUMBER(FIND(SUBSTITUTE(C59," ",""), Load_Booking_Report!AL:AL)), 0)), "Not Found")</f>
        <v/>
      </c>
      <c r="R59" s="21">
        <f t="array" ref="R59">IFERROR(INDEX(Load_Booking_Report!C:C, MATCH(TRUE, ISNUMBER(FIND(SUBSTITUTE(C59," ",""), Load_Booking_Report!AL:AL)), 0)), "Not Found")</f>
        <v/>
      </c>
      <c r="S59" s="21">
        <f t="array" ref="S59">IFERROR(INDEX(Load_Booking_Report!AG:AG, MATCH(TRUE, ISNUMBER(FIND(SUBSTITUTE(C59," ",""), Load_Booking_Report!AL:AL)), 0)), "Not Found")</f>
        <v/>
      </c>
      <c r="T59" s="21">
        <f>G59</f>
        <v/>
      </c>
      <c r="U59" s="33">
        <f t="array" ref="U59">IFERROR(
   IF(
      INDEX(Load_Booking_Report!AM:AM,
             MATCH(TRUE,
                     ISNUMBER(FIND(SUBSTITUTE(C59," ",""),
                                    Load_Booking_Report!AL:AL)),
                     0)
      )=0,
      "",
      INDEX(Load_Booking_Report!AM:AM,
             MATCH(TRUE,
                     ISNUMBER(FIND(SUBSTITUTE(C59," ",""),
                                    Load_Booking_Report!AL:AL)),
                     0)
      )
   ),
   ""
)</f>
        <v/>
      </c>
      <c r="V59" s="21">
        <f t="array" ref="V59">IFERROR(
   IF(
      INDEX(Load_Booking_Report!AR:AR,
             MATCH(TRUE,
                     ISNUMBER(FIND(SUBSTITUTE(C59," ",""),
                                    Load_Booking_Report!AL:AL)),
                     0)
      )=0,
      "",
      INDEX(Load_Booking_Report!AR:AR,
             MATCH(TRUE,
                     ISNUMBER(FIND(SUBSTITUTE(C59," ",""),
                                    Load_Booking_Report!AL:AL)),
                     0)
      )
   ),
   ""
)</f>
        <v/>
      </c>
      <c r="W59" s="21">
        <f t="array" ref="W59">IFERROR(INDEX(Load_Booking_Report!F:F, MATCH(TRUE, ISNUMBER(FIND(SUBSTITUTE(C59," ",""), Load_Booking_Report!AL:AL)), 0)), "Not Found")</f>
        <v/>
      </c>
      <c r="X59" s="21">
        <f t="array" ref="X59">IFERROR(INDEX(Load_Booking_Report!N:N, MATCH(TRUE, ISNUMBER(FIND(SUBSTITUTE(C59," ",""), Load_Booking_Report!AL:AL)), 0)), "Not Found")</f>
        <v/>
      </c>
      <c r="Y59" s="21">
        <f t="array" ref="Y59">IFERROR(INDEX(Load_Booking_Report!V:V, MATCH(TRUE, ISNUMBER(FIND(SUBSTITUTE(C59," ",""), Load_Booking_Report!AL:AL)), 0)), "Not Found")</f>
        <v/>
      </c>
      <c r="Z59" s="41">
        <f t="array" ref="Z59">IFERROR(INDEX(Load_Booking_Report!BC:BC, MATCH(TRUE, ISNUMBER(FIND(SUBSTITUTE(C59," ",""), Load_Booking_Report!AL:AL)), 0)), "Not Found")</f>
        <v/>
      </c>
    </row>
    <row r="60">
      <c r="A60" t="n">
        <v>31</v>
      </c>
      <c r="B60" t="n">
        <v>310704</v>
      </c>
      <c r="C60" t="inlineStr">
        <is>
          <t>ANON0000000</t>
        </is>
      </c>
      <c r="D60" t="n">
        <v>20</v>
      </c>
      <c r="E60" t="inlineStr">
        <is>
          <t>USNFK</t>
        </is>
      </c>
      <c r="F60" t="inlineStr">
        <is>
          <t>RULED</t>
        </is>
      </c>
      <c r="G60" t="n">
        <v>21428</v>
      </c>
      <c r="H60" t="inlineStr">
        <is>
          <t>ART</t>
        </is>
      </c>
      <c r="I60" t="inlineStr">
        <is>
          <t>22G1</t>
        </is>
      </c>
      <c r="L60" t="inlineStr">
        <is>
          <t>OOG</t>
        </is>
      </c>
      <c r="M60" t="inlineStr">
        <is>
          <t>Full</t>
        </is>
      </c>
      <c r="N60" t="inlineStr">
        <is>
          <t>RULED</t>
        </is>
      </c>
      <c r="P60" s="21">
        <f>C60</f>
        <v/>
      </c>
      <c r="Q60" s="21">
        <f t="array" ref="Q60">IFERROR(INDEX(Load_Booking_Report!AC:AC, MATCH(TRUE, ISNUMBER(FIND(SUBSTITUTE(C60," ",""), Load_Booking_Report!AL:AL)), 0)), "Not Found")</f>
        <v/>
      </c>
      <c r="R60" s="21">
        <f t="array" ref="R60">IFERROR(INDEX(Load_Booking_Report!C:C, MATCH(TRUE, ISNUMBER(FIND(SUBSTITUTE(C60," ",""), Load_Booking_Report!AL:AL)), 0)), "Not Found")</f>
        <v/>
      </c>
      <c r="S60" s="21">
        <f t="array" ref="S60">IFERROR(INDEX(Load_Booking_Report!AG:AG, MATCH(TRUE, ISNUMBER(FIND(SUBSTITUTE(C60," ",""), Load_Booking_Report!AL:AL)), 0)), "Not Found")</f>
        <v/>
      </c>
      <c r="T60" s="21">
        <f>G60</f>
        <v/>
      </c>
      <c r="U60" s="33">
        <f t="array" ref="U60">IFERROR(
   IF(
      INDEX(Load_Booking_Report!AM:AM,
             MATCH(TRUE,
                     ISNUMBER(FIND(SUBSTITUTE(C60," ",""),
                                    Load_Booking_Report!AL:AL)),
                     0)
      )=0,
      "",
      INDEX(Load_Booking_Report!AM:AM,
             MATCH(TRUE,
                     ISNUMBER(FIND(SUBSTITUTE(C60," ",""),
                                    Load_Booking_Report!AL:AL)),
                     0)
      )
   ),
   ""
)</f>
        <v/>
      </c>
      <c r="V60" s="21">
        <f t="array" ref="V60">IFERROR(
   IF(
      INDEX(Load_Booking_Report!AR:AR,
             MATCH(TRUE,
                     ISNUMBER(FIND(SUBSTITUTE(C60," ",""),
                                    Load_Booking_Report!AL:AL)),
                     0)
      )=0,
      "",
      INDEX(Load_Booking_Report!AR:AR,
             MATCH(TRUE,
                     ISNUMBER(FIND(SUBSTITUTE(C60," ",""),
                                    Load_Booking_Report!AL:AL)),
                     0)
      )
   ),
   ""
)</f>
        <v/>
      </c>
      <c r="W60" s="21">
        <f t="array" ref="W60">IFERROR(INDEX(Load_Booking_Report!F:F, MATCH(TRUE, ISNUMBER(FIND(SUBSTITUTE(C60," ",""), Load_Booking_Report!AL:AL)), 0)), "Not Found")</f>
        <v/>
      </c>
      <c r="X60" s="21">
        <f t="array" ref="X60">IFERROR(INDEX(Load_Booking_Report!N:N, MATCH(TRUE, ISNUMBER(FIND(SUBSTITUTE(C60," ",""), Load_Booking_Report!AL:AL)), 0)), "Not Found")</f>
        <v/>
      </c>
      <c r="Y60" s="21">
        <f t="array" ref="Y60">IFERROR(INDEX(Load_Booking_Report!V:V, MATCH(TRUE, ISNUMBER(FIND(SUBSTITUTE(C60," ",""), Load_Booking_Report!AL:AL)), 0)), "Not Found")</f>
        <v/>
      </c>
      <c r="Z60" s="41">
        <f t="array" ref="Z60">IFERROR(INDEX(Load_Booking_Report!BC:BC, MATCH(TRUE, ISNUMBER(FIND(SUBSTITUTE(C60," ",""), Load_Booking_Report!AL:AL)), 0)), "Not Found")</f>
        <v/>
      </c>
    </row>
    <row r="61">
      <c r="A61" t="n">
        <v>33</v>
      </c>
      <c r="B61" t="n">
        <v>330504</v>
      </c>
      <c r="C61" t="inlineStr">
        <is>
          <t>ANON0000000</t>
        </is>
      </c>
      <c r="D61" t="n">
        <v>20</v>
      </c>
      <c r="E61" t="inlineStr">
        <is>
          <t>USNYC</t>
        </is>
      </c>
      <c r="F61" t="inlineStr">
        <is>
          <t>RULED</t>
        </is>
      </c>
      <c r="G61" t="n">
        <v>27140</v>
      </c>
      <c r="H61" t="inlineStr">
        <is>
          <t>ART</t>
        </is>
      </c>
      <c r="I61" t="inlineStr">
        <is>
          <t>22G1</t>
        </is>
      </c>
      <c r="L61" t="inlineStr">
        <is>
          <t>8'6</t>
        </is>
      </c>
      <c r="M61" t="inlineStr">
        <is>
          <t>Full</t>
        </is>
      </c>
      <c r="N61" t="inlineStr">
        <is>
          <t>RULED</t>
        </is>
      </c>
      <c r="P61" s="21">
        <f>C61</f>
        <v/>
      </c>
      <c r="Q61" s="21">
        <f t="array" ref="Q61">IFERROR(INDEX(Load_Booking_Report!AC:AC, MATCH(TRUE, ISNUMBER(FIND(SUBSTITUTE(C61," ",""), Load_Booking_Report!AL:AL)), 0)), "Not Found")</f>
        <v/>
      </c>
      <c r="R61" s="21">
        <f t="array" ref="R61">IFERROR(INDEX(Load_Booking_Report!C:C, MATCH(TRUE, ISNUMBER(FIND(SUBSTITUTE(C61," ",""), Load_Booking_Report!AL:AL)), 0)), "Not Found")</f>
        <v/>
      </c>
      <c r="S61" s="21">
        <f t="array" ref="S61">IFERROR(INDEX(Load_Booking_Report!AG:AG, MATCH(TRUE, ISNUMBER(FIND(SUBSTITUTE(C61," ",""), Load_Booking_Report!AL:AL)), 0)), "Not Found")</f>
        <v/>
      </c>
      <c r="T61" s="21">
        <f>G61</f>
        <v/>
      </c>
      <c r="U61" s="33">
        <f t="array" ref="U61">IFERROR(
   IF(
      INDEX(Load_Booking_Report!AM:AM,
             MATCH(TRUE,
                     ISNUMBER(FIND(SUBSTITUTE(C61," ",""),
                                    Load_Booking_Report!AL:AL)),
                     0)
      )=0,
      "",
      INDEX(Load_Booking_Report!AM:AM,
             MATCH(TRUE,
                     ISNUMBER(FIND(SUBSTITUTE(C61," ",""),
                                    Load_Booking_Report!AL:AL)),
                     0)
      )
   ),
   ""
)</f>
        <v/>
      </c>
      <c r="V61" s="21">
        <f t="array" ref="V61">IFERROR(
   IF(
      INDEX(Load_Booking_Report!AR:AR,
             MATCH(TRUE,
                     ISNUMBER(FIND(SUBSTITUTE(C61," ",""),
                                    Load_Booking_Report!AL:AL)),
                     0)
      )=0,
      "",
      INDEX(Load_Booking_Report!AR:AR,
             MATCH(TRUE,
                     ISNUMBER(FIND(SUBSTITUTE(C61," ",""),
                                    Load_Booking_Report!AL:AL)),
                     0)
      )
   ),
   ""
)</f>
        <v/>
      </c>
      <c r="W61" s="21">
        <f t="array" ref="W61">IFERROR(INDEX(Load_Booking_Report!F:F, MATCH(TRUE, ISNUMBER(FIND(SUBSTITUTE(C61," ",""), Load_Booking_Report!AL:AL)), 0)), "Not Found")</f>
        <v/>
      </c>
      <c r="X61" s="21">
        <f t="array" ref="X61">IFERROR(INDEX(Load_Booking_Report!N:N, MATCH(TRUE, ISNUMBER(FIND(SUBSTITUTE(C61," ",""), Load_Booking_Report!AL:AL)), 0)), "Not Found")</f>
        <v/>
      </c>
      <c r="Y61" s="21">
        <f t="array" ref="Y61">IFERROR(INDEX(Load_Booking_Report!V:V, MATCH(TRUE, ISNUMBER(FIND(SUBSTITUTE(C61," ",""), Load_Booking_Report!AL:AL)), 0)), "Not Found")</f>
        <v/>
      </c>
      <c r="Z61" s="41">
        <f t="array" ref="Z61">IFERROR(INDEX(Load_Booking_Report!BC:BC, MATCH(TRUE, ISNUMBER(FIND(SUBSTITUTE(C61," ",""), Load_Booking_Report!AL:AL)), 0)), "Not Found")</f>
        <v/>
      </c>
    </row>
    <row r="62">
      <c r="A62" t="n">
        <v>31</v>
      </c>
      <c r="B62" t="n">
        <v>310106</v>
      </c>
      <c r="C62" t="inlineStr">
        <is>
          <t>ANON0000000</t>
        </is>
      </c>
      <c r="D62" t="n">
        <v>20</v>
      </c>
      <c r="E62" t="inlineStr">
        <is>
          <t>USNFK</t>
        </is>
      </c>
      <c r="F62" t="inlineStr">
        <is>
          <t>RULED</t>
        </is>
      </c>
      <c r="G62" t="n">
        <v>23515</v>
      </c>
      <c r="H62" t="inlineStr">
        <is>
          <t>ART</t>
        </is>
      </c>
      <c r="I62" t="inlineStr">
        <is>
          <t>22G1</t>
        </is>
      </c>
      <c r="L62" t="inlineStr">
        <is>
          <t>OOG</t>
        </is>
      </c>
      <c r="M62" t="inlineStr">
        <is>
          <t>Full</t>
        </is>
      </c>
      <c r="N62" t="inlineStr">
        <is>
          <t>RULED</t>
        </is>
      </c>
      <c r="P62" s="21">
        <f>C62</f>
        <v/>
      </c>
      <c r="Q62" s="21">
        <f t="array" ref="Q62">IFERROR(INDEX(Load_Booking_Report!AC:AC, MATCH(TRUE, ISNUMBER(FIND(SUBSTITUTE(C62," ",""), Load_Booking_Report!AL:AL)), 0)), "Not Found")</f>
        <v/>
      </c>
      <c r="R62" s="21">
        <f t="array" ref="R62">IFERROR(INDEX(Load_Booking_Report!C:C, MATCH(TRUE, ISNUMBER(FIND(SUBSTITUTE(C62," ",""), Load_Booking_Report!AL:AL)), 0)), "Not Found")</f>
        <v/>
      </c>
      <c r="S62" s="21">
        <f t="array" ref="S62">IFERROR(INDEX(Load_Booking_Report!AG:AG, MATCH(TRUE, ISNUMBER(FIND(SUBSTITUTE(C62," ",""), Load_Booking_Report!AL:AL)), 0)), "Not Found")</f>
        <v/>
      </c>
      <c r="T62" s="21">
        <f>G62</f>
        <v/>
      </c>
      <c r="U62" s="33">
        <f t="array" ref="U62">IFERROR(
   IF(
      INDEX(Load_Booking_Report!AM:AM,
             MATCH(TRUE,
                     ISNUMBER(FIND(SUBSTITUTE(C62," ",""),
                                    Load_Booking_Report!AL:AL)),
                     0)
      )=0,
      "",
      INDEX(Load_Booking_Report!AM:AM,
             MATCH(TRUE,
                     ISNUMBER(FIND(SUBSTITUTE(C62," ",""),
                                    Load_Booking_Report!AL:AL)),
                     0)
      )
   ),
   ""
)</f>
        <v/>
      </c>
      <c r="V62" s="21">
        <f t="array" ref="V62">IFERROR(
   IF(
      INDEX(Load_Booking_Report!AR:AR,
             MATCH(TRUE,
                     ISNUMBER(FIND(SUBSTITUTE(C62," ",""),
                                    Load_Booking_Report!AL:AL)),
                     0)
      )=0,
      "",
      INDEX(Load_Booking_Report!AR:AR,
             MATCH(TRUE,
                     ISNUMBER(FIND(SUBSTITUTE(C62," ",""),
                                    Load_Booking_Report!AL:AL)),
                     0)
      )
   ),
   ""
)</f>
        <v/>
      </c>
      <c r="W62" s="21">
        <f t="array" ref="W62">IFERROR(INDEX(Load_Booking_Report!F:F, MATCH(TRUE, ISNUMBER(FIND(SUBSTITUTE(C62," ",""), Load_Booking_Report!AL:AL)), 0)), "Not Found")</f>
        <v/>
      </c>
      <c r="X62" s="21">
        <f t="array" ref="X62">IFERROR(INDEX(Load_Booking_Report!N:N, MATCH(TRUE, ISNUMBER(FIND(SUBSTITUTE(C62," ",""), Load_Booking_Report!AL:AL)), 0)), "Not Found")</f>
        <v/>
      </c>
      <c r="Y62" s="21">
        <f t="array" ref="Y62">IFERROR(INDEX(Load_Booking_Report!V:V, MATCH(TRUE, ISNUMBER(FIND(SUBSTITUTE(C62," ",""), Load_Booking_Report!AL:AL)), 0)), "Not Found")</f>
        <v/>
      </c>
      <c r="Z62" s="41">
        <f t="array" ref="Z62">IFERROR(INDEX(Load_Booking_Report!BC:BC, MATCH(TRUE, ISNUMBER(FIND(SUBSTITUTE(C62," ",""), Load_Booking_Report!AL:AL)), 0)), "Not Found")</f>
        <v/>
      </c>
    </row>
    <row r="63">
      <c r="A63" t="n">
        <v>13</v>
      </c>
      <c r="B63" t="n">
        <v>130206</v>
      </c>
      <c r="C63" t="inlineStr">
        <is>
          <t>ANON0000000</t>
        </is>
      </c>
      <c r="D63" t="n">
        <v>20</v>
      </c>
      <c r="E63" t="inlineStr">
        <is>
          <t>USNFK</t>
        </is>
      </c>
      <c r="F63" t="inlineStr">
        <is>
          <t>RULED</t>
        </is>
      </c>
      <c r="G63" t="n">
        <v>21420</v>
      </c>
      <c r="H63" t="inlineStr">
        <is>
          <t>ART</t>
        </is>
      </c>
      <c r="I63" t="inlineStr">
        <is>
          <t>22G1</t>
        </is>
      </c>
      <c r="L63" t="inlineStr">
        <is>
          <t>OOG</t>
        </is>
      </c>
      <c r="M63" t="inlineStr">
        <is>
          <t>Full</t>
        </is>
      </c>
      <c r="N63" t="inlineStr">
        <is>
          <t>RULED</t>
        </is>
      </c>
      <c r="P63" s="21">
        <f>C63</f>
        <v/>
      </c>
      <c r="Q63" s="21">
        <f t="array" ref="Q63">IFERROR(INDEX(Load_Booking_Report!AC:AC, MATCH(TRUE, ISNUMBER(FIND(SUBSTITUTE(C63," ",""), Load_Booking_Report!AL:AL)), 0)), "Not Found")</f>
        <v/>
      </c>
      <c r="R63" s="21">
        <f t="array" ref="R63">IFERROR(INDEX(Load_Booking_Report!C:C, MATCH(TRUE, ISNUMBER(FIND(SUBSTITUTE(C63," ",""), Load_Booking_Report!AL:AL)), 0)), "Not Found")</f>
        <v/>
      </c>
      <c r="S63" s="21">
        <f t="array" ref="S63">IFERROR(INDEX(Load_Booking_Report!AG:AG, MATCH(TRUE, ISNUMBER(FIND(SUBSTITUTE(C63," ",""), Load_Booking_Report!AL:AL)), 0)), "Not Found")</f>
        <v/>
      </c>
      <c r="T63" s="21">
        <f>G63</f>
        <v/>
      </c>
      <c r="U63" s="33">
        <f t="array" ref="U63">IFERROR(
   IF(
      INDEX(Load_Booking_Report!AM:AM,
             MATCH(TRUE,
                     ISNUMBER(FIND(SUBSTITUTE(C63," ",""),
                                    Load_Booking_Report!AL:AL)),
                     0)
      )=0,
      "",
      INDEX(Load_Booking_Report!AM:AM,
             MATCH(TRUE,
                     ISNUMBER(FIND(SUBSTITUTE(C63," ",""),
                                    Load_Booking_Report!AL:AL)),
                     0)
      )
   ),
   ""
)</f>
        <v/>
      </c>
      <c r="V63" s="21">
        <f t="array" ref="V63">IFERROR(
   IF(
      INDEX(Load_Booking_Report!AR:AR,
             MATCH(TRUE,
                     ISNUMBER(FIND(SUBSTITUTE(C63," ",""),
                                    Load_Booking_Report!AL:AL)),
                     0)
      )=0,
      "",
      INDEX(Load_Booking_Report!AR:AR,
             MATCH(TRUE,
                     ISNUMBER(FIND(SUBSTITUTE(C63," ",""),
                                    Load_Booking_Report!AL:AL)),
                     0)
      )
   ),
   ""
)</f>
        <v/>
      </c>
      <c r="W63" s="21">
        <f t="array" ref="W63">IFERROR(INDEX(Load_Booking_Report!F:F, MATCH(TRUE, ISNUMBER(FIND(SUBSTITUTE(C63," ",""), Load_Booking_Report!AL:AL)), 0)), "Not Found")</f>
        <v/>
      </c>
      <c r="X63" s="21">
        <f t="array" ref="X63">IFERROR(INDEX(Load_Booking_Report!N:N, MATCH(TRUE, ISNUMBER(FIND(SUBSTITUTE(C63," ",""), Load_Booking_Report!AL:AL)), 0)), "Not Found")</f>
        <v/>
      </c>
      <c r="Y63" s="21">
        <f t="array" ref="Y63">IFERROR(INDEX(Load_Booking_Report!V:V, MATCH(TRUE, ISNUMBER(FIND(SUBSTITUTE(C63," ",""), Load_Booking_Report!AL:AL)), 0)), "Not Found")</f>
        <v/>
      </c>
      <c r="Z63" s="41">
        <f t="array" ref="Z63">IFERROR(INDEX(Load_Booking_Report!BC:BC, MATCH(TRUE, ISNUMBER(FIND(SUBSTITUTE(C63," ",""), Load_Booking_Report!AL:AL)), 0)), "Not Found")</f>
        <v/>
      </c>
    </row>
    <row r="64">
      <c r="A64" t="n">
        <v>3</v>
      </c>
      <c r="B64" t="n">
        <v>30108</v>
      </c>
      <c r="C64" t="inlineStr">
        <is>
          <t>ANON0000000</t>
        </is>
      </c>
      <c r="D64" t="n">
        <v>20</v>
      </c>
      <c r="E64" t="inlineStr">
        <is>
          <t>USNFK</t>
        </is>
      </c>
      <c r="F64" t="inlineStr">
        <is>
          <t>RULED</t>
        </is>
      </c>
      <c r="G64" t="n">
        <v>26400</v>
      </c>
      <c r="H64" t="inlineStr">
        <is>
          <t>ART</t>
        </is>
      </c>
      <c r="I64" t="inlineStr">
        <is>
          <t>22G1</t>
        </is>
      </c>
      <c r="L64" t="inlineStr">
        <is>
          <t>8'6</t>
        </is>
      </c>
      <c r="M64" t="inlineStr">
        <is>
          <t>Full</t>
        </is>
      </c>
      <c r="N64" t="inlineStr">
        <is>
          <t>RULED</t>
        </is>
      </c>
      <c r="P64" s="21">
        <f>C64</f>
        <v/>
      </c>
      <c r="Q64" s="21">
        <f t="array" ref="Q64">IFERROR(INDEX(Load_Booking_Report!AC:AC, MATCH(TRUE, ISNUMBER(FIND(SUBSTITUTE(C64," ",""), Load_Booking_Report!AL:AL)), 0)), "Not Found")</f>
        <v/>
      </c>
      <c r="R64" s="21">
        <f t="array" ref="R64">IFERROR(INDEX(Load_Booking_Report!C:C, MATCH(TRUE, ISNUMBER(FIND(SUBSTITUTE(C64," ",""), Load_Booking_Report!AL:AL)), 0)), "Not Found")</f>
        <v/>
      </c>
      <c r="S64" s="21">
        <f t="array" ref="S64">IFERROR(INDEX(Load_Booking_Report!AG:AG, MATCH(TRUE, ISNUMBER(FIND(SUBSTITUTE(C64," ",""), Load_Booking_Report!AL:AL)), 0)), "Not Found")</f>
        <v/>
      </c>
      <c r="T64" s="21">
        <f>G64</f>
        <v/>
      </c>
      <c r="U64" s="33">
        <f t="array" ref="U64">IFERROR(
   IF(
      INDEX(Load_Booking_Report!AM:AM,
             MATCH(TRUE,
                     ISNUMBER(FIND(SUBSTITUTE(C64," ",""),
                                    Load_Booking_Report!AL:AL)),
                     0)
      )=0,
      "",
      INDEX(Load_Booking_Report!AM:AM,
             MATCH(TRUE,
                     ISNUMBER(FIND(SUBSTITUTE(C64," ",""),
                                    Load_Booking_Report!AL:AL)),
                     0)
      )
   ),
   ""
)</f>
        <v/>
      </c>
      <c r="V64" s="21">
        <f t="array" ref="V64">IFERROR(
   IF(
      INDEX(Load_Booking_Report!AR:AR,
             MATCH(TRUE,
                     ISNUMBER(FIND(SUBSTITUTE(C64," ",""),
                                    Load_Booking_Report!AL:AL)),
                     0)
      )=0,
      "",
      INDEX(Load_Booking_Report!AR:AR,
             MATCH(TRUE,
                     ISNUMBER(FIND(SUBSTITUTE(C64," ",""),
                                    Load_Booking_Report!AL:AL)),
                     0)
      )
   ),
   ""
)</f>
        <v/>
      </c>
      <c r="W64" s="21">
        <f t="array" ref="W64">IFERROR(INDEX(Load_Booking_Report!F:F, MATCH(TRUE, ISNUMBER(FIND(SUBSTITUTE(C64," ",""), Load_Booking_Report!AL:AL)), 0)), "Not Found")</f>
        <v/>
      </c>
      <c r="X64" s="21">
        <f t="array" ref="X64">IFERROR(INDEX(Load_Booking_Report!N:N, MATCH(TRUE, ISNUMBER(FIND(SUBSTITUTE(C64," ",""), Load_Booking_Report!AL:AL)), 0)), "Not Found")</f>
        <v/>
      </c>
      <c r="Y64" s="21">
        <f t="array" ref="Y64">IFERROR(INDEX(Load_Booking_Report!V:V, MATCH(TRUE, ISNUMBER(FIND(SUBSTITUTE(C64," ",""), Load_Booking_Report!AL:AL)), 0)), "Not Found")</f>
        <v/>
      </c>
      <c r="Z64" s="41">
        <f t="array" ref="Z64">IFERROR(INDEX(Load_Booking_Report!BC:BC, MATCH(TRUE, ISNUMBER(FIND(SUBSTITUTE(C64," ",""), Load_Booking_Report!AL:AL)), 0)), "Not Found")</f>
        <v/>
      </c>
    </row>
    <row r="65">
      <c r="A65" t="n">
        <v>31</v>
      </c>
      <c r="B65" t="n">
        <v>310506</v>
      </c>
      <c r="C65" t="inlineStr">
        <is>
          <t>ANON0000000</t>
        </is>
      </c>
      <c r="D65" t="n">
        <v>20</v>
      </c>
      <c r="E65" t="inlineStr">
        <is>
          <t>USNFK</t>
        </is>
      </c>
      <c r="F65" t="inlineStr">
        <is>
          <t>RULED</t>
        </is>
      </c>
      <c r="G65" t="n">
        <v>21356</v>
      </c>
      <c r="H65" t="inlineStr">
        <is>
          <t>ART</t>
        </is>
      </c>
      <c r="I65" t="inlineStr">
        <is>
          <t>22G1</t>
        </is>
      </c>
      <c r="L65" t="inlineStr">
        <is>
          <t>OOG</t>
        </is>
      </c>
      <c r="M65" t="inlineStr">
        <is>
          <t>Full</t>
        </is>
      </c>
      <c r="N65" t="inlineStr">
        <is>
          <t>RULED</t>
        </is>
      </c>
      <c r="P65" s="21">
        <f>C65</f>
        <v/>
      </c>
      <c r="Q65" s="21">
        <f t="array" ref="Q65">IFERROR(INDEX(Load_Booking_Report!AC:AC, MATCH(TRUE, ISNUMBER(FIND(SUBSTITUTE(C65," ",""), Load_Booking_Report!AL:AL)), 0)), "Not Found")</f>
        <v/>
      </c>
      <c r="R65" s="21">
        <f t="array" ref="R65">IFERROR(INDEX(Load_Booking_Report!C:C, MATCH(TRUE, ISNUMBER(FIND(SUBSTITUTE(C65," ",""), Load_Booking_Report!AL:AL)), 0)), "Not Found")</f>
        <v/>
      </c>
      <c r="S65" s="21">
        <f t="array" ref="S65">IFERROR(INDEX(Load_Booking_Report!AG:AG, MATCH(TRUE, ISNUMBER(FIND(SUBSTITUTE(C65," ",""), Load_Booking_Report!AL:AL)), 0)), "Not Found")</f>
        <v/>
      </c>
      <c r="T65" s="21">
        <f>G65</f>
        <v/>
      </c>
      <c r="U65" s="33">
        <f t="array" ref="U65">IFERROR(
   IF(
      INDEX(Load_Booking_Report!AM:AM,
             MATCH(TRUE,
                     ISNUMBER(FIND(SUBSTITUTE(C65," ",""),
                                    Load_Booking_Report!AL:AL)),
                     0)
      )=0,
      "",
      INDEX(Load_Booking_Report!AM:AM,
             MATCH(TRUE,
                     ISNUMBER(FIND(SUBSTITUTE(C65," ",""),
                                    Load_Booking_Report!AL:AL)),
                     0)
      )
   ),
   ""
)</f>
        <v/>
      </c>
      <c r="V65" s="21">
        <f t="array" ref="V65">IFERROR(
   IF(
      INDEX(Load_Booking_Report!AR:AR,
             MATCH(TRUE,
                     ISNUMBER(FIND(SUBSTITUTE(C65," ",""),
                                    Load_Booking_Report!AL:AL)),
                     0)
      )=0,
      "",
      INDEX(Load_Booking_Report!AR:AR,
             MATCH(TRUE,
                     ISNUMBER(FIND(SUBSTITUTE(C65," ",""),
                                    Load_Booking_Report!AL:AL)),
                     0)
      )
   ),
   ""
)</f>
        <v/>
      </c>
      <c r="W65" s="21">
        <f t="array" ref="W65">IFERROR(INDEX(Load_Booking_Report!F:F, MATCH(TRUE, ISNUMBER(FIND(SUBSTITUTE(C65," ",""), Load_Booking_Report!AL:AL)), 0)), "Not Found")</f>
        <v/>
      </c>
      <c r="X65" s="21">
        <f t="array" ref="X65">IFERROR(INDEX(Load_Booking_Report!N:N, MATCH(TRUE, ISNUMBER(FIND(SUBSTITUTE(C65," ",""), Load_Booking_Report!AL:AL)), 0)), "Not Found")</f>
        <v/>
      </c>
      <c r="Y65" s="21">
        <f t="array" ref="Y65">IFERROR(INDEX(Load_Booking_Report!V:V, MATCH(TRUE, ISNUMBER(FIND(SUBSTITUTE(C65," ",""), Load_Booking_Report!AL:AL)), 0)), "Not Found")</f>
        <v/>
      </c>
      <c r="Z65" s="41">
        <f t="array" ref="Z65">IFERROR(INDEX(Load_Booking_Report!BC:BC, MATCH(TRUE, ISNUMBER(FIND(SUBSTITUTE(C65," ",""), Load_Booking_Report!AL:AL)), 0)), "Not Found")</f>
        <v/>
      </c>
    </row>
    <row r="66">
      <c r="A66" t="n">
        <v>29</v>
      </c>
      <c r="B66" t="n">
        <v>290204</v>
      </c>
      <c r="C66" t="inlineStr">
        <is>
          <t>ANON0000000</t>
        </is>
      </c>
      <c r="D66" t="n">
        <v>20</v>
      </c>
      <c r="E66" t="inlineStr">
        <is>
          <t>USNFK</t>
        </is>
      </c>
      <c r="F66" t="inlineStr">
        <is>
          <t>RULED</t>
        </is>
      </c>
      <c r="G66" t="n">
        <v>28090</v>
      </c>
      <c r="H66" t="inlineStr">
        <is>
          <t>ART</t>
        </is>
      </c>
      <c r="I66" t="inlineStr">
        <is>
          <t>22G1</t>
        </is>
      </c>
      <c r="L66" t="inlineStr">
        <is>
          <t>OOG</t>
        </is>
      </c>
      <c r="M66" t="inlineStr">
        <is>
          <t>Full</t>
        </is>
      </c>
      <c r="N66" t="inlineStr">
        <is>
          <t>RULED</t>
        </is>
      </c>
      <c r="P66" s="21">
        <f>C66</f>
        <v/>
      </c>
      <c r="Q66" s="21">
        <f t="array" ref="Q66">IFERROR(INDEX(Load_Booking_Report!AC:AC, MATCH(TRUE, ISNUMBER(FIND(SUBSTITUTE(C66," ",""), Load_Booking_Report!AL:AL)), 0)), "Not Found")</f>
        <v/>
      </c>
      <c r="R66" s="21">
        <f t="array" ref="R66">IFERROR(INDEX(Load_Booking_Report!C:C, MATCH(TRUE, ISNUMBER(FIND(SUBSTITUTE(C66," ",""), Load_Booking_Report!AL:AL)), 0)), "Not Found")</f>
        <v/>
      </c>
      <c r="S66" s="21">
        <f t="array" ref="S66">IFERROR(INDEX(Load_Booking_Report!AG:AG, MATCH(TRUE, ISNUMBER(FIND(SUBSTITUTE(C66," ",""), Load_Booking_Report!AL:AL)), 0)), "Not Found")</f>
        <v/>
      </c>
      <c r="T66" s="21">
        <f>G66</f>
        <v/>
      </c>
      <c r="U66" s="33">
        <f t="array" ref="U66">IFERROR(
   IF(
      INDEX(Load_Booking_Report!AM:AM,
             MATCH(TRUE,
                     ISNUMBER(FIND(SUBSTITUTE(C66," ",""),
                                    Load_Booking_Report!AL:AL)),
                     0)
      )=0,
      "",
      INDEX(Load_Booking_Report!AM:AM,
             MATCH(TRUE,
                     ISNUMBER(FIND(SUBSTITUTE(C66," ",""),
                                    Load_Booking_Report!AL:AL)),
                     0)
      )
   ),
   ""
)</f>
        <v/>
      </c>
      <c r="V66" s="21">
        <f t="array" ref="V66">IFERROR(
   IF(
      INDEX(Load_Booking_Report!AR:AR,
             MATCH(TRUE,
                     ISNUMBER(FIND(SUBSTITUTE(C66," ",""),
                                    Load_Booking_Report!AL:AL)),
                     0)
      )=0,
      "",
      INDEX(Load_Booking_Report!AR:AR,
             MATCH(TRUE,
                     ISNUMBER(FIND(SUBSTITUTE(C66," ",""),
                                    Load_Booking_Report!AL:AL)),
                     0)
      )
   ),
   ""
)</f>
        <v/>
      </c>
      <c r="W66" s="21">
        <f t="array" ref="W66">IFERROR(INDEX(Load_Booking_Report!F:F, MATCH(TRUE, ISNUMBER(FIND(SUBSTITUTE(C66," ",""), Load_Booking_Report!AL:AL)), 0)), "Not Found")</f>
        <v/>
      </c>
      <c r="X66" s="21">
        <f t="array" ref="X66">IFERROR(INDEX(Load_Booking_Report!N:N, MATCH(TRUE, ISNUMBER(FIND(SUBSTITUTE(C66," ",""), Load_Booking_Report!AL:AL)), 0)), "Not Found")</f>
        <v/>
      </c>
      <c r="Y66" s="21">
        <f t="array" ref="Y66">IFERROR(INDEX(Load_Booking_Report!V:V, MATCH(TRUE, ISNUMBER(FIND(SUBSTITUTE(C66," ",""), Load_Booking_Report!AL:AL)), 0)), "Not Found")</f>
        <v/>
      </c>
      <c r="Z66" s="41">
        <f t="array" ref="Z66">IFERROR(INDEX(Load_Booking_Report!BC:BC, MATCH(TRUE, ISNUMBER(FIND(SUBSTITUTE(C66," ",""), Load_Booking_Report!AL:AL)), 0)), "Not Found")</f>
        <v/>
      </c>
    </row>
    <row r="67">
      <c r="A67" t="n">
        <v>3</v>
      </c>
      <c r="B67" t="n">
        <v>30208</v>
      </c>
      <c r="C67" t="inlineStr">
        <is>
          <t>ANON0000000</t>
        </is>
      </c>
      <c r="D67" t="n">
        <v>20</v>
      </c>
      <c r="E67" t="inlineStr">
        <is>
          <t>USNFK</t>
        </is>
      </c>
      <c r="F67" t="inlineStr">
        <is>
          <t>RULED</t>
        </is>
      </c>
      <c r="G67" t="n">
        <v>26150</v>
      </c>
      <c r="H67" t="inlineStr">
        <is>
          <t>ART</t>
        </is>
      </c>
      <c r="I67" t="inlineStr">
        <is>
          <t>22G1</t>
        </is>
      </c>
      <c r="L67" t="inlineStr">
        <is>
          <t>8'6</t>
        </is>
      </c>
      <c r="M67" t="inlineStr">
        <is>
          <t>Full</t>
        </is>
      </c>
      <c r="N67" t="inlineStr">
        <is>
          <t>RULED</t>
        </is>
      </c>
      <c r="P67" s="21">
        <f>C67</f>
        <v/>
      </c>
      <c r="Q67" s="21">
        <f t="array" ref="Q67">IFERROR(INDEX(Load_Booking_Report!AC:AC, MATCH(TRUE, ISNUMBER(FIND(SUBSTITUTE(C67," ",""), Load_Booking_Report!AL:AL)), 0)), "Not Found")</f>
        <v/>
      </c>
      <c r="R67" s="21">
        <f t="array" ref="R67">IFERROR(INDEX(Load_Booking_Report!C:C, MATCH(TRUE, ISNUMBER(FIND(SUBSTITUTE(C67," ",""), Load_Booking_Report!AL:AL)), 0)), "Not Found")</f>
        <v/>
      </c>
      <c r="S67" s="21">
        <f t="array" ref="S67">IFERROR(INDEX(Load_Booking_Report!AG:AG, MATCH(TRUE, ISNUMBER(FIND(SUBSTITUTE(C67," ",""), Load_Booking_Report!AL:AL)), 0)), "Not Found")</f>
        <v/>
      </c>
      <c r="T67" s="21">
        <f>G67</f>
        <v/>
      </c>
      <c r="U67" s="33">
        <f t="array" ref="U67">IFERROR(
   IF(
      INDEX(Load_Booking_Report!AM:AM,
             MATCH(TRUE,
                     ISNUMBER(FIND(SUBSTITUTE(C67," ",""),
                                    Load_Booking_Report!AL:AL)),
                     0)
      )=0,
      "",
      INDEX(Load_Booking_Report!AM:AM,
             MATCH(TRUE,
                     ISNUMBER(FIND(SUBSTITUTE(C67," ",""),
                                    Load_Booking_Report!AL:AL)),
                     0)
      )
   ),
   ""
)</f>
        <v/>
      </c>
      <c r="V67" s="21">
        <f t="array" ref="V67">IFERROR(
   IF(
      INDEX(Load_Booking_Report!AR:AR,
             MATCH(TRUE,
                     ISNUMBER(FIND(SUBSTITUTE(C67," ",""),
                                    Load_Booking_Report!AL:AL)),
                     0)
      )=0,
      "",
      INDEX(Load_Booking_Report!AR:AR,
             MATCH(TRUE,
                     ISNUMBER(FIND(SUBSTITUTE(C67," ",""),
                                    Load_Booking_Report!AL:AL)),
                     0)
      )
   ),
   ""
)</f>
        <v/>
      </c>
      <c r="W67" s="21">
        <f t="array" ref="W67">IFERROR(INDEX(Load_Booking_Report!F:F, MATCH(TRUE, ISNUMBER(FIND(SUBSTITUTE(C67," ",""), Load_Booking_Report!AL:AL)), 0)), "Not Found")</f>
        <v/>
      </c>
      <c r="X67" s="21">
        <f t="array" ref="X67">IFERROR(INDEX(Load_Booking_Report!N:N, MATCH(TRUE, ISNUMBER(FIND(SUBSTITUTE(C67," ",""), Load_Booking_Report!AL:AL)), 0)), "Not Found")</f>
        <v/>
      </c>
      <c r="Y67" s="21">
        <f t="array" ref="Y67">IFERROR(INDEX(Load_Booking_Report!V:V, MATCH(TRUE, ISNUMBER(FIND(SUBSTITUTE(C67," ",""), Load_Booking_Report!AL:AL)), 0)), "Not Found")</f>
        <v/>
      </c>
      <c r="Z67" s="41">
        <f t="array" ref="Z67">IFERROR(INDEX(Load_Booking_Report!BC:BC, MATCH(TRUE, ISNUMBER(FIND(SUBSTITUTE(C67," ",""), Load_Booking_Report!AL:AL)), 0)), "Not Found")</f>
        <v/>
      </c>
    </row>
    <row r="68">
      <c r="A68" t="n">
        <v>11</v>
      </c>
      <c r="B68" t="n">
        <v>110404</v>
      </c>
      <c r="C68" t="inlineStr">
        <is>
          <t>ANON0000000</t>
        </is>
      </c>
      <c r="D68" t="n">
        <v>20</v>
      </c>
      <c r="E68" t="inlineStr">
        <is>
          <t>USNFK</t>
        </is>
      </c>
      <c r="F68" t="inlineStr">
        <is>
          <t>RULED</t>
        </is>
      </c>
      <c r="G68" t="n">
        <v>26220</v>
      </c>
      <c r="H68" t="inlineStr">
        <is>
          <t>ART</t>
        </is>
      </c>
      <c r="I68" t="inlineStr">
        <is>
          <t>22G1</t>
        </is>
      </c>
      <c r="L68" t="inlineStr">
        <is>
          <t>8'6</t>
        </is>
      </c>
      <c r="M68" t="inlineStr">
        <is>
          <t>Full</t>
        </is>
      </c>
      <c r="N68" t="inlineStr">
        <is>
          <t>RULED</t>
        </is>
      </c>
      <c r="P68" s="21">
        <f>C68</f>
        <v/>
      </c>
      <c r="Q68" s="21">
        <f t="array" ref="Q68">IFERROR(INDEX(Load_Booking_Report!AC:AC, MATCH(TRUE, ISNUMBER(FIND(SUBSTITUTE(C68," ",""), Load_Booking_Report!AL:AL)), 0)), "Not Found")</f>
        <v/>
      </c>
      <c r="R68" s="21">
        <f t="array" ref="R68">IFERROR(INDEX(Load_Booking_Report!C:C, MATCH(TRUE, ISNUMBER(FIND(SUBSTITUTE(C68," ",""), Load_Booking_Report!AL:AL)), 0)), "Not Found")</f>
        <v/>
      </c>
      <c r="S68" s="21">
        <f t="array" ref="S68">IFERROR(INDEX(Load_Booking_Report!AG:AG, MATCH(TRUE, ISNUMBER(FIND(SUBSTITUTE(C68," ",""), Load_Booking_Report!AL:AL)), 0)), "Not Found")</f>
        <v/>
      </c>
      <c r="T68" s="21">
        <f>G68</f>
        <v/>
      </c>
      <c r="U68" s="33">
        <f t="array" ref="U68">IFERROR(
   IF(
      INDEX(Load_Booking_Report!AM:AM,
             MATCH(TRUE,
                     ISNUMBER(FIND(SUBSTITUTE(C68," ",""),
                                    Load_Booking_Report!AL:AL)),
                     0)
      )=0,
      "",
      INDEX(Load_Booking_Report!AM:AM,
             MATCH(TRUE,
                     ISNUMBER(FIND(SUBSTITUTE(C68," ",""),
                                    Load_Booking_Report!AL:AL)),
                     0)
      )
   ),
   ""
)</f>
        <v/>
      </c>
      <c r="V68" s="21">
        <f t="array" ref="V68">IFERROR(
   IF(
      INDEX(Load_Booking_Report!AR:AR,
             MATCH(TRUE,
                     ISNUMBER(FIND(SUBSTITUTE(C68," ",""),
                                    Load_Booking_Report!AL:AL)),
                     0)
      )=0,
      "",
      INDEX(Load_Booking_Report!AR:AR,
             MATCH(TRUE,
                     ISNUMBER(FIND(SUBSTITUTE(C68," ",""),
                                    Load_Booking_Report!AL:AL)),
                     0)
      )
   ),
   ""
)</f>
        <v/>
      </c>
      <c r="W68" s="21">
        <f t="array" ref="W68">IFERROR(INDEX(Load_Booking_Report!F:F, MATCH(TRUE, ISNUMBER(FIND(SUBSTITUTE(C68," ",""), Load_Booking_Report!AL:AL)), 0)), "Not Found")</f>
        <v/>
      </c>
      <c r="X68" s="21">
        <f t="array" ref="X68">IFERROR(INDEX(Load_Booking_Report!N:N, MATCH(TRUE, ISNUMBER(FIND(SUBSTITUTE(C68," ",""), Load_Booking_Report!AL:AL)), 0)), "Not Found")</f>
        <v/>
      </c>
      <c r="Y68" s="21">
        <f t="array" ref="Y68">IFERROR(INDEX(Load_Booking_Report!V:V, MATCH(TRUE, ISNUMBER(FIND(SUBSTITUTE(C68," ",""), Load_Booking_Report!AL:AL)), 0)), "Not Found")</f>
        <v/>
      </c>
      <c r="Z68" s="41">
        <f t="array" ref="Z68">IFERROR(INDEX(Load_Booking_Report!BC:BC, MATCH(TRUE, ISNUMBER(FIND(SUBSTITUTE(C68," ",""), Load_Booking_Report!AL:AL)), 0)), "Not Found")</f>
        <v/>
      </c>
    </row>
    <row r="69">
      <c r="A69" t="n">
        <v>21</v>
      </c>
      <c r="B69" t="n">
        <v>210206</v>
      </c>
      <c r="C69" t="inlineStr">
        <is>
          <t>ANON0000000</t>
        </is>
      </c>
      <c r="D69" t="n">
        <v>20</v>
      </c>
      <c r="E69" t="inlineStr">
        <is>
          <t>USNFK</t>
        </is>
      </c>
      <c r="F69" t="inlineStr">
        <is>
          <t>RULED</t>
        </is>
      </c>
      <c r="G69" t="n">
        <v>12250</v>
      </c>
      <c r="H69" t="inlineStr">
        <is>
          <t>ART</t>
        </is>
      </c>
      <c r="I69" t="inlineStr">
        <is>
          <t>22G1</t>
        </is>
      </c>
      <c r="L69" t="inlineStr">
        <is>
          <t>8'6</t>
        </is>
      </c>
      <c r="M69" t="inlineStr">
        <is>
          <t>Full</t>
        </is>
      </c>
      <c r="N69" t="inlineStr">
        <is>
          <t>RULED</t>
        </is>
      </c>
      <c r="P69" s="21">
        <f>C69</f>
        <v/>
      </c>
      <c r="Q69" s="21">
        <f t="array" ref="Q69">IFERROR(INDEX(Load_Booking_Report!AC:AC, MATCH(TRUE, ISNUMBER(FIND(SUBSTITUTE(C69," ",""), Load_Booking_Report!AL:AL)), 0)), "Not Found")</f>
        <v/>
      </c>
      <c r="R69" s="21">
        <f t="array" ref="R69">IFERROR(INDEX(Load_Booking_Report!C:C, MATCH(TRUE, ISNUMBER(FIND(SUBSTITUTE(C69," ",""), Load_Booking_Report!AL:AL)), 0)), "Not Found")</f>
        <v/>
      </c>
      <c r="S69" s="21">
        <f t="array" ref="S69">IFERROR(INDEX(Load_Booking_Report!AG:AG, MATCH(TRUE, ISNUMBER(FIND(SUBSTITUTE(C69," ",""), Load_Booking_Report!AL:AL)), 0)), "Not Found")</f>
        <v/>
      </c>
      <c r="T69" s="21">
        <f>G69</f>
        <v/>
      </c>
      <c r="U69" s="33">
        <f t="array" ref="U69">IFERROR(
   IF(
      INDEX(Load_Booking_Report!AM:AM,
             MATCH(TRUE,
                     ISNUMBER(FIND(SUBSTITUTE(C69," ",""),
                                    Load_Booking_Report!AL:AL)),
                     0)
      )=0,
      "",
      INDEX(Load_Booking_Report!AM:AM,
             MATCH(TRUE,
                     ISNUMBER(FIND(SUBSTITUTE(C69," ",""),
                                    Load_Booking_Report!AL:AL)),
                     0)
      )
   ),
   ""
)</f>
        <v/>
      </c>
      <c r="V69" s="21">
        <f t="array" ref="V69">IFERROR(
   IF(
      INDEX(Load_Booking_Report!AR:AR,
             MATCH(TRUE,
                     ISNUMBER(FIND(SUBSTITUTE(C69," ",""),
                                    Load_Booking_Report!AL:AL)),
                     0)
      )=0,
      "",
      INDEX(Load_Booking_Report!AR:AR,
             MATCH(TRUE,
                     ISNUMBER(FIND(SUBSTITUTE(C69," ",""),
                                    Load_Booking_Report!AL:AL)),
                     0)
      )
   ),
   ""
)</f>
        <v/>
      </c>
      <c r="W69" s="21">
        <f t="array" ref="W69">IFERROR(INDEX(Load_Booking_Report!F:F, MATCH(TRUE, ISNUMBER(FIND(SUBSTITUTE(C69," ",""), Load_Booking_Report!AL:AL)), 0)), "Not Found")</f>
        <v/>
      </c>
      <c r="X69" s="21">
        <f t="array" ref="X69">IFERROR(INDEX(Load_Booking_Report!N:N, MATCH(TRUE, ISNUMBER(FIND(SUBSTITUTE(C69," ",""), Load_Booking_Report!AL:AL)), 0)), "Not Found")</f>
        <v/>
      </c>
      <c r="Y69" s="21">
        <f t="array" ref="Y69">IFERROR(INDEX(Load_Booking_Report!V:V, MATCH(TRUE, ISNUMBER(FIND(SUBSTITUTE(C69," ",""), Load_Booking_Report!AL:AL)), 0)), "Not Found")</f>
        <v/>
      </c>
      <c r="Z69" s="41">
        <f t="array" ref="Z69">IFERROR(INDEX(Load_Booking_Report!BC:BC, MATCH(TRUE, ISNUMBER(FIND(SUBSTITUTE(C69," ",""), Load_Booking_Report!AL:AL)), 0)), "Not Found")</f>
        <v/>
      </c>
    </row>
    <row r="70">
      <c r="A70" t="n">
        <v>19</v>
      </c>
      <c r="B70" t="n">
        <v>190302</v>
      </c>
      <c r="C70" t="inlineStr">
        <is>
          <t>ANON0000000</t>
        </is>
      </c>
      <c r="D70" t="n">
        <v>20</v>
      </c>
      <c r="E70" t="inlineStr">
        <is>
          <t>USNFK</t>
        </is>
      </c>
      <c r="F70" t="inlineStr">
        <is>
          <t>RULED</t>
        </is>
      </c>
      <c r="G70" t="n">
        <v>26920</v>
      </c>
      <c r="H70" t="inlineStr">
        <is>
          <t>ART</t>
        </is>
      </c>
      <c r="I70" t="inlineStr">
        <is>
          <t>22G1</t>
        </is>
      </c>
      <c r="L70" t="inlineStr">
        <is>
          <t>OOG</t>
        </is>
      </c>
      <c r="M70" t="inlineStr">
        <is>
          <t>Full</t>
        </is>
      </c>
      <c r="N70" t="inlineStr">
        <is>
          <t>RULED</t>
        </is>
      </c>
      <c r="P70" s="21">
        <f>C70</f>
        <v/>
      </c>
      <c r="Q70" s="21">
        <f t="array" ref="Q70">IFERROR(INDEX(Load_Booking_Report!AC:AC, MATCH(TRUE, ISNUMBER(FIND(SUBSTITUTE(C70," ",""), Load_Booking_Report!AL:AL)), 0)), "Not Found")</f>
        <v/>
      </c>
      <c r="R70" s="21">
        <f t="array" ref="R70">IFERROR(INDEX(Load_Booking_Report!C:C, MATCH(TRUE, ISNUMBER(FIND(SUBSTITUTE(C70," ",""), Load_Booking_Report!AL:AL)), 0)), "Not Found")</f>
        <v/>
      </c>
      <c r="S70" s="21">
        <f t="array" ref="S70">IFERROR(INDEX(Load_Booking_Report!AG:AG, MATCH(TRUE, ISNUMBER(FIND(SUBSTITUTE(C70," ",""), Load_Booking_Report!AL:AL)), 0)), "Not Found")</f>
        <v/>
      </c>
      <c r="T70" s="21">
        <f>G70</f>
        <v/>
      </c>
      <c r="U70" s="33">
        <f t="array" ref="U70">IFERROR(
   IF(
      INDEX(Load_Booking_Report!AM:AM,
             MATCH(TRUE,
                     ISNUMBER(FIND(SUBSTITUTE(C70," ",""),
                                    Load_Booking_Report!AL:AL)),
                     0)
      )=0,
      "",
      INDEX(Load_Booking_Report!AM:AM,
             MATCH(TRUE,
                     ISNUMBER(FIND(SUBSTITUTE(C70," ",""),
                                    Load_Booking_Report!AL:AL)),
                     0)
      )
   ),
   ""
)</f>
        <v/>
      </c>
      <c r="V70" s="21">
        <f t="array" ref="V70">IFERROR(
   IF(
      INDEX(Load_Booking_Report!AR:AR,
             MATCH(TRUE,
                     ISNUMBER(FIND(SUBSTITUTE(C70," ",""),
                                    Load_Booking_Report!AL:AL)),
                     0)
      )=0,
      "",
      INDEX(Load_Booking_Report!AR:AR,
             MATCH(TRUE,
                     ISNUMBER(FIND(SUBSTITUTE(C70," ",""),
                                    Load_Booking_Report!AL:AL)),
                     0)
      )
   ),
   ""
)</f>
        <v/>
      </c>
      <c r="W70" s="21">
        <f t="array" ref="W70">IFERROR(INDEX(Load_Booking_Report!F:F, MATCH(TRUE, ISNUMBER(FIND(SUBSTITUTE(C70," ",""), Load_Booking_Report!AL:AL)), 0)), "Not Found")</f>
        <v/>
      </c>
      <c r="X70" s="21">
        <f t="array" ref="X70">IFERROR(INDEX(Load_Booking_Report!N:N, MATCH(TRUE, ISNUMBER(FIND(SUBSTITUTE(C70," ",""), Load_Booking_Report!AL:AL)), 0)), "Not Found")</f>
        <v/>
      </c>
      <c r="Y70" s="21">
        <f t="array" ref="Y70">IFERROR(INDEX(Load_Booking_Report!V:V, MATCH(TRUE, ISNUMBER(FIND(SUBSTITUTE(C70," ",""), Load_Booking_Report!AL:AL)), 0)), "Not Found")</f>
        <v/>
      </c>
      <c r="Z70" s="41">
        <f t="array" ref="Z70">IFERROR(INDEX(Load_Booking_Report!BC:BC, MATCH(TRUE, ISNUMBER(FIND(SUBSTITUTE(C70," ",""), Load_Booking_Report!AL:AL)), 0)), "Not Found")</f>
        <v/>
      </c>
    </row>
    <row r="71">
      <c r="A71" t="n">
        <v>11</v>
      </c>
      <c r="B71" t="n">
        <v>110504</v>
      </c>
      <c r="C71" t="inlineStr">
        <is>
          <t>ANON0000000</t>
        </is>
      </c>
      <c r="D71" t="n">
        <v>20</v>
      </c>
      <c r="E71" t="inlineStr">
        <is>
          <t>USNFK</t>
        </is>
      </c>
      <c r="F71" t="inlineStr">
        <is>
          <t>RULED</t>
        </is>
      </c>
      <c r="G71" t="n">
        <v>21428</v>
      </c>
      <c r="H71" t="inlineStr">
        <is>
          <t>ART</t>
        </is>
      </c>
      <c r="I71" t="inlineStr">
        <is>
          <t>22G1</t>
        </is>
      </c>
      <c r="L71" t="inlineStr">
        <is>
          <t>OOG</t>
        </is>
      </c>
      <c r="M71" t="inlineStr">
        <is>
          <t>Full</t>
        </is>
      </c>
      <c r="N71" t="inlineStr">
        <is>
          <t>RULED</t>
        </is>
      </c>
      <c r="P71" s="21">
        <f>C71</f>
        <v/>
      </c>
      <c r="Q71" s="21">
        <f t="array" ref="Q71">IFERROR(INDEX(Load_Booking_Report!AC:AC, MATCH(TRUE, ISNUMBER(FIND(SUBSTITUTE(C71," ",""), Load_Booking_Report!AL:AL)), 0)), "Not Found")</f>
        <v/>
      </c>
      <c r="R71" s="21">
        <f t="array" ref="R71">IFERROR(INDEX(Load_Booking_Report!C:C, MATCH(TRUE, ISNUMBER(FIND(SUBSTITUTE(C71," ",""), Load_Booking_Report!AL:AL)), 0)), "Not Found")</f>
        <v/>
      </c>
      <c r="S71" s="21">
        <f t="array" ref="S71">IFERROR(INDEX(Load_Booking_Report!AG:AG, MATCH(TRUE, ISNUMBER(FIND(SUBSTITUTE(C71," ",""), Load_Booking_Report!AL:AL)), 0)), "Not Found")</f>
        <v/>
      </c>
      <c r="T71" s="21">
        <f>G71</f>
        <v/>
      </c>
      <c r="U71" s="33">
        <f t="array" ref="U71">IFERROR(
   IF(
      INDEX(Load_Booking_Report!AM:AM,
             MATCH(TRUE,
                     ISNUMBER(FIND(SUBSTITUTE(C71," ",""),
                                    Load_Booking_Report!AL:AL)),
                     0)
      )=0,
      "",
      INDEX(Load_Booking_Report!AM:AM,
             MATCH(TRUE,
                     ISNUMBER(FIND(SUBSTITUTE(C71," ",""),
                                    Load_Booking_Report!AL:AL)),
                     0)
      )
   ),
   ""
)</f>
        <v/>
      </c>
      <c r="V71" s="21">
        <f t="array" ref="V71">IFERROR(
   IF(
      INDEX(Load_Booking_Report!AR:AR,
             MATCH(TRUE,
                     ISNUMBER(FIND(SUBSTITUTE(C71," ",""),
                                    Load_Booking_Report!AL:AL)),
                     0)
      )=0,
      "",
      INDEX(Load_Booking_Report!AR:AR,
             MATCH(TRUE,
                     ISNUMBER(FIND(SUBSTITUTE(C71," ",""),
                                    Load_Booking_Report!AL:AL)),
                     0)
      )
   ),
   ""
)</f>
        <v/>
      </c>
      <c r="W71" s="21">
        <f t="array" ref="W71">IFERROR(INDEX(Load_Booking_Report!F:F, MATCH(TRUE, ISNUMBER(FIND(SUBSTITUTE(C71," ",""), Load_Booking_Report!AL:AL)), 0)), "Not Found")</f>
        <v/>
      </c>
      <c r="X71" s="21">
        <f t="array" ref="X71">IFERROR(INDEX(Load_Booking_Report!N:N, MATCH(TRUE, ISNUMBER(FIND(SUBSTITUTE(C71," ",""), Load_Booking_Report!AL:AL)), 0)), "Not Found")</f>
        <v/>
      </c>
      <c r="Y71" s="21">
        <f t="array" ref="Y71">IFERROR(INDEX(Load_Booking_Report!V:V, MATCH(TRUE, ISNUMBER(FIND(SUBSTITUTE(C71," ",""), Load_Booking_Report!AL:AL)), 0)), "Not Found")</f>
        <v/>
      </c>
      <c r="Z71" s="41">
        <f t="array" ref="Z71">IFERROR(INDEX(Load_Booking_Report!BC:BC, MATCH(TRUE, ISNUMBER(FIND(SUBSTITUTE(C71," ",""), Load_Booking_Report!AL:AL)), 0)), "Not Found")</f>
        <v/>
      </c>
    </row>
    <row r="72">
      <c r="A72" t="n">
        <v>25</v>
      </c>
      <c r="B72" t="n">
        <v>250702</v>
      </c>
      <c r="C72" t="inlineStr">
        <is>
          <t>ANON0000000</t>
        </is>
      </c>
      <c r="D72" t="n">
        <v>20</v>
      </c>
      <c r="E72" t="inlineStr">
        <is>
          <t>USNYC</t>
        </is>
      </c>
      <c r="F72" t="inlineStr">
        <is>
          <t>RULED</t>
        </is>
      </c>
      <c r="G72" t="n">
        <v>26780</v>
      </c>
      <c r="H72" t="inlineStr">
        <is>
          <t>ART</t>
        </is>
      </c>
      <c r="I72" t="inlineStr">
        <is>
          <t>22G1</t>
        </is>
      </c>
      <c r="L72" t="inlineStr">
        <is>
          <t>8'6</t>
        </is>
      </c>
      <c r="M72" t="inlineStr">
        <is>
          <t>Full</t>
        </is>
      </c>
      <c r="N72" t="inlineStr">
        <is>
          <t>RULED</t>
        </is>
      </c>
      <c r="P72" s="21">
        <f>C72</f>
        <v/>
      </c>
      <c r="Q72" s="21">
        <f t="array" ref="Q72">IFERROR(INDEX(Load_Booking_Report!AC:AC, MATCH(TRUE, ISNUMBER(FIND(SUBSTITUTE(C72," ",""), Load_Booking_Report!AL:AL)), 0)), "Not Found")</f>
        <v/>
      </c>
      <c r="R72" s="21">
        <f t="array" ref="R72">IFERROR(INDEX(Load_Booking_Report!C:C, MATCH(TRUE, ISNUMBER(FIND(SUBSTITUTE(C72," ",""), Load_Booking_Report!AL:AL)), 0)), "Not Found")</f>
        <v/>
      </c>
      <c r="S72" s="21">
        <f t="array" ref="S72">IFERROR(INDEX(Load_Booking_Report!AG:AG, MATCH(TRUE, ISNUMBER(FIND(SUBSTITUTE(C72," ",""), Load_Booking_Report!AL:AL)), 0)), "Not Found")</f>
        <v/>
      </c>
      <c r="T72" s="21">
        <f>G72</f>
        <v/>
      </c>
      <c r="U72" s="33">
        <f t="array" ref="U72">IFERROR(
   IF(
      INDEX(Load_Booking_Report!AM:AM,
             MATCH(TRUE,
                     ISNUMBER(FIND(SUBSTITUTE(C72," ",""),
                                    Load_Booking_Report!AL:AL)),
                     0)
      )=0,
      "",
      INDEX(Load_Booking_Report!AM:AM,
             MATCH(TRUE,
                     ISNUMBER(FIND(SUBSTITUTE(C72," ",""),
                                    Load_Booking_Report!AL:AL)),
                     0)
      )
   ),
   ""
)</f>
        <v/>
      </c>
      <c r="V72" s="21">
        <f t="array" ref="V72">IFERROR(
   IF(
      INDEX(Load_Booking_Report!AR:AR,
             MATCH(TRUE,
                     ISNUMBER(FIND(SUBSTITUTE(C72," ",""),
                                    Load_Booking_Report!AL:AL)),
                     0)
      )=0,
      "",
      INDEX(Load_Booking_Report!AR:AR,
             MATCH(TRUE,
                     ISNUMBER(FIND(SUBSTITUTE(C72," ",""),
                                    Load_Booking_Report!AL:AL)),
                     0)
      )
   ),
   ""
)</f>
        <v/>
      </c>
      <c r="W72" s="21">
        <f t="array" ref="W72">IFERROR(INDEX(Load_Booking_Report!F:F, MATCH(TRUE, ISNUMBER(FIND(SUBSTITUTE(C72," ",""), Load_Booking_Report!AL:AL)), 0)), "Not Found")</f>
        <v/>
      </c>
      <c r="X72" s="21">
        <f t="array" ref="X72">IFERROR(INDEX(Load_Booking_Report!N:N, MATCH(TRUE, ISNUMBER(FIND(SUBSTITUTE(C72," ",""), Load_Booking_Report!AL:AL)), 0)), "Not Found")</f>
        <v/>
      </c>
      <c r="Y72" s="21">
        <f t="array" ref="Y72">IFERROR(INDEX(Load_Booking_Report!V:V, MATCH(TRUE, ISNUMBER(FIND(SUBSTITUTE(C72," ",""), Load_Booking_Report!AL:AL)), 0)), "Not Found")</f>
        <v/>
      </c>
      <c r="Z72" s="41">
        <f t="array" ref="Z72">IFERROR(INDEX(Load_Booking_Report!BC:BC, MATCH(TRUE, ISNUMBER(FIND(SUBSTITUTE(C72," ",""), Load_Booking_Report!AL:AL)), 0)), "Not Found")</f>
        <v/>
      </c>
    </row>
    <row r="73">
      <c r="A73" t="n">
        <v>27</v>
      </c>
      <c r="B73" t="n">
        <v>270304</v>
      </c>
      <c r="C73" t="inlineStr">
        <is>
          <t>ANON0000000</t>
        </is>
      </c>
      <c r="D73" t="n">
        <v>20</v>
      </c>
      <c r="E73" t="inlineStr">
        <is>
          <t>USNYC</t>
        </is>
      </c>
      <c r="F73" t="inlineStr">
        <is>
          <t>RULED</t>
        </is>
      </c>
      <c r="G73" t="n">
        <v>27010</v>
      </c>
      <c r="H73" t="inlineStr">
        <is>
          <t>ART</t>
        </is>
      </c>
      <c r="I73" t="inlineStr">
        <is>
          <t>22G1</t>
        </is>
      </c>
      <c r="L73" t="inlineStr">
        <is>
          <t>8'6</t>
        </is>
      </c>
      <c r="M73" t="inlineStr">
        <is>
          <t>Full</t>
        </is>
      </c>
      <c r="N73" t="inlineStr">
        <is>
          <t>RULED</t>
        </is>
      </c>
      <c r="P73" s="21">
        <f>C73</f>
        <v/>
      </c>
      <c r="Q73" s="21">
        <f t="array" ref="Q73">IFERROR(INDEX(Load_Booking_Report!AC:AC, MATCH(TRUE, ISNUMBER(FIND(SUBSTITUTE(C73," ",""), Load_Booking_Report!AL:AL)), 0)), "Not Found")</f>
        <v/>
      </c>
      <c r="R73" s="21">
        <f t="array" ref="R73">IFERROR(INDEX(Load_Booking_Report!C:C, MATCH(TRUE, ISNUMBER(FIND(SUBSTITUTE(C73," ",""), Load_Booking_Report!AL:AL)), 0)), "Not Found")</f>
        <v/>
      </c>
      <c r="S73" s="21">
        <f t="array" ref="S73">IFERROR(INDEX(Load_Booking_Report!AG:AG, MATCH(TRUE, ISNUMBER(FIND(SUBSTITUTE(C73," ",""), Load_Booking_Report!AL:AL)), 0)), "Not Found")</f>
        <v/>
      </c>
      <c r="T73" s="21">
        <f>G73</f>
        <v/>
      </c>
      <c r="U73" s="33">
        <f t="array" ref="U73">IFERROR(
   IF(
      INDEX(Load_Booking_Report!AM:AM,
             MATCH(TRUE,
                     ISNUMBER(FIND(SUBSTITUTE(C73," ",""),
                                    Load_Booking_Report!AL:AL)),
                     0)
      )=0,
      "",
      INDEX(Load_Booking_Report!AM:AM,
             MATCH(TRUE,
                     ISNUMBER(FIND(SUBSTITUTE(C73," ",""),
                                    Load_Booking_Report!AL:AL)),
                     0)
      )
   ),
   ""
)</f>
        <v/>
      </c>
      <c r="V73" s="21">
        <f t="array" ref="V73">IFERROR(
   IF(
      INDEX(Load_Booking_Report!AR:AR,
             MATCH(TRUE,
                     ISNUMBER(FIND(SUBSTITUTE(C73," ",""),
                                    Load_Booking_Report!AL:AL)),
                     0)
      )=0,
      "",
      INDEX(Load_Booking_Report!AR:AR,
             MATCH(TRUE,
                     ISNUMBER(FIND(SUBSTITUTE(C73," ",""),
                                    Load_Booking_Report!AL:AL)),
                     0)
      )
   ),
   ""
)</f>
        <v/>
      </c>
      <c r="W73" s="21">
        <f t="array" ref="W73">IFERROR(INDEX(Load_Booking_Report!F:F, MATCH(TRUE, ISNUMBER(FIND(SUBSTITUTE(C73," ",""), Load_Booking_Report!AL:AL)), 0)), "Not Found")</f>
        <v/>
      </c>
      <c r="X73" s="21">
        <f t="array" ref="X73">IFERROR(INDEX(Load_Booking_Report!N:N, MATCH(TRUE, ISNUMBER(FIND(SUBSTITUTE(C73," ",""), Load_Booking_Report!AL:AL)), 0)), "Not Found")</f>
        <v/>
      </c>
      <c r="Y73" s="21">
        <f t="array" ref="Y73">IFERROR(INDEX(Load_Booking_Report!V:V, MATCH(TRUE, ISNUMBER(FIND(SUBSTITUTE(C73," ",""), Load_Booking_Report!AL:AL)), 0)), "Not Found")</f>
        <v/>
      </c>
      <c r="Z73" s="41">
        <f t="array" ref="Z73">IFERROR(INDEX(Load_Booking_Report!BC:BC, MATCH(TRUE, ISNUMBER(FIND(SUBSTITUTE(C73," ",""), Load_Booking_Report!AL:AL)), 0)), "Not Found")</f>
        <v/>
      </c>
    </row>
    <row r="74">
      <c r="A74" t="n">
        <v>19</v>
      </c>
      <c r="B74" t="n">
        <v>190502</v>
      </c>
      <c r="C74" t="inlineStr">
        <is>
          <t>ANON0000000</t>
        </is>
      </c>
      <c r="D74" t="n">
        <v>20</v>
      </c>
      <c r="E74" t="inlineStr">
        <is>
          <t>USNFK</t>
        </is>
      </c>
      <c r="F74" t="inlineStr">
        <is>
          <t>RULED</t>
        </is>
      </c>
      <c r="G74" t="n">
        <v>26780</v>
      </c>
      <c r="H74" t="inlineStr">
        <is>
          <t>ART</t>
        </is>
      </c>
      <c r="I74" t="inlineStr">
        <is>
          <t>22G1</t>
        </is>
      </c>
      <c r="L74" t="inlineStr">
        <is>
          <t>OOG</t>
        </is>
      </c>
      <c r="M74" t="inlineStr">
        <is>
          <t>Full</t>
        </is>
      </c>
      <c r="N74" t="inlineStr">
        <is>
          <t>RULED</t>
        </is>
      </c>
      <c r="P74" s="21">
        <f>C74</f>
        <v/>
      </c>
      <c r="Q74" s="21">
        <f t="array" ref="Q74">IFERROR(INDEX(Load_Booking_Report!AC:AC, MATCH(TRUE, ISNUMBER(FIND(SUBSTITUTE(C74," ",""), Load_Booking_Report!AL:AL)), 0)), "Not Found")</f>
        <v/>
      </c>
      <c r="R74" s="21">
        <f t="array" ref="R74">IFERROR(INDEX(Load_Booking_Report!C:C, MATCH(TRUE, ISNUMBER(FIND(SUBSTITUTE(C74," ",""), Load_Booking_Report!AL:AL)), 0)), "Not Found")</f>
        <v/>
      </c>
      <c r="S74" s="21">
        <f t="array" ref="S74">IFERROR(INDEX(Load_Booking_Report!AG:AG, MATCH(TRUE, ISNUMBER(FIND(SUBSTITUTE(C74," ",""), Load_Booking_Report!AL:AL)), 0)), "Not Found")</f>
        <v/>
      </c>
      <c r="T74" s="21">
        <f>G74</f>
        <v/>
      </c>
      <c r="U74" s="33">
        <f t="array" ref="U74">IFERROR(
   IF(
      INDEX(Load_Booking_Report!AM:AM,
             MATCH(TRUE,
                     ISNUMBER(FIND(SUBSTITUTE(C74," ",""),
                                    Load_Booking_Report!AL:AL)),
                     0)
      )=0,
      "",
      INDEX(Load_Booking_Report!AM:AM,
             MATCH(TRUE,
                     ISNUMBER(FIND(SUBSTITUTE(C74," ",""),
                                    Load_Booking_Report!AL:AL)),
                     0)
      )
   ),
   ""
)</f>
        <v/>
      </c>
      <c r="V74" s="21">
        <f t="array" ref="V74">IFERROR(
   IF(
      INDEX(Load_Booking_Report!AR:AR,
             MATCH(TRUE,
                     ISNUMBER(FIND(SUBSTITUTE(C74," ",""),
                                    Load_Booking_Report!AL:AL)),
                     0)
      )=0,
      "",
      INDEX(Load_Booking_Report!AR:AR,
             MATCH(TRUE,
                     ISNUMBER(FIND(SUBSTITUTE(C74," ",""),
                                    Load_Booking_Report!AL:AL)),
                     0)
      )
   ),
   ""
)</f>
        <v/>
      </c>
      <c r="W74" s="21">
        <f t="array" ref="W74">IFERROR(INDEX(Load_Booking_Report!F:F, MATCH(TRUE, ISNUMBER(FIND(SUBSTITUTE(C74," ",""), Load_Booking_Report!AL:AL)), 0)), "Not Found")</f>
        <v/>
      </c>
      <c r="X74" s="21">
        <f t="array" ref="X74">IFERROR(INDEX(Load_Booking_Report!N:N, MATCH(TRUE, ISNUMBER(FIND(SUBSTITUTE(C74," ",""), Load_Booking_Report!AL:AL)), 0)), "Not Found")</f>
        <v/>
      </c>
      <c r="Y74" s="21">
        <f t="array" ref="Y74">IFERROR(INDEX(Load_Booking_Report!V:V, MATCH(TRUE, ISNUMBER(FIND(SUBSTITUTE(C74," ",""), Load_Booking_Report!AL:AL)), 0)), "Not Found")</f>
        <v/>
      </c>
      <c r="Z74" s="41">
        <f t="array" ref="Z74">IFERROR(INDEX(Load_Booking_Report!BC:BC, MATCH(TRUE, ISNUMBER(FIND(SUBSTITUTE(C74," ",""), Load_Booking_Report!AL:AL)), 0)), "Not Found")</f>
        <v/>
      </c>
    </row>
    <row r="75">
      <c r="A75" t="n">
        <v>33</v>
      </c>
      <c r="B75" t="n">
        <v>330102</v>
      </c>
      <c r="C75" t="inlineStr">
        <is>
          <t>ANON0000000</t>
        </is>
      </c>
      <c r="D75" t="n">
        <v>20</v>
      </c>
      <c r="E75" t="inlineStr">
        <is>
          <t>USNYC</t>
        </is>
      </c>
      <c r="F75" t="inlineStr">
        <is>
          <t>RULED</t>
        </is>
      </c>
      <c r="G75" t="n">
        <v>27080</v>
      </c>
      <c r="H75" t="inlineStr">
        <is>
          <t>ART</t>
        </is>
      </c>
      <c r="I75" t="inlineStr">
        <is>
          <t>22G1</t>
        </is>
      </c>
      <c r="L75" t="inlineStr">
        <is>
          <t>8'6</t>
        </is>
      </c>
      <c r="M75" t="inlineStr">
        <is>
          <t>Full</t>
        </is>
      </c>
      <c r="N75" t="inlineStr">
        <is>
          <t>RULED</t>
        </is>
      </c>
      <c r="P75" s="21">
        <f>C75</f>
        <v/>
      </c>
      <c r="Q75" s="21">
        <f t="array" ref="Q75">IFERROR(INDEX(Load_Booking_Report!AC:AC, MATCH(TRUE, ISNUMBER(FIND(SUBSTITUTE(C75," ",""), Load_Booking_Report!AL:AL)), 0)), "Not Found")</f>
        <v/>
      </c>
      <c r="R75" s="21">
        <f t="array" ref="R75">IFERROR(INDEX(Load_Booking_Report!C:C, MATCH(TRUE, ISNUMBER(FIND(SUBSTITUTE(C75," ",""), Load_Booking_Report!AL:AL)), 0)), "Not Found")</f>
        <v/>
      </c>
      <c r="S75" s="21">
        <f t="array" ref="S75">IFERROR(INDEX(Load_Booking_Report!AG:AG, MATCH(TRUE, ISNUMBER(FIND(SUBSTITUTE(C75," ",""), Load_Booking_Report!AL:AL)), 0)), "Not Found")</f>
        <v/>
      </c>
      <c r="T75" s="21">
        <f>G75</f>
        <v/>
      </c>
      <c r="U75" s="33">
        <f t="array" ref="U75">IFERROR(
   IF(
      INDEX(Load_Booking_Report!AM:AM,
             MATCH(TRUE,
                     ISNUMBER(FIND(SUBSTITUTE(C75," ",""),
                                    Load_Booking_Report!AL:AL)),
                     0)
      )=0,
      "",
      INDEX(Load_Booking_Report!AM:AM,
             MATCH(TRUE,
                     ISNUMBER(FIND(SUBSTITUTE(C75," ",""),
                                    Load_Booking_Report!AL:AL)),
                     0)
      )
   ),
   ""
)</f>
        <v/>
      </c>
      <c r="V75" s="21">
        <f t="array" ref="V75">IFERROR(
   IF(
      INDEX(Load_Booking_Report!AR:AR,
             MATCH(TRUE,
                     ISNUMBER(FIND(SUBSTITUTE(C75," ",""),
                                    Load_Booking_Report!AL:AL)),
                     0)
      )=0,
      "",
      INDEX(Load_Booking_Report!AR:AR,
             MATCH(TRUE,
                     ISNUMBER(FIND(SUBSTITUTE(C75," ",""),
                                    Load_Booking_Report!AL:AL)),
                     0)
      )
   ),
   ""
)</f>
        <v/>
      </c>
      <c r="W75" s="21">
        <f t="array" ref="W75">IFERROR(INDEX(Load_Booking_Report!F:F, MATCH(TRUE, ISNUMBER(FIND(SUBSTITUTE(C75," ",""), Load_Booking_Report!AL:AL)), 0)), "Not Found")</f>
        <v/>
      </c>
      <c r="X75" s="21">
        <f t="array" ref="X75">IFERROR(INDEX(Load_Booking_Report!N:N, MATCH(TRUE, ISNUMBER(FIND(SUBSTITUTE(C75," ",""), Load_Booking_Report!AL:AL)), 0)), "Not Found")</f>
        <v/>
      </c>
      <c r="Y75" s="21">
        <f t="array" ref="Y75">IFERROR(INDEX(Load_Booking_Report!V:V, MATCH(TRUE, ISNUMBER(FIND(SUBSTITUTE(C75," ",""), Load_Booking_Report!AL:AL)), 0)), "Not Found")</f>
        <v/>
      </c>
      <c r="Z75" s="41">
        <f t="array" ref="Z75">IFERROR(INDEX(Load_Booking_Report!BC:BC, MATCH(TRUE, ISNUMBER(FIND(SUBSTITUTE(C75," ",""), Load_Booking_Report!AL:AL)), 0)), "Not Found")</f>
        <v/>
      </c>
    </row>
    <row r="76">
      <c r="A76" t="n">
        <v>17</v>
      </c>
      <c r="B76" t="n">
        <v>170304</v>
      </c>
      <c r="C76" t="inlineStr">
        <is>
          <t>ANON0000000</t>
        </is>
      </c>
      <c r="D76" t="n">
        <v>20</v>
      </c>
      <c r="E76" t="inlineStr">
        <is>
          <t>USNFK</t>
        </is>
      </c>
      <c r="F76" t="inlineStr">
        <is>
          <t>RULED</t>
        </is>
      </c>
      <c r="G76" t="n">
        <v>26440</v>
      </c>
      <c r="H76" t="inlineStr">
        <is>
          <t>ART</t>
        </is>
      </c>
      <c r="I76" t="inlineStr">
        <is>
          <t>22G1</t>
        </is>
      </c>
      <c r="L76" t="inlineStr">
        <is>
          <t>OOG</t>
        </is>
      </c>
      <c r="M76" t="inlineStr">
        <is>
          <t>Full</t>
        </is>
      </c>
      <c r="N76" t="inlineStr">
        <is>
          <t>RULED</t>
        </is>
      </c>
      <c r="P76" s="21">
        <f>C76</f>
        <v/>
      </c>
      <c r="Q76" s="21">
        <f t="array" ref="Q76">IFERROR(INDEX(Load_Booking_Report!AC:AC, MATCH(TRUE, ISNUMBER(FIND(SUBSTITUTE(C76," ",""), Load_Booking_Report!AL:AL)), 0)), "Not Found")</f>
        <v/>
      </c>
      <c r="R76" s="21">
        <f t="array" ref="R76">IFERROR(INDEX(Load_Booking_Report!C:C, MATCH(TRUE, ISNUMBER(FIND(SUBSTITUTE(C76," ",""), Load_Booking_Report!AL:AL)), 0)), "Not Found")</f>
        <v/>
      </c>
      <c r="S76" s="21">
        <f t="array" ref="S76">IFERROR(INDEX(Load_Booking_Report!AG:AG, MATCH(TRUE, ISNUMBER(FIND(SUBSTITUTE(C76," ",""), Load_Booking_Report!AL:AL)), 0)), "Not Found")</f>
        <v/>
      </c>
      <c r="T76" s="21">
        <f>G76</f>
        <v/>
      </c>
      <c r="U76" s="33">
        <f t="array" ref="U76">IFERROR(
   IF(
      INDEX(Load_Booking_Report!AM:AM,
             MATCH(TRUE,
                     ISNUMBER(FIND(SUBSTITUTE(C76," ",""),
                                    Load_Booking_Report!AL:AL)),
                     0)
      )=0,
      "",
      INDEX(Load_Booking_Report!AM:AM,
             MATCH(TRUE,
                     ISNUMBER(FIND(SUBSTITUTE(C76," ",""),
                                    Load_Booking_Report!AL:AL)),
                     0)
      )
   ),
   ""
)</f>
        <v/>
      </c>
      <c r="V76" s="21">
        <f t="array" ref="V76">IFERROR(
   IF(
      INDEX(Load_Booking_Report!AR:AR,
             MATCH(TRUE,
                     ISNUMBER(FIND(SUBSTITUTE(C76," ",""),
                                    Load_Booking_Report!AL:AL)),
                     0)
      )=0,
      "",
      INDEX(Load_Booking_Report!AR:AR,
             MATCH(TRUE,
                     ISNUMBER(FIND(SUBSTITUTE(C76," ",""),
                                    Load_Booking_Report!AL:AL)),
                     0)
      )
   ),
   ""
)</f>
        <v/>
      </c>
      <c r="W76" s="21">
        <f t="array" ref="W76">IFERROR(INDEX(Load_Booking_Report!F:F, MATCH(TRUE, ISNUMBER(FIND(SUBSTITUTE(C76," ",""), Load_Booking_Report!AL:AL)), 0)), "Not Found")</f>
        <v/>
      </c>
      <c r="X76" s="21">
        <f t="array" ref="X76">IFERROR(INDEX(Load_Booking_Report!N:N, MATCH(TRUE, ISNUMBER(FIND(SUBSTITUTE(C76," ",""), Load_Booking_Report!AL:AL)), 0)), "Not Found")</f>
        <v/>
      </c>
      <c r="Y76" s="21">
        <f t="array" ref="Y76">IFERROR(INDEX(Load_Booking_Report!V:V, MATCH(TRUE, ISNUMBER(FIND(SUBSTITUTE(C76," ",""), Load_Booking_Report!AL:AL)), 0)), "Not Found")</f>
        <v/>
      </c>
      <c r="Z76" s="41">
        <f t="array" ref="Z76">IFERROR(INDEX(Load_Booking_Report!BC:BC, MATCH(TRUE, ISNUMBER(FIND(SUBSTITUTE(C76," ",""), Load_Booking_Report!AL:AL)), 0)), "Not Found")</f>
        <v/>
      </c>
    </row>
    <row r="77">
      <c r="A77" t="n">
        <v>31</v>
      </c>
      <c r="B77" t="n">
        <v>310502</v>
      </c>
      <c r="C77" t="inlineStr">
        <is>
          <t>ANON0000000</t>
        </is>
      </c>
      <c r="D77" t="n">
        <v>20</v>
      </c>
      <c r="E77" t="inlineStr">
        <is>
          <t>USNFK</t>
        </is>
      </c>
      <c r="F77" t="inlineStr">
        <is>
          <t>RULED</t>
        </is>
      </c>
      <c r="G77" t="n">
        <v>28140</v>
      </c>
      <c r="H77" t="inlineStr">
        <is>
          <t>ART</t>
        </is>
      </c>
      <c r="I77" t="inlineStr">
        <is>
          <t>22G1</t>
        </is>
      </c>
      <c r="L77" t="inlineStr">
        <is>
          <t>OOG</t>
        </is>
      </c>
      <c r="M77" t="inlineStr">
        <is>
          <t>Full</t>
        </is>
      </c>
      <c r="N77" t="inlineStr">
        <is>
          <t>RULED</t>
        </is>
      </c>
      <c r="P77" s="21">
        <f>C77</f>
        <v/>
      </c>
      <c r="Q77" s="21">
        <f t="array" ref="Q77">IFERROR(INDEX(Load_Booking_Report!AC:AC, MATCH(TRUE, ISNUMBER(FIND(SUBSTITUTE(C77," ",""), Load_Booking_Report!AL:AL)), 0)), "Not Found")</f>
        <v/>
      </c>
      <c r="R77" s="21">
        <f t="array" ref="R77">IFERROR(INDEX(Load_Booking_Report!C:C, MATCH(TRUE, ISNUMBER(FIND(SUBSTITUTE(C77," ",""), Load_Booking_Report!AL:AL)), 0)), "Not Found")</f>
        <v/>
      </c>
      <c r="S77" s="21">
        <f t="array" ref="S77">IFERROR(INDEX(Load_Booking_Report!AG:AG, MATCH(TRUE, ISNUMBER(FIND(SUBSTITUTE(C77," ",""), Load_Booking_Report!AL:AL)), 0)), "Not Found")</f>
        <v/>
      </c>
      <c r="T77" s="21">
        <f>G77</f>
        <v/>
      </c>
      <c r="U77" s="33">
        <f t="array" ref="U77">IFERROR(
   IF(
      INDEX(Load_Booking_Report!AM:AM,
             MATCH(TRUE,
                     ISNUMBER(FIND(SUBSTITUTE(C77," ",""),
                                    Load_Booking_Report!AL:AL)),
                     0)
      )=0,
      "",
      INDEX(Load_Booking_Report!AM:AM,
             MATCH(TRUE,
                     ISNUMBER(FIND(SUBSTITUTE(C77," ",""),
                                    Load_Booking_Report!AL:AL)),
                     0)
      )
   ),
   ""
)</f>
        <v/>
      </c>
      <c r="V77" s="21">
        <f t="array" ref="V77">IFERROR(
   IF(
      INDEX(Load_Booking_Report!AR:AR,
             MATCH(TRUE,
                     ISNUMBER(FIND(SUBSTITUTE(C77," ",""),
                                    Load_Booking_Report!AL:AL)),
                     0)
      )=0,
      "",
      INDEX(Load_Booking_Report!AR:AR,
             MATCH(TRUE,
                     ISNUMBER(FIND(SUBSTITUTE(C77," ",""),
                                    Load_Booking_Report!AL:AL)),
                     0)
      )
   ),
   ""
)</f>
        <v/>
      </c>
      <c r="W77" s="21">
        <f t="array" ref="W77">IFERROR(INDEX(Load_Booking_Report!F:F, MATCH(TRUE, ISNUMBER(FIND(SUBSTITUTE(C77," ",""), Load_Booking_Report!AL:AL)), 0)), "Not Found")</f>
        <v/>
      </c>
      <c r="X77" s="21">
        <f t="array" ref="X77">IFERROR(INDEX(Load_Booking_Report!N:N, MATCH(TRUE, ISNUMBER(FIND(SUBSTITUTE(C77," ",""), Load_Booking_Report!AL:AL)), 0)), "Not Found")</f>
        <v/>
      </c>
      <c r="Y77" s="21">
        <f t="array" ref="Y77">IFERROR(INDEX(Load_Booking_Report!V:V, MATCH(TRUE, ISNUMBER(FIND(SUBSTITUTE(C77," ",""), Load_Booking_Report!AL:AL)), 0)), "Not Found")</f>
        <v/>
      </c>
      <c r="Z77" s="41">
        <f t="array" ref="Z77">IFERROR(INDEX(Load_Booking_Report!BC:BC, MATCH(TRUE, ISNUMBER(FIND(SUBSTITUTE(C77," ",""), Load_Booking_Report!AL:AL)), 0)), "Not Found")</f>
        <v/>
      </c>
    </row>
    <row r="78">
      <c r="A78" t="n">
        <v>31</v>
      </c>
      <c r="B78" t="n">
        <v>310406</v>
      </c>
      <c r="C78" t="inlineStr">
        <is>
          <t>ANON0000000</t>
        </is>
      </c>
      <c r="D78" t="n">
        <v>20</v>
      </c>
      <c r="E78" t="inlineStr">
        <is>
          <t>USNFK</t>
        </is>
      </c>
      <c r="F78" t="inlineStr">
        <is>
          <t>RULED</t>
        </is>
      </c>
      <c r="G78" t="n">
        <v>21286</v>
      </c>
      <c r="H78" t="inlineStr">
        <is>
          <t>ART</t>
        </is>
      </c>
      <c r="I78" t="inlineStr">
        <is>
          <t>22G1</t>
        </is>
      </c>
      <c r="L78" t="inlineStr">
        <is>
          <t>OOG</t>
        </is>
      </c>
      <c r="M78" t="inlineStr">
        <is>
          <t>Full</t>
        </is>
      </c>
      <c r="N78" t="inlineStr">
        <is>
          <t>RULED</t>
        </is>
      </c>
      <c r="P78" s="21">
        <f>C78</f>
        <v/>
      </c>
      <c r="Q78" s="21">
        <f t="array" ref="Q78">IFERROR(INDEX(Load_Booking_Report!AC:AC, MATCH(TRUE, ISNUMBER(FIND(SUBSTITUTE(C78," ",""), Load_Booking_Report!AL:AL)), 0)), "Not Found")</f>
        <v/>
      </c>
      <c r="R78" s="21">
        <f t="array" ref="R78">IFERROR(INDEX(Load_Booking_Report!C:C, MATCH(TRUE, ISNUMBER(FIND(SUBSTITUTE(C78," ",""), Load_Booking_Report!AL:AL)), 0)), "Not Found")</f>
        <v/>
      </c>
      <c r="S78" s="21">
        <f t="array" ref="S78">IFERROR(INDEX(Load_Booking_Report!AG:AG, MATCH(TRUE, ISNUMBER(FIND(SUBSTITUTE(C78," ",""), Load_Booking_Report!AL:AL)), 0)), "Not Found")</f>
        <v/>
      </c>
      <c r="T78" s="21">
        <f>G78</f>
        <v/>
      </c>
      <c r="U78" s="33">
        <f t="array" ref="U78">IFERROR(
   IF(
      INDEX(Load_Booking_Report!AM:AM,
             MATCH(TRUE,
                     ISNUMBER(FIND(SUBSTITUTE(C78," ",""),
                                    Load_Booking_Report!AL:AL)),
                     0)
      )=0,
      "",
      INDEX(Load_Booking_Report!AM:AM,
             MATCH(TRUE,
                     ISNUMBER(FIND(SUBSTITUTE(C78," ",""),
                                    Load_Booking_Report!AL:AL)),
                     0)
      )
   ),
   ""
)</f>
        <v/>
      </c>
      <c r="V78" s="21">
        <f t="array" ref="V78">IFERROR(
   IF(
      INDEX(Load_Booking_Report!AR:AR,
             MATCH(TRUE,
                     ISNUMBER(FIND(SUBSTITUTE(C78," ",""),
                                    Load_Booking_Report!AL:AL)),
                     0)
      )=0,
      "",
      INDEX(Load_Booking_Report!AR:AR,
             MATCH(TRUE,
                     ISNUMBER(FIND(SUBSTITUTE(C78," ",""),
                                    Load_Booking_Report!AL:AL)),
                     0)
      )
   ),
   ""
)</f>
        <v/>
      </c>
      <c r="W78" s="21">
        <f t="array" ref="W78">IFERROR(INDEX(Load_Booking_Report!F:F, MATCH(TRUE, ISNUMBER(FIND(SUBSTITUTE(C78," ",""), Load_Booking_Report!AL:AL)), 0)), "Not Found")</f>
        <v/>
      </c>
      <c r="X78" s="21">
        <f t="array" ref="X78">IFERROR(INDEX(Load_Booking_Report!N:N, MATCH(TRUE, ISNUMBER(FIND(SUBSTITUTE(C78," ",""), Load_Booking_Report!AL:AL)), 0)), "Not Found")</f>
        <v/>
      </c>
      <c r="Y78" s="21">
        <f t="array" ref="Y78">IFERROR(INDEX(Load_Booking_Report!V:V, MATCH(TRUE, ISNUMBER(FIND(SUBSTITUTE(C78," ",""), Load_Booking_Report!AL:AL)), 0)), "Not Found")</f>
        <v/>
      </c>
      <c r="Z78" s="41">
        <f t="array" ref="Z78">IFERROR(INDEX(Load_Booking_Report!BC:BC, MATCH(TRUE, ISNUMBER(FIND(SUBSTITUTE(C78," ",""), Load_Booking_Report!AL:AL)), 0)), "Not Found")</f>
        <v/>
      </c>
    </row>
    <row r="79">
      <c r="A79" t="n">
        <v>15</v>
      </c>
      <c r="B79" t="n">
        <v>150102</v>
      </c>
      <c r="C79" t="inlineStr">
        <is>
          <t>ANON0000000</t>
        </is>
      </c>
      <c r="D79" t="n">
        <v>20</v>
      </c>
      <c r="E79" t="inlineStr">
        <is>
          <t>USNFK</t>
        </is>
      </c>
      <c r="F79" t="inlineStr">
        <is>
          <t>RULED</t>
        </is>
      </c>
      <c r="G79" t="n">
        <v>25330</v>
      </c>
      <c r="H79" t="inlineStr">
        <is>
          <t>ART</t>
        </is>
      </c>
      <c r="I79" t="inlineStr">
        <is>
          <t>22G1</t>
        </is>
      </c>
      <c r="L79" t="inlineStr">
        <is>
          <t>OOG</t>
        </is>
      </c>
      <c r="M79" t="inlineStr">
        <is>
          <t>Full</t>
        </is>
      </c>
      <c r="N79" t="inlineStr">
        <is>
          <t>RULED</t>
        </is>
      </c>
      <c r="P79" s="21">
        <f>C79</f>
        <v/>
      </c>
      <c r="Q79" s="21">
        <f t="array" ref="Q79">IFERROR(INDEX(Load_Booking_Report!AC:AC, MATCH(TRUE, ISNUMBER(FIND(SUBSTITUTE(C79," ",""), Load_Booking_Report!AL:AL)), 0)), "Not Found")</f>
        <v/>
      </c>
      <c r="R79" s="21">
        <f t="array" ref="R79">IFERROR(INDEX(Load_Booking_Report!C:C, MATCH(TRUE, ISNUMBER(FIND(SUBSTITUTE(C79," ",""), Load_Booking_Report!AL:AL)), 0)), "Not Found")</f>
        <v/>
      </c>
      <c r="S79" s="21">
        <f t="array" ref="S79">IFERROR(INDEX(Load_Booking_Report!AG:AG, MATCH(TRUE, ISNUMBER(FIND(SUBSTITUTE(C79," ",""), Load_Booking_Report!AL:AL)), 0)), "Not Found")</f>
        <v/>
      </c>
      <c r="T79" s="21">
        <f>G79</f>
        <v/>
      </c>
      <c r="U79" s="33">
        <f t="array" ref="U79">IFERROR(
   IF(
      INDEX(Load_Booking_Report!AM:AM,
             MATCH(TRUE,
                     ISNUMBER(FIND(SUBSTITUTE(C79," ",""),
                                    Load_Booking_Report!AL:AL)),
                     0)
      )=0,
      "",
      INDEX(Load_Booking_Report!AM:AM,
             MATCH(TRUE,
                     ISNUMBER(FIND(SUBSTITUTE(C79," ",""),
                                    Load_Booking_Report!AL:AL)),
                     0)
      )
   ),
   ""
)</f>
        <v/>
      </c>
      <c r="V79" s="21">
        <f t="array" ref="V79">IFERROR(
   IF(
      INDEX(Load_Booking_Report!AR:AR,
             MATCH(TRUE,
                     ISNUMBER(FIND(SUBSTITUTE(C79," ",""),
                                    Load_Booking_Report!AL:AL)),
                     0)
      )=0,
      "",
      INDEX(Load_Booking_Report!AR:AR,
             MATCH(TRUE,
                     ISNUMBER(FIND(SUBSTITUTE(C79," ",""),
                                    Load_Booking_Report!AL:AL)),
                     0)
      )
   ),
   ""
)</f>
        <v/>
      </c>
      <c r="W79" s="21">
        <f t="array" ref="W79">IFERROR(INDEX(Load_Booking_Report!F:F, MATCH(TRUE, ISNUMBER(FIND(SUBSTITUTE(C79," ",""), Load_Booking_Report!AL:AL)), 0)), "Not Found")</f>
        <v/>
      </c>
      <c r="X79" s="21">
        <f t="array" ref="X79">IFERROR(INDEX(Load_Booking_Report!N:N, MATCH(TRUE, ISNUMBER(FIND(SUBSTITUTE(C79," ",""), Load_Booking_Report!AL:AL)), 0)), "Not Found")</f>
        <v/>
      </c>
      <c r="Y79" s="21">
        <f t="array" ref="Y79">IFERROR(INDEX(Load_Booking_Report!V:V, MATCH(TRUE, ISNUMBER(FIND(SUBSTITUTE(C79," ",""), Load_Booking_Report!AL:AL)), 0)), "Not Found")</f>
        <v/>
      </c>
      <c r="Z79" s="41">
        <f t="array" ref="Z79">IFERROR(INDEX(Load_Booking_Report!BC:BC, MATCH(TRUE, ISNUMBER(FIND(SUBSTITUTE(C79," ",""), Load_Booking_Report!AL:AL)), 0)), "Not Found")</f>
        <v/>
      </c>
    </row>
    <row r="80">
      <c r="A80" t="n">
        <v>11</v>
      </c>
      <c r="B80" t="n">
        <v>110202</v>
      </c>
      <c r="C80" t="inlineStr">
        <is>
          <t>ANON0000000</t>
        </is>
      </c>
      <c r="D80" t="n">
        <v>20</v>
      </c>
      <c r="E80" t="inlineStr">
        <is>
          <t>USNFK</t>
        </is>
      </c>
      <c r="F80" t="inlineStr">
        <is>
          <t>RULED</t>
        </is>
      </c>
      <c r="G80" t="n">
        <v>21300</v>
      </c>
      <c r="H80" t="inlineStr">
        <is>
          <t>ART</t>
        </is>
      </c>
      <c r="I80" t="inlineStr">
        <is>
          <t>22G1</t>
        </is>
      </c>
      <c r="L80" t="inlineStr">
        <is>
          <t>OOG</t>
        </is>
      </c>
      <c r="M80" t="inlineStr">
        <is>
          <t>Full</t>
        </is>
      </c>
      <c r="N80" t="inlineStr">
        <is>
          <t>RULED</t>
        </is>
      </c>
      <c r="P80" s="21">
        <f>C80</f>
        <v/>
      </c>
      <c r="Q80" s="21">
        <f t="array" ref="Q80">IFERROR(INDEX(Load_Booking_Report!AC:AC, MATCH(TRUE, ISNUMBER(FIND(SUBSTITUTE(C80," ",""), Load_Booking_Report!AL:AL)), 0)), "Not Found")</f>
        <v/>
      </c>
      <c r="R80" s="21">
        <f t="array" ref="R80">IFERROR(INDEX(Load_Booking_Report!C:C, MATCH(TRUE, ISNUMBER(FIND(SUBSTITUTE(C80," ",""), Load_Booking_Report!AL:AL)), 0)), "Not Found")</f>
        <v/>
      </c>
      <c r="S80" s="21">
        <f t="array" ref="S80">IFERROR(INDEX(Load_Booking_Report!AG:AG, MATCH(TRUE, ISNUMBER(FIND(SUBSTITUTE(C80," ",""), Load_Booking_Report!AL:AL)), 0)), "Not Found")</f>
        <v/>
      </c>
      <c r="T80" s="21">
        <f>G80</f>
        <v/>
      </c>
      <c r="U80" s="33">
        <f t="array" ref="U80">IFERROR(
   IF(
      INDEX(Load_Booking_Report!AM:AM,
             MATCH(TRUE,
                     ISNUMBER(FIND(SUBSTITUTE(C80," ",""),
                                    Load_Booking_Report!AL:AL)),
                     0)
      )=0,
      "",
      INDEX(Load_Booking_Report!AM:AM,
             MATCH(TRUE,
                     ISNUMBER(FIND(SUBSTITUTE(C80," ",""),
                                    Load_Booking_Report!AL:AL)),
                     0)
      )
   ),
   ""
)</f>
        <v/>
      </c>
      <c r="V80" s="21">
        <f t="array" ref="V80">IFERROR(
   IF(
      INDEX(Load_Booking_Report!AR:AR,
             MATCH(TRUE,
                     ISNUMBER(FIND(SUBSTITUTE(C80," ",""),
                                    Load_Booking_Report!AL:AL)),
                     0)
      )=0,
      "",
      INDEX(Load_Booking_Report!AR:AR,
             MATCH(TRUE,
                     ISNUMBER(FIND(SUBSTITUTE(C80," ",""),
                                    Load_Booking_Report!AL:AL)),
                     0)
      )
   ),
   ""
)</f>
        <v/>
      </c>
      <c r="W80" s="21">
        <f t="array" ref="W80">IFERROR(INDEX(Load_Booking_Report!F:F, MATCH(TRUE, ISNUMBER(FIND(SUBSTITUTE(C80," ",""), Load_Booking_Report!AL:AL)), 0)), "Not Found")</f>
        <v/>
      </c>
      <c r="X80" s="21">
        <f t="array" ref="X80">IFERROR(INDEX(Load_Booking_Report!N:N, MATCH(TRUE, ISNUMBER(FIND(SUBSTITUTE(C80," ",""), Load_Booking_Report!AL:AL)), 0)), "Not Found")</f>
        <v/>
      </c>
      <c r="Y80" s="21">
        <f t="array" ref="Y80">IFERROR(INDEX(Load_Booking_Report!V:V, MATCH(TRUE, ISNUMBER(FIND(SUBSTITUTE(C80," ",""), Load_Booking_Report!AL:AL)), 0)), "Not Found")</f>
        <v/>
      </c>
      <c r="Z80" s="41">
        <f t="array" ref="Z80">IFERROR(INDEX(Load_Booking_Report!BC:BC, MATCH(TRUE, ISNUMBER(FIND(SUBSTITUTE(C80," ",""), Load_Booking_Report!AL:AL)), 0)), "Not Found")</f>
        <v/>
      </c>
    </row>
    <row r="81">
      <c r="A81" t="n">
        <v>9</v>
      </c>
      <c r="B81" t="n">
        <v>90304</v>
      </c>
      <c r="C81" t="inlineStr">
        <is>
          <t>ANON0000000</t>
        </is>
      </c>
      <c r="D81" t="n">
        <v>20</v>
      </c>
      <c r="E81" t="inlineStr">
        <is>
          <t>USNFK</t>
        </is>
      </c>
      <c r="F81" t="inlineStr">
        <is>
          <t>RULED</t>
        </is>
      </c>
      <c r="G81" t="n">
        <v>26170</v>
      </c>
      <c r="H81" t="inlineStr">
        <is>
          <t>ART</t>
        </is>
      </c>
      <c r="I81" t="inlineStr">
        <is>
          <t>22G1</t>
        </is>
      </c>
      <c r="L81" t="inlineStr">
        <is>
          <t>8'6</t>
        </is>
      </c>
      <c r="M81" t="inlineStr">
        <is>
          <t>Full</t>
        </is>
      </c>
      <c r="N81" t="inlineStr">
        <is>
          <t>RULED</t>
        </is>
      </c>
      <c r="P81" s="21">
        <f>C81</f>
        <v/>
      </c>
      <c r="Q81" s="21">
        <f t="array" ref="Q81">IFERROR(INDEX(Load_Booking_Report!AC:AC, MATCH(TRUE, ISNUMBER(FIND(SUBSTITUTE(C81," ",""), Load_Booking_Report!AL:AL)), 0)), "Not Found")</f>
        <v/>
      </c>
      <c r="R81" s="21">
        <f t="array" ref="R81">IFERROR(INDEX(Load_Booking_Report!C:C, MATCH(TRUE, ISNUMBER(FIND(SUBSTITUTE(C81," ",""), Load_Booking_Report!AL:AL)), 0)), "Not Found")</f>
        <v/>
      </c>
      <c r="S81" s="21">
        <f t="array" ref="S81">IFERROR(INDEX(Load_Booking_Report!AG:AG, MATCH(TRUE, ISNUMBER(FIND(SUBSTITUTE(C81," ",""), Load_Booking_Report!AL:AL)), 0)), "Not Found")</f>
        <v/>
      </c>
      <c r="T81" s="21">
        <f>G81</f>
        <v/>
      </c>
      <c r="U81" s="33">
        <f t="array" ref="U81">IFERROR(
   IF(
      INDEX(Load_Booking_Report!AM:AM,
             MATCH(TRUE,
                     ISNUMBER(FIND(SUBSTITUTE(C81," ",""),
                                    Load_Booking_Report!AL:AL)),
                     0)
      )=0,
      "",
      INDEX(Load_Booking_Report!AM:AM,
             MATCH(TRUE,
                     ISNUMBER(FIND(SUBSTITUTE(C81," ",""),
                                    Load_Booking_Report!AL:AL)),
                     0)
      )
   ),
   ""
)</f>
        <v/>
      </c>
      <c r="V81" s="21">
        <f t="array" ref="V81">IFERROR(
   IF(
      INDEX(Load_Booking_Report!AR:AR,
             MATCH(TRUE,
                     ISNUMBER(FIND(SUBSTITUTE(C81," ",""),
                                    Load_Booking_Report!AL:AL)),
                     0)
      )=0,
      "",
      INDEX(Load_Booking_Report!AR:AR,
             MATCH(TRUE,
                     ISNUMBER(FIND(SUBSTITUTE(C81," ",""),
                                    Load_Booking_Report!AL:AL)),
                     0)
      )
   ),
   ""
)</f>
        <v/>
      </c>
      <c r="W81" s="21">
        <f t="array" ref="W81">IFERROR(INDEX(Load_Booking_Report!F:F, MATCH(TRUE, ISNUMBER(FIND(SUBSTITUTE(C81," ",""), Load_Booking_Report!AL:AL)), 0)), "Not Found")</f>
        <v/>
      </c>
      <c r="X81" s="21">
        <f t="array" ref="X81">IFERROR(INDEX(Load_Booking_Report!N:N, MATCH(TRUE, ISNUMBER(FIND(SUBSTITUTE(C81," ",""), Load_Booking_Report!AL:AL)), 0)), "Not Found")</f>
        <v/>
      </c>
      <c r="Y81" s="21">
        <f t="array" ref="Y81">IFERROR(INDEX(Load_Booking_Report!V:V, MATCH(TRUE, ISNUMBER(FIND(SUBSTITUTE(C81," ",""), Load_Booking_Report!AL:AL)), 0)), "Not Found")</f>
        <v/>
      </c>
      <c r="Z81" s="41">
        <f t="array" ref="Z81">IFERROR(INDEX(Load_Booking_Report!BC:BC, MATCH(TRUE, ISNUMBER(FIND(SUBSTITUTE(C81," ",""), Load_Booking_Report!AL:AL)), 0)), "Not Found")</f>
        <v/>
      </c>
    </row>
    <row r="82">
      <c r="A82" t="n">
        <v>17</v>
      </c>
      <c r="B82" t="n">
        <v>170102</v>
      </c>
      <c r="C82" t="inlineStr">
        <is>
          <t>ANON0000000</t>
        </is>
      </c>
      <c r="D82" t="n">
        <v>20</v>
      </c>
      <c r="E82" t="inlineStr">
        <is>
          <t>USNFK</t>
        </is>
      </c>
      <c r="F82" t="inlineStr">
        <is>
          <t>RULED</t>
        </is>
      </c>
      <c r="G82" t="n">
        <v>26700</v>
      </c>
      <c r="H82" t="inlineStr">
        <is>
          <t>ART</t>
        </is>
      </c>
      <c r="I82" t="inlineStr">
        <is>
          <t>22G1</t>
        </is>
      </c>
      <c r="L82" t="inlineStr">
        <is>
          <t>OOG</t>
        </is>
      </c>
      <c r="M82" t="inlineStr">
        <is>
          <t>Full</t>
        </is>
      </c>
      <c r="N82" t="inlineStr">
        <is>
          <t>RULED</t>
        </is>
      </c>
      <c r="P82" s="21">
        <f>C82</f>
        <v/>
      </c>
      <c r="Q82" s="21">
        <f t="array" ref="Q82">IFERROR(INDEX(Load_Booking_Report!AC:AC, MATCH(TRUE, ISNUMBER(FIND(SUBSTITUTE(C82," ",""), Load_Booking_Report!AL:AL)), 0)), "Not Found")</f>
        <v/>
      </c>
      <c r="R82" s="21">
        <f t="array" ref="R82">IFERROR(INDEX(Load_Booking_Report!C:C, MATCH(TRUE, ISNUMBER(FIND(SUBSTITUTE(C82," ",""), Load_Booking_Report!AL:AL)), 0)), "Not Found")</f>
        <v/>
      </c>
      <c r="S82" s="21">
        <f t="array" ref="S82">IFERROR(INDEX(Load_Booking_Report!AG:AG, MATCH(TRUE, ISNUMBER(FIND(SUBSTITUTE(C82," ",""), Load_Booking_Report!AL:AL)), 0)), "Not Found")</f>
        <v/>
      </c>
      <c r="T82" s="21">
        <f>G82</f>
        <v/>
      </c>
      <c r="U82" s="33">
        <f t="array" ref="U82">IFERROR(
   IF(
      INDEX(Load_Booking_Report!AM:AM,
             MATCH(TRUE,
                     ISNUMBER(FIND(SUBSTITUTE(C82," ",""),
                                    Load_Booking_Report!AL:AL)),
                     0)
      )=0,
      "",
      INDEX(Load_Booking_Report!AM:AM,
             MATCH(TRUE,
                     ISNUMBER(FIND(SUBSTITUTE(C82," ",""),
                                    Load_Booking_Report!AL:AL)),
                     0)
      )
   ),
   ""
)</f>
        <v/>
      </c>
      <c r="V82" s="21">
        <f t="array" ref="V82">IFERROR(
   IF(
      INDEX(Load_Booking_Report!AR:AR,
             MATCH(TRUE,
                     ISNUMBER(FIND(SUBSTITUTE(C82," ",""),
                                    Load_Booking_Report!AL:AL)),
                     0)
      )=0,
      "",
      INDEX(Load_Booking_Report!AR:AR,
             MATCH(TRUE,
                     ISNUMBER(FIND(SUBSTITUTE(C82," ",""),
                                    Load_Booking_Report!AL:AL)),
                     0)
      )
   ),
   ""
)</f>
        <v/>
      </c>
      <c r="W82" s="21">
        <f t="array" ref="W82">IFERROR(INDEX(Load_Booking_Report!F:F, MATCH(TRUE, ISNUMBER(FIND(SUBSTITUTE(C82," ",""), Load_Booking_Report!AL:AL)), 0)), "Not Found")</f>
        <v/>
      </c>
      <c r="X82" s="21">
        <f t="array" ref="X82">IFERROR(INDEX(Load_Booking_Report!N:N, MATCH(TRUE, ISNUMBER(FIND(SUBSTITUTE(C82," ",""), Load_Booking_Report!AL:AL)), 0)), "Not Found")</f>
        <v/>
      </c>
      <c r="Y82" s="21">
        <f t="array" ref="Y82">IFERROR(INDEX(Load_Booking_Report!V:V, MATCH(TRUE, ISNUMBER(FIND(SUBSTITUTE(C82," ",""), Load_Booking_Report!AL:AL)), 0)), "Not Found")</f>
        <v/>
      </c>
      <c r="Z82" s="41">
        <f t="array" ref="Z82">IFERROR(INDEX(Load_Booking_Report!BC:BC, MATCH(TRUE, ISNUMBER(FIND(SUBSTITUTE(C82," ",""), Load_Booking_Report!AL:AL)), 0)), "Not Found")</f>
        <v/>
      </c>
    </row>
    <row r="83">
      <c r="A83" t="n">
        <v>11</v>
      </c>
      <c r="B83" t="n">
        <v>110204</v>
      </c>
      <c r="C83" t="inlineStr">
        <is>
          <t>ANON0000000</t>
        </is>
      </c>
      <c r="D83" t="n">
        <v>20</v>
      </c>
      <c r="E83" t="inlineStr">
        <is>
          <t>USNFK</t>
        </is>
      </c>
      <c r="F83" t="inlineStr">
        <is>
          <t>RULED</t>
        </is>
      </c>
      <c r="G83" t="n">
        <v>25490</v>
      </c>
      <c r="H83" t="inlineStr">
        <is>
          <t>ART</t>
        </is>
      </c>
      <c r="I83" t="inlineStr">
        <is>
          <t>22G1</t>
        </is>
      </c>
      <c r="L83" t="inlineStr">
        <is>
          <t>8'6</t>
        </is>
      </c>
      <c r="M83" t="inlineStr">
        <is>
          <t>Full</t>
        </is>
      </c>
      <c r="N83" t="inlineStr">
        <is>
          <t>RULED</t>
        </is>
      </c>
      <c r="P83" s="21">
        <f>C83</f>
        <v/>
      </c>
      <c r="Q83" s="21">
        <f t="array" ref="Q83">IFERROR(INDEX(Load_Booking_Report!AC:AC, MATCH(TRUE, ISNUMBER(FIND(SUBSTITUTE(C83," ",""), Load_Booking_Report!AL:AL)), 0)), "Not Found")</f>
        <v/>
      </c>
      <c r="R83" s="21">
        <f t="array" ref="R83">IFERROR(INDEX(Load_Booking_Report!C:C, MATCH(TRUE, ISNUMBER(FIND(SUBSTITUTE(C83," ",""), Load_Booking_Report!AL:AL)), 0)), "Not Found")</f>
        <v/>
      </c>
      <c r="S83" s="21">
        <f t="array" ref="S83">IFERROR(INDEX(Load_Booking_Report!AG:AG, MATCH(TRUE, ISNUMBER(FIND(SUBSTITUTE(C83," ",""), Load_Booking_Report!AL:AL)), 0)), "Not Found")</f>
        <v/>
      </c>
      <c r="T83" s="21">
        <f>G83</f>
        <v/>
      </c>
      <c r="U83" s="33">
        <f t="array" ref="U83">IFERROR(
   IF(
      INDEX(Load_Booking_Report!AM:AM,
             MATCH(TRUE,
                     ISNUMBER(FIND(SUBSTITUTE(C83," ",""),
                                    Load_Booking_Report!AL:AL)),
                     0)
      )=0,
      "",
      INDEX(Load_Booking_Report!AM:AM,
             MATCH(TRUE,
                     ISNUMBER(FIND(SUBSTITUTE(C83," ",""),
                                    Load_Booking_Report!AL:AL)),
                     0)
      )
   ),
   ""
)</f>
        <v/>
      </c>
      <c r="V83" s="21">
        <f t="array" ref="V83">IFERROR(
   IF(
      INDEX(Load_Booking_Report!AR:AR,
             MATCH(TRUE,
                     ISNUMBER(FIND(SUBSTITUTE(C83," ",""),
                                    Load_Booking_Report!AL:AL)),
                     0)
      )=0,
      "",
      INDEX(Load_Booking_Report!AR:AR,
             MATCH(TRUE,
                     ISNUMBER(FIND(SUBSTITUTE(C83," ",""),
                                    Load_Booking_Report!AL:AL)),
                     0)
      )
   ),
   ""
)</f>
        <v/>
      </c>
      <c r="W83" s="21">
        <f t="array" ref="W83">IFERROR(INDEX(Load_Booking_Report!F:F, MATCH(TRUE, ISNUMBER(FIND(SUBSTITUTE(C83," ",""), Load_Booking_Report!AL:AL)), 0)), "Not Found")</f>
        <v/>
      </c>
      <c r="X83" s="21">
        <f t="array" ref="X83">IFERROR(INDEX(Load_Booking_Report!N:N, MATCH(TRUE, ISNUMBER(FIND(SUBSTITUTE(C83," ",""), Load_Booking_Report!AL:AL)), 0)), "Not Found")</f>
        <v/>
      </c>
      <c r="Y83" s="21">
        <f t="array" ref="Y83">IFERROR(INDEX(Load_Booking_Report!V:V, MATCH(TRUE, ISNUMBER(FIND(SUBSTITUTE(C83," ",""), Load_Booking_Report!AL:AL)), 0)), "Not Found")</f>
        <v/>
      </c>
      <c r="Z83" s="41">
        <f t="array" ref="Z83">IFERROR(INDEX(Load_Booking_Report!BC:BC, MATCH(TRUE, ISNUMBER(FIND(SUBSTITUTE(C83," ",""), Load_Booking_Report!AL:AL)), 0)), "Not Found")</f>
        <v/>
      </c>
    </row>
    <row r="84">
      <c r="A84" t="n">
        <v>31</v>
      </c>
      <c r="B84" t="n">
        <v>310604</v>
      </c>
      <c r="C84" t="inlineStr">
        <is>
          <t>ANON0000000</t>
        </is>
      </c>
      <c r="D84" t="n">
        <v>20</v>
      </c>
      <c r="E84" t="inlineStr">
        <is>
          <t>USNFK</t>
        </is>
      </c>
      <c r="F84" t="inlineStr">
        <is>
          <t>RULED</t>
        </is>
      </c>
      <c r="G84" t="n">
        <v>28120</v>
      </c>
      <c r="H84" t="inlineStr">
        <is>
          <t>ART</t>
        </is>
      </c>
      <c r="I84" t="inlineStr">
        <is>
          <t>22G1</t>
        </is>
      </c>
      <c r="L84" t="inlineStr">
        <is>
          <t>OOG</t>
        </is>
      </c>
      <c r="M84" t="inlineStr">
        <is>
          <t>Full</t>
        </is>
      </c>
      <c r="N84" t="inlineStr">
        <is>
          <t>RULED</t>
        </is>
      </c>
      <c r="P84" s="21">
        <f>C84</f>
        <v/>
      </c>
      <c r="Q84" s="21">
        <f t="array" ref="Q84">IFERROR(INDEX(Load_Booking_Report!AC:AC, MATCH(TRUE, ISNUMBER(FIND(SUBSTITUTE(C84," ",""), Load_Booking_Report!AL:AL)), 0)), "Not Found")</f>
        <v/>
      </c>
      <c r="R84" s="21">
        <f t="array" ref="R84">IFERROR(INDEX(Load_Booking_Report!C:C, MATCH(TRUE, ISNUMBER(FIND(SUBSTITUTE(C84," ",""), Load_Booking_Report!AL:AL)), 0)), "Not Found")</f>
        <v/>
      </c>
      <c r="S84" s="21">
        <f t="array" ref="S84">IFERROR(INDEX(Load_Booking_Report!AG:AG, MATCH(TRUE, ISNUMBER(FIND(SUBSTITUTE(C84," ",""), Load_Booking_Report!AL:AL)), 0)), "Not Found")</f>
        <v/>
      </c>
      <c r="T84" s="21">
        <f>G84</f>
        <v/>
      </c>
      <c r="U84" s="33">
        <f t="array" ref="U84">IFERROR(
   IF(
      INDEX(Load_Booking_Report!AM:AM,
             MATCH(TRUE,
                     ISNUMBER(FIND(SUBSTITUTE(C84," ",""),
                                    Load_Booking_Report!AL:AL)),
                     0)
      )=0,
      "",
      INDEX(Load_Booking_Report!AM:AM,
             MATCH(TRUE,
                     ISNUMBER(FIND(SUBSTITUTE(C84," ",""),
                                    Load_Booking_Report!AL:AL)),
                     0)
      )
   ),
   ""
)</f>
        <v/>
      </c>
      <c r="V84" s="21">
        <f t="array" ref="V84">IFERROR(
   IF(
      INDEX(Load_Booking_Report!AR:AR,
             MATCH(TRUE,
                     ISNUMBER(FIND(SUBSTITUTE(C84," ",""),
                                    Load_Booking_Report!AL:AL)),
                     0)
      )=0,
      "",
      INDEX(Load_Booking_Report!AR:AR,
             MATCH(TRUE,
                     ISNUMBER(FIND(SUBSTITUTE(C84," ",""),
                                    Load_Booking_Report!AL:AL)),
                     0)
      )
   ),
   ""
)</f>
        <v/>
      </c>
      <c r="W84" s="21">
        <f t="array" ref="W84">IFERROR(INDEX(Load_Booking_Report!F:F, MATCH(TRUE, ISNUMBER(FIND(SUBSTITUTE(C84," ",""), Load_Booking_Report!AL:AL)), 0)), "Not Found")</f>
        <v/>
      </c>
      <c r="X84" s="21">
        <f t="array" ref="X84">IFERROR(INDEX(Load_Booking_Report!N:N, MATCH(TRUE, ISNUMBER(FIND(SUBSTITUTE(C84," ",""), Load_Booking_Report!AL:AL)), 0)), "Not Found")</f>
        <v/>
      </c>
      <c r="Y84" s="21">
        <f t="array" ref="Y84">IFERROR(INDEX(Load_Booking_Report!V:V, MATCH(TRUE, ISNUMBER(FIND(SUBSTITUTE(C84," ",""), Load_Booking_Report!AL:AL)), 0)), "Not Found")</f>
        <v/>
      </c>
      <c r="Z84" s="41">
        <f t="array" ref="Z84">IFERROR(INDEX(Load_Booking_Report!BC:BC, MATCH(TRUE, ISNUMBER(FIND(SUBSTITUTE(C84," ",""), Load_Booking_Report!AL:AL)), 0)), "Not Found")</f>
        <v/>
      </c>
    </row>
    <row r="85">
      <c r="A85" t="n">
        <v>25</v>
      </c>
      <c r="B85" t="n">
        <v>250304</v>
      </c>
      <c r="C85" t="inlineStr">
        <is>
          <t>ANON0000000</t>
        </is>
      </c>
      <c r="D85" t="n">
        <v>20</v>
      </c>
      <c r="E85" t="inlineStr">
        <is>
          <t>USNYC</t>
        </is>
      </c>
      <c r="F85" t="inlineStr">
        <is>
          <t>RULED</t>
        </is>
      </c>
      <c r="G85" t="n">
        <v>27000</v>
      </c>
      <c r="H85" t="inlineStr">
        <is>
          <t>ART</t>
        </is>
      </c>
      <c r="I85" t="inlineStr">
        <is>
          <t>22G1</t>
        </is>
      </c>
      <c r="L85" t="inlineStr">
        <is>
          <t>8'6</t>
        </is>
      </c>
      <c r="M85" t="inlineStr">
        <is>
          <t>Full</t>
        </is>
      </c>
      <c r="N85" t="inlineStr">
        <is>
          <t>RULED</t>
        </is>
      </c>
      <c r="P85" s="21">
        <f>C85</f>
        <v/>
      </c>
      <c r="Q85" s="21">
        <f t="array" ref="Q85">IFERROR(INDEX(Load_Booking_Report!AC:AC, MATCH(TRUE, ISNUMBER(FIND(SUBSTITUTE(C85," ",""), Load_Booking_Report!AL:AL)), 0)), "Not Found")</f>
        <v/>
      </c>
      <c r="R85" s="21">
        <f t="array" ref="R85">IFERROR(INDEX(Load_Booking_Report!C:C, MATCH(TRUE, ISNUMBER(FIND(SUBSTITUTE(C85," ",""), Load_Booking_Report!AL:AL)), 0)), "Not Found")</f>
        <v/>
      </c>
      <c r="S85" s="21">
        <f t="array" ref="S85">IFERROR(INDEX(Load_Booking_Report!AG:AG, MATCH(TRUE, ISNUMBER(FIND(SUBSTITUTE(C85," ",""), Load_Booking_Report!AL:AL)), 0)), "Not Found")</f>
        <v/>
      </c>
      <c r="T85" s="21">
        <f>G85</f>
        <v/>
      </c>
      <c r="U85" s="33">
        <f t="array" ref="U85">IFERROR(
   IF(
      INDEX(Load_Booking_Report!AM:AM,
             MATCH(TRUE,
                     ISNUMBER(FIND(SUBSTITUTE(C85," ",""),
                                    Load_Booking_Report!AL:AL)),
                     0)
      )=0,
      "",
      INDEX(Load_Booking_Report!AM:AM,
             MATCH(TRUE,
                     ISNUMBER(FIND(SUBSTITUTE(C85," ",""),
                                    Load_Booking_Report!AL:AL)),
                     0)
      )
   ),
   ""
)</f>
        <v/>
      </c>
      <c r="V85" s="21">
        <f t="array" ref="V85">IFERROR(
   IF(
      INDEX(Load_Booking_Report!AR:AR,
             MATCH(TRUE,
                     ISNUMBER(FIND(SUBSTITUTE(C85," ",""),
                                    Load_Booking_Report!AL:AL)),
                     0)
      )=0,
      "",
      INDEX(Load_Booking_Report!AR:AR,
             MATCH(TRUE,
                     ISNUMBER(FIND(SUBSTITUTE(C85," ",""),
                                    Load_Booking_Report!AL:AL)),
                     0)
      )
   ),
   ""
)</f>
        <v/>
      </c>
      <c r="W85" s="21">
        <f t="array" ref="W85">IFERROR(INDEX(Load_Booking_Report!F:F, MATCH(TRUE, ISNUMBER(FIND(SUBSTITUTE(C85," ",""), Load_Booking_Report!AL:AL)), 0)), "Not Found")</f>
        <v/>
      </c>
      <c r="X85" s="21">
        <f t="array" ref="X85">IFERROR(INDEX(Load_Booking_Report!N:N, MATCH(TRUE, ISNUMBER(FIND(SUBSTITUTE(C85," ",""), Load_Booking_Report!AL:AL)), 0)), "Not Found")</f>
        <v/>
      </c>
      <c r="Y85" s="21">
        <f t="array" ref="Y85">IFERROR(INDEX(Load_Booking_Report!V:V, MATCH(TRUE, ISNUMBER(FIND(SUBSTITUTE(C85," ",""), Load_Booking_Report!AL:AL)), 0)), "Not Found")</f>
        <v/>
      </c>
      <c r="Z85" s="41">
        <f t="array" ref="Z85">IFERROR(INDEX(Load_Booking_Report!BC:BC, MATCH(TRUE, ISNUMBER(FIND(SUBSTITUTE(C85," ",""), Load_Booking_Report!AL:AL)), 0)), "Not Found")</f>
        <v/>
      </c>
    </row>
    <row r="86">
      <c r="A86" t="n">
        <v>17</v>
      </c>
      <c r="B86" t="n">
        <v>170302</v>
      </c>
      <c r="C86" t="inlineStr">
        <is>
          <t>ANON0000000</t>
        </is>
      </c>
      <c r="D86" t="n">
        <v>20</v>
      </c>
      <c r="E86" t="inlineStr">
        <is>
          <t>USNFK</t>
        </is>
      </c>
      <c r="F86" t="inlineStr">
        <is>
          <t>RULED</t>
        </is>
      </c>
      <c r="G86" t="n">
        <v>26700</v>
      </c>
      <c r="H86" t="inlineStr">
        <is>
          <t>ART</t>
        </is>
      </c>
      <c r="I86" t="inlineStr">
        <is>
          <t>22G1</t>
        </is>
      </c>
      <c r="L86" t="inlineStr">
        <is>
          <t>OOG</t>
        </is>
      </c>
      <c r="M86" t="inlineStr">
        <is>
          <t>Full</t>
        </is>
      </c>
      <c r="N86" t="inlineStr">
        <is>
          <t>RULED</t>
        </is>
      </c>
      <c r="P86" s="21">
        <f>C86</f>
        <v/>
      </c>
      <c r="Q86" s="21">
        <f t="array" ref="Q86">IFERROR(INDEX(Load_Booking_Report!AC:AC, MATCH(TRUE, ISNUMBER(FIND(SUBSTITUTE(C86," ",""), Load_Booking_Report!AL:AL)), 0)), "Not Found")</f>
        <v/>
      </c>
      <c r="R86" s="21">
        <f t="array" ref="R86">IFERROR(INDEX(Load_Booking_Report!C:C, MATCH(TRUE, ISNUMBER(FIND(SUBSTITUTE(C86," ",""), Load_Booking_Report!AL:AL)), 0)), "Not Found")</f>
        <v/>
      </c>
      <c r="S86" s="21">
        <f t="array" ref="S86">IFERROR(INDEX(Load_Booking_Report!AG:AG, MATCH(TRUE, ISNUMBER(FIND(SUBSTITUTE(C86," ",""), Load_Booking_Report!AL:AL)), 0)), "Not Found")</f>
        <v/>
      </c>
      <c r="T86" s="21">
        <f>G86</f>
        <v/>
      </c>
      <c r="U86" s="33">
        <f t="array" ref="U86">IFERROR(
   IF(
      INDEX(Load_Booking_Report!AM:AM,
             MATCH(TRUE,
                     ISNUMBER(FIND(SUBSTITUTE(C86," ",""),
                                    Load_Booking_Report!AL:AL)),
                     0)
      )=0,
      "",
      INDEX(Load_Booking_Report!AM:AM,
             MATCH(TRUE,
                     ISNUMBER(FIND(SUBSTITUTE(C86," ",""),
                                    Load_Booking_Report!AL:AL)),
                     0)
      )
   ),
   ""
)</f>
        <v/>
      </c>
      <c r="V86" s="21">
        <f t="array" ref="V86">IFERROR(
   IF(
      INDEX(Load_Booking_Report!AR:AR,
             MATCH(TRUE,
                     ISNUMBER(FIND(SUBSTITUTE(C86," ",""),
                                    Load_Booking_Report!AL:AL)),
                     0)
      )=0,
      "",
      INDEX(Load_Booking_Report!AR:AR,
             MATCH(TRUE,
                     ISNUMBER(FIND(SUBSTITUTE(C86," ",""),
                                    Load_Booking_Report!AL:AL)),
                     0)
      )
   ),
   ""
)</f>
        <v/>
      </c>
      <c r="W86" s="21">
        <f t="array" ref="W86">IFERROR(INDEX(Load_Booking_Report!F:F, MATCH(TRUE, ISNUMBER(FIND(SUBSTITUTE(C86," ",""), Load_Booking_Report!AL:AL)), 0)), "Not Found")</f>
        <v/>
      </c>
      <c r="X86" s="21">
        <f t="array" ref="X86">IFERROR(INDEX(Load_Booking_Report!N:N, MATCH(TRUE, ISNUMBER(FIND(SUBSTITUTE(C86," ",""), Load_Booking_Report!AL:AL)), 0)), "Not Found")</f>
        <v/>
      </c>
      <c r="Y86" s="21">
        <f t="array" ref="Y86">IFERROR(INDEX(Load_Booking_Report!V:V, MATCH(TRUE, ISNUMBER(FIND(SUBSTITUTE(C86," ",""), Load_Booking_Report!AL:AL)), 0)), "Not Found")</f>
        <v/>
      </c>
      <c r="Z86" s="41">
        <f t="array" ref="Z86">IFERROR(INDEX(Load_Booking_Report!BC:BC, MATCH(TRUE, ISNUMBER(FIND(SUBSTITUTE(C86," ",""), Load_Booking_Report!AL:AL)), 0)), "Not Found")</f>
        <v/>
      </c>
    </row>
    <row r="87">
      <c r="A87" t="n">
        <v>25</v>
      </c>
      <c r="B87" t="n">
        <v>250104</v>
      </c>
      <c r="C87" t="inlineStr">
        <is>
          <t>ANON0000000</t>
        </is>
      </c>
      <c r="D87" t="n">
        <v>20</v>
      </c>
      <c r="E87" t="inlineStr">
        <is>
          <t>USNYC</t>
        </is>
      </c>
      <c r="F87" t="inlineStr">
        <is>
          <t>RULED</t>
        </is>
      </c>
      <c r="G87" t="n">
        <v>27100</v>
      </c>
      <c r="H87" t="inlineStr">
        <is>
          <t>ART</t>
        </is>
      </c>
      <c r="I87" t="inlineStr">
        <is>
          <t>22G1</t>
        </is>
      </c>
      <c r="L87" t="inlineStr">
        <is>
          <t>8'6</t>
        </is>
      </c>
      <c r="M87" t="inlineStr">
        <is>
          <t>Full</t>
        </is>
      </c>
      <c r="N87" t="inlineStr">
        <is>
          <t>RULED</t>
        </is>
      </c>
      <c r="P87" s="21">
        <f>C87</f>
        <v/>
      </c>
      <c r="Q87" s="21">
        <f t="array" ref="Q87">IFERROR(INDEX(Load_Booking_Report!AC:AC, MATCH(TRUE, ISNUMBER(FIND(SUBSTITUTE(C87," ",""), Load_Booking_Report!AL:AL)), 0)), "Not Found")</f>
        <v/>
      </c>
      <c r="R87" s="21">
        <f t="array" ref="R87">IFERROR(INDEX(Load_Booking_Report!C:C, MATCH(TRUE, ISNUMBER(FIND(SUBSTITUTE(C87," ",""), Load_Booking_Report!AL:AL)), 0)), "Not Found")</f>
        <v/>
      </c>
      <c r="S87" s="21">
        <f t="array" ref="S87">IFERROR(INDEX(Load_Booking_Report!AG:AG, MATCH(TRUE, ISNUMBER(FIND(SUBSTITUTE(C87," ",""), Load_Booking_Report!AL:AL)), 0)), "Not Found")</f>
        <v/>
      </c>
      <c r="T87" s="21">
        <f>G87</f>
        <v/>
      </c>
      <c r="U87" s="33">
        <f t="array" ref="U87">IFERROR(
   IF(
      INDEX(Load_Booking_Report!AM:AM,
             MATCH(TRUE,
                     ISNUMBER(FIND(SUBSTITUTE(C87," ",""),
                                    Load_Booking_Report!AL:AL)),
                     0)
      )=0,
      "",
      INDEX(Load_Booking_Report!AM:AM,
             MATCH(TRUE,
                     ISNUMBER(FIND(SUBSTITUTE(C87," ",""),
                                    Load_Booking_Report!AL:AL)),
                     0)
      )
   ),
   ""
)</f>
        <v/>
      </c>
      <c r="V87" s="21">
        <f t="array" ref="V87">IFERROR(
   IF(
      INDEX(Load_Booking_Report!AR:AR,
             MATCH(TRUE,
                     ISNUMBER(FIND(SUBSTITUTE(C87," ",""),
                                    Load_Booking_Report!AL:AL)),
                     0)
      )=0,
      "",
      INDEX(Load_Booking_Report!AR:AR,
             MATCH(TRUE,
                     ISNUMBER(FIND(SUBSTITUTE(C87," ",""),
                                    Load_Booking_Report!AL:AL)),
                     0)
      )
   ),
   ""
)</f>
        <v/>
      </c>
      <c r="W87" s="21">
        <f t="array" ref="W87">IFERROR(INDEX(Load_Booking_Report!F:F, MATCH(TRUE, ISNUMBER(FIND(SUBSTITUTE(C87," ",""), Load_Booking_Report!AL:AL)), 0)), "Not Found")</f>
        <v/>
      </c>
      <c r="X87" s="21">
        <f t="array" ref="X87">IFERROR(INDEX(Load_Booking_Report!N:N, MATCH(TRUE, ISNUMBER(FIND(SUBSTITUTE(C87," ",""), Load_Booking_Report!AL:AL)), 0)), "Not Found")</f>
        <v/>
      </c>
      <c r="Y87" s="21">
        <f t="array" ref="Y87">IFERROR(INDEX(Load_Booking_Report!V:V, MATCH(TRUE, ISNUMBER(FIND(SUBSTITUTE(C87," ",""), Load_Booking_Report!AL:AL)), 0)), "Not Found")</f>
        <v/>
      </c>
      <c r="Z87" s="41">
        <f t="array" ref="Z87">IFERROR(INDEX(Load_Booking_Report!BC:BC, MATCH(TRUE, ISNUMBER(FIND(SUBSTITUTE(C87," ",""), Load_Booking_Report!AL:AL)), 0)), "Not Found")</f>
        <v/>
      </c>
    </row>
    <row r="88">
      <c r="A88" t="n">
        <v>25</v>
      </c>
      <c r="B88" t="n">
        <v>250404</v>
      </c>
      <c r="C88" t="inlineStr">
        <is>
          <t>ANON0000000</t>
        </is>
      </c>
      <c r="D88" t="n">
        <v>20</v>
      </c>
      <c r="E88" t="inlineStr">
        <is>
          <t>USNYC</t>
        </is>
      </c>
      <c r="F88" t="inlineStr">
        <is>
          <t>RULED</t>
        </is>
      </c>
      <c r="G88" t="n">
        <v>27150</v>
      </c>
      <c r="H88" t="inlineStr">
        <is>
          <t>ART</t>
        </is>
      </c>
      <c r="I88" t="inlineStr">
        <is>
          <t>22G1</t>
        </is>
      </c>
      <c r="L88" t="inlineStr">
        <is>
          <t>8'6</t>
        </is>
      </c>
      <c r="M88" t="inlineStr">
        <is>
          <t>Full</t>
        </is>
      </c>
      <c r="N88" t="inlineStr">
        <is>
          <t>RULED</t>
        </is>
      </c>
      <c r="P88" s="21">
        <f>C88</f>
        <v/>
      </c>
      <c r="Q88" s="21">
        <f t="array" ref="Q88">IFERROR(INDEX(Load_Booking_Report!AC:AC, MATCH(TRUE, ISNUMBER(FIND(SUBSTITUTE(C88," ",""), Load_Booking_Report!AL:AL)), 0)), "Not Found")</f>
        <v/>
      </c>
      <c r="R88" s="21">
        <f t="array" ref="R88">IFERROR(INDEX(Load_Booking_Report!C:C, MATCH(TRUE, ISNUMBER(FIND(SUBSTITUTE(C88," ",""), Load_Booking_Report!AL:AL)), 0)), "Not Found")</f>
        <v/>
      </c>
      <c r="S88" s="21">
        <f t="array" ref="S88">IFERROR(INDEX(Load_Booking_Report!AG:AG, MATCH(TRUE, ISNUMBER(FIND(SUBSTITUTE(C88," ",""), Load_Booking_Report!AL:AL)), 0)), "Not Found")</f>
        <v/>
      </c>
      <c r="T88" s="21">
        <f>G88</f>
        <v/>
      </c>
      <c r="U88" s="33">
        <f t="array" ref="U88">IFERROR(
   IF(
      INDEX(Load_Booking_Report!AM:AM,
             MATCH(TRUE,
                     ISNUMBER(FIND(SUBSTITUTE(C88," ",""),
                                    Load_Booking_Report!AL:AL)),
                     0)
      )=0,
      "",
      INDEX(Load_Booking_Report!AM:AM,
             MATCH(TRUE,
                     ISNUMBER(FIND(SUBSTITUTE(C88," ",""),
                                    Load_Booking_Report!AL:AL)),
                     0)
      )
   ),
   ""
)</f>
        <v/>
      </c>
      <c r="V88" s="21">
        <f t="array" ref="V88">IFERROR(
   IF(
      INDEX(Load_Booking_Report!AR:AR,
             MATCH(TRUE,
                     ISNUMBER(FIND(SUBSTITUTE(C88," ",""),
                                    Load_Booking_Report!AL:AL)),
                     0)
      )=0,
      "",
      INDEX(Load_Booking_Report!AR:AR,
             MATCH(TRUE,
                     ISNUMBER(FIND(SUBSTITUTE(C88," ",""),
                                    Load_Booking_Report!AL:AL)),
                     0)
      )
   ),
   ""
)</f>
        <v/>
      </c>
      <c r="W88" s="21">
        <f t="array" ref="W88">IFERROR(INDEX(Load_Booking_Report!F:F, MATCH(TRUE, ISNUMBER(FIND(SUBSTITUTE(C88," ",""), Load_Booking_Report!AL:AL)), 0)), "Not Found")</f>
        <v/>
      </c>
      <c r="X88" s="21">
        <f t="array" ref="X88">IFERROR(INDEX(Load_Booking_Report!N:N, MATCH(TRUE, ISNUMBER(FIND(SUBSTITUTE(C88," ",""), Load_Booking_Report!AL:AL)), 0)), "Not Found")</f>
        <v/>
      </c>
      <c r="Y88" s="21">
        <f t="array" ref="Y88">IFERROR(INDEX(Load_Booking_Report!V:V, MATCH(TRUE, ISNUMBER(FIND(SUBSTITUTE(C88," ",""), Load_Booking_Report!AL:AL)), 0)), "Not Found")</f>
        <v/>
      </c>
      <c r="Z88" s="41">
        <f t="array" ref="Z88">IFERROR(INDEX(Load_Booking_Report!BC:BC, MATCH(TRUE, ISNUMBER(FIND(SUBSTITUTE(C88," ",""), Load_Booking_Report!AL:AL)), 0)), "Not Found")</f>
        <v/>
      </c>
    </row>
    <row r="89">
      <c r="A89" t="n">
        <v>11</v>
      </c>
      <c r="B89" t="n">
        <v>110604</v>
      </c>
      <c r="C89" t="inlineStr">
        <is>
          <t>ANON0000000</t>
        </is>
      </c>
      <c r="D89" t="n">
        <v>20</v>
      </c>
      <c r="E89" t="inlineStr">
        <is>
          <t>USNFK</t>
        </is>
      </c>
      <c r="F89" t="inlineStr">
        <is>
          <t>RULED</t>
        </is>
      </c>
      <c r="G89" t="n">
        <v>21428</v>
      </c>
      <c r="H89" t="inlineStr">
        <is>
          <t>ART</t>
        </is>
      </c>
      <c r="I89" t="inlineStr">
        <is>
          <t>22G1</t>
        </is>
      </c>
      <c r="L89" t="inlineStr">
        <is>
          <t>OOG</t>
        </is>
      </c>
      <c r="M89" t="inlineStr">
        <is>
          <t>Full</t>
        </is>
      </c>
      <c r="N89" t="inlineStr">
        <is>
          <t>RULED</t>
        </is>
      </c>
      <c r="P89" s="21">
        <f>C89</f>
        <v/>
      </c>
      <c r="Q89" s="21">
        <f t="array" ref="Q89">IFERROR(INDEX(Load_Booking_Report!AC:AC, MATCH(TRUE, ISNUMBER(FIND(SUBSTITUTE(C89," ",""), Load_Booking_Report!AL:AL)), 0)), "Not Found")</f>
        <v/>
      </c>
      <c r="R89" s="21">
        <f t="array" ref="R89">IFERROR(INDEX(Load_Booking_Report!C:C, MATCH(TRUE, ISNUMBER(FIND(SUBSTITUTE(C89," ",""), Load_Booking_Report!AL:AL)), 0)), "Not Found")</f>
        <v/>
      </c>
      <c r="S89" s="21">
        <f t="array" ref="S89">IFERROR(INDEX(Load_Booking_Report!AG:AG, MATCH(TRUE, ISNUMBER(FIND(SUBSTITUTE(C89," ",""), Load_Booking_Report!AL:AL)), 0)), "Not Found")</f>
        <v/>
      </c>
      <c r="T89" s="21">
        <f>G89</f>
        <v/>
      </c>
      <c r="U89" s="33">
        <f t="array" ref="U89">IFERROR(
   IF(
      INDEX(Load_Booking_Report!AM:AM,
             MATCH(TRUE,
                     ISNUMBER(FIND(SUBSTITUTE(C89," ",""),
                                    Load_Booking_Report!AL:AL)),
                     0)
      )=0,
      "",
      INDEX(Load_Booking_Report!AM:AM,
             MATCH(TRUE,
                     ISNUMBER(FIND(SUBSTITUTE(C89," ",""),
                                    Load_Booking_Report!AL:AL)),
                     0)
      )
   ),
   ""
)</f>
        <v/>
      </c>
      <c r="V89" s="21">
        <f t="array" ref="V89">IFERROR(
   IF(
      INDEX(Load_Booking_Report!AR:AR,
             MATCH(TRUE,
                     ISNUMBER(FIND(SUBSTITUTE(C89," ",""),
                                    Load_Booking_Report!AL:AL)),
                     0)
      )=0,
      "",
      INDEX(Load_Booking_Report!AR:AR,
             MATCH(TRUE,
                     ISNUMBER(FIND(SUBSTITUTE(C89," ",""),
                                    Load_Booking_Report!AL:AL)),
                     0)
      )
   ),
   ""
)</f>
        <v/>
      </c>
      <c r="W89" s="21">
        <f t="array" ref="W89">IFERROR(INDEX(Load_Booking_Report!F:F, MATCH(TRUE, ISNUMBER(FIND(SUBSTITUTE(C89," ",""), Load_Booking_Report!AL:AL)), 0)), "Not Found")</f>
        <v/>
      </c>
      <c r="X89" s="21">
        <f t="array" ref="X89">IFERROR(INDEX(Load_Booking_Report!N:N, MATCH(TRUE, ISNUMBER(FIND(SUBSTITUTE(C89," ",""), Load_Booking_Report!AL:AL)), 0)), "Not Found")</f>
        <v/>
      </c>
      <c r="Y89" s="21">
        <f t="array" ref="Y89">IFERROR(INDEX(Load_Booking_Report!V:V, MATCH(TRUE, ISNUMBER(FIND(SUBSTITUTE(C89," ",""), Load_Booking_Report!AL:AL)), 0)), "Not Found")</f>
        <v/>
      </c>
      <c r="Z89" s="41">
        <f t="array" ref="Z89">IFERROR(INDEX(Load_Booking_Report!BC:BC, MATCH(TRUE, ISNUMBER(FIND(SUBSTITUTE(C89," ",""), Load_Booking_Report!AL:AL)), 0)), "Not Found")</f>
        <v/>
      </c>
    </row>
    <row r="90">
      <c r="A90" t="n">
        <v>29</v>
      </c>
      <c r="B90" t="n">
        <v>290506</v>
      </c>
      <c r="C90" t="inlineStr">
        <is>
          <t>ANON0000000</t>
        </is>
      </c>
      <c r="D90" t="n">
        <v>20</v>
      </c>
      <c r="E90" t="inlineStr">
        <is>
          <t>USNFK</t>
        </is>
      </c>
      <c r="F90" t="inlineStr">
        <is>
          <t>RULED</t>
        </is>
      </c>
      <c r="G90" t="n">
        <v>22718</v>
      </c>
      <c r="H90" t="inlineStr">
        <is>
          <t>ART</t>
        </is>
      </c>
      <c r="I90" t="inlineStr">
        <is>
          <t>22G1</t>
        </is>
      </c>
      <c r="L90" t="inlineStr">
        <is>
          <t>OOG</t>
        </is>
      </c>
      <c r="M90" t="inlineStr">
        <is>
          <t>Full</t>
        </is>
      </c>
      <c r="N90" t="inlineStr">
        <is>
          <t>RULED</t>
        </is>
      </c>
      <c r="P90" s="21">
        <f>C90</f>
        <v/>
      </c>
      <c r="Q90" s="21">
        <f t="array" ref="Q90">IFERROR(INDEX(Load_Booking_Report!AC:AC, MATCH(TRUE, ISNUMBER(FIND(SUBSTITUTE(C90," ",""), Load_Booking_Report!AL:AL)), 0)), "Not Found")</f>
        <v/>
      </c>
      <c r="R90" s="21">
        <f t="array" ref="R90">IFERROR(INDEX(Load_Booking_Report!C:C, MATCH(TRUE, ISNUMBER(FIND(SUBSTITUTE(C90," ",""), Load_Booking_Report!AL:AL)), 0)), "Not Found")</f>
        <v/>
      </c>
      <c r="S90" s="21">
        <f t="array" ref="S90">IFERROR(INDEX(Load_Booking_Report!AG:AG, MATCH(TRUE, ISNUMBER(FIND(SUBSTITUTE(C90," ",""), Load_Booking_Report!AL:AL)), 0)), "Not Found")</f>
        <v/>
      </c>
      <c r="T90" s="21">
        <f>G90</f>
        <v/>
      </c>
      <c r="U90" s="33">
        <f t="array" ref="U90">IFERROR(
   IF(
      INDEX(Load_Booking_Report!AM:AM,
             MATCH(TRUE,
                     ISNUMBER(FIND(SUBSTITUTE(C90," ",""),
                                    Load_Booking_Report!AL:AL)),
                     0)
      )=0,
      "",
      INDEX(Load_Booking_Report!AM:AM,
             MATCH(TRUE,
                     ISNUMBER(FIND(SUBSTITUTE(C90," ",""),
                                    Load_Booking_Report!AL:AL)),
                     0)
      )
   ),
   ""
)</f>
        <v/>
      </c>
      <c r="V90" s="21">
        <f t="array" ref="V90">IFERROR(
   IF(
      INDEX(Load_Booking_Report!AR:AR,
             MATCH(TRUE,
                     ISNUMBER(FIND(SUBSTITUTE(C90," ",""),
                                    Load_Booking_Report!AL:AL)),
                     0)
      )=0,
      "",
      INDEX(Load_Booking_Report!AR:AR,
             MATCH(TRUE,
                     ISNUMBER(FIND(SUBSTITUTE(C90," ",""),
                                    Load_Booking_Report!AL:AL)),
                     0)
      )
   ),
   ""
)</f>
        <v/>
      </c>
      <c r="W90" s="21">
        <f t="array" ref="W90">IFERROR(INDEX(Load_Booking_Report!F:F, MATCH(TRUE, ISNUMBER(FIND(SUBSTITUTE(C90," ",""), Load_Booking_Report!AL:AL)), 0)), "Not Found")</f>
        <v/>
      </c>
      <c r="X90" s="21">
        <f t="array" ref="X90">IFERROR(INDEX(Load_Booking_Report!N:N, MATCH(TRUE, ISNUMBER(FIND(SUBSTITUTE(C90," ",""), Load_Booking_Report!AL:AL)), 0)), "Not Found")</f>
        <v/>
      </c>
      <c r="Y90" s="21">
        <f t="array" ref="Y90">IFERROR(INDEX(Load_Booking_Report!V:V, MATCH(TRUE, ISNUMBER(FIND(SUBSTITUTE(C90," ",""), Load_Booking_Report!AL:AL)), 0)), "Not Found")</f>
        <v/>
      </c>
      <c r="Z90" s="41">
        <f t="array" ref="Z90">IFERROR(INDEX(Load_Booking_Report!BC:BC, MATCH(TRUE, ISNUMBER(FIND(SUBSTITUTE(C90," ",""), Load_Booking_Report!AL:AL)), 0)), "Not Found")</f>
        <v/>
      </c>
    </row>
    <row r="91">
      <c r="A91" t="n">
        <v>31</v>
      </c>
      <c r="B91" t="n">
        <v>310304</v>
      </c>
      <c r="C91" t="inlineStr">
        <is>
          <t>ANON0000000</t>
        </is>
      </c>
      <c r="D91" t="n">
        <v>20</v>
      </c>
      <c r="E91" t="inlineStr">
        <is>
          <t>USNFK</t>
        </is>
      </c>
      <c r="F91" t="inlineStr">
        <is>
          <t>RULED</t>
        </is>
      </c>
      <c r="G91" t="n">
        <v>27850</v>
      </c>
      <c r="H91" t="inlineStr">
        <is>
          <t>ART</t>
        </is>
      </c>
      <c r="I91" t="inlineStr">
        <is>
          <t>22G1</t>
        </is>
      </c>
      <c r="L91" t="inlineStr">
        <is>
          <t>OOG</t>
        </is>
      </c>
      <c r="M91" t="inlineStr">
        <is>
          <t>Full</t>
        </is>
      </c>
      <c r="N91" t="inlineStr">
        <is>
          <t>RULED</t>
        </is>
      </c>
      <c r="P91" s="21">
        <f>C91</f>
        <v/>
      </c>
      <c r="Q91" s="21">
        <f t="array" ref="Q91">IFERROR(INDEX(Load_Booking_Report!AC:AC, MATCH(TRUE, ISNUMBER(FIND(SUBSTITUTE(C91," ",""), Load_Booking_Report!AL:AL)), 0)), "Not Found")</f>
        <v/>
      </c>
      <c r="R91" s="21">
        <f t="array" ref="R91">IFERROR(INDEX(Load_Booking_Report!C:C, MATCH(TRUE, ISNUMBER(FIND(SUBSTITUTE(C91," ",""), Load_Booking_Report!AL:AL)), 0)), "Not Found")</f>
        <v/>
      </c>
      <c r="S91" s="21">
        <f t="array" ref="S91">IFERROR(INDEX(Load_Booking_Report!AG:AG, MATCH(TRUE, ISNUMBER(FIND(SUBSTITUTE(C91," ",""), Load_Booking_Report!AL:AL)), 0)), "Not Found")</f>
        <v/>
      </c>
      <c r="T91" s="21">
        <f>G91</f>
        <v/>
      </c>
      <c r="U91" s="33">
        <f t="array" ref="U91">IFERROR(
   IF(
      INDEX(Load_Booking_Report!AM:AM,
             MATCH(TRUE,
                     ISNUMBER(FIND(SUBSTITUTE(C91," ",""),
                                    Load_Booking_Report!AL:AL)),
                     0)
      )=0,
      "",
      INDEX(Load_Booking_Report!AM:AM,
             MATCH(TRUE,
                     ISNUMBER(FIND(SUBSTITUTE(C91," ",""),
                                    Load_Booking_Report!AL:AL)),
                     0)
      )
   ),
   ""
)</f>
        <v/>
      </c>
      <c r="V91" s="21">
        <f t="array" ref="V91">IFERROR(
   IF(
      INDEX(Load_Booking_Report!AR:AR,
             MATCH(TRUE,
                     ISNUMBER(FIND(SUBSTITUTE(C91," ",""),
                                    Load_Booking_Report!AL:AL)),
                     0)
      )=0,
      "",
      INDEX(Load_Booking_Report!AR:AR,
             MATCH(TRUE,
                     ISNUMBER(FIND(SUBSTITUTE(C91," ",""),
                                    Load_Booking_Report!AL:AL)),
                     0)
      )
   ),
   ""
)</f>
        <v/>
      </c>
      <c r="W91" s="21">
        <f t="array" ref="W91">IFERROR(INDEX(Load_Booking_Report!F:F, MATCH(TRUE, ISNUMBER(FIND(SUBSTITUTE(C91," ",""), Load_Booking_Report!AL:AL)), 0)), "Not Found")</f>
        <v/>
      </c>
      <c r="X91" s="21">
        <f t="array" ref="X91">IFERROR(INDEX(Load_Booking_Report!N:N, MATCH(TRUE, ISNUMBER(FIND(SUBSTITUTE(C91," ",""), Load_Booking_Report!AL:AL)), 0)), "Not Found")</f>
        <v/>
      </c>
      <c r="Y91" s="21">
        <f t="array" ref="Y91">IFERROR(INDEX(Load_Booking_Report!V:V, MATCH(TRUE, ISNUMBER(FIND(SUBSTITUTE(C91," ",""), Load_Booking_Report!AL:AL)), 0)), "Not Found")</f>
        <v/>
      </c>
      <c r="Z91" s="41">
        <f t="array" ref="Z91">IFERROR(INDEX(Load_Booking_Report!BC:BC, MATCH(TRUE, ISNUMBER(FIND(SUBSTITUTE(C91," ",""), Load_Booking_Report!AL:AL)), 0)), "Not Found")</f>
        <v/>
      </c>
    </row>
    <row r="92">
      <c r="A92" t="n">
        <v>31</v>
      </c>
      <c r="B92" t="n">
        <v>310202</v>
      </c>
      <c r="C92" t="inlineStr">
        <is>
          <t>ANON0000000</t>
        </is>
      </c>
      <c r="D92" t="n">
        <v>20</v>
      </c>
      <c r="E92" t="inlineStr">
        <is>
          <t>USNFK</t>
        </is>
      </c>
      <c r="F92" t="inlineStr">
        <is>
          <t>RULED</t>
        </is>
      </c>
      <c r="G92" t="n">
        <v>29905</v>
      </c>
      <c r="H92" t="inlineStr">
        <is>
          <t>ART</t>
        </is>
      </c>
      <c r="I92" t="inlineStr">
        <is>
          <t>22G1</t>
        </is>
      </c>
      <c r="L92" t="inlineStr">
        <is>
          <t>OOG</t>
        </is>
      </c>
      <c r="M92" t="inlineStr">
        <is>
          <t>Full</t>
        </is>
      </c>
      <c r="N92" t="inlineStr">
        <is>
          <t>RULED</t>
        </is>
      </c>
      <c r="P92" s="21">
        <f>C92</f>
        <v/>
      </c>
      <c r="Q92" s="21">
        <f t="array" ref="Q92">IFERROR(INDEX(Load_Booking_Report!AC:AC, MATCH(TRUE, ISNUMBER(FIND(SUBSTITUTE(C92," ",""), Load_Booking_Report!AL:AL)), 0)), "Not Found")</f>
        <v/>
      </c>
      <c r="R92" s="21">
        <f t="array" ref="R92">IFERROR(INDEX(Load_Booking_Report!C:C, MATCH(TRUE, ISNUMBER(FIND(SUBSTITUTE(C92," ",""), Load_Booking_Report!AL:AL)), 0)), "Not Found")</f>
        <v/>
      </c>
      <c r="S92" s="21">
        <f t="array" ref="S92">IFERROR(INDEX(Load_Booking_Report!AG:AG, MATCH(TRUE, ISNUMBER(FIND(SUBSTITUTE(C92," ",""), Load_Booking_Report!AL:AL)), 0)), "Not Found")</f>
        <v/>
      </c>
      <c r="T92" s="21">
        <f>G92</f>
        <v/>
      </c>
      <c r="U92" s="33">
        <f t="array" ref="U92">IFERROR(
   IF(
      INDEX(Load_Booking_Report!AM:AM,
             MATCH(TRUE,
                     ISNUMBER(FIND(SUBSTITUTE(C92," ",""),
                                    Load_Booking_Report!AL:AL)),
                     0)
      )=0,
      "",
      INDEX(Load_Booking_Report!AM:AM,
             MATCH(TRUE,
                     ISNUMBER(FIND(SUBSTITUTE(C92," ",""),
                                    Load_Booking_Report!AL:AL)),
                     0)
      )
   ),
   ""
)</f>
        <v/>
      </c>
      <c r="V92" s="21">
        <f t="array" ref="V92">IFERROR(
   IF(
      INDEX(Load_Booking_Report!AR:AR,
             MATCH(TRUE,
                     ISNUMBER(FIND(SUBSTITUTE(C92," ",""),
                                    Load_Booking_Report!AL:AL)),
                     0)
      )=0,
      "",
      INDEX(Load_Booking_Report!AR:AR,
             MATCH(TRUE,
                     ISNUMBER(FIND(SUBSTITUTE(C92," ",""),
                                    Load_Booking_Report!AL:AL)),
                     0)
      )
   ),
   ""
)</f>
        <v/>
      </c>
      <c r="W92" s="21">
        <f t="array" ref="W92">IFERROR(INDEX(Load_Booking_Report!F:F, MATCH(TRUE, ISNUMBER(FIND(SUBSTITUTE(C92," ",""), Load_Booking_Report!AL:AL)), 0)), "Not Found")</f>
        <v/>
      </c>
      <c r="X92" s="21">
        <f t="array" ref="X92">IFERROR(INDEX(Load_Booking_Report!N:N, MATCH(TRUE, ISNUMBER(FIND(SUBSTITUTE(C92," ",""), Load_Booking_Report!AL:AL)), 0)), "Not Found")</f>
        <v/>
      </c>
      <c r="Y92" s="21">
        <f t="array" ref="Y92">IFERROR(INDEX(Load_Booking_Report!V:V, MATCH(TRUE, ISNUMBER(FIND(SUBSTITUTE(C92," ",""), Load_Booking_Report!AL:AL)), 0)), "Not Found")</f>
        <v/>
      </c>
      <c r="Z92" s="41">
        <f t="array" ref="Z92">IFERROR(INDEX(Load_Booking_Report!BC:BC, MATCH(TRUE, ISNUMBER(FIND(SUBSTITUTE(C92," ",""), Load_Booking_Report!AL:AL)), 0)), "Not Found")</f>
        <v/>
      </c>
    </row>
    <row r="93">
      <c r="A93" t="n">
        <v>13</v>
      </c>
      <c r="B93" t="n">
        <v>130306</v>
      </c>
      <c r="C93" t="inlineStr">
        <is>
          <t>ANON0000000</t>
        </is>
      </c>
      <c r="D93" t="n">
        <v>20</v>
      </c>
      <c r="E93" t="inlineStr">
        <is>
          <t>USNFK</t>
        </is>
      </c>
      <c r="F93" t="inlineStr">
        <is>
          <t>RULED</t>
        </is>
      </c>
      <c r="G93" t="n">
        <v>21900</v>
      </c>
      <c r="H93" t="inlineStr">
        <is>
          <t>ART</t>
        </is>
      </c>
      <c r="I93" t="inlineStr">
        <is>
          <t>22G1</t>
        </is>
      </c>
      <c r="L93" t="inlineStr">
        <is>
          <t>OOG</t>
        </is>
      </c>
      <c r="M93" t="inlineStr">
        <is>
          <t>Full</t>
        </is>
      </c>
      <c r="N93" t="inlineStr">
        <is>
          <t>RULED</t>
        </is>
      </c>
      <c r="P93" s="21">
        <f>C93</f>
        <v/>
      </c>
      <c r="Q93" s="21">
        <f t="array" ref="Q93">IFERROR(INDEX(Load_Booking_Report!AC:AC, MATCH(TRUE, ISNUMBER(FIND(SUBSTITUTE(C93," ",""), Load_Booking_Report!AL:AL)), 0)), "Not Found")</f>
        <v/>
      </c>
      <c r="R93" s="21">
        <f t="array" ref="R93">IFERROR(INDEX(Load_Booking_Report!C:C, MATCH(TRUE, ISNUMBER(FIND(SUBSTITUTE(C93," ",""), Load_Booking_Report!AL:AL)), 0)), "Not Found")</f>
        <v/>
      </c>
      <c r="S93" s="21">
        <f t="array" ref="S93">IFERROR(INDEX(Load_Booking_Report!AG:AG, MATCH(TRUE, ISNUMBER(FIND(SUBSTITUTE(C93," ",""), Load_Booking_Report!AL:AL)), 0)), "Not Found")</f>
        <v/>
      </c>
      <c r="T93" s="21">
        <f>G93</f>
        <v/>
      </c>
      <c r="U93" s="33">
        <f t="array" ref="U93">IFERROR(
   IF(
      INDEX(Load_Booking_Report!AM:AM,
             MATCH(TRUE,
                     ISNUMBER(FIND(SUBSTITUTE(C93," ",""),
                                    Load_Booking_Report!AL:AL)),
                     0)
      )=0,
      "",
      INDEX(Load_Booking_Report!AM:AM,
             MATCH(TRUE,
                     ISNUMBER(FIND(SUBSTITUTE(C93," ",""),
                                    Load_Booking_Report!AL:AL)),
                     0)
      )
   ),
   ""
)</f>
        <v/>
      </c>
      <c r="V93" s="21">
        <f t="array" ref="V93">IFERROR(
   IF(
      INDEX(Load_Booking_Report!AR:AR,
             MATCH(TRUE,
                     ISNUMBER(FIND(SUBSTITUTE(C93," ",""),
                                    Load_Booking_Report!AL:AL)),
                     0)
      )=0,
      "",
      INDEX(Load_Booking_Report!AR:AR,
             MATCH(TRUE,
                     ISNUMBER(FIND(SUBSTITUTE(C93," ",""),
                                    Load_Booking_Report!AL:AL)),
                     0)
      )
   ),
   ""
)</f>
        <v/>
      </c>
      <c r="W93" s="21">
        <f t="array" ref="W93">IFERROR(INDEX(Load_Booking_Report!F:F, MATCH(TRUE, ISNUMBER(FIND(SUBSTITUTE(C93," ",""), Load_Booking_Report!AL:AL)), 0)), "Not Found")</f>
        <v/>
      </c>
      <c r="X93" s="21">
        <f t="array" ref="X93">IFERROR(INDEX(Load_Booking_Report!N:N, MATCH(TRUE, ISNUMBER(FIND(SUBSTITUTE(C93," ",""), Load_Booking_Report!AL:AL)), 0)), "Not Found")</f>
        <v/>
      </c>
      <c r="Y93" s="21">
        <f t="array" ref="Y93">IFERROR(INDEX(Load_Booking_Report!V:V, MATCH(TRUE, ISNUMBER(FIND(SUBSTITUTE(C93," ",""), Load_Booking_Report!AL:AL)), 0)), "Not Found")</f>
        <v/>
      </c>
      <c r="Z93" s="41">
        <f t="array" ref="Z93">IFERROR(INDEX(Load_Booking_Report!BC:BC, MATCH(TRUE, ISNUMBER(FIND(SUBSTITUTE(C93," ",""), Load_Booking_Report!AL:AL)), 0)), "Not Found")</f>
        <v/>
      </c>
    </row>
    <row r="94">
      <c r="A94" t="n">
        <v>29</v>
      </c>
      <c r="B94" t="n">
        <v>290402</v>
      </c>
      <c r="C94" t="inlineStr">
        <is>
          <t>ANON0000000</t>
        </is>
      </c>
      <c r="D94" t="n">
        <v>20</v>
      </c>
      <c r="E94" t="inlineStr">
        <is>
          <t>USNFK</t>
        </is>
      </c>
      <c r="F94" t="inlineStr">
        <is>
          <t>RULED</t>
        </is>
      </c>
      <c r="G94" t="n">
        <v>28140</v>
      </c>
      <c r="H94" t="inlineStr">
        <is>
          <t>ART</t>
        </is>
      </c>
      <c r="I94" t="inlineStr">
        <is>
          <t>22G1</t>
        </is>
      </c>
      <c r="L94" t="inlineStr">
        <is>
          <t>OOG</t>
        </is>
      </c>
      <c r="M94" t="inlineStr">
        <is>
          <t>Full</t>
        </is>
      </c>
      <c r="N94" t="inlineStr">
        <is>
          <t>RULED</t>
        </is>
      </c>
      <c r="P94" s="21">
        <f>C94</f>
        <v/>
      </c>
      <c r="Q94" s="21">
        <f t="array" ref="Q94">IFERROR(INDEX(Load_Booking_Report!AC:AC, MATCH(TRUE, ISNUMBER(FIND(SUBSTITUTE(C94," ",""), Load_Booking_Report!AL:AL)), 0)), "Not Found")</f>
        <v/>
      </c>
      <c r="R94" s="21">
        <f t="array" ref="R94">IFERROR(INDEX(Load_Booking_Report!C:C, MATCH(TRUE, ISNUMBER(FIND(SUBSTITUTE(C94," ",""), Load_Booking_Report!AL:AL)), 0)), "Not Found")</f>
        <v/>
      </c>
      <c r="S94" s="21">
        <f t="array" ref="S94">IFERROR(INDEX(Load_Booking_Report!AG:AG, MATCH(TRUE, ISNUMBER(FIND(SUBSTITUTE(C94," ",""), Load_Booking_Report!AL:AL)), 0)), "Not Found")</f>
        <v/>
      </c>
      <c r="T94" s="21">
        <f>G94</f>
        <v/>
      </c>
      <c r="U94" s="33">
        <f t="array" ref="U94">IFERROR(
   IF(
      INDEX(Load_Booking_Report!AM:AM,
             MATCH(TRUE,
                     ISNUMBER(FIND(SUBSTITUTE(C94," ",""),
                                    Load_Booking_Report!AL:AL)),
                     0)
      )=0,
      "",
      INDEX(Load_Booking_Report!AM:AM,
             MATCH(TRUE,
                     ISNUMBER(FIND(SUBSTITUTE(C94," ",""),
                                    Load_Booking_Report!AL:AL)),
                     0)
      )
   ),
   ""
)</f>
        <v/>
      </c>
      <c r="V94" s="21">
        <f t="array" ref="V94">IFERROR(
   IF(
      INDEX(Load_Booking_Report!AR:AR,
             MATCH(TRUE,
                     ISNUMBER(FIND(SUBSTITUTE(C94," ",""),
                                    Load_Booking_Report!AL:AL)),
                     0)
      )=0,
      "",
      INDEX(Load_Booking_Report!AR:AR,
             MATCH(TRUE,
                     ISNUMBER(FIND(SUBSTITUTE(C94," ",""),
                                    Load_Booking_Report!AL:AL)),
                     0)
      )
   ),
   ""
)</f>
        <v/>
      </c>
      <c r="W94" s="21">
        <f t="array" ref="W94">IFERROR(INDEX(Load_Booking_Report!F:F, MATCH(TRUE, ISNUMBER(FIND(SUBSTITUTE(C94," ",""), Load_Booking_Report!AL:AL)), 0)), "Not Found")</f>
        <v/>
      </c>
      <c r="X94" s="21">
        <f t="array" ref="X94">IFERROR(INDEX(Load_Booking_Report!N:N, MATCH(TRUE, ISNUMBER(FIND(SUBSTITUTE(C94," ",""), Load_Booking_Report!AL:AL)), 0)), "Not Found")</f>
        <v/>
      </c>
      <c r="Y94" s="21">
        <f t="array" ref="Y94">IFERROR(INDEX(Load_Booking_Report!V:V, MATCH(TRUE, ISNUMBER(FIND(SUBSTITUTE(C94," ",""), Load_Booking_Report!AL:AL)), 0)), "Not Found")</f>
        <v/>
      </c>
      <c r="Z94" s="41">
        <f t="array" ref="Z94">IFERROR(INDEX(Load_Booking_Report!BC:BC, MATCH(TRUE, ISNUMBER(FIND(SUBSTITUTE(C94," ",""), Load_Booking_Report!AL:AL)), 0)), "Not Found")</f>
        <v/>
      </c>
    </row>
    <row r="95">
      <c r="A95" t="n">
        <v>25</v>
      </c>
      <c r="B95" t="n">
        <v>250802</v>
      </c>
      <c r="C95" t="inlineStr">
        <is>
          <t>ANON0000000</t>
        </is>
      </c>
      <c r="D95" t="n">
        <v>20</v>
      </c>
      <c r="E95" t="inlineStr">
        <is>
          <t>USNYC</t>
        </is>
      </c>
      <c r="F95" t="inlineStr">
        <is>
          <t>RULED</t>
        </is>
      </c>
      <c r="G95" t="n">
        <v>26980</v>
      </c>
      <c r="H95" t="inlineStr">
        <is>
          <t>ART</t>
        </is>
      </c>
      <c r="I95" t="inlineStr">
        <is>
          <t>22G1</t>
        </is>
      </c>
      <c r="L95" t="inlineStr">
        <is>
          <t>8'6</t>
        </is>
      </c>
      <c r="M95" t="inlineStr">
        <is>
          <t>Full</t>
        </is>
      </c>
      <c r="N95" t="inlineStr">
        <is>
          <t>RULED</t>
        </is>
      </c>
      <c r="P95" s="21">
        <f>C95</f>
        <v/>
      </c>
      <c r="Q95" s="21">
        <f t="array" ref="Q95">IFERROR(INDEX(Load_Booking_Report!AC:AC, MATCH(TRUE, ISNUMBER(FIND(SUBSTITUTE(C95," ",""), Load_Booking_Report!AL:AL)), 0)), "Not Found")</f>
        <v/>
      </c>
      <c r="R95" s="21">
        <f t="array" ref="R95">IFERROR(INDEX(Load_Booking_Report!C:C, MATCH(TRUE, ISNUMBER(FIND(SUBSTITUTE(C95," ",""), Load_Booking_Report!AL:AL)), 0)), "Not Found")</f>
        <v/>
      </c>
      <c r="S95" s="21">
        <f t="array" ref="S95">IFERROR(INDEX(Load_Booking_Report!AG:AG, MATCH(TRUE, ISNUMBER(FIND(SUBSTITUTE(C95," ",""), Load_Booking_Report!AL:AL)), 0)), "Not Found")</f>
        <v/>
      </c>
      <c r="T95" s="21">
        <f>G95</f>
        <v/>
      </c>
      <c r="U95" s="33">
        <f t="array" ref="U95">IFERROR(
   IF(
      INDEX(Load_Booking_Report!AM:AM,
             MATCH(TRUE,
                     ISNUMBER(FIND(SUBSTITUTE(C95," ",""),
                                    Load_Booking_Report!AL:AL)),
                     0)
      )=0,
      "",
      INDEX(Load_Booking_Report!AM:AM,
             MATCH(TRUE,
                     ISNUMBER(FIND(SUBSTITUTE(C95," ",""),
                                    Load_Booking_Report!AL:AL)),
                     0)
      )
   ),
   ""
)</f>
        <v/>
      </c>
      <c r="V95" s="21">
        <f t="array" ref="V95">IFERROR(
   IF(
      INDEX(Load_Booking_Report!AR:AR,
             MATCH(TRUE,
                     ISNUMBER(FIND(SUBSTITUTE(C95," ",""),
                                    Load_Booking_Report!AL:AL)),
                     0)
      )=0,
      "",
      INDEX(Load_Booking_Report!AR:AR,
             MATCH(TRUE,
                     ISNUMBER(FIND(SUBSTITUTE(C95," ",""),
                                    Load_Booking_Report!AL:AL)),
                     0)
      )
   ),
   ""
)</f>
        <v/>
      </c>
      <c r="W95" s="21">
        <f t="array" ref="W95">IFERROR(INDEX(Load_Booking_Report!F:F, MATCH(TRUE, ISNUMBER(FIND(SUBSTITUTE(C95," ",""), Load_Booking_Report!AL:AL)), 0)), "Not Found")</f>
        <v/>
      </c>
      <c r="X95" s="21">
        <f t="array" ref="X95">IFERROR(INDEX(Load_Booking_Report!N:N, MATCH(TRUE, ISNUMBER(FIND(SUBSTITUTE(C95," ",""), Load_Booking_Report!AL:AL)), 0)), "Not Found")</f>
        <v/>
      </c>
      <c r="Y95" s="21">
        <f t="array" ref="Y95">IFERROR(INDEX(Load_Booking_Report!V:V, MATCH(TRUE, ISNUMBER(FIND(SUBSTITUTE(C95," ",""), Load_Booking_Report!AL:AL)), 0)), "Not Found")</f>
        <v/>
      </c>
      <c r="Z95" s="41">
        <f t="array" ref="Z95">IFERROR(INDEX(Load_Booking_Report!BC:BC, MATCH(TRUE, ISNUMBER(FIND(SUBSTITUTE(C95," ",""), Load_Booking_Report!AL:AL)), 0)), "Not Found")</f>
        <v/>
      </c>
    </row>
    <row r="96">
      <c r="A96" t="n">
        <v>29</v>
      </c>
      <c r="B96" t="n">
        <v>290806</v>
      </c>
      <c r="C96" t="inlineStr">
        <is>
          <t>ANON0000000</t>
        </is>
      </c>
      <c r="D96" t="n">
        <v>20</v>
      </c>
      <c r="E96" t="inlineStr">
        <is>
          <t>USNFK</t>
        </is>
      </c>
      <c r="F96" t="inlineStr">
        <is>
          <t>RULED</t>
        </is>
      </c>
      <c r="G96" t="n">
        <v>21428</v>
      </c>
      <c r="H96" t="inlineStr">
        <is>
          <t>ART</t>
        </is>
      </c>
      <c r="I96" t="inlineStr">
        <is>
          <t>22G1</t>
        </is>
      </c>
      <c r="L96" t="inlineStr">
        <is>
          <t>OOG</t>
        </is>
      </c>
      <c r="M96" t="inlineStr">
        <is>
          <t>Full</t>
        </is>
      </c>
      <c r="N96" t="inlineStr">
        <is>
          <t>RULED</t>
        </is>
      </c>
      <c r="P96" s="21">
        <f>C96</f>
        <v/>
      </c>
      <c r="Q96" s="21">
        <f t="array" ref="Q96">IFERROR(INDEX(Load_Booking_Report!AC:AC, MATCH(TRUE, ISNUMBER(FIND(SUBSTITUTE(C96," ",""), Load_Booking_Report!AL:AL)), 0)), "Not Found")</f>
        <v/>
      </c>
      <c r="R96" s="21">
        <f t="array" ref="R96">IFERROR(INDEX(Load_Booking_Report!C:C, MATCH(TRUE, ISNUMBER(FIND(SUBSTITUTE(C96," ",""), Load_Booking_Report!AL:AL)), 0)), "Not Found")</f>
        <v/>
      </c>
      <c r="S96" s="21">
        <f t="array" ref="S96">IFERROR(INDEX(Load_Booking_Report!AG:AG, MATCH(TRUE, ISNUMBER(FIND(SUBSTITUTE(C96," ",""), Load_Booking_Report!AL:AL)), 0)), "Not Found")</f>
        <v/>
      </c>
      <c r="T96" s="21">
        <f>G96</f>
        <v/>
      </c>
      <c r="U96" s="33">
        <f t="array" ref="U96">IFERROR(
   IF(
      INDEX(Load_Booking_Report!AM:AM,
             MATCH(TRUE,
                     ISNUMBER(FIND(SUBSTITUTE(C96," ",""),
                                    Load_Booking_Report!AL:AL)),
                     0)
      )=0,
      "",
      INDEX(Load_Booking_Report!AM:AM,
             MATCH(TRUE,
                     ISNUMBER(FIND(SUBSTITUTE(C96," ",""),
                                    Load_Booking_Report!AL:AL)),
                     0)
      )
   ),
   ""
)</f>
        <v/>
      </c>
      <c r="V96" s="21">
        <f t="array" ref="V96">IFERROR(
   IF(
      INDEX(Load_Booking_Report!AR:AR,
             MATCH(TRUE,
                     ISNUMBER(FIND(SUBSTITUTE(C96," ",""),
                                    Load_Booking_Report!AL:AL)),
                     0)
      )=0,
      "",
      INDEX(Load_Booking_Report!AR:AR,
             MATCH(TRUE,
                     ISNUMBER(FIND(SUBSTITUTE(C96," ",""),
                                    Load_Booking_Report!AL:AL)),
                     0)
      )
   ),
   ""
)</f>
        <v/>
      </c>
      <c r="W96" s="21">
        <f t="array" ref="W96">IFERROR(INDEX(Load_Booking_Report!F:F, MATCH(TRUE, ISNUMBER(FIND(SUBSTITUTE(C96," ",""), Load_Booking_Report!AL:AL)), 0)), "Not Found")</f>
        <v/>
      </c>
      <c r="X96" s="21">
        <f t="array" ref="X96">IFERROR(INDEX(Load_Booking_Report!N:N, MATCH(TRUE, ISNUMBER(FIND(SUBSTITUTE(C96," ",""), Load_Booking_Report!AL:AL)), 0)), "Not Found")</f>
        <v/>
      </c>
      <c r="Y96" s="21">
        <f t="array" ref="Y96">IFERROR(INDEX(Load_Booking_Report!V:V, MATCH(TRUE, ISNUMBER(FIND(SUBSTITUTE(C96," ",""), Load_Booking_Report!AL:AL)), 0)), "Not Found")</f>
        <v/>
      </c>
      <c r="Z96" s="41">
        <f t="array" ref="Z96">IFERROR(INDEX(Load_Booking_Report!BC:BC, MATCH(TRUE, ISNUMBER(FIND(SUBSTITUTE(C96," ",""), Load_Booking_Report!AL:AL)), 0)), "Not Found")</f>
        <v/>
      </c>
    </row>
    <row r="97">
      <c r="A97" t="n">
        <v>35</v>
      </c>
      <c r="B97" t="n">
        <v>350204</v>
      </c>
      <c r="C97" t="inlineStr">
        <is>
          <t>ANON0000000</t>
        </is>
      </c>
      <c r="D97" t="n">
        <v>20</v>
      </c>
      <c r="E97" t="inlineStr">
        <is>
          <t>USNYC</t>
        </is>
      </c>
      <c r="F97" t="inlineStr">
        <is>
          <t>RULED</t>
        </is>
      </c>
      <c r="G97" t="n">
        <v>7341</v>
      </c>
      <c r="H97" t="inlineStr">
        <is>
          <t>ART</t>
        </is>
      </c>
      <c r="I97" t="inlineStr">
        <is>
          <t>22G1</t>
        </is>
      </c>
      <c r="L97" t="inlineStr">
        <is>
          <t>8'6</t>
        </is>
      </c>
      <c r="M97" t="inlineStr">
        <is>
          <t>Full</t>
        </is>
      </c>
      <c r="N97" t="inlineStr">
        <is>
          <t>RULED</t>
        </is>
      </c>
      <c r="P97" s="21">
        <f>C97</f>
        <v/>
      </c>
      <c r="Q97" s="21">
        <f t="array" ref="Q97">IFERROR(INDEX(Load_Booking_Report!AC:AC, MATCH(TRUE, ISNUMBER(FIND(SUBSTITUTE(C97," ",""), Load_Booking_Report!AL:AL)), 0)), "Not Found")</f>
        <v/>
      </c>
      <c r="R97" s="21">
        <f t="array" ref="R97">IFERROR(INDEX(Load_Booking_Report!C:C, MATCH(TRUE, ISNUMBER(FIND(SUBSTITUTE(C97," ",""), Load_Booking_Report!AL:AL)), 0)), "Not Found")</f>
        <v/>
      </c>
      <c r="S97" s="21">
        <f t="array" ref="S97">IFERROR(INDEX(Load_Booking_Report!AG:AG, MATCH(TRUE, ISNUMBER(FIND(SUBSTITUTE(C97," ",""), Load_Booking_Report!AL:AL)), 0)), "Not Found")</f>
        <v/>
      </c>
      <c r="T97" s="21">
        <f>G97</f>
        <v/>
      </c>
      <c r="U97" s="33">
        <f t="array" ref="U97">IFERROR(
   IF(
      INDEX(Load_Booking_Report!AM:AM,
             MATCH(TRUE,
                     ISNUMBER(FIND(SUBSTITUTE(C97," ",""),
                                    Load_Booking_Report!AL:AL)),
                     0)
      )=0,
      "",
      INDEX(Load_Booking_Report!AM:AM,
             MATCH(TRUE,
                     ISNUMBER(FIND(SUBSTITUTE(C97," ",""),
                                    Load_Booking_Report!AL:AL)),
                     0)
      )
   ),
   ""
)</f>
        <v/>
      </c>
      <c r="V97" s="21">
        <f t="array" ref="V97">IFERROR(
   IF(
      INDEX(Load_Booking_Report!AR:AR,
             MATCH(TRUE,
                     ISNUMBER(FIND(SUBSTITUTE(C97," ",""),
                                    Load_Booking_Report!AL:AL)),
                     0)
      )=0,
      "",
      INDEX(Load_Booking_Report!AR:AR,
             MATCH(TRUE,
                     ISNUMBER(FIND(SUBSTITUTE(C97," ",""),
                                    Load_Booking_Report!AL:AL)),
                     0)
      )
   ),
   ""
)</f>
        <v/>
      </c>
      <c r="W97" s="21">
        <f t="array" ref="W97">IFERROR(INDEX(Load_Booking_Report!F:F, MATCH(TRUE, ISNUMBER(FIND(SUBSTITUTE(C97," ",""), Load_Booking_Report!AL:AL)), 0)), "Not Found")</f>
        <v/>
      </c>
      <c r="X97" s="21">
        <f t="array" ref="X97">IFERROR(INDEX(Load_Booking_Report!N:N, MATCH(TRUE, ISNUMBER(FIND(SUBSTITUTE(C97," ",""), Load_Booking_Report!AL:AL)), 0)), "Not Found")</f>
        <v/>
      </c>
      <c r="Y97" s="21">
        <f t="array" ref="Y97">IFERROR(INDEX(Load_Booking_Report!V:V, MATCH(TRUE, ISNUMBER(FIND(SUBSTITUTE(C97," ",""), Load_Booking_Report!AL:AL)), 0)), "Not Found")</f>
        <v/>
      </c>
      <c r="Z97" s="41">
        <f t="array" ref="Z97">IFERROR(INDEX(Load_Booking_Report!BC:BC, MATCH(TRUE, ISNUMBER(FIND(SUBSTITUTE(C97," ",""), Load_Booking_Report!AL:AL)), 0)), "Not Found")</f>
        <v/>
      </c>
    </row>
    <row r="98">
      <c r="A98" t="n">
        <v>27</v>
      </c>
      <c r="B98" t="n">
        <v>270106</v>
      </c>
      <c r="C98" t="inlineStr">
        <is>
          <t>ANON0000000</t>
        </is>
      </c>
      <c r="D98" t="n">
        <v>20</v>
      </c>
      <c r="E98" t="inlineStr">
        <is>
          <t>USNYC</t>
        </is>
      </c>
      <c r="F98" t="inlineStr">
        <is>
          <t>RULED</t>
        </is>
      </c>
      <c r="G98" t="n">
        <v>26890</v>
      </c>
      <c r="H98" t="inlineStr">
        <is>
          <t>ART</t>
        </is>
      </c>
      <c r="I98" t="inlineStr">
        <is>
          <t>22G1</t>
        </is>
      </c>
      <c r="L98" t="inlineStr">
        <is>
          <t>8'6</t>
        </is>
      </c>
      <c r="M98" t="inlineStr">
        <is>
          <t>Full</t>
        </is>
      </c>
      <c r="N98" t="inlineStr">
        <is>
          <t>RULED</t>
        </is>
      </c>
      <c r="P98" s="21">
        <f>C98</f>
        <v/>
      </c>
      <c r="Q98" s="21">
        <f t="array" ref="Q98">IFERROR(INDEX(Load_Booking_Report!AC:AC, MATCH(TRUE, ISNUMBER(FIND(SUBSTITUTE(C98," ",""), Load_Booking_Report!AL:AL)), 0)), "Not Found")</f>
        <v/>
      </c>
      <c r="R98" s="21">
        <f t="array" ref="R98">IFERROR(INDEX(Load_Booking_Report!C:C, MATCH(TRUE, ISNUMBER(FIND(SUBSTITUTE(C98," ",""), Load_Booking_Report!AL:AL)), 0)), "Not Found")</f>
        <v/>
      </c>
      <c r="S98" s="21">
        <f t="array" ref="S98">IFERROR(INDEX(Load_Booking_Report!AG:AG, MATCH(TRUE, ISNUMBER(FIND(SUBSTITUTE(C98," ",""), Load_Booking_Report!AL:AL)), 0)), "Not Found")</f>
        <v/>
      </c>
      <c r="T98" s="21">
        <f>G98</f>
        <v/>
      </c>
      <c r="U98" s="33">
        <f t="array" ref="U98">IFERROR(
   IF(
      INDEX(Load_Booking_Report!AM:AM,
             MATCH(TRUE,
                     ISNUMBER(FIND(SUBSTITUTE(C98," ",""),
                                    Load_Booking_Report!AL:AL)),
                     0)
      )=0,
      "",
      INDEX(Load_Booking_Report!AM:AM,
             MATCH(TRUE,
                     ISNUMBER(FIND(SUBSTITUTE(C98," ",""),
                                    Load_Booking_Report!AL:AL)),
                     0)
      )
   ),
   ""
)</f>
        <v/>
      </c>
      <c r="V98" s="21">
        <f t="array" ref="V98">IFERROR(
   IF(
      INDEX(Load_Booking_Report!AR:AR,
             MATCH(TRUE,
                     ISNUMBER(FIND(SUBSTITUTE(C98," ",""),
                                    Load_Booking_Report!AL:AL)),
                     0)
      )=0,
      "",
      INDEX(Load_Booking_Report!AR:AR,
             MATCH(TRUE,
                     ISNUMBER(FIND(SUBSTITUTE(C98," ",""),
                                    Load_Booking_Report!AL:AL)),
                     0)
      )
   ),
   ""
)</f>
        <v/>
      </c>
      <c r="W98" s="21">
        <f t="array" ref="W98">IFERROR(INDEX(Load_Booking_Report!F:F, MATCH(TRUE, ISNUMBER(FIND(SUBSTITUTE(C98," ",""), Load_Booking_Report!AL:AL)), 0)), "Not Found")</f>
        <v/>
      </c>
      <c r="X98" s="21">
        <f t="array" ref="X98">IFERROR(INDEX(Load_Booking_Report!N:N, MATCH(TRUE, ISNUMBER(FIND(SUBSTITUTE(C98," ",""), Load_Booking_Report!AL:AL)), 0)), "Not Found")</f>
        <v/>
      </c>
      <c r="Y98" s="21">
        <f t="array" ref="Y98">IFERROR(INDEX(Load_Booking_Report!V:V, MATCH(TRUE, ISNUMBER(FIND(SUBSTITUTE(C98," ",""), Load_Booking_Report!AL:AL)), 0)), "Not Found")</f>
        <v/>
      </c>
      <c r="Z98" s="41">
        <f t="array" ref="Z98">IFERROR(INDEX(Load_Booking_Report!BC:BC, MATCH(TRUE, ISNUMBER(FIND(SUBSTITUTE(C98," ",""), Load_Booking_Report!AL:AL)), 0)), "Not Found")</f>
        <v/>
      </c>
    </row>
    <row r="99">
      <c r="A99" t="n">
        <v>33</v>
      </c>
      <c r="B99" t="n">
        <v>330706</v>
      </c>
      <c r="C99" t="inlineStr">
        <is>
          <t>ANON0000000</t>
        </is>
      </c>
      <c r="D99" t="n">
        <v>20</v>
      </c>
      <c r="E99" t="inlineStr">
        <is>
          <t>USNYC</t>
        </is>
      </c>
      <c r="F99" t="inlineStr">
        <is>
          <t>RULED</t>
        </is>
      </c>
      <c r="G99" t="n">
        <v>27100</v>
      </c>
      <c r="H99" t="inlineStr">
        <is>
          <t>ART</t>
        </is>
      </c>
      <c r="I99" t="inlineStr">
        <is>
          <t>22G1</t>
        </is>
      </c>
      <c r="L99" t="inlineStr">
        <is>
          <t>8'6</t>
        </is>
      </c>
      <c r="M99" t="inlineStr">
        <is>
          <t>Full</t>
        </is>
      </c>
      <c r="N99" t="inlineStr">
        <is>
          <t>RULED</t>
        </is>
      </c>
      <c r="P99" s="21">
        <f>C99</f>
        <v/>
      </c>
      <c r="Q99" s="21">
        <f t="array" ref="Q99">IFERROR(INDEX(Load_Booking_Report!AC:AC, MATCH(TRUE, ISNUMBER(FIND(SUBSTITUTE(C99," ",""), Load_Booking_Report!AL:AL)), 0)), "Not Found")</f>
        <v/>
      </c>
      <c r="R99" s="21">
        <f t="array" ref="R99">IFERROR(INDEX(Load_Booking_Report!C:C, MATCH(TRUE, ISNUMBER(FIND(SUBSTITUTE(C99," ",""), Load_Booking_Report!AL:AL)), 0)), "Not Found")</f>
        <v/>
      </c>
      <c r="S99" s="21">
        <f t="array" ref="S99">IFERROR(INDEX(Load_Booking_Report!AG:AG, MATCH(TRUE, ISNUMBER(FIND(SUBSTITUTE(C99," ",""), Load_Booking_Report!AL:AL)), 0)), "Not Found")</f>
        <v/>
      </c>
      <c r="T99" s="21">
        <f>G99</f>
        <v/>
      </c>
      <c r="U99" s="33">
        <f t="array" ref="U99">IFERROR(
   IF(
      INDEX(Load_Booking_Report!AM:AM,
             MATCH(TRUE,
                     ISNUMBER(FIND(SUBSTITUTE(C99," ",""),
                                    Load_Booking_Report!AL:AL)),
                     0)
      )=0,
      "",
      INDEX(Load_Booking_Report!AM:AM,
             MATCH(TRUE,
                     ISNUMBER(FIND(SUBSTITUTE(C99," ",""),
                                    Load_Booking_Report!AL:AL)),
                     0)
      )
   ),
   ""
)</f>
        <v/>
      </c>
      <c r="V99" s="21">
        <f t="array" ref="V99">IFERROR(
   IF(
      INDEX(Load_Booking_Report!AR:AR,
             MATCH(TRUE,
                     ISNUMBER(FIND(SUBSTITUTE(C99," ",""),
                                    Load_Booking_Report!AL:AL)),
                     0)
      )=0,
      "",
      INDEX(Load_Booking_Report!AR:AR,
             MATCH(TRUE,
                     ISNUMBER(FIND(SUBSTITUTE(C99," ",""),
                                    Load_Booking_Report!AL:AL)),
                     0)
      )
   ),
   ""
)</f>
        <v/>
      </c>
      <c r="W99" s="21">
        <f t="array" ref="W99">IFERROR(INDEX(Load_Booking_Report!F:F, MATCH(TRUE, ISNUMBER(FIND(SUBSTITUTE(C99," ",""), Load_Booking_Report!AL:AL)), 0)), "Not Found")</f>
        <v/>
      </c>
      <c r="X99" s="21">
        <f t="array" ref="X99">IFERROR(INDEX(Load_Booking_Report!N:N, MATCH(TRUE, ISNUMBER(FIND(SUBSTITUTE(C99," ",""), Load_Booking_Report!AL:AL)), 0)), "Not Found")</f>
        <v/>
      </c>
      <c r="Y99" s="21">
        <f t="array" ref="Y99">IFERROR(INDEX(Load_Booking_Report!V:V, MATCH(TRUE, ISNUMBER(FIND(SUBSTITUTE(C99," ",""), Load_Booking_Report!AL:AL)), 0)), "Not Found")</f>
        <v/>
      </c>
      <c r="Z99" s="41">
        <f t="array" ref="Z99">IFERROR(INDEX(Load_Booking_Report!BC:BC, MATCH(TRUE, ISNUMBER(FIND(SUBSTITUTE(C99," ",""), Load_Booking_Report!AL:AL)), 0)), "Not Found")</f>
        <v/>
      </c>
    </row>
    <row r="100">
      <c r="A100" t="n">
        <v>9</v>
      </c>
      <c r="B100" t="n">
        <v>90202</v>
      </c>
      <c r="C100" t="inlineStr">
        <is>
          <t>ANON0000000</t>
        </is>
      </c>
      <c r="D100" t="n">
        <v>20</v>
      </c>
      <c r="E100" t="inlineStr">
        <is>
          <t>USNFK</t>
        </is>
      </c>
      <c r="F100" t="inlineStr">
        <is>
          <t>RULED</t>
        </is>
      </c>
      <c r="G100" t="n">
        <v>21900</v>
      </c>
      <c r="H100" t="inlineStr">
        <is>
          <t>ART</t>
        </is>
      </c>
      <c r="I100" t="inlineStr">
        <is>
          <t>22G1</t>
        </is>
      </c>
      <c r="L100" t="inlineStr">
        <is>
          <t>OOG</t>
        </is>
      </c>
      <c r="M100" t="inlineStr">
        <is>
          <t>Full</t>
        </is>
      </c>
      <c r="N100" t="inlineStr">
        <is>
          <t>RULED</t>
        </is>
      </c>
      <c r="P100" s="21">
        <f>C100</f>
        <v/>
      </c>
      <c r="Q100" s="21">
        <f t="array" ref="Q100">IFERROR(INDEX(Load_Booking_Report!AC:AC, MATCH(TRUE, ISNUMBER(FIND(SUBSTITUTE(C100," ",""), Load_Booking_Report!AL:AL)), 0)), "Not Found")</f>
        <v/>
      </c>
      <c r="R100" s="21">
        <f t="array" ref="R100">IFERROR(INDEX(Load_Booking_Report!C:C, MATCH(TRUE, ISNUMBER(FIND(SUBSTITUTE(C100," ",""), Load_Booking_Report!AL:AL)), 0)), "Not Found")</f>
        <v/>
      </c>
      <c r="S100" s="21">
        <f t="array" ref="S100">IFERROR(INDEX(Load_Booking_Report!AG:AG, MATCH(TRUE, ISNUMBER(FIND(SUBSTITUTE(C100," ",""), Load_Booking_Report!AL:AL)), 0)), "Not Found")</f>
        <v/>
      </c>
      <c r="T100" s="21">
        <f>G100</f>
        <v/>
      </c>
      <c r="U100" s="33">
        <f t="array" ref="U100">IFERROR(
   IF(
      INDEX(Load_Booking_Report!AM:AM,
             MATCH(TRUE,
                     ISNUMBER(FIND(SUBSTITUTE(C100," ",""),
                                    Load_Booking_Report!AL:AL)),
                     0)
      )=0,
      "",
      INDEX(Load_Booking_Report!AM:AM,
             MATCH(TRUE,
                     ISNUMBER(FIND(SUBSTITUTE(C100," ",""),
                                    Load_Booking_Report!AL:AL)),
                     0)
      )
   ),
   ""
)</f>
        <v/>
      </c>
      <c r="V100" s="21">
        <f t="array" ref="V100">IFERROR(
   IF(
      INDEX(Load_Booking_Report!AR:AR,
             MATCH(TRUE,
                     ISNUMBER(FIND(SUBSTITUTE(C100," ",""),
                                    Load_Booking_Report!AL:AL)),
                     0)
      )=0,
      "",
      INDEX(Load_Booking_Report!AR:AR,
             MATCH(TRUE,
                     ISNUMBER(FIND(SUBSTITUTE(C100," ",""),
                                    Load_Booking_Report!AL:AL)),
                     0)
      )
   ),
   ""
)</f>
        <v/>
      </c>
      <c r="W100" s="21">
        <f t="array" ref="W100">IFERROR(INDEX(Load_Booking_Report!F:F, MATCH(TRUE, ISNUMBER(FIND(SUBSTITUTE(C100," ",""), Load_Booking_Report!AL:AL)), 0)), "Not Found")</f>
        <v/>
      </c>
      <c r="X100" s="21">
        <f t="array" ref="X100">IFERROR(INDEX(Load_Booking_Report!N:N, MATCH(TRUE, ISNUMBER(FIND(SUBSTITUTE(C100," ",""), Load_Booking_Report!AL:AL)), 0)), "Not Found")</f>
        <v/>
      </c>
      <c r="Y100" s="21">
        <f t="array" ref="Y100">IFERROR(INDEX(Load_Booking_Report!V:V, MATCH(TRUE, ISNUMBER(FIND(SUBSTITUTE(C100," ",""), Load_Booking_Report!AL:AL)), 0)), "Not Found")</f>
        <v/>
      </c>
      <c r="Z100" s="41">
        <f t="array" ref="Z100">IFERROR(INDEX(Load_Booking_Report!BC:BC, MATCH(TRUE, ISNUMBER(FIND(SUBSTITUTE(C100," ",""), Load_Booking_Report!AL:AL)), 0)), "Not Found")</f>
        <v/>
      </c>
    </row>
    <row r="101">
      <c r="A101" t="n">
        <v>31</v>
      </c>
      <c r="B101" t="n">
        <v>310706</v>
      </c>
      <c r="C101" t="inlineStr">
        <is>
          <t>ANON0000000</t>
        </is>
      </c>
      <c r="D101" t="n">
        <v>20</v>
      </c>
      <c r="E101" t="inlineStr">
        <is>
          <t>USNFK</t>
        </is>
      </c>
      <c r="F101" t="inlineStr">
        <is>
          <t>RULED</t>
        </is>
      </c>
      <c r="G101" t="n">
        <v>12730</v>
      </c>
      <c r="H101" t="inlineStr">
        <is>
          <t>ART</t>
        </is>
      </c>
      <c r="I101" t="inlineStr">
        <is>
          <t>22G1</t>
        </is>
      </c>
      <c r="L101" t="inlineStr">
        <is>
          <t>OOG</t>
        </is>
      </c>
      <c r="M101" t="inlineStr">
        <is>
          <t>Full</t>
        </is>
      </c>
      <c r="N101" t="inlineStr">
        <is>
          <t>RULED</t>
        </is>
      </c>
      <c r="P101" s="21">
        <f>C101</f>
        <v/>
      </c>
      <c r="Q101" s="21">
        <f t="array" ref="Q101">IFERROR(INDEX(Load_Booking_Report!AC:AC, MATCH(TRUE, ISNUMBER(FIND(SUBSTITUTE(C101," ",""), Load_Booking_Report!AL:AL)), 0)), "Not Found")</f>
        <v/>
      </c>
      <c r="R101" s="21">
        <f t="array" ref="R101">IFERROR(INDEX(Load_Booking_Report!C:C, MATCH(TRUE, ISNUMBER(FIND(SUBSTITUTE(C101," ",""), Load_Booking_Report!AL:AL)), 0)), "Not Found")</f>
        <v/>
      </c>
      <c r="S101" s="21">
        <f t="array" ref="S101">IFERROR(INDEX(Load_Booking_Report!AG:AG, MATCH(TRUE, ISNUMBER(FIND(SUBSTITUTE(C101," ",""), Load_Booking_Report!AL:AL)), 0)), "Not Found")</f>
        <v/>
      </c>
      <c r="T101" s="21">
        <f>G101</f>
        <v/>
      </c>
      <c r="U101" s="33">
        <f t="array" ref="U101">IFERROR(
   IF(
      INDEX(Load_Booking_Report!AM:AM,
             MATCH(TRUE,
                     ISNUMBER(FIND(SUBSTITUTE(C101," ",""),
                                    Load_Booking_Report!AL:AL)),
                     0)
      )=0,
      "",
      INDEX(Load_Booking_Report!AM:AM,
             MATCH(TRUE,
                     ISNUMBER(FIND(SUBSTITUTE(C101," ",""),
                                    Load_Booking_Report!AL:AL)),
                     0)
      )
   ),
   ""
)</f>
        <v/>
      </c>
      <c r="V101" s="21">
        <f t="array" ref="V101">IFERROR(
   IF(
      INDEX(Load_Booking_Report!AR:AR,
             MATCH(TRUE,
                     ISNUMBER(FIND(SUBSTITUTE(C101," ",""),
                                    Load_Booking_Report!AL:AL)),
                     0)
      )=0,
      "",
      INDEX(Load_Booking_Report!AR:AR,
             MATCH(TRUE,
                     ISNUMBER(FIND(SUBSTITUTE(C101," ",""),
                                    Load_Booking_Report!AL:AL)),
                     0)
      )
   ),
   ""
)</f>
        <v/>
      </c>
      <c r="W101" s="21">
        <f t="array" ref="W101">IFERROR(INDEX(Load_Booking_Report!F:F, MATCH(TRUE, ISNUMBER(FIND(SUBSTITUTE(C101," ",""), Load_Booking_Report!AL:AL)), 0)), "Not Found")</f>
        <v/>
      </c>
      <c r="X101" s="21">
        <f t="array" ref="X101">IFERROR(INDEX(Load_Booking_Report!N:N, MATCH(TRUE, ISNUMBER(FIND(SUBSTITUTE(C101," ",""), Load_Booking_Report!AL:AL)), 0)), "Not Found")</f>
        <v/>
      </c>
      <c r="Y101" s="21">
        <f t="array" ref="Y101">IFERROR(INDEX(Load_Booking_Report!V:V, MATCH(TRUE, ISNUMBER(FIND(SUBSTITUTE(C101," ",""), Load_Booking_Report!AL:AL)), 0)), "Not Found")</f>
        <v/>
      </c>
      <c r="Z101" s="41">
        <f t="array" ref="Z101">IFERROR(INDEX(Load_Booking_Report!BC:BC, MATCH(TRUE, ISNUMBER(FIND(SUBSTITUTE(C101," ",""), Load_Booking_Report!AL:AL)), 0)), "Not Found")</f>
        <v/>
      </c>
    </row>
    <row r="102">
      <c r="A102" t="n">
        <v>11</v>
      </c>
      <c r="B102" t="n">
        <v>110708</v>
      </c>
      <c r="C102" t="inlineStr">
        <is>
          <t>ANON0000000</t>
        </is>
      </c>
      <c r="D102" t="n">
        <v>20</v>
      </c>
      <c r="E102" t="inlineStr">
        <is>
          <t>USNFK</t>
        </is>
      </c>
      <c r="F102" t="inlineStr">
        <is>
          <t>RULED</t>
        </is>
      </c>
      <c r="G102" t="n">
        <v>10243</v>
      </c>
      <c r="H102" t="inlineStr">
        <is>
          <t>ART</t>
        </is>
      </c>
      <c r="I102" t="inlineStr">
        <is>
          <t>22G1</t>
        </is>
      </c>
      <c r="L102" t="inlineStr">
        <is>
          <t>OOG</t>
        </is>
      </c>
      <c r="M102" t="inlineStr">
        <is>
          <t>Full</t>
        </is>
      </c>
      <c r="N102" t="inlineStr">
        <is>
          <t>RULED</t>
        </is>
      </c>
      <c r="P102" s="21">
        <f>C102</f>
        <v/>
      </c>
      <c r="Q102" s="21">
        <f t="array" ref="Q102">IFERROR(INDEX(Load_Booking_Report!AC:AC, MATCH(TRUE, ISNUMBER(FIND(SUBSTITUTE(C102," ",""), Load_Booking_Report!AL:AL)), 0)), "Not Found")</f>
        <v/>
      </c>
      <c r="R102" s="21">
        <f t="array" ref="R102">IFERROR(INDEX(Load_Booking_Report!C:C, MATCH(TRUE, ISNUMBER(FIND(SUBSTITUTE(C102," ",""), Load_Booking_Report!AL:AL)), 0)), "Not Found")</f>
        <v/>
      </c>
      <c r="S102" s="21">
        <f t="array" ref="S102">IFERROR(INDEX(Load_Booking_Report!AG:AG, MATCH(TRUE, ISNUMBER(FIND(SUBSTITUTE(C102," ",""), Load_Booking_Report!AL:AL)), 0)), "Not Found")</f>
        <v/>
      </c>
      <c r="T102" s="21">
        <f>G102</f>
        <v/>
      </c>
      <c r="U102" s="33">
        <f t="array" ref="U102">IFERROR(
   IF(
      INDEX(Load_Booking_Report!AM:AM,
             MATCH(TRUE,
                     ISNUMBER(FIND(SUBSTITUTE(C102," ",""),
                                    Load_Booking_Report!AL:AL)),
                     0)
      )=0,
      "",
      INDEX(Load_Booking_Report!AM:AM,
             MATCH(TRUE,
                     ISNUMBER(FIND(SUBSTITUTE(C102," ",""),
                                    Load_Booking_Report!AL:AL)),
                     0)
      )
   ),
   ""
)</f>
        <v/>
      </c>
      <c r="V102" s="21">
        <f t="array" ref="V102">IFERROR(
   IF(
      INDEX(Load_Booking_Report!AR:AR,
             MATCH(TRUE,
                     ISNUMBER(FIND(SUBSTITUTE(C102," ",""),
                                    Load_Booking_Report!AL:AL)),
                     0)
      )=0,
      "",
      INDEX(Load_Booking_Report!AR:AR,
             MATCH(TRUE,
                     ISNUMBER(FIND(SUBSTITUTE(C102," ",""),
                                    Load_Booking_Report!AL:AL)),
                     0)
      )
   ),
   ""
)</f>
        <v/>
      </c>
      <c r="W102" s="21">
        <f t="array" ref="W102">IFERROR(INDEX(Load_Booking_Report!F:F, MATCH(TRUE, ISNUMBER(FIND(SUBSTITUTE(C102," ",""), Load_Booking_Report!AL:AL)), 0)), "Not Found")</f>
        <v/>
      </c>
      <c r="X102" s="21">
        <f t="array" ref="X102">IFERROR(INDEX(Load_Booking_Report!N:N, MATCH(TRUE, ISNUMBER(FIND(SUBSTITUTE(C102," ",""), Load_Booking_Report!AL:AL)), 0)), "Not Found")</f>
        <v/>
      </c>
      <c r="Y102" s="21">
        <f t="array" ref="Y102">IFERROR(INDEX(Load_Booking_Report!V:V, MATCH(TRUE, ISNUMBER(FIND(SUBSTITUTE(C102," ",""), Load_Booking_Report!AL:AL)), 0)), "Not Found")</f>
        <v/>
      </c>
      <c r="Z102" s="41">
        <f t="array" ref="Z102">IFERROR(INDEX(Load_Booking_Report!BC:BC, MATCH(TRUE, ISNUMBER(FIND(SUBSTITUTE(C102," ",""), Load_Booking_Report!AL:AL)), 0)), "Not Found")</f>
        <v/>
      </c>
    </row>
    <row r="103">
      <c r="A103" t="n">
        <v>31</v>
      </c>
      <c r="B103" t="n">
        <v>310206</v>
      </c>
      <c r="C103" t="inlineStr">
        <is>
          <t>ANON0000000</t>
        </is>
      </c>
      <c r="D103" t="n">
        <v>20</v>
      </c>
      <c r="E103" t="inlineStr">
        <is>
          <t>USNFK</t>
        </is>
      </c>
      <c r="F103" t="inlineStr">
        <is>
          <t>RULED</t>
        </is>
      </c>
      <c r="G103" t="n">
        <v>21356</v>
      </c>
      <c r="H103" t="inlineStr">
        <is>
          <t>ART</t>
        </is>
      </c>
      <c r="I103" t="inlineStr">
        <is>
          <t>22G1</t>
        </is>
      </c>
      <c r="L103" t="inlineStr">
        <is>
          <t>OOG</t>
        </is>
      </c>
      <c r="M103" t="inlineStr">
        <is>
          <t>Full</t>
        </is>
      </c>
      <c r="N103" t="inlineStr">
        <is>
          <t>RULED</t>
        </is>
      </c>
      <c r="P103" s="21">
        <f>C103</f>
        <v/>
      </c>
      <c r="Q103" s="21">
        <f t="array" ref="Q103">IFERROR(INDEX(Load_Booking_Report!AC:AC, MATCH(TRUE, ISNUMBER(FIND(SUBSTITUTE(C103," ",""), Load_Booking_Report!AL:AL)), 0)), "Not Found")</f>
        <v/>
      </c>
      <c r="R103" s="21">
        <f t="array" ref="R103">IFERROR(INDEX(Load_Booking_Report!C:C, MATCH(TRUE, ISNUMBER(FIND(SUBSTITUTE(C103," ",""), Load_Booking_Report!AL:AL)), 0)), "Not Found")</f>
        <v/>
      </c>
      <c r="S103" s="21">
        <f t="array" ref="S103">IFERROR(INDEX(Load_Booking_Report!AG:AG, MATCH(TRUE, ISNUMBER(FIND(SUBSTITUTE(C103," ",""), Load_Booking_Report!AL:AL)), 0)), "Not Found")</f>
        <v/>
      </c>
      <c r="T103" s="21">
        <f>G103</f>
        <v/>
      </c>
      <c r="U103" s="33">
        <f t="array" ref="U103">IFERROR(
   IF(
      INDEX(Load_Booking_Report!AM:AM,
             MATCH(TRUE,
                     ISNUMBER(FIND(SUBSTITUTE(C103," ",""),
                                    Load_Booking_Report!AL:AL)),
                     0)
      )=0,
      "",
      INDEX(Load_Booking_Report!AM:AM,
             MATCH(TRUE,
                     ISNUMBER(FIND(SUBSTITUTE(C103," ",""),
                                    Load_Booking_Report!AL:AL)),
                     0)
      )
   ),
   ""
)</f>
        <v/>
      </c>
      <c r="V103" s="21">
        <f t="array" ref="V103">IFERROR(
   IF(
      INDEX(Load_Booking_Report!AR:AR,
             MATCH(TRUE,
                     ISNUMBER(FIND(SUBSTITUTE(C103," ",""),
                                    Load_Booking_Report!AL:AL)),
                     0)
      )=0,
      "",
      INDEX(Load_Booking_Report!AR:AR,
             MATCH(TRUE,
                     ISNUMBER(FIND(SUBSTITUTE(C103," ",""),
                                    Load_Booking_Report!AL:AL)),
                     0)
      )
   ),
   ""
)</f>
        <v/>
      </c>
      <c r="W103" s="21">
        <f t="array" ref="W103">IFERROR(INDEX(Load_Booking_Report!F:F, MATCH(TRUE, ISNUMBER(FIND(SUBSTITUTE(C103," ",""), Load_Booking_Report!AL:AL)), 0)), "Not Found")</f>
        <v/>
      </c>
      <c r="X103" s="21">
        <f t="array" ref="X103">IFERROR(INDEX(Load_Booking_Report!N:N, MATCH(TRUE, ISNUMBER(FIND(SUBSTITUTE(C103," ",""), Load_Booking_Report!AL:AL)), 0)), "Not Found")</f>
        <v/>
      </c>
      <c r="Y103" s="21">
        <f t="array" ref="Y103">IFERROR(INDEX(Load_Booking_Report!V:V, MATCH(TRUE, ISNUMBER(FIND(SUBSTITUTE(C103," ",""), Load_Booking_Report!AL:AL)), 0)), "Not Found")</f>
        <v/>
      </c>
      <c r="Z103" s="41">
        <f t="array" ref="Z103">IFERROR(INDEX(Load_Booking_Report!BC:BC, MATCH(TRUE, ISNUMBER(FIND(SUBSTITUTE(C103," ",""), Load_Booking_Report!AL:AL)), 0)), "Not Found")</f>
        <v/>
      </c>
    </row>
    <row r="104">
      <c r="A104" t="n">
        <v>31</v>
      </c>
      <c r="B104" t="n">
        <v>310302</v>
      </c>
      <c r="C104" t="inlineStr">
        <is>
          <t>ANON0000000</t>
        </is>
      </c>
      <c r="D104" t="n">
        <v>20</v>
      </c>
      <c r="E104" t="inlineStr">
        <is>
          <t>USNFK</t>
        </is>
      </c>
      <c r="F104" t="inlineStr">
        <is>
          <t>RULED</t>
        </is>
      </c>
      <c r="G104" t="n">
        <v>27690</v>
      </c>
      <c r="H104" t="inlineStr">
        <is>
          <t>ART</t>
        </is>
      </c>
      <c r="I104" t="inlineStr">
        <is>
          <t>22G1</t>
        </is>
      </c>
      <c r="L104" t="inlineStr">
        <is>
          <t>OOG</t>
        </is>
      </c>
      <c r="M104" t="inlineStr">
        <is>
          <t>Full</t>
        </is>
      </c>
      <c r="N104" t="inlineStr">
        <is>
          <t>RULED</t>
        </is>
      </c>
      <c r="P104" s="21">
        <f>C104</f>
        <v/>
      </c>
      <c r="Q104" s="21">
        <f t="array" ref="Q104">IFERROR(INDEX(Load_Booking_Report!AC:AC, MATCH(TRUE, ISNUMBER(FIND(SUBSTITUTE(C104," ",""), Load_Booking_Report!AL:AL)), 0)), "Not Found")</f>
        <v/>
      </c>
      <c r="R104" s="21">
        <f t="array" ref="R104">IFERROR(INDEX(Load_Booking_Report!C:C, MATCH(TRUE, ISNUMBER(FIND(SUBSTITUTE(C104," ",""), Load_Booking_Report!AL:AL)), 0)), "Not Found")</f>
        <v/>
      </c>
      <c r="S104" s="21">
        <f t="array" ref="S104">IFERROR(INDEX(Load_Booking_Report!AG:AG, MATCH(TRUE, ISNUMBER(FIND(SUBSTITUTE(C104," ",""), Load_Booking_Report!AL:AL)), 0)), "Not Found")</f>
        <v/>
      </c>
      <c r="T104" s="21">
        <f>G104</f>
        <v/>
      </c>
      <c r="U104" s="33">
        <f t="array" ref="U104">IFERROR(
   IF(
      INDEX(Load_Booking_Report!AM:AM,
             MATCH(TRUE,
                     ISNUMBER(FIND(SUBSTITUTE(C104," ",""),
                                    Load_Booking_Report!AL:AL)),
                     0)
      )=0,
      "",
      INDEX(Load_Booking_Report!AM:AM,
             MATCH(TRUE,
                     ISNUMBER(FIND(SUBSTITUTE(C104," ",""),
                                    Load_Booking_Report!AL:AL)),
                     0)
      )
   ),
   ""
)</f>
        <v/>
      </c>
      <c r="V104" s="21">
        <f t="array" ref="V104">IFERROR(
   IF(
      INDEX(Load_Booking_Report!AR:AR,
             MATCH(TRUE,
                     ISNUMBER(FIND(SUBSTITUTE(C104," ",""),
                                    Load_Booking_Report!AL:AL)),
                     0)
      )=0,
      "",
      INDEX(Load_Booking_Report!AR:AR,
             MATCH(TRUE,
                     ISNUMBER(FIND(SUBSTITUTE(C104," ",""),
                                    Load_Booking_Report!AL:AL)),
                     0)
      )
   ),
   ""
)</f>
        <v/>
      </c>
      <c r="W104" s="21">
        <f t="array" ref="W104">IFERROR(INDEX(Load_Booking_Report!F:F, MATCH(TRUE, ISNUMBER(FIND(SUBSTITUTE(C104," ",""), Load_Booking_Report!AL:AL)), 0)), "Not Found")</f>
        <v/>
      </c>
      <c r="X104" s="21">
        <f t="array" ref="X104">IFERROR(INDEX(Load_Booking_Report!N:N, MATCH(TRUE, ISNUMBER(FIND(SUBSTITUTE(C104," ",""), Load_Booking_Report!AL:AL)), 0)), "Not Found")</f>
        <v/>
      </c>
      <c r="Y104" s="21">
        <f t="array" ref="Y104">IFERROR(INDEX(Load_Booking_Report!V:V, MATCH(TRUE, ISNUMBER(FIND(SUBSTITUTE(C104," ",""), Load_Booking_Report!AL:AL)), 0)), "Not Found")</f>
        <v/>
      </c>
      <c r="Z104" s="41">
        <f t="array" ref="Z104">IFERROR(INDEX(Load_Booking_Report!BC:BC, MATCH(TRUE, ISNUMBER(FIND(SUBSTITUTE(C104," ",""), Load_Booking_Report!AL:AL)), 0)), "Not Found")</f>
        <v/>
      </c>
    </row>
    <row r="105">
      <c r="A105" t="n">
        <v>19</v>
      </c>
      <c r="B105" t="n">
        <v>190202</v>
      </c>
      <c r="C105" t="inlineStr">
        <is>
          <t>ANON0000000</t>
        </is>
      </c>
      <c r="D105" t="n">
        <v>20</v>
      </c>
      <c r="E105" t="inlineStr">
        <is>
          <t>USNFK</t>
        </is>
      </c>
      <c r="F105" t="inlineStr">
        <is>
          <t>RULED</t>
        </is>
      </c>
      <c r="G105" t="n">
        <v>27350</v>
      </c>
      <c r="H105" t="inlineStr">
        <is>
          <t>ART</t>
        </is>
      </c>
      <c r="I105" t="inlineStr">
        <is>
          <t>22G1</t>
        </is>
      </c>
      <c r="L105" t="inlineStr">
        <is>
          <t>OOG</t>
        </is>
      </c>
      <c r="M105" t="inlineStr">
        <is>
          <t>Full</t>
        </is>
      </c>
      <c r="N105" t="inlineStr">
        <is>
          <t>RULED</t>
        </is>
      </c>
      <c r="P105" s="21">
        <f>C105</f>
        <v/>
      </c>
      <c r="Q105" s="21">
        <f t="array" ref="Q105">IFERROR(INDEX(Load_Booking_Report!AC:AC, MATCH(TRUE, ISNUMBER(FIND(SUBSTITUTE(C105," ",""), Load_Booking_Report!AL:AL)), 0)), "Not Found")</f>
        <v/>
      </c>
      <c r="R105" s="21">
        <f t="array" ref="R105">IFERROR(INDEX(Load_Booking_Report!C:C, MATCH(TRUE, ISNUMBER(FIND(SUBSTITUTE(C105," ",""), Load_Booking_Report!AL:AL)), 0)), "Not Found")</f>
        <v/>
      </c>
      <c r="S105" s="21">
        <f t="array" ref="S105">IFERROR(INDEX(Load_Booking_Report!AG:AG, MATCH(TRUE, ISNUMBER(FIND(SUBSTITUTE(C105," ",""), Load_Booking_Report!AL:AL)), 0)), "Not Found")</f>
        <v/>
      </c>
      <c r="T105" s="21">
        <f>G105</f>
        <v/>
      </c>
      <c r="U105" s="33">
        <f t="array" ref="U105">IFERROR(
   IF(
      INDEX(Load_Booking_Report!AM:AM,
             MATCH(TRUE,
                     ISNUMBER(FIND(SUBSTITUTE(C105," ",""),
                                    Load_Booking_Report!AL:AL)),
                     0)
      )=0,
      "",
      INDEX(Load_Booking_Report!AM:AM,
             MATCH(TRUE,
                     ISNUMBER(FIND(SUBSTITUTE(C105," ",""),
                                    Load_Booking_Report!AL:AL)),
                     0)
      )
   ),
   ""
)</f>
        <v/>
      </c>
      <c r="V105" s="21">
        <f t="array" ref="V105">IFERROR(
   IF(
      INDEX(Load_Booking_Report!AR:AR,
             MATCH(TRUE,
                     ISNUMBER(FIND(SUBSTITUTE(C105," ",""),
                                    Load_Booking_Report!AL:AL)),
                     0)
      )=0,
      "",
      INDEX(Load_Booking_Report!AR:AR,
             MATCH(TRUE,
                     ISNUMBER(FIND(SUBSTITUTE(C105," ",""),
                                    Load_Booking_Report!AL:AL)),
                     0)
      )
   ),
   ""
)</f>
        <v/>
      </c>
      <c r="W105" s="21">
        <f t="array" ref="W105">IFERROR(INDEX(Load_Booking_Report!F:F, MATCH(TRUE, ISNUMBER(FIND(SUBSTITUTE(C105," ",""), Load_Booking_Report!AL:AL)), 0)), "Not Found")</f>
        <v/>
      </c>
      <c r="X105" s="21">
        <f t="array" ref="X105">IFERROR(INDEX(Load_Booking_Report!N:N, MATCH(TRUE, ISNUMBER(FIND(SUBSTITUTE(C105," ",""), Load_Booking_Report!AL:AL)), 0)), "Not Found")</f>
        <v/>
      </c>
      <c r="Y105" s="21">
        <f t="array" ref="Y105">IFERROR(INDEX(Load_Booking_Report!V:V, MATCH(TRUE, ISNUMBER(FIND(SUBSTITUTE(C105," ",""), Load_Booking_Report!AL:AL)), 0)), "Not Found")</f>
        <v/>
      </c>
      <c r="Z105" s="41">
        <f t="array" ref="Z105">IFERROR(INDEX(Load_Booking_Report!BC:BC, MATCH(TRUE, ISNUMBER(FIND(SUBSTITUTE(C105," ",""), Load_Booking_Report!AL:AL)), 0)), "Not Found")</f>
        <v/>
      </c>
    </row>
    <row r="106">
      <c r="A106" t="n">
        <v>25</v>
      </c>
      <c r="B106" t="n">
        <v>250602</v>
      </c>
      <c r="C106" t="inlineStr">
        <is>
          <t>ANON0000000</t>
        </is>
      </c>
      <c r="D106" t="n">
        <v>20</v>
      </c>
      <c r="E106" t="inlineStr">
        <is>
          <t>USNYC</t>
        </is>
      </c>
      <c r="F106" t="inlineStr">
        <is>
          <t>RULED</t>
        </is>
      </c>
      <c r="G106" t="n">
        <v>27180</v>
      </c>
      <c r="H106" t="inlineStr">
        <is>
          <t>ART</t>
        </is>
      </c>
      <c r="I106" t="inlineStr">
        <is>
          <t>22G1</t>
        </is>
      </c>
      <c r="L106" t="inlineStr">
        <is>
          <t>8'6</t>
        </is>
      </c>
      <c r="M106" t="inlineStr">
        <is>
          <t>Full</t>
        </is>
      </c>
      <c r="N106" t="inlineStr">
        <is>
          <t>RULED</t>
        </is>
      </c>
      <c r="P106" s="21">
        <f>C106</f>
        <v/>
      </c>
      <c r="Q106" s="21">
        <f t="array" ref="Q106">IFERROR(INDEX(Load_Booking_Report!AC:AC, MATCH(TRUE, ISNUMBER(FIND(SUBSTITUTE(C106," ",""), Load_Booking_Report!AL:AL)), 0)), "Not Found")</f>
        <v/>
      </c>
      <c r="R106" s="21">
        <f t="array" ref="R106">IFERROR(INDEX(Load_Booking_Report!C:C, MATCH(TRUE, ISNUMBER(FIND(SUBSTITUTE(C106," ",""), Load_Booking_Report!AL:AL)), 0)), "Not Found")</f>
        <v/>
      </c>
      <c r="S106" s="21">
        <f t="array" ref="S106">IFERROR(INDEX(Load_Booking_Report!AG:AG, MATCH(TRUE, ISNUMBER(FIND(SUBSTITUTE(C106," ",""), Load_Booking_Report!AL:AL)), 0)), "Not Found")</f>
        <v/>
      </c>
      <c r="T106" s="21">
        <f>G106</f>
        <v/>
      </c>
      <c r="U106" s="33">
        <f t="array" ref="U106">IFERROR(
   IF(
      INDEX(Load_Booking_Report!AM:AM,
             MATCH(TRUE,
                     ISNUMBER(FIND(SUBSTITUTE(C106," ",""),
                                    Load_Booking_Report!AL:AL)),
                     0)
      )=0,
      "",
      INDEX(Load_Booking_Report!AM:AM,
             MATCH(TRUE,
                     ISNUMBER(FIND(SUBSTITUTE(C106," ",""),
                                    Load_Booking_Report!AL:AL)),
                     0)
      )
   ),
   ""
)</f>
        <v/>
      </c>
      <c r="V106" s="21">
        <f t="array" ref="V106">IFERROR(
   IF(
      INDEX(Load_Booking_Report!AR:AR,
             MATCH(TRUE,
                     ISNUMBER(FIND(SUBSTITUTE(C106," ",""),
                                    Load_Booking_Report!AL:AL)),
                     0)
      )=0,
      "",
      INDEX(Load_Booking_Report!AR:AR,
             MATCH(TRUE,
                     ISNUMBER(FIND(SUBSTITUTE(C106," ",""),
                                    Load_Booking_Report!AL:AL)),
                     0)
      )
   ),
   ""
)</f>
        <v/>
      </c>
      <c r="W106" s="21">
        <f t="array" ref="W106">IFERROR(INDEX(Load_Booking_Report!F:F, MATCH(TRUE, ISNUMBER(FIND(SUBSTITUTE(C106," ",""), Load_Booking_Report!AL:AL)), 0)), "Not Found")</f>
        <v/>
      </c>
      <c r="X106" s="21">
        <f t="array" ref="X106">IFERROR(INDEX(Load_Booking_Report!N:N, MATCH(TRUE, ISNUMBER(FIND(SUBSTITUTE(C106," ",""), Load_Booking_Report!AL:AL)), 0)), "Not Found")</f>
        <v/>
      </c>
      <c r="Y106" s="21">
        <f t="array" ref="Y106">IFERROR(INDEX(Load_Booking_Report!V:V, MATCH(TRUE, ISNUMBER(FIND(SUBSTITUTE(C106," ",""), Load_Booking_Report!AL:AL)), 0)), "Not Found")</f>
        <v/>
      </c>
      <c r="Z106" s="41">
        <f t="array" ref="Z106">IFERROR(INDEX(Load_Booking_Report!BC:BC, MATCH(TRUE, ISNUMBER(FIND(SUBSTITUTE(C106," ",""), Load_Booking_Report!AL:AL)), 0)), "Not Found")</f>
        <v/>
      </c>
    </row>
    <row r="107">
      <c r="A107" t="n">
        <v>31</v>
      </c>
      <c r="B107" t="n">
        <v>310606</v>
      </c>
      <c r="C107" t="inlineStr">
        <is>
          <t>ANON0000000</t>
        </is>
      </c>
      <c r="D107" t="n">
        <v>20</v>
      </c>
      <c r="E107" t="inlineStr">
        <is>
          <t>USNFK</t>
        </is>
      </c>
      <c r="F107" t="inlineStr">
        <is>
          <t>RULED</t>
        </is>
      </c>
      <c r="G107" t="n">
        <v>21460</v>
      </c>
      <c r="H107" t="inlineStr">
        <is>
          <t>ART</t>
        </is>
      </c>
      <c r="I107" t="inlineStr">
        <is>
          <t>22G1</t>
        </is>
      </c>
      <c r="L107" t="inlineStr">
        <is>
          <t>OOG</t>
        </is>
      </c>
      <c r="M107" t="inlineStr">
        <is>
          <t>Full</t>
        </is>
      </c>
      <c r="N107" t="inlineStr">
        <is>
          <t>RULED</t>
        </is>
      </c>
      <c r="P107" s="21">
        <f>C107</f>
        <v/>
      </c>
      <c r="Q107" s="21">
        <f t="array" ref="Q107">IFERROR(INDEX(Load_Booking_Report!AC:AC, MATCH(TRUE, ISNUMBER(FIND(SUBSTITUTE(C107," ",""), Load_Booking_Report!AL:AL)), 0)), "Not Found")</f>
        <v/>
      </c>
      <c r="R107" s="21">
        <f t="array" ref="R107">IFERROR(INDEX(Load_Booking_Report!C:C, MATCH(TRUE, ISNUMBER(FIND(SUBSTITUTE(C107," ",""), Load_Booking_Report!AL:AL)), 0)), "Not Found")</f>
        <v/>
      </c>
      <c r="S107" s="21">
        <f t="array" ref="S107">IFERROR(INDEX(Load_Booking_Report!AG:AG, MATCH(TRUE, ISNUMBER(FIND(SUBSTITUTE(C107," ",""), Load_Booking_Report!AL:AL)), 0)), "Not Found")</f>
        <v/>
      </c>
      <c r="T107" s="21">
        <f>G107</f>
        <v/>
      </c>
      <c r="U107" s="33">
        <f t="array" ref="U107">IFERROR(
   IF(
      INDEX(Load_Booking_Report!AM:AM,
             MATCH(TRUE,
                     ISNUMBER(FIND(SUBSTITUTE(C107," ",""),
                                    Load_Booking_Report!AL:AL)),
                     0)
      )=0,
      "",
      INDEX(Load_Booking_Report!AM:AM,
             MATCH(TRUE,
                     ISNUMBER(FIND(SUBSTITUTE(C107," ",""),
                                    Load_Booking_Report!AL:AL)),
                     0)
      )
   ),
   ""
)</f>
        <v/>
      </c>
      <c r="V107" s="21">
        <f t="array" ref="V107">IFERROR(
   IF(
      INDEX(Load_Booking_Report!AR:AR,
             MATCH(TRUE,
                     ISNUMBER(FIND(SUBSTITUTE(C107," ",""),
                                    Load_Booking_Report!AL:AL)),
                     0)
      )=0,
      "",
      INDEX(Load_Booking_Report!AR:AR,
             MATCH(TRUE,
                     ISNUMBER(FIND(SUBSTITUTE(C107," ",""),
                                    Load_Booking_Report!AL:AL)),
                     0)
      )
   ),
   ""
)</f>
        <v/>
      </c>
      <c r="W107" s="21">
        <f t="array" ref="W107">IFERROR(INDEX(Load_Booking_Report!F:F, MATCH(TRUE, ISNUMBER(FIND(SUBSTITUTE(C107," ",""), Load_Booking_Report!AL:AL)), 0)), "Not Found")</f>
        <v/>
      </c>
      <c r="X107" s="21">
        <f t="array" ref="X107">IFERROR(INDEX(Load_Booking_Report!N:N, MATCH(TRUE, ISNUMBER(FIND(SUBSTITUTE(C107," ",""), Load_Booking_Report!AL:AL)), 0)), "Not Found")</f>
        <v/>
      </c>
      <c r="Y107" s="21">
        <f t="array" ref="Y107">IFERROR(INDEX(Load_Booking_Report!V:V, MATCH(TRUE, ISNUMBER(FIND(SUBSTITUTE(C107," ",""), Load_Booking_Report!AL:AL)), 0)), "Not Found")</f>
        <v/>
      </c>
      <c r="Z107" s="41">
        <f t="array" ref="Z107">IFERROR(INDEX(Load_Booking_Report!BC:BC, MATCH(TRUE, ISNUMBER(FIND(SUBSTITUTE(C107," ",""), Load_Booking_Report!AL:AL)), 0)), "Not Found")</f>
        <v/>
      </c>
    </row>
    <row r="108">
      <c r="A108" t="n">
        <v>27</v>
      </c>
      <c r="B108" t="n">
        <v>270702</v>
      </c>
      <c r="C108" t="inlineStr">
        <is>
          <t>ANON0000000</t>
        </is>
      </c>
      <c r="D108" t="n">
        <v>20</v>
      </c>
      <c r="E108" t="inlineStr">
        <is>
          <t>USNYC</t>
        </is>
      </c>
      <c r="F108" t="inlineStr">
        <is>
          <t>RULED</t>
        </is>
      </c>
      <c r="G108" t="n">
        <v>27100</v>
      </c>
      <c r="H108" t="inlineStr">
        <is>
          <t>ART</t>
        </is>
      </c>
      <c r="I108" t="inlineStr">
        <is>
          <t>22G1</t>
        </is>
      </c>
      <c r="L108" t="inlineStr">
        <is>
          <t>8'6</t>
        </is>
      </c>
      <c r="M108" t="inlineStr">
        <is>
          <t>Full</t>
        </is>
      </c>
      <c r="N108" t="inlineStr">
        <is>
          <t>RULED</t>
        </is>
      </c>
      <c r="P108" s="21">
        <f>C108</f>
        <v/>
      </c>
      <c r="Q108" s="21">
        <f t="array" ref="Q108">IFERROR(INDEX(Load_Booking_Report!AC:AC, MATCH(TRUE, ISNUMBER(FIND(SUBSTITUTE(C108," ",""), Load_Booking_Report!AL:AL)), 0)), "Not Found")</f>
        <v/>
      </c>
      <c r="R108" s="21">
        <f t="array" ref="R108">IFERROR(INDEX(Load_Booking_Report!C:C, MATCH(TRUE, ISNUMBER(FIND(SUBSTITUTE(C108," ",""), Load_Booking_Report!AL:AL)), 0)), "Not Found")</f>
        <v/>
      </c>
      <c r="S108" s="21">
        <f t="array" ref="S108">IFERROR(INDEX(Load_Booking_Report!AG:AG, MATCH(TRUE, ISNUMBER(FIND(SUBSTITUTE(C108," ",""), Load_Booking_Report!AL:AL)), 0)), "Not Found")</f>
        <v/>
      </c>
      <c r="T108" s="21">
        <f>G108</f>
        <v/>
      </c>
      <c r="U108" s="33">
        <f t="array" ref="U108">IFERROR(
   IF(
      INDEX(Load_Booking_Report!AM:AM,
             MATCH(TRUE,
                     ISNUMBER(FIND(SUBSTITUTE(C108," ",""),
                                    Load_Booking_Report!AL:AL)),
                     0)
      )=0,
      "",
      INDEX(Load_Booking_Report!AM:AM,
             MATCH(TRUE,
                     ISNUMBER(FIND(SUBSTITUTE(C108," ",""),
                                    Load_Booking_Report!AL:AL)),
                     0)
      )
   ),
   ""
)</f>
        <v/>
      </c>
      <c r="V108" s="21">
        <f t="array" ref="V108">IFERROR(
   IF(
      INDEX(Load_Booking_Report!AR:AR,
             MATCH(TRUE,
                     ISNUMBER(FIND(SUBSTITUTE(C108," ",""),
                                    Load_Booking_Report!AL:AL)),
                     0)
      )=0,
      "",
      INDEX(Load_Booking_Report!AR:AR,
             MATCH(TRUE,
                     ISNUMBER(FIND(SUBSTITUTE(C108," ",""),
                                    Load_Booking_Report!AL:AL)),
                     0)
      )
   ),
   ""
)</f>
        <v/>
      </c>
      <c r="W108" s="21">
        <f t="array" ref="W108">IFERROR(INDEX(Load_Booking_Report!F:F, MATCH(TRUE, ISNUMBER(FIND(SUBSTITUTE(C108," ",""), Load_Booking_Report!AL:AL)), 0)), "Not Found")</f>
        <v/>
      </c>
      <c r="X108" s="21">
        <f t="array" ref="X108">IFERROR(INDEX(Load_Booking_Report!N:N, MATCH(TRUE, ISNUMBER(FIND(SUBSTITUTE(C108," ",""), Load_Booking_Report!AL:AL)), 0)), "Not Found")</f>
        <v/>
      </c>
      <c r="Y108" s="21">
        <f t="array" ref="Y108">IFERROR(INDEX(Load_Booking_Report!V:V, MATCH(TRUE, ISNUMBER(FIND(SUBSTITUTE(C108," ",""), Load_Booking_Report!AL:AL)), 0)), "Not Found")</f>
        <v/>
      </c>
      <c r="Z108" s="41">
        <f t="array" ref="Z108">IFERROR(INDEX(Load_Booking_Report!BC:BC, MATCH(TRUE, ISNUMBER(FIND(SUBSTITUTE(C108," ",""), Load_Booking_Report!AL:AL)), 0)), "Not Found")</f>
        <v/>
      </c>
    </row>
    <row r="109">
      <c r="A109" t="n">
        <v>33</v>
      </c>
      <c r="B109" t="n">
        <v>330302</v>
      </c>
      <c r="C109" t="inlineStr">
        <is>
          <t>ANON0000000</t>
        </is>
      </c>
      <c r="D109" t="n">
        <v>20</v>
      </c>
      <c r="E109" t="inlineStr">
        <is>
          <t>USNYC</t>
        </is>
      </c>
      <c r="F109" t="inlineStr">
        <is>
          <t>RULED</t>
        </is>
      </c>
      <c r="G109" t="n">
        <v>26920</v>
      </c>
      <c r="H109" t="inlineStr">
        <is>
          <t>ART</t>
        </is>
      </c>
      <c r="I109" t="inlineStr">
        <is>
          <t>22G1</t>
        </is>
      </c>
      <c r="L109" t="inlineStr">
        <is>
          <t>8'6</t>
        </is>
      </c>
      <c r="M109" t="inlineStr">
        <is>
          <t>Full</t>
        </is>
      </c>
      <c r="N109" t="inlineStr">
        <is>
          <t>RULED</t>
        </is>
      </c>
      <c r="P109" s="21">
        <f>C109</f>
        <v/>
      </c>
      <c r="Q109" s="21">
        <f t="array" ref="Q109">IFERROR(INDEX(Load_Booking_Report!AC:AC, MATCH(TRUE, ISNUMBER(FIND(SUBSTITUTE(C109," ",""), Load_Booking_Report!AL:AL)), 0)), "Not Found")</f>
        <v/>
      </c>
      <c r="R109" s="21">
        <f t="array" ref="R109">IFERROR(INDEX(Load_Booking_Report!C:C, MATCH(TRUE, ISNUMBER(FIND(SUBSTITUTE(C109," ",""), Load_Booking_Report!AL:AL)), 0)), "Not Found")</f>
        <v/>
      </c>
      <c r="S109" s="21">
        <f t="array" ref="S109">IFERROR(INDEX(Load_Booking_Report!AG:AG, MATCH(TRUE, ISNUMBER(FIND(SUBSTITUTE(C109," ",""), Load_Booking_Report!AL:AL)), 0)), "Not Found")</f>
        <v/>
      </c>
      <c r="T109" s="21">
        <f>G109</f>
        <v/>
      </c>
      <c r="U109" s="33">
        <f t="array" ref="U109">IFERROR(
   IF(
      INDEX(Load_Booking_Report!AM:AM,
             MATCH(TRUE,
                     ISNUMBER(FIND(SUBSTITUTE(C109," ",""),
                                    Load_Booking_Report!AL:AL)),
                     0)
      )=0,
      "",
      INDEX(Load_Booking_Report!AM:AM,
             MATCH(TRUE,
                     ISNUMBER(FIND(SUBSTITUTE(C109," ",""),
                                    Load_Booking_Report!AL:AL)),
                     0)
      )
   ),
   ""
)</f>
        <v/>
      </c>
      <c r="V109" s="21">
        <f t="array" ref="V109">IFERROR(
   IF(
      INDEX(Load_Booking_Report!AR:AR,
             MATCH(TRUE,
                     ISNUMBER(FIND(SUBSTITUTE(C109," ",""),
                                    Load_Booking_Report!AL:AL)),
                     0)
      )=0,
      "",
      INDEX(Load_Booking_Report!AR:AR,
             MATCH(TRUE,
                     ISNUMBER(FIND(SUBSTITUTE(C109," ",""),
                                    Load_Booking_Report!AL:AL)),
                     0)
      )
   ),
   ""
)</f>
        <v/>
      </c>
      <c r="W109" s="21">
        <f t="array" ref="W109">IFERROR(INDEX(Load_Booking_Report!F:F, MATCH(TRUE, ISNUMBER(FIND(SUBSTITUTE(C109," ",""), Load_Booking_Report!AL:AL)), 0)), "Not Found")</f>
        <v/>
      </c>
      <c r="X109" s="21">
        <f t="array" ref="X109">IFERROR(INDEX(Load_Booking_Report!N:N, MATCH(TRUE, ISNUMBER(FIND(SUBSTITUTE(C109," ",""), Load_Booking_Report!AL:AL)), 0)), "Not Found")</f>
        <v/>
      </c>
      <c r="Y109" s="21">
        <f t="array" ref="Y109">IFERROR(INDEX(Load_Booking_Report!V:V, MATCH(TRUE, ISNUMBER(FIND(SUBSTITUTE(C109," ",""), Load_Booking_Report!AL:AL)), 0)), "Not Found")</f>
        <v/>
      </c>
      <c r="Z109" s="41">
        <f t="array" ref="Z109">IFERROR(INDEX(Load_Booking_Report!BC:BC, MATCH(TRUE, ISNUMBER(FIND(SUBSTITUTE(C109," ",""), Load_Booking_Report!AL:AL)), 0)), "Not Found")</f>
        <v/>
      </c>
    </row>
    <row r="110">
      <c r="A110" t="n">
        <v>31</v>
      </c>
      <c r="B110" t="n">
        <v>310104</v>
      </c>
      <c r="C110" t="inlineStr">
        <is>
          <t>ANON0000000</t>
        </is>
      </c>
      <c r="D110" t="n">
        <v>20</v>
      </c>
      <c r="E110" t="inlineStr">
        <is>
          <t>USNFK</t>
        </is>
      </c>
      <c r="F110" t="inlineStr">
        <is>
          <t>RULED</t>
        </is>
      </c>
      <c r="G110" t="n">
        <v>28110</v>
      </c>
      <c r="H110" t="inlineStr">
        <is>
          <t>ART</t>
        </is>
      </c>
      <c r="I110" t="inlineStr">
        <is>
          <t>22G1</t>
        </is>
      </c>
      <c r="L110" t="inlineStr">
        <is>
          <t>OOG</t>
        </is>
      </c>
      <c r="M110" t="inlineStr">
        <is>
          <t>Full</t>
        </is>
      </c>
      <c r="N110" t="inlineStr">
        <is>
          <t>RULED</t>
        </is>
      </c>
      <c r="P110" s="21">
        <f>C110</f>
        <v/>
      </c>
      <c r="Q110" s="21">
        <f t="array" ref="Q110">IFERROR(INDEX(Load_Booking_Report!AC:AC, MATCH(TRUE, ISNUMBER(FIND(SUBSTITUTE(C110," ",""), Load_Booking_Report!AL:AL)), 0)), "Not Found")</f>
        <v/>
      </c>
      <c r="R110" s="21">
        <f t="array" ref="R110">IFERROR(INDEX(Load_Booking_Report!C:C, MATCH(TRUE, ISNUMBER(FIND(SUBSTITUTE(C110," ",""), Load_Booking_Report!AL:AL)), 0)), "Not Found")</f>
        <v/>
      </c>
      <c r="S110" s="21">
        <f t="array" ref="S110">IFERROR(INDEX(Load_Booking_Report!AG:AG, MATCH(TRUE, ISNUMBER(FIND(SUBSTITUTE(C110," ",""), Load_Booking_Report!AL:AL)), 0)), "Not Found")</f>
        <v/>
      </c>
      <c r="T110" s="21">
        <f>G110</f>
        <v/>
      </c>
      <c r="U110" s="33">
        <f t="array" ref="U110">IFERROR(
   IF(
      INDEX(Load_Booking_Report!AM:AM,
             MATCH(TRUE,
                     ISNUMBER(FIND(SUBSTITUTE(C110," ",""),
                                    Load_Booking_Report!AL:AL)),
                     0)
      )=0,
      "",
      INDEX(Load_Booking_Report!AM:AM,
             MATCH(TRUE,
                     ISNUMBER(FIND(SUBSTITUTE(C110," ",""),
                                    Load_Booking_Report!AL:AL)),
                     0)
      )
   ),
   ""
)</f>
        <v/>
      </c>
      <c r="V110" s="21">
        <f t="array" ref="V110">IFERROR(
   IF(
      INDEX(Load_Booking_Report!AR:AR,
             MATCH(TRUE,
                     ISNUMBER(FIND(SUBSTITUTE(C110," ",""),
                                    Load_Booking_Report!AL:AL)),
                     0)
      )=0,
      "",
      INDEX(Load_Booking_Report!AR:AR,
             MATCH(TRUE,
                     ISNUMBER(FIND(SUBSTITUTE(C110," ",""),
                                    Load_Booking_Report!AL:AL)),
                     0)
      )
   ),
   ""
)</f>
        <v/>
      </c>
      <c r="W110" s="21">
        <f t="array" ref="W110">IFERROR(INDEX(Load_Booking_Report!F:F, MATCH(TRUE, ISNUMBER(FIND(SUBSTITUTE(C110," ",""), Load_Booking_Report!AL:AL)), 0)), "Not Found")</f>
        <v/>
      </c>
      <c r="X110" s="21">
        <f t="array" ref="X110">IFERROR(INDEX(Load_Booking_Report!N:N, MATCH(TRUE, ISNUMBER(FIND(SUBSTITUTE(C110," ",""), Load_Booking_Report!AL:AL)), 0)), "Not Found")</f>
        <v/>
      </c>
      <c r="Y110" s="21">
        <f t="array" ref="Y110">IFERROR(INDEX(Load_Booking_Report!V:V, MATCH(TRUE, ISNUMBER(FIND(SUBSTITUTE(C110," ",""), Load_Booking_Report!AL:AL)), 0)), "Not Found")</f>
        <v/>
      </c>
      <c r="Z110" s="41">
        <f t="array" ref="Z110">IFERROR(INDEX(Load_Booking_Report!BC:BC, MATCH(TRUE, ISNUMBER(FIND(SUBSTITUTE(C110," ",""), Load_Booking_Report!AL:AL)), 0)), "Not Found")</f>
        <v/>
      </c>
    </row>
    <row r="111">
      <c r="A111" t="n">
        <v>17</v>
      </c>
      <c r="B111" t="n">
        <v>170204</v>
      </c>
      <c r="C111" t="inlineStr">
        <is>
          <t>ANON0000000</t>
        </is>
      </c>
      <c r="D111" t="n">
        <v>20</v>
      </c>
      <c r="E111" t="inlineStr">
        <is>
          <t>USNFK</t>
        </is>
      </c>
      <c r="F111" t="inlineStr">
        <is>
          <t>RULED</t>
        </is>
      </c>
      <c r="G111" t="n">
        <v>26440</v>
      </c>
      <c r="H111" t="inlineStr">
        <is>
          <t>ART</t>
        </is>
      </c>
      <c r="I111" t="inlineStr">
        <is>
          <t>22G1</t>
        </is>
      </c>
      <c r="L111" t="inlineStr">
        <is>
          <t>OOG</t>
        </is>
      </c>
      <c r="M111" t="inlineStr">
        <is>
          <t>Full</t>
        </is>
      </c>
      <c r="N111" t="inlineStr">
        <is>
          <t>RULED</t>
        </is>
      </c>
      <c r="P111" s="21">
        <f>C111</f>
        <v/>
      </c>
      <c r="Q111" s="21">
        <f t="array" ref="Q111">IFERROR(INDEX(Load_Booking_Report!AC:AC, MATCH(TRUE, ISNUMBER(FIND(SUBSTITUTE(C111," ",""), Load_Booking_Report!AL:AL)), 0)), "Not Found")</f>
        <v/>
      </c>
      <c r="R111" s="21">
        <f t="array" ref="R111">IFERROR(INDEX(Load_Booking_Report!C:C, MATCH(TRUE, ISNUMBER(FIND(SUBSTITUTE(C111," ",""), Load_Booking_Report!AL:AL)), 0)), "Not Found")</f>
        <v/>
      </c>
      <c r="S111" s="21">
        <f t="array" ref="S111">IFERROR(INDEX(Load_Booking_Report!AG:AG, MATCH(TRUE, ISNUMBER(FIND(SUBSTITUTE(C111," ",""), Load_Booking_Report!AL:AL)), 0)), "Not Found")</f>
        <v/>
      </c>
      <c r="T111" s="21">
        <f>G111</f>
        <v/>
      </c>
      <c r="U111" s="33">
        <f t="array" ref="U111">IFERROR(
   IF(
      INDEX(Load_Booking_Report!AM:AM,
             MATCH(TRUE,
                     ISNUMBER(FIND(SUBSTITUTE(C111," ",""),
                                    Load_Booking_Report!AL:AL)),
                     0)
      )=0,
      "",
      INDEX(Load_Booking_Report!AM:AM,
             MATCH(TRUE,
                     ISNUMBER(FIND(SUBSTITUTE(C111," ",""),
                                    Load_Booking_Report!AL:AL)),
                     0)
      )
   ),
   ""
)</f>
        <v/>
      </c>
      <c r="V111" s="21">
        <f t="array" ref="V111">IFERROR(
   IF(
      INDEX(Load_Booking_Report!AR:AR,
             MATCH(TRUE,
                     ISNUMBER(FIND(SUBSTITUTE(C111," ",""),
                                    Load_Booking_Report!AL:AL)),
                     0)
      )=0,
      "",
      INDEX(Load_Booking_Report!AR:AR,
             MATCH(TRUE,
                     ISNUMBER(FIND(SUBSTITUTE(C111," ",""),
                                    Load_Booking_Report!AL:AL)),
                     0)
      )
   ),
   ""
)</f>
        <v/>
      </c>
      <c r="W111" s="21">
        <f t="array" ref="W111">IFERROR(INDEX(Load_Booking_Report!F:F, MATCH(TRUE, ISNUMBER(FIND(SUBSTITUTE(C111," ",""), Load_Booking_Report!AL:AL)), 0)), "Not Found")</f>
        <v/>
      </c>
      <c r="X111" s="21">
        <f t="array" ref="X111">IFERROR(INDEX(Load_Booking_Report!N:N, MATCH(TRUE, ISNUMBER(FIND(SUBSTITUTE(C111," ",""), Load_Booking_Report!AL:AL)), 0)), "Not Found")</f>
        <v/>
      </c>
      <c r="Y111" s="21">
        <f t="array" ref="Y111">IFERROR(INDEX(Load_Booking_Report!V:V, MATCH(TRUE, ISNUMBER(FIND(SUBSTITUTE(C111," ",""), Load_Booking_Report!AL:AL)), 0)), "Not Found")</f>
        <v/>
      </c>
      <c r="Z111" s="41">
        <f t="array" ref="Z111">IFERROR(INDEX(Load_Booking_Report!BC:BC, MATCH(TRUE, ISNUMBER(FIND(SUBSTITUTE(C111," ",""), Load_Booking_Report!AL:AL)), 0)), "Not Found")</f>
        <v/>
      </c>
    </row>
    <row r="112">
      <c r="A112" t="n">
        <v>29</v>
      </c>
      <c r="B112" t="n">
        <v>290406</v>
      </c>
      <c r="C112" t="inlineStr">
        <is>
          <t>ANON0000000</t>
        </is>
      </c>
      <c r="D112" t="n">
        <v>20</v>
      </c>
      <c r="E112" t="inlineStr">
        <is>
          <t>USNFK</t>
        </is>
      </c>
      <c r="F112" t="inlineStr">
        <is>
          <t>RULED</t>
        </is>
      </c>
      <c r="G112" t="n">
        <v>21300</v>
      </c>
      <c r="H112" t="inlineStr">
        <is>
          <t>ART</t>
        </is>
      </c>
      <c r="I112" t="inlineStr">
        <is>
          <t>22G1</t>
        </is>
      </c>
      <c r="L112" t="inlineStr">
        <is>
          <t>OOG</t>
        </is>
      </c>
      <c r="M112" t="inlineStr">
        <is>
          <t>Full</t>
        </is>
      </c>
      <c r="N112" t="inlineStr">
        <is>
          <t>RULED</t>
        </is>
      </c>
      <c r="P112" s="21">
        <f>C112</f>
        <v/>
      </c>
      <c r="Q112" s="21">
        <f t="array" ref="Q112">IFERROR(INDEX(Load_Booking_Report!AC:AC, MATCH(TRUE, ISNUMBER(FIND(SUBSTITUTE(C112," ",""), Load_Booking_Report!AL:AL)), 0)), "Not Found")</f>
        <v/>
      </c>
      <c r="R112" s="21">
        <f t="array" ref="R112">IFERROR(INDEX(Load_Booking_Report!C:C, MATCH(TRUE, ISNUMBER(FIND(SUBSTITUTE(C112," ",""), Load_Booking_Report!AL:AL)), 0)), "Not Found")</f>
        <v/>
      </c>
      <c r="S112" s="21">
        <f t="array" ref="S112">IFERROR(INDEX(Load_Booking_Report!AG:AG, MATCH(TRUE, ISNUMBER(FIND(SUBSTITUTE(C112," ",""), Load_Booking_Report!AL:AL)), 0)), "Not Found")</f>
        <v/>
      </c>
      <c r="T112" s="21">
        <f>G112</f>
        <v/>
      </c>
      <c r="U112" s="33">
        <f t="array" ref="U112">IFERROR(
   IF(
      INDEX(Load_Booking_Report!AM:AM,
             MATCH(TRUE,
                     ISNUMBER(FIND(SUBSTITUTE(C112," ",""),
                                    Load_Booking_Report!AL:AL)),
                     0)
      )=0,
      "",
      INDEX(Load_Booking_Report!AM:AM,
             MATCH(TRUE,
                     ISNUMBER(FIND(SUBSTITUTE(C112," ",""),
                                    Load_Booking_Report!AL:AL)),
                     0)
      )
   ),
   ""
)</f>
        <v/>
      </c>
      <c r="V112" s="21">
        <f t="array" ref="V112">IFERROR(
   IF(
      INDEX(Load_Booking_Report!AR:AR,
             MATCH(TRUE,
                     ISNUMBER(FIND(SUBSTITUTE(C112," ",""),
                                    Load_Booking_Report!AL:AL)),
                     0)
      )=0,
      "",
      INDEX(Load_Booking_Report!AR:AR,
             MATCH(TRUE,
                     ISNUMBER(FIND(SUBSTITUTE(C112," ",""),
                                    Load_Booking_Report!AL:AL)),
                     0)
      )
   ),
   ""
)</f>
        <v/>
      </c>
      <c r="W112" s="21">
        <f t="array" ref="W112">IFERROR(INDEX(Load_Booking_Report!F:F, MATCH(TRUE, ISNUMBER(FIND(SUBSTITUTE(C112," ",""), Load_Booking_Report!AL:AL)), 0)), "Not Found")</f>
        <v/>
      </c>
      <c r="X112" s="21">
        <f t="array" ref="X112">IFERROR(INDEX(Load_Booking_Report!N:N, MATCH(TRUE, ISNUMBER(FIND(SUBSTITUTE(C112," ",""), Load_Booking_Report!AL:AL)), 0)), "Not Found")</f>
        <v/>
      </c>
      <c r="Y112" s="21">
        <f t="array" ref="Y112">IFERROR(INDEX(Load_Booking_Report!V:V, MATCH(TRUE, ISNUMBER(FIND(SUBSTITUTE(C112," ",""), Load_Booking_Report!AL:AL)), 0)), "Not Found")</f>
        <v/>
      </c>
      <c r="Z112" s="41">
        <f t="array" ref="Z112">IFERROR(INDEX(Load_Booking_Report!BC:BC, MATCH(TRUE, ISNUMBER(FIND(SUBSTITUTE(C112," ",""), Load_Booking_Report!AL:AL)), 0)), "Not Found")</f>
        <v/>
      </c>
    </row>
    <row r="113">
      <c r="A113" t="n">
        <v>19</v>
      </c>
      <c r="B113" t="n">
        <v>190304</v>
      </c>
      <c r="C113" t="inlineStr">
        <is>
          <t>ANON0000000</t>
        </is>
      </c>
      <c r="D113" t="n">
        <v>20</v>
      </c>
      <c r="E113" t="inlineStr">
        <is>
          <t>USNFK</t>
        </is>
      </c>
      <c r="F113" t="inlineStr">
        <is>
          <t>RULED</t>
        </is>
      </c>
      <c r="G113" t="n">
        <v>26220</v>
      </c>
      <c r="H113" t="inlineStr">
        <is>
          <t>ART</t>
        </is>
      </c>
      <c r="I113" t="inlineStr">
        <is>
          <t>22G1</t>
        </is>
      </c>
      <c r="L113" t="inlineStr">
        <is>
          <t>OOG</t>
        </is>
      </c>
      <c r="M113" t="inlineStr">
        <is>
          <t>Full</t>
        </is>
      </c>
      <c r="N113" t="inlineStr">
        <is>
          <t>RULED</t>
        </is>
      </c>
      <c r="P113" s="21">
        <f>C113</f>
        <v/>
      </c>
      <c r="Q113" s="21">
        <f t="array" ref="Q113">IFERROR(INDEX(Load_Booking_Report!AC:AC, MATCH(TRUE, ISNUMBER(FIND(SUBSTITUTE(C113," ",""), Load_Booking_Report!AL:AL)), 0)), "Not Found")</f>
        <v/>
      </c>
      <c r="R113" s="21">
        <f t="array" ref="R113">IFERROR(INDEX(Load_Booking_Report!C:C, MATCH(TRUE, ISNUMBER(FIND(SUBSTITUTE(C113," ",""), Load_Booking_Report!AL:AL)), 0)), "Not Found")</f>
        <v/>
      </c>
      <c r="S113" s="21">
        <f t="array" ref="S113">IFERROR(INDEX(Load_Booking_Report!AG:AG, MATCH(TRUE, ISNUMBER(FIND(SUBSTITUTE(C113," ",""), Load_Booking_Report!AL:AL)), 0)), "Not Found")</f>
        <v/>
      </c>
      <c r="T113" s="21">
        <f>G113</f>
        <v/>
      </c>
      <c r="U113" s="33">
        <f t="array" ref="U113">IFERROR(
   IF(
      INDEX(Load_Booking_Report!AM:AM,
             MATCH(TRUE,
                     ISNUMBER(FIND(SUBSTITUTE(C113," ",""),
                                    Load_Booking_Report!AL:AL)),
                     0)
      )=0,
      "",
      INDEX(Load_Booking_Report!AM:AM,
             MATCH(TRUE,
                     ISNUMBER(FIND(SUBSTITUTE(C113," ",""),
                                    Load_Booking_Report!AL:AL)),
                     0)
      )
   ),
   ""
)</f>
        <v/>
      </c>
      <c r="V113" s="21">
        <f t="array" ref="V113">IFERROR(
   IF(
      INDEX(Load_Booking_Report!AR:AR,
             MATCH(TRUE,
                     ISNUMBER(FIND(SUBSTITUTE(C113," ",""),
                                    Load_Booking_Report!AL:AL)),
                     0)
      )=0,
      "",
      INDEX(Load_Booking_Report!AR:AR,
             MATCH(TRUE,
                     ISNUMBER(FIND(SUBSTITUTE(C113," ",""),
                                    Load_Booking_Report!AL:AL)),
                     0)
      )
   ),
   ""
)</f>
        <v/>
      </c>
      <c r="W113" s="21">
        <f t="array" ref="W113">IFERROR(INDEX(Load_Booking_Report!F:F, MATCH(TRUE, ISNUMBER(FIND(SUBSTITUTE(C113," ",""), Load_Booking_Report!AL:AL)), 0)), "Not Found")</f>
        <v/>
      </c>
      <c r="X113" s="21">
        <f t="array" ref="X113">IFERROR(INDEX(Load_Booking_Report!N:N, MATCH(TRUE, ISNUMBER(FIND(SUBSTITUTE(C113," ",""), Load_Booking_Report!AL:AL)), 0)), "Not Found")</f>
        <v/>
      </c>
      <c r="Y113" s="21">
        <f t="array" ref="Y113">IFERROR(INDEX(Load_Booking_Report!V:V, MATCH(TRUE, ISNUMBER(FIND(SUBSTITUTE(C113," ",""), Load_Booking_Report!AL:AL)), 0)), "Not Found")</f>
        <v/>
      </c>
      <c r="Z113" s="41">
        <f t="array" ref="Z113">IFERROR(INDEX(Load_Booking_Report!BC:BC, MATCH(TRUE, ISNUMBER(FIND(SUBSTITUTE(C113," ",""), Load_Booking_Report!AL:AL)), 0)), "Not Found")</f>
        <v/>
      </c>
    </row>
    <row r="114">
      <c r="A114" t="n">
        <v>17</v>
      </c>
      <c r="B114" t="n">
        <v>170104</v>
      </c>
      <c r="C114" t="inlineStr">
        <is>
          <t>ANON0000000</t>
        </is>
      </c>
      <c r="D114" t="n">
        <v>20</v>
      </c>
      <c r="E114" t="inlineStr">
        <is>
          <t>USNFK</t>
        </is>
      </c>
      <c r="F114" t="inlineStr">
        <is>
          <t>RULED</t>
        </is>
      </c>
      <c r="G114" t="n">
        <v>26420</v>
      </c>
      <c r="H114" t="inlineStr">
        <is>
          <t>ART</t>
        </is>
      </c>
      <c r="I114" t="inlineStr">
        <is>
          <t>22G1</t>
        </is>
      </c>
      <c r="L114" t="inlineStr">
        <is>
          <t>OOG</t>
        </is>
      </c>
      <c r="M114" t="inlineStr">
        <is>
          <t>Full</t>
        </is>
      </c>
      <c r="N114" t="inlineStr">
        <is>
          <t>RULED</t>
        </is>
      </c>
      <c r="P114" s="21">
        <f>C114</f>
        <v/>
      </c>
      <c r="Q114" s="21">
        <f t="array" ref="Q114">IFERROR(INDEX(Load_Booking_Report!AC:AC, MATCH(TRUE, ISNUMBER(FIND(SUBSTITUTE(C114," ",""), Load_Booking_Report!AL:AL)), 0)), "Not Found")</f>
        <v/>
      </c>
      <c r="R114" s="21">
        <f t="array" ref="R114">IFERROR(INDEX(Load_Booking_Report!C:C, MATCH(TRUE, ISNUMBER(FIND(SUBSTITUTE(C114," ",""), Load_Booking_Report!AL:AL)), 0)), "Not Found")</f>
        <v/>
      </c>
      <c r="S114" s="21">
        <f t="array" ref="S114">IFERROR(INDEX(Load_Booking_Report!AG:AG, MATCH(TRUE, ISNUMBER(FIND(SUBSTITUTE(C114," ",""), Load_Booking_Report!AL:AL)), 0)), "Not Found")</f>
        <v/>
      </c>
      <c r="T114" s="21">
        <f>G114</f>
        <v/>
      </c>
      <c r="U114" s="33">
        <f t="array" ref="U114">IFERROR(
   IF(
      INDEX(Load_Booking_Report!AM:AM,
             MATCH(TRUE,
                     ISNUMBER(FIND(SUBSTITUTE(C114," ",""),
                                    Load_Booking_Report!AL:AL)),
                     0)
      )=0,
      "",
      INDEX(Load_Booking_Report!AM:AM,
             MATCH(TRUE,
                     ISNUMBER(FIND(SUBSTITUTE(C114," ",""),
                                    Load_Booking_Report!AL:AL)),
                     0)
      )
   ),
   ""
)</f>
        <v/>
      </c>
      <c r="V114" s="21">
        <f t="array" ref="V114">IFERROR(
   IF(
      INDEX(Load_Booking_Report!AR:AR,
             MATCH(TRUE,
                     ISNUMBER(FIND(SUBSTITUTE(C114," ",""),
                                    Load_Booking_Report!AL:AL)),
                     0)
      )=0,
      "",
      INDEX(Load_Booking_Report!AR:AR,
             MATCH(TRUE,
                     ISNUMBER(FIND(SUBSTITUTE(C114," ",""),
                                    Load_Booking_Report!AL:AL)),
                     0)
      )
   ),
   ""
)</f>
        <v/>
      </c>
      <c r="W114" s="21">
        <f t="array" ref="W114">IFERROR(INDEX(Load_Booking_Report!F:F, MATCH(TRUE, ISNUMBER(FIND(SUBSTITUTE(C114," ",""), Load_Booking_Report!AL:AL)), 0)), "Not Found")</f>
        <v/>
      </c>
      <c r="X114" s="21">
        <f t="array" ref="X114">IFERROR(INDEX(Load_Booking_Report!N:N, MATCH(TRUE, ISNUMBER(FIND(SUBSTITUTE(C114," ",""), Load_Booking_Report!AL:AL)), 0)), "Not Found")</f>
        <v/>
      </c>
      <c r="Y114" s="21">
        <f t="array" ref="Y114">IFERROR(INDEX(Load_Booking_Report!V:V, MATCH(TRUE, ISNUMBER(FIND(SUBSTITUTE(C114," ",""), Load_Booking_Report!AL:AL)), 0)), "Not Found")</f>
        <v/>
      </c>
      <c r="Z114" s="41">
        <f t="array" ref="Z114">IFERROR(INDEX(Load_Booking_Report!BC:BC, MATCH(TRUE, ISNUMBER(FIND(SUBSTITUTE(C114," ",""), Load_Booking_Report!AL:AL)), 0)), "Not Found")</f>
        <v/>
      </c>
    </row>
    <row r="115">
      <c r="A115" t="n">
        <v>25</v>
      </c>
      <c r="B115" t="n">
        <v>250102</v>
      </c>
      <c r="C115" t="inlineStr">
        <is>
          <t>ANON0000000</t>
        </is>
      </c>
      <c r="D115" t="n">
        <v>20</v>
      </c>
      <c r="E115" t="inlineStr">
        <is>
          <t>USNYC</t>
        </is>
      </c>
      <c r="F115" t="inlineStr">
        <is>
          <t>RULED</t>
        </is>
      </c>
      <c r="G115" t="n">
        <v>27040</v>
      </c>
      <c r="H115" t="inlineStr">
        <is>
          <t>ART</t>
        </is>
      </c>
      <c r="I115" t="inlineStr">
        <is>
          <t>22G1</t>
        </is>
      </c>
      <c r="L115" t="inlineStr">
        <is>
          <t>8'6</t>
        </is>
      </c>
      <c r="M115" t="inlineStr">
        <is>
          <t>Full</t>
        </is>
      </c>
      <c r="N115" t="inlineStr">
        <is>
          <t>RULED</t>
        </is>
      </c>
      <c r="P115" s="21">
        <f>C115</f>
        <v/>
      </c>
      <c r="Q115" s="21">
        <f t="array" ref="Q115">IFERROR(INDEX(Load_Booking_Report!AC:AC, MATCH(TRUE, ISNUMBER(FIND(SUBSTITUTE(C115," ",""), Load_Booking_Report!AL:AL)), 0)), "Not Found")</f>
        <v/>
      </c>
      <c r="R115" s="21">
        <f t="array" ref="R115">IFERROR(INDEX(Load_Booking_Report!C:C, MATCH(TRUE, ISNUMBER(FIND(SUBSTITUTE(C115," ",""), Load_Booking_Report!AL:AL)), 0)), "Not Found")</f>
        <v/>
      </c>
      <c r="S115" s="21">
        <f t="array" ref="S115">IFERROR(INDEX(Load_Booking_Report!AG:AG, MATCH(TRUE, ISNUMBER(FIND(SUBSTITUTE(C115," ",""), Load_Booking_Report!AL:AL)), 0)), "Not Found")</f>
        <v/>
      </c>
      <c r="T115" s="21">
        <f>G115</f>
        <v/>
      </c>
      <c r="U115" s="33">
        <f t="array" ref="U115">IFERROR(
   IF(
      INDEX(Load_Booking_Report!AM:AM,
             MATCH(TRUE,
                     ISNUMBER(FIND(SUBSTITUTE(C115," ",""),
                                    Load_Booking_Report!AL:AL)),
                     0)
      )=0,
      "",
      INDEX(Load_Booking_Report!AM:AM,
             MATCH(TRUE,
                     ISNUMBER(FIND(SUBSTITUTE(C115," ",""),
                                    Load_Booking_Report!AL:AL)),
                     0)
      )
   ),
   ""
)</f>
        <v/>
      </c>
      <c r="V115" s="21">
        <f t="array" ref="V115">IFERROR(
   IF(
      INDEX(Load_Booking_Report!AR:AR,
             MATCH(TRUE,
                     ISNUMBER(FIND(SUBSTITUTE(C115," ",""),
                                    Load_Booking_Report!AL:AL)),
                     0)
      )=0,
      "",
      INDEX(Load_Booking_Report!AR:AR,
             MATCH(TRUE,
                     ISNUMBER(FIND(SUBSTITUTE(C115," ",""),
                                    Load_Booking_Report!AL:AL)),
                     0)
      )
   ),
   ""
)</f>
        <v/>
      </c>
      <c r="W115" s="21">
        <f t="array" ref="W115">IFERROR(INDEX(Load_Booking_Report!F:F, MATCH(TRUE, ISNUMBER(FIND(SUBSTITUTE(C115," ",""), Load_Booking_Report!AL:AL)), 0)), "Not Found")</f>
        <v/>
      </c>
      <c r="X115" s="21">
        <f t="array" ref="X115">IFERROR(INDEX(Load_Booking_Report!N:N, MATCH(TRUE, ISNUMBER(FIND(SUBSTITUTE(C115," ",""), Load_Booking_Report!AL:AL)), 0)), "Not Found")</f>
        <v/>
      </c>
      <c r="Y115" s="21">
        <f t="array" ref="Y115">IFERROR(INDEX(Load_Booking_Report!V:V, MATCH(TRUE, ISNUMBER(FIND(SUBSTITUTE(C115," ",""), Load_Booking_Report!AL:AL)), 0)), "Not Found")</f>
        <v/>
      </c>
      <c r="Z115" s="41">
        <f t="array" ref="Z115">IFERROR(INDEX(Load_Booking_Report!BC:BC, MATCH(TRUE, ISNUMBER(FIND(SUBSTITUTE(C115," ",""), Load_Booking_Report!AL:AL)), 0)), "Not Found")</f>
        <v/>
      </c>
    </row>
    <row r="116">
      <c r="A116" t="n">
        <v>13</v>
      </c>
      <c r="B116" t="n">
        <v>130504</v>
      </c>
      <c r="C116" t="inlineStr">
        <is>
          <t>ANON0000000</t>
        </is>
      </c>
      <c r="D116" t="n">
        <v>20</v>
      </c>
      <c r="E116" t="inlineStr">
        <is>
          <t>USNFK</t>
        </is>
      </c>
      <c r="F116" t="inlineStr">
        <is>
          <t>RULED</t>
        </is>
      </c>
      <c r="G116" t="n">
        <v>26700</v>
      </c>
      <c r="H116" t="inlineStr">
        <is>
          <t>ART</t>
        </is>
      </c>
      <c r="I116" t="inlineStr">
        <is>
          <t>22G1</t>
        </is>
      </c>
      <c r="L116" t="inlineStr">
        <is>
          <t>OOG</t>
        </is>
      </c>
      <c r="M116" t="inlineStr">
        <is>
          <t>Full</t>
        </is>
      </c>
      <c r="N116" t="inlineStr">
        <is>
          <t>RULED</t>
        </is>
      </c>
      <c r="P116" s="21">
        <f>C116</f>
        <v/>
      </c>
      <c r="Q116" s="21">
        <f t="array" ref="Q116">IFERROR(INDEX(Load_Booking_Report!AC:AC, MATCH(TRUE, ISNUMBER(FIND(SUBSTITUTE(C116," ",""), Load_Booking_Report!AL:AL)), 0)), "Not Found")</f>
        <v/>
      </c>
      <c r="R116" s="21">
        <f t="array" ref="R116">IFERROR(INDEX(Load_Booking_Report!C:C, MATCH(TRUE, ISNUMBER(FIND(SUBSTITUTE(C116," ",""), Load_Booking_Report!AL:AL)), 0)), "Not Found")</f>
        <v/>
      </c>
      <c r="S116" s="21">
        <f t="array" ref="S116">IFERROR(INDEX(Load_Booking_Report!AG:AG, MATCH(TRUE, ISNUMBER(FIND(SUBSTITUTE(C116," ",""), Load_Booking_Report!AL:AL)), 0)), "Not Found")</f>
        <v/>
      </c>
      <c r="T116" s="21">
        <f>G116</f>
        <v/>
      </c>
      <c r="U116" s="33">
        <f t="array" ref="U116">IFERROR(
   IF(
      INDEX(Load_Booking_Report!AM:AM,
             MATCH(TRUE,
                     ISNUMBER(FIND(SUBSTITUTE(C116," ",""),
                                    Load_Booking_Report!AL:AL)),
                     0)
      )=0,
      "",
      INDEX(Load_Booking_Report!AM:AM,
             MATCH(TRUE,
                     ISNUMBER(FIND(SUBSTITUTE(C116," ",""),
                                    Load_Booking_Report!AL:AL)),
                     0)
      )
   ),
   ""
)</f>
        <v/>
      </c>
      <c r="V116" s="21">
        <f t="array" ref="V116">IFERROR(
   IF(
      INDEX(Load_Booking_Report!AR:AR,
             MATCH(TRUE,
                     ISNUMBER(FIND(SUBSTITUTE(C116," ",""),
                                    Load_Booking_Report!AL:AL)),
                     0)
      )=0,
      "",
      INDEX(Load_Booking_Report!AR:AR,
             MATCH(TRUE,
                     ISNUMBER(FIND(SUBSTITUTE(C116," ",""),
                                    Load_Booking_Report!AL:AL)),
                     0)
      )
   ),
   ""
)</f>
        <v/>
      </c>
      <c r="W116" s="21">
        <f t="array" ref="W116">IFERROR(INDEX(Load_Booking_Report!F:F, MATCH(TRUE, ISNUMBER(FIND(SUBSTITUTE(C116," ",""), Load_Booking_Report!AL:AL)), 0)), "Not Found")</f>
        <v/>
      </c>
      <c r="X116" s="21">
        <f t="array" ref="X116">IFERROR(INDEX(Load_Booking_Report!N:N, MATCH(TRUE, ISNUMBER(FIND(SUBSTITUTE(C116," ",""), Load_Booking_Report!AL:AL)), 0)), "Not Found")</f>
        <v/>
      </c>
      <c r="Y116" s="21">
        <f t="array" ref="Y116">IFERROR(INDEX(Load_Booking_Report!V:V, MATCH(TRUE, ISNUMBER(FIND(SUBSTITUTE(C116," ",""), Load_Booking_Report!AL:AL)), 0)), "Not Found")</f>
        <v/>
      </c>
      <c r="Z116" s="41">
        <f t="array" ref="Z116">IFERROR(INDEX(Load_Booking_Report!BC:BC, MATCH(TRUE, ISNUMBER(FIND(SUBSTITUTE(C116," ",""), Load_Booking_Report!AL:AL)), 0)), "Not Found")</f>
        <v/>
      </c>
    </row>
    <row r="117">
      <c r="A117" t="n">
        <v>19</v>
      </c>
      <c r="B117" t="n">
        <v>190204</v>
      </c>
      <c r="C117" t="inlineStr">
        <is>
          <t>ANON0000000</t>
        </is>
      </c>
      <c r="D117" t="n">
        <v>20</v>
      </c>
      <c r="E117" t="inlineStr">
        <is>
          <t>USNFK</t>
        </is>
      </c>
      <c r="F117" t="inlineStr">
        <is>
          <t>RULED</t>
        </is>
      </c>
      <c r="G117" t="n">
        <v>26480</v>
      </c>
      <c r="H117" t="inlineStr">
        <is>
          <t>ART</t>
        </is>
      </c>
      <c r="I117" t="inlineStr">
        <is>
          <t>22G1</t>
        </is>
      </c>
      <c r="L117" t="inlineStr">
        <is>
          <t>OOG</t>
        </is>
      </c>
      <c r="M117" t="inlineStr">
        <is>
          <t>Full</t>
        </is>
      </c>
      <c r="N117" t="inlineStr">
        <is>
          <t>RULED</t>
        </is>
      </c>
      <c r="P117" s="21">
        <f>C117</f>
        <v/>
      </c>
      <c r="Q117" s="21">
        <f t="array" ref="Q117">IFERROR(INDEX(Load_Booking_Report!AC:AC, MATCH(TRUE, ISNUMBER(FIND(SUBSTITUTE(C117," ",""), Load_Booking_Report!AL:AL)), 0)), "Not Found")</f>
        <v/>
      </c>
      <c r="R117" s="21">
        <f t="array" ref="R117">IFERROR(INDEX(Load_Booking_Report!C:C, MATCH(TRUE, ISNUMBER(FIND(SUBSTITUTE(C117," ",""), Load_Booking_Report!AL:AL)), 0)), "Not Found")</f>
        <v/>
      </c>
      <c r="S117" s="21">
        <f t="array" ref="S117">IFERROR(INDEX(Load_Booking_Report!AG:AG, MATCH(TRUE, ISNUMBER(FIND(SUBSTITUTE(C117," ",""), Load_Booking_Report!AL:AL)), 0)), "Not Found")</f>
        <v/>
      </c>
      <c r="T117" s="21">
        <f>G117</f>
        <v/>
      </c>
      <c r="U117" s="33">
        <f t="array" ref="U117">IFERROR(
   IF(
      INDEX(Load_Booking_Report!AM:AM,
             MATCH(TRUE,
                     ISNUMBER(FIND(SUBSTITUTE(C117," ",""),
                                    Load_Booking_Report!AL:AL)),
                     0)
      )=0,
      "",
      INDEX(Load_Booking_Report!AM:AM,
             MATCH(TRUE,
                     ISNUMBER(FIND(SUBSTITUTE(C117," ",""),
                                    Load_Booking_Report!AL:AL)),
                     0)
      )
   ),
   ""
)</f>
        <v/>
      </c>
      <c r="V117" s="21">
        <f t="array" ref="V117">IFERROR(
   IF(
      INDEX(Load_Booking_Report!AR:AR,
             MATCH(TRUE,
                     ISNUMBER(FIND(SUBSTITUTE(C117," ",""),
                                    Load_Booking_Report!AL:AL)),
                     0)
      )=0,
      "",
      INDEX(Load_Booking_Report!AR:AR,
             MATCH(TRUE,
                     ISNUMBER(FIND(SUBSTITUTE(C117," ",""),
                                    Load_Booking_Report!AL:AL)),
                     0)
      )
   ),
   ""
)</f>
        <v/>
      </c>
      <c r="W117" s="21">
        <f t="array" ref="W117">IFERROR(INDEX(Load_Booking_Report!F:F, MATCH(TRUE, ISNUMBER(FIND(SUBSTITUTE(C117," ",""), Load_Booking_Report!AL:AL)), 0)), "Not Found")</f>
        <v/>
      </c>
      <c r="X117" s="21">
        <f t="array" ref="X117">IFERROR(INDEX(Load_Booking_Report!N:N, MATCH(TRUE, ISNUMBER(FIND(SUBSTITUTE(C117," ",""), Load_Booking_Report!AL:AL)), 0)), "Not Found")</f>
        <v/>
      </c>
      <c r="Y117" s="21">
        <f t="array" ref="Y117">IFERROR(INDEX(Load_Booking_Report!V:V, MATCH(TRUE, ISNUMBER(FIND(SUBSTITUTE(C117," ",""), Load_Booking_Report!AL:AL)), 0)), "Not Found")</f>
        <v/>
      </c>
      <c r="Z117" s="41">
        <f t="array" ref="Z117">IFERROR(INDEX(Load_Booking_Report!BC:BC, MATCH(TRUE, ISNUMBER(FIND(SUBSTITUTE(C117," ",""), Load_Booking_Report!AL:AL)), 0)), "Not Found")</f>
        <v/>
      </c>
    </row>
    <row r="118">
      <c r="A118" t="n">
        <v>15</v>
      </c>
      <c r="B118" t="n">
        <v>150506</v>
      </c>
      <c r="C118" t="inlineStr">
        <is>
          <t>ANON0000000</t>
        </is>
      </c>
      <c r="D118" t="n">
        <v>20</v>
      </c>
      <c r="E118" t="inlineStr">
        <is>
          <t>USNFK</t>
        </is>
      </c>
      <c r="F118" t="inlineStr">
        <is>
          <t>RULED</t>
        </is>
      </c>
      <c r="G118" t="n">
        <v>23562</v>
      </c>
      <c r="H118" t="inlineStr">
        <is>
          <t>ART</t>
        </is>
      </c>
      <c r="I118" t="inlineStr">
        <is>
          <t>22G1</t>
        </is>
      </c>
      <c r="L118" t="inlineStr">
        <is>
          <t>OOG</t>
        </is>
      </c>
      <c r="M118" t="inlineStr">
        <is>
          <t>Full</t>
        </is>
      </c>
      <c r="N118" t="inlineStr">
        <is>
          <t>RULED</t>
        </is>
      </c>
      <c r="P118" s="21">
        <f>C118</f>
        <v/>
      </c>
      <c r="Q118" s="21">
        <f t="array" ref="Q118">IFERROR(INDEX(Load_Booking_Report!AC:AC, MATCH(TRUE, ISNUMBER(FIND(SUBSTITUTE(C118," ",""), Load_Booking_Report!AL:AL)), 0)), "Not Found")</f>
        <v/>
      </c>
      <c r="R118" s="21">
        <f t="array" ref="R118">IFERROR(INDEX(Load_Booking_Report!C:C, MATCH(TRUE, ISNUMBER(FIND(SUBSTITUTE(C118," ",""), Load_Booking_Report!AL:AL)), 0)), "Not Found")</f>
        <v/>
      </c>
      <c r="S118" s="21">
        <f t="array" ref="S118">IFERROR(INDEX(Load_Booking_Report!AG:AG, MATCH(TRUE, ISNUMBER(FIND(SUBSTITUTE(C118," ",""), Load_Booking_Report!AL:AL)), 0)), "Not Found")</f>
        <v/>
      </c>
      <c r="T118" s="21">
        <f>G118</f>
        <v/>
      </c>
      <c r="U118" s="33">
        <f t="array" ref="U118">IFERROR(
   IF(
      INDEX(Load_Booking_Report!AM:AM,
             MATCH(TRUE,
                     ISNUMBER(FIND(SUBSTITUTE(C118," ",""),
                                    Load_Booking_Report!AL:AL)),
                     0)
      )=0,
      "",
      INDEX(Load_Booking_Report!AM:AM,
             MATCH(TRUE,
                     ISNUMBER(FIND(SUBSTITUTE(C118," ",""),
                                    Load_Booking_Report!AL:AL)),
                     0)
      )
   ),
   ""
)</f>
        <v/>
      </c>
      <c r="V118" s="21">
        <f t="array" ref="V118">IFERROR(
   IF(
      INDEX(Load_Booking_Report!AR:AR,
             MATCH(TRUE,
                     ISNUMBER(FIND(SUBSTITUTE(C118," ",""),
                                    Load_Booking_Report!AL:AL)),
                     0)
      )=0,
      "",
      INDEX(Load_Booking_Report!AR:AR,
             MATCH(TRUE,
                     ISNUMBER(FIND(SUBSTITUTE(C118," ",""),
                                    Load_Booking_Report!AL:AL)),
                     0)
      )
   ),
   ""
)</f>
        <v/>
      </c>
      <c r="W118" s="21">
        <f t="array" ref="W118">IFERROR(INDEX(Load_Booking_Report!F:F, MATCH(TRUE, ISNUMBER(FIND(SUBSTITUTE(C118," ",""), Load_Booking_Report!AL:AL)), 0)), "Not Found")</f>
        <v/>
      </c>
      <c r="X118" s="21">
        <f t="array" ref="X118">IFERROR(INDEX(Load_Booking_Report!N:N, MATCH(TRUE, ISNUMBER(FIND(SUBSTITUTE(C118," ",""), Load_Booking_Report!AL:AL)), 0)), "Not Found")</f>
        <v/>
      </c>
      <c r="Y118" s="21">
        <f t="array" ref="Y118">IFERROR(INDEX(Load_Booking_Report!V:V, MATCH(TRUE, ISNUMBER(FIND(SUBSTITUTE(C118," ",""), Load_Booking_Report!AL:AL)), 0)), "Not Found")</f>
        <v/>
      </c>
      <c r="Z118" s="41">
        <f t="array" ref="Z118">IFERROR(INDEX(Load_Booking_Report!BC:BC, MATCH(TRUE, ISNUMBER(FIND(SUBSTITUTE(C118," ",""), Load_Booking_Report!AL:AL)), 0)), "Not Found")</f>
        <v/>
      </c>
    </row>
    <row r="119">
      <c r="A119" t="n">
        <v>29</v>
      </c>
      <c r="B119" t="n">
        <v>290602</v>
      </c>
      <c r="C119" t="inlineStr">
        <is>
          <t>ANON0000000</t>
        </is>
      </c>
      <c r="D119" t="n">
        <v>20</v>
      </c>
      <c r="E119" t="inlineStr">
        <is>
          <t>USNFK</t>
        </is>
      </c>
      <c r="F119" t="inlineStr">
        <is>
          <t>RULED</t>
        </is>
      </c>
      <c r="G119" t="n">
        <v>28200</v>
      </c>
      <c r="H119" t="inlineStr">
        <is>
          <t>ART</t>
        </is>
      </c>
      <c r="I119" t="inlineStr">
        <is>
          <t>22G1</t>
        </is>
      </c>
      <c r="L119" t="inlineStr">
        <is>
          <t>OOG</t>
        </is>
      </c>
      <c r="M119" t="inlineStr">
        <is>
          <t>Full</t>
        </is>
      </c>
      <c r="N119" t="inlineStr">
        <is>
          <t>RULED</t>
        </is>
      </c>
      <c r="P119" s="21">
        <f>C119</f>
        <v/>
      </c>
      <c r="Q119" s="21">
        <f t="array" ref="Q119">IFERROR(INDEX(Load_Booking_Report!AC:AC, MATCH(TRUE, ISNUMBER(FIND(SUBSTITUTE(C119," ",""), Load_Booking_Report!AL:AL)), 0)), "Not Found")</f>
        <v/>
      </c>
      <c r="R119" s="21">
        <f t="array" ref="R119">IFERROR(INDEX(Load_Booking_Report!C:C, MATCH(TRUE, ISNUMBER(FIND(SUBSTITUTE(C119," ",""), Load_Booking_Report!AL:AL)), 0)), "Not Found")</f>
        <v/>
      </c>
      <c r="S119" s="21">
        <f t="array" ref="S119">IFERROR(INDEX(Load_Booking_Report!AG:AG, MATCH(TRUE, ISNUMBER(FIND(SUBSTITUTE(C119," ",""), Load_Booking_Report!AL:AL)), 0)), "Not Found")</f>
        <v/>
      </c>
      <c r="T119" s="21">
        <f>G119</f>
        <v/>
      </c>
      <c r="U119" s="33">
        <f t="array" ref="U119">IFERROR(
   IF(
      INDEX(Load_Booking_Report!AM:AM,
             MATCH(TRUE,
                     ISNUMBER(FIND(SUBSTITUTE(C119," ",""),
                                    Load_Booking_Report!AL:AL)),
                     0)
      )=0,
      "",
      INDEX(Load_Booking_Report!AM:AM,
             MATCH(TRUE,
                     ISNUMBER(FIND(SUBSTITUTE(C119," ",""),
                                    Load_Booking_Report!AL:AL)),
                     0)
      )
   ),
   ""
)</f>
        <v/>
      </c>
      <c r="V119" s="21">
        <f t="array" ref="V119">IFERROR(
   IF(
      INDEX(Load_Booking_Report!AR:AR,
             MATCH(TRUE,
                     ISNUMBER(FIND(SUBSTITUTE(C119," ",""),
                                    Load_Booking_Report!AL:AL)),
                     0)
      )=0,
      "",
      INDEX(Load_Booking_Report!AR:AR,
             MATCH(TRUE,
                     ISNUMBER(FIND(SUBSTITUTE(C119," ",""),
                                    Load_Booking_Report!AL:AL)),
                     0)
      )
   ),
   ""
)</f>
        <v/>
      </c>
      <c r="W119" s="21">
        <f t="array" ref="W119">IFERROR(INDEX(Load_Booking_Report!F:F, MATCH(TRUE, ISNUMBER(FIND(SUBSTITUTE(C119," ",""), Load_Booking_Report!AL:AL)), 0)), "Not Found")</f>
        <v/>
      </c>
      <c r="X119" s="21">
        <f t="array" ref="X119">IFERROR(INDEX(Load_Booking_Report!N:N, MATCH(TRUE, ISNUMBER(FIND(SUBSTITUTE(C119," ",""), Load_Booking_Report!AL:AL)), 0)), "Not Found")</f>
        <v/>
      </c>
      <c r="Y119" s="21">
        <f t="array" ref="Y119">IFERROR(INDEX(Load_Booking_Report!V:V, MATCH(TRUE, ISNUMBER(FIND(SUBSTITUTE(C119," ",""), Load_Booking_Report!AL:AL)), 0)), "Not Found")</f>
        <v/>
      </c>
      <c r="Z119" s="41">
        <f t="array" ref="Z119">IFERROR(INDEX(Load_Booking_Report!BC:BC, MATCH(TRUE, ISNUMBER(FIND(SUBSTITUTE(C119," ",""), Load_Booking_Report!AL:AL)), 0)), "Not Found")</f>
        <v/>
      </c>
    </row>
    <row r="120">
      <c r="A120" t="n">
        <v>29</v>
      </c>
      <c r="B120" t="n">
        <v>290102</v>
      </c>
      <c r="C120" t="inlineStr">
        <is>
          <t>ANON0000000</t>
        </is>
      </c>
      <c r="D120" t="n">
        <v>20</v>
      </c>
      <c r="E120" t="inlineStr">
        <is>
          <t>USNFK</t>
        </is>
      </c>
      <c r="F120" t="inlineStr">
        <is>
          <t>RULED</t>
        </is>
      </c>
      <c r="G120" t="n">
        <v>28200</v>
      </c>
      <c r="H120" t="inlineStr">
        <is>
          <t>ART</t>
        </is>
      </c>
      <c r="I120" t="inlineStr">
        <is>
          <t>22G1</t>
        </is>
      </c>
      <c r="L120" t="inlineStr">
        <is>
          <t>OOG</t>
        </is>
      </c>
      <c r="M120" t="inlineStr">
        <is>
          <t>Full</t>
        </is>
      </c>
      <c r="N120" t="inlineStr">
        <is>
          <t>RULED</t>
        </is>
      </c>
      <c r="P120" s="21">
        <f>C120</f>
        <v/>
      </c>
      <c r="Q120" s="21">
        <f t="array" ref="Q120">IFERROR(INDEX(Load_Booking_Report!AC:AC, MATCH(TRUE, ISNUMBER(FIND(SUBSTITUTE(C120," ",""), Load_Booking_Report!AL:AL)), 0)), "Not Found")</f>
        <v/>
      </c>
      <c r="R120" s="21">
        <f t="array" ref="R120">IFERROR(INDEX(Load_Booking_Report!C:C, MATCH(TRUE, ISNUMBER(FIND(SUBSTITUTE(C120," ",""), Load_Booking_Report!AL:AL)), 0)), "Not Found")</f>
        <v/>
      </c>
      <c r="S120" s="21">
        <f t="array" ref="S120">IFERROR(INDEX(Load_Booking_Report!AG:AG, MATCH(TRUE, ISNUMBER(FIND(SUBSTITUTE(C120," ",""), Load_Booking_Report!AL:AL)), 0)), "Not Found")</f>
        <v/>
      </c>
      <c r="T120" s="21">
        <f>G120</f>
        <v/>
      </c>
      <c r="U120" s="33">
        <f t="array" ref="U120">IFERROR(
   IF(
      INDEX(Load_Booking_Report!AM:AM,
             MATCH(TRUE,
                     ISNUMBER(FIND(SUBSTITUTE(C120," ",""),
                                    Load_Booking_Report!AL:AL)),
                     0)
      )=0,
      "",
      INDEX(Load_Booking_Report!AM:AM,
             MATCH(TRUE,
                     ISNUMBER(FIND(SUBSTITUTE(C120," ",""),
                                    Load_Booking_Report!AL:AL)),
                     0)
      )
   ),
   ""
)</f>
        <v/>
      </c>
      <c r="V120" s="21">
        <f t="array" ref="V120">IFERROR(
   IF(
      INDEX(Load_Booking_Report!AR:AR,
             MATCH(TRUE,
                     ISNUMBER(FIND(SUBSTITUTE(C120," ",""),
                                    Load_Booking_Report!AL:AL)),
                     0)
      )=0,
      "",
      INDEX(Load_Booking_Report!AR:AR,
             MATCH(TRUE,
                     ISNUMBER(FIND(SUBSTITUTE(C120," ",""),
                                    Load_Booking_Report!AL:AL)),
                     0)
      )
   ),
   ""
)</f>
        <v/>
      </c>
      <c r="W120" s="21">
        <f t="array" ref="W120">IFERROR(INDEX(Load_Booking_Report!F:F, MATCH(TRUE, ISNUMBER(FIND(SUBSTITUTE(C120," ",""), Load_Booking_Report!AL:AL)), 0)), "Not Found")</f>
        <v/>
      </c>
      <c r="X120" s="21">
        <f t="array" ref="X120">IFERROR(INDEX(Load_Booking_Report!N:N, MATCH(TRUE, ISNUMBER(FIND(SUBSTITUTE(C120," ",""), Load_Booking_Report!AL:AL)), 0)), "Not Found")</f>
        <v/>
      </c>
      <c r="Y120" s="21">
        <f t="array" ref="Y120">IFERROR(INDEX(Load_Booking_Report!V:V, MATCH(TRUE, ISNUMBER(FIND(SUBSTITUTE(C120," ",""), Load_Booking_Report!AL:AL)), 0)), "Not Found")</f>
        <v/>
      </c>
      <c r="Z120" s="41">
        <f t="array" ref="Z120">IFERROR(INDEX(Load_Booking_Report!BC:BC, MATCH(TRUE, ISNUMBER(FIND(SUBSTITUTE(C120," ",""), Load_Booking_Report!AL:AL)), 0)), "Not Found")</f>
        <v/>
      </c>
    </row>
    <row r="121">
      <c r="A121" t="n">
        <v>7</v>
      </c>
      <c r="B121" t="n">
        <v>70404</v>
      </c>
      <c r="C121" t="inlineStr">
        <is>
          <t>ANON0000000</t>
        </is>
      </c>
      <c r="D121" t="n">
        <v>20</v>
      </c>
      <c r="E121" t="inlineStr">
        <is>
          <t>USNFK</t>
        </is>
      </c>
      <c r="F121" t="inlineStr">
        <is>
          <t>RULED</t>
        </is>
      </c>
      <c r="G121" t="n">
        <v>28200</v>
      </c>
      <c r="H121" t="inlineStr">
        <is>
          <t>ART</t>
        </is>
      </c>
      <c r="I121" t="inlineStr">
        <is>
          <t>22G1</t>
        </is>
      </c>
      <c r="L121" t="inlineStr">
        <is>
          <t>8'6</t>
        </is>
      </c>
      <c r="M121" t="inlineStr">
        <is>
          <t>Full</t>
        </is>
      </c>
      <c r="N121" t="inlineStr">
        <is>
          <t>RULED</t>
        </is>
      </c>
      <c r="P121" s="21">
        <f>C121</f>
        <v/>
      </c>
      <c r="Q121" s="21">
        <f t="array" ref="Q121">IFERROR(INDEX(Load_Booking_Report!AC:AC, MATCH(TRUE, ISNUMBER(FIND(SUBSTITUTE(C121," ",""), Load_Booking_Report!AL:AL)), 0)), "Not Found")</f>
        <v/>
      </c>
      <c r="R121" s="21">
        <f t="array" ref="R121">IFERROR(INDEX(Load_Booking_Report!C:C, MATCH(TRUE, ISNUMBER(FIND(SUBSTITUTE(C121," ",""), Load_Booking_Report!AL:AL)), 0)), "Not Found")</f>
        <v/>
      </c>
      <c r="S121" s="21">
        <f t="array" ref="S121">IFERROR(INDEX(Load_Booking_Report!AG:AG, MATCH(TRUE, ISNUMBER(FIND(SUBSTITUTE(C121," ",""), Load_Booking_Report!AL:AL)), 0)), "Not Found")</f>
        <v/>
      </c>
      <c r="T121" s="21">
        <f>G121</f>
        <v/>
      </c>
      <c r="U121" s="33">
        <f t="array" ref="U121">IFERROR(
   IF(
      INDEX(Load_Booking_Report!AM:AM,
             MATCH(TRUE,
                     ISNUMBER(FIND(SUBSTITUTE(C121," ",""),
                                    Load_Booking_Report!AL:AL)),
                     0)
      )=0,
      "",
      INDEX(Load_Booking_Report!AM:AM,
             MATCH(TRUE,
                     ISNUMBER(FIND(SUBSTITUTE(C121," ",""),
                                    Load_Booking_Report!AL:AL)),
                     0)
      )
   ),
   ""
)</f>
        <v/>
      </c>
      <c r="V121" s="21">
        <f t="array" ref="V121">IFERROR(
   IF(
      INDEX(Load_Booking_Report!AR:AR,
             MATCH(TRUE,
                     ISNUMBER(FIND(SUBSTITUTE(C121," ",""),
                                    Load_Booking_Report!AL:AL)),
                     0)
      )=0,
      "",
      INDEX(Load_Booking_Report!AR:AR,
             MATCH(TRUE,
                     ISNUMBER(FIND(SUBSTITUTE(C121," ",""),
                                    Load_Booking_Report!AL:AL)),
                     0)
      )
   ),
   ""
)</f>
        <v/>
      </c>
      <c r="W121" s="21">
        <f t="array" ref="W121">IFERROR(INDEX(Load_Booking_Report!F:F, MATCH(TRUE, ISNUMBER(FIND(SUBSTITUTE(C121," ",""), Load_Booking_Report!AL:AL)), 0)), "Not Found")</f>
        <v/>
      </c>
      <c r="X121" s="21">
        <f t="array" ref="X121">IFERROR(INDEX(Load_Booking_Report!N:N, MATCH(TRUE, ISNUMBER(FIND(SUBSTITUTE(C121," ",""), Load_Booking_Report!AL:AL)), 0)), "Not Found")</f>
        <v/>
      </c>
      <c r="Y121" s="21">
        <f t="array" ref="Y121">IFERROR(INDEX(Load_Booking_Report!V:V, MATCH(TRUE, ISNUMBER(FIND(SUBSTITUTE(C121," ",""), Load_Booking_Report!AL:AL)), 0)), "Not Found")</f>
        <v/>
      </c>
      <c r="Z121" s="41">
        <f t="array" ref="Z121">IFERROR(INDEX(Load_Booking_Report!BC:BC, MATCH(TRUE, ISNUMBER(FIND(SUBSTITUTE(C121," ",""), Load_Booking_Report!AL:AL)), 0)), "Not Found")</f>
        <v/>
      </c>
    </row>
    <row r="122">
      <c r="A122" t="n">
        <v>19</v>
      </c>
      <c r="B122" t="n">
        <v>190602</v>
      </c>
      <c r="C122" t="inlineStr">
        <is>
          <t>ANON0000000</t>
        </is>
      </c>
      <c r="D122" t="n">
        <v>20</v>
      </c>
      <c r="E122" t="inlineStr">
        <is>
          <t>USNFK</t>
        </is>
      </c>
      <c r="F122" t="inlineStr">
        <is>
          <t>RULED</t>
        </is>
      </c>
      <c r="G122" t="n">
        <v>27510</v>
      </c>
      <c r="H122" t="inlineStr">
        <is>
          <t>ART</t>
        </is>
      </c>
      <c r="I122" t="inlineStr">
        <is>
          <t>22G1</t>
        </is>
      </c>
      <c r="L122" t="inlineStr">
        <is>
          <t>OOG</t>
        </is>
      </c>
      <c r="M122" t="inlineStr">
        <is>
          <t>Full</t>
        </is>
      </c>
      <c r="N122" t="inlineStr">
        <is>
          <t>RULED</t>
        </is>
      </c>
      <c r="P122" s="21">
        <f>C122</f>
        <v/>
      </c>
      <c r="Q122" s="21">
        <f t="array" ref="Q122">IFERROR(INDEX(Load_Booking_Report!AC:AC, MATCH(TRUE, ISNUMBER(FIND(SUBSTITUTE(C122," ",""), Load_Booking_Report!AL:AL)), 0)), "Not Found")</f>
        <v/>
      </c>
      <c r="R122" s="21">
        <f t="array" ref="R122">IFERROR(INDEX(Load_Booking_Report!C:C, MATCH(TRUE, ISNUMBER(FIND(SUBSTITUTE(C122," ",""), Load_Booking_Report!AL:AL)), 0)), "Not Found")</f>
        <v/>
      </c>
      <c r="S122" s="21">
        <f t="array" ref="S122">IFERROR(INDEX(Load_Booking_Report!AG:AG, MATCH(TRUE, ISNUMBER(FIND(SUBSTITUTE(C122," ",""), Load_Booking_Report!AL:AL)), 0)), "Not Found")</f>
        <v/>
      </c>
      <c r="T122" s="21">
        <f>G122</f>
        <v/>
      </c>
      <c r="U122" s="33">
        <f t="array" ref="U122">IFERROR(
   IF(
      INDEX(Load_Booking_Report!AM:AM,
             MATCH(TRUE,
                     ISNUMBER(FIND(SUBSTITUTE(C122," ",""),
                                    Load_Booking_Report!AL:AL)),
                     0)
      )=0,
      "",
      INDEX(Load_Booking_Report!AM:AM,
             MATCH(TRUE,
                     ISNUMBER(FIND(SUBSTITUTE(C122," ",""),
                                    Load_Booking_Report!AL:AL)),
                     0)
      )
   ),
   ""
)</f>
        <v/>
      </c>
      <c r="V122" s="21">
        <f t="array" ref="V122">IFERROR(
   IF(
      INDEX(Load_Booking_Report!AR:AR,
             MATCH(TRUE,
                     ISNUMBER(FIND(SUBSTITUTE(C122," ",""),
                                    Load_Booking_Report!AL:AL)),
                     0)
      )=0,
      "",
      INDEX(Load_Booking_Report!AR:AR,
             MATCH(TRUE,
                     ISNUMBER(FIND(SUBSTITUTE(C122," ",""),
                                    Load_Booking_Report!AL:AL)),
                     0)
      )
   ),
   ""
)</f>
        <v/>
      </c>
      <c r="W122" s="21">
        <f t="array" ref="W122">IFERROR(INDEX(Load_Booking_Report!F:F, MATCH(TRUE, ISNUMBER(FIND(SUBSTITUTE(C122," ",""), Load_Booking_Report!AL:AL)), 0)), "Not Found")</f>
        <v/>
      </c>
      <c r="X122" s="21">
        <f t="array" ref="X122">IFERROR(INDEX(Load_Booking_Report!N:N, MATCH(TRUE, ISNUMBER(FIND(SUBSTITUTE(C122," ",""), Load_Booking_Report!AL:AL)), 0)), "Not Found")</f>
        <v/>
      </c>
      <c r="Y122" s="21">
        <f t="array" ref="Y122">IFERROR(INDEX(Load_Booking_Report!V:V, MATCH(TRUE, ISNUMBER(FIND(SUBSTITUTE(C122," ",""), Load_Booking_Report!AL:AL)), 0)), "Not Found")</f>
        <v/>
      </c>
      <c r="Z122" s="41">
        <f t="array" ref="Z122">IFERROR(INDEX(Load_Booking_Report!BC:BC, MATCH(TRUE, ISNUMBER(FIND(SUBSTITUTE(C122," ",""), Load_Booking_Report!AL:AL)), 0)), "Not Found")</f>
        <v/>
      </c>
    </row>
    <row r="123">
      <c r="A123" t="n">
        <v>29</v>
      </c>
      <c r="B123" t="n">
        <v>290504</v>
      </c>
      <c r="C123" t="inlineStr">
        <is>
          <t>ANON0000000</t>
        </is>
      </c>
      <c r="D123" t="n">
        <v>20</v>
      </c>
      <c r="E123" t="inlineStr">
        <is>
          <t>USNFK</t>
        </is>
      </c>
      <c r="F123" t="inlineStr">
        <is>
          <t>RULED</t>
        </is>
      </c>
      <c r="G123" t="n">
        <v>27970</v>
      </c>
      <c r="H123" t="inlineStr">
        <is>
          <t>ART</t>
        </is>
      </c>
      <c r="I123" t="inlineStr">
        <is>
          <t>22G1</t>
        </is>
      </c>
      <c r="L123" t="inlineStr">
        <is>
          <t>OOG</t>
        </is>
      </c>
      <c r="M123" t="inlineStr">
        <is>
          <t>Full</t>
        </is>
      </c>
      <c r="N123" t="inlineStr">
        <is>
          <t>RULED</t>
        </is>
      </c>
      <c r="P123" s="21">
        <f>C123</f>
        <v/>
      </c>
      <c r="Q123" s="21">
        <f t="array" ref="Q123">IFERROR(INDEX(Load_Booking_Report!AC:AC, MATCH(TRUE, ISNUMBER(FIND(SUBSTITUTE(C123," ",""), Load_Booking_Report!AL:AL)), 0)), "Not Found")</f>
        <v/>
      </c>
      <c r="R123" s="21">
        <f t="array" ref="R123">IFERROR(INDEX(Load_Booking_Report!C:C, MATCH(TRUE, ISNUMBER(FIND(SUBSTITUTE(C123," ",""), Load_Booking_Report!AL:AL)), 0)), "Not Found")</f>
        <v/>
      </c>
      <c r="S123" s="21">
        <f t="array" ref="S123">IFERROR(INDEX(Load_Booking_Report!AG:AG, MATCH(TRUE, ISNUMBER(FIND(SUBSTITUTE(C123," ",""), Load_Booking_Report!AL:AL)), 0)), "Not Found")</f>
        <v/>
      </c>
      <c r="T123" s="21">
        <f>G123</f>
        <v/>
      </c>
      <c r="U123" s="33">
        <f t="array" ref="U123">IFERROR(
   IF(
      INDEX(Load_Booking_Report!AM:AM,
             MATCH(TRUE,
                     ISNUMBER(FIND(SUBSTITUTE(C123," ",""),
                                    Load_Booking_Report!AL:AL)),
                     0)
      )=0,
      "",
      INDEX(Load_Booking_Report!AM:AM,
             MATCH(TRUE,
                     ISNUMBER(FIND(SUBSTITUTE(C123," ",""),
                                    Load_Booking_Report!AL:AL)),
                     0)
      )
   ),
   ""
)</f>
        <v/>
      </c>
      <c r="V123" s="21">
        <f t="array" ref="V123">IFERROR(
   IF(
      INDEX(Load_Booking_Report!AR:AR,
             MATCH(TRUE,
                     ISNUMBER(FIND(SUBSTITUTE(C123," ",""),
                                    Load_Booking_Report!AL:AL)),
                     0)
      )=0,
      "",
      INDEX(Load_Booking_Report!AR:AR,
             MATCH(TRUE,
                     ISNUMBER(FIND(SUBSTITUTE(C123," ",""),
                                    Load_Booking_Report!AL:AL)),
                     0)
      )
   ),
   ""
)</f>
        <v/>
      </c>
      <c r="W123" s="21">
        <f t="array" ref="W123">IFERROR(INDEX(Load_Booking_Report!F:F, MATCH(TRUE, ISNUMBER(FIND(SUBSTITUTE(C123," ",""), Load_Booking_Report!AL:AL)), 0)), "Not Found")</f>
        <v/>
      </c>
      <c r="X123" s="21">
        <f t="array" ref="X123">IFERROR(INDEX(Load_Booking_Report!N:N, MATCH(TRUE, ISNUMBER(FIND(SUBSTITUTE(C123," ",""), Load_Booking_Report!AL:AL)), 0)), "Not Found")</f>
        <v/>
      </c>
      <c r="Y123" s="21">
        <f t="array" ref="Y123">IFERROR(INDEX(Load_Booking_Report!V:V, MATCH(TRUE, ISNUMBER(FIND(SUBSTITUTE(C123," ",""), Load_Booking_Report!AL:AL)), 0)), "Not Found")</f>
        <v/>
      </c>
      <c r="Z123" s="41">
        <f t="array" ref="Z123">IFERROR(INDEX(Load_Booking_Report!BC:BC, MATCH(TRUE, ISNUMBER(FIND(SUBSTITUTE(C123," ",""), Load_Booking_Report!AL:AL)), 0)), "Not Found")</f>
        <v/>
      </c>
    </row>
    <row r="124">
      <c r="A124" t="n">
        <v>13</v>
      </c>
      <c r="B124" t="n">
        <v>130506</v>
      </c>
      <c r="C124" t="inlineStr">
        <is>
          <t>ANON0000000</t>
        </is>
      </c>
      <c r="D124" t="n">
        <v>20</v>
      </c>
      <c r="E124" t="inlineStr">
        <is>
          <t>USNFK</t>
        </is>
      </c>
      <c r="F124" t="inlineStr">
        <is>
          <t>RULED</t>
        </is>
      </c>
      <c r="G124" t="n">
        <v>22186</v>
      </c>
      <c r="H124" t="inlineStr">
        <is>
          <t>ART</t>
        </is>
      </c>
      <c r="I124" t="inlineStr">
        <is>
          <t>22G1</t>
        </is>
      </c>
      <c r="L124" t="inlineStr">
        <is>
          <t>OOG</t>
        </is>
      </c>
      <c r="M124" t="inlineStr">
        <is>
          <t>Full</t>
        </is>
      </c>
      <c r="N124" t="inlineStr">
        <is>
          <t>RULED</t>
        </is>
      </c>
      <c r="P124" s="21">
        <f>C124</f>
        <v/>
      </c>
      <c r="Q124" s="21">
        <f t="array" ref="Q124">IFERROR(INDEX(Load_Booking_Report!AC:AC, MATCH(TRUE, ISNUMBER(FIND(SUBSTITUTE(C124," ",""), Load_Booking_Report!AL:AL)), 0)), "Not Found")</f>
        <v/>
      </c>
      <c r="R124" s="21">
        <f t="array" ref="R124">IFERROR(INDEX(Load_Booking_Report!C:C, MATCH(TRUE, ISNUMBER(FIND(SUBSTITUTE(C124," ",""), Load_Booking_Report!AL:AL)), 0)), "Not Found")</f>
        <v/>
      </c>
      <c r="S124" s="21">
        <f t="array" ref="S124">IFERROR(INDEX(Load_Booking_Report!AG:AG, MATCH(TRUE, ISNUMBER(FIND(SUBSTITUTE(C124," ",""), Load_Booking_Report!AL:AL)), 0)), "Not Found")</f>
        <v/>
      </c>
      <c r="T124" s="21">
        <f>G124</f>
        <v/>
      </c>
      <c r="U124" s="33">
        <f t="array" ref="U124">IFERROR(
   IF(
      INDEX(Load_Booking_Report!AM:AM,
             MATCH(TRUE,
                     ISNUMBER(FIND(SUBSTITUTE(C124," ",""),
                                    Load_Booking_Report!AL:AL)),
                     0)
      )=0,
      "",
      INDEX(Load_Booking_Report!AM:AM,
             MATCH(TRUE,
                     ISNUMBER(FIND(SUBSTITUTE(C124," ",""),
                                    Load_Booking_Report!AL:AL)),
                     0)
      )
   ),
   ""
)</f>
        <v/>
      </c>
      <c r="V124" s="21">
        <f t="array" ref="V124">IFERROR(
   IF(
      INDEX(Load_Booking_Report!AR:AR,
             MATCH(TRUE,
                     ISNUMBER(FIND(SUBSTITUTE(C124," ",""),
                                    Load_Booking_Report!AL:AL)),
                     0)
      )=0,
      "",
      INDEX(Load_Booking_Report!AR:AR,
             MATCH(TRUE,
                     ISNUMBER(FIND(SUBSTITUTE(C124," ",""),
                                    Load_Booking_Report!AL:AL)),
                     0)
      )
   ),
   ""
)</f>
        <v/>
      </c>
      <c r="W124" s="21">
        <f t="array" ref="W124">IFERROR(INDEX(Load_Booking_Report!F:F, MATCH(TRUE, ISNUMBER(FIND(SUBSTITUTE(C124," ",""), Load_Booking_Report!AL:AL)), 0)), "Not Found")</f>
        <v/>
      </c>
      <c r="X124" s="21">
        <f t="array" ref="X124">IFERROR(INDEX(Load_Booking_Report!N:N, MATCH(TRUE, ISNUMBER(FIND(SUBSTITUTE(C124," ",""), Load_Booking_Report!AL:AL)), 0)), "Not Found")</f>
        <v/>
      </c>
      <c r="Y124" s="21">
        <f t="array" ref="Y124">IFERROR(INDEX(Load_Booking_Report!V:V, MATCH(TRUE, ISNUMBER(FIND(SUBSTITUTE(C124," ",""), Load_Booking_Report!AL:AL)), 0)), "Not Found")</f>
        <v/>
      </c>
      <c r="Z124" s="41">
        <f t="array" ref="Z124">IFERROR(INDEX(Load_Booking_Report!BC:BC, MATCH(TRUE, ISNUMBER(FIND(SUBSTITUTE(C124," ",""), Load_Booking_Report!AL:AL)), 0)), "Not Found")</f>
        <v/>
      </c>
    </row>
    <row r="125">
      <c r="A125" t="n">
        <v>11</v>
      </c>
      <c r="B125" t="n">
        <v>110304</v>
      </c>
      <c r="C125" t="inlineStr">
        <is>
          <t>ANON0000000</t>
        </is>
      </c>
      <c r="D125" t="n">
        <v>20</v>
      </c>
      <c r="E125" t="inlineStr">
        <is>
          <t>USNFK</t>
        </is>
      </c>
      <c r="F125" t="inlineStr">
        <is>
          <t>RULED</t>
        </is>
      </c>
      <c r="G125" t="n">
        <v>27900</v>
      </c>
      <c r="H125" t="inlineStr">
        <is>
          <t>ART</t>
        </is>
      </c>
      <c r="I125" t="inlineStr">
        <is>
          <t>22G1</t>
        </is>
      </c>
      <c r="L125" t="inlineStr">
        <is>
          <t>8'6</t>
        </is>
      </c>
      <c r="M125" t="inlineStr">
        <is>
          <t>Full</t>
        </is>
      </c>
      <c r="N125" t="inlineStr">
        <is>
          <t>RULED</t>
        </is>
      </c>
      <c r="P125" s="21">
        <f>C125</f>
        <v/>
      </c>
      <c r="Q125" s="21">
        <f t="array" ref="Q125">IFERROR(INDEX(Load_Booking_Report!AC:AC, MATCH(TRUE, ISNUMBER(FIND(SUBSTITUTE(C125," ",""), Load_Booking_Report!AL:AL)), 0)), "Not Found")</f>
        <v/>
      </c>
      <c r="R125" s="21">
        <f t="array" ref="R125">IFERROR(INDEX(Load_Booking_Report!C:C, MATCH(TRUE, ISNUMBER(FIND(SUBSTITUTE(C125," ",""), Load_Booking_Report!AL:AL)), 0)), "Not Found")</f>
        <v/>
      </c>
      <c r="S125" s="21">
        <f t="array" ref="S125">IFERROR(INDEX(Load_Booking_Report!AG:AG, MATCH(TRUE, ISNUMBER(FIND(SUBSTITUTE(C125," ",""), Load_Booking_Report!AL:AL)), 0)), "Not Found")</f>
        <v/>
      </c>
      <c r="T125" s="21">
        <f>G125</f>
        <v/>
      </c>
      <c r="U125" s="33">
        <f t="array" ref="U125">IFERROR(
   IF(
      INDEX(Load_Booking_Report!AM:AM,
             MATCH(TRUE,
                     ISNUMBER(FIND(SUBSTITUTE(C125," ",""),
                                    Load_Booking_Report!AL:AL)),
                     0)
      )=0,
      "",
      INDEX(Load_Booking_Report!AM:AM,
             MATCH(TRUE,
                     ISNUMBER(FIND(SUBSTITUTE(C125," ",""),
                                    Load_Booking_Report!AL:AL)),
                     0)
      )
   ),
   ""
)</f>
        <v/>
      </c>
      <c r="V125" s="21">
        <f t="array" ref="V125">IFERROR(
   IF(
      INDEX(Load_Booking_Report!AR:AR,
             MATCH(TRUE,
                     ISNUMBER(FIND(SUBSTITUTE(C125," ",""),
                                    Load_Booking_Report!AL:AL)),
                     0)
      )=0,
      "",
      INDEX(Load_Booking_Report!AR:AR,
             MATCH(TRUE,
                     ISNUMBER(FIND(SUBSTITUTE(C125," ",""),
                                    Load_Booking_Report!AL:AL)),
                     0)
      )
   ),
   ""
)</f>
        <v/>
      </c>
      <c r="W125" s="21">
        <f t="array" ref="W125">IFERROR(INDEX(Load_Booking_Report!F:F, MATCH(TRUE, ISNUMBER(FIND(SUBSTITUTE(C125," ",""), Load_Booking_Report!AL:AL)), 0)), "Not Found")</f>
        <v/>
      </c>
      <c r="X125" s="21">
        <f t="array" ref="X125">IFERROR(INDEX(Load_Booking_Report!N:N, MATCH(TRUE, ISNUMBER(FIND(SUBSTITUTE(C125," ",""), Load_Booking_Report!AL:AL)), 0)), "Not Found")</f>
        <v/>
      </c>
      <c r="Y125" s="21">
        <f t="array" ref="Y125">IFERROR(INDEX(Load_Booking_Report!V:V, MATCH(TRUE, ISNUMBER(FIND(SUBSTITUTE(C125," ",""), Load_Booking_Report!AL:AL)), 0)), "Not Found")</f>
        <v/>
      </c>
      <c r="Z125" s="41">
        <f t="array" ref="Z125">IFERROR(INDEX(Load_Booking_Report!BC:BC, MATCH(TRUE, ISNUMBER(FIND(SUBSTITUTE(C125," ",""), Load_Booking_Report!AL:AL)), 0)), "Not Found")</f>
        <v/>
      </c>
    </row>
    <row r="126">
      <c r="A126" t="n">
        <v>14</v>
      </c>
      <c r="B126" t="n">
        <v>140382</v>
      </c>
      <c r="C126" t="inlineStr">
        <is>
          <t>ANON0000000</t>
        </is>
      </c>
      <c r="D126" t="n">
        <v>40</v>
      </c>
      <c r="E126" t="inlineStr">
        <is>
          <t>USNFK</t>
        </is>
      </c>
      <c r="F126" t="inlineStr">
        <is>
          <t>RULED</t>
        </is>
      </c>
      <c r="G126" t="n">
        <v>15392</v>
      </c>
      <c r="H126" t="inlineStr">
        <is>
          <t>ART</t>
        </is>
      </c>
      <c r="I126" t="inlineStr">
        <is>
          <t>42P3</t>
        </is>
      </c>
      <c r="L126" t="inlineStr">
        <is>
          <t>OOG</t>
        </is>
      </c>
      <c r="M126" t="inlineStr">
        <is>
          <t>Full</t>
        </is>
      </c>
      <c r="N126" t="inlineStr">
        <is>
          <t>RULED</t>
        </is>
      </c>
      <c r="P126" s="21">
        <f>C126</f>
        <v/>
      </c>
      <c r="Q126" s="21">
        <f t="array" ref="Q126">IFERROR(INDEX(Load_Booking_Report!AC:AC, MATCH(TRUE, ISNUMBER(FIND(SUBSTITUTE(C126," ",""), Load_Booking_Report!AL:AL)), 0)), "Not Found")</f>
        <v/>
      </c>
      <c r="R126" s="21">
        <f t="array" ref="R126">IFERROR(INDEX(Load_Booking_Report!C:C, MATCH(TRUE, ISNUMBER(FIND(SUBSTITUTE(C126," ",""), Load_Booking_Report!AL:AL)), 0)), "Not Found")</f>
        <v/>
      </c>
      <c r="S126" s="21">
        <f t="array" ref="S126">IFERROR(INDEX(Load_Booking_Report!AG:AG, MATCH(TRUE, ISNUMBER(FIND(SUBSTITUTE(C126," ",""), Load_Booking_Report!AL:AL)), 0)), "Not Found")</f>
        <v/>
      </c>
      <c r="T126" s="21">
        <f>G126</f>
        <v/>
      </c>
      <c r="U126" s="33">
        <f t="array" ref="U126">IFERROR(
   IF(
      INDEX(Load_Booking_Report!AM:AM,
             MATCH(TRUE,
                     ISNUMBER(FIND(SUBSTITUTE(C126," ",""),
                                    Load_Booking_Report!AL:AL)),
                     0)
      )=0,
      "",
      INDEX(Load_Booking_Report!AM:AM,
             MATCH(TRUE,
                     ISNUMBER(FIND(SUBSTITUTE(C126," ",""),
                                    Load_Booking_Report!AL:AL)),
                     0)
      )
   ),
   ""
)</f>
        <v/>
      </c>
      <c r="V126" s="21">
        <f t="array" ref="V126">IFERROR(
   IF(
      INDEX(Load_Booking_Report!AR:AR,
             MATCH(TRUE,
                     ISNUMBER(FIND(SUBSTITUTE(C126," ",""),
                                    Load_Booking_Report!AL:AL)),
                     0)
      )=0,
      "",
      INDEX(Load_Booking_Report!AR:AR,
             MATCH(TRUE,
                     ISNUMBER(FIND(SUBSTITUTE(C126," ",""),
                                    Load_Booking_Report!AL:AL)),
                     0)
      )
   ),
   ""
)</f>
        <v/>
      </c>
      <c r="W126" s="21">
        <f t="array" ref="W126">IFERROR(INDEX(Load_Booking_Report!F:F, MATCH(TRUE, ISNUMBER(FIND(SUBSTITUTE(C126," ",""), Load_Booking_Report!AL:AL)), 0)), "Not Found")</f>
        <v/>
      </c>
      <c r="X126" s="21">
        <f t="array" ref="X126">IFERROR(INDEX(Load_Booking_Report!N:N, MATCH(TRUE, ISNUMBER(FIND(SUBSTITUTE(C126," ",""), Load_Booking_Report!AL:AL)), 0)), "Not Found")</f>
        <v/>
      </c>
      <c r="Y126" s="21">
        <f t="array" ref="Y126">IFERROR(INDEX(Load_Booking_Report!V:V, MATCH(TRUE, ISNUMBER(FIND(SUBSTITUTE(C126," ",""), Load_Booking_Report!AL:AL)), 0)), "Not Found")</f>
        <v/>
      </c>
      <c r="Z126" s="41">
        <f t="array" ref="Z126">IFERROR(INDEX(Load_Booking_Report!BC:BC, MATCH(TRUE, ISNUMBER(FIND(SUBSTITUTE(C126," ",""), Load_Booking_Report!AL:AL)), 0)), "Not Found")</f>
        <v/>
      </c>
    </row>
    <row r="127">
      <c r="A127" t="n">
        <v>34</v>
      </c>
      <c r="B127" t="n">
        <v>340886</v>
      </c>
      <c r="C127" t="inlineStr">
        <is>
          <t>ANON0000000</t>
        </is>
      </c>
      <c r="D127" t="n">
        <v>40</v>
      </c>
      <c r="E127" t="inlineStr">
        <is>
          <t>USNFK</t>
        </is>
      </c>
      <c r="F127" t="inlineStr">
        <is>
          <t>RULED</t>
        </is>
      </c>
      <c r="G127" t="n">
        <v>15395</v>
      </c>
      <c r="H127" t="inlineStr">
        <is>
          <t>ART</t>
        </is>
      </c>
      <c r="I127" t="inlineStr">
        <is>
          <t>42P3</t>
        </is>
      </c>
      <c r="L127" t="inlineStr">
        <is>
          <t>OOG</t>
        </is>
      </c>
      <c r="M127" t="inlineStr">
        <is>
          <t>Full</t>
        </is>
      </c>
      <c r="N127" t="inlineStr">
        <is>
          <t>RULED</t>
        </is>
      </c>
      <c r="P127" s="21">
        <f>C127</f>
        <v/>
      </c>
      <c r="Q127" s="21">
        <f t="array" ref="Q127">IFERROR(INDEX(Load_Booking_Report!AC:AC, MATCH(TRUE, ISNUMBER(FIND(SUBSTITUTE(C127," ",""), Load_Booking_Report!AL:AL)), 0)), "Not Found")</f>
        <v/>
      </c>
      <c r="R127" s="21">
        <f t="array" ref="R127">IFERROR(INDEX(Load_Booking_Report!C:C, MATCH(TRUE, ISNUMBER(FIND(SUBSTITUTE(C127," ",""), Load_Booking_Report!AL:AL)), 0)), "Not Found")</f>
        <v/>
      </c>
      <c r="S127" s="21">
        <f t="array" ref="S127">IFERROR(INDEX(Load_Booking_Report!AG:AG, MATCH(TRUE, ISNUMBER(FIND(SUBSTITUTE(C127," ",""), Load_Booking_Report!AL:AL)), 0)), "Not Found")</f>
        <v/>
      </c>
      <c r="T127" s="21">
        <f>G127</f>
        <v/>
      </c>
      <c r="U127" s="33">
        <f t="array" ref="U127">IFERROR(
   IF(
      INDEX(Load_Booking_Report!AM:AM,
             MATCH(TRUE,
                     ISNUMBER(FIND(SUBSTITUTE(C127," ",""),
                                    Load_Booking_Report!AL:AL)),
                     0)
      )=0,
      "",
      INDEX(Load_Booking_Report!AM:AM,
             MATCH(TRUE,
                     ISNUMBER(FIND(SUBSTITUTE(C127," ",""),
                                    Load_Booking_Report!AL:AL)),
                     0)
      )
   ),
   ""
)</f>
        <v/>
      </c>
      <c r="V127" s="21">
        <f t="array" ref="V127">IFERROR(
   IF(
      INDEX(Load_Booking_Report!AR:AR,
             MATCH(TRUE,
                     ISNUMBER(FIND(SUBSTITUTE(C127," ",""),
                                    Load_Booking_Report!AL:AL)),
                     0)
      )=0,
      "",
      INDEX(Load_Booking_Report!AR:AR,
             MATCH(TRUE,
                     ISNUMBER(FIND(SUBSTITUTE(C127," ",""),
                                    Load_Booking_Report!AL:AL)),
                     0)
      )
   ),
   ""
)</f>
        <v/>
      </c>
      <c r="W127" s="21">
        <f t="array" ref="W127">IFERROR(INDEX(Load_Booking_Report!F:F, MATCH(TRUE, ISNUMBER(FIND(SUBSTITUTE(C127," ",""), Load_Booking_Report!AL:AL)), 0)), "Not Found")</f>
        <v/>
      </c>
      <c r="X127" s="21">
        <f t="array" ref="X127">IFERROR(INDEX(Load_Booking_Report!N:N, MATCH(TRUE, ISNUMBER(FIND(SUBSTITUTE(C127," ",""), Load_Booking_Report!AL:AL)), 0)), "Not Found")</f>
        <v/>
      </c>
      <c r="Y127" s="21">
        <f t="array" ref="Y127">IFERROR(INDEX(Load_Booking_Report!V:V, MATCH(TRUE, ISNUMBER(FIND(SUBSTITUTE(C127," ",""), Load_Booking_Report!AL:AL)), 0)), "Not Found")</f>
        <v/>
      </c>
      <c r="Z127" s="41">
        <f t="array" ref="Z127">IFERROR(INDEX(Load_Booking_Report!BC:BC, MATCH(TRUE, ISNUMBER(FIND(SUBSTITUTE(C127," ",""), Load_Booking_Report!AL:AL)), 0)), "Not Found")</f>
        <v/>
      </c>
    </row>
    <row r="128">
      <c r="A128" t="n">
        <v>26</v>
      </c>
      <c r="B128" t="n">
        <v>260186</v>
      </c>
      <c r="C128" t="inlineStr">
        <is>
          <t>ANON0000000</t>
        </is>
      </c>
      <c r="D128" t="n">
        <v>40</v>
      </c>
      <c r="E128" t="inlineStr">
        <is>
          <t>USNFK</t>
        </is>
      </c>
      <c r="F128" t="inlineStr">
        <is>
          <t>RULED</t>
        </is>
      </c>
      <c r="G128" t="n">
        <v>15395</v>
      </c>
      <c r="H128" t="inlineStr">
        <is>
          <t>ART</t>
        </is>
      </c>
      <c r="I128" t="inlineStr">
        <is>
          <t>42P3</t>
        </is>
      </c>
      <c r="L128" t="inlineStr">
        <is>
          <t>OOG</t>
        </is>
      </c>
      <c r="M128" t="inlineStr">
        <is>
          <t>Full</t>
        </is>
      </c>
      <c r="N128" t="inlineStr">
        <is>
          <t>RULED</t>
        </is>
      </c>
      <c r="P128" s="21">
        <f>C128</f>
        <v/>
      </c>
      <c r="Q128" s="21">
        <f t="array" ref="Q128">IFERROR(INDEX(Load_Booking_Report!AC:AC, MATCH(TRUE, ISNUMBER(FIND(SUBSTITUTE(C128," ",""), Load_Booking_Report!AL:AL)), 0)), "Not Found")</f>
        <v/>
      </c>
      <c r="R128" s="21">
        <f t="array" ref="R128">IFERROR(INDEX(Load_Booking_Report!C:C, MATCH(TRUE, ISNUMBER(FIND(SUBSTITUTE(C128," ",""), Load_Booking_Report!AL:AL)), 0)), "Not Found")</f>
        <v/>
      </c>
      <c r="S128" s="21">
        <f t="array" ref="S128">IFERROR(INDEX(Load_Booking_Report!AG:AG, MATCH(TRUE, ISNUMBER(FIND(SUBSTITUTE(C128," ",""), Load_Booking_Report!AL:AL)), 0)), "Not Found")</f>
        <v/>
      </c>
      <c r="T128" s="21">
        <f>G128</f>
        <v/>
      </c>
      <c r="U128" s="33">
        <f t="array" ref="U128">IFERROR(
   IF(
      INDEX(Load_Booking_Report!AM:AM,
             MATCH(TRUE,
                     ISNUMBER(FIND(SUBSTITUTE(C128," ",""),
                                    Load_Booking_Report!AL:AL)),
                     0)
      )=0,
      "",
      INDEX(Load_Booking_Report!AM:AM,
             MATCH(TRUE,
                     ISNUMBER(FIND(SUBSTITUTE(C128," ",""),
                                    Load_Booking_Report!AL:AL)),
                     0)
      )
   ),
   ""
)</f>
        <v/>
      </c>
      <c r="V128" s="21">
        <f t="array" ref="V128">IFERROR(
   IF(
      INDEX(Load_Booking_Report!AR:AR,
             MATCH(TRUE,
                     ISNUMBER(FIND(SUBSTITUTE(C128," ",""),
                                    Load_Booking_Report!AL:AL)),
                     0)
      )=0,
      "",
      INDEX(Load_Booking_Report!AR:AR,
             MATCH(TRUE,
                     ISNUMBER(FIND(SUBSTITUTE(C128," ",""),
                                    Load_Booking_Report!AL:AL)),
                     0)
      )
   ),
   ""
)</f>
        <v/>
      </c>
      <c r="W128" s="21">
        <f t="array" ref="W128">IFERROR(INDEX(Load_Booking_Report!F:F, MATCH(TRUE, ISNUMBER(FIND(SUBSTITUTE(C128," ",""), Load_Booking_Report!AL:AL)), 0)), "Not Found")</f>
        <v/>
      </c>
      <c r="X128" s="21">
        <f t="array" ref="X128">IFERROR(INDEX(Load_Booking_Report!N:N, MATCH(TRUE, ISNUMBER(FIND(SUBSTITUTE(C128," ",""), Load_Booking_Report!AL:AL)), 0)), "Not Found")</f>
        <v/>
      </c>
      <c r="Y128" s="21">
        <f t="array" ref="Y128">IFERROR(INDEX(Load_Booking_Report!V:V, MATCH(TRUE, ISNUMBER(FIND(SUBSTITUTE(C128," ",""), Load_Booking_Report!AL:AL)), 0)), "Not Found")</f>
        <v/>
      </c>
      <c r="Z128" s="41">
        <f t="array" ref="Z128">IFERROR(INDEX(Load_Booking_Report!BC:BC, MATCH(TRUE, ISNUMBER(FIND(SUBSTITUTE(C128," ",""), Load_Booking_Report!AL:AL)), 0)), "Not Found")</f>
        <v/>
      </c>
    </row>
    <row r="129">
      <c r="A129" t="n">
        <v>14</v>
      </c>
      <c r="B129" t="n">
        <v>140082</v>
      </c>
      <c r="C129" t="inlineStr">
        <is>
          <t>ANON0000000</t>
        </is>
      </c>
      <c r="D129" t="n">
        <v>40</v>
      </c>
      <c r="E129" t="inlineStr">
        <is>
          <t>USNFK</t>
        </is>
      </c>
      <c r="F129" t="inlineStr">
        <is>
          <t>RULED</t>
        </is>
      </c>
      <c r="G129" t="n">
        <v>15417</v>
      </c>
      <c r="H129" t="inlineStr">
        <is>
          <t>ART</t>
        </is>
      </c>
      <c r="I129" t="inlineStr">
        <is>
          <t>42P3</t>
        </is>
      </c>
      <c r="L129" t="inlineStr">
        <is>
          <t>OOG</t>
        </is>
      </c>
      <c r="M129" t="inlineStr">
        <is>
          <t>Full</t>
        </is>
      </c>
      <c r="N129" t="inlineStr">
        <is>
          <t>RULED</t>
        </is>
      </c>
      <c r="P129" s="21">
        <f>C129</f>
        <v/>
      </c>
      <c r="Q129" s="21">
        <f t="array" ref="Q129">IFERROR(INDEX(Load_Booking_Report!AC:AC, MATCH(TRUE, ISNUMBER(FIND(SUBSTITUTE(C129," ",""), Load_Booking_Report!AL:AL)), 0)), "Not Found")</f>
        <v/>
      </c>
      <c r="R129" s="21">
        <f t="array" ref="R129">IFERROR(INDEX(Load_Booking_Report!C:C, MATCH(TRUE, ISNUMBER(FIND(SUBSTITUTE(C129," ",""), Load_Booking_Report!AL:AL)), 0)), "Not Found")</f>
        <v/>
      </c>
      <c r="S129" s="21">
        <f t="array" ref="S129">IFERROR(INDEX(Load_Booking_Report!AG:AG, MATCH(TRUE, ISNUMBER(FIND(SUBSTITUTE(C129," ",""), Load_Booking_Report!AL:AL)), 0)), "Not Found")</f>
        <v/>
      </c>
      <c r="T129" s="21">
        <f>G129</f>
        <v/>
      </c>
      <c r="U129" s="33">
        <f t="array" ref="U129">IFERROR(
   IF(
      INDEX(Load_Booking_Report!AM:AM,
             MATCH(TRUE,
                     ISNUMBER(FIND(SUBSTITUTE(C129," ",""),
                                    Load_Booking_Report!AL:AL)),
                     0)
      )=0,
      "",
      INDEX(Load_Booking_Report!AM:AM,
             MATCH(TRUE,
                     ISNUMBER(FIND(SUBSTITUTE(C129," ",""),
                                    Load_Booking_Report!AL:AL)),
                     0)
      )
   ),
   ""
)</f>
        <v/>
      </c>
      <c r="V129" s="21">
        <f t="array" ref="V129">IFERROR(
   IF(
      INDEX(Load_Booking_Report!AR:AR,
             MATCH(TRUE,
                     ISNUMBER(FIND(SUBSTITUTE(C129," ",""),
                                    Load_Booking_Report!AL:AL)),
                     0)
      )=0,
      "",
      INDEX(Load_Booking_Report!AR:AR,
             MATCH(TRUE,
                     ISNUMBER(FIND(SUBSTITUTE(C129," ",""),
                                    Load_Booking_Report!AL:AL)),
                     0)
      )
   ),
   ""
)</f>
        <v/>
      </c>
      <c r="W129" s="21">
        <f t="array" ref="W129">IFERROR(INDEX(Load_Booking_Report!F:F, MATCH(TRUE, ISNUMBER(FIND(SUBSTITUTE(C129," ",""), Load_Booking_Report!AL:AL)), 0)), "Not Found")</f>
        <v/>
      </c>
      <c r="X129" s="21">
        <f t="array" ref="X129">IFERROR(INDEX(Load_Booking_Report!N:N, MATCH(TRUE, ISNUMBER(FIND(SUBSTITUTE(C129," ",""), Load_Booking_Report!AL:AL)), 0)), "Not Found")</f>
        <v/>
      </c>
      <c r="Y129" s="21">
        <f t="array" ref="Y129">IFERROR(INDEX(Load_Booking_Report!V:V, MATCH(TRUE, ISNUMBER(FIND(SUBSTITUTE(C129," ",""), Load_Booking_Report!AL:AL)), 0)), "Not Found")</f>
        <v/>
      </c>
      <c r="Z129" s="41">
        <f t="array" ref="Z129">IFERROR(INDEX(Load_Booking_Report!BC:BC, MATCH(TRUE, ISNUMBER(FIND(SUBSTITUTE(C129," ",""), Load_Booking_Report!AL:AL)), 0)), "Not Found")</f>
        <v/>
      </c>
    </row>
    <row r="130">
      <c r="A130" t="n">
        <v>14</v>
      </c>
      <c r="B130" t="n">
        <v>140508</v>
      </c>
      <c r="C130" t="inlineStr">
        <is>
          <t>ANON0000000</t>
        </is>
      </c>
      <c r="D130" t="n">
        <v>40</v>
      </c>
      <c r="E130" t="inlineStr">
        <is>
          <t>USNFK</t>
        </is>
      </c>
      <c r="F130" t="inlineStr">
        <is>
          <t>RULED</t>
        </is>
      </c>
      <c r="G130" t="n">
        <v>15567</v>
      </c>
      <c r="H130" t="inlineStr">
        <is>
          <t>ART</t>
        </is>
      </c>
      <c r="I130" t="inlineStr">
        <is>
          <t>42P3</t>
        </is>
      </c>
      <c r="L130" t="inlineStr">
        <is>
          <t>OOG</t>
        </is>
      </c>
      <c r="M130" t="inlineStr">
        <is>
          <t>Full</t>
        </is>
      </c>
      <c r="N130" t="inlineStr">
        <is>
          <t>RULED</t>
        </is>
      </c>
      <c r="P130" s="21">
        <f>C130</f>
        <v/>
      </c>
      <c r="Q130" s="21">
        <f t="array" ref="Q130">IFERROR(INDEX(Load_Booking_Report!AC:AC, MATCH(TRUE, ISNUMBER(FIND(SUBSTITUTE(C130," ",""), Load_Booking_Report!AL:AL)), 0)), "Not Found")</f>
        <v/>
      </c>
      <c r="R130" s="21">
        <f t="array" ref="R130">IFERROR(INDEX(Load_Booking_Report!C:C, MATCH(TRUE, ISNUMBER(FIND(SUBSTITUTE(C130," ",""), Load_Booking_Report!AL:AL)), 0)), "Not Found")</f>
        <v/>
      </c>
      <c r="S130" s="21">
        <f t="array" ref="S130">IFERROR(INDEX(Load_Booking_Report!AG:AG, MATCH(TRUE, ISNUMBER(FIND(SUBSTITUTE(C130," ",""), Load_Booking_Report!AL:AL)), 0)), "Not Found")</f>
        <v/>
      </c>
      <c r="T130" s="21">
        <f>G130</f>
        <v/>
      </c>
      <c r="U130" s="33">
        <f t="array" ref="U130">IFERROR(
   IF(
      INDEX(Load_Booking_Report!AM:AM,
             MATCH(TRUE,
                     ISNUMBER(FIND(SUBSTITUTE(C130," ",""),
                                    Load_Booking_Report!AL:AL)),
                     0)
      )=0,
      "",
      INDEX(Load_Booking_Report!AM:AM,
             MATCH(TRUE,
                     ISNUMBER(FIND(SUBSTITUTE(C130," ",""),
                                    Load_Booking_Report!AL:AL)),
                     0)
      )
   ),
   ""
)</f>
        <v/>
      </c>
      <c r="V130" s="21">
        <f t="array" ref="V130">IFERROR(
   IF(
      INDEX(Load_Booking_Report!AR:AR,
             MATCH(TRUE,
                     ISNUMBER(FIND(SUBSTITUTE(C130," ",""),
                                    Load_Booking_Report!AL:AL)),
                     0)
      )=0,
      "",
      INDEX(Load_Booking_Report!AR:AR,
             MATCH(TRUE,
                     ISNUMBER(FIND(SUBSTITUTE(C130," ",""),
                                    Load_Booking_Report!AL:AL)),
                     0)
      )
   ),
   ""
)</f>
        <v/>
      </c>
      <c r="W130" s="21">
        <f t="array" ref="W130">IFERROR(INDEX(Load_Booking_Report!F:F, MATCH(TRUE, ISNUMBER(FIND(SUBSTITUTE(C130," ",""), Load_Booking_Report!AL:AL)), 0)), "Not Found")</f>
        <v/>
      </c>
      <c r="X130" s="21">
        <f t="array" ref="X130">IFERROR(INDEX(Load_Booking_Report!N:N, MATCH(TRUE, ISNUMBER(FIND(SUBSTITUTE(C130," ",""), Load_Booking_Report!AL:AL)), 0)), "Not Found")</f>
        <v/>
      </c>
      <c r="Y130" s="21">
        <f t="array" ref="Y130">IFERROR(INDEX(Load_Booking_Report!V:V, MATCH(TRUE, ISNUMBER(FIND(SUBSTITUTE(C130," ",""), Load_Booking_Report!AL:AL)), 0)), "Not Found")</f>
        <v/>
      </c>
      <c r="Z130" s="41">
        <f t="array" ref="Z130">IFERROR(INDEX(Load_Booking_Report!BC:BC, MATCH(TRUE, ISNUMBER(FIND(SUBSTITUTE(C130," ",""), Load_Booking_Report!AL:AL)), 0)), "Not Found")</f>
        <v/>
      </c>
    </row>
    <row r="131">
      <c r="A131" t="n">
        <v>30</v>
      </c>
      <c r="B131" t="n">
        <v>300886</v>
      </c>
      <c r="C131" t="inlineStr">
        <is>
          <t>ANON0000000</t>
        </is>
      </c>
      <c r="D131" t="n">
        <v>40</v>
      </c>
      <c r="E131" t="inlineStr">
        <is>
          <t>USNFK</t>
        </is>
      </c>
      <c r="F131" t="inlineStr">
        <is>
          <t>RULED</t>
        </is>
      </c>
      <c r="G131" t="n">
        <v>15570</v>
      </c>
      <c r="H131" t="inlineStr">
        <is>
          <t>ART</t>
        </is>
      </c>
      <c r="I131" t="inlineStr">
        <is>
          <t>42P3</t>
        </is>
      </c>
      <c r="L131" t="inlineStr">
        <is>
          <t>OOG</t>
        </is>
      </c>
      <c r="M131" t="inlineStr">
        <is>
          <t>Full</t>
        </is>
      </c>
      <c r="N131" t="inlineStr">
        <is>
          <t>RULED</t>
        </is>
      </c>
      <c r="P131" s="21">
        <f>C131</f>
        <v/>
      </c>
      <c r="Q131" s="21">
        <f t="array" ref="Q131">IFERROR(INDEX(Load_Booking_Report!AC:AC, MATCH(TRUE, ISNUMBER(FIND(SUBSTITUTE(C131," ",""), Load_Booking_Report!AL:AL)), 0)), "Not Found")</f>
        <v/>
      </c>
      <c r="R131" s="21">
        <f t="array" ref="R131">IFERROR(INDEX(Load_Booking_Report!C:C, MATCH(TRUE, ISNUMBER(FIND(SUBSTITUTE(C131," ",""), Load_Booking_Report!AL:AL)), 0)), "Not Found")</f>
        <v/>
      </c>
      <c r="S131" s="21">
        <f t="array" ref="S131">IFERROR(INDEX(Load_Booking_Report!AG:AG, MATCH(TRUE, ISNUMBER(FIND(SUBSTITUTE(C131," ",""), Load_Booking_Report!AL:AL)), 0)), "Not Found")</f>
        <v/>
      </c>
      <c r="T131" s="21">
        <f>G131</f>
        <v/>
      </c>
      <c r="U131" s="33">
        <f t="array" ref="U131">IFERROR(
   IF(
      INDEX(Load_Booking_Report!AM:AM,
             MATCH(TRUE,
                     ISNUMBER(FIND(SUBSTITUTE(C131," ",""),
                                    Load_Booking_Report!AL:AL)),
                     0)
      )=0,
      "",
      INDEX(Load_Booking_Report!AM:AM,
             MATCH(TRUE,
                     ISNUMBER(FIND(SUBSTITUTE(C131," ",""),
                                    Load_Booking_Report!AL:AL)),
                     0)
      )
   ),
   ""
)</f>
        <v/>
      </c>
      <c r="V131" s="21">
        <f t="array" ref="V131">IFERROR(
   IF(
      INDEX(Load_Booking_Report!AR:AR,
             MATCH(TRUE,
                     ISNUMBER(FIND(SUBSTITUTE(C131," ",""),
                                    Load_Booking_Report!AL:AL)),
                     0)
      )=0,
      "",
      INDEX(Load_Booking_Report!AR:AR,
             MATCH(TRUE,
                     ISNUMBER(FIND(SUBSTITUTE(C131," ",""),
                                    Load_Booking_Report!AL:AL)),
                     0)
      )
   ),
   ""
)</f>
        <v/>
      </c>
      <c r="W131" s="21">
        <f t="array" ref="W131">IFERROR(INDEX(Load_Booking_Report!F:F, MATCH(TRUE, ISNUMBER(FIND(SUBSTITUTE(C131," ",""), Load_Booking_Report!AL:AL)), 0)), "Not Found")</f>
        <v/>
      </c>
      <c r="X131" s="21">
        <f t="array" ref="X131">IFERROR(INDEX(Load_Booking_Report!N:N, MATCH(TRUE, ISNUMBER(FIND(SUBSTITUTE(C131," ",""), Load_Booking_Report!AL:AL)), 0)), "Not Found")</f>
        <v/>
      </c>
      <c r="Y131" s="21">
        <f t="array" ref="Y131">IFERROR(INDEX(Load_Booking_Report!V:V, MATCH(TRUE, ISNUMBER(FIND(SUBSTITUTE(C131," ",""), Load_Booking_Report!AL:AL)), 0)), "Not Found")</f>
        <v/>
      </c>
      <c r="Z131" s="41">
        <f t="array" ref="Z131">IFERROR(INDEX(Load_Booking_Report!BC:BC, MATCH(TRUE, ISNUMBER(FIND(SUBSTITUTE(C131," ",""), Load_Booking_Report!AL:AL)), 0)), "Not Found")</f>
        <v/>
      </c>
    </row>
    <row r="132">
      <c r="A132" t="n">
        <v>30</v>
      </c>
      <c r="B132" t="n">
        <v>300086</v>
      </c>
      <c r="C132" t="inlineStr">
        <is>
          <t>ANON0000000</t>
        </is>
      </c>
      <c r="D132" t="n">
        <v>40</v>
      </c>
      <c r="E132" t="inlineStr">
        <is>
          <t>USNFK</t>
        </is>
      </c>
      <c r="F132" t="inlineStr">
        <is>
          <t>RULED</t>
        </is>
      </c>
      <c r="G132" t="n">
        <v>15617</v>
      </c>
      <c r="H132" t="inlineStr">
        <is>
          <t>ART</t>
        </is>
      </c>
      <c r="I132" t="inlineStr">
        <is>
          <t>42P3</t>
        </is>
      </c>
      <c r="L132" t="inlineStr">
        <is>
          <t>OOG</t>
        </is>
      </c>
      <c r="M132" t="inlineStr">
        <is>
          <t>Full</t>
        </is>
      </c>
      <c r="N132" t="inlineStr">
        <is>
          <t>RULED</t>
        </is>
      </c>
      <c r="P132" s="21">
        <f>C132</f>
        <v/>
      </c>
      <c r="Q132" s="21">
        <f t="array" ref="Q132">IFERROR(INDEX(Load_Booking_Report!AC:AC, MATCH(TRUE, ISNUMBER(FIND(SUBSTITUTE(C132," ",""), Load_Booking_Report!AL:AL)), 0)), "Not Found")</f>
        <v/>
      </c>
      <c r="R132" s="21">
        <f t="array" ref="R132">IFERROR(INDEX(Load_Booking_Report!C:C, MATCH(TRUE, ISNUMBER(FIND(SUBSTITUTE(C132," ",""), Load_Booking_Report!AL:AL)), 0)), "Not Found")</f>
        <v/>
      </c>
      <c r="S132" s="21">
        <f t="array" ref="S132">IFERROR(INDEX(Load_Booking_Report!AG:AG, MATCH(TRUE, ISNUMBER(FIND(SUBSTITUTE(C132," ",""), Load_Booking_Report!AL:AL)), 0)), "Not Found")</f>
        <v/>
      </c>
      <c r="T132" s="21">
        <f>G132</f>
        <v/>
      </c>
      <c r="U132" s="33">
        <f t="array" ref="U132">IFERROR(
   IF(
      INDEX(Load_Booking_Report!AM:AM,
             MATCH(TRUE,
                     ISNUMBER(FIND(SUBSTITUTE(C132," ",""),
                                    Load_Booking_Report!AL:AL)),
                     0)
      )=0,
      "",
      INDEX(Load_Booking_Report!AM:AM,
             MATCH(TRUE,
                     ISNUMBER(FIND(SUBSTITUTE(C132," ",""),
                                    Load_Booking_Report!AL:AL)),
                     0)
      )
   ),
   ""
)</f>
        <v/>
      </c>
      <c r="V132" s="21">
        <f t="array" ref="V132">IFERROR(
   IF(
      INDEX(Load_Booking_Report!AR:AR,
             MATCH(TRUE,
                     ISNUMBER(FIND(SUBSTITUTE(C132," ",""),
                                    Load_Booking_Report!AL:AL)),
                     0)
      )=0,
      "",
      INDEX(Load_Booking_Report!AR:AR,
             MATCH(TRUE,
                     ISNUMBER(FIND(SUBSTITUTE(C132," ",""),
                                    Load_Booking_Report!AL:AL)),
                     0)
      )
   ),
   ""
)</f>
        <v/>
      </c>
      <c r="W132" s="21">
        <f t="array" ref="W132">IFERROR(INDEX(Load_Booking_Report!F:F, MATCH(TRUE, ISNUMBER(FIND(SUBSTITUTE(C132," ",""), Load_Booking_Report!AL:AL)), 0)), "Not Found")</f>
        <v/>
      </c>
      <c r="X132" s="21">
        <f t="array" ref="X132">IFERROR(INDEX(Load_Booking_Report!N:N, MATCH(TRUE, ISNUMBER(FIND(SUBSTITUTE(C132," ",""), Load_Booking_Report!AL:AL)), 0)), "Not Found")</f>
        <v/>
      </c>
      <c r="Y132" s="21">
        <f t="array" ref="Y132">IFERROR(INDEX(Load_Booking_Report!V:V, MATCH(TRUE, ISNUMBER(FIND(SUBSTITUTE(C132," ",""), Load_Booking_Report!AL:AL)), 0)), "Not Found")</f>
        <v/>
      </c>
      <c r="Z132" s="41">
        <f t="array" ref="Z132">IFERROR(INDEX(Load_Booking_Report!BC:BC, MATCH(TRUE, ISNUMBER(FIND(SUBSTITUTE(C132," ",""), Load_Booking_Report!AL:AL)), 0)), "Not Found")</f>
        <v/>
      </c>
    </row>
    <row r="133">
      <c r="A133" t="n">
        <v>30</v>
      </c>
      <c r="B133" t="n">
        <v>300786</v>
      </c>
      <c r="C133" t="inlineStr">
        <is>
          <t>ANON0000000</t>
        </is>
      </c>
      <c r="D133" t="n">
        <v>40</v>
      </c>
      <c r="E133" t="inlineStr">
        <is>
          <t>USNFK</t>
        </is>
      </c>
      <c r="F133" t="inlineStr">
        <is>
          <t>RULED</t>
        </is>
      </c>
      <c r="G133" t="n">
        <v>15370</v>
      </c>
      <c r="H133" t="inlineStr">
        <is>
          <t>ART</t>
        </is>
      </c>
      <c r="I133" t="inlineStr">
        <is>
          <t>42P3</t>
        </is>
      </c>
      <c r="L133" t="inlineStr">
        <is>
          <t>OOG</t>
        </is>
      </c>
      <c r="M133" t="inlineStr">
        <is>
          <t>Full</t>
        </is>
      </c>
      <c r="N133" t="inlineStr">
        <is>
          <t>RULED</t>
        </is>
      </c>
      <c r="P133" s="21">
        <f>C133</f>
        <v/>
      </c>
      <c r="Q133" s="21">
        <f t="array" ref="Q133">IFERROR(INDEX(Load_Booking_Report!AC:AC, MATCH(TRUE, ISNUMBER(FIND(SUBSTITUTE(C133," ",""), Load_Booking_Report!AL:AL)), 0)), "Not Found")</f>
        <v/>
      </c>
      <c r="R133" s="21">
        <f t="array" ref="R133">IFERROR(INDEX(Load_Booking_Report!C:C, MATCH(TRUE, ISNUMBER(FIND(SUBSTITUTE(C133," ",""), Load_Booking_Report!AL:AL)), 0)), "Not Found")</f>
        <v/>
      </c>
      <c r="S133" s="21">
        <f t="array" ref="S133">IFERROR(INDEX(Load_Booking_Report!AG:AG, MATCH(TRUE, ISNUMBER(FIND(SUBSTITUTE(C133," ",""), Load_Booking_Report!AL:AL)), 0)), "Not Found")</f>
        <v/>
      </c>
      <c r="T133" s="21">
        <f>G133</f>
        <v/>
      </c>
      <c r="U133" s="33">
        <f t="array" ref="U133">IFERROR(
   IF(
      INDEX(Load_Booking_Report!AM:AM,
             MATCH(TRUE,
                     ISNUMBER(FIND(SUBSTITUTE(C133," ",""),
                                    Load_Booking_Report!AL:AL)),
                     0)
      )=0,
      "",
      INDEX(Load_Booking_Report!AM:AM,
             MATCH(TRUE,
                     ISNUMBER(FIND(SUBSTITUTE(C133," ",""),
                                    Load_Booking_Report!AL:AL)),
                     0)
      )
   ),
   ""
)</f>
        <v/>
      </c>
      <c r="V133" s="21">
        <f t="array" ref="V133">IFERROR(
   IF(
      INDEX(Load_Booking_Report!AR:AR,
             MATCH(TRUE,
                     ISNUMBER(FIND(SUBSTITUTE(C133," ",""),
                                    Load_Booking_Report!AL:AL)),
                     0)
      )=0,
      "",
      INDEX(Load_Booking_Report!AR:AR,
             MATCH(TRUE,
                     ISNUMBER(FIND(SUBSTITUTE(C133," ",""),
                                    Load_Booking_Report!AL:AL)),
                     0)
      )
   ),
   ""
)</f>
        <v/>
      </c>
      <c r="W133" s="21">
        <f t="array" ref="W133">IFERROR(INDEX(Load_Booking_Report!F:F, MATCH(TRUE, ISNUMBER(FIND(SUBSTITUTE(C133," ",""), Load_Booking_Report!AL:AL)), 0)), "Not Found")</f>
        <v/>
      </c>
      <c r="X133" s="21">
        <f t="array" ref="X133">IFERROR(INDEX(Load_Booking_Report!N:N, MATCH(TRUE, ISNUMBER(FIND(SUBSTITUTE(C133," ",""), Load_Booking_Report!AL:AL)), 0)), "Not Found")</f>
        <v/>
      </c>
      <c r="Y133" s="21">
        <f t="array" ref="Y133">IFERROR(INDEX(Load_Booking_Report!V:V, MATCH(TRUE, ISNUMBER(FIND(SUBSTITUTE(C133," ",""), Load_Booking_Report!AL:AL)), 0)), "Not Found")</f>
        <v/>
      </c>
      <c r="Z133" s="41">
        <f t="array" ref="Z133">IFERROR(INDEX(Load_Booking_Report!BC:BC, MATCH(TRUE, ISNUMBER(FIND(SUBSTITUTE(C133," ",""), Load_Booking_Report!AL:AL)), 0)), "Not Found")</f>
        <v/>
      </c>
    </row>
    <row r="134">
      <c r="A134" t="n">
        <v>14</v>
      </c>
      <c r="B134" t="n">
        <v>140408</v>
      </c>
      <c r="C134" t="inlineStr">
        <is>
          <t>ANON0000000</t>
        </is>
      </c>
      <c r="D134" t="n">
        <v>40</v>
      </c>
      <c r="E134" t="inlineStr">
        <is>
          <t>USNFK</t>
        </is>
      </c>
      <c r="F134" t="inlineStr">
        <is>
          <t>RULED</t>
        </is>
      </c>
      <c r="G134" t="n">
        <v>15417</v>
      </c>
      <c r="H134" t="inlineStr">
        <is>
          <t>ART</t>
        </is>
      </c>
      <c r="I134" t="inlineStr">
        <is>
          <t>42P3</t>
        </is>
      </c>
      <c r="L134" t="inlineStr">
        <is>
          <t>OOG</t>
        </is>
      </c>
      <c r="M134" t="inlineStr">
        <is>
          <t>Full</t>
        </is>
      </c>
      <c r="N134" t="inlineStr">
        <is>
          <t>RULED</t>
        </is>
      </c>
      <c r="P134" s="21">
        <f>C134</f>
        <v/>
      </c>
      <c r="Q134" s="21">
        <f t="array" ref="Q134">IFERROR(INDEX(Load_Booking_Report!AC:AC, MATCH(TRUE, ISNUMBER(FIND(SUBSTITUTE(C134," ",""), Load_Booking_Report!AL:AL)), 0)), "Not Found")</f>
        <v/>
      </c>
      <c r="R134" s="21">
        <f t="array" ref="R134">IFERROR(INDEX(Load_Booking_Report!C:C, MATCH(TRUE, ISNUMBER(FIND(SUBSTITUTE(C134," ",""), Load_Booking_Report!AL:AL)), 0)), "Not Found")</f>
        <v/>
      </c>
      <c r="S134" s="21">
        <f t="array" ref="S134">IFERROR(INDEX(Load_Booking_Report!AG:AG, MATCH(TRUE, ISNUMBER(FIND(SUBSTITUTE(C134," ",""), Load_Booking_Report!AL:AL)), 0)), "Not Found")</f>
        <v/>
      </c>
      <c r="T134" s="21">
        <f>G134</f>
        <v/>
      </c>
      <c r="U134" s="33">
        <f t="array" ref="U134">IFERROR(
   IF(
      INDEX(Load_Booking_Report!AM:AM,
             MATCH(TRUE,
                     ISNUMBER(FIND(SUBSTITUTE(C134," ",""),
                                    Load_Booking_Report!AL:AL)),
                     0)
      )=0,
      "",
      INDEX(Load_Booking_Report!AM:AM,
             MATCH(TRUE,
                     ISNUMBER(FIND(SUBSTITUTE(C134," ",""),
                                    Load_Booking_Report!AL:AL)),
                     0)
      )
   ),
   ""
)</f>
        <v/>
      </c>
      <c r="V134" s="21">
        <f t="array" ref="V134">IFERROR(
   IF(
      INDEX(Load_Booking_Report!AR:AR,
             MATCH(TRUE,
                     ISNUMBER(FIND(SUBSTITUTE(C134," ",""),
                                    Load_Booking_Report!AL:AL)),
                     0)
      )=0,
      "",
      INDEX(Load_Booking_Report!AR:AR,
             MATCH(TRUE,
                     ISNUMBER(FIND(SUBSTITUTE(C134," ",""),
                                    Load_Booking_Report!AL:AL)),
                     0)
      )
   ),
   ""
)</f>
        <v/>
      </c>
      <c r="W134" s="21">
        <f t="array" ref="W134">IFERROR(INDEX(Load_Booking_Report!F:F, MATCH(TRUE, ISNUMBER(FIND(SUBSTITUTE(C134," ",""), Load_Booking_Report!AL:AL)), 0)), "Not Found")</f>
        <v/>
      </c>
      <c r="X134" s="21">
        <f t="array" ref="X134">IFERROR(INDEX(Load_Booking_Report!N:N, MATCH(TRUE, ISNUMBER(FIND(SUBSTITUTE(C134," ",""), Load_Booking_Report!AL:AL)), 0)), "Not Found")</f>
        <v/>
      </c>
      <c r="Y134" s="21">
        <f t="array" ref="Y134">IFERROR(INDEX(Load_Booking_Report!V:V, MATCH(TRUE, ISNUMBER(FIND(SUBSTITUTE(C134," ",""), Load_Booking_Report!AL:AL)), 0)), "Not Found")</f>
        <v/>
      </c>
      <c r="Z134" s="41">
        <f t="array" ref="Z134">IFERROR(INDEX(Load_Booking_Report!BC:BC, MATCH(TRUE, ISNUMBER(FIND(SUBSTITUTE(C134," ",""), Load_Booking_Report!AL:AL)), 0)), "Not Found")</f>
        <v/>
      </c>
    </row>
    <row r="135">
      <c r="A135" t="n">
        <v>34</v>
      </c>
      <c r="B135" t="n">
        <v>340486</v>
      </c>
      <c r="C135" t="inlineStr">
        <is>
          <t>ANON0000000</t>
        </is>
      </c>
      <c r="D135" t="n">
        <v>40</v>
      </c>
      <c r="E135" t="inlineStr">
        <is>
          <t>USNFK</t>
        </is>
      </c>
      <c r="F135" t="inlineStr">
        <is>
          <t>RULED</t>
        </is>
      </c>
      <c r="G135" t="n">
        <v>15820</v>
      </c>
      <c r="H135" t="inlineStr">
        <is>
          <t>ART</t>
        </is>
      </c>
      <c r="I135" t="inlineStr">
        <is>
          <t>42P3</t>
        </is>
      </c>
      <c r="L135" t="inlineStr">
        <is>
          <t>OOG</t>
        </is>
      </c>
      <c r="M135" t="inlineStr">
        <is>
          <t>Full</t>
        </is>
      </c>
      <c r="N135" t="inlineStr">
        <is>
          <t>RULED</t>
        </is>
      </c>
      <c r="P135" s="21">
        <f>C135</f>
        <v/>
      </c>
      <c r="Q135" s="21">
        <f t="array" ref="Q135">IFERROR(INDEX(Load_Booking_Report!AC:AC, MATCH(TRUE, ISNUMBER(FIND(SUBSTITUTE(C135," ",""), Load_Booking_Report!AL:AL)), 0)), "Not Found")</f>
        <v/>
      </c>
      <c r="R135" s="21">
        <f t="array" ref="R135">IFERROR(INDEX(Load_Booking_Report!C:C, MATCH(TRUE, ISNUMBER(FIND(SUBSTITUTE(C135," ",""), Load_Booking_Report!AL:AL)), 0)), "Not Found")</f>
        <v/>
      </c>
      <c r="S135" s="21">
        <f t="array" ref="S135">IFERROR(INDEX(Load_Booking_Report!AG:AG, MATCH(TRUE, ISNUMBER(FIND(SUBSTITUTE(C135," ",""), Load_Booking_Report!AL:AL)), 0)), "Not Found")</f>
        <v/>
      </c>
      <c r="T135" s="21">
        <f>G135</f>
        <v/>
      </c>
      <c r="U135" s="33">
        <f t="array" ref="U135">IFERROR(
   IF(
      INDEX(Load_Booking_Report!AM:AM,
             MATCH(TRUE,
                     ISNUMBER(FIND(SUBSTITUTE(C135," ",""),
                                    Load_Booking_Report!AL:AL)),
                     0)
      )=0,
      "",
      INDEX(Load_Booking_Report!AM:AM,
             MATCH(TRUE,
                     ISNUMBER(FIND(SUBSTITUTE(C135," ",""),
                                    Load_Booking_Report!AL:AL)),
                     0)
      )
   ),
   ""
)</f>
        <v/>
      </c>
      <c r="V135" s="21">
        <f t="array" ref="V135">IFERROR(
   IF(
      INDEX(Load_Booking_Report!AR:AR,
             MATCH(TRUE,
                     ISNUMBER(FIND(SUBSTITUTE(C135," ",""),
                                    Load_Booking_Report!AL:AL)),
                     0)
      )=0,
      "",
      INDEX(Load_Booking_Report!AR:AR,
             MATCH(TRUE,
                     ISNUMBER(FIND(SUBSTITUTE(C135," ",""),
                                    Load_Booking_Report!AL:AL)),
                     0)
      )
   ),
   ""
)</f>
        <v/>
      </c>
      <c r="W135" s="21">
        <f t="array" ref="W135">IFERROR(INDEX(Load_Booking_Report!F:F, MATCH(TRUE, ISNUMBER(FIND(SUBSTITUTE(C135," ",""), Load_Booking_Report!AL:AL)), 0)), "Not Found")</f>
        <v/>
      </c>
      <c r="X135" s="21">
        <f t="array" ref="X135">IFERROR(INDEX(Load_Booking_Report!N:N, MATCH(TRUE, ISNUMBER(FIND(SUBSTITUTE(C135," ",""), Load_Booking_Report!AL:AL)), 0)), "Not Found")</f>
        <v/>
      </c>
      <c r="Y135" s="21">
        <f t="array" ref="Y135">IFERROR(INDEX(Load_Booking_Report!V:V, MATCH(TRUE, ISNUMBER(FIND(SUBSTITUTE(C135," ",""), Load_Booking_Report!AL:AL)), 0)), "Not Found")</f>
        <v/>
      </c>
      <c r="Z135" s="41">
        <f t="array" ref="Z135">IFERROR(INDEX(Load_Booking_Report!BC:BC, MATCH(TRUE, ISNUMBER(FIND(SUBSTITUTE(C135," ",""), Load_Booking_Report!AL:AL)), 0)), "Not Found")</f>
        <v/>
      </c>
    </row>
    <row r="136">
      <c r="A136" t="n">
        <v>30</v>
      </c>
      <c r="B136" t="n">
        <v>300486</v>
      </c>
      <c r="C136" t="inlineStr">
        <is>
          <t>ANON0000000</t>
        </is>
      </c>
      <c r="D136" t="n">
        <v>40</v>
      </c>
      <c r="E136" t="inlineStr">
        <is>
          <t>USNFK</t>
        </is>
      </c>
      <c r="F136" t="inlineStr">
        <is>
          <t>RULED</t>
        </is>
      </c>
      <c r="G136" t="n">
        <v>15770</v>
      </c>
      <c r="H136" t="inlineStr">
        <is>
          <t>ART</t>
        </is>
      </c>
      <c r="I136" t="inlineStr">
        <is>
          <t>42P3</t>
        </is>
      </c>
      <c r="L136" t="inlineStr">
        <is>
          <t>OOG</t>
        </is>
      </c>
      <c r="M136" t="inlineStr">
        <is>
          <t>Full</t>
        </is>
      </c>
      <c r="N136" t="inlineStr">
        <is>
          <t>RULED</t>
        </is>
      </c>
      <c r="P136" s="21">
        <f>C136</f>
        <v/>
      </c>
      <c r="Q136" s="21">
        <f t="array" ref="Q136">IFERROR(INDEX(Load_Booking_Report!AC:AC, MATCH(TRUE, ISNUMBER(FIND(SUBSTITUTE(C136," ",""), Load_Booking_Report!AL:AL)), 0)), "Not Found")</f>
        <v/>
      </c>
      <c r="R136" s="21">
        <f t="array" ref="R136">IFERROR(INDEX(Load_Booking_Report!C:C, MATCH(TRUE, ISNUMBER(FIND(SUBSTITUTE(C136," ",""), Load_Booking_Report!AL:AL)), 0)), "Not Found")</f>
        <v/>
      </c>
      <c r="S136" s="21">
        <f t="array" ref="S136">IFERROR(INDEX(Load_Booking_Report!AG:AG, MATCH(TRUE, ISNUMBER(FIND(SUBSTITUTE(C136," ",""), Load_Booking_Report!AL:AL)), 0)), "Not Found")</f>
        <v/>
      </c>
      <c r="T136" s="21">
        <f>G136</f>
        <v/>
      </c>
      <c r="U136" s="33">
        <f t="array" ref="U136">IFERROR(
   IF(
      INDEX(Load_Booking_Report!AM:AM,
             MATCH(TRUE,
                     ISNUMBER(FIND(SUBSTITUTE(C136," ",""),
                                    Load_Booking_Report!AL:AL)),
                     0)
      )=0,
      "",
      INDEX(Load_Booking_Report!AM:AM,
             MATCH(TRUE,
                     ISNUMBER(FIND(SUBSTITUTE(C136," ",""),
                                    Load_Booking_Report!AL:AL)),
                     0)
      )
   ),
   ""
)</f>
        <v/>
      </c>
      <c r="V136" s="21">
        <f t="array" ref="V136">IFERROR(
   IF(
      INDEX(Load_Booking_Report!AR:AR,
             MATCH(TRUE,
                     ISNUMBER(FIND(SUBSTITUTE(C136," ",""),
                                    Load_Booking_Report!AL:AL)),
                     0)
      )=0,
      "",
      INDEX(Load_Booking_Report!AR:AR,
             MATCH(TRUE,
                     ISNUMBER(FIND(SUBSTITUTE(C136," ",""),
                                    Load_Booking_Report!AL:AL)),
                     0)
      )
   ),
   ""
)</f>
        <v/>
      </c>
      <c r="W136" s="21">
        <f t="array" ref="W136">IFERROR(INDEX(Load_Booking_Report!F:F, MATCH(TRUE, ISNUMBER(FIND(SUBSTITUTE(C136," ",""), Load_Booking_Report!AL:AL)), 0)), "Not Found")</f>
        <v/>
      </c>
      <c r="X136" s="21">
        <f t="array" ref="X136">IFERROR(INDEX(Load_Booking_Report!N:N, MATCH(TRUE, ISNUMBER(FIND(SUBSTITUTE(C136," ",""), Load_Booking_Report!AL:AL)), 0)), "Not Found")</f>
        <v/>
      </c>
      <c r="Y136" s="21">
        <f t="array" ref="Y136">IFERROR(INDEX(Load_Booking_Report!V:V, MATCH(TRUE, ISNUMBER(FIND(SUBSTITUTE(C136," ",""), Load_Booking_Report!AL:AL)), 0)), "Not Found")</f>
        <v/>
      </c>
      <c r="Z136" s="41">
        <f t="array" ref="Z136">IFERROR(INDEX(Load_Booking_Report!BC:BC, MATCH(TRUE, ISNUMBER(FIND(SUBSTITUTE(C136," ",""), Load_Booking_Report!AL:AL)), 0)), "Not Found")</f>
        <v/>
      </c>
    </row>
    <row r="137">
      <c r="A137" t="n">
        <v>30</v>
      </c>
      <c r="B137" t="n">
        <v>300386</v>
      </c>
      <c r="C137" t="inlineStr">
        <is>
          <t>ANON0000000</t>
        </is>
      </c>
      <c r="D137" t="n">
        <v>40</v>
      </c>
      <c r="E137" t="inlineStr">
        <is>
          <t>USNFK</t>
        </is>
      </c>
      <c r="F137" t="inlineStr">
        <is>
          <t>RULED</t>
        </is>
      </c>
      <c r="G137" t="n">
        <v>15820</v>
      </c>
      <c r="H137" t="inlineStr">
        <is>
          <t>ART</t>
        </is>
      </c>
      <c r="I137" t="inlineStr">
        <is>
          <t>42P3</t>
        </is>
      </c>
      <c r="L137" t="inlineStr">
        <is>
          <t>OOG</t>
        </is>
      </c>
      <c r="M137" t="inlineStr">
        <is>
          <t>Full</t>
        </is>
      </c>
      <c r="N137" t="inlineStr">
        <is>
          <t>RULED</t>
        </is>
      </c>
      <c r="P137" s="21">
        <f>C137</f>
        <v/>
      </c>
      <c r="Q137" s="21">
        <f t="array" ref="Q137">IFERROR(INDEX(Load_Booking_Report!AC:AC, MATCH(TRUE, ISNUMBER(FIND(SUBSTITUTE(C137," ",""), Load_Booking_Report!AL:AL)), 0)), "Not Found")</f>
        <v/>
      </c>
      <c r="R137" s="21">
        <f t="array" ref="R137">IFERROR(INDEX(Load_Booking_Report!C:C, MATCH(TRUE, ISNUMBER(FIND(SUBSTITUTE(C137," ",""), Load_Booking_Report!AL:AL)), 0)), "Not Found")</f>
        <v/>
      </c>
      <c r="S137" s="21">
        <f t="array" ref="S137">IFERROR(INDEX(Load_Booking_Report!AG:AG, MATCH(TRUE, ISNUMBER(FIND(SUBSTITUTE(C137," ",""), Load_Booking_Report!AL:AL)), 0)), "Not Found")</f>
        <v/>
      </c>
      <c r="T137" s="21">
        <f>G137</f>
        <v/>
      </c>
      <c r="U137" s="33">
        <f t="array" ref="U137">IFERROR(
   IF(
      INDEX(Load_Booking_Report!AM:AM,
             MATCH(TRUE,
                     ISNUMBER(FIND(SUBSTITUTE(C137," ",""),
                                    Load_Booking_Report!AL:AL)),
                     0)
      )=0,
      "",
      INDEX(Load_Booking_Report!AM:AM,
             MATCH(TRUE,
                     ISNUMBER(FIND(SUBSTITUTE(C137," ",""),
                                    Load_Booking_Report!AL:AL)),
                     0)
      )
   ),
   ""
)</f>
        <v/>
      </c>
      <c r="V137" s="21">
        <f t="array" ref="V137">IFERROR(
   IF(
      INDEX(Load_Booking_Report!AR:AR,
             MATCH(TRUE,
                     ISNUMBER(FIND(SUBSTITUTE(C137," ",""),
                                    Load_Booking_Report!AL:AL)),
                     0)
      )=0,
      "",
      INDEX(Load_Booking_Report!AR:AR,
             MATCH(TRUE,
                     ISNUMBER(FIND(SUBSTITUTE(C137," ",""),
                                    Load_Booking_Report!AL:AL)),
                     0)
      )
   ),
   ""
)</f>
        <v/>
      </c>
      <c r="W137" s="21">
        <f t="array" ref="W137">IFERROR(INDEX(Load_Booking_Report!F:F, MATCH(TRUE, ISNUMBER(FIND(SUBSTITUTE(C137," ",""), Load_Booking_Report!AL:AL)), 0)), "Not Found")</f>
        <v/>
      </c>
      <c r="X137" s="21">
        <f t="array" ref="X137">IFERROR(INDEX(Load_Booking_Report!N:N, MATCH(TRUE, ISNUMBER(FIND(SUBSTITUTE(C137," ",""), Load_Booking_Report!AL:AL)), 0)), "Not Found")</f>
        <v/>
      </c>
      <c r="Y137" s="21">
        <f t="array" ref="Y137">IFERROR(INDEX(Load_Booking_Report!V:V, MATCH(TRUE, ISNUMBER(FIND(SUBSTITUTE(C137," ",""), Load_Booking_Report!AL:AL)), 0)), "Not Found")</f>
        <v/>
      </c>
      <c r="Z137" s="41">
        <f t="array" ref="Z137">IFERROR(INDEX(Load_Booking_Report!BC:BC, MATCH(TRUE, ISNUMBER(FIND(SUBSTITUTE(C137," ",""), Load_Booking_Report!AL:AL)), 0)), "Not Found")</f>
        <v/>
      </c>
    </row>
    <row r="138">
      <c r="A138" t="n">
        <v>30</v>
      </c>
      <c r="B138" t="n">
        <v>300608</v>
      </c>
      <c r="C138" t="inlineStr">
        <is>
          <t>ANON0000000</t>
        </is>
      </c>
      <c r="D138" t="n">
        <v>40</v>
      </c>
      <c r="E138" t="inlineStr">
        <is>
          <t>USNFK</t>
        </is>
      </c>
      <c r="F138" t="inlineStr">
        <is>
          <t>RULED</t>
        </is>
      </c>
      <c r="G138" t="n">
        <v>15570</v>
      </c>
      <c r="H138" t="inlineStr">
        <is>
          <t>ART</t>
        </is>
      </c>
      <c r="I138" t="inlineStr">
        <is>
          <t>42P3</t>
        </is>
      </c>
      <c r="L138" t="inlineStr">
        <is>
          <t>OOG</t>
        </is>
      </c>
      <c r="M138" t="inlineStr">
        <is>
          <t>Full</t>
        </is>
      </c>
      <c r="N138" t="inlineStr">
        <is>
          <t>RULED</t>
        </is>
      </c>
      <c r="P138" s="21">
        <f>C138</f>
        <v/>
      </c>
      <c r="Q138" s="21">
        <f t="array" ref="Q138">IFERROR(INDEX(Load_Booking_Report!AC:AC, MATCH(TRUE, ISNUMBER(FIND(SUBSTITUTE(C138," ",""), Load_Booking_Report!AL:AL)), 0)), "Not Found")</f>
        <v/>
      </c>
      <c r="R138" s="21">
        <f t="array" ref="R138">IFERROR(INDEX(Load_Booking_Report!C:C, MATCH(TRUE, ISNUMBER(FIND(SUBSTITUTE(C138," ",""), Load_Booking_Report!AL:AL)), 0)), "Not Found")</f>
        <v/>
      </c>
      <c r="S138" s="21">
        <f t="array" ref="S138">IFERROR(INDEX(Load_Booking_Report!AG:AG, MATCH(TRUE, ISNUMBER(FIND(SUBSTITUTE(C138," ",""), Load_Booking_Report!AL:AL)), 0)), "Not Found")</f>
        <v/>
      </c>
      <c r="T138" s="21">
        <f>G138</f>
        <v/>
      </c>
      <c r="U138" s="33">
        <f t="array" ref="U138">IFERROR(
   IF(
      INDEX(Load_Booking_Report!AM:AM,
             MATCH(TRUE,
                     ISNUMBER(FIND(SUBSTITUTE(C138," ",""),
                                    Load_Booking_Report!AL:AL)),
                     0)
      )=0,
      "",
      INDEX(Load_Booking_Report!AM:AM,
             MATCH(TRUE,
                     ISNUMBER(FIND(SUBSTITUTE(C138," ",""),
                                    Load_Booking_Report!AL:AL)),
                     0)
      )
   ),
   ""
)</f>
        <v/>
      </c>
      <c r="V138" s="21">
        <f t="array" ref="V138">IFERROR(
   IF(
      INDEX(Load_Booking_Report!AR:AR,
             MATCH(TRUE,
                     ISNUMBER(FIND(SUBSTITUTE(C138," ",""),
                                    Load_Booking_Report!AL:AL)),
                     0)
      )=0,
      "",
      INDEX(Load_Booking_Report!AR:AR,
             MATCH(TRUE,
                     ISNUMBER(FIND(SUBSTITUTE(C138," ",""),
                                    Load_Booking_Report!AL:AL)),
                     0)
      )
   ),
   ""
)</f>
        <v/>
      </c>
      <c r="W138" s="21">
        <f t="array" ref="W138">IFERROR(INDEX(Load_Booking_Report!F:F, MATCH(TRUE, ISNUMBER(FIND(SUBSTITUTE(C138," ",""), Load_Booking_Report!AL:AL)), 0)), "Not Found")</f>
        <v/>
      </c>
      <c r="X138" s="21">
        <f t="array" ref="X138">IFERROR(INDEX(Load_Booking_Report!N:N, MATCH(TRUE, ISNUMBER(FIND(SUBSTITUTE(C138," ",""), Load_Booking_Report!AL:AL)), 0)), "Not Found")</f>
        <v/>
      </c>
      <c r="Y138" s="21">
        <f t="array" ref="Y138">IFERROR(INDEX(Load_Booking_Report!V:V, MATCH(TRUE, ISNUMBER(FIND(SUBSTITUTE(C138," ",""), Load_Booking_Report!AL:AL)), 0)), "Not Found")</f>
        <v/>
      </c>
      <c r="Z138" s="41">
        <f t="array" ref="Z138">IFERROR(INDEX(Load_Booking_Report!BC:BC, MATCH(TRUE, ISNUMBER(FIND(SUBSTITUTE(C138," ",""), Load_Booking_Report!AL:AL)), 0)), "Not Found")</f>
        <v/>
      </c>
    </row>
    <row r="139">
      <c r="A139" t="n">
        <v>34</v>
      </c>
      <c r="B139" t="n">
        <v>340386</v>
      </c>
      <c r="C139" t="inlineStr">
        <is>
          <t>ANON0000000</t>
        </is>
      </c>
      <c r="D139" t="n">
        <v>40</v>
      </c>
      <c r="E139" t="inlineStr">
        <is>
          <t>USNFK</t>
        </is>
      </c>
      <c r="F139" t="inlineStr">
        <is>
          <t>RULED</t>
        </is>
      </c>
      <c r="G139" t="n">
        <v>15570</v>
      </c>
      <c r="H139" t="inlineStr">
        <is>
          <t>ART</t>
        </is>
      </c>
      <c r="I139" t="inlineStr">
        <is>
          <t>42P3</t>
        </is>
      </c>
      <c r="L139" t="inlineStr">
        <is>
          <t>OOG</t>
        </is>
      </c>
      <c r="M139" t="inlineStr">
        <is>
          <t>Full</t>
        </is>
      </c>
      <c r="N139" t="inlineStr">
        <is>
          <t>RULED</t>
        </is>
      </c>
      <c r="P139" s="21">
        <f>C139</f>
        <v/>
      </c>
      <c r="Q139" s="21">
        <f t="array" ref="Q139">IFERROR(INDEX(Load_Booking_Report!AC:AC, MATCH(TRUE, ISNUMBER(FIND(SUBSTITUTE(C139," ",""), Load_Booking_Report!AL:AL)), 0)), "Not Found")</f>
        <v/>
      </c>
      <c r="R139" s="21">
        <f t="array" ref="R139">IFERROR(INDEX(Load_Booking_Report!C:C, MATCH(TRUE, ISNUMBER(FIND(SUBSTITUTE(C139," ",""), Load_Booking_Report!AL:AL)), 0)), "Not Found")</f>
        <v/>
      </c>
      <c r="S139" s="21">
        <f t="array" ref="S139">IFERROR(INDEX(Load_Booking_Report!AG:AG, MATCH(TRUE, ISNUMBER(FIND(SUBSTITUTE(C139," ",""), Load_Booking_Report!AL:AL)), 0)), "Not Found")</f>
        <v/>
      </c>
      <c r="T139" s="21">
        <f>G139</f>
        <v/>
      </c>
      <c r="U139" s="33">
        <f t="array" ref="U139">IFERROR(
   IF(
      INDEX(Load_Booking_Report!AM:AM,
             MATCH(TRUE,
                     ISNUMBER(FIND(SUBSTITUTE(C139," ",""),
                                    Load_Booking_Report!AL:AL)),
                     0)
      )=0,
      "",
      INDEX(Load_Booking_Report!AM:AM,
             MATCH(TRUE,
                     ISNUMBER(FIND(SUBSTITUTE(C139," ",""),
                                    Load_Booking_Report!AL:AL)),
                     0)
      )
   ),
   ""
)</f>
        <v/>
      </c>
      <c r="V139" s="21">
        <f t="array" ref="V139">IFERROR(
   IF(
      INDEX(Load_Booking_Report!AR:AR,
             MATCH(TRUE,
                     ISNUMBER(FIND(SUBSTITUTE(C139," ",""),
                                    Load_Booking_Report!AL:AL)),
                     0)
      )=0,
      "",
      INDEX(Load_Booking_Report!AR:AR,
             MATCH(TRUE,
                     ISNUMBER(FIND(SUBSTITUTE(C139," ",""),
                                    Load_Booking_Report!AL:AL)),
                     0)
      )
   ),
   ""
)</f>
        <v/>
      </c>
      <c r="W139" s="21">
        <f t="array" ref="W139">IFERROR(INDEX(Load_Booking_Report!F:F, MATCH(TRUE, ISNUMBER(FIND(SUBSTITUTE(C139," ",""), Load_Booking_Report!AL:AL)), 0)), "Not Found")</f>
        <v/>
      </c>
      <c r="X139" s="21">
        <f t="array" ref="X139">IFERROR(INDEX(Load_Booking_Report!N:N, MATCH(TRUE, ISNUMBER(FIND(SUBSTITUTE(C139," ",""), Load_Booking_Report!AL:AL)), 0)), "Not Found")</f>
        <v/>
      </c>
      <c r="Y139" s="21">
        <f t="array" ref="Y139">IFERROR(INDEX(Load_Booking_Report!V:V, MATCH(TRUE, ISNUMBER(FIND(SUBSTITUTE(C139," ",""), Load_Booking_Report!AL:AL)), 0)), "Not Found")</f>
        <v/>
      </c>
      <c r="Z139" s="41">
        <f t="array" ref="Z139">IFERROR(INDEX(Load_Booking_Report!BC:BC, MATCH(TRUE, ISNUMBER(FIND(SUBSTITUTE(C139," ",""), Load_Booking_Report!AL:AL)), 0)), "Not Found")</f>
        <v/>
      </c>
    </row>
    <row r="140">
      <c r="A140" t="n">
        <v>34</v>
      </c>
      <c r="B140" t="n">
        <v>340786</v>
      </c>
      <c r="C140" t="inlineStr">
        <is>
          <t>ANON0000000</t>
        </is>
      </c>
      <c r="D140" t="n">
        <v>40</v>
      </c>
      <c r="E140" t="inlineStr">
        <is>
          <t>USNFK</t>
        </is>
      </c>
      <c r="F140" t="inlineStr">
        <is>
          <t>RULED</t>
        </is>
      </c>
      <c r="G140" t="n">
        <v>15392</v>
      </c>
      <c r="H140" t="inlineStr">
        <is>
          <t>ART</t>
        </is>
      </c>
      <c r="I140" t="inlineStr">
        <is>
          <t>42P3</t>
        </is>
      </c>
      <c r="L140" t="inlineStr">
        <is>
          <t>OOG</t>
        </is>
      </c>
      <c r="M140" t="inlineStr">
        <is>
          <t>Full</t>
        </is>
      </c>
      <c r="N140" t="inlineStr">
        <is>
          <t>RULED</t>
        </is>
      </c>
      <c r="P140" s="21">
        <f>C140</f>
        <v/>
      </c>
      <c r="Q140" s="21">
        <f t="array" ref="Q140">IFERROR(INDEX(Load_Booking_Report!AC:AC, MATCH(TRUE, ISNUMBER(FIND(SUBSTITUTE(C140," ",""), Load_Booking_Report!AL:AL)), 0)), "Not Found")</f>
        <v/>
      </c>
      <c r="R140" s="21">
        <f t="array" ref="R140">IFERROR(INDEX(Load_Booking_Report!C:C, MATCH(TRUE, ISNUMBER(FIND(SUBSTITUTE(C140," ",""), Load_Booking_Report!AL:AL)), 0)), "Not Found")</f>
        <v/>
      </c>
      <c r="S140" s="21">
        <f t="array" ref="S140">IFERROR(INDEX(Load_Booking_Report!AG:AG, MATCH(TRUE, ISNUMBER(FIND(SUBSTITUTE(C140," ",""), Load_Booking_Report!AL:AL)), 0)), "Not Found")</f>
        <v/>
      </c>
      <c r="T140" s="21">
        <f>G140</f>
        <v/>
      </c>
      <c r="U140" s="33">
        <f t="array" ref="U140">IFERROR(
   IF(
      INDEX(Load_Booking_Report!AM:AM,
             MATCH(TRUE,
                     ISNUMBER(FIND(SUBSTITUTE(C140," ",""),
                                    Load_Booking_Report!AL:AL)),
                     0)
      )=0,
      "",
      INDEX(Load_Booking_Report!AM:AM,
             MATCH(TRUE,
                     ISNUMBER(FIND(SUBSTITUTE(C140," ",""),
                                    Load_Booking_Report!AL:AL)),
                     0)
      )
   ),
   ""
)</f>
        <v/>
      </c>
      <c r="V140" s="21">
        <f t="array" ref="V140">IFERROR(
   IF(
      INDEX(Load_Booking_Report!AR:AR,
             MATCH(TRUE,
                     ISNUMBER(FIND(SUBSTITUTE(C140," ",""),
                                    Load_Booking_Report!AL:AL)),
                     0)
      )=0,
      "",
      INDEX(Load_Booking_Report!AR:AR,
             MATCH(TRUE,
                     ISNUMBER(FIND(SUBSTITUTE(C140," ",""),
                                    Load_Booking_Report!AL:AL)),
                     0)
      )
   ),
   ""
)</f>
        <v/>
      </c>
      <c r="W140" s="21">
        <f t="array" ref="W140">IFERROR(INDEX(Load_Booking_Report!F:F, MATCH(TRUE, ISNUMBER(FIND(SUBSTITUTE(C140," ",""), Load_Booking_Report!AL:AL)), 0)), "Not Found")</f>
        <v/>
      </c>
      <c r="X140" s="21">
        <f t="array" ref="X140">IFERROR(INDEX(Load_Booking_Report!N:N, MATCH(TRUE, ISNUMBER(FIND(SUBSTITUTE(C140," ",""), Load_Booking_Report!AL:AL)), 0)), "Not Found")</f>
        <v/>
      </c>
      <c r="Y140" s="21">
        <f t="array" ref="Y140">IFERROR(INDEX(Load_Booking_Report!V:V, MATCH(TRUE, ISNUMBER(FIND(SUBSTITUTE(C140," ",""), Load_Booking_Report!AL:AL)), 0)), "Not Found")</f>
        <v/>
      </c>
      <c r="Z140" s="41">
        <f t="array" ref="Z140">IFERROR(INDEX(Load_Booking_Report!BC:BC, MATCH(TRUE, ISNUMBER(FIND(SUBSTITUTE(C140," ",""), Load_Booking_Report!AL:AL)), 0)), "Not Found")</f>
        <v/>
      </c>
    </row>
    <row r="141">
      <c r="A141" t="n">
        <v>30</v>
      </c>
      <c r="B141" t="n">
        <v>300308</v>
      </c>
      <c r="C141" t="inlineStr">
        <is>
          <t>ANON0000000</t>
        </is>
      </c>
      <c r="D141" t="n">
        <v>40</v>
      </c>
      <c r="E141" t="inlineStr">
        <is>
          <t>USNFK</t>
        </is>
      </c>
      <c r="F141" t="inlineStr">
        <is>
          <t>RULED</t>
        </is>
      </c>
      <c r="G141" t="n">
        <v>16337</v>
      </c>
      <c r="H141" t="inlineStr">
        <is>
          <t>ART</t>
        </is>
      </c>
      <c r="I141" t="inlineStr">
        <is>
          <t>42P3</t>
        </is>
      </c>
      <c r="L141" t="inlineStr">
        <is>
          <t>OOG</t>
        </is>
      </c>
      <c r="M141" t="inlineStr">
        <is>
          <t>Full</t>
        </is>
      </c>
      <c r="N141" t="inlineStr">
        <is>
          <t>RULED</t>
        </is>
      </c>
      <c r="P141" s="21">
        <f>C141</f>
        <v/>
      </c>
      <c r="Q141" s="21">
        <f t="array" ref="Q141">IFERROR(INDEX(Load_Booking_Report!AC:AC, MATCH(TRUE, ISNUMBER(FIND(SUBSTITUTE(C141," ",""), Load_Booking_Report!AL:AL)), 0)), "Not Found")</f>
        <v/>
      </c>
      <c r="R141" s="21">
        <f t="array" ref="R141">IFERROR(INDEX(Load_Booking_Report!C:C, MATCH(TRUE, ISNUMBER(FIND(SUBSTITUTE(C141," ",""), Load_Booking_Report!AL:AL)), 0)), "Not Found")</f>
        <v/>
      </c>
      <c r="S141" s="21">
        <f t="array" ref="S141">IFERROR(INDEX(Load_Booking_Report!AG:AG, MATCH(TRUE, ISNUMBER(FIND(SUBSTITUTE(C141," ",""), Load_Booking_Report!AL:AL)), 0)), "Not Found")</f>
        <v/>
      </c>
      <c r="T141" s="21">
        <f>G141</f>
        <v/>
      </c>
      <c r="U141" s="33">
        <f t="array" ref="U141">IFERROR(
   IF(
      INDEX(Load_Booking_Report!AM:AM,
             MATCH(TRUE,
                     ISNUMBER(FIND(SUBSTITUTE(C141," ",""),
                                    Load_Booking_Report!AL:AL)),
                     0)
      )=0,
      "",
      INDEX(Load_Booking_Report!AM:AM,
             MATCH(TRUE,
                     ISNUMBER(FIND(SUBSTITUTE(C141," ",""),
                                    Load_Booking_Report!AL:AL)),
                     0)
      )
   ),
   ""
)</f>
        <v/>
      </c>
      <c r="V141" s="21">
        <f t="array" ref="V141">IFERROR(
   IF(
      INDEX(Load_Booking_Report!AR:AR,
             MATCH(TRUE,
                     ISNUMBER(FIND(SUBSTITUTE(C141," ",""),
                                    Load_Booking_Report!AL:AL)),
                     0)
      )=0,
      "",
      INDEX(Load_Booking_Report!AR:AR,
             MATCH(TRUE,
                     ISNUMBER(FIND(SUBSTITUTE(C141," ",""),
                                    Load_Booking_Report!AL:AL)),
                     0)
      )
   ),
   ""
)</f>
        <v/>
      </c>
      <c r="W141" s="21">
        <f t="array" ref="W141">IFERROR(INDEX(Load_Booking_Report!F:F, MATCH(TRUE, ISNUMBER(FIND(SUBSTITUTE(C141," ",""), Load_Booking_Report!AL:AL)), 0)), "Not Found")</f>
        <v/>
      </c>
      <c r="X141" s="21">
        <f t="array" ref="X141">IFERROR(INDEX(Load_Booking_Report!N:N, MATCH(TRUE, ISNUMBER(FIND(SUBSTITUTE(C141," ",""), Load_Booking_Report!AL:AL)), 0)), "Not Found")</f>
        <v/>
      </c>
      <c r="Y141" s="21">
        <f t="array" ref="Y141">IFERROR(INDEX(Load_Booking_Report!V:V, MATCH(TRUE, ISNUMBER(FIND(SUBSTITUTE(C141," ",""), Load_Booking_Report!AL:AL)), 0)), "Not Found")</f>
        <v/>
      </c>
      <c r="Z141" s="41">
        <f t="array" ref="Z141">IFERROR(INDEX(Load_Booking_Report!BC:BC, MATCH(TRUE, ISNUMBER(FIND(SUBSTITUTE(C141," ",""), Load_Booking_Report!AL:AL)), 0)), "Not Found")</f>
        <v/>
      </c>
    </row>
    <row r="142">
      <c r="A142" t="n">
        <v>14</v>
      </c>
      <c r="B142" t="n">
        <v>140482</v>
      </c>
      <c r="C142" t="inlineStr">
        <is>
          <t>ANON0000000</t>
        </is>
      </c>
      <c r="D142" t="n">
        <v>40</v>
      </c>
      <c r="E142" t="inlineStr">
        <is>
          <t>USNFK</t>
        </is>
      </c>
      <c r="F142" t="inlineStr">
        <is>
          <t>RULED</t>
        </is>
      </c>
      <c r="G142" t="n">
        <v>16337</v>
      </c>
      <c r="H142" t="inlineStr">
        <is>
          <t>ART</t>
        </is>
      </c>
      <c r="I142" t="inlineStr">
        <is>
          <t>42P3</t>
        </is>
      </c>
      <c r="L142" t="inlineStr">
        <is>
          <t>OOG</t>
        </is>
      </c>
      <c r="M142" t="inlineStr">
        <is>
          <t>Full</t>
        </is>
      </c>
      <c r="N142" t="inlineStr">
        <is>
          <t>RULED</t>
        </is>
      </c>
      <c r="P142" s="21">
        <f>C142</f>
        <v/>
      </c>
      <c r="Q142" s="21">
        <f t="array" ref="Q142">IFERROR(INDEX(Load_Booking_Report!AC:AC, MATCH(TRUE, ISNUMBER(FIND(SUBSTITUTE(C142," ",""), Load_Booking_Report!AL:AL)), 0)), "Not Found")</f>
        <v/>
      </c>
      <c r="R142" s="21">
        <f t="array" ref="R142">IFERROR(INDEX(Load_Booking_Report!C:C, MATCH(TRUE, ISNUMBER(FIND(SUBSTITUTE(C142," ",""), Load_Booking_Report!AL:AL)), 0)), "Not Found")</f>
        <v/>
      </c>
      <c r="S142" s="21">
        <f t="array" ref="S142">IFERROR(INDEX(Load_Booking_Report!AG:AG, MATCH(TRUE, ISNUMBER(FIND(SUBSTITUTE(C142," ",""), Load_Booking_Report!AL:AL)), 0)), "Not Found")</f>
        <v/>
      </c>
      <c r="T142" s="21">
        <f>G142</f>
        <v/>
      </c>
      <c r="U142" s="33">
        <f t="array" ref="U142">IFERROR(
   IF(
      INDEX(Load_Booking_Report!AM:AM,
             MATCH(TRUE,
                     ISNUMBER(FIND(SUBSTITUTE(C142," ",""),
                                    Load_Booking_Report!AL:AL)),
                     0)
      )=0,
      "",
      INDEX(Load_Booking_Report!AM:AM,
             MATCH(TRUE,
                     ISNUMBER(FIND(SUBSTITUTE(C142," ",""),
                                    Load_Booking_Report!AL:AL)),
                     0)
      )
   ),
   ""
)</f>
        <v/>
      </c>
      <c r="V142" s="21">
        <f t="array" ref="V142">IFERROR(
   IF(
      INDEX(Load_Booking_Report!AR:AR,
             MATCH(TRUE,
                     ISNUMBER(FIND(SUBSTITUTE(C142," ",""),
                                    Load_Booking_Report!AL:AL)),
                     0)
      )=0,
      "",
      INDEX(Load_Booking_Report!AR:AR,
             MATCH(TRUE,
                     ISNUMBER(FIND(SUBSTITUTE(C142," ",""),
                                    Load_Booking_Report!AL:AL)),
                     0)
      )
   ),
   ""
)</f>
        <v/>
      </c>
      <c r="W142" s="21">
        <f t="array" ref="W142">IFERROR(INDEX(Load_Booking_Report!F:F, MATCH(TRUE, ISNUMBER(FIND(SUBSTITUTE(C142," ",""), Load_Booking_Report!AL:AL)), 0)), "Not Found")</f>
        <v/>
      </c>
      <c r="X142" s="21">
        <f t="array" ref="X142">IFERROR(INDEX(Load_Booking_Report!N:N, MATCH(TRUE, ISNUMBER(FIND(SUBSTITUTE(C142," ",""), Load_Booking_Report!AL:AL)), 0)), "Not Found")</f>
        <v/>
      </c>
      <c r="Y142" s="21">
        <f t="array" ref="Y142">IFERROR(INDEX(Load_Booking_Report!V:V, MATCH(TRUE, ISNUMBER(FIND(SUBSTITUTE(C142," ",""), Load_Booking_Report!AL:AL)), 0)), "Not Found")</f>
        <v/>
      </c>
      <c r="Z142" s="41">
        <f t="array" ref="Z142">IFERROR(INDEX(Load_Booking_Report!BC:BC, MATCH(TRUE, ISNUMBER(FIND(SUBSTITUTE(C142," ",""), Load_Booking_Report!AL:AL)), 0)), "Not Found")</f>
        <v/>
      </c>
    </row>
    <row r="143">
      <c r="A143" t="n">
        <v>34</v>
      </c>
      <c r="B143" t="n">
        <v>340584</v>
      </c>
      <c r="C143" t="inlineStr">
        <is>
          <t>ANON0000000</t>
        </is>
      </c>
      <c r="D143" t="n">
        <v>40</v>
      </c>
      <c r="E143" t="inlineStr">
        <is>
          <t>USHOU</t>
        </is>
      </c>
      <c r="F143" t="inlineStr">
        <is>
          <t>RULED</t>
        </is>
      </c>
      <c r="G143" t="n">
        <v>17678</v>
      </c>
      <c r="H143" t="inlineStr">
        <is>
          <t>ART</t>
        </is>
      </c>
      <c r="I143" t="inlineStr">
        <is>
          <t>45G1</t>
        </is>
      </c>
      <c r="L143" t="inlineStr">
        <is>
          <t>9'6</t>
        </is>
      </c>
      <c r="M143" t="inlineStr">
        <is>
          <t>Full</t>
        </is>
      </c>
      <c r="N143" t="inlineStr">
        <is>
          <t>RULED</t>
        </is>
      </c>
      <c r="P143" s="21">
        <f>C143</f>
        <v/>
      </c>
      <c r="Q143" s="21">
        <f t="array" ref="Q143">IFERROR(INDEX(Load_Booking_Report!AC:AC, MATCH(TRUE, ISNUMBER(FIND(SUBSTITUTE(C143," ",""), Load_Booking_Report!AL:AL)), 0)), "Not Found")</f>
        <v/>
      </c>
      <c r="R143" s="21">
        <f t="array" ref="R143">IFERROR(INDEX(Load_Booking_Report!C:C, MATCH(TRUE, ISNUMBER(FIND(SUBSTITUTE(C143," ",""), Load_Booking_Report!AL:AL)), 0)), "Not Found")</f>
        <v/>
      </c>
      <c r="S143" s="21">
        <f t="array" ref="S143">IFERROR(INDEX(Load_Booking_Report!AG:AG, MATCH(TRUE, ISNUMBER(FIND(SUBSTITUTE(C143," ",""), Load_Booking_Report!AL:AL)), 0)), "Not Found")</f>
        <v/>
      </c>
      <c r="T143" s="21">
        <f>G143</f>
        <v/>
      </c>
      <c r="U143" s="33">
        <f t="array" ref="U143">IFERROR(
   IF(
      INDEX(Load_Booking_Report!AM:AM,
             MATCH(TRUE,
                     ISNUMBER(FIND(SUBSTITUTE(C143," ",""),
                                    Load_Booking_Report!AL:AL)),
                     0)
      )=0,
      "",
      INDEX(Load_Booking_Report!AM:AM,
             MATCH(TRUE,
                     ISNUMBER(FIND(SUBSTITUTE(C143," ",""),
                                    Load_Booking_Report!AL:AL)),
                     0)
      )
   ),
   ""
)</f>
        <v/>
      </c>
      <c r="V143" s="21">
        <f t="array" ref="V143">IFERROR(
   IF(
      INDEX(Load_Booking_Report!AR:AR,
             MATCH(TRUE,
                     ISNUMBER(FIND(SUBSTITUTE(C143," ",""),
                                    Load_Booking_Report!AL:AL)),
                     0)
      )=0,
      "",
      INDEX(Load_Booking_Report!AR:AR,
             MATCH(TRUE,
                     ISNUMBER(FIND(SUBSTITUTE(C143," ",""),
                                    Load_Booking_Report!AL:AL)),
                     0)
      )
   ),
   ""
)</f>
        <v/>
      </c>
      <c r="W143" s="21">
        <f t="array" ref="W143">IFERROR(INDEX(Load_Booking_Report!F:F, MATCH(TRUE, ISNUMBER(FIND(SUBSTITUTE(C143," ",""), Load_Booking_Report!AL:AL)), 0)), "Not Found")</f>
        <v/>
      </c>
      <c r="X143" s="21">
        <f t="array" ref="X143">IFERROR(INDEX(Load_Booking_Report!N:N, MATCH(TRUE, ISNUMBER(FIND(SUBSTITUTE(C143," ",""), Load_Booking_Report!AL:AL)), 0)), "Not Found")</f>
        <v/>
      </c>
      <c r="Y143" s="21">
        <f t="array" ref="Y143">IFERROR(INDEX(Load_Booking_Report!V:V, MATCH(TRUE, ISNUMBER(FIND(SUBSTITUTE(C143," ",""), Load_Booking_Report!AL:AL)), 0)), "Not Found")</f>
        <v/>
      </c>
      <c r="Z143" s="41">
        <f t="array" ref="Z143">IFERROR(INDEX(Load_Booking_Report!BC:BC, MATCH(TRUE, ISNUMBER(FIND(SUBSTITUTE(C143," ",""), Load_Booking_Report!AL:AL)), 0)), "Not Found")</f>
        <v/>
      </c>
    </row>
    <row r="144">
      <c r="A144" t="n">
        <v>10</v>
      </c>
      <c r="B144" t="n">
        <v>101086</v>
      </c>
      <c r="C144" t="inlineStr">
        <is>
          <t>ANON0000000</t>
        </is>
      </c>
      <c r="D144" t="n">
        <v>40</v>
      </c>
      <c r="E144" t="inlineStr">
        <is>
          <t>USNFK</t>
        </is>
      </c>
      <c r="F144" t="inlineStr">
        <is>
          <t>RULED</t>
        </is>
      </c>
      <c r="G144" t="n">
        <v>24800</v>
      </c>
      <c r="H144" t="inlineStr">
        <is>
          <t>ART</t>
        </is>
      </c>
      <c r="I144" t="inlineStr">
        <is>
          <t>45G1</t>
        </is>
      </c>
      <c r="L144" t="inlineStr">
        <is>
          <t>9'6</t>
        </is>
      </c>
      <c r="M144" t="inlineStr">
        <is>
          <t>Full</t>
        </is>
      </c>
      <c r="N144" t="inlineStr">
        <is>
          <t>RULED</t>
        </is>
      </c>
      <c r="P144" s="21">
        <f>C144</f>
        <v/>
      </c>
      <c r="Q144" s="21">
        <f t="array" ref="Q144">IFERROR(INDEX(Load_Booking_Report!AC:AC, MATCH(TRUE, ISNUMBER(FIND(SUBSTITUTE(C144," ",""), Load_Booking_Report!AL:AL)), 0)), "Not Found")</f>
        <v/>
      </c>
      <c r="R144" s="21">
        <f t="array" ref="R144">IFERROR(INDEX(Load_Booking_Report!C:C, MATCH(TRUE, ISNUMBER(FIND(SUBSTITUTE(C144," ",""), Load_Booking_Report!AL:AL)), 0)), "Not Found")</f>
        <v/>
      </c>
      <c r="S144" s="21">
        <f t="array" ref="S144">IFERROR(INDEX(Load_Booking_Report!AG:AG, MATCH(TRUE, ISNUMBER(FIND(SUBSTITUTE(C144," ",""), Load_Booking_Report!AL:AL)), 0)), "Not Found")</f>
        <v/>
      </c>
      <c r="T144" s="21">
        <f>G144</f>
        <v/>
      </c>
      <c r="U144" s="33">
        <f t="array" ref="U144">IFERROR(
   IF(
      INDEX(Load_Booking_Report!AM:AM,
             MATCH(TRUE,
                     ISNUMBER(FIND(SUBSTITUTE(C144," ",""),
                                    Load_Booking_Report!AL:AL)),
                     0)
      )=0,
      "",
      INDEX(Load_Booking_Report!AM:AM,
             MATCH(TRUE,
                     ISNUMBER(FIND(SUBSTITUTE(C144," ",""),
                                    Load_Booking_Report!AL:AL)),
                     0)
      )
   ),
   ""
)</f>
        <v/>
      </c>
      <c r="V144" s="21">
        <f t="array" ref="V144">IFERROR(
   IF(
      INDEX(Load_Booking_Report!AR:AR,
             MATCH(TRUE,
                     ISNUMBER(FIND(SUBSTITUTE(C144," ",""),
                                    Load_Booking_Report!AL:AL)),
                     0)
      )=0,
      "",
      INDEX(Load_Booking_Report!AR:AR,
             MATCH(TRUE,
                     ISNUMBER(FIND(SUBSTITUTE(C144," ",""),
                                    Load_Booking_Report!AL:AL)),
                     0)
      )
   ),
   ""
)</f>
        <v/>
      </c>
      <c r="W144" s="21">
        <f t="array" ref="W144">IFERROR(INDEX(Load_Booking_Report!F:F, MATCH(TRUE, ISNUMBER(FIND(SUBSTITUTE(C144," ",""), Load_Booking_Report!AL:AL)), 0)), "Not Found")</f>
        <v/>
      </c>
      <c r="X144" s="21">
        <f t="array" ref="X144">IFERROR(INDEX(Load_Booking_Report!N:N, MATCH(TRUE, ISNUMBER(FIND(SUBSTITUTE(C144," ",""), Load_Booking_Report!AL:AL)), 0)), "Not Found")</f>
        <v/>
      </c>
      <c r="Y144" s="21">
        <f t="array" ref="Y144">IFERROR(INDEX(Load_Booking_Report!V:V, MATCH(TRUE, ISNUMBER(FIND(SUBSTITUTE(C144," ",""), Load_Booking_Report!AL:AL)), 0)), "Not Found")</f>
        <v/>
      </c>
      <c r="Z144" s="41">
        <f t="array" ref="Z144">IFERROR(INDEX(Load_Booking_Report!BC:BC, MATCH(TRUE, ISNUMBER(FIND(SUBSTITUTE(C144," ",""), Load_Booking_Report!AL:AL)), 0)), "Not Found")</f>
        <v/>
      </c>
    </row>
    <row r="145">
      <c r="A145" t="n">
        <v>22</v>
      </c>
      <c r="B145" t="n">
        <v>220286</v>
      </c>
      <c r="C145" t="inlineStr">
        <is>
          <t>ANON0000000</t>
        </is>
      </c>
      <c r="D145" t="n">
        <v>40</v>
      </c>
      <c r="E145" t="inlineStr">
        <is>
          <t>USNFK</t>
        </is>
      </c>
      <c r="F145" t="inlineStr">
        <is>
          <t>RULED</t>
        </is>
      </c>
      <c r="G145" t="n">
        <v>24500</v>
      </c>
      <c r="H145" t="inlineStr">
        <is>
          <t>ART</t>
        </is>
      </c>
      <c r="I145" t="inlineStr">
        <is>
          <t>45G1</t>
        </is>
      </c>
      <c r="L145" t="inlineStr">
        <is>
          <t>9'6</t>
        </is>
      </c>
      <c r="M145" t="inlineStr">
        <is>
          <t>Full</t>
        </is>
      </c>
      <c r="N145" t="inlineStr">
        <is>
          <t>RULED</t>
        </is>
      </c>
      <c r="P145" s="21">
        <f>C145</f>
        <v/>
      </c>
      <c r="Q145" s="21">
        <f t="array" ref="Q145">IFERROR(INDEX(Load_Booking_Report!AC:AC, MATCH(TRUE, ISNUMBER(FIND(SUBSTITUTE(C145," ",""), Load_Booking_Report!AL:AL)), 0)), "Not Found")</f>
        <v/>
      </c>
      <c r="R145" s="21">
        <f t="array" ref="R145">IFERROR(INDEX(Load_Booking_Report!C:C, MATCH(TRUE, ISNUMBER(FIND(SUBSTITUTE(C145," ",""), Load_Booking_Report!AL:AL)), 0)), "Not Found")</f>
        <v/>
      </c>
      <c r="S145" s="21">
        <f t="array" ref="S145">IFERROR(INDEX(Load_Booking_Report!AG:AG, MATCH(TRUE, ISNUMBER(FIND(SUBSTITUTE(C145," ",""), Load_Booking_Report!AL:AL)), 0)), "Not Found")</f>
        <v/>
      </c>
      <c r="T145" s="21">
        <f>G145</f>
        <v/>
      </c>
      <c r="U145" s="33">
        <f t="array" ref="U145">IFERROR(
   IF(
      INDEX(Load_Booking_Report!AM:AM,
             MATCH(TRUE,
                     ISNUMBER(FIND(SUBSTITUTE(C145," ",""),
                                    Load_Booking_Report!AL:AL)),
                     0)
      )=0,
      "",
      INDEX(Load_Booking_Report!AM:AM,
             MATCH(TRUE,
                     ISNUMBER(FIND(SUBSTITUTE(C145," ",""),
                                    Load_Booking_Report!AL:AL)),
                     0)
      )
   ),
   ""
)</f>
        <v/>
      </c>
      <c r="V145" s="21">
        <f t="array" ref="V145">IFERROR(
   IF(
      INDEX(Load_Booking_Report!AR:AR,
             MATCH(TRUE,
                     ISNUMBER(FIND(SUBSTITUTE(C145," ",""),
                                    Load_Booking_Report!AL:AL)),
                     0)
      )=0,
      "",
      INDEX(Load_Booking_Report!AR:AR,
             MATCH(TRUE,
                     ISNUMBER(FIND(SUBSTITUTE(C145," ",""),
                                    Load_Booking_Report!AL:AL)),
                     0)
      )
   ),
   ""
)</f>
        <v/>
      </c>
      <c r="W145" s="21">
        <f t="array" ref="W145">IFERROR(INDEX(Load_Booking_Report!F:F, MATCH(TRUE, ISNUMBER(FIND(SUBSTITUTE(C145," ",""), Load_Booking_Report!AL:AL)), 0)), "Not Found")</f>
        <v/>
      </c>
      <c r="X145" s="21">
        <f t="array" ref="X145">IFERROR(INDEX(Load_Booking_Report!N:N, MATCH(TRUE, ISNUMBER(FIND(SUBSTITUTE(C145," ",""), Load_Booking_Report!AL:AL)), 0)), "Not Found")</f>
        <v/>
      </c>
      <c r="Y145" s="21">
        <f t="array" ref="Y145">IFERROR(INDEX(Load_Booking_Report!V:V, MATCH(TRUE, ISNUMBER(FIND(SUBSTITUTE(C145," ",""), Load_Booking_Report!AL:AL)), 0)), "Not Found")</f>
        <v/>
      </c>
      <c r="Z145" s="41">
        <f t="array" ref="Z145">IFERROR(INDEX(Load_Booking_Report!BC:BC, MATCH(TRUE, ISNUMBER(FIND(SUBSTITUTE(C145," ",""), Load_Booking_Report!AL:AL)), 0)), "Not Found")</f>
        <v/>
      </c>
    </row>
    <row r="146">
      <c r="A146" t="n">
        <v>18</v>
      </c>
      <c r="B146" t="n">
        <v>180108</v>
      </c>
      <c r="C146" t="inlineStr">
        <is>
          <t>ANON0000000</t>
        </is>
      </c>
      <c r="D146" t="n">
        <v>40</v>
      </c>
      <c r="E146" t="inlineStr">
        <is>
          <t>USNFK</t>
        </is>
      </c>
      <c r="F146" t="inlineStr">
        <is>
          <t>RULED</t>
        </is>
      </c>
      <c r="G146" t="n">
        <v>28770</v>
      </c>
      <c r="H146" t="inlineStr">
        <is>
          <t>ART</t>
        </is>
      </c>
      <c r="I146" t="inlineStr">
        <is>
          <t>45G1</t>
        </is>
      </c>
      <c r="L146" t="inlineStr">
        <is>
          <t>OOG</t>
        </is>
      </c>
      <c r="M146" t="inlineStr">
        <is>
          <t>Full</t>
        </is>
      </c>
      <c r="N146" t="inlineStr">
        <is>
          <t>RULED</t>
        </is>
      </c>
      <c r="P146" s="21">
        <f>C146</f>
        <v/>
      </c>
      <c r="Q146" s="21">
        <f t="array" ref="Q146">IFERROR(INDEX(Load_Booking_Report!AC:AC, MATCH(TRUE, ISNUMBER(FIND(SUBSTITUTE(C146," ",""), Load_Booking_Report!AL:AL)), 0)), "Not Found")</f>
        <v/>
      </c>
      <c r="R146" s="21">
        <f t="array" ref="R146">IFERROR(INDEX(Load_Booking_Report!C:C, MATCH(TRUE, ISNUMBER(FIND(SUBSTITUTE(C146," ",""), Load_Booking_Report!AL:AL)), 0)), "Not Found")</f>
        <v/>
      </c>
      <c r="S146" s="21">
        <f t="array" ref="S146">IFERROR(INDEX(Load_Booking_Report!AG:AG, MATCH(TRUE, ISNUMBER(FIND(SUBSTITUTE(C146," ",""), Load_Booking_Report!AL:AL)), 0)), "Not Found")</f>
        <v/>
      </c>
      <c r="T146" s="21">
        <f>G146</f>
        <v/>
      </c>
      <c r="U146" s="33">
        <f t="array" ref="U146">IFERROR(
   IF(
      INDEX(Load_Booking_Report!AM:AM,
             MATCH(TRUE,
                     ISNUMBER(FIND(SUBSTITUTE(C146," ",""),
                                    Load_Booking_Report!AL:AL)),
                     0)
      )=0,
      "",
      INDEX(Load_Booking_Report!AM:AM,
             MATCH(TRUE,
                     ISNUMBER(FIND(SUBSTITUTE(C146," ",""),
                                    Load_Booking_Report!AL:AL)),
                     0)
      )
   ),
   ""
)</f>
        <v/>
      </c>
      <c r="V146" s="21">
        <f t="array" ref="V146">IFERROR(
   IF(
      INDEX(Load_Booking_Report!AR:AR,
             MATCH(TRUE,
                     ISNUMBER(FIND(SUBSTITUTE(C146," ",""),
                                    Load_Booking_Report!AL:AL)),
                     0)
      )=0,
      "",
      INDEX(Load_Booking_Report!AR:AR,
             MATCH(TRUE,
                     ISNUMBER(FIND(SUBSTITUTE(C146," ",""),
                                    Load_Booking_Report!AL:AL)),
                     0)
      )
   ),
   ""
)</f>
        <v/>
      </c>
      <c r="W146" s="21">
        <f t="array" ref="W146">IFERROR(INDEX(Load_Booking_Report!F:F, MATCH(TRUE, ISNUMBER(FIND(SUBSTITUTE(C146," ",""), Load_Booking_Report!AL:AL)), 0)), "Not Found")</f>
        <v/>
      </c>
      <c r="X146" s="21">
        <f t="array" ref="X146">IFERROR(INDEX(Load_Booking_Report!N:N, MATCH(TRUE, ISNUMBER(FIND(SUBSTITUTE(C146," ",""), Load_Booking_Report!AL:AL)), 0)), "Not Found")</f>
        <v/>
      </c>
      <c r="Y146" s="21">
        <f t="array" ref="Y146">IFERROR(INDEX(Load_Booking_Report!V:V, MATCH(TRUE, ISNUMBER(FIND(SUBSTITUTE(C146," ",""), Load_Booking_Report!AL:AL)), 0)), "Not Found")</f>
        <v/>
      </c>
      <c r="Z146" s="41">
        <f t="array" ref="Z146">IFERROR(INDEX(Load_Booking_Report!BC:BC, MATCH(TRUE, ISNUMBER(FIND(SUBSTITUTE(C146," ",""), Load_Booking_Report!AL:AL)), 0)), "Not Found")</f>
        <v/>
      </c>
    </row>
    <row r="147">
      <c r="A147" t="n">
        <v>26</v>
      </c>
      <c r="B147" t="n">
        <v>260406</v>
      </c>
      <c r="C147" t="inlineStr">
        <is>
          <t>ANON0000000</t>
        </is>
      </c>
      <c r="D147" t="n">
        <v>40</v>
      </c>
      <c r="E147" t="inlineStr">
        <is>
          <t>USNYC</t>
        </is>
      </c>
      <c r="F147" t="inlineStr">
        <is>
          <t>RULED</t>
        </is>
      </c>
      <c r="G147" t="n">
        <v>30300</v>
      </c>
      <c r="H147" t="inlineStr">
        <is>
          <t>ART</t>
        </is>
      </c>
      <c r="I147" t="inlineStr">
        <is>
          <t>45G1</t>
        </is>
      </c>
      <c r="L147" t="inlineStr">
        <is>
          <t>9'6</t>
        </is>
      </c>
      <c r="M147" t="inlineStr">
        <is>
          <t>Full</t>
        </is>
      </c>
      <c r="N147" t="inlineStr">
        <is>
          <t>RULED</t>
        </is>
      </c>
      <c r="P147" s="21">
        <f>C147</f>
        <v/>
      </c>
      <c r="Q147" s="21">
        <f t="array" ref="Q147">IFERROR(INDEX(Load_Booking_Report!AC:AC, MATCH(TRUE, ISNUMBER(FIND(SUBSTITUTE(C147," ",""), Load_Booking_Report!AL:AL)), 0)), "Not Found")</f>
        <v/>
      </c>
      <c r="R147" s="21">
        <f t="array" ref="R147">IFERROR(INDEX(Load_Booking_Report!C:C, MATCH(TRUE, ISNUMBER(FIND(SUBSTITUTE(C147," ",""), Load_Booking_Report!AL:AL)), 0)), "Not Found")</f>
        <v/>
      </c>
      <c r="S147" s="21">
        <f t="array" ref="S147">IFERROR(INDEX(Load_Booking_Report!AG:AG, MATCH(TRUE, ISNUMBER(FIND(SUBSTITUTE(C147," ",""), Load_Booking_Report!AL:AL)), 0)), "Not Found")</f>
        <v/>
      </c>
      <c r="T147" s="21">
        <f>G147</f>
        <v/>
      </c>
      <c r="U147" s="33">
        <f t="array" ref="U147">IFERROR(
   IF(
      INDEX(Load_Booking_Report!AM:AM,
             MATCH(TRUE,
                     ISNUMBER(FIND(SUBSTITUTE(C147," ",""),
                                    Load_Booking_Report!AL:AL)),
                     0)
      )=0,
      "",
      INDEX(Load_Booking_Report!AM:AM,
             MATCH(TRUE,
                     ISNUMBER(FIND(SUBSTITUTE(C147," ",""),
                                    Load_Booking_Report!AL:AL)),
                     0)
      )
   ),
   ""
)</f>
        <v/>
      </c>
      <c r="V147" s="21">
        <f t="array" ref="V147">IFERROR(
   IF(
      INDEX(Load_Booking_Report!AR:AR,
             MATCH(TRUE,
                     ISNUMBER(FIND(SUBSTITUTE(C147," ",""),
                                    Load_Booking_Report!AL:AL)),
                     0)
      )=0,
      "",
      INDEX(Load_Booking_Report!AR:AR,
             MATCH(TRUE,
                     ISNUMBER(FIND(SUBSTITUTE(C147," ",""),
                                    Load_Booking_Report!AL:AL)),
                     0)
      )
   ),
   ""
)</f>
        <v/>
      </c>
      <c r="W147" s="21">
        <f t="array" ref="W147">IFERROR(INDEX(Load_Booking_Report!F:F, MATCH(TRUE, ISNUMBER(FIND(SUBSTITUTE(C147," ",""), Load_Booking_Report!AL:AL)), 0)), "Not Found")</f>
        <v/>
      </c>
      <c r="X147" s="21">
        <f t="array" ref="X147">IFERROR(INDEX(Load_Booking_Report!N:N, MATCH(TRUE, ISNUMBER(FIND(SUBSTITUTE(C147," ",""), Load_Booking_Report!AL:AL)), 0)), "Not Found")</f>
        <v/>
      </c>
      <c r="Y147" s="21">
        <f t="array" ref="Y147">IFERROR(INDEX(Load_Booking_Report!V:V, MATCH(TRUE, ISNUMBER(FIND(SUBSTITUTE(C147," ",""), Load_Booking_Report!AL:AL)), 0)), "Not Found")</f>
        <v/>
      </c>
      <c r="Z147" s="41">
        <f t="array" ref="Z147">IFERROR(INDEX(Load_Booking_Report!BC:BC, MATCH(TRUE, ISNUMBER(FIND(SUBSTITUTE(C147," ",""), Load_Booking_Report!AL:AL)), 0)), "Not Found")</f>
        <v/>
      </c>
    </row>
    <row r="148">
      <c r="A148" t="n">
        <v>26</v>
      </c>
      <c r="B148" t="n">
        <v>260306</v>
      </c>
      <c r="C148" t="inlineStr">
        <is>
          <t>ANON0000000</t>
        </is>
      </c>
      <c r="D148" t="n">
        <v>40</v>
      </c>
      <c r="E148" t="inlineStr">
        <is>
          <t>USNYC</t>
        </is>
      </c>
      <c r="F148" t="inlineStr">
        <is>
          <t>RULED</t>
        </is>
      </c>
      <c r="G148" t="n">
        <v>30616</v>
      </c>
      <c r="H148" t="inlineStr">
        <is>
          <t>ART</t>
        </is>
      </c>
      <c r="I148" t="inlineStr">
        <is>
          <t>45G1</t>
        </is>
      </c>
      <c r="L148" t="inlineStr">
        <is>
          <t>9'6</t>
        </is>
      </c>
      <c r="M148" t="inlineStr">
        <is>
          <t>Full</t>
        </is>
      </c>
      <c r="N148" t="inlineStr">
        <is>
          <t>RULED</t>
        </is>
      </c>
      <c r="P148" s="21">
        <f>C148</f>
        <v/>
      </c>
      <c r="Q148" s="21">
        <f t="array" ref="Q148">IFERROR(INDEX(Load_Booking_Report!AC:AC, MATCH(TRUE, ISNUMBER(FIND(SUBSTITUTE(C148," ",""), Load_Booking_Report!AL:AL)), 0)), "Not Found")</f>
        <v/>
      </c>
      <c r="R148" s="21">
        <f t="array" ref="R148">IFERROR(INDEX(Load_Booking_Report!C:C, MATCH(TRUE, ISNUMBER(FIND(SUBSTITUTE(C148," ",""), Load_Booking_Report!AL:AL)), 0)), "Not Found")</f>
        <v/>
      </c>
      <c r="S148" s="21">
        <f t="array" ref="S148">IFERROR(INDEX(Load_Booking_Report!AG:AG, MATCH(TRUE, ISNUMBER(FIND(SUBSTITUTE(C148," ",""), Load_Booking_Report!AL:AL)), 0)), "Not Found")</f>
        <v/>
      </c>
      <c r="T148" s="21">
        <f>G148</f>
        <v/>
      </c>
      <c r="U148" s="33">
        <f t="array" ref="U148">IFERROR(
   IF(
      INDEX(Load_Booking_Report!AM:AM,
             MATCH(TRUE,
                     ISNUMBER(FIND(SUBSTITUTE(C148," ",""),
                                    Load_Booking_Report!AL:AL)),
                     0)
      )=0,
      "",
      INDEX(Load_Booking_Report!AM:AM,
             MATCH(TRUE,
                     ISNUMBER(FIND(SUBSTITUTE(C148," ",""),
                                    Load_Booking_Report!AL:AL)),
                     0)
      )
   ),
   ""
)</f>
        <v/>
      </c>
      <c r="V148" s="21">
        <f t="array" ref="V148">IFERROR(
   IF(
      INDEX(Load_Booking_Report!AR:AR,
             MATCH(TRUE,
                     ISNUMBER(FIND(SUBSTITUTE(C148," ",""),
                                    Load_Booking_Report!AL:AL)),
                     0)
      )=0,
      "",
      INDEX(Load_Booking_Report!AR:AR,
             MATCH(TRUE,
                     ISNUMBER(FIND(SUBSTITUTE(C148," ",""),
                                    Load_Booking_Report!AL:AL)),
                     0)
      )
   ),
   ""
)</f>
        <v/>
      </c>
      <c r="W148" s="21">
        <f t="array" ref="W148">IFERROR(INDEX(Load_Booking_Report!F:F, MATCH(TRUE, ISNUMBER(FIND(SUBSTITUTE(C148," ",""), Load_Booking_Report!AL:AL)), 0)), "Not Found")</f>
        <v/>
      </c>
      <c r="X148" s="21">
        <f t="array" ref="X148">IFERROR(INDEX(Load_Booking_Report!N:N, MATCH(TRUE, ISNUMBER(FIND(SUBSTITUTE(C148," ",""), Load_Booking_Report!AL:AL)), 0)), "Not Found")</f>
        <v/>
      </c>
      <c r="Y148" s="21">
        <f t="array" ref="Y148">IFERROR(INDEX(Load_Booking_Report!V:V, MATCH(TRUE, ISNUMBER(FIND(SUBSTITUTE(C148," ",""), Load_Booking_Report!AL:AL)), 0)), "Not Found")</f>
        <v/>
      </c>
      <c r="Z148" s="41">
        <f t="array" ref="Z148">IFERROR(INDEX(Load_Booking_Report!BC:BC, MATCH(TRUE, ISNUMBER(FIND(SUBSTITUTE(C148," ",""), Load_Booking_Report!AL:AL)), 0)), "Not Found")</f>
        <v/>
      </c>
    </row>
    <row r="149">
      <c r="A149" t="n">
        <v>26</v>
      </c>
      <c r="B149" t="n">
        <v>260508</v>
      </c>
      <c r="C149" t="inlineStr">
        <is>
          <t>ANON0000000</t>
        </is>
      </c>
      <c r="D149" t="n">
        <v>40</v>
      </c>
      <c r="E149" t="inlineStr">
        <is>
          <t>USNYC</t>
        </is>
      </c>
      <c r="F149" t="inlineStr">
        <is>
          <t>RULED</t>
        </is>
      </c>
      <c r="G149" t="n">
        <v>30200</v>
      </c>
      <c r="H149" t="inlineStr">
        <is>
          <t>ART</t>
        </is>
      </c>
      <c r="I149" t="inlineStr">
        <is>
          <t>45G1</t>
        </is>
      </c>
      <c r="L149" t="inlineStr">
        <is>
          <t>9'6</t>
        </is>
      </c>
      <c r="M149" t="inlineStr">
        <is>
          <t>Full</t>
        </is>
      </c>
      <c r="N149" t="inlineStr">
        <is>
          <t>RULED</t>
        </is>
      </c>
      <c r="P149" s="21">
        <f>C149</f>
        <v/>
      </c>
      <c r="Q149" s="21">
        <f t="array" ref="Q149">IFERROR(INDEX(Load_Booking_Report!AC:AC, MATCH(TRUE, ISNUMBER(FIND(SUBSTITUTE(C149," ",""), Load_Booking_Report!AL:AL)), 0)), "Not Found")</f>
        <v/>
      </c>
      <c r="R149" s="21">
        <f t="array" ref="R149">IFERROR(INDEX(Load_Booking_Report!C:C, MATCH(TRUE, ISNUMBER(FIND(SUBSTITUTE(C149," ",""), Load_Booking_Report!AL:AL)), 0)), "Not Found")</f>
        <v/>
      </c>
      <c r="S149" s="21">
        <f t="array" ref="S149">IFERROR(INDEX(Load_Booking_Report!AG:AG, MATCH(TRUE, ISNUMBER(FIND(SUBSTITUTE(C149," ",""), Load_Booking_Report!AL:AL)), 0)), "Not Found")</f>
        <v/>
      </c>
      <c r="T149" s="21">
        <f>G149</f>
        <v/>
      </c>
      <c r="U149" s="33">
        <f t="array" ref="U149">IFERROR(
   IF(
      INDEX(Load_Booking_Report!AM:AM,
             MATCH(TRUE,
                     ISNUMBER(FIND(SUBSTITUTE(C149," ",""),
                                    Load_Booking_Report!AL:AL)),
                     0)
      )=0,
      "",
      INDEX(Load_Booking_Report!AM:AM,
             MATCH(TRUE,
                     ISNUMBER(FIND(SUBSTITUTE(C149," ",""),
                                    Load_Booking_Report!AL:AL)),
                     0)
      )
   ),
   ""
)</f>
        <v/>
      </c>
      <c r="V149" s="21">
        <f t="array" ref="V149">IFERROR(
   IF(
      INDEX(Load_Booking_Report!AR:AR,
             MATCH(TRUE,
                     ISNUMBER(FIND(SUBSTITUTE(C149," ",""),
                                    Load_Booking_Report!AL:AL)),
                     0)
      )=0,
      "",
      INDEX(Load_Booking_Report!AR:AR,
             MATCH(TRUE,
                     ISNUMBER(FIND(SUBSTITUTE(C149," ",""),
                                    Load_Booking_Report!AL:AL)),
                     0)
      )
   ),
   ""
)</f>
        <v/>
      </c>
      <c r="W149" s="21">
        <f t="array" ref="W149">IFERROR(INDEX(Load_Booking_Report!F:F, MATCH(TRUE, ISNUMBER(FIND(SUBSTITUTE(C149," ",""), Load_Booking_Report!AL:AL)), 0)), "Not Found")</f>
        <v/>
      </c>
      <c r="X149" s="21">
        <f t="array" ref="X149">IFERROR(INDEX(Load_Booking_Report!N:N, MATCH(TRUE, ISNUMBER(FIND(SUBSTITUTE(C149," ",""), Load_Booking_Report!AL:AL)), 0)), "Not Found")</f>
        <v/>
      </c>
      <c r="Y149" s="21">
        <f t="array" ref="Y149">IFERROR(INDEX(Load_Booking_Report!V:V, MATCH(TRUE, ISNUMBER(FIND(SUBSTITUTE(C149," ",""), Load_Booking_Report!AL:AL)), 0)), "Not Found")</f>
        <v/>
      </c>
      <c r="Z149" s="41">
        <f t="array" ref="Z149">IFERROR(INDEX(Load_Booking_Report!BC:BC, MATCH(TRUE, ISNUMBER(FIND(SUBSTITUTE(C149," ",""), Load_Booking_Report!AL:AL)), 0)), "Not Found")</f>
        <v/>
      </c>
    </row>
    <row r="150">
      <c r="A150" t="n">
        <v>34</v>
      </c>
      <c r="B150" t="n">
        <v>340808</v>
      </c>
      <c r="C150" t="inlineStr">
        <is>
          <t>ANON0000000</t>
        </is>
      </c>
      <c r="D150" t="n">
        <v>40</v>
      </c>
      <c r="E150" t="inlineStr">
        <is>
          <t>USNYC</t>
        </is>
      </c>
      <c r="F150" t="inlineStr">
        <is>
          <t>RULED</t>
        </is>
      </c>
      <c r="G150" t="n">
        <v>7380</v>
      </c>
      <c r="H150" t="inlineStr">
        <is>
          <t>ART</t>
        </is>
      </c>
      <c r="I150" t="inlineStr">
        <is>
          <t>45G1</t>
        </is>
      </c>
      <c r="L150" t="inlineStr">
        <is>
          <t>9'6</t>
        </is>
      </c>
      <c r="M150" t="inlineStr">
        <is>
          <t>Full</t>
        </is>
      </c>
      <c r="N150" t="inlineStr">
        <is>
          <t>RULED</t>
        </is>
      </c>
      <c r="P150" s="21">
        <f>C150</f>
        <v/>
      </c>
      <c r="Q150" s="21">
        <f t="array" ref="Q150">IFERROR(INDEX(Load_Booking_Report!AC:AC, MATCH(TRUE, ISNUMBER(FIND(SUBSTITUTE(C150," ",""), Load_Booking_Report!AL:AL)), 0)), "Not Found")</f>
        <v/>
      </c>
      <c r="R150" s="21">
        <f t="array" ref="R150">IFERROR(INDEX(Load_Booking_Report!C:C, MATCH(TRUE, ISNUMBER(FIND(SUBSTITUTE(C150," ",""), Load_Booking_Report!AL:AL)), 0)), "Not Found")</f>
        <v/>
      </c>
      <c r="S150" s="21">
        <f t="array" ref="S150">IFERROR(INDEX(Load_Booking_Report!AG:AG, MATCH(TRUE, ISNUMBER(FIND(SUBSTITUTE(C150," ",""), Load_Booking_Report!AL:AL)), 0)), "Not Found")</f>
        <v/>
      </c>
      <c r="T150" s="21">
        <f>G150</f>
        <v/>
      </c>
      <c r="U150" s="33">
        <f t="array" ref="U150">IFERROR(
   IF(
      INDEX(Load_Booking_Report!AM:AM,
             MATCH(TRUE,
                     ISNUMBER(FIND(SUBSTITUTE(C150," ",""),
                                    Load_Booking_Report!AL:AL)),
                     0)
      )=0,
      "",
      INDEX(Load_Booking_Report!AM:AM,
             MATCH(TRUE,
                     ISNUMBER(FIND(SUBSTITUTE(C150," ",""),
                                    Load_Booking_Report!AL:AL)),
                     0)
      )
   ),
   ""
)</f>
        <v/>
      </c>
      <c r="V150" s="21">
        <f t="array" ref="V150">IFERROR(
   IF(
      INDEX(Load_Booking_Report!AR:AR,
             MATCH(TRUE,
                     ISNUMBER(FIND(SUBSTITUTE(C150," ",""),
                                    Load_Booking_Report!AL:AL)),
                     0)
      )=0,
      "",
      INDEX(Load_Booking_Report!AR:AR,
             MATCH(TRUE,
                     ISNUMBER(FIND(SUBSTITUTE(C150," ",""),
                                    Load_Booking_Report!AL:AL)),
                     0)
      )
   ),
   ""
)</f>
        <v/>
      </c>
      <c r="W150" s="21">
        <f t="array" ref="W150">IFERROR(INDEX(Load_Booking_Report!F:F, MATCH(TRUE, ISNUMBER(FIND(SUBSTITUTE(C150," ",""), Load_Booking_Report!AL:AL)), 0)), "Not Found")</f>
        <v/>
      </c>
      <c r="X150" s="21">
        <f t="array" ref="X150">IFERROR(INDEX(Load_Booking_Report!N:N, MATCH(TRUE, ISNUMBER(FIND(SUBSTITUTE(C150," ",""), Load_Booking_Report!AL:AL)), 0)), "Not Found")</f>
        <v/>
      </c>
      <c r="Y150" s="21">
        <f t="array" ref="Y150">IFERROR(INDEX(Load_Booking_Report!V:V, MATCH(TRUE, ISNUMBER(FIND(SUBSTITUTE(C150," ",""), Load_Booking_Report!AL:AL)), 0)), "Not Found")</f>
        <v/>
      </c>
      <c r="Z150" s="41">
        <f t="array" ref="Z150">IFERROR(INDEX(Load_Booking_Report!BC:BC, MATCH(TRUE, ISNUMBER(FIND(SUBSTITUTE(C150," ",""), Load_Booking_Report!AL:AL)), 0)), "Not Found")</f>
        <v/>
      </c>
    </row>
    <row r="151">
      <c r="A151" t="n">
        <v>18</v>
      </c>
      <c r="B151" t="n">
        <v>180508</v>
      </c>
      <c r="C151" t="inlineStr">
        <is>
          <t>ANON0000000</t>
        </is>
      </c>
      <c r="D151" t="n">
        <v>40</v>
      </c>
      <c r="E151" t="inlineStr">
        <is>
          <t>USNFK</t>
        </is>
      </c>
      <c r="F151" t="inlineStr">
        <is>
          <t>RULED</t>
        </is>
      </c>
      <c r="G151" t="n">
        <v>28770</v>
      </c>
      <c r="H151" t="inlineStr">
        <is>
          <t>ART</t>
        </is>
      </c>
      <c r="I151" t="inlineStr">
        <is>
          <t>45G1</t>
        </is>
      </c>
      <c r="L151" t="inlineStr">
        <is>
          <t>OOG</t>
        </is>
      </c>
      <c r="M151" t="inlineStr">
        <is>
          <t>Full</t>
        </is>
      </c>
      <c r="N151" t="inlineStr">
        <is>
          <t>RULED</t>
        </is>
      </c>
      <c r="P151" s="21">
        <f>C151</f>
        <v/>
      </c>
      <c r="Q151" s="21">
        <f t="array" ref="Q151">IFERROR(INDEX(Load_Booking_Report!AC:AC, MATCH(TRUE, ISNUMBER(FIND(SUBSTITUTE(C151," ",""), Load_Booking_Report!AL:AL)), 0)), "Not Found")</f>
        <v/>
      </c>
      <c r="R151" s="21">
        <f t="array" ref="R151">IFERROR(INDEX(Load_Booking_Report!C:C, MATCH(TRUE, ISNUMBER(FIND(SUBSTITUTE(C151," ",""), Load_Booking_Report!AL:AL)), 0)), "Not Found")</f>
        <v/>
      </c>
      <c r="S151" s="21">
        <f t="array" ref="S151">IFERROR(INDEX(Load_Booking_Report!AG:AG, MATCH(TRUE, ISNUMBER(FIND(SUBSTITUTE(C151," ",""), Load_Booking_Report!AL:AL)), 0)), "Not Found")</f>
        <v/>
      </c>
      <c r="T151" s="21">
        <f>G151</f>
        <v/>
      </c>
      <c r="U151" s="33">
        <f t="array" ref="U151">IFERROR(
   IF(
      INDEX(Load_Booking_Report!AM:AM,
             MATCH(TRUE,
                     ISNUMBER(FIND(SUBSTITUTE(C151," ",""),
                                    Load_Booking_Report!AL:AL)),
                     0)
      )=0,
      "",
      INDEX(Load_Booking_Report!AM:AM,
             MATCH(TRUE,
                     ISNUMBER(FIND(SUBSTITUTE(C151," ",""),
                                    Load_Booking_Report!AL:AL)),
                     0)
      )
   ),
   ""
)</f>
        <v/>
      </c>
      <c r="V151" s="21">
        <f t="array" ref="V151">IFERROR(
   IF(
      INDEX(Load_Booking_Report!AR:AR,
             MATCH(TRUE,
                     ISNUMBER(FIND(SUBSTITUTE(C151," ",""),
                                    Load_Booking_Report!AL:AL)),
                     0)
      )=0,
      "",
      INDEX(Load_Booking_Report!AR:AR,
             MATCH(TRUE,
                     ISNUMBER(FIND(SUBSTITUTE(C151," ",""),
                                    Load_Booking_Report!AL:AL)),
                     0)
      )
   ),
   ""
)</f>
        <v/>
      </c>
      <c r="W151" s="21">
        <f t="array" ref="W151">IFERROR(INDEX(Load_Booking_Report!F:F, MATCH(TRUE, ISNUMBER(FIND(SUBSTITUTE(C151," ",""), Load_Booking_Report!AL:AL)), 0)), "Not Found")</f>
        <v/>
      </c>
      <c r="X151" s="21">
        <f t="array" ref="X151">IFERROR(INDEX(Load_Booking_Report!N:N, MATCH(TRUE, ISNUMBER(FIND(SUBSTITUTE(C151," ",""), Load_Booking_Report!AL:AL)), 0)), "Not Found")</f>
        <v/>
      </c>
      <c r="Y151" s="21">
        <f t="array" ref="Y151">IFERROR(INDEX(Load_Booking_Report!V:V, MATCH(TRUE, ISNUMBER(FIND(SUBSTITUTE(C151," ",""), Load_Booking_Report!AL:AL)), 0)), "Not Found")</f>
        <v/>
      </c>
      <c r="Z151" s="41">
        <f t="array" ref="Z151">IFERROR(INDEX(Load_Booking_Report!BC:BC, MATCH(TRUE, ISNUMBER(FIND(SUBSTITUTE(C151," ",""), Load_Booking_Report!AL:AL)), 0)), "Not Found")</f>
        <v/>
      </c>
    </row>
    <row r="152">
      <c r="A152" t="n">
        <v>6</v>
      </c>
      <c r="B152" t="n">
        <v>60386</v>
      </c>
      <c r="C152" t="inlineStr">
        <is>
          <t>ANON0000000</t>
        </is>
      </c>
      <c r="D152" t="n">
        <v>40</v>
      </c>
      <c r="E152" t="inlineStr">
        <is>
          <t>USNFK</t>
        </is>
      </c>
      <c r="F152" t="inlineStr">
        <is>
          <t>RULED</t>
        </is>
      </c>
      <c r="G152" t="n">
        <v>24800</v>
      </c>
      <c r="H152" t="inlineStr">
        <is>
          <t>ART</t>
        </is>
      </c>
      <c r="I152" t="inlineStr">
        <is>
          <t>45G1</t>
        </is>
      </c>
      <c r="L152" t="inlineStr">
        <is>
          <t>9'6</t>
        </is>
      </c>
      <c r="M152" t="inlineStr">
        <is>
          <t>Full</t>
        </is>
      </c>
      <c r="N152" t="inlineStr">
        <is>
          <t>RULED</t>
        </is>
      </c>
      <c r="P152" s="21">
        <f>C152</f>
        <v/>
      </c>
      <c r="Q152" s="21">
        <f t="array" ref="Q152">IFERROR(INDEX(Load_Booking_Report!AC:AC, MATCH(TRUE, ISNUMBER(FIND(SUBSTITUTE(C152," ",""), Load_Booking_Report!AL:AL)), 0)), "Not Found")</f>
        <v/>
      </c>
      <c r="R152" s="21">
        <f t="array" ref="R152">IFERROR(INDEX(Load_Booking_Report!C:C, MATCH(TRUE, ISNUMBER(FIND(SUBSTITUTE(C152," ",""), Load_Booking_Report!AL:AL)), 0)), "Not Found")</f>
        <v/>
      </c>
      <c r="S152" s="21">
        <f t="array" ref="S152">IFERROR(INDEX(Load_Booking_Report!AG:AG, MATCH(TRUE, ISNUMBER(FIND(SUBSTITUTE(C152," ",""), Load_Booking_Report!AL:AL)), 0)), "Not Found")</f>
        <v/>
      </c>
      <c r="T152" s="21">
        <f>G152</f>
        <v/>
      </c>
      <c r="U152" s="33">
        <f t="array" ref="U152">IFERROR(
   IF(
      INDEX(Load_Booking_Report!AM:AM,
             MATCH(TRUE,
                     ISNUMBER(FIND(SUBSTITUTE(C152," ",""),
                                    Load_Booking_Report!AL:AL)),
                     0)
      )=0,
      "",
      INDEX(Load_Booking_Report!AM:AM,
             MATCH(TRUE,
                     ISNUMBER(FIND(SUBSTITUTE(C152," ",""),
                                    Load_Booking_Report!AL:AL)),
                     0)
      )
   ),
   ""
)</f>
        <v/>
      </c>
      <c r="V152" s="21">
        <f t="array" ref="V152">IFERROR(
   IF(
      INDEX(Load_Booking_Report!AR:AR,
             MATCH(TRUE,
                     ISNUMBER(FIND(SUBSTITUTE(C152," ",""),
                                    Load_Booking_Report!AL:AL)),
                     0)
      )=0,
      "",
      INDEX(Load_Booking_Report!AR:AR,
             MATCH(TRUE,
                     ISNUMBER(FIND(SUBSTITUTE(C152," ",""),
                                    Load_Booking_Report!AL:AL)),
                     0)
      )
   ),
   ""
)</f>
        <v/>
      </c>
      <c r="W152" s="21">
        <f t="array" ref="W152">IFERROR(INDEX(Load_Booking_Report!F:F, MATCH(TRUE, ISNUMBER(FIND(SUBSTITUTE(C152," ",""), Load_Booking_Report!AL:AL)), 0)), "Not Found")</f>
        <v/>
      </c>
      <c r="X152" s="21">
        <f t="array" ref="X152">IFERROR(INDEX(Load_Booking_Report!N:N, MATCH(TRUE, ISNUMBER(FIND(SUBSTITUTE(C152," ",""), Load_Booking_Report!AL:AL)), 0)), "Not Found")</f>
        <v/>
      </c>
      <c r="Y152" s="21">
        <f t="array" ref="Y152">IFERROR(INDEX(Load_Booking_Report!V:V, MATCH(TRUE, ISNUMBER(FIND(SUBSTITUTE(C152," ",""), Load_Booking_Report!AL:AL)), 0)), "Not Found")</f>
        <v/>
      </c>
      <c r="Z152" s="41">
        <f t="array" ref="Z152">IFERROR(INDEX(Load_Booking_Report!BC:BC, MATCH(TRUE, ISNUMBER(FIND(SUBSTITUTE(C152," ",""), Load_Booking_Report!AL:AL)), 0)), "Not Found")</f>
        <v/>
      </c>
    </row>
    <row r="153">
      <c r="A153" t="n">
        <v>34</v>
      </c>
      <c r="B153" t="n">
        <v>340506</v>
      </c>
      <c r="C153" t="inlineStr">
        <is>
          <t>ANON0000000</t>
        </is>
      </c>
      <c r="D153" t="n">
        <v>40</v>
      </c>
      <c r="E153" t="inlineStr">
        <is>
          <t>USNYC</t>
        </is>
      </c>
      <c r="F153" t="inlineStr">
        <is>
          <t>RULED</t>
        </is>
      </c>
      <c r="G153" t="n">
        <v>10320</v>
      </c>
      <c r="H153" t="inlineStr">
        <is>
          <t>ART</t>
        </is>
      </c>
      <c r="I153" t="inlineStr">
        <is>
          <t>45G1</t>
        </is>
      </c>
      <c r="L153" t="inlineStr">
        <is>
          <t>9'6</t>
        </is>
      </c>
      <c r="M153" t="inlineStr">
        <is>
          <t>Full</t>
        </is>
      </c>
      <c r="N153" t="inlineStr">
        <is>
          <t>RULED</t>
        </is>
      </c>
      <c r="P153" s="21">
        <f>C153</f>
        <v/>
      </c>
      <c r="Q153" s="21">
        <f t="array" ref="Q153">IFERROR(INDEX(Load_Booking_Report!AC:AC, MATCH(TRUE, ISNUMBER(FIND(SUBSTITUTE(C153," ",""), Load_Booking_Report!AL:AL)), 0)), "Not Found")</f>
        <v/>
      </c>
      <c r="R153" s="21">
        <f t="array" ref="R153">IFERROR(INDEX(Load_Booking_Report!C:C, MATCH(TRUE, ISNUMBER(FIND(SUBSTITUTE(C153," ",""), Load_Booking_Report!AL:AL)), 0)), "Not Found")</f>
        <v/>
      </c>
      <c r="S153" s="21">
        <f t="array" ref="S153">IFERROR(INDEX(Load_Booking_Report!AG:AG, MATCH(TRUE, ISNUMBER(FIND(SUBSTITUTE(C153," ",""), Load_Booking_Report!AL:AL)), 0)), "Not Found")</f>
        <v/>
      </c>
      <c r="T153" s="21">
        <f>G153</f>
        <v/>
      </c>
      <c r="U153" s="33">
        <f t="array" ref="U153">IFERROR(
   IF(
      INDEX(Load_Booking_Report!AM:AM,
             MATCH(TRUE,
                     ISNUMBER(FIND(SUBSTITUTE(C153," ",""),
                                    Load_Booking_Report!AL:AL)),
                     0)
      )=0,
      "",
      INDEX(Load_Booking_Report!AM:AM,
             MATCH(TRUE,
                     ISNUMBER(FIND(SUBSTITUTE(C153," ",""),
                                    Load_Booking_Report!AL:AL)),
                     0)
      )
   ),
   ""
)</f>
        <v/>
      </c>
      <c r="V153" s="21">
        <f t="array" ref="V153">IFERROR(
   IF(
      INDEX(Load_Booking_Report!AR:AR,
             MATCH(TRUE,
                     ISNUMBER(FIND(SUBSTITUTE(C153," ",""),
                                    Load_Booking_Report!AL:AL)),
                     0)
      )=0,
      "",
      INDEX(Load_Booking_Report!AR:AR,
             MATCH(TRUE,
                     ISNUMBER(FIND(SUBSTITUTE(C153," ",""),
                                    Load_Booking_Report!AL:AL)),
                     0)
      )
   ),
   ""
)</f>
        <v/>
      </c>
      <c r="W153" s="21">
        <f t="array" ref="W153">IFERROR(INDEX(Load_Booking_Report!F:F, MATCH(TRUE, ISNUMBER(FIND(SUBSTITUTE(C153," ",""), Load_Booking_Report!AL:AL)), 0)), "Not Found")</f>
        <v/>
      </c>
      <c r="X153" s="21">
        <f t="array" ref="X153">IFERROR(INDEX(Load_Booking_Report!N:N, MATCH(TRUE, ISNUMBER(FIND(SUBSTITUTE(C153," ",""), Load_Booking_Report!AL:AL)), 0)), "Not Found")</f>
        <v/>
      </c>
      <c r="Y153" s="21">
        <f t="array" ref="Y153">IFERROR(INDEX(Load_Booking_Report!V:V, MATCH(TRUE, ISNUMBER(FIND(SUBSTITUTE(C153," ",""), Load_Booking_Report!AL:AL)), 0)), "Not Found")</f>
        <v/>
      </c>
      <c r="Z153" s="41">
        <f t="array" ref="Z153">IFERROR(INDEX(Load_Booking_Report!BC:BC, MATCH(TRUE, ISNUMBER(FIND(SUBSTITUTE(C153," ",""), Load_Booking_Report!AL:AL)), 0)), "Not Found")</f>
        <v/>
      </c>
    </row>
    <row r="154">
      <c r="A154" t="n">
        <v>34</v>
      </c>
      <c r="B154" t="n">
        <v>340404</v>
      </c>
      <c r="C154" t="inlineStr">
        <is>
          <t>ANON0000000</t>
        </is>
      </c>
      <c r="D154" t="n">
        <v>40</v>
      </c>
      <c r="E154" t="inlineStr">
        <is>
          <t>USNYC</t>
        </is>
      </c>
      <c r="F154" t="inlineStr">
        <is>
          <t>RULED</t>
        </is>
      </c>
      <c r="G154" t="n">
        <v>10960</v>
      </c>
      <c r="H154" t="inlineStr">
        <is>
          <t>ART</t>
        </is>
      </c>
      <c r="I154" t="inlineStr">
        <is>
          <t>45G1</t>
        </is>
      </c>
      <c r="L154" t="inlineStr">
        <is>
          <t>9'6</t>
        </is>
      </c>
      <c r="M154" t="inlineStr">
        <is>
          <t>Full</t>
        </is>
      </c>
      <c r="N154" t="inlineStr">
        <is>
          <t>RULED</t>
        </is>
      </c>
      <c r="P154" s="21">
        <f>C154</f>
        <v/>
      </c>
      <c r="Q154" s="21">
        <f t="array" ref="Q154">IFERROR(INDEX(Load_Booking_Report!AC:AC, MATCH(TRUE, ISNUMBER(FIND(SUBSTITUTE(C154," ",""), Load_Booking_Report!AL:AL)), 0)), "Not Found")</f>
        <v/>
      </c>
      <c r="R154" s="21">
        <f t="array" ref="R154">IFERROR(INDEX(Load_Booking_Report!C:C, MATCH(TRUE, ISNUMBER(FIND(SUBSTITUTE(C154," ",""), Load_Booking_Report!AL:AL)), 0)), "Not Found")</f>
        <v/>
      </c>
      <c r="S154" s="21">
        <f t="array" ref="S154">IFERROR(INDEX(Load_Booking_Report!AG:AG, MATCH(TRUE, ISNUMBER(FIND(SUBSTITUTE(C154," ",""), Load_Booking_Report!AL:AL)), 0)), "Not Found")</f>
        <v/>
      </c>
      <c r="T154" s="21">
        <f>G154</f>
        <v/>
      </c>
      <c r="U154" s="33">
        <f t="array" ref="U154">IFERROR(
   IF(
      INDEX(Load_Booking_Report!AM:AM,
             MATCH(TRUE,
                     ISNUMBER(FIND(SUBSTITUTE(C154," ",""),
                                    Load_Booking_Report!AL:AL)),
                     0)
      )=0,
      "",
      INDEX(Load_Booking_Report!AM:AM,
             MATCH(TRUE,
                     ISNUMBER(FIND(SUBSTITUTE(C154," ",""),
                                    Load_Booking_Report!AL:AL)),
                     0)
      )
   ),
   ""
)</f>
        <v/>
      </c>
      <c r="V154" s="21">
        <f t="array" ref="V154">IFERROR(
   IF(
      INDEX(Load_Booking_Report!AR:AR,
             MATCH(TRUE,
                     ISNUMBER(FIND(SUBSTITUTE(C154," ",""),
                                    Load_Booking_Report!AL:AL)),
                     0)
      )=0,
      "",
      INDEX(Load_Booking_Report!AR:AR,
             MATCH(TRUE,
                     ISNUMBER(FIND(SUBSTITUTE(C154," ",""),
                                    Load_Booking_Report!AL:AL)),
                     0)
      )
   ),
   ""
)</f>
        <v/>
      </c>
      <c r="W154" s="21">
        <f t="array" ref="W154">IFERROR(INDEX(Load_Booking_Report!F:F, MATCH(TRUE, ISNUMBER(FIND(SUBSTITUTE(C154," ",""), Load_Booking_Report!AL:AL)), 0)), "Not Found")</f>
        <v/>
      </c>
      <c r="X154" s="21">
        <f t="array" ref="X154">IFERROR(INDEX(Load_Booking_Report!N:N, MATCH(TRUE, ISNUMBER(FIND(SUBSTITUTE(C154," ",""), Load_Booking_Report!AL:AL)), 0)), "Not Found")</f>
        <v/>
      </c>
      <c r="Y154" s="21">
        <f t="array" ref="Y154">IFERROR(INDEX(Load_Booking_Report!V:V, MATCH(TRUE, ISNUMBER(FIND(SUBSTITUTE(C154," ",""), Load_Booking_Report!AL:AL)), 0)), "Not Found")</f>
        <v/>
      </c>
      <c r="Z154" s="41">
        <f t="array" ref="Z154">IFERROR(INDEX(Load_Booking_Report!BC:BC, MATCH(TRUE, ISNUMBER(FIND(SUBSTITUTE(C154," ",""), Load_Booking_Report!AL:AL)), 0)), "Not Found")</f>
        <v/>
      </c>
    </row>
    <row r="155">
      <c r="A155" t="n">
        <v>34</v>
      </c>
      <c r="B155" t="n">
        <v>340606</v>
      </c>
      <c r="C155" t="inlineStr">
        <is>
          <t>ANON0000000</t>
        </is>
      </c>
      <c r="D155" t="n">
        <v>40</v>
      </c>
      <c r="E155" t="inlineStr">
        <is>
          <t>USNYC</t>
        </is>
      </c>
      <c r="F155" t="inlineStr">
        <is>
          <t>RULED</t>
        </is>
      </c>
      <c r="G155" t="n">
        <v>11260</v>
      </c>
      <c r="H155" t="inlineStr">
        <is>
          <t>ART</t>
        </is>
      </c>
      <c r="I155" t="inlineStr">
        <is>
          <t>45G1</t>
        </is>
      </c>
      <c r="L155" t="inlineStr">
        <is>
          <t>9'6</t>
        </is>
      </c>
      <c r="M155" t="inlineStr">
        <is>
          <t>Full</t>
        </is>
      </c>
      <c r="N155" t="inlineStr">
        <is>
          <t>RULED</t>
        </is>
      </c>
      <c r="P155" s="21">
        <f>C155</f>
        <v/>
      </c>
      <c r="Q155" s="21">
        <f t="array" ref="Q155">IFERROR(INDEX(Load_Booking_Report!AC:AC, MATCH(TRUE, ISNUMBER(FIND(SUBSTITUTE(C155," ",""), Load_Booking_Report!AL:AL)), 0)), "Not Found")</f>
        <v/>
      </c>
      <c r="R155" s="21">
        <f t="array" ref="R155">IFERROR(INDEX(Load_Booking_Report!C:C, MATCH(TRUE, ISNUMBER(FIND(SUBSTITUTE(C155," ",""), Load_Booking_Report!AL:AL)), 0)), "Not Found")</f>
        <v/>
      </c>
      <c r="S155" s="21">
        <f t="array" ref="S155">IFERROR(INDEX(Load_Booking_Report!AG:AG, MATCH(TRUE, ISNUMBER(FIND(SUBSTITUTE(C155," ",""), Load_Booking_Report!AL:AL)), 0)), "Not Found")</f>
        <v/>
      </c>
      <c r="T155" s="21">
        <f>G155</f>
        <v/>
      </c>
      <c r="U155" s="33">
        <f t="array" ref="U155">IFERROR(
   IF(
      INDEX(Load_Booking_Report!AM:AM,
             MATCH(TRUE,
                     ISNUMBER(FIND(SUBSTITUTE(C155," ",""),
                                    Load_Booking_Report!AL:AL)),
                     0)
      )=0,
      "",
      INDEX(Load_Booking_Report!AM:AM,
             MATCH(TRUE,
                     ISNUMBER(FIND(SUBSTITUTE(C155," ",""),
                                    Load_Booking_Report!AL:AL)),
                     0)
      )
   ),
   ""
)</f>
        <v/>
      </c>
      <c r="V155" s="21">
        <f t="array" ref="V155">IFERROR(
   IF(
      INDEX(Load_Booking_Report!AR:AR,
             MATCH(TRUE,
                     ISNUMBER(FIND(SUBSTITUTE(C155," ",""),
                                    Load_Booking_Report!AL:AL)),
                     0)
      )=0,
      "",
      INDEX(Load_Booking_Report!AR:AR,
             MATCH(TRUE,
                     ISNUMBER(FIND(SUBSTITUTE(C155," ",""),
                                    Load_Booking_Report!AL:AL)),
                     0)
      )
   ),
   ""
)</f>
        <v/>
      </c>
      <c r="W155" s="21">
        <f t="array" ref="W155">IFERROR(INDEX(Load_Booking_Report!F:F, MATCH(TRUE, ISNUMBER(FIND(SUBSTITUTE(C155," ",""), Load_Booking_Report!AL:AL)), 0)), "Not Found")</f>
        <v/>
      </c>
      <c r="X155" s="21">
        <f t="array" ref="X155">IFERROR(INDEX(Load_Booking_Report!N:N, MATCH(TRUE, ISNUMBER(FIND(SUBSTITUTE(C155," ",""), Load_Booking_Report!AL:AL)), 0)), "Not Found")</f>
        <v/>
      </c>
      <c r="Y155" s="21">
        <f t="array" ref="Y155">IFERROR(INDEX(Load_Booking_Report!V:V, MATCH(TRUE, ISNUMBER(FIND(SUBSTITUTE(C155," ",""), Load_Booking_Report!AL:AL)), 0)), "Not Found")</f>
        <v/>
      </c>
      <c r="Z155" s="41">
        <f t="array" ref="Z155">IFERROR(INDEX(Load_Booking_Report!BC:BC, MATCH(TRUE, ISNUMBER(FIND(SUBSTITUTE(C155," ",""), Load_Booking_Report!AL:AL)), 0)), "Not Found")</f>
        <v/>
      </c>
    </row>
    <row r="156">
      <c r="A156" t="n">
        <v>34</v>
      </c>
      <c r="B156" t="n">
        <v>340708</v>
      </c>
      <c r="C156" t="inlineStr">
        <is>
          <t>ANON0000000</t>
        </is>
      </c>
      <c r="D156" t="n">
        <v>40</v>
      </c>
      <c r="E156" t="inlineStr">
        <is>
          <t>USNYC</t>
        </is>
      </c>
      <c r="F156" t="inlineStr">
        <is>
          <t>RULED</t>
        </is>
      </c>
      <c r="G156" t="n">
        <v>7240</v>
      </c>
      <c r="H156" t="inlineStr">
        <is>
          <t>ART</t>
        </is>
      </c>
      <c r="I156" t="inlineStr">
        <is>
          <t>45G1</t>
        </is>
      </c>
      <c r="L156" t="inlineStr">
        <is>
          <t>9'6</t>
        </is>
      </c>
      <c r="M156" t="inlineStr">
        <is>
          <t>Full</t>
        </is>
      </c>
      <c r="N156" t="inlineStr">
        <is>
          <t>RULED</t>
        </is>
      </c>
      <c r="P156" s="21">
        <f>C156</f>
        <v/>
      </c>
      <c r="Q156" s="21">
        <f t="array" ref="Q156">IFERROR(INDEX(Load_Booking_Report!AC:AC, MATCH(TRUE, ISNUMBER(FIND(SUBSTITUTE(C156," ",""), Load_Booking_Report!AL:AL)), 0)), "Not Found")</f>
        <v/>
      </c>
      <c r="R156" s="21">
        <f t="array" ref="R156">IFERROR(INDEX(Load_Booking_Report!C:C, MATCH(TRUE, ISNUMBER(FIND(SUBSTITUTE(C156," ",""), Load_Booking_Report!AL:AL)), 0)), "Not Found")</f>
        <v/>
      </c>
      <c r="S156" s="21">
        <f t="array" ref="S156">IFERROR(INDEX(Load_Booking_Report!AG:AG, MATCH(TRUE, ISNUMBER(FIND(SUBSTITUTE(C156," ",""), Load_Booking_Report!AL:AL)), 0)), "Not Found")</f>
        <v/>
      </c>
      <c r="T156" s="21">
        <f>G156</f>
        <v/>
      </c>
      <c r="U156" s="33">
        <f t="array" ref="U156">IFERROR(
   IF(
      INDEX(Load_Booking_Report!AM:AM,
             MATCH(TRUE,
                     ISNUMBER(FIND(SUBSTITUTE(C156," ",""),
                                    Load_Booking_Report!AL:AL)),
                     0)
      )=0,
      "",
      INDEX(Load_Booking_Report!AM:AM,
             MATCH(TRUE,
                     ISNUMBER(FIND(SUBSTITUTE(C156," ",""),
                                    Load_Booking_Report!AL:AL)),
                     0)
      )
   ),
   ""
)</f>
        <v/>
      </c>
      <c r="V156" s="21">
        <f t="array" ref="V156">IFERROR(
   IF(
      INDEX(Load_Booking_Report!AR:AR,
             MATCH(TRUE,
                     ISNUMBER(FIND(SUBSTITUTE(C156," ",""),
                                    Load_Booking_Report!AL:AL)),
                     0)
      )=0,
      "",
      INDEX(Load_Booking_Report!AR:AR,
             MATCH(TRUE,
                     ISNUMBER(FIND(SUBSTITUTE(C156," ",""),
                                    Load_Booking_Report!AL:AL)),
                     0)
      )
   ),
   ""
)</f>
        <v/>
      </c>
      <c r="W156" s="21">
        <f t="array" ref="W156">IFERROR(INDEX(Load_Booking_Report!F:F, MATCH(TRUE, ISNUMBER(FIND(SUBSTITUTE(C156," ",""), Load_Booking_Report!AL:AL)), 0)), "Not Found")</f>
        <v/>
      </c>
      <c r="X156" s="21">
        <f t="array" ref="X156">IFERROR(INDEX(Load_Booking_Report!N:N, MATCH(TRUE, ISNUMBER(FIND(SUBSTITUTE(C156," ",""), Load_Booking_Report!AL:AL)), 0)), "Not Found")</f>
        <v/>
      </c>
      <c r="Y156" s="21">
        <f t="array" ref="Y156">IFERROR(INDEX(Load_Booking_Report!V:V, MATCH(TRUE, ISNUMBER(FIND(SUBSTITUTE(C156," ",""), Load_Booking_Report!AL:AL)), 0)), "Not Found")</f>
        <v/>
      </c>
      <c r="Z156" s="41">
        <f t="array" ref="Z156">IFERROR(INDEX(Load_Booking_Report!BC:BC, MATCH(TRUE, ISNUMBER(FIND(SUBSTITUTE(C156," ",""), Load_Booking_Report!AL:AL)), 0)), "Not Found")</f>
        <v/>
      </c>
    </row>
    <row r="157">
      <c r="A157" t="n">
        <v>26</v>
      </c>
      <c r="B157" t="n">
        <v>260408</v>
      </c>
      <c r="C157" t="inlineStr">
        <is>
          <t>ANON0000000</t>
        </is>
      </c>
      <c r="D157" t="n">
        <v>40</v>
      </c>
      <c r="E157" t="inlineStr">
        <is>
          <t>USNYC</t>
        </is>
      </c>
      <c r="F157" t="inlineStr">
        <is>
          <t>RULED</t>
        </is>
      </c>
      <c r="G157" t="n">
        <v>14760</v>
      </c>
      <c r="H157" t="inlineStr">
        <is>
          <t>ART</t>
        </is>
      </c>
      <c r="I157" t="inlineStr">
        <is>
          <t>45G1</t>
        </is>
      </c>
      <c r="L157" t="inlineStr">
        <is>
          <t>9'6</t>
        </is>
      </c>
      <c r="M157" t="inlineStr">
        <is>
          <t>Full</t>
        </is>
      </c>
      <c r="N157" t="inlineStr">
        <is>
          <t>RULED</t>
        </is>
      </c>
      <c r="P157" s="21">
        <f>C157</f>
        <v/>
      </c>
      <c r="Q157" s="21">
        <f t="array" ref="Q157">IFERROR(INDEX(Load_Booking_Report!AC:AC, MATCH(TRUE, ISNUMBER(FIND(SUBSTITUTE(C157," ",""), Load_Booking_Report!AL:AL)), 0)), "Not Found")</f>
        <v/>
      </c>
      <c r="R157" s="21">
        <f t="array" ref="R157">IFERROR(INDEX(Load_Booking_Report!C:C, MATCH(TRUE, ISNUMBER(FIND(SUBSTITUTE(C157," ",""), Load_Booking_Report!AL:AL)), 0)), "Not Found")</f>
        <v/>
      </c>
      <c r="S157" s="21">
        <f t="array" ref="S157">IFERROR(INDEX(Load_Booking_Report!AG:AG, MATCH(TRUE, ISNUMBER(FIND(SUBSTITUTE(C157," ",""), Load_Booking_Report!AL:AL)), 0)), "Not Found")</f>
        <v/>
      </c>
      <c r="T157" s="21">
        <f>G157</f>
        <v/>
      </c>
      <c r="U157" s="33">
        <f t="array" ref="U157">IFERROR(
   IF(
      INDEX(Load_Booking_Report!AM:AM,
             MATCH(TRUE,
                     ISNUMBER(FIND(SUBSTITUTE(C157," ",""),
                                    Load_Booking_Report!AL:AL)),
                     0)
      )=0,
      "",
      INDEX(Load_Booking_Report!AM:AM,
             MATCH(TRUE,
                     ISNUMBER(FIND(SUBSTITUTE(C157," ",""),
                                    Load_Booking_Report!AL:AL)),
                     0)
      )
   ),
   ""
)</f>
        <v/>
      </c>
      <c r="V157" s="21">
        <f t="array" ref="V157">IFERROR(
   IF(
      INDEX(Load_Booking_Report!AR:AR,
             MATCH(TRUE,
                     ISNUMBER(FIND(SUBSTITUTE(C157," ",""),
                                    Load_Booking_Report!AL:AL)),
                     0)
      )=0,
      "",
      INDEX(Load_Booking_Report!AR:AR,
             MATCH(TRUE,
                     ISNUMBER(FIND(SUBSTITUTE(C157," ",""),
                                    Load_Booking_Report!AL:AL)),
                     0)
      )
   ),
   ""
)</f>
        <v/>
      </c>
      <c r="W157" s="21">
        <f t="array" ref="W157">IFERROR(INDEX(Load_Booking_Report!F:F, MATCH(TRUE, ISNUMBER(FIND(SUBSTITUTE(C157," ",""), Load_Booking_Report!AL:AL)), 0)), "Not Found")</f>
        <v/>
      </c>
      <c r="X157" s="21">
        <f t="array" ref="X157">IFERROR(INDEX(Load_Booking_Report!N:N, MATCH(TRUE, ISNUMBER(FIND(SUBSTITUTE(C157," ",""), Load_Booking_Report!AL:AL)), 0)), "Not Found")</f>
        <v/>
      </c>
      <c r="Y157" s="21">
        <f t="array" ref="Y157">IFERROR(INDEX(Load_Booking_Report!V:V, MATCH(TRUE, ISNUMBER(FIND(SUBSTITUTE(C157," ",""), Load_Booking_Report!AL:AL)), 0)), "Not Found")</f>
        <v/>
      </c>
      <c r="Z157" s="41">
        <f t="array" ref="Z157">IFERROR(INDEX(Load_Booking_Report!BC:BC, MATCH(TRUE, ISNUMBER(FIND(SUBSTITUTE(C157," ",""), Load_Booking_Report!AL:AL)), 0)), "Not Found")</f>
        <v/>
      </c>
    </row>
    <row r="158">
      <c r="A158" t="n">
        <v>18</v>
      </c>
      <c r="B158" t="n">
        <v>180506</v>
      </c>
      <c r="C158" t="inlineStr">
        <is>
          <t>ANON0000000</t>
        </is>
      </c>
      <c r="D158" t="n">
        <v>40</v>
      </c>
      <c r="E158" t="inlineStr">
        <is>
          <t>USNFK</t>
        </is>
      </c>
      <c r="F158" t="inlineStr">
        <is>
          <t>RULED</t>
        </is>
      </c>
      <c r="G158" t="n">
        <v>28700</v>
      </c>
      <c r="H158" t="inlineStr">
        <is>
          <t>ART</t>
        </is>
      </c>
      <c r="I158" t="inlineStr">
        <is>
          <t>45G1</t>
        </is>
      </c>
      <c r="L158" t="inlineStr">
        <is>
          <t>OOG</t>
        </is>
      </c>
      <c r="M158" t="inlineStr">
        <is>
          <t>Full</t>
        </is>
      </c>
      <c r="N158" t="inlineStr">
        <is>
          <t>RULED</t>
        </is>
      </c>
      <c r="P158" s="21">
        <f>C158</f>
        <v/>
      </c>
      <c r="Q158" s="21">
        <f t="array" ref="Q158">IFERROR(INDEX(Load_Booking_Report!AC:AC, MATCH(TRUE, ISNUMBER(FIND(SUBSTITUTE(C158," ",""), Load_Booking_Report!AL:AL)), 0)), "Not Found")</f>
        <v/>
      </c>
      <c r="R158" s="21">
        <f t="array" ref="R158">IFERROR(INDEX(Load_Booking_Report!C:C, MATCH(TRUE, ISNUMBER(FIND(SUBSTITUTE(C158," ",""), Load_Booking_Report!AL:AL)), 0)), "Not Found")</f>
        <v/>
      </c>
      <c r="S158" s="21">
        <f t="array" ref="S158">IFERROR(INDEX(Load_Booking_Report!AG:AG, MATCH(TRUE, ISNUMBER(FIND(SUBSTITUTE(C158," ",""), Load_Booking_Report!AL:AL)), 0)), "Not Found")</f>
        <v/>
      </c>
      <c r="T158" s="21">
        <f>G158</f>
        <v/>
      </c>
      <c r="U158" s="33">
        <f t="array" ref="U158">IFERROR(
   IF(
      INDEX(Load_Booking_Report!AM:AM,
             MATCH(TRUE,
                     ISNUMBER(FIND(SUBSTITUTE(C158," ",""),
                                    Load_Booking_Report!AL:AL)),
                     0)
      )=0,
      "",
      INDEX(Load_Booking_Report!AM:AM,
             MATCH(TRUE,
                     ISNUMBER(FIND(SUBSTITUTE(C158," ",""),
                                    Load_Booking_Report!AL:AL)),
                     0)
      )
   ),
   ""
)</f>
        <v/>
      </c>
      <c r="V158" s="21">
        <f t="array" ref="V158">IFERROR(
   IF(
      INDEX(Load_Booking_Report!AR:AR,
             MATCH(TRUE,
                     ISNUMBER(FIND(SUBSTITUTE(C158," ",""),
                                    Load_Booking_Report!AL:AL)),
                     0)
      )=0,
      "",
      INDEX(Load_Booking_Report!AR:AR,
             MATCH(TRUE,
                     ISNUMBER(FIND(SUBSTITUTE(C158," ",""),
                                    Load_Booking_Report!AL:AL)),
                     0)
      )
   ),
   ""
)</f>
        <v/>
      </c>
      <c r="W158" s="21">
        <f t="array" ref="W158">IFERROR(INDEX(Load_Booking_Report!F:F, MATCH(TRUE, ISNUMBER(FIND(SUBSTITUTE(C158," ",""), Load_Booking_Report!AL:AL)), 0)), "Not Found")</f>
        <v/>
      </c>
      <c r="X158" s="21">
        <f t="array" ref="X158">IFERROR(INDEX(Load_Booking_Report!N:N, MATCH(TRUE, ISNUMBER(FIND(SUBSTITUTE(C158," ",""), Load_Booking_Report!AL:AL)), 0)), "Not Found")</f>
        <v/>
      </c>
      <c r="Y158" s="21">
        <f t="array" ref="Y158">IFERROR(INDEX(Load_Booking_Report!V:V, MATCH(TRUE, ISNUMBER(FIND(SUBSTITUTE(C158," ",""), Load_Booking_Report!AL:AL)), 0)), "Not Found")</f>
        <v/>
      </c>
      <c r="Z158" s="41">
        <f t="array" ref="Z158">IFERROR(INDEX(Load_Booking_Report!BC:BC, MATCH(TRUE, ISNUMBER(FIND(SUBSTITUTE(C158," ",""), Load_Booking_Report!AL:AL)), 0)), "Not Found")</f>
        <v/>
      </c>
    </row>
    <row r="159">
      <c r="A159" t="n">
        <v>34</v>
      </c>
      <c r="B159" t="n">
        <v>340408</v>
      </c>
      <c r="C159" t="inlineStr">
        <is>
          <t>ANON0000000</t>
        </is>
      </c>
      <c r="D159" t="n">
        <v>40</v>
      </c>
      <c r="E159" t="inlineStr">
        <is>
          <t>USNYC</t>
        </is>
      </c>
      <c r="F159" t="inlineStr">
        <is>
          <t>RULED</t>
        </is>
      </c>
      <c r="G159" t="n">
        <v>8760</v>
      </c>
      <c r="H159" t="inlineStr">
        <is>
          <t>ART</t>
        </is>
      </c>
      <c r="I159" t="inlineStr">
        <is>
          <t>45G1</t>
        </is>
      </c>
      <c r="L159" t="inlineStr">
        <is>
          <t>9'6</t>
        </is>
      </c>
      <c r="M159" t="inlineStr">
        <is>
          <t>Full</t>
        </is>
      </c>
      <c r="N159" t="inlineStr">
        <is>
          <t>RULED</t>
        </is>
      </c>
      <c r="P159" s="21">
        <f>C159</f>
        <v/>
      </c>
      <c r="Q159" s="21">
        <f t="array" ref="Q159">IFERROR(INDEX(Load_Booking_Report!AC:AC, MATCH(TRUE, ISNUMBER(FIND(SUBSTITUTE(C159," ",""), Load_Booking_Report!AL:AL)), 0)), "Not Found")</f>
        <v/>
      </c>
      <c r="R159" s="21">
        <f t="array" ref="R159">IFERROR(INDEX(Load_Booking_Report!C:C, MATCH(TRUE, ISNUMBER(FIND(SUBSTITUTE(C159," ",""), Load_Booking_Report!AL:AL)), 0)), "Not Found")</f>
        <v/>
      </c>
      <c r="S159" s="21">
        <f t="array" ref="S159">IFERROR(INDEX(Load_Booking_Report!AG:AG, MATCH(TRUE, ISNUMBER(FIND(SUBSTITUTE(C159," ",""), Load_Booking_Report!AL:AL)), 0)), "Not Found")</f>
        <v/>
      </c>
      <c r="T159" s="21">
        <f>G159</f>
        <v/>
      </c>
      <c r="U159" s="33">
        <f t="array" ref="U159">IFERROR(
   IF(
      INDEX(Load_Booking_Report!AM:AM,
             MATCH(TRUE,
                     ISNUMBER(FIND(SUBSTITUTE(C159," ",""),
                                    Load_Booking_Report!AL:AL)),
                     0)
      )=0,
      "",
      INDEX(Load_Booking_Report!AM:AM,
             MATCH(TRUE,
                     ISNUMBER(FIND(SUBSTITUTE(C159," ",""),
                                    Load_Booking_Report!AL:AL)),
                     0)
      )
   ),
   ""
)</f>
        <v/>
      </c>
      <c r="V159" s="21">
        <f t="array" ref="V159">IFERROR(
   IF(
      INDEX(Load_Booking_Report!AR:AR,
             MATCH(TRUE,
                     ISNUMBER(FIND(SUBSTITUTE(C159," ",""),
                                    Load_Booking_Report!AL:AL)),
                     0)
      )=0,
      "",
      INDEX(Load_Booking_Report!AR:AR,
             MATCH(TRUE,
                     ISNUMBER(FIND(SUBSTITUTE(C159," ",""),
                                    Load_Booking_Report!AL:AL)),
                     0)
      )
   ),
   ""
)</f>
        <v/>
      </c>
      <c r="W159" s="21">
        <f t="array" ref="W159">IFERROR(INDEX(Load_Booking_Report!F:F, MATCH(TRUE, ISNUMBER(FIND(SUBSTITUTE(C159," ",""), Load_Booking_Report!AL:AL)), 0)), "Not Found")</f>
        <v/>
      </c>
      <c r="X159" s="21">
        <f t="array" ref="X159">IFERROR(INDEX(Load_Booking_Report!N:N, MATCH(TRUE, ISNUMBER(FIND(SUBSTITUTE(C159," ",""), Load_Booking_Report!AL:AL)), 0)), "Not Found")</f>
        <v/>
      </c>
      <c r="Y159" s="21">
        <f t="array" ref="Y159">IFERROR(INDEX(Load_Booking_Report!V:V, MATCH(TRUE, ISNUMBER(FIND(SUBSTITUTE(C159," ",""), Load_Booking_Report!AL:AL)), 0)), "Not Found")</f>
        <v/>
      </c>
      <c r="Z159" s="41">
        <f t="array" ref="Z159">IFERROR(INDEX(Load_Booking_Report!BC:BC, MATCH(TRUE, ISNUMBER(FIND(SUBSTITUTE(C159," ",""), Load_Booking_Report!AL:AL)), 0)), "Not Found")</f>
        <v/>
      </c>
    </row>
    <row r="160">
      <c r="A160" t="n">
        <v>22</v>
      </c>
      <c r="B160" t="n">
        <v>220586</v>
      </c>
      <c r="C160" t="inlineStr">
        <is>
          <t>ANON0000000</t>
        </is>
      </c>
      <c r="D160" t="n">
        <v>40</v>
      </c>
      <c r="E160" t="inlineStr">
        <is>
          <t>USNFK</t>
        </is>
      </c>
      <c r="F160" t="inlineStr">
        <is>
          <t>RULED</t>
        </is>
      </c>
      <c r="G160" t="n">
        <v>24550</v>
      </c>
      <c r="H160" t="inlineStr">
        <is>
          <t>ART</t>
        </is>
      </c>
      <c r="I160" t="inlineStr">
        <is>
          <t>45G1</t>
        </is>
      </c>
      <c r="L160" t="inlineStr">
        <is>
          <t>9'6</t>
        </is>
      </c>
      <c r="M160" t="inlineStr">
        <is>
          <t>Full</t>
        </is>
      </c>
      <c r="N160" t="inlineStr">
        <is>
          <t>RULED</t>
        </is>
      </c>
      <c r="P160" s="21">
        <f>C160</f>
        <v/>
      </c>
      <c r="Q160" s="21">
        <f t="array" ref="Q160">IFERROR(INDEX(Load_Booking_Report!AC:AC, MATCH(TRUE, ISNUMBER(FIND(SUBSTITUTE(C160," ",""), Load_Booking_Report!AL:AL)), 0)), "Not Found")</f>
        <v/>
      </c>
      <c r="R160" s="21">
        <f t="array" ref="R160">IFERROR(INDEX(Load_Booking_Report!C:C, MATCH(TRUE, ISNUMBER(FIND(SUBSTITUTE(C160," ",""), Load_Booking_Report!AL:AL)), 0)), "Not Found")</f>
        <v/>
      </c>
      <c r="S160" s="21">
        <f t="array" ref="S160">IFERROR(INDEX(Load_Booking_Report!AG:AG, MATCH(TRUE, ISNUMBER(FIND(SUBSTITUTE(C160," ",""), Load_Booking_Report!AL:AL)), 0)), "Not Found")</f>
        <v/>
      </c>
      <c r="T160" s="21">
        <f>G160</f>
        <v/>
      </c>
      <c r="U160" s="33">
        <f t="array" ref="U160">IFERROR(
   IF(
      INDEX(Load_Booking_Report!AM:AM,
             MATCH(TRUE,
                     ISNUMBER(FIND(SUBSTITUTE(C160," ",""),
                                    Load_Booking_Report!AL:AL)),
                     0)
      )=0,
      "",
      INDEX(Load_Booking_Report!AM:AM,
             MATCH(TRUE,
                     ISNUMBER(FIND(SUBSTITUTE(C160," ",""),
                                    Load_Booking_Report!AL:AL)),
                     0)
      )
   ),
   ""
)</f>
        <v/>
      </c>
      <c r="V160" s="21">
        <f t="array" ref="V160">IFERROR(
   IF(
      INDEX(Load_Booking_Report!AR:AR,
             MATCH(TRUE,
                     ISNUMBER(FIND(SUBSTITUTE(C160," ",""),
                                    Load_Booking_Report!AL:AL)),
                     0)
      )=0,
      "",
      INDEX(Load_Booking_Report!AR:AR,
             MATCH(TRUE,
                     ISNUMBER(FIND(SUBSTITUTE(C160," ",""),
                                    Load_Booking_Report!AL:AL)),
                     0)
      )
   ),
   ""
)</f>
        <v/>
      </c>
      <c r="W160" s="21">
        <f t="array" ref="W160">IFERROR(INDEX(Load_Booking_Report!F:F, MATCH(TRUE, ISNUMBER(FIND(SUBSTITUTE(C160," ",""), Load_Booking_Report!AL:AL)), 0)), "Not Found")</f>
        <v/>
      </c>
      <c r="X160" s="21">
        <f t="array" ref="X160">IFERROR(INDEX(Load_Booking_Report!N:N, MATCH(TRUE, ISNUMBER(FIND(SUBSTITUTE(C160," ",""), Load_Booking_Report!AL:AL)), 0)), "Not Found")</f>
        <v/>
      </c>
      <c r="Y160" s="21">
        <f t="array" ref="Y160">IFERROR(INDEX(Load_Booking_Report!V:V, MATCH(TRUE, ISNUMBER(FIND(SUBSTITUTE(C160," ",""), Load_Booking_Report!AL:AL)), 0)), "Not Found")</f>
        <v/>
      </c>
      <c r="Z160" s="41">
        <f t="array" ref="Z160">IFERROR(INDEX(Load_Booking_Report!BC:BC, MATCH(TRUE, ISNUMBER(FIND(SUBSTITUTE(C160," ",""), Load_Booking_Report!AL:AL)), 0)), "Not Found")</f>
        <v/>
      </c>
    </row>
    <row r="161">
      <c r="A161" t="n">
        <v>34</v>
      </c>
      <c r="B161" t="n">
        <v>340508</v>
      </c>
      <c r="C161" t="inlineStr">
        <is>
          <t>ANON0000000</t>
        </is>
      </c>
      <c r="D161" t="n">
        <v>40</v>
      </c>
      <c r="E161" t="inlineStr">
        <is>
          <t>USNYC</t>
        </is>
      </c>
      <c r="F161" t="inlineStr">
        <is>
          <t>RULED</t>
        </is>
      </c>
      <c r="G161" t="n">
        <v>8900</v>
      </c>
      <c r="H161" t="inlineStr">
        <is>
          <t>ART</t>
        </is>
      </c>
      <c r="I161" t="inlineStr">
        <is>
          <t>45G1</t>
        </is>
      </c>
      <c r="L161" t="inlineStr">
        <is>
          <t>9'6</t>
        </is>
      </c>
      <c r="M161" t="inlineStr">
        <is>
          <t>Full</t>
        </is>
      </c>
      <c r="N161" t="inlineStr">
        <is>
          <t>RULED</t>
        </is>
      </c>
      <c r="P161" s="21">
        <f>C161</f>
        <v/>
      </c>
      <c r="Q161" s="21">
        <f t="array" ref="Q161">IFERROR(INDEX(Load_Booking_Report!AC:AC, MATCH(TRUE, ISNUMBER(FIND(SUBSTITUTE(C161," ",""), Load_Booking_Report!AL:AL)), 0)), "Not Found")</f>
        <v/>
      </c>
      <c r="R161" s="21">
        <f t="array" ref="R161">IFERROR(INDEX(Load_Booking_Report!C:C, MATCH(TRUE, ISNUMBER(FIND(SUBSTITUTE(C161," ",""), Load_Booking_Report!AL:AL)), 0)), "Not Found")</f>
        <v/>
      </c>
      <c r="S161" s="21">
        <f t="array" ref="S161">IFERROR(INDEX(Load_Booking_Report!AG:AG, MATCH(TRUE, ISNUMBER(FIND(SUBSTITUTE(C161," ",""), Load_Booking_Report!AL:AL)), 0)), "Not Found")</f>
        <v/>
      </c>
      <c r="T161" s="21">
        <f>G161</f>
        <v/>
      </c>
      <c r="U161" s="33">
        <f t="array" ref="U161">IFERROR(
   IF(
      INDEX(Load_Booking_Report!AM:AM,
             MATCH(TRUE,
                     ISNUMBER(FIND(SUBSTITUTE(C161," ",""),
                                    Load_Booking_Report!AL:AL)),
                     0)
      )=0,
      "",
      INDEX(Load_Booking_Report!AM:AM,
             MATCH(TRUE,
                     ISNUMBER(FIND(SUBSTITUTE(C161," ",""),
                                    Load_Booking_Report!AL:AL)),
                     0)
      )
   ),
   ""
)</f>
        <v/>
      </c>
      <c r="V161" s="21">
        <f t="array" ref="V161">IFERROR(
   IF(
      INDEX(Load_Booking_Report!AR:AR,
             MATCH(TRUE,
                     ISNUMBER(FIND(SUBSTITUTE(C161," ",""),
                                    Load_Booking_Report!AL:AL)),
                     0)
      )=0,
      "",
      INDEX(Load_Booking_Report!AR:AR,
             MATCH(TRUE,
                     ISNUMBER(FIND(SUBSTITUTE(C161," ",""),
                                    Load_Booking_Report!AL:AL)),
                     0)
      )
   ),
   ""
)</f>
        <v/>
      </c>
      <c r="W161" s="21">
        <f t="array" ref="W161">IFERROR(INDEX(Load_Booking_Report!F:F, MATCH(TRUE, ISNUMBER(FIND(SUBSTITUTE(C161," ",""), Load_Booking_Report!AL:AL)), 0)), "Not Found")</f>
        <v/>
      </c>
      <c r="X161" s="21">
        <f t="array" ref="X161">IFERROR(INDEX(Load_Booking_Report!N:N, MATCH(TRUE, ISNUMBER(FIND(SUBSTITUTE(C161," ",""), Load_Booking_Report!AL:AL)), 0)), "Not Found")</f>
        <v/>
      </c>
      <c r="Y161" s="21">
        <f t="array" ref="Y161">IFERROR(INDEX(Load_Booking_Report!V:V, MATCH(TRUE, ISNUMBER(FIND(SUBSTITUTE(C161," ",""), Load_Booking_Report!AL:AL)), 0)), "Not Found")</f>
        <v/>
      </c>
      <c r="Z161" s="41">
        <f t="array" ref="Z161">IFERROR(INDEX(Load_Booking_Report!BC:BC, MATCH(TRUE, ISNUMBER(FIND(SUBSTITUTE(C161," ",""), Load_Booking_Report!AL:AL)), 0)), "Not Found")</f>
        <v/>
      </c>
    </row>
    <row r="162">
      <c r="A162" t="n">
        <v>34</v>
      </c>
      <c r="B162" t="n">
        <v>340308</v>
      </c>
      <c r="C162" t="inlineStr">
        <is>
          <t>ANON0000000</t>
        </is>
      </c>
      <c r="D162" t="n">
        <v>40</v>
      </c>
      <c r="E162" t="inlineStr">
        <is>
          <t>USNYC</t>
        </is>
      </c>
      <c r="F162" t="inlineStr">
        <is>
          <t>RULED</t>
        </is>
      </c>
      <c r="G162" t="n">
        <v>8150</v>
      </c>
      <c r="H162" t="inlineStr">
        <is>
          <t>ART</t>
        </is>
      </c>
      <c r="I162" t="inlineStr">
        <is>
          <t>45G1</t>
        </is>
      </c>
      <c r="L162" t="inlineStr">
        <is>
          <t>9'6</t>
        </is>
      </c>
      <c r="M162" t="inlineStr">
        <is>
          <t>Full</t>
        </is>
      </c>
      <c r="N162" t="inlineStr">
        <is>
          <t>RULED</t>
        </is>
      </c>
      <c r="P162" s="21">
        <f>C162</f>
        <v/>
      </c>
      <c r="Q162" s="21">
        <f t="array" ref="Q162">IFERROR(INDEX(Load_Booking_Report!AC:AC, MATCH(TRUE, ISNUMBER(FIND(SUBSTITUTE(C162," ",""), Load_Booking_Report!AL:AL)), 0)), "Not Found")</f>
        <v/>
      </c>
      <c r="R162" s="21">
        <f t="array" ref="R162">IFERROR(INDEX(Load_Booking_Report!C:C, MATCH(TRUE, ISNUMBER(FIND(SUBSTITUTE(C162," ",""), Load_Booking_Report!AL:AL)), 0)), "Not Found")</f>
        <v/>
      </c>
      <c r="S162" s="21">
        <f t="array" ref="S162">IFERROR(INDEX(Load_Booking_Report!AG:AG, MATCH(TRUE, ISNUMBER(FIND(SUBSTITUTE(C162," ",""), Load_Booking_Report!AL:AL)), 0)), "Not Found")</f>
        <v/>
      </c>
      <c r="T162" s="21">
        <f>G162</f>
        <v/>
      </c>
      <c r="U162" s="33">
        <f t="array" ref="U162">IFERROR(
   IF(
      INDEX(Load_Booking_Report!AM:AM,
             MATCH(TRUE,
                     ISNUMBER(FIND(SUBSTITUTE(C162," ",""),
                                    Load_Booking_Report!AL:AL)),
                     0)
      )=0,
      "",
      INDEX(Load_Booking_Report!AM:AM,
             MATCH(TRUE,
                     ISNUMBER(FIND(SUBSTITUTE(C162," ",""),
                                    Load_Booking_Report!AL:AL)),
                     0)
      )
   ),
   ""
)</f>
        <v/>
      </c>
      <c r="V162" s="21">
        <f t="array" ref="V162">IFERROR(
   IF(
      INDEX(Load_Booking_Report!AR:AR,
             MATCH(TRUE,
                     ISNUMBER(FIND(SUBSTITUTE(C162," ",""),
                                    Load_Booking_Report!AL:AL)),
                     0)
      )=0,
      "",
      INDEX(Load_Booking_Report!AR:AR,
             MATCH(TRUE,
                     ISNUMBER(FIND(SUBSTITUTE(C162," ",""),
                                    Load_Booking_Report!AL:AL)),
                     0)
      )
   ),
   ""
)</f>
        <v/>
      </c>
      <c r="W162" s="21">
        <f t="array" ref="W162">IFERROR(INDEX(Load_Booking_Report!F:F, MATCH(TRUE, ISNUMBER(FIND(SUBSTITUTE(C162," ",""), Load_Booking_Report!AL:AL)), 0)), "Not Found")</f>
        <v/>
      </c>
      <c r="X162" s="21">
        <f t="array" ref="X162">IFERROR(INDEX(Load_Booking_Report!N:N, MATCH(TRUE, ISNUMBER(FIND(SUBSTITUTE(C162," ",""), Load_Booking_Report!AL:AL)), 0)), "Not Found")</f>
        <v/>
      </c>
      <c r="Y162" s="21">
        <f t="array" ref="Y162">IFERROR(INDEX(Load_Booking_Report!V:V, MATCH(TRUE, ISNUMBER(FIND(SUBSTITUTE(C162," ",""), Load_Booking_Report!AL:AL)), 0)), "Not Found")</f>
        <v/>
      </c>
      <c r="Z162" s="41">
        <f t="array" ref="Z162">IFERROR(INDEX(Load_Booking_Report!BC:BC, MATCH(TRUE, ISNUMBER(FIND(SUBSTITUTE(C162," ",""), Load_Booking_Report!AL:AL)), 0)), "Not Found")</f>
        <v/>
      </c>
    </row>
    <row r="163">
      <c r="A163" t="n">
        <v>30</v>
      </c>
      <c r="B163" t="n">
        <v>300482</v>
      </c>
      <c r="C163" t="inlineStr">
        <is>
          <t>ANON0000000</t>
        </is>
      </c>
      <c r="D163" t="n">
        <v>40</v>
      </c>
      <c r="E163" t="inlineStr">
        <is>
          <t>USNFK</t>
        </is>
      </c>
      <c r="F163" t="inlineStr">
        <is>
          <t>RULED</t>
        </is>
      </c>
      <c r="G163" t="n">
        <v>28750</v>
      </c>
      <c r="H163" t="inlineStr">
        <is>
          <t>ART</t>
        </is>
      </c>
      <c r="I163" t="inlineStr">
        <is>
          <t>45G1</t>
        </is>
      </c>
      <c r="L163" t="inlineStr">
        <is>
          <t>OOG</t>
        </is>
      </c>
      <c r="M163" t="inlineStr">
        <is>
          <t>Full</t>
        </is>
      </c>
      <c r="N163" t="inlineStr">
        <is>
          <t>RULED</t>
        </is>
      </c>
      <c r="P163" s="21">
        <f>C163</f>
        <v/>
      </c>
      <c r="Q163" s="21">
        <f t="array" ref="Q163">IFERROR(INDEX(Load_Booking_Report!AC:AC, MATCH(TRUE, ISNUMBER(FIND(SUBSTITUTE(C163," ",""), Load_Booking_Report!AL:AL)), 0)), "Not Found")</f>
        <v/>
      </c>
      <c r="R163" s="21">
        <f t="array" ref="R163">IFERROR(INDEX(Load_Booking_Report!C:C, MATCH(TRUE, ISNUMBER(FIND(SUBSTITUTE(C163," ",""), Load_Booking_Report!AL:AL)), 0)), "Not Found")</f>
        <v/>
      </c>
      <c r="S163" s="21">
        <f t="array" ref="S163">IFERROR(INDEX(Load_Booking_Report!AG:AG, MATCH(TRUE, ISNUMBER(FIND(SUBSTITUTE(C163," ",""), Load_Booking_Report!AL:AL)), 0)), "Not Found")</f>
        <v/>
      </c>
      <c r="T163" s="21">
        <f>G163</f>
        <v/>
      </c>
      <c r="U163" s="33">
        <f t="array" ref="U163">IFERROR(
   IF(
      INDEX(Load_Booking_Report!AM:AM,
             MATCH(TRUE,
                     ISNUMBER(FIND(SUBSTITUTE(C163," ",""),
                                    Load_Booking_Report!AL:AL)),
                     0)
      )=0,
      "",
      INDEX(Load_Booking_Report!AM:AM,
             MATCH(TRUE,
                     ISNUMBER(FIND(SUBSTITUTE(C163," ",""),
                                    Load_Booking_Report!AL:AL)),
                     0)
      )
   ),
   ""
)</f>
        <v/>
      </c>
      <c r="V163" s="21">
        <f t="array" ref="V163">IFERROR(
   IF(
      INDEX(Load_Booking_Report!AR:AR,
             MATCH(TRUE,
                     ISNUMBER(FIND(SUBSTITUTE(C163," ",""),
                                    Load_Booking_Report!AL:AL)),
                     0)
      )=0,
      "",
      INDEX(Load_Booking_Report!AR:AR,
             MATCH(TRUE,
                     ISNUMBER(FIND(SUBSTITUTE(C163," ",""),
                                    Load_Booking_Report!AL:AL)),
                     0)
      )
   ),
   ""
)</f>
        <v/>
      </c>
      <c r="W163" s="21">
        <f t="array" ref="W163">IFERROR(INDEX(Load_Booking_Report!F:F, MATCH(TRUE, ISNUMBER(FIND(SUBSTITUTE(C163," ",""), Load_Booking_Report!AL:AL)), 0)), "Not Found")</f>
        <v/>
      </c>
      <c r="X163" s="21">
        <f t="array" ref="X163">IFERROR(INDEX(Load_Booking_Report!N:N, MATCH(TRUE, ISNUMBER(FIND(SUBSTITUTE(C163," ",""), Load_Booking_Report!AL:AL)), 0)), "Not Found")</f>
        <v/>
      </c>
      <c r="Y163" s="21">
        <f t="array" ref="Y163">IFERROR(INDEX(Load_Booking_Report!V:V, MATCH(TRUE, ISNUMBER(FIND(SUBSTITUTE(C163," ",""), Load_Booking_Report!AL:AL)), 0)), "Not Found")</f>
        <v/>
      </c>
      <c r="Z163" s="41">
        <f t="array" ref="Z163">IFERROR(INDEX(Load_Booking_Report!BC:BC, MATCH(TRUE, ISNUMBER(FIND(SUBSTITUTE(C163," ",""), Load_Booking_Report!AL:AL)), 0)), "Not Found")</f>
        <v/>
      </c>
    </row>
    <row r="164">
      <c r="A164" t="n">
        <v>26</v>
      </c>
      <c r="B164" t="n">
        <v>260506</v>
      </c>
      <c r="C164" t="inlineStr">
        <is>
          <t>ANON0000000</t>
        </is>
      </c>
      <c r="D164" t="n">
        <v>40</v>
      </c>
      <c r="E164" t="inlineStr">
        <is>
          <t>USNYC</t>
        </is>
      </c>
      <c r="F164" t="inlineStr">
        <is>
          <t>RULED</t>
        </is>
      </c>
      <c r="G164" t="n">
        <v>31070</v>
      </c>
      <c r="H164" t="inlineStr">
        <is>
          <t>ART</t>
        </is>
      </c>
      <c r="I164" t="inlineStr">
        <is>
          <t>45G1</t>
        </is>
      </c>
      <c r="L164" t="inlineStr">
        <is>
          <t>9'6</t>
        </is>
      </c>
      <c r="M164" t="inlineStr">
        <is>
          <t>Full</t>
        </is>
      </c>
      <c r="N164" t="inlineStr">
        <is>
          <t>RULED</t>
        </is>
      </c>
      <c r="P164" s="21">
        <f>C164</f>
        <v/>
      </c>
      <c r="Q164" s="21">
        <f t="array" ref="Q164">IFERROR(INDEX(Load_Booking_Report!AC:AC, MATCH(TRUE, ISNUMBER(FIND(SUBSTITUTE(C164," ",""), Load_Booking_Report!AL:AL)), 0)), "Not Found")</f>
        <v/>
      </c>
      <c r="R164" s="21">
        <f t="array" ref="R164">IFERROR(INDEX(Load_Booking_Report!C:C, MATCH(TRUE, ISNUMBER(FIND(SUBSTITUTE(C164," ",""), Load_Booking_Report!AL:AL)), 0)), "Not Found")</f>
        <v/>
      </c>
      <c r="S164" s="21">
        <f t="array" ref="S164">IFERROR(INDEX(Load_Booking_Report!AG:AG, MATCH(TRUE, ISNUMBER(FIND(SUBSTITUTE(C164," ",""), Load_Booking_Report!AL:AL)), 0)), "Not Found")</f>
        <v/>
      </c>
      <c r="T164" s="21">
        <f>G164</f>
        <v/>
      </c>
      <c r="U164" s="33">
        <f t="array" ref="U164">IFERROR(
   IF(
      INDEX(Load_Booking_Report!AM:AM,
             MATCH(TRUE,
                     ISNUMBER(FIND(SUBSTITUTE(C164," ",""),
                                    Load_Booking_Report!AL:AL)),
                     0)
      )=0,
      "",
      INDEX(Load_Booking_Report!AM:AM,
             MATCH(TRUE,
                     ISNUMBER(FIND(SUBSTITUTE(C164," ",""),
                                    Load_Booking_Report!AL:AL)),
                     0)
      )
   ),
   ""
)</f>
        <v/>
      </c>
      <c r="V164" s="21">
        <f t="array" ref="V164">IFERROR(
   IF(
      INDEX(Load_Booking_Report!AR:AR,
             MATCH(TRUE,
                     ISNUMBER(FIND(SUBSTITUTE(C164," ",""),
                                    Load_Booking_Report!AL:AL)),
                     0)
      )=0,
      "",
      INDEX(Load_Booking_Report!AR:AR,
             MATCH(TRUE,
                     ISNUMBER(FIND(SUBSTITUTE(C164," ",""),
                                    Load_Booking_Report!AL:AL)),
                     0)
      )
   ),
   ""
)</f>
        <v/>
      </c>
      <c r="W164" s="21">
        <f t="array" ref="W164">IFERROR(INDEX(Load_Booking_Report!F:F, MATCH(TRUE, ISNUMBER(FIND(SUBSTITUTE(C164," ",""), Load_Booking_Report!AL:AL)), 0)), "Not Found")</f>
        <v/>
      </c>
      <c r="X164" s="21">
        <f t="array" ref="X164">IFERROR(INDEX(Load_Booking_Report!N:N, MATCH(TRUE, ISNUMBER(FIND(SUBSTITUTE(C164," ",""), Load_Booking_Report!AL:AL)), 0)), "Not Found")</f>
        <v/>
      </c>
      <c r="Y164" s="21">
        <f t="array" ref="Y164">IFERROR(INDEX(Load_Booking_Report!V:V, MATCH(TRUE, ISNUMBER(FIND(SUBSTITUTE(C164," ",""), Load_Booking_Report!AL:AL)), 0)), "Not Found")</f>
        <v/>
      </c>
      <c r="Z164" s="41">
        <f t="array" ref="Z164">IFERROR(INDEX(Load_Booking_Report!BC:BC, MATCH(TRUE, ISNUMBER(FIND(SUBSTITUTE(C164," ",""), Load_Booking_Report!AL:AL)), 0)), "Not Found")</f>
        <v/>
      </c>
    </row>
    <row r="165">
      <c r="A165" t="n">
        <v>22</v>
      </c>
      <c r="B165" t="n">
        <v>220686</v>
      </c>
      <c r="C165" t="inlineStr">
        <is>
          <t>ANON0000000</t>
        </is>
      </c>
      <c r="D165" t="n">
        <v>40</v>
      </c>
      <c r="E165" t="inlineStr">
        <is>
          <t>USNFK</t>
        </is>
      </c>
      <c r="F165" t="inlineStr">
        <is>
          <t>RULED</t>
        </is>
      </c>
      <c r="G165" t="n">
        <v>24150</v>
      </c>
      <c r="H165" t="inlineStr">
        <is>
          <t>ART</t>
        </is>
      </c>
      <c r="I165" t="inlineStr">
        <is>
          <t>45G1</t>
        </is>
      </c>
      <c r="L165" t="inlineStr">
        <is>
          <t>9'6</t>
        </is>
      </c>
      <c r="M165" t="inlineStr">
        <is>
          <t>Full</t>
        </is>
      </c>
      <c r="N165" t="inlineStr">
        <is>
          <t>RULED</t>
        </is>
      </c>
      <c r="P165" s="21">
        <f>C165</f>
        <v/>
      </c>
      <c r="Q165" s="21">
        <f t="array" ref="Q165">IFERROR(INDEX(Load_Booking_Report!AC:AC, MATCH(TRUE, ISNUMBER(FIND(SUBSTITUTE(C165," ",""), Load_Booking_Report!AL:AL)), 0)), "Not Found")</f>
        <v/>
      </c>
      <c r="R165" s="21">
        <f t="array" ref="R165">IFERROR(INDEX(Load_Booking_Report!C:C, MATCH(TRUE, ISNUMBER(FIND(SUBSTITUTE(C165," ",""), Load_Booking_Report!AL:AL)), 0)), "Not Found")</f>
        <v/>
      </c>
      <c r="S165" s="21">
        <f t="array" ref="S165">IFERROR(INDEX(Load_Booking_Report!AG:AG, MATCH(TRUE, ISNUMBER(FIND(SUBSTITUTE(C165," ",""), Load_Booking_Report!AL:AL)), 0)), "Not Found")</f>
        <v/>
      </c>
      <c r="T165" s="21">
        <f>G165</f>
        <v/>
      </c>
      <c r="U165" s="33">
        <f t="array" ref="U165">IFERROR(
   IF(
      INDEX(Load_Booking_Report!AM:AM,
             MATCH(TRUE,
                     ISNUMBER(FIND(SUBSTITUTE(C165," ",""),
                                    Load_Booking_Report!AL:AL)),
                     0)
      )=0,
      "",
      INDEX(Load_Booking_Report!AM:AM,
             MATCH(TRUE,
                     ISNUMBER(FIND(SUBSTITUTE(C165," ",""),
                                    Load_Booking_Report!AL:AL)),
                     0)
      )
   ),
   ""
)</f>
        <v/>
      </c>
      <c r="V165" s="21">
        <f t="array" ref="V165">IFERROR(
   IF(
      INDEX(Load_Booking_Report!AR:AR,
             MATCH(TRUE,
                     ISNUMBER(FIND(SUBSTITUTE(C165," ",""),
                                    Load_Booking_Report!AL:AL)),
                     0)
      )=0,
      "",
      INDEX(Load_Booking_Report!AR:AR,
             MATCH(TRUE,
                     ISNUMBER(FIND(SUBSTITUTE(C165," ",""),
                                    Load_Booking_Report!AL:AL)),
                     0)
      )
   ),
   ""
)</f>
        <v/>
      </c>
      <c r="W165" s="21">
        <f t="array" ref="W165">IFERROR(INDEX(Load_Booking_Report!F:F, MATCH(TRUE, ISNUMBER(FIND(SUBSTITUTE(C165," ",""), Load_Booking_Report!AL:AL)), 0)), "Not Found")</f>
        <v/>
      </c>
      <c r="X165" s="21">
        <f t="array" ref="X165">IFERROR(INDEX(Load_Booking_Report!N:N, MATCH(TRUE, ISNUMBER(FIND(SUBSTITUTE(C165," ",""), Load_Booking_Report!AL:AL)), 0)), "Not Found")</f>
        <v/>
      </c>
      <c r="Y165" s="21">
        <f t="array" ref="Y165">IFERROR(INDEX(Load_Booking_Report!V:V, MATCH(TRUE, ISNUMBER(FIND(SUBSTITUTE(C165," ",""), Load_Booking_Report!AL:AL)), 0)), "Not Found")</f>
        <v/>
      </c>
      <c r="Z165" s="41">
        <f t="array" ref="Z165">IFERROR(INDEX(Load_Booking_Report!BC:BC, MATCH(TRUE, ISNUMBER(FIND(SUBSTITUTE(C165," ",""), Load_Booking_Report!AL:AL)), 0)), "Not Found")</f>
        <v/>
      </c>
    </row>
    <row r="166">
      <c r="A166" t="n">
        <v>40</v>
      </c>
      <c r="B166" t="n">
        <v>400186</v>
      </c>
      <c r="C166" t="inlineStr">
        <is>
          <t>ANON0000000</t>
        </is>
      </c>
      <c r="D166" t="n">
        <v>40</v>
      </c>
      <c r="E166" t="inlineStr">
        <is>
          <t>USNFK</t>
        </is>
      </c>
      <c r="F166" t="inlineStr">
        <is>
          <t>RULED</t>
        </is>
      </c>
      <c r="G166" t="n">
        <v>25150</v>
      </c>
      <c r="H166" t="inlineStr">
        <is>
          <t>ART</t>
        </is>
      </c>
      <c r="I166" t="inlineStr">
        <is>
          <t>45G1</t>
        </is>
      </c>
      <c r="L166" t="inlineStr">
        <is>
          <t>9'6</t>
        </is>
      </c>
      <c r="M166" t="inlineStr">
        <is>
          <t>Full</t>
        </is>
      </c>
      <c r="N166" t="inlineStr">
        <is>
          <t>RULED</t>
        </is>
      </c>
      <c r="P166" s="21">
        <f>C166</f>
        <v/>
      </c>
      <c r="Q166" s="21">
        <f t="array" ref="Q166">IFERROR(INDEX(Load_Booking_Report!AC:AC, MATCH(TRUE, ISNUMBER(FIND(SUBSTITUTE(C166," ",""), Load_Booking_Report!AL:AL)), 0)), "Not Found")</f>
        <v/>
      </c>
      <c r="R166" s="21">
        <f t="array" ref="R166">IFERROR(INDEX(Load_Booking_Report!C:C, MATCH(TRUE, ISNUMBER(FIND(SUBSTITUTE(C166," ",""), Load_Booking_Report!AL:AL)), 0)), "Not Found")</f>
        <v/>
      </c>
      <c r="S166" s="21">
        <f t="array" ref="S166">IFERROR(INDEX(Load_Booking_Report!AG:AG, MATCH(TRUE, ISNUMBER(FIND(SUBSTITUTE(C166," ",""), Load_Booking_Report!AL:AL)), 0)), "Not Found")</f>
        <v/>
      </c>
      <c r="T166" s="21">
        <f>G166</f>
        <v/>
      </c>
      <c r="U166" s="33">
        <f t="array" ref="U166">IFERROR(
   IF(
      INDEX(Load_Booking_Report!AM:AM,
             MATCH(TRUE,
                     ISNUMBER(FIND(SUBSTITUTE(C166," ",""),
                                    Load_Booking_Report!AL:AL)),
                     0)
      )=0,
      "",
      INDEX(Load_Booking_Report!AM:AM,
             MATCH(TRUE,
                     ISNUMBER(FIND(SUBSTITUTE(C166," ",""),
                                    Load_Booking_Report!AL:AL)),
                     0)
      )
   ),
   ""
)</f>
        <v/>
      </c>
      <c r="V166" s="21">
        <f t="array" ref="V166">IFERROR(
   IF(
      INDEX(Load_Booking_Report!AR:AR,
             MATCH(TRUE,
                     ISNUMBER(FIND(SUBSTITUTE(C166," ",""),
                                    Load_Booking_Report!AL:AL)),
                     0)
      )=0,
      "",
      INDEX(Load_Booking_Report!AR:AR,
             MATCH(TRUE,
                     ISNUMBER(FIND(SUBSTITUTE(C166," ",""),
                                    Load_Booking_Report!AL:AL)),
                     0)
      )
   ),
   ""
)</f>
        <v/>
      </c>
      <c r="W166" s="21">
        <f t="array" ref="W166">IFERROR(INDEX(Load_Booking_Report!F:F, MATCH(TRUE, ISNUMBER(FIND(SUBSTITUTE(C166," ",""), Load_Booking_Report!AL:AL)), 0)), "Not Found")</f>
        <v/>
      </c>
      <c r="X166" s="21">
        <f t="array" ref="X166">IFERROR(INDEX(Load_Booking_Report!N:N, MATCH(TRUE, ISNUMBER(FIND(SUBSTITUTE(C166," ",""), Load_Booking_Report!AL:AL)), 0)), "Not Found")</f>
        <v/>
      </c>
      <c r="Y166" s="21">
        <f t="array" ref="Y166">IFERROR(INDEX(Load_Booking_Report!V:V, MATCH(TRUE, ISNUMBER(FIND(SUBSTITUTE(C166," ",""), Load_Booking_Report!AL:AL)), 0)), "Not Found")</f>
        <v/>
      </c>
      <c r="Z166" s="41">
        <f t="array" ref="Z166">IFERROR(INDEX(Load_Booking_Report!BC:BC, MATCH(TRUE, ISNUMBER(FIND(SUBSTITUTE(C166," ",""), Load_Booking_Report!AL:AL)), 0)), "Not Found")</f>
        <v/>
      </c>
    </row>
    <row r="167">
      <c r="A167" t="n">
        <v>10</v>
      </c>
      <c r="B167" t="n">
        <v>100986</v>
      </c>
      <c r="C167" t="inlineStr">
        <is>
          <t>ANON0000000</t>
        </is>
      </c>
      <c r="D167" t="n">
        <v>40</v>
      </c>
      <c r="E167" t="inlineStr">
        <is>
          <t>USNFK</t>
        </is>
      </c>
      <c r="F167" t="inlineStr">
        <is>
          <t>RULED</t>
        </is>
      </c>
      <c r="G167" t="n">
        <v>25000</v>
      </c>
      <c r="H167" t="inlineStr">
        <is>
          <t>ART</t>
        </is>
      </c>
      <c r="I167" t="inlineStr">
        <is>
          <t>45G1</t>
        </is>
      </c>
      <c r="L167" t="inlineStr">
        <is>
          <t>9'6</t>
        </is>
      </c>
      <c r="M167" t="inlineStr">
        <is>
          <t>Full</t>
        </is>
      </c>
      <c r="N167" t="inlineStr">
        <is>
          <t>RULED</t>
        </is>
      </c>
      <c r="P167" s="21">
        <f>C167</f>
        <v/>
      </c>
      <c r="Q167" s="21">
        <f t="array" ref="Q167">IFERROR(INDEX(Load_Booking_Report!AC:AC, MATCH(TRUE, ISNUMBER(FIND(SUBSTITUTE(C167," ",""), Load_Booking_Report!AL:AL)), 0)), "Not Found")</f>
        <v/>
      </c>
      <c r="R167" s="21">
        <f t="array" ref="R167">IFERROR(INDEX(Load_Booking_Report!C:C, MATCH(TRUE, ISNUMBER(FIND(SUBSTITUTE(C167," ",""), Load_Booking_Report!AL:AL)), 0)), "Not Found")</f>
        <v/>
      </c>
      <c r="S167" s="21">
        <f t="array" ref="S167">IFERROR(INDEX(Load_Booking_Report!AG:AG, MATCH(TRUE, ISNUMBER(FIND(SUBSTITUTE(C167," ",""), Load_Booking_Report!AL:AL)), 0)), "Not Found")</f>
        <v/>
      </c>
      <c r="T167" s="21">
        <f>G167</f>
        <v/>
      </c>
      <c r="U167" s="33">
        <f t="array" ref="U167">IFERROR(
   IF(
      INDEX(Load_Booking_Report!AM:AM,
             MATCH(TRUE,
                     ISNUMBER(FIND(SUBSTITUTE(C167," ",""),
                                    Load_Booking_Report!AL:AL)),
                     0)
      )=0,
      "",
      INDEX(Load_Booking_Report!AM:AM,
             MATCH(TRUE,
                     ISNUMBER(FIND(SUBSTITUTE(C167," ",""),
                                    Load_Booking_Report!AL:AL)),
                     0)
      )
   ),
   ""
)</f>
        <v/>
      </c>
      <c r="V167" s="21">
        <f t="array" ref="V167">IFERROR(
   IF(
      INDEX(Load_Booking_Report!AR:AR,
             MATCH(TRUE,
                     ISNUMBER(FIND(SUBSTITUTE(C167," ",""),
                                    Load_Booking_Report!AL:AL)),
                     0)
      )=0,
      "",
      INDEX(Load_Booking_Report!AR:AR,
             MATCH(TRUE,
                     ISNUMBER(FIND(SUBSTITUTE(C167," ",""),
                                    Load_Booking_Report!AL:AL)),
                     0)
      )
   ),
   ""
)</f>
        <v/>
      </c>
      <c r="W167" s="21">
        <f t="array" ref="W167">IFERROR(INDEX(Load_Booking_Report!F:F, MATCH(TRUE, ISNUMBER(FIND(SUBSTITUTE(C167," ",""), Load_Booking_Report!AL:AL)), 0)), "Not Found")</f>
        <v/>
      </c>
      <c r="X167" s="21">
        <f t="array" ref="X167">IFERROR(INDEX(Load_Booking_Report!N:N, MATCH(TRUE, ISNUMBER(FIND(SUBSTITUTE(C167," ",""), Load_Booking_Report!AL:AL)), 0)), "Not Found")</f>
        <v/>
      </c>
      <c r="Y167" s="21">
        <f t="array" ref="Y167">IFERROR(INDEX(Load_Booking_Report!V:V, MATCH(TRUE, ISNUMBER(FIND(SUBSTITUTE(C167," ",""), Load_Booking_Report!AL:AL)), 0)), "Not Found")</f>
        <v/>
      </c>
      <c r="Z167" s="41">
        <f t="array" ref="Z167">IFERROR(INDEX(Load_Booking_Report!BC:BC, MATCH(TRUE, ISNUMBER(FIND(SUBSTITUTE(C167," ",""), Load_Booking_Report!AL:AL)), 0)), "Not Found")</f>
        <v/>
      </c>
    </row>
    <row r="168">
      <c r="A168" t="n">
        <v>18</v>
      </c>
      <c r="B168" t="n">
        <v>180306</v>
      </c>
      <c r="C168" t="inlineStr">
        <is>
          <t>ANON0000000</t>
        </is>
      </c>
      <c r="D168" t="n">
        <v>40</v>
      </c>
      <c r="E168" t="inlineStr">
        <is>
          <t>USNFK</t>
        </is>
      </c>
      <c r="F168" t="inlineStr">
        <is>
          <t>RULED</t>
        </is>
      </c>
      <c r="G168" t="n">
        <v>28700</v>
      </c>
      <c r="H168" t="inlineStr">
        <is>
          <t>ART</t>
        </is>
      </c>
      <c r="I168" t="inlineStr">
        <is>
          <t>45G1</t>
        </is>
      </c>
      <c r="L168" t="inlineStr">
        <is>
          <t>OOG</t>
        </is>
      </c>
      <c r="M168" t="inlineStr">
        <is>
          <t>Full</t>
        </is>
      </c>
      <c r="N168" t="inlineStr">
        <is>
          <t>RULED</t>
        </is>
      </c>
      <c r="P168" s="21">
        <f>C168</f>
        <v/>
      </c>
      <c r="Q168" s="21">
        <f t="array" ref="Q168">IFERROR(INDEX(Load_Booking_Report!AC:AC, MATCH(TRUE, ISNUMBER(FIND(SUBSTITUTE(C168," ",""), Load_Booking_Report!AL:AL)), 0)), "Not Found")</f>
        <v/>
      </c>
      <c r="R168" s="21">
        <f t="array" ref="R168">IFERROR(INDEX(Load_Booking_Report!C:C, MATCH(TRUE, ISNUMBER(FIND(SUBSTITUTE(C168," ",""), Load_Booking_Report!AL:AL)), 0)), "Not Found")</f>
        <v/>
      </c>
      <c r="S168" s="21">
        <f t="array" ref="S168">IFERROR(INDEX(Load_Booking_Report!AG:AG, MATCH(TRUE, ISNUMBER(FIND(SUBSTITUTE(C168," ",""), Load_Booking_Report!AL:AL)), 0)), "Not Found")</f>
        <v/>
      </c>
      <c r="T168" s="21">
        <f>G168</f>
        <v/>
      </c>
      <c r="U168" s="33">
        <f t="array" ref="U168">IFERROR(
   IF(
      INDEX(Load_Booking_Report!AM:AM,
             MATCH(TRUE,
                     ISNUMBER(FIND(SUBSTITUTE(C168," ",""),
                                    Load_Booking_Report!AL:AL)),
                     0)
      )=0,
      "",
      INDEX(Load_Booking_Report!AM:AM,
             MATCH(TRUE,
                     ISNUMBER(FIND(SUBSTITUTE(C168," ",""),
                                    Load_Booking_Report!AL:AL)),
                     0)
      )
   ),
   ""
)</f>
        <v/>
      </c>
      <c r="V168" s="21">
        <f t="array" ref="V168">IFERROR(
   IF(
      INDEX(Load_Booking_Report!AR:AR,
             MATCH(TRUE,
                     ISNUMBER(FIND(SUBSTITUTE(C168," ",""),
                                    Load_Booking_Report!AL:AL)),
                     0)
      )=0,
      "",
      INDEX(Load_Booking_Report!AR:AR,
             MATCH(TRUE,
                     ISNUMBER(FIND(SUBSTITUTE(C168," ",""),
                                    Load_Booking_Report!AL:AL)),
                     0)
      )
   ),
   ""
)</f>
        <v/>
      </c>
      <c r="W168" s="21">
        <f t="array" ref="W168">IFERROR(INDEX(Load_Booking_Report!F:F, MATCH(TRUE, ISNUMBER(FIND(SUBSTITUTE(C168," ",""), Load_Booking_Report!AL:AL)), 0)), "Not Found")</f>
        <v/>
      </c>
      <c r="X168" s="21">
        <f t="array" ref="X168">IFERROR(INDEX(Load_Booking_Report!N:N, MATCH(TRUE, ISNUMBER(FIND(SUBSTITUTE(C168," ",""), Load_Booking_Report!AL:AL)), 0)), "Not Found")</f>
        <v/>
      </c>
      <c r="Y168" s="21">
        <f t="array" ref="Y168">IFERROR(INDEX(Load_Booking_Report!V:V, MATCH(TRUE, ISNUMBER(FIND(SUBSTITUTE(C168," ",""), Load_Booking_Report!AL:AL)), 0)), "Not Found")</f>
        <v/>
      </c>
      <c r="Z168" s="41">
        <f t="array" ref="Z168">IFERROR(INDEX(Load_Booking_Report!BC:BC, MATCH(TRUE, ISNUMBER(FIND(SUBSTITUTE(C168," ",""), Load_Booking_Report!AL:AL)), 0)), "Not Found")</f>
        <v/>
      </c>
    </row>
    <row r="169">
      <c r="A169" t="n">
        <v>18</v>
      </c>
      <c r="B169" t="n">
        <v>180208</v>
      </c>
      <c r="C169" t="inlineStr">
        <is>
          <t>ANON0000000</t>
        </is>
      </c>
      <c r="D169" t="n">
        <v>40</v>
      </c>
      <c r="E169" t="inlineStr">
        <is>
          <t>USNFK</t>
        </is>
      </c>
      <c r="F169" t="inlineStr">
        <is>
          <t>RULED</t>
        </is>
      </c>
      <c r="G169" t="n">
        <v>28700</v>
      </c>
      <c r="H169" t="inlineStr">
        <is>
          <t>ART</t>
        </is>
      </c>
      <c r="I169" t="inlineStr">
        <is>
          <t>45G1</t>
        </is>
      </c>
      <c r="L169" t="inlineStr">
        <is>
          <t>OOG</t>
        </is>
      </c>
      <c r="M169" t="inlineStr">
        <is>
          <t>Full</t>
        </is>
      </c>
      <c r="N169" t="inlineStr">
        <is>
          <t>RULED</t>
        </is>
      </c>
      <c r="P169" s="21">
        <f>C169</f>
        <v/>
      </c>
      <c r="Q169" s="21">
        <f t="array" ref="Q169">IFERROR(INDEX(Load_Booking_Report!AC:AC, MATCH(TRUE, ISNUMBER(FIND(SUBSTITUTE(C169," ",""), Load_Booking_Report!AL:AL)), 0)), "Not Found")</f>
        <v/>
      </c>
      <c r="R169" s="21">
        <f t="array" ref="R169">IFERROR(INDEX(Load_Booking_Report!C:C, MATCH(TRUE, ISNUMBER(FIND(SUBSTITUTE(C169," ",""), Load_Booking_Report!AL:AL)), 0)), "Not Found")</f>
        <v/>
      </c>
      <c r="S169" s="21">
        <f t="array" ref="S169">IFERROR(INDEX(Load_Booking_Report!AG:AG, MATCH(TRUE, ISNUMBER(FIND(SUBSTITUTE(C169," ",""), Load_Booking_Report!AL:AL)), 0)), "Not Found")</f>
        <v/>
      </c>
      <c r="T169" s="21">
        <f>G169</f>
        <v/>
      </c>
      <c r="U169" s="33">
        <f t="array" ref="U169">IFERROR(
   IF(
      INDEX(Load_Booking_Report!AM:AM,
             MATCH(TRUE,
                     ISNUMBER(FIND(SUBSTITUTE(C169," ",""),
                                    Load_Booking_Report!AL:AL)),
                     0)
      )=0,
      "",
      INDEX(Load_Booking_Report!AM:AM,
             MATCH(TRUE,
                     ISNUMBER(FIND(SUBSTITUTE(C169," ",""),
                                    Load_Booking_Report!AL:AL)),
                     0)
      )
   ),
   ""
)</f>
        <v/>
      </c>
      <c r="V169" s="21">
        <f t="array" ref="V169">IFERROR(
   IF(
      INDEX(Load_Booking_Report!AR:AR,
             MATCH(TRUE,
                     ISNUMBER(FIND(SUBSTITUTE(C169," ",""),
                                    Load_Booking_Report!AL:AL)),
                     0)
      )=0,
      "",
      INDEX(Load_Booking_Report!AR:AR,
             MATCH(TRUE,
                     ISNUMBER(FIND(SUBSTITUTE(C169," ",""),
                                    Load_Booking_Report!AL:AL)),
                     0)
      )
   ),
   ""
)</f>
        <v/>
      </c>
      <c r="W169" s="21">
        <f t="array" ref="W169">IFERROR(INDEX(Load_Booking_Report!F:F, MATCH(TRUE, ISNUMBER(FIND(SUBSTITUTE(C169," ",""), Load_Booking_Report!AL:AL)), 0)), "Not Found")</f>
        <v/>
      </c>
      <c r="X169" s="21">
        <f t="array" ref="X169">IFERROR(INDEX(Load_Booking_Report!N:N, MATCH(TRUE, ISNUMBER(FIND(SUBSTITUTE(C169," ",""), Load_Booking_Report!AL:AL)), 0)), "Not Found")</f>
        <v/>
      </c>
      <c r="Y169" s="21">
        <f t="array" ref="Y169">IFERROR(INDEX(Load_Booking_Report!V:V, MATCH(TRUE, ISNUMBER(FIND(SUBSTITUTE(C169," ",""), Load_Booking_Report!AL:AL)), 0)), "Not Found")</f>
        <v/>
      </c>
      <c r="Z169" s="41">
        <f t="array" ref="Z169">IFERROR(INDEX(Load_Booking_Report!BC:BC, MATCH(TRUE, ISNUMBER(FIND(SUBSTITUTE(C169," ",""), Load_Booking_Report!AL:AL)), 0)), "Not Found")</f>
        <v/>
      </c>
    </row>
    <row r="170">
      <c r="A170" t="n">
        <v>26</v>
      </c>
      <c r="B170" t="n">
        <v>260308</v>
      </c>
      <c r="C170" t="inlineStr">
        <is>
          <t>ANON0000000</t>
        </is>
      </c>
      <c r="D170" t="n">
        <v>40</v>
      </c>
      <c r="E170" t="inlineStr">
        <is>
          <t>USNYC</t>
        </is>
      </c>
      <c r="F170" t="inlineStr">
        <is>
          <t>RULED</t>
        </is>
      </c>
      <c r="G170" t="n">
        <v>30200</v>
      </c>
      <c r="H170" t="inlineStr">
        <is>
          <t>ART</t>
        </is>
      </c>
      <c r="I170" t="inlineStr">
        <is>
          <t>45G1</t>
        </is>
      </c>
      <c r="L170" t="inlineStr">
        <is>
          <t>9'6</t>
        </is>
      </c>
      <c r="M170" t="inlineStr">
        <is>
          <t>Full</t>
        </is>
      </c>
      <c r="N170" t="inlineStr">
        <is>
          <t>RULED</t>
        </is>
      </c>
      <c r="P170" s="21">
        <f>C170</f>
        <v/>
      </c>
      <c r="Q170" s="21">
        <f t="array" ref="Q170">IFERROR(INDEX(Load_Booking_Report!AC:AC, MATCH(TRUE, ISNUMBER(FIND(SUBSTITUTE(C170," ",""), Load_Booking_Report!AL:AL)), 0)), "Not Found")</f>
        <v/>
      </c>
      <c r="R170" s="21">
        <f t="array" ref="R170">IFERROR(INDEX(Load_Booking_Report!C:C, MATCH(TRUE, ISNUMBER(FIND(SUBSTITUTE(C170," ",""), Load_Booking_Report!AL:AL)), 0)), "Not Found")</f>
        <v/>
      </c>
      <c r="S170" s="21">
        <f t="array" ref="S170">IFERROR(INDEX(Load_Booking_Report!AG:AG, MATCH(TRUE, ISNUMBER(FIND(SUBSTITUTE(C170," ",""), Load_Booking_Report!AL:AL)), 0)), "Not Found")</f>
        <v/>
      </c>
      <c r="T170" s="21">
        <f>G170</f>
        <v/>
      </c>
      <c r="U170" s="33">
        <f t="array" ref="U170">IFERROR(
   IF(
      INDEX(Load_Booking_Report!AM:AM,
             MATCH(TRUE,
                     ISNUMBER(FIND(SUBSTITUTE(C170," ",""),
                                    Load_Booking_Report!AL:AL)),
                     0)
      )=0,
      "",
      INDEX(Load_Booking_Report!AM:AM,
             MATCH(TRUE,
                     ISNUMBER(FIND(SUBSTITUTE(C170," ",""),
                                    Load_Booking_Report!AL:AL)),
                     0)
      )
   ),
   ""
)</f>
        <v/>
      </c>
      <c r="V170" s="21">
        <f t="array" ref="V170">IFERROR(
   IF(
      INDEX(Load_Booking_Report!AR:AR,
             MATCH(TRUE,
                     ISNUMBER(FIND(SUBSTITUTE(C170," ",""),
                                    Load_Booking_Report!AL:AL)),
                     0)
      )=0,
      "",
      INDEX(Load_Booking_Report!AR:AR,
             MATCH(TRUE,
                     ISNUMBER(FIND(SUBSTITUTE(C170," ",""),
                                    Load_Booking_Report!AL:AL)),
                     0)
      )
   ),
   ""
)</f>
        <v/>
      </c>
      <c r="W170" s="21">
        <f t="array" ref="W170">IFERROR(INDEX(Load_Booking_Report!F:F, MATCH(TRUE, ISNUMBER(FIND(SUBSTITUTE(C170," ",""), Load_Booking_Report!AL:AL)), 0)), "Not Found")</f>
        <v/>
      </c>
      <c r="X170" s="21">
        <f t="array" ref="X170">IFERROR(INDEX(Load_Booking_Report!N:N, MATCH(TRUE, ISNUMBER(FIND(SUBSTITUTE(C170," ",""), Load_Booking_Report!AL:AL)), 0)), "Not Found")</f>
        <v/>
      </c>
      <c r="Y170" s="21">
        <f t="array" ref="Y170">IFERROR(INDEX(Load_Booking_Report!V:V, MATCH(TRUE, ISNUMBER(FIND(SUBSTITUTE(C170," ",""), Load_Booking_Report!AL:AL)), 0)), "Not Found")</f>
        <v/>
      </c>
      <c r="Z170" s="41">
        <f t="array" ref="Z170">IFERROR(INDEX(Load_Booking_Report!BC:BC, MATCH(TRUE, ISNUMBER(FIND(SUBSTITUTE(C170," ",""), Load_Booking_Report!AL:AL)), 0)), "Not Found")</f>
        <v/>
      </c>
    </row>
    <row r="171">
      <c r="A171" t="n">
        <v>18</v>
      </c>
      <c r="B171" t="n">
        <v>180206</v>
      </c>
      <c r="C171" t="inlineStr">
        <is>
          <t>ANON0000000</t>
        </is>
      </c>
      <c r="D171" t="n">
        <v>40</v>
      </c>
      <c r="E171" t="inlineStr">
        <is>
          <t>USNFK</t>
        </is>
      </c>
      <c r="F171" t="inlineStr">
        <is>
          <t>RULED</t>
        </is>
      </c>
      <c r="G171" t="n">
        <v>28700</v>
      </c>
      <c r="H171" t="inlineStr">
        <is>
          <t>ART</t>
        </is>
      </c>
      <c r="I171" t="inlineStr">
        <is>
          <t>45G1</t>
        </is>
      </c>
      <c r="L171" t="inlineStr">
        <is>
          <t>OOG</t>
        </is>
      </c>
      <c r="M171" t="inlineStr">
        <is>
          <t>Full</t>
        </is>
      </c>
      <c r="N171" t="inlineStr">
        <is>
          <t>RULED</t>
        </is>
      </c>
      <c r="P171" s="21">
        <f>C171</f>
        <v/>
      </c>
      <c r="Q171" s="21">
        <f t="array" ref="Q171">IFERROR(INDEX(Load_Booking_Report!AC:AC, MATCH(TRUE, ISNUMBER(FIND(SUBSTITUTE(C171," ",""), Load_Booking_Report!AL:AL)), 0)), "Not Found")</f>
        <v/>
      </c>
      <c r="R171" s="21">
        <f t="array" ref="R171">IFERROR(INDEX(Load_Booking_Report!C:C, MATCH(TRUE, ISNUMBER(FIND(SUBSTITUTE(C171," ",""), Load_Booking_Report!AL:AL)), 0)), "Not Found")</f>
        <v/>
      </c>
      <c r="S171" s="21">
        <f t="array" ref="S171">IFERROR(INDEX(Load_Booking_Report!AG:AG, MATCH(TRUE, ISNUMBER(FIND(SUBSTITUTE(C171," ",""), Load_Booking_Report!AL:AL)), 0)), "Not Found")</f>
        <v/>
      </c>
      <c r="T171" s="21">
        <f>G171</f>
        <v/>
      </c>
      <c r="U171" s="33">
        <f t="array" ref="U171">IFERROR(
   IF(
      INDEX(Load_Booking_Report!AM:AM,
             MATCH(TRUE,
                     ISNUMBER(FIND(SUBSTITUTE(C171," ",""),
                                    Load_Booking_Report!AL:AL)),
                     0)
      )=0,
      "",
      INDEX(Load_Booking_Report!AM:AM,
             MATCH(TRUE,
                     ISNUMBER(FIND(SUBSTITUTE(C171," ",""),
                                    Load_Booking_Report!AL:AL)),
                     0)
      )
   ),
   ""
)</f>
        <v/>
      </c>
      <c r="V171" s="21">
        <f t="array" ref="V171">IFERROR(
   IF(
      INDEX(Load_Booking_Report!AR:AR,
             MATCH(TRUE,
                     ISNUMBER(FIND(SUBSTITUTE(C171," ",""),
                                    Load_Booking_Report!AL:AL)),
                     0)
      )=0,
      "",
      INDEX(Load_Booking_Report!AR:AR,
             MATCH(TRUE,
                     ISNUMBER(FIND(SUBSTITUTE(C171," ",""),
                                    Load_Booking_Report!AL:AL)),
                     0)
      )
   ),
   ""
)</f>
        <v/>
      </c>
      <c r="W171" s="21">
        <f t="array" ref="W171">IFERROR(INDEX(Load_Booking_Report!F:F, MATCH(TRUE, ISNUMBER(FIND(SUBSTITUTE(C171," ",""), Load_Booking_Report!AL:AL)), 0)), "Not Found")</f>
        <v/>
      </c>
      <c r="X171" s="21">
        <f t="array" ref="X171">IFERROR(INDEX(Load_Booking_Report!N:N, MATCH(TRUE, ISNUMBER(FIND(SUBSTITUTE(C171," ",""), Load_Booking_Report!AL:AL)), 0)), "Not Found")</f>
        <v/>
      </c>
      <c r="Y171" s="21">
        <f t="array" ref="Y171">IFERROR(INDEX(Load_Booking_Report!V:V, MATCH(TRUE, ISNUMBER(FIND(SUBSTITUTE(C171," ",""), Load_Booking_Report!AL:AL)), 0)), "Not Found")</f>
        <v/>
      </c>
      <c r="Z171" s="41">
        <f t="array" ref="Z171">IFERROR(INDEX(Load_Booking_Report!BC:BC, MATCH(TRUE, ISNUMBER(FIND(SUBSTITUTE(C171," ",""), Load_Booking_Report!AL:AL)), 0)), "Not Found")</f>
        <v/>
      </c>
    </row>
    <row r="172">
      <c r="A172" t="n">
        <v>22</v>
      </c>
      <c r="B172" t="n">
        <v>220986</v>
      </c>
      <c r="C172" t="inlineStr">
        <is>
          <t>ANON0000000</t>
        </is>
      </c>
      <c r="D172" t="n">
        <v>40</v>
      </c>
      <c r="E172" t="inlineStr">
        <is>
          <t>USNFK</t>
        </is>
      </c>
      <c r="F172" t="inlineStr">
        <is>
          <t>RULED</t>
        </is>
      </c>
      <c r="G172" t="n">
        <v>24450</v>
      </c>
      <c r="H172" t="inlineStr">
        <is>
          <t>ART</t>
        </is>
      </c>
      <c r="I172" t="inlineStr">
        <is>
          <t>45G1</t>
        </is>
      </c>
      <c r="L172" t="inlineStr">
        <is>
          <t>9'6</t>
        </is>
      </c>
      <c r="M172" t="inlineStr">
        <is>
          <t>Full</t>
        </is>
      </c>
      <c r="N172" t="inlineStr">
        <is>
          <t>RULED</t>
        </is>
      </c>
      <c r="P172" s="21">
        <f>C172</f>
        <v/>
      </c>
      <c r="Q172" s="21">
        <f t="array" ref="Q172">IFERROR(INDEX(Load_Booking_Report!AC:AC, MATCH(TRUE, ISNUMBER(FIND(SUBSTITUTE(C172," ",""), Load_Booking_Report!AL:AL)), 0)), "Not Found")</f>
        <v/>
      </c>
      <c r="R172" s="21">
        <f t="array" ref="R172">IFERROR(INDEX(Load_Booking_Report!C:C, MATCH(TRUE, ISNUMBER(FIND(SUBSTITUTE(C172," ",""), Load_Booking_Report!AL:AL)), 0)), "Not Found")</f>
        <v/>
      </c>
      <c r="S172" s="21">
        <f t="array" ref="S172">IFERROR(INDEX(Load_Booking_Report!AG:AG, MATCH(TRUE, ISNUMBER(FIND(SUBSTITUTE(C172," ",""), Load_Booking_Report!AL:AL)), 0)), "Not Found")</f>
        <v/>
      </c>
      <c r="T172" s="21">
        <f>G172</f>
        <v/>
      </c>
      <c r="U172" s="33">
        <f t="array" ref="U172">IFERROR(
   IF(
      INDEX(Load_Booking_Report!AM:AM,
             MATCH(TRUE,
                     ISNUMBER(FIND(SUBSTITUTE(C172," ",""),
                                    Load_Booking_Report!AL:AL)),
                     0)
      )=0,
      "",
      INDEX(Load_Booking_Report!AM:AM,
             MATCH(TRUE,
                     ISNUMBER(FIND(SUBSTITUTE(C172," ",""),
                                    Load_Booking_Report!AL:AL)),
                     0)
      )
   ),
   ""
)</f>
        <v/>
      </c>
      <c r="V172" s="21">
        <f t="array" ref="V172">IFERROR(
   IF(
      INDEX(Load_Booking_Report!AR:AR,
             MATCH(TRUE,
                     ISNUMBER(FIND(SUBSTITUTE(C172," ",""),
                                    Load_Booking_Report!AL:AL)),
                     0)
      )=0,
      "",
      INDEX(Load_Booking_Report!AR:AR,
             MATCH(TRUE,
                     ISNUMBER(FIND(SUBSTITUTE(C172," ",""),
                                    Load_Booking_Report!AL:AL)),
                     0)
      )
   ),
   ""
)</f>
        <v/>
      </c>
      <c r="W172" s="21">
        <f t="array" ref="W172">IFERROR(INDEX(Load_Booking_Report!F:F, MATCH(TRUE, ISNUMBER(FIND(SUBSTITUTE(C172," ",""), Load_Booking_Report!AL:AL)), 0)), "Not Found")</f>
        <v/>
      </c>
      <c r="X172" s="21">
        <f t="array" ref="X172">IFERROR(INDEX(Load_Booking_Report!N:N, MATCH(TRUE, ISNUMBER(FIND(SUBSTITUTE(C172," ",""), Load_Booking_Report!AL:AL)), 0)), "Not Found")</f>
        <v/>
      </c>
      <c r="Y172" s="21">
        <f t="array" ref="Y172">IFERROR(INDEX(Load_Booking_Report!V:V, MATCH(TRUE, ISNUMBER(FIND(SUBSTITUTE(C172," ",""), Load_Booking_Report!AL:AL)), 0)), "Not Found")</f>
        <v/>
      </c>
      <c r="Z172" s="41">
        <f t="array" ref="Z172">IFERROR(INDEX(Load_Booking_Report!BC:BC, MATCH(TRUE, ISNUMBER(FIND(SUBSTITUTE(C172," ",""), Load_Booking_Report!AL:AL)), 0)), "Not Found")</f>
        <v/>
      </c>
    </row>
    <row r="173">
      <c r="A173" t="n">
        <v>10</v>
      </c>
      <c r="B173" t="n">
        <v>100586</v>
      </c>
      <c r="C173" t="inlineStr">
        <is>
          <t>ANON0000000</t>
        </is>
      </c>
      <c r="D173" t="n">
        <v>40</v>
      </c>
      <c r="E173" t="inlineStr">
        <is>
          <t>USNFK</t>
        </is>
      </c>
      <c r="F173" t="inlineStr">
        <is>
          <t>RULED</t>
        </is>
      </c>
      <c r="G173" t="n">
        <v>24900</v>
      </c>
      <c r="H173" t="inlineStr">
        <is>
          <t>ART</t>
        </is>
      </c>
      <c r="I173" t="inlineStr">
        <is>
          <t>45G1</t>
        </is>
      </c>
      <c r="L173" t="inlineStr">
        <is>
          <t>9'6</t>
        </is>
      </c>
      <c r="M173" t="inlineStr">
        <is>
          <t>Full</t>
        </is>
      </c>
      <c r="N173" t="inlineStr">
        <is>
          <t>RULED</t>
        </is>
      </c>
      <c r="P173" s="21">
        <f>C173</f>
        <v/>
      </c>
      <c r="Q173" s="21">
        <f t="array" ref="Q173">IFERROR(INDEX(Load_Booking_Report!AC:AC, MATCH(TRUE, ISNUMBER(FIND(SUBSTITUTE(C173," ",""), Load_Booking_Report!AL:AL)), 0)), "Not Found")</f>
        <v/>
      </c>
      <c r="R173" s="21">
        <f t="array" ref="R173">IFERROR(INDEX(Load_Booking_Report!C:C, MATCH(TRUE, ISNUMBER(FIND(SUBSTITUTE(C173," ",""), Load_Booking_Report!AL:AL)), 0)), "Not Found")</f>
        <v/>
      </c>
      <c r="S173" s="21">
        <f t="array" ref="S173">IFERROR(INDEX(Load_Booking_Report!AG:AG, MATCH(TRUE, ISNUMBER(FIND(SUBSTITUTE(C173," ",""), Load_Booking_Report!AL:AL)), 0)), "Not Found")</f>
        <v/>
      </c>
      <c r="T173" s="21">
        <f>G173</f>
        <v/>
      </c>
      <c r="U173" s="33">
        <f t="array" ref="U173">IFERROR(
   IF(
      INDEX(Load_Booking_Report!AM:AM,
             MATCH(TRUE,
                     ISNUMBER(FIND(SUBSTITUTE(C173," ",""),
                                    Load_Booking_Report!AL:AL)),
                     0)
      )=0,
      "",
      INDEX(Load_Booking_Report!AM:AM,
             MATCH(TRUE,
                     ISNUMBER(FIND(SUBSTITUTE(C173," ",""),
                                    Load_Booking_Report!AL:AL)),
                     0)
      )
   ),
   ""
)</f>
        <v/>
      </c>
      <c r="V173" s="21">
        <f t="array" ref="V173">IFERROR(
   IF(
      INDEX(Load_Booking_Report!AR:AR,
             MATCH(TRUE,
                     ISNUMBER(FIND(SUBSTITUTE(C173," ",""),
                                    Load_Booking_Report!AL:AL)),
                     0)
      )=0,
      "",
      INDEX(Load_Booking_Report!AR:AR,
             MATCH(TRUE,
                     ISNUMBER(FIND(SUBSTITUTE(C173," ",""),
                                    Load_Booking_Report!AL:AL)),
                     0)
      )
   ),
   ""
)</f>
        <v/>
      </c>
      <c r="W173" s="21">
        <f t="array" ref="W173">IFERROR(INDEX(Load_Booking_Report!F:F, MATCH(TRUE, ISNUMBER(FIND(SUBSTITUTE(C173," ",""), Load_Booking_Report!AL:AL)), 0)), "Not Found")</f>
        <v/>
      </c>
      <c r="X173" s="21">
        <f t="array" ref="X173">IFERROR(INDEX(Load_Booking_Report!N:N, MATCH(TRUE, ISNUMBER(FIND(SUBSTITUTE(C173," ",""), Load_Booking_Report!AL:AL)), 0)), "Not Found")</f>
        <v/>
      </c>
      <c r="Y173" s="21">
        <f t="array" ref="Y173">IFERROR(INDEX(Load_Booking_Report!V:V, MATCH(TRUE, ISNUMBER(FIND(SUBSTITUTE(C173," ",""), Load_Booking_Report!AL:AL)), 0)), "Not Found")</f>
        <v/>
      </c>
      <c r="Z173" s="41">
        <f t="array" ref="Z173">IFERROR(INDEX(Load_Booking_Report!BC:BC, MATCH(TRUE, ISNUMBER(FIND(SUBSTITUTE(C173," ",""), Load_Booking_Report!AL:AL)), 0)), "Not Found")</f>
        <v/>
      </c>
    </row>
    <row r="174">
      <c r="A174" t="n">
        <v>40</v>
      </c>
      <c r="B174" t="n">
        <v>400086</v>
      </c>
      <c r="C174" t="inlineStr">
        <is>
          <t>ANON0000000</t>
        </is>
      </c>
      <c r="D174" t="n">
        <v>40</v>
      </c>
      <c r="E174" t="inlineStr">
        <is>
          <t>USNFK</t>
        </is>
      </c>
      <c r="F174" t="inlineStr">
        <is>
          <t>RULED</t>
        </is>
      </c>
      <c r="G174" t="n">
        <v>25150</v>
      </c>
      <c r="H174" t="inlineStr">
        <is>
          <t>ART</t>
        </is>
      </c>
      <c r="I174" t="inlineStr">
        <is>
          <t>45G1</t>
        </is>
      </c>
      <c r="L174" t="inlineStr">
        <is>
          <t>9'6</t>
        </is>
      </c>
      <c r="M174" t="inlineStr">
        <is>
          <t>Full</t>
        </is>
      </c>
      <c r="N174" t="inlineStr">
        <is>
          <t>RULED</t>
        </is>
      </c>
      <c r="P174" s="21">
        <f>C174</f>
        <v/>
      </c>
      <c r="Q174" s="21">
        <f t="array" ref="Q174">IFERROR(INDEX(Load_Booking_Report!AC:AC, MATCH(TRUE, ISNUMBER(FIND(SUBSTITUTE(C174," ",""), Load_Booking_Report!AL:AL)), 0)), "Not Found")</f>
        <v/>
      </c>
      <c r="R174" s="21">
        <f t="array" ref="R174">IFERROR(INDEX(Load_Booking_Report!C:C, MATCH(TRUE, ISNUMBER(FIND(SUBSTITUTE(C174," ",""), Load_Booking_Report!AL:AL)), 0)), "Not Found")</f>
        <v/>
      </c>
      <c r="S174" s="21">
        <f t="array" ref="S174">IFERROR(INDEX(Load_Booking_Report!AG:AG, MATCH(TRUE, ISNUMBER(FIND(SUBSTITUTE(C174," ",""), Load_Booking_Report!AL:AL)), 0)), "Not Found")</f>
        <v/>
      </c>
      <c r="T174" s="21">
        <f>G174</f>
        <v/>
      </c>
      <c r="U174" s="33">
        <f t="array" ref="U174">IFERROR(
   IF(
      INDEX(Load_Booking_Report!AM:AM,
             MATCH(TRUE,
                     ISNUMBER(FIND(SUBSTITUTE(C174," ",""),
                                    Load_Booking_Report!AL:AL)),
                     0)
      )=0,
      "",
      INDEX(Load_Booking_Report!AM:AM,
             MATCH(TRUE,
                     ISNUMBER(FIND(SUBSTITUTE(C174," ",""),
                                    Load_Booking_Report!AL:AL)),
                     0)
      )
   ),
   ""
)</f>
        <v/>
      </c>
      <c r="V174" s="21">
        <f t="array" ref="V174">IFERROR(
   IF(
      INDEX(Load_Booking_Report!AR:AR,
             MATCH(TRUE,
                     ISNUMBER(FIND(SUBSTITUTE(C174," ",""),
                                    Load_Booking_Report!AL:AL)),
                     0)
      )=0,
      "",
      INDEX(Load_Booking_Report!AR:AR,
             MATCH(TRUE,
                     ISNUMBER(FIND(SUBSTITUTE(C174," ",""),
                                    Load_Booking_Report!AL:AL)),
                     0)
      )
   ),
   ""
)</f>
        <v/>
      </c>
      <c r="W174" s="21">
        <f t="array" ref="W174">IFERROR(INDEX(Load_Booking_Report!F:F, MATCH(TRUE, ISNUMBER(FIND(SUBSTITUTE(C174," ",""), Load_Booking_Report!AL:AL)), 0)), "Not Found")</f>
        <v/>
      </c>
      <c r="X174" s="21">
        <f t="array" ref="X174">IFERROR(INDEX(Load_Booking_Report!N:N, MATCH(TRUE, ISNUMBER(FIND(SUBSTITUTE(C174," ",""), Load_Booking_Report!AL:AL)), 0)), "Not Found")</f>
        <v/>
      </c>
      <c r="Y174" s="21">
        <f t="array" ref="Y174">IFERROR(INDEX(Load_Booking_Report!V:V, MATCH(TRUE, ISNUMBER(FIND(SUBSTITUTE(C174," ",""), Load_Booking_Report!AL:AL)), 0)), "Not Found")</f>
        <v/>
      </c>
      <c r="Z174" s="41">
        <f t="array" ref="Z174">IFERROR(INDEX(Load_Booking_Report!BC:BC, MATCH(TRUE, ISNUMBER(FIND(SUBSTITUTE(C174," ",""), Load_Booking_Report!AL:AL)), 0)), "Not Found")</f>
        <v/>
      </c>
    </row>
    <row r="175">
      <c r="A175" t="n">
        <v>10</v>
      </c>
      <c r="B175" t="n">
        <v>100886</v>
      </c>
      <c r="C175" t="inlineStr">
        <is>
          <t>ANON0000000</t>
        </is>
      </c>
      <c r="D175" t="n">
        <v>40</v>
      </c>
      <c r="E175" t="inlineStr">
        <is>
          <t>USNFK</t>
        </is>
      </c>
      <c r="F175" t="inlineStr">
        <is>
          <t>RULED</t>
        </is>
      </c>
      <c r="G175" t="n">
        <v>24700</v>
      </c>
      <c r="H175" t="inlineStr">
        <is>
          <t>ART</t>
        </is>
      </c>
      <c r="I175" t="inlineStr">
        <is>
          <t>45G1</t>
        </is>
      </c>
      <c r="L175" t="inlineStr">
        <is>
          <t>9'6</t>
        </is>
      </c>
      <c r="M175" t="inlineStr">
        <is>
          <t>Full</t>
        </is>
      </c>
      <c r="N175" t="inlineStr">
        <is>
          <t>RULED</t>
        </is>
      </c>
      <c r="P175" s="21">
        <f>C175</f>
        <v/>
      </c>
      <c r="Q175" s="21">
        <f t="array" ref="Q175">IFERROR(INDEX(Load_Booking_Report!AC:AC, MATCH(TRUE, ISNUMBER(FIND(SUBSTITUTE(C175," ",""), Load_Booking_Report!AL:AL)), 0)), "Not Found")</f>
        <v/>
      </c>
      <c r="R175" s="21">
        <f t="array" ref="R175">IFERROR(INDEX(Load_Booking_Report!C:C, MATCH(TRUE, ISNUMBER(FIND(SUBSTITUTE(C175," ",""), Load_Booking_Report!AL:AL)), 0)), "Not Found")</f>
        <v/>
      </c>
      <c r="S175" s="21">
        <f t="array" ref="S175">IFERROR(INDEX(Load_Booking_Report!AG:AG, MATCH(TRUE, ISNUMBER(FIND(SUBSTITUTE(C175," ",""), Load_Booking_Report!AL:AL)), 0)), "Not Found")</f>
        <v/>
      </c>
      <c r="T175" s="21">
        <f>G175</f>
        <v/>
      </c>
      <c r="U175" s="33">
        <f t="array" ref="U175">IFERROR(
   IF(
      INDEX(Load_Booking_Report!AM:AM,
             MATCH(TRUE,
                     ISNUMBER(FIND(SUBSTITUTE(C175," ",""),
                                    Load_Booking_Report!AL:AL)),
                     0)
      )=0,
      "",
      INDEX(Load_Booking_Report!AM:AM,
             MATCH(TRUE,
                     ISNUMBER(FIND(SUBSTITUTE(C175," ",""),
                                    Load_Booking_Report!AL:AL)),
                     0)
      )
   ),
   ""
)</f>
        <v/>
      </c>
      <c r="V175" s="21">
        <f t="array" ref="V175">IFERROR(
   IF(
      INDEX(Load_Booking_Report!AR:AR,
             MATCH(TRUE,
                     ISNUMBER(FIND(SUBSTITUTE(C175," ",""),
                                    Load_Booking_Report!AL:AL)),
                     0)
      )=0,
      "",
      INDEX(Load_Booking_Report!AR:AR,
             MATCH(TRUE,
                     ISNUMBER(FIND(SUBSTITUTE(C175," ",""),
                                    Load_Booking_Report!AL:AL)),
                     0)
      )
   ),
   ""
)</f>
        <v/>
      </c>
      <c r="W175" s="21">
        <f t="array" ref="W175">IFERROR(INDEX(Load_Booking_Report!F:F, MATCH(TRUE, ISNUMBER(FIND(SUBSTITUTE(C175," ",""), Load_Booking_Report!AL:AL)), 0)), "Not Found")</f>
        <v/>
      </c>
      <c r="X175" s="21">
        <f t="array" ref="X175">IFERROR(INDEX(Load_Booking_Report!N:N, MATCH(TRUE, ISNUMBER(FIND(SUBSTITUTE(C175," ",""), Load_Booking_Report!AL:AL)), 0)), "Not Found")</f>
        <v/>
      </c>
      <c r="Y175" s="21">
        <f t="array" ref="Y175">IFERROR(INDEX(Load_Booking_Report!V:V, MATCH(TRUE, ISNUMBER(FIND(SUBSTITUTE(C175," ",""), Load_Booking_Report!AL:AL)), 0)), "Not Found")</f>
        <v/>
      </c>
      <c r="Z175" s="41">
        <f t="array" ref="Z175">IFERROR(INDEX(Load_Booking_Report!BC:BC, MATCH(TRUE, ISNUMBER(FIND(SUBSTITUTE(C175," ",""), Load_Booking_Report!AL:AL)), 0)), "Not Found")</f>
        <v/>
      </c>
    </row>
    <row r="176">
      <c r="A176" t="n">
        <v>14</v>
      </c>
      <c r="B176" t="n">
        <v>141086</v>
      </c>
      <c r="C176" t="inlineStr">
        <is>
          <t>ANON0000000</t>
        </is>
      </c>
      <c r="D176" t="n">
        <v>40</v>
      </c>
      <c r="E176" t="inlineStr">
        <is>
          <t>USNFK</t>
        </is>
      </c>
      <c r="F176" t="inlineStr">
        <is>
          <t>RULED</t>
        </is>
      </c>
      <c r="G176" t="n">
        <v>22300</v>
      </c>
      <c r="H176" t="inlineStr">
        <is>
          <t>ART</t>
        </is>
      </c>
      <c r="I176" t="inlineStr">
        <is>
          <t>45G1</t>
        </is>
      </c>
      <c r="L176" t="inlineStr">
        <is>
          <t>9'6</t>
        </is>
      </c>
      <c r="M176" t="inlineStr">
        <is>
          <t>Full</t>
        </is>
      </c>
      <c r="N176" t="inlineStr">
        <is>
          <t>RULED</t>
        </is>
      </c>
      <c r="P176" s="21">
        <f>C176</f>
        <v/>
      </c>
      <c r="Q176" s="21">
        <f t="array" ref="Q176">IFERROR(INDEX(Load_Booking_Report!AC:AC, MATCH(TRUE, ISNUMBER(FIND(SUBSTITUTE(C176," ",""), Load_Booking_Report!AL:AL)), 0)), "Not Found")</f>
        <v/>
      </c>
      <c r="R176" s="21">
        <f t="array" ref="R176">IFERROR(INDEX(Load_Booking_Report!C:C, MATCH(TRUE, ISNUMBER(FIND(SUBSTITUTE(C176," ",""), Load_Booking_Report!AL:AL)), 0)), "Not Found")</f>
        <v/>
      </c>
      <c r="S176" s="21">
        <f t="array" ref="S176">IFERROR(INDEX(Load_Booking_Report!AG:AG, MATCH(TRUE, ISNUMBER(FIND(SUBSTITUTE(C176," ",""), Load_Booking_Report!AL:AL)), 0)), "Not Found")</f>
        <v/>
      </c>
      <c r="T176" s="21">
        <f>G176</f>
        <v/>
      </c>
      <c r="U176" s="33">
        <f t="array" ref="U176">IFERROR(
   IF(
      INDEX(Load_Booking_Report!AM:AM,
             MATCH(TRUE,
                     ISNUMBER(FIND(SUBSTITUTE(C176," ",""),
                                    Load_Booking_Report!AL:AL)),
                     0)
      )=0,
      "",
      INDEX(Load_Booking_Report!AM:AM,
             MATCH(TRUE,
                     ISNUMBER(FIND(SUBSTITUTE(C176," ",""),
                                    Load_Booking_Report!AL:AL)),
                     0)
      )
   ),
   ""
)</f>
        <v/>
      </c>
      <c r="V176" s="21">
        <f t="array" ref="V176">IFERROR(
   IF(
      INDEX(Load_Booking_Report!AR:AR,
             MATCH(TRUE,
                     ISNUMBER(FIND(SUBSTITUTE(C176," ",""),
                                    Load_Booking_Report!AL:AL)),
                     0)
      )=0,
      "",
      INDEX(Load_Booking_Report!AR:AR,
             MATCH(TRUE,
                     ISNUMBER(FIND(SUBSTITUTE(C176," ",""),
                                    Load_Booking_Report!AL:AL)),
                     0)
      )
   ),
   ""
)</f>
        <v/>
      </c>
      <c r="W176" s="21">
        <f t="array" ref="W176">IFERROR(INDEX(Load_Booking_Report!F:F, MATCH(TRUE, ISNUMBER(FIND(SUBSTITUTE(C176," ",""), Load_Booking_Report!AL:AL)), 0)), "Not Found")</f>
        <v/>
      </c>
      <c r="X176" s="21">
        <f t="array" ref="X176">IFERROR(INDEX(Load_Booking_Report!N:N, MATCH(TRUE, ISNUMBER(FIND(SUBSTITUTE(C176," ",""), Load_Booking_Report!AL:AL)), 0)), "Not Found")</f>
        <v/>
      </c>
      <c r="Y176" s="21">
        <f t="array" ref="Y176">IFERROR(INDEX(Load_Booking_Report!V:V, MATCH(TRUE, ISNUMBER(FIND(SUBSTITUTE(C176," ",""), Load_Booking_Report!AL:AL)), 0)), "Not Found")</f>
        <v/>
      </c>
      <c r="Z176" s="41">
        <f t="array" ref="Z176">IFERROR(INDEX(Load_Booking_Report!BC:BC, MATCH(TRUE, ISNUMBER(FIND(SUBSTITUTE(C176," ",""), Load_Booking_Report!AL:AL)), 0)), "Not Found")</f>
        <v/>
      </c>
    </row>
    <row r="177">
      <c r="A177" t="n">
        <v>34</v>
      </c>
      <c r="B177" t="n">
        <v>340108</v>
      </c>
      <c r="C177" t="inlineStr">
        <is>
          <t>ANON0000000</t>
        </is>
      </c>
      <c r="D177" t="n">
        <v>40</v>
      </c>
      <c r="E177" t="inlineStr">
        <is>
          <t>USNYC</t>
        </is>
      </c>
      <c r="F177" t="inlineStr">
        <is>
          <t>RULED</t>
        </is>
      </c>
      <c r="G177" t="n">
        <v>8580</v>
      </c>
      <c r="H177" t="inlineStr">
        <is>
          <t>ART</t>
        </is>
      </c>
      <c r="I177" t="inlineStr">
        <is>
          <t>45G1</t>
        </is>
      </c>
      <c r="L177" t="inlineStr">
        <is>
          <t>9'6</t>
        </is>
      </c>
      <c r="M177" t="inlineStr">
        <is>
          <t>Full</t>
        </is>
      </c>
      <c r="N177" t="inlineStr">
        <is>
          <t>RULED</t>
        </is>
      </c>
      <c r="P177" s="21">
        <f>C177</f>
        <v/>
      </c>
      <c r="Q177" s="21">
        <f t="array" ref="Q177">IFERROR(INDEX(Load_Booking_Report!AC:AC, MATCH(TRUE, ISNUMBER(FIND(SUBSTITUTE(C177," ",""), Load_Booking_Report!AL:AL)), 0)), "Not Found")</f>
        <v/>
      </c>
      <c r="R177" s="21">
        <f t="array" ref="R177">IFERROR(INDEX(Load_Booking_Report!C:C, MATCH(TRUE, ISNUMBER(FIND(SUBSTITUTE(C177," ",""), Load_Booking_Report!AL:AL)), 0)), "Not Found")</f>
        <v/>
      </c>
      <c r="S177" s="21">
        <f t="array" ref="S177">IFERROR(INDEX(Load_Booking_Report!AG:AG, MATCH(TRUE, ISNUMBER(FIND(SUBSTITUTE(C177," ",""), Load_Booking_Report!AL:AL)), 0)), "Not Found")</f>
        <v/>
      </c>
      <c r="T177" s="21">
        <f>G177</f>
        <v/>
      </c>
      <c r="U177" s="33">
        <f t="array" ref="U177">IFERROR(
   IF(
      INDEX(Load_Booking_Report!AM:AM,
             MATCH(TRUE,
                     ISNUMBER(FIND(SUBSTITUTE(C177," ",""),
                                    Load_Booking_Report!AL:AL)),
                     0)
      )=0,
      "",
      INDEX(Load_Booking_Report!AM:AM,
             MATCH(TRUE,
                     ISNUMBER(FIND(SUBSTITUTE(C177," ",""),
                                    Load_Booking_Report!AL:AL)),
                     0)
      )
   ),
   ""
)</f>
        <v/>
      </c>
      <c r="V177" s="21">
        <f t="array" ref="V177">IFERROR(
   IF(
      INDEX(Load_Booking_Report!AR:AR,
             MATCH(TRUE,
                     ISNUMBER(FIND(SUBSTITUTE(C177," ",""),
                                    Load_Booking_Report!AL:AL)),
                     0)
      )=0,
      "",
      INDEX(Load_Booking_Report!AR:AR,
             MATCH(TRUE,
                     ISNUMBER(FIND(SUBSTITUTE(C177," ",""),
                                    Load_Booking_Report!AL:AL)),
                     0)
      )
   ),
   ""
)</f>
        <v/>
      </c>
      <c r="W177" s="21">
        <f t="array" ref="W177">IFERROR(INDEX(Load_Booking_Report!F:F, MATCH(TRUE, ISNUMBER(FIND(SUBSTITUTE(C177," ",""), Load_Booking_Report!AL:AL)), 0)), "Not Found")</f>
        <v/>
      </c>
      <c r="X177" s="21">
        <f t="array" ref="X177">IFERROR(INDEX(Load_Booking_Report!N:N, MATCH(TRUE, ISNUMBER(FIND(SUBSTITUTE(C177," ",""), Load_Booking_Report!AL:AL)), 0)), "Not Found")</f>
        <v/>
      </c>
      <c r="Y177" s="21">
        <f t="array" ref="Y177">IFERROR(INDEX(Load_Booking_Report!V:V, MATCH(TRUE, ISNUMBER(FIND(SUBSTITUTE(C177," ",""), Load_Booking_Report!AL:AL)), 0)), "Not Found")</f>
        <v/>
      </c>
      <c r="Z177" s="41">
        <f t="array" ref="Z177">IFERROR(INDEX(Load_Booking_Report!BC:BC, MATCH(TRUE, ISNUMBER(FIND(SUBSTITUTE(C177," ",""), Load_Booking_Report!AL:AL)), 0)), "Not Found")</f>
        <v/>
      </c>
    </row>
    <row r="178">
      <c r="A178" t="n">
        <v>18</v>
      </c>
      <c r="B178" t="n">
        <v>180308</v>
      </c>
      <c r="C178" t="inlineStr">
        <is>
          <t>ANON0000000</t>
        </is>
      </c>
      <c r="D178" t="n">
        <v>40</v>
      </c>
      <c r="E178" t="inlineStr">
        <is>
          <t>USNFK</t>
        </is>
      </c>
      <c r="F178" t="inlineStr">
        <is>
          <t>RULED</t>
        </is>
      </c>
      <c r="G178" t="n">
        <v>28700</v>
      </c>
      <c r="H178" t="inlineStr">
        <is>
          <t>ART</t>
        </is>
      </c>
      <c r="I178" t="inlineStr">
        <is>
          <t>45G1</t>
        </is>
      </c>
      <c r="L178" t="inlineStr">
        <is>
          <t>OOG</t>
        </is>
      </c>
      <c r="M178" t="inlineStr">
        <is>
          <t>Full</t>
        </is>
      </c>
      <c r="N178" t="inlineStr">
        <is>
          <t>RULED</t>
        </is>
      </c>
      <c r="P178" s="21">
        <f>C178</f>
        <v/>
      </c>
      <c r="Q178" s="21">
        <f t="array" ref="Q178">IFERROR(INDEX(Load_Booking_Report!AC:AC, MATCH(TRUE, ISNUMBER(FIND(SUBSTITUTE(C178," ",""), Load_Booking_Report!AL:AL)), 0)), "Not Found")</f>
        <v/>
      </c>
      <c r="R178" s="21">
        <f t="array" ref="R178">IFERROR(INDEX(Load_Booking_Report!C:C, MATCH(TRUE, ISNUMBER(FIND(SUBSTITUTE(C178," ",""), Load_Booking_Report!AL:AL)), 0)), "Not Found")</f>
        <v/>
      </c>
      <c r="S178" s="21">
        <f t="array" ref="S178">IFERROR(INDEX(Load_Booking_Report!AG:AG, MATCH(TRUE, ISNUMBER(FIND(SUBSTITUTE(C178," ",""), Load_Booking_Report!AL:AL)), 0)), "Not Found")</f>
        <v/>
      </c>
      <c r="T178" s="21">
        <f>G178</f>
        <v/>
      </c>
      <c r="U178" s="33">
        <f t="array" ref="U178">IFERROR(
   IF(
      INDEX(Load_Booking_Report!AM:AM,
             MATCH(TRUE,
                     ISNUMBER(FIND(SUBSTITUTE(C178," ",""),
                                    Load_Booking_Report!AL:AL)),
                     0)
      )=0,
      "",
      INDEX(Load_Booking_Report!AM:AM,
             MATCH(TRUE,
                     ISNUMBER(FIND(SUBSTITUTE(C178," ",""),
                                    Load_Booking_Report!AL:AL)),
                     0)
      )
   ),
   ""
)</f>
        <v/>
      </c>
      <c r="V178" s="21">
        <f t="array" ref="V178">IFERROR(
   IF(
      INDEX(Load_Booking_Report!AR:AR,
             MATCH(TRUE,
                     ISNUMBER(FIND(SUBSTITUTE(C178," ",""),
                                    Load_Booking_Report!AL:AL)),
                     0)
      )=0,
      "",
      INDEX(Load_Booking_Report!AR:AR,
             MATCH(TRUE,
                     ISNUMBER(FIND(SUBSTITUTE(C178," ",""),
                                    Load_Booking_Report!AL:AL)),
                     0)
      )
   ),
   ""
)</f>
        <v/>
      </c>
      <c r="W178" s="21">
        <f t="array" ref="W178">IFERROR(INDEX(Load_Booking_Report!F:F, MATCH(TRUE, ISNUMBER(FIND(SUBSTITUTE(C178," ",""), Load_Booking_Report!AL:AL)), 0)), "Not Found")</f>
        <v/>
      </c>
      <c r="X178" s="21">
        <f t="array" ref="X178">IFERROR(INDEX(Load_Booking_Report!N:N, MATCH(TRUE, ISNUMBER(FIND(SUBSTITUTE(C178," ",""), Load_Booking_Report!AL:AL)), 0)), "Not Found")</f>
        <v/>
      </c>
      <c r="Y178" s="21">
        <f t="array" ref="Y178">IFERROR(INDEX(Load_Booking_Report!V:V, MATCH(TRUE, ISNUMBER(FIND(SUBSTITUTE(C178," ",""), Load_Booking_Report!AL:AL)), 0)), "Not Found")</f>
        <v/>
      </c>
      <c r="Z178" s="41">
        <f t="array" ref="Z178">IFERROR(INDEX(Load_Booking_Report!BC:BC, MATCH(TRUE, ISNUMBER(FIND(SUBSTITUTE(C178," ",""), Load_Booking_Report!AL:AL)), 0)), "Not Found")</f>
        <v/>
      </c>
    </row>
    <row r="179">
      <c r="A179" t="n">
        <v>26</v>
      </c>
      <c r="B179" t="n">
        <v>260706</v>
      </c>
      <c r="C179" t="inlineStr">
        <is>
          <t>ANON0000000</t>
        </is>
      </c>
      <c r="D179" t="n">
        <v>40</v>
      </c>
      <c r="E179" t="inlineStr">
        <is>
          <t>USNYC</t>
        </is>
      </c>
      <c r="F179" t="inlineStr">
        <is>
          <t>RULED</t>
        </is>
      </c>
      <c r="G179" t="n">
        <v>14220</v>
      </c>
      <c r="H179" t="inlineStr">
        <is>
          <t>ART</t>
        </is>
      </c>
      <c r="I179" t="inlineStr">
        <is>
          <t>45G1</t>
        </is>
      </c>
      <c r="L179" t="inlineStr">
        <is>
          <t>9'6</t>
        </is>
      </c>
      <c r="M179" t="inlineStr">
        <is>
          <t>Full</t>
        </is>
      </c>
      <c r="N179" t="inlineStr">
        <is>
          <t>RULED</t>
        </is>
      </c>
      <c r="P179" s="21">
        <f>C179</f>
        <v/>
      </c>
      <c r="Q179" s="21">
        <f t="array" ref="Q179">IFERROR(INDEX(Load_Booking_Report!AC:AC, MATCH(TRUE, ISNUMBER(FIND(SUBSTITUTE(C179," ",""), Load_Booking_Report!AL:AL)), 0)), "Not Found")</f>
        <v/>
      </c>
      <c r="R179" s="21">
        <f t="array" ref="R179">IFERROR(INDEX(Load_Booking_Report!C:C, MATCH(TRUE, ISNUMBER(FIND(SUBSTITUTE(C179," ",""), Load_Booking_Report!AL:AL)), 0)), "Not Found")</f>
        <v/>
      </c>
      <c r="S179" s="21">
        <f t="array" ref="S179">IFERROR(INDEX(Load_Booking_Report!AG:AG, MATCH(TRUE, ISNUMBER(FIND(SUBSTITUTE(C179," ",""), Load_Booking_Report!AL:AL)), 0)), "Not Found")</f>
        <v/>
      </c>
      <c r="T179" s="21">
        <f>G179</f>
        <v/>
      </c>
      <c r="U179" s="33">
        <f t="array" ref="U179">IFERROR(
   IF(
      INDEX(Load_Booking_Report!AM:AM,
             MATCH(TRUE,
                     ISNUMBER(FIND(SUBSTITUTE(C179," ",""),
                                    Load_Booking_Report!AL:AL)),
                     0)
      )=0,
      "",
      INDEX(Load_Booking_Report!AM:AM,
             MATCH(TRUE,
                     ISNUMBER(FIND(SUBSTITUTE(C179," ",""),
                                    Load_Booking_Report!AL:AL)),
                     0)
      )
   ),
   ""
)</f>
        <v/>
      </c>
      <c r="V179" s="21">
        <f t="array" ref="V179">IFERROR(
   IF(
      INDEX(Load_Booking_Report!AR:AR,
             MATCH(TRUE,
                     ISNUMBER(FIND(SUBSTITUTE(C179," ",""),
                                    Load_Booking_Report!AL:AL)),
                     0)
      )=0,
      "",
      INDEX(Load_Booking_Report!AR:AR,
             MATCH(TRUE,
                     ISNUMBER(FIND(SUBSTITUTE(C179," ",""),
                                    Load_Booking_Report!AL:AL)),
                     0)
      )
   ),
   ""
)</f>
        <v/>
      </c>
      <c r="W179" s="21">
        <f t="array" ref="W179">IFERROR(INDEX(Load_Booking_Report!F:F, MATCH(TRUE, ISNUMBER(FIND(SUBSTITUTE(C179," ",""), Load_Booking_Report!AL:AL)), 0)), "Not Found")</f>
        <v/>
      </c>
      <c r="X179" s="21">
        <f t="array" ref="X179">IFERROR(INDEX(Load_Booking_Report!N:N, MATCH(TRUE, ISNUMBER(FIND(SUBSTITUTE(C179," ",""), Load_Booking_Report!AL:AL)), 0)), "Not Found")</f>
        <v/>
      </c>
      <c r="Y179" s="21">
        <f t="array" ref="Y179">IFERROR(INDEX(Load_Booking_Report!V:V, MATCH(TRUE, ISNUMBER(FIND(SUBSTITUTE(C179," ",""), Load_Booking_Report!AL:AL)), 0)), "Not Found")</f>
        <v/>
      </c>
      <c r="Z179" s="41">
        <f t="array" ref="Z179">IFERROR(INDEX(Load_Booking_Report!BC:BC, MATCH(TRUE, ISNUMBER(FIND(SUBSTITUTE(C179," ",""), Load_Booking_Report!AL:AL)), 0)), "Not Found")</f>
        <v/>
      </c>
    </row>
    <row r="180">
      <c r="A180" t="n">
        <v>22</v>
      </c>
      <c r="B180" t="n">
        <v>220186</v>
      </c>
      <c r="C180" t="inlineStr">
        <is>
          <t>ANON0000000</t>
        </is>
      </c>
      <c r="D180" t="n">
        <v>40</v>
      </c>
      <c r="E180" t="inlineStr">
        <is>
          <t>USNFK</t>
        </is>
      </c>
      <c r="F180" t="inlineStr">
        <is>
          <t>RULED</t>
        </is>
      </c>
      <c r="G180" t="n">
        <v>24598</v>
      </c>
      <c r="H180" t="inlineStr">
        <is>
          <t>ART</t>
        </is>
      </c>
      <c r="I180" t="inlineStr">
        <is>
          <t>45G1</t>
        </is>
      </c>
      <c r="L180" t="inlineStr">
        <is>
          <t>9'6</t>
        </is>
      </c>
      <c r="M180" t="inlineStr">
        <is>
          <t>Full</t>
        </is>
      </c>
      <c r="N180" t="inlineStr">
        <is>
          <t>RULED</t>
        </is>
      </c>
      <c r="P180" s="21">
        <f>C180</f>
        <v/>
      </c>
      <c r="Q180" s="21">
        <f t="array" ref="Q180">IFERROR(INDEX(Load_Booking_Report!AC:AC, MATCH(TRUE, ISNUMBER(FIND(SUBSTITUTE(C180," ",""), Load_Booking_Report!AL:AL)), 0)), "Not Found")</f>
        <v/>
      </c>
      <c r="R180" s="21">
        <f t="array" ref="R180">IFERROR(INDEX(Load_Booking_Report!C:C, MATCH(TRUE, ISNUMBER(FIND(SUBSTITUTE(C180," ",""), Load_Booking_Report!AL:AL)), 0)), "Not Found")</f>
        <v/>
      </c>
      <c r="S180" s="21">
        <f t="array" ref="S180">IFERROR(INDEX(Load_Booking_Report!AG:AG, MATCH(TRUE, ISNUMBER(FIND(SUBSTITUTE(C180," ",""), Load_Booking_Report!AL:AL)), 0)), "Not Found")</f>
        <v/>
      </c>
      <c r="T180" s="21">
        <f>G180</f>
        <v/>
      </c>
      <c r="U180" s="33">
        <f t="array" ref="U180">IFERROR(
   IF(
      INDEX(Load_Booking_Report!AM:AM,
             MATCH(TRUE,
                     ISNUMBER(FIND(SUBSTITUTE(C180," ",""),
                                    Load_Booking_Report!AL:AL)),
                     0)
      )=0,
      "",
      INDEX(Load_Booking_Report!AM:AM,
             MATCH(TRUE,
                     ISNUMBER(FIND(SUBSTITUTE(C180," ",""),
                                    Load_Booking_Report!AL:AL)),
                     0)
      )
   ),
   ""
)</f>
        <v/>
      </c>
      <c r="V180" s="21">
        <f t="array" ref="V180">IFERROR(
   IF(
      INDEX(Load_Booking_Report!AR:AR,
             MATCH(TRUE,
                     ISNUMBER(FIND(SUBSTITUTE(C180," ",""),
                                    Load_Booking_Report!AL:AL)),
                     0)
      )=0,
      "",
      INDEX(Load_Booking_Report!AR:AR,
             MATCH(TRUE,
                     ISNUMBER(FIND(SUBSTITUTE(C180," ",""),
                                    Load_Booking_Report!AL:AL)),
                     0)
      )
   ),
   ""
)</f>
        <v/>
      </c>
      <c r="W180" s="21">
        <f t="array" ref="W180">IFERROR(INDEX(Load_Booking_Report!F:F, MATCH(TRUE, ISNUMBER(FIND(SUBSTITUTE(C180," ",""), Load_Booking_Report!AL:AL)), 0)), "Not Found")</f>
        <v/>
      </c>
      <c r="X180" s="21">
        <f t="array" ref="X180">IFERROR(INDEX(Load_Booking_Report!N:N, MATCH(TRUE, ISNUMBER(FIND(SUBSTITUTE(C180," ",""), Load_Booking_Report!AL:AL)), 0)), "Not Found")</f>
        <v/>
      </c>
      <c r="Y180" s="21">
        <f t="array" ref="Y180">IFERROR(INDEX(Load_Booking_Report!V:V, MATCH(TRUE, ISNUMBER(FIND(SUBSTITUTE(C180," ",""), Load_Booking_Report!AL:AL)), 0)), "Not Found")</f>
        <v/>
      </c>
      <c r="Z180" s="41">
        <f t="array" ref="Z180">IFERROR(INDEX(Load_Booking_Report!BC:BC, MATCH(TRUE, ISNUMBER(FIND(SUBSTITUTE(C180," ",""), Load_Booking_Report!AL:AL)), 0)), "Not Found")</f>
        <v/>
      </c>
    </row>
    <row r="181">
      <c r="A181" t="n">
        <v>34</v>
      </c>
      <c r="B181" t="n">
        <v>340608</v>
      </c>
      <c r="C181" t="inlineStr">
        <is>
          <t>ANON0000000</t>
        </is>
      </c>
      <c r="D181" t="n">
        <v>40</v>
      </c>
      <c r="E181" t="inlineStr">
        <is>
          <t>USNYC</t>
        </is>
      </c>
      <c r="F181" t="inlineStr">
        <is>
          <t>RULED</t>
        </is>
      </c>
      <c r="G181" t="n">
        <v>7620</v>
      </c>
      <c r="H181" t="inlineStr">
        <is>
          <t>ART</t>
        </is>
      </c>
      <c r="I181" t="inlineStr">
        <is>
          <t>45G1</t>
        </is>
      </c>
      <c r="L181" t="inlineStr">
        <is>
          <t>9'6</t>
        </is>
      </c>
      <c r="M181" t="inlineStr">
        <is>
          <t>Full</t>
        </is>
      </c>
      <c r="N181" t="inlineStr">
        <is>
          <t>RULED</t>
        </is>
      </c>
      <c r="P181" s="21">
        <f>C181</f>
        <v/>
      </c>
      <c r="Q181" s="21">
        <f t="array" ref="Q181">IFERROR(INDEX(Load_Booking_Report!AC:AC, MATCH(TRUE, ISNUMBER(FIND(SUBSTITUTE(C181," ",""), Load_Booking_Report!AL:AL)), 0)), "Not Found")</f>
        <v/>
      </c>
      <c r="R181" s="21">
        <f t="array" ref="R181">IFERROR(INDEX(Load_Booking_Report!C:C, MATCH(TRUE, ISNUMBER(FIND(SUBSTITUTE(C181," ",""), Load_Booking_Report!AL:AL)), 0)), "Not Found")</f>
        <v/>
      </c>
      <c r="S181" s="21">
        <f t="array" ref="S181">IFERROR(INDEX(Load_Booking_Report!AG:AG, MATCH(TRUE, ISNUMBER(FIND(SUBSTITUTE(C181," ",""), Load_Booking_Report!AL:AL)), 0)), "Not Found")</f>
        <v/>
      </c>
      <c r="T181" s="21">
        <f>G181</f>
        <v/>
      </c>
      <c r="U181" s="33">
        <f t="array" ref="U181">IFERROR(
   IF(
      INDEX(Load_Booking_Report!AM:AM,
             MATCH(TRUE,
                     ISNUMBER(FIND(SUBSTITUTE(C181," ",""),
                                    Load_Booking_Report!AL:AL)),
                     0)
      )=0,
      "",
      INDEX(Load_Booking_Report!AM:AM,
             MATCH(TRUE,
                     ISNUMBER(FIND(SUBSTITUTE(C181," ",""),
                                    Load_Booking_Report!AL:AL)),
                     0)
      )
   ),
   ""
)</f>
        <v/>
      </c>
      <c r="V181" s="21">
        <f t="array" ref="V181">IFERROR(
   IF(
      INDEX(Load_Booking_Report!AR:AR,
             MATCH(TRUE,
                     ISNUMBER(FIND(SUBSTITUTE(C181," ",""),
                                    Load_Booking_Report!AL:AL)),
                     0)
      )=0,
      "",
      INDEX(Load_Booking_Report!AR:AR,
             MATCH(TRUE,
                     ISNUMBER(FIND(SUBSTITUTE(C181," ",""),
                                    Load_Booking_Report!AL:AL)),
                     0)
      )
   ),
   ""
)</f>
        <v/>
      </c>
      <c r="W181" s="21">
        <f t="array" ref="W181">IFERROR(INDEX(Load_Booking_Report!F:F, MATCH(TRUE, ISNUMBER(FIND(SUBSTITUTE(C181," ",""), Load_Booking_Report!AL:AL)), 0)), "Not Found")</f>
        <v/>
      </c>
      <c r="X181" s="21">
        <f t="array" ref="X181">IFERROR(INDEX(Load_Booking_Report!N:N, MATCH(TRUE, ISNUMBER(FIND(SUBSTITUTE(C181," ",""), Load_Booking_Report!AL:AL)), 0)), "Not Found")</f>
        <v/>
      </c>
      <c r="Y181" s="21">
        <f t="array" ref="Y181">IFERROR(INDEX(Load_Booking_Report!V:V, MATCH(TRUE, ISNUMBER(FIND(SUBSTITUTE(C181," ",""), Load_Booking_Report!AL:AL)), 0)), "Not Found")</f>
        <v/>
      </c>
      <c r="Z181" s="41">
        <f t="array" ref="Z181">IFERROR(INDEX(Load_Booking_Report!BC:BC, MATCH(TRUE, ISNUMBER(FIND(SUBSTITUTE(C181," ",""), Load_Booking_Report!AL:AL)), 0)), "Not Found")</f>
        <v/>
      </c>
    </row>
    <row r="182">
      <c r="A182" t="n">
        <v>34</v>
      </c>
      <c r="B182" t="n">
        <v>340306</v>
      </c>
      <c r="C182" t="inlineStr">
        <is>
          <t>ANON0000000</t>
        </is>
      </c>
      <c r="D182" t="n">
        <v>40</v>
      </c>
      <c r="E182" t="inlineStr">
        <is>
          <t>USNYC</t>
        </is>
      </c>
      <c r="F182" t="inlineStr">
        <is>
          <t>RULED</t>
        </is>
      </c>
      <c r="G182" t="n">
        <v>10780</v>
      </c>
      <c r="H182" t="inlineStr">
        <is>
          <t>ART</t>
        </is>
      </c>
      <c r="I182" t="inlineStr">
        <is>
          <t>45G1</t>
        </is>
      </c>
      <c r="L182" t="inlineStr">
        <is>
          <t>9'6</t>
        </is>
      </c>
      <c r="M182" t="inlineStr">
        <is>
          <t>Full</t>
        </is>
      </c>
      <c r="N182" t="inlineStr">
        <is>
          <t>RULED</t>
        </is>
      </c>
      <c r="P182" s="21">
        <f>C182</f>
        <v/>
      </c>
      <c r="Q182" s="21">
        <f t="array" ref="Q182">IFERROR(INDEX(Load_Booking_Report!AC:AC, MATCH(TRUE, ISNUMBER(FIND(SUBSTITUTE(C182," ",""), Load_Booking_Report!AL:AL)), 0)), "Not Found")</f>
        <v/>
      </c>
      <c r="R182" s="21">
        <f t="array" ref="R182">IFERROR(INDEX(Load_Booking_Report!C:C, MATCH(TRUE, ISNUMBER(FIND(SUBSTITUTE(C182," ",""), Load_Booking_Report!AL:AL)), 0)), "Not Found")</f>
        <v/>
      </c>
      <c r="S182" s="21">
        <f t="array" ref="S182">IFERROR(INDEX(Load_Booking_Report!AG:AG, MATCH(TRUE, ISNUMBER(FIND(SUBSTITUTE(C182," ",""), Load_Booking_Report!AL:AL)), 0)), "Not Found")</f>
        <v/>
      </c>
      <c r="T182" s="21">
        <f>G182</f>
        <v/>
      </c>
      <c r="U182" s="33">
        <f t="array" ref="U182">IFERROR(
   IF(
      INDEX(Load_Booking_Report!AM:AM,
             MATCH(TRUE,
                     ISNUMBER(FIND(SUBSTITUTE(C182," ",""),
                                    Load_Booking_Report!AL:AL)),
                     0)
      )=0,
      "",
      INDEX(Load_Booking_Report!AM:AM,
             MATCH(TRUE,
                     ISNUMBER(FIND(SUBSTITUTE(C182," ",""),
                                    Load_Booking_Report!AL:AL)),
                     0)
      )
   ),
   ""
)</f>
        <v/>
      </c>
      <c r="V182" s="21">
        <f t="array" ref="V182">IFERROR(
   IF(
      INDEX(Load_Booking_Report!AR:AR,
             MATCH(TRUE,
                     ISNUMBER(FIND(SUBSTITUTE(C182," ",""),
                                    Load_Booking_Report!AL:AL)),
                     0)
      )=0,
      "",
      INDEX(Load_Booking_Report!AR:AR,
             MATCH(TRUE,
                     ISNUMBER(FIND(SUBSTITUTE(C182," ",""),
                                    Load_Booking_Report!AL:AL)),
                     0)
      )
   ),
   ""
)</f>
        <v/>
      </c>
      <c r="W182" s="21">
        <f t="array" ref="W182">IFERROR(INDEX(Load_Booking_Report!F:F, MATCH(TRUE, ISNUMBER(FIND(SUBSTITUTE(C182," ",""), Load_Booking_Report!AL:AL)), 0)), "Not Found")</f>
        <v/>
      </c>
      <c r="X182" s="21">
        <f t="array" ref="X182">IFERROR(INDEX(Load_Booking_Report!N:N, MATCH(TRUE, ISNUMBER(FIND(SUBSTITUTE(C182," ",""), Load_Booking_Report!AL:AL)), 0)), "Not Found")</f>
        <v/>
      </c>
      <c r="Y182" s="21">
        <f t="array" ref="Y182">IFERROR(INDEX(Load_Booking_Report!V:V, MATCH(TRUE, ISNUMBER(FIND(SUBSTITUTE(C182," ",""), Load_Booking_Report!AL:AL)), 0)), "Not Found")</f>
        <v/>
      </c>
      <c r="Z182" s="41">
        <f t="array" ref="Z182">IFERROR(INDEX(Load_Booking_Report!BC:BC, MATCH(TRUE, ISNUMBER(FIND(SUBSTITUTE(C182," ",""), Load_Booking_Report!AL:AL)), 0)), "Not Found")</f>
        <v/>
      </c>
    </row>
    <row r="183">
      <c r="A183" t="n">
        <v>34</v>
      </c>
      <c r="B183" t="n">
        <v>340208</v>
      </c>
      <c r="C183" t="inlineStr">
        <is>
          <t>ANON0000000</t>
        </is>
      </c>
      <c r="D183" t="n">
        <v>40</v>
      </c>
      <c r="E183" t="inlineStr">
        <is>
          <t>USNYC</t>
        </is>
      </c>
      <c r="F183" t="inlineStr">
        <is>
          <t>RULED</t>
        </is>
      </c>
      <c r="G183" t="n">
        <v>7580</v>
      </c>
      <c r="H183" t="inlineStr">
        <is>
          <t>ART</t>
        </is>
      </c>
      <c r="I183" t="inlineStr">
        <is>
          <t>45G1</t>
        </is>
      </c>
      <c r="L183" t="inlineStr">
        <is>
          <t>9'6</t>
        </is>
      </c>
      <c r="M183" t="inlineStr">
        <is>
          <t>Full</t>
        </is>
      </c>
      <c r="N183" t="inlineStr">
        <is>
          <t>RULED</t>
        </is>
      </c>
      <c r="P183" s="21">
        <f>C183</f>
        <v/>
      </c>
      <c r="Q183" s="21">
        <f t="array" ref="Q183">IFERROR(INDEX(Load_Booking_Report!AC:AC, MATCH(TRUE, ISNUMBER(FIND(SUBSTITUTE(C183," ",""), Load_Booking_Report!AL:AL)), 0)), "Not Found")</f>
        <v/>
      </c>
      <c r="R183" s="21">
        <f t="array" ref="R183">IFERROR(INDEX(Load_Booking_Report!C:C, MATCH(TRUE, ISNUMBER(FIND(SUBSTITUTE(C183," ",""), Load_Booking_Report!AL:AL)), 0)), "Not Found")</f>
        <v/>
      </c>
      <c r="S183" s="21">
        <f t="array" ref="S183">IFERROR(INDEX(Load_Booking_Report!AG:AG, MATCH(TRUE, ISNUMBER(FIND(SUBSTITUTE(C183," ",""), Load_Booking_Report!AL:AL)), 0)), "Not Found")</f>
        <v/>
      </c>
      <c r="T183" s="21">
        <f>G183</f>
        <v/>
      </c>
      <c r="U183" s="33">
        <f t="array" ref="U183">IFERROR(
   IF(
      INDEX(Load_Booking_Report!AM:AM,
             MATCH(TRUE,
                     ISNUMBER(FIND(SUBSTITUTE(C183," ",""),
                                    Load_Booking_Report!AL:AL)),
                     0)
      )=0,
      "",
      INDEX(Load_Booking_Report!AM:AM,
             MATCH(TRUE,
                     ISNUMBER(FIND(SUBSTITUTE(C183," ",""),
                                    Load_Booking_Report!AL:AL)),
                     0)
      )
   ),
   ""
)</f>
        <v/>
      </c>
      <c r="V183" s="21">
        <f t="array" ref="V183">IFERROR(
   IF(
      INDEX(Load_Booking_Report!AR:AR,
             MATCH(TRUE,
                     ISNUMBER(FIND(SUBSTITUTE(C183," ",""),
                                    Load_Booking_Report!AL:AL)),
                     0)
      )=0,
      "",
      INDEX(Load_Booking_Report!AR:AR,
             MATCH(TRUE,
                     ISNUMBER(FIND(SUBSTITUTE(C183," ",""),
                                    Load_Booking_Report!AL:AL)),
                     0)
      )
   ),
   ""
)</f>
        <v/>
      </c>
      <c r="W183" s="21">
        <f t="array" ref="W183">IFERROR(INDEX(Load_Booking_Report!F:F, MATCH(TRUE, ISNUMBER(FIND(SUBSTITUTE(C183," ",""), Load_Booking_Report!AL:AL)), 0)), "Not Found")</f>
        <v/>
      </c>
      <c r="X183" s="21">
        <f t="array" ref="X183">IFERROR(INDEX(Load_Booking_Report!N:N, MATCH(TRUE, ISNUMBER(FIND(SUBSTITUTE(C183," ",""), Load_Booking_Report!AL:AL)), 0)), "Not Found")</f>
        <v/>
      </c>
      <c r="Y183" s="21">
        <f t="array" ref="Y183">IFERROR(INDEX(Load_Booking_Report!V:V, MATCH(TRUE, ISNUMBER(FIND(SUBSTITUTE(C183," ",""), Load_Booking_Report!AL:AL)), 0)), "Not Found")</f>
        <v/>
      </c>
      <c r="Z183" s="41">
        <f t="array" ref="Z183">IFERROR(INDEX(Load_Booking_Report!BC:BC, MATCH(TRUE, ISNUMBER(FIND(SUBSTITUTE(C183," ",""), Load_Booking_Report!AL:AL)), 0)), "Not Found")</f>
        <v/>
      </c>
    </row>
    <row r="184">
      <c r="A184" t="n">
        <v>34</v>
      </c>
      <c r="B184" t="n">
        <v>340304</v>
      </c>
      <c r="C184" t="inlineStr">
        <is>
          <t>ANON0000000</t>
        </is>
      </c>
      <c r="D184" t="n">
        <v>40</v>
      </c>
      <c r="E184" t="inlineStr">
        <is>
          <t>USNYC</t>
        </is>
      </c>
      <c r="F184" t="inlineStr">
        <is>
          <t>RULED</t>
        </is>
      </c>
      <c r="G184" t="n">
        <v>13920</v>
      </c>
      <c r="H184" t="inlineStr">
        <is>
          <t>ART</t>
        </is>
      </c>
      <c r="I184" t="inlineStr">
        <is>
          <t>45G1</t>
        </is>
      </c>
      <c r="L184" t="inlineStr">
        <is>
          <t>9'6</t>
        </is>
      </c>
      <c r="M184" t="inlineStr">
        <is>
          <t>Full</t>
        </is>
      </c>
      <c r="N184" t="inlineStr">
        <is>
          <t>RULED</t>
        </is>
      </c>
      <c r="P184" s="21">
        <f>C184</f>
        <v/>
      </c>
      <c r="Q184" s="21">
        <f t="array" ref="Q184">IFERROR(INDEX(Load_Booking_Report!AC:AC, MATCH(TRUE, ISNUMBER(FIND(SUBSTITUTE(C184," ",""), Load_Booking_Report!AL:AL)), 0)), "Not Found")</f>
        <v/>
      </c>
      <c r="R184" s="21">
        <f t="array" ref="R184">IFERROR(INDEX(Load_Booking_Report!C:C, MATCH(TRUE, ISNUMBER(FIND(SUBSTITUTE(C184," ",""), Load_Booking_Report!AL:AL)), 0)), "Not Found")</f>
        <v/>
      </c>
      <c r="S184" s="21">
        <f t="array" ref="S184">IFERROR(INDEX(Load_Booking_Report!AG:AG, MATCH(TRUE, ISNUMBER(FIND(SUBSTITUTE(C184," ",""), Load_Booking_Report!AL:AL)), 0)), "Not Found")</f>
        <v/>
      </c>
      <c r="T184" s="21">
        <f>G184</f>
        <v/>
      </c>
      <c r="U184" s="33">
        <f t="array" ref="U184">IFERROR(
   IF(
      INDEX(Load_Booking_Report!AM:AM,
             MATCH(TRUE,
                     ISNUMBER(FIND(SUBSTITUTE(C184," ",""),
                                    Load_Booking_Report!AL:AL)),
                     0)
      )=0,
      "",
      INDEX(Load_Booking_Report!AM:AM,
             MATCH(TRUE,
                     ISNUMBER(FIND(SUBSTITUTE(C184," ",""),
                                    Load_Booking_Report!AL:AL)),
                     0)
      )
   ),
   ""
)</f>
        <v/>
      </c>
      <c r="V184" s="21">
        <f t="array" ref="V184">IFERROR(
   IF(
      INDEX(Load_Booking_Report!AR:AR,
             MATCH(TRUE,
                     ISNUMBER(FIND(SUBSTITUTE(C184," ",""),
                                    Load_Booking_Report!AL:AL)),
                     0)
      )=0,
      "",
      INDEX(Load_Booking_Report!AR:AR,
             MATCH(TRUE,
                     ISNUMBER(FIND(SUBSTITUTE(C184," ",""),
                                    Load_Booking_Report!AL:AL)),
                     0)
      )
   ),
   ""
)</f>
        <v/>
      </c>
      <c r="W184" s="21">
        <f t="array" ref="W184">IFERROR(INDEX(Load_Booking_Report!F:F, MATCH(TRUE, ISNUMBER(FIND(SUBSTITUTE(C184," ",""), Load_Booking_Report!AL:AL)), 0)), "Not Found")</f>
        <v/>
      </c>
      <c r="X184" s="21">
        <f t="array" ref="X184">IFERROR(INDEX(Load_Booking_Report!N:N, MATCH(TRUE, ISNUMBER(FIND(SUBSTITUTE(C184," ",""), Load_Booking_Report!AL:AL)), 0)), "Not Found")</f>
        <v/>
      </c>
      <c r="Y184" s="21">
        <f t="array" ref="Y184">IFERROR(INDEX(Load_Booking_Report!V:V, MATCH(TRUE, ISNUMBER(FIND(SUBSTITUTE(C184," ",""), Load_Booking_Report!AL:AL)), 0)), "Not Found")</f>
        <v/>
      </c>
      <c r="Z184" s="41">
        <f t="array" ref="Z184">IFERROR(INDEX(Load_Booking_Report!BC:BC, MATCH(TRUE, ISNUMBER(FIND(SUBSTITUTE(C184," ",""), Load_Booking_Report!AL:AL)), 0)), "Not Found")</f>
        <v/>
      </c>
    </row>
    <row r="185">
      <c r="A185" t="n">
        <v>34</v>
      </c>
      <c r="B185" t="n">
        <v>340406</v>
      </c>
      <c r="C185" t="inlineStr">
        <is>
          <t>ANON0000000</t>
        </is>
      </c>
      <c r="D185" t="n">
        <v>40</v>
      </c>
      <c r="E185" t="inlineStr">
        <is>
          <t>USNYC</t>
        </is>
      </c>
      <c r="F185" t="inlineStr">
        <is>
          <t>RULED</t>
        </is>
      </c>
      <c r="G185" t="n">
        <v>10200</v>
      </c>
      <c r="H185" t="inlineStr">
        <is>
          <t>ART</t>
        </is>
      </c>
      <c r="I185" t="inlineStr">
        <is>
          <t>45G1</t>
        </is>
      </c>
      <c r="L185" t="inlineStr">
        <is>
          <t>9'6</t>
        </is>
      </c>
      <c r="M185" t="inlineStr">
        <is>
          <t>Full</t>
        </is>
      </c>
      <c r="N185" t="inlineStr">
        <is>
          <t>RULED</t>
        </is>
      </c>
      <c r="P185" s="21">
        <f>C185</f>
        <v/>
      </c>
      <c r="Q185" s="21">
        <f t="array" ref="Q185">IFERROR(INDEX(Load_Booking_Report!AC:AC, MATCH(TRUE, ISNUMBER(FIND(SUBSTITUTE(C185," ",""), Load_Booking_Report!AL:AL)), 0)), "Not Found")</f>
        <v/>
      </c>
      <c r="R185" s="21">
        <f t="array" ref="R185">IFERROR(INDEX(Load_Booking_Report!C:C, MATCH(TRUE, ISNUMBER(FIND(SUBSTITUTE(C185," ",""), Load_Booking_Report!AL:AL)), 0)), "Not Found")</f>
        <v/>
      </c>
      <c r="S185" s="21">
        <f t="array" ref="S185">IFERROR(INDEX(Load_Booking_Report!AG:AG, MATCH(TRUE, ISNUMBER(FIND(SUBSTITUTE(C185," ",""), Load_Booking_Report!AL:AL)), 0)), "Not Found")</f>
        <v/>
      </c>
      <c r="T185" s="21">
        <f>G185</f>
        <v/>
      </c>
      <c r="U185" s="33">
        <f t="array" ref="U185">IFERROR(
   IF(
      INDEX(Load_Booking_Report!AM:AM,
             MATCH(TRUE,
                     ISNUMBER(FIND(SUBSTITUTE(C185," ",""),
                                    Load_Booking_Report!AL:AL)),
                     0)
      )=0,
      "",
      INDEX(Load_Booking_Report!AM:AM,
             MATCH(TRUE,
                     ISNUMBER(FIND(SUBSTITUTE(C185," ",""),
                                    Load_Booking_Report!AL:AL)),
                     0)
      )
   ),
   ""
)</f>
        <v/>
      </c>
      <c r="V185" s="21">
        <f t="array" ref="V185">IFERROR(
   IF(
      INDEX(Load_Booking_Report!AR:AR,
             MATCH(TRUE,
                     ISNUMBER(FIND(SUBSTITUTE(C185," ",""),
                                    Load_Booking_Report!AL:AL)),
                     0)
      )=0,
      "",
      INDEX(Load_Booking_Report!AR:AR,
             MATCH(TRUE,
                     ISNUMBER(FIND(SUBSTITUTE(C185," ",""),
                                    Load_Booking_Report!AL:AL)),
                     0)
      )
   ),
   ""
)</f>
        <v/>
      </c>
      <c r="W185" s="21">
        <f t="array" ref="W185">IFERROR(INDEX(Load_Booking_Report!F:F, MATCH(TRUE, ISNUMBER(FIND(SUBSTITUTE(C185," ",""), Load_Booking_Report!AL:AL)), 0)), "Not Found")</f>
        <v/>
      </c>
      <c r="X185" s="21">
        <f t="array" ref="X185">IFERROR(INDEX(Load_Booking_Report!N:N, MATCH(TRUE, ISNUMBER(FIND(SUBSTITUTE(C185," ",""), Load_Booking_Report!AL:AL)), 0)), "Not Found")</f>
        <v/>
      </c>
      <c r="Y185" s="21">
        <f t="array" ref="Y185">IFERROR(INDEX(Load_Booking_Report!V:V, MATCH(TRUE, ISNUMBER(FIND(SUBSTITUTE(C185," ",""), Load_Booking_Report!AL:AL)), 0)), "Not Found")</f>
        <v/>
      </c>
      <c r="Z185" s="41">
        <f t="array" ref="Z185">IFERROR(INDEX(Load_Booking_Report!BC:BC, MATCH(TRUE, ISNUMBER(FIND(SUBSTITUTE(C185," ",""), Load_Booking_Report!AL:AL)), 0)), "Not Found")</f>
        <v/>
      </c>
    </row>
    <row r="186">
      <c r="A186" t="n">
        <v>26</v>
      </c>
      <c r="B186" t="n">
        <v>260606</v>
      </c>
      <c r="C186" t="inlineStr">
        <is>
          <t>ANON0000000</t>
        </is>
      </c>
      <c r="D186" t="n">
        <v>40</v>
      </c>
      <c r="E186" t="inlineStr">
        <is>
          <t>USNYC</t>
        </is>
      </c>
      <c r="F186" t="inlineStr">
        <is>
          <t>RULED</t>
        </is>
      </c>
      <c r="G186" t="n">
        <v>30200</v>
      </c>
      <c r="H186" t="inlineStr">
        <is>
          <t>ART</t>
        </is>
      </c>
      <c r="I186" t="inlineStr">
        <is>
          <t>45G1</t>
        </is>
      </c>
      <c r="L186" t="inlineStr">
        <is>
          <t>9'6</t>
        </is>
      </c>
      <c r="M186" t="inlineStr">
        <is>
          <t>Full</t>
        </is>
      </c>
      <c r="N186" t="inlineStr">
        <is>
          <t>RULED</t>
        </is>
      </c>
      <c r="P186" s="21">
        <f>C186</f>
        <v/>
      </c>
      <c r="Q186" s="21">
        <f t="array" ref="Q186">IFERROR(INDEX(Load_Booking_Report!AC:AC, MATCH(TRUE, ISNUMBER(FIND(SUBSTITUTE(C186," ",""), Load_Booking_Report!AL:AL)), 0)), "Not Found")</f>
        <v/>
      </c>
      <c r="R186" s="21">
        <f t="array" ref="R186">IFERROR(INDEX(Load_Booking_Report!C:C, MATCH(TRUE, ISNUMBER(FIND(SUBSTITUTE(C186," ",""), Load_Booking_Report!AL:AL)), 0)), "Not Found")</f>
        <v/>
      </c>
      <c r="S186" s="21">
        <f t="array" ref="S186">IFERROR(INDEX(Load_Booking_Report!AG:AG, MATCH(TRUE, ISNUMBER(FIND(SUBSTITUTE(C186," ",""), Load_Booking_Report!AL:AL)), 0)), "Not Found")</f>
        <v/>
      </c>
      <c r="T186" s="21">
        <f>G186</f>
        <v/>
      </c>
      <c r="U186" s="33">
        <f t="array" ref="U186">IFERROR(
   IF(
      INDEX(Load_Booking_Report!AM:AM,
             MATCH(TRUE,
                     ISNUMBER(FIND(SUBSTITUTE(C186," ",""),
                                    Load_Booking_Report!AL:AL)),
                     0)
      )=0,
      "",
      INDEX(Load_Booking_Report!AM:AM,
             MATCH(TRUE,
                     ISNUMBER(FIND(SUBSTITUTE(C186," ",""),
                                    Load_Booking_Report!AL:AL)),
                     0)
      )
   ),
   ""
)</f>
        <v/>
      </c>
      <c r="V186" s="21">
        <f t="array" ref="V186">IFERROR(
   IF(
      INDEX(Load_Booking_Report!AR:AR,
             MATCH(TRUE,
                     ISNUMBER(FIND(SUBSTITUTE(C186," ",""),
                                    Load_Booking_Report!AL:AL)),
                     0)
      )=0,
      "",
      INDEX(Load_Booking_Report!AR:AR,
             MATCH(TRUE,
                     ISNUMBER(FIND(SUBSTITUTE(C186," ",""),
                                    Load_Booking_Report!AL:AL)),
                     0)
      )
   ),
   ""
)</f>
        <v/>
      </c>
      <c r="W186" s="21">
        <f t="array" ref="W186">IFERROR(INDEX(Load_Booking_Report!F:F, MATCH(TRUE, ISNUMBER(FIND(SUBSTITUTE(C186," ",""), Load_Booking_Report!AL:AL)), 0)), "Not Found")</f>
        <v/>
      </c>
      <c r="X186" s="21">
        <f t="array" ref="X186">IFERROR(INDEX(Load_Booking_Report!N:N, MATCH(TRUE, ISNUMBER(FIND(SUBSTITUTE(C186," ",""), Load_Booking_Report!AL:AL)), 0)), "Not Found")</f>
        <v/>
      </c>
      <c r="Y186" s="21">
        <f t="array" ref="Y186">IFERROR(INDEX(Load_Booking_Report!V:V, MATCH(TRUE, ISNUMBER(FIND(SUBSTITUTE(C186," ",""), Load_Booking_Report!AL:AL)), 0)), "Not Found")</f>
        <v/>
      </c>
      <c r="Z186" s="41">
        <f t="array" ref="Z186">IFERROR(INDEX(Load_Booking_Report!BC:BC, MATCH(TRUE, ISNUMBER(FIND(SUBSTITUTE(C186," ",""), Load_Booking_Report!AL:AL)), 0)), "Not Found")</f>
        <v/>
      </c>
    </row>
    <row r="187">
      <c r="A187" t="n">
        <v>22</v>
      </c>
      <c r="B187" t="n">
        <v>220386</v>
      </c>
      <c r="C187" t="inlineStr">
        <is>
          <t>ANON0000000</t>
        </is>
      </c>
      <c r="D187" t="n">
        <v>40</v>
      </c>
      <c r="E187" t="inlineStr">
        <is>
          <t>USNFK</t>
        </is>
      </c>
      <c r="F187" t="inlineStr">
        <is>
          <t>RULED</t>
        </is>
      </c>
      <c r="G187" t="n">
        <v>24950</v>
      </c>
      <c r="H187" t="inlineStr">
        <is>
          <t>ART</t>
        </is>
      </c>
      <c r="I187" t="inlineStr">
        <is>
          <t>45G1</t>
        </is>
      </c>
      <c r="L187" t="inlineStr">
        <is>
          <t>9'6</t>
        </is>
      </c>
      <c r="M187" t="inlineStr">
        <is>
          <t>Full</t>
        </is>
      </c>
      <c r="N187" t="inlineStr">
        <is>
          <t>RULED</t>
        </is>
      </c>
      <c r="P187" s="21">
        <f>C187</f>
        <v/>
      </c>
      <c r="Q187" s="21">
        <f t="array" ref="Q187">IFERROR(INDEX(Load_Booking_Report!AC:AC, MATCH(TRUE, ISNUMBER(FIND(SUBSTITUTE(C187," ",""), Load_Booking_Report!AL:AL)), 0)), "Not Found")</f>
        <v/>
      </c>
      <c r="R187" s="21">
        <f t="array" ref="R187">IFERROR(INDEX(Load_Booking_Report!C:C, MATCH(TRUE, ISNUMBER(FIND(SUBSTITUTE(C187," ",""), Load_Booking_Report!AL:AL)), 0)), "Not Found")</f>
        <v/>
      </c>
      <c r="S187" s="21">
        <f t="array" ref="S187">IFERROR(INDEX(Load_Booking_Report!AG:AG, MATCH(TRUE, ISNUMBER(FIND(SUBSTITUTE(C187," ",""), Load_Booking_Report!AL:AL)), 0)), "Not Found")</f>
        <v/>
      </c>
      <c r="T187" s="21">
        <f>G187</f>
        <v/>
      </c>
      <c r="U187" s="33">
        <f t="array" ref="U187">IFERROR(
   IF(
      INDEX(Load_Booking_Report!AM:AM,
             MATCH(TRUE,
                     ISNUMBER(FIND(SUBSTITUTE(C187," ",""),
                                    Load_Booking_Report!AL:AL)),
                     0)
      )=0,
      "",
      INDEX(Load_Booking_Report!AM:AM,
             MATCH(TRUE,
                     ISNUMBER(FIND(SUBSTITUTE(C187," ",""),
                                    Load_Booking_Report!AL:AL)),
                     0)
      )
   ),
   ""
)</f>
        <v/>
      </c>
      <c r="V187" s="21">
        <f t="array" ref="V187">IFERROR(
   IF(
      INDEX(Load_Booking_Report!AR:AR,
             MATCH(TRUE,
                     ISNUMBER(FIND(SUBSTITUTE(C187," ",""),
                                    Load_Booking_Report!AL:AL)),
                     0)
      )=0,
      "",
      INDEX(Load_Booking_Report!AR:AR,
             MATCH(TRUE,
                     ISNUMBER(FIND(SUBSTITUTE(C187," ",""),
                                    Load_Booking_Report!AL:AL)),
                     0)
      )
   ),
   ""
)</f>
        <v/>
      </c>
      <c r="W187" s="21">
        <f t="array" ref="W187">IFERROR(INDEX(Load_Booking_Report!F:F, MATCH(TRUE, ISNUMBER(FIND(SUBSTITUTE(C187," ",""), Load_Booking_Report!AL:AL)), 0)), "Not Found")</f>
        <v/>
      </c>
      <c r="X187" s="21">
        <f t="array" ref="X187">IFERROR(INDEX(Load_Booking_Report!N:N, MATCH(TRUE, ISNUMBER(FIND(SUBSTITUTE(C187," ",""), Load_Booking_Report!AL:AL)), 0)), "Not Found")</f>
        <v/>
      </c>
      <c r="Y187" s="21">
        <f t="array" ref="Y187">IFERROR(INDEX(Load_Booking_Report!V:V, MATCH(TRUE, ISNUMBER(FIND(SUBSTITUTE(C187," ",""), Load_Booking_Report!AL:AL)), 0)), "Not Found")</f>
        <v/>
      </c>
      <c r="Z187" s="41">
        <f t="array" ref="Z187">IFERROR(INDEX(Load_Booking_Report!BC:BC, MATCH(TRUE, ISNUMBER(FIND(SUBSTITUTE(C187," ",""), Load_Booking_Report!AL:AL)), 0)), "Not Found")</f>
        <v/>
      </c>
    </row>
    <row r="188">
      <c r="A188" t="n">
        <v>30</v>
      </c>
      <c r="B188" t="n">
        <v>300282</v>
      </c>
      <c r="C188" t="inlineStr">
        <is>
          <t>ANON0000000</t>
        </is>
      </c>
      <c r="D188" t="n">
        <v>40</v>
      </c>
      <c r="E188" t="inlineStr">
        <is>
          <t>USNFK</t>
        </is>
      </c>
      <c r="F188" t="inlineStr">
        <is>
          <t>RULED</t>
        </is>
      </c>
      <c r="G188" t="n">
        <v>30375</v>
      </c>
      <c r="H188" t="inlineStr">
        <is>
          <t>ART</t>
        </is>
      </c>
      <c r="I188" t="inlineStr">
        <is>
          <t>45G1</t>
        </is>
      </c>
      <c r="L188" t="inlineStr">
        <is>
          <t>OOG</t>
        </is>
      </c>
      <c r="M188" t="inlineStr">
        <is>
          <t>Full</t>
        </is>
      </c>
      <c r="N188" t="inlineStr">
        <is>
          <t>RULED</t>
        </is>
      </c>
      <c r="P188" s="21">
        <f>C188</f>
        <v/>
      </c>
      <c r="Q188" s="21">
        <f t="array" ref="Q188">IFERROR(INDEX(Load_Booking_Report!AC:AC, MATCH(TRUE, ISNUMBER(FIND(SUBSTITUTE(C188," ",""), Load_Booking_Report!AL:AL)), 0)), "Not Found")</f>
        <v/>
      </c>
      <c r="R188" s="21">
        <f t="array" ref="R188">IFERROR(INDEX(Load_Booking_Report!C:C, MATCH(TRUE, ISNUMBER(FIND(SUBSTITUTE(C188," ",""), Load_Booking_Report!AL:AL)), 0)), "Not Found")</f>
        <v/>
      </c>
      <c r="S188" s="21">
        <f t="array" ref="S188">IFERROR(INDEX(Load_Booking_Report!AG:AG, MATCH(TRUE, ISNUMBER(FIND(SUBSTITUTE(C188," ",""), Load_Booking_Report!AL:AL)), 0)), "Not Found")</f>
        <v/>
      </c>
      <c r="T188" s="21">
        <f>G188</f>
        <v/>
      </c>
      <c r="U188" s="33">
        <f t="array" ref="U188">IFERROR(
   IF(
      INDEX(Load_Booking_Report!AM:AM,
             MATCH(TRUE,
                     ISNUMBER(FIND(SUBSTITUTE(C188," ",""),
                                    Load_Booking_Report!AL:AL)),
                     0)
      )=0,
      "",
      INDEX(Load_Booking_Report!AM:AM,
             MATCH(TRUE,
                     ISNUMBER(FIND(SUBSTITUTE(C188," ",""),
                                    Load_Booking_Report!AL:AL)),
                     0)
      )
   ),
   ""
)</f>
        <v/>
      </c>
      <c r="V188" s="21">
        <f t="array" ref="V188">IFERROR(
   IF(
      INDEX(Load_Booking_Report!AR:AR,
             MATCH(TRUE,
                     ISNUMBER(FIND(SUBSTITUTE(C188," ",""),
                                    Load_Booking_Report!AL:AL)),
                     0)
      )=0,
      "",
      INDEX(Load_Booking_Report!AR:AR,
             MATCH(TRUE,
                     ISNUMBER(FIND(SUBSTITUTE(C188," ",""),
                                    Load_Booking_Report!AL:AL)),
                     0)
      )
   ),
   ""
)</f>
        <v/>
      </c>
      <c r="W188" s="21">
        <f t="array" ref="W188">IFERROR(INDEX(Load_Booking_Report!F:F, MATCH(TRUE, ISNUMBER(FIND(SUBSTITUTE(C188," ",""), Load_Booking_Report!AL:AL)), 0)), "Not Found")</f>
        <v/>
      </c>
      <c r="X188" s="21">
        <f t="array" ref="X188">IFERROR(INDEX(Load_Booking_Report!N:N, MATCH(TRUE, ISNUMBER(FIND(SUBSTITUTE(C188," ",""), Load_Booking_Report!AL:AL)), 0)), "Not Found")</f>
        <v/>
      </c>
      <c r="Y188" s="21">
        <f t="array" ref="Y188">IFERROR(INDEX(Load_Booking_Report!V:V, MATCH(TRUE, ISNUMBER(FIND(SUBSTITUTE(C188," ",""), Load_Booking_Report!AL:AL)), 0)), "Not Found")</f>
        <v/>
      </c>
      <c r="Z188" s="41">
        <f t="array" ref="Z188">IFERROR(INDEX(Load_Booking_Report!BC:BC, MATCH(TRUE, ISNUMBER(FIND(SUBSTITUTE(C188," ",""), Load_Booking_Report!AL:AL)), 0)), "Not Found")</f>
        <v/>
      </c>
    </row>
    <row r="189">
      <c r="A189" t="n">
        <v>30</v>
      </c>
      <c r="B189" t="n">
        <v>300882</v>
      </c>
      <c r="C189" t="inlineStr">
        <is>
          <t>ANON0000000</t>
        </is>
      </c>
      <c r="D189" t="n">
        <v>40</v>
      </c>
      <c r="E189" t="inlineStr">
        <is>
          <t>USNFK</t>
        </is>
      </c>
      <c r="F189" t="inlineStr">
        <is>
          <t>RULED</t>
        </is>
      </c>
      <c r="G189" t="n">
        <v>28700</v>
      </c>
      <c r="H189" t="inlineStr">
        <is>
          <t>ART</t>
        </is>
      </c>
      <c r="I189" t="inlineStr">
        <is>
          <t>45G1</t>
        </is>
      </c>
      <c r="L189" t="inlineStr">
        <is>
          <t>OOG</t>
        </is>
      </c>
      <c r="M189" t="inlineStr">
        <is>
          <t>Full</t>
        </is>
      </c>
      <c r="N189" t="inlineStr">
        <is>
          <t>RULED</t>
        </is>
      </c>
      <c r="P189" s="21">
        <f>C189</f>
        <v/>
      </c>
      <c r="Q189" s="21">
        <f t="array" ref="Q189">IFERROR(INDEX(Load_Booking_Report!AC:AC, MATCH(TRUE, ISNUMBER(FIND(SUBSTITUTE(C189," ",""), Load_Booking_Report!AL:AL)), 0)), "Not Found")</f>
        <v/>
      </c>
      <c r="R189" s="21">
        <f t="array" ref="R189">IFERROR(INDEX(Load_Booking_Report!C:C, MATCH(TRUE, ISNUMBER(FIND(SUBSTITUTE(C189," ",""), Load_Booking_Report!AL:AL)), 0)), "Not Found")</f>
        <v/>
      </c>
      <c r="S189" s="21">
        <f t="array" ref="S189">IFERROR(INDEX(Load_Booking_Report!AG:AG, MATCH(TRUE, ISNUMBER(FIND(SUBSTITUTE(C189," ",""), Load_Booking_Report!AL:AL)), 0)), "Not Found")</f>
        <v/>
      </c>
      <c r="T189" s="21">
        <f>G189</f>
        <v/>
      </c>
      <c r="U189" s="33">
        <f t="array" ref="U189">IFERROR(
   IF(
      INDEX(Load_Booking_Report!AM:AM,
             MATCH(TRUE,
                     ISNUMBER(FIND(SUBSTITUTE(C189," ",""),
                                    Load_Booking_Report!AL:AL)),
                     0)
      )=0,
      "",
      INDEX(Load_Booking_Report!AM:AM,
             MATCH(TRUE,
                     ISNUMBER(FIND(SUBSTITUTE(C189," ",""),
                                    Load_Booking_Report!AL:AL)),
                     0)
      )
   ),
   ""
)</f>
        <v/>
      </c>
      <c r="V189" s="21">
        <f t="array" ref="V189">IFERROR(
   IF(
      INDEX(Load_Booking_Report!AR:AR,
             MATCH(TRUE,
                     ISNUMBER(FIND(SUBSTITUTE(C189," ",""),
                                    Load_Booking_Report!AL:AL)),
                     0)
      )=0,
      "",
      INDEX(Load_Booking_Report!AR:AR,
             MATCH(TRUE,
                     ISNUMBER(FIND(SUBSTITUTE(C189," ",""),
                                    Load_Booking_Report!AL:AL)),
                     0)
      )
   ),
   ""
)</f>
        <v/>
      </c>
      <c r="W189" s="21">
        <f t="array" ref="W189">IFERROR(INDEX(Load_Booking_Report!F:F, MATCH(TRUE, ISNUMBER(FIND(SUBSTITUTE(C189," ",""), Load_Booking_Report!AL:AL)), 0)), "Not Found")</f>
        <v/>
      </c>
      <c r="X189" s="21">
        <f t="array" ref="X189">IFERROR(INDEX(Load_Booking_Report!N:N, MATCH(TRUE, ISNUMBER(FIND(SUBSTITUTE(C189," ",""), Load_Booking_Report!AL:AL)), 0)), "Not Found")</f>
        <v/>
      </c>
      <c r="Y189" s="21">
        <f t="array" ref="Y189">IFERROR(INDEX(Load_Booking_Report!V:V, MATCH(TRUE, ISNUMBER(FIND(SUBSTITUTE(C189," ",""), Load_Booking_Report!AL:AL)), 0)), "Not Found")</f>
        <v/>
      </c>
      <c r="Z189" s="41">
        <f t="array" ref="Z189">IFERROR(INDEX(Load_Booking_Report!BC:BC, MATCH(TRUE, ISNUMBER(FIND(SUBSTITUTE(C189," ",""), Load_Booking_Report!AL:AL)), 0)), "Not Found")</f>
        <v/>
      </c>
    </row>
    <row r="190">
      <c r="A190" t="n">
        <v>18</v>
      </c>
      <c r="B190" t="n">
        <v>180406</v>
      </c>
      <c r="C190" t="inlineStr">
        <is>
          <t>ANON0000000</t>
        </is>
      </c>
      <c r="D190" t="n">
        <v>40</v>
      </c>
      <c r="E190" t="inlineStr">
        <is>
          <t>USNFK</t>
        </is>
      </c>
      <c r="F190" t="inlineStr">
        <is>
          <t>RULED</t>
        </is>
      </c>
      <c r="G190" t="n">
        <v>28720</v>
      </c>
      <c r="H190" t="inlineStr">
        <is>
          <t>ART</t>
        </is>
      </c>
      <c r="I190" t="inlineStr">
        <is>
          <t>45G1</t>
        </is>
      </c>
      <c r="L190" t="inlineStr">
        <is>
          <t>OOG</t>
        </is>
      </c>
      <c r="M190" t="inlineStr">
        <is>
          <t>Full</t>
        </is>
      </c>
      <c r="N190" t="inlineStr">
        <is>
          <t>RULED</t>
        </is>
      </c>
      <c r="P190" s="21">
        <f>C190</f>
        <v/>
      </c>
      <c r="Q190" s="21">
        <f t="array" ref="Q190">IFERROR(INDEX(Load_Booking_Report!AC:AC, MATCH(TRUE, ISNUMBER(FIND(SUBSTITUTE(C190," ",""), Load_Booking_Report!AL:AL)), 0)), "Not Found")</f>
        <v/>
      </c>
      <c r="R190" s="21">
        <f t="array" ref="R190">IFERROR(INDEX(Load_Booking_Report!C:C, MATCH(TRUE, ISNUMBER(FIND(SUBSTITUTE(C190," ",""), Load_Booking_Report!AL:AL)), 0)), "Not Found")</f>
        <v/>
      </c>
      <c r="S190" s="21">
        <f t="array" ref="S190">IFERROR(INDEX(Load_Booking_Report!AG:AG, MATCH(TRUE, ISNUMBER(FIND(SUBSTITUTE(C190," ",""), Load_Booking_Report!AL:AL)), 0)), "Not Found")</f>
        <v/>
      </c>
      <c r="T190" s="21">
        <f>G190</f>
        <v/>
      </c>
      <c r="U190" s="33">
        <f t="array" ref="U190">IFERROR(
   IF(
      INDEX(Load_Booking_Report!AM:AM,
             MATCH(TRUE,
                     ISNUMBER(FIND(SUBSTITUTE(C190," ",""),
                                    Load_Booking_Report!AL:AL)),
                     0)
      )=0,
      "",
      INDEX(Load_Booking_Report!AM:AM,
             MATCH(TRUE,
                     ISNUMBER(FIND(SUBSTITUTE(C190," ",""),
                                    Load_Booking_Report!AL:AL)),
                     0)
      )
   ),
   ""
)</f>
        <v/>
      </c>
      <c r="V190" s="21">
        <f t="array" ref="V190">IFERROR(
   IF(
      INDEX(Load_Booking_Report!AR:AR,
             MATCH(TRUE,
                     ISNUMBER(FIND(SUBSTITUTE(C190," ",""),
                                    Load_Booking_Report!AL:AL)),
                     0)
      )=0,
      "",
      INDEX(Load_Booking_Report!AR:AR,
             MATCH(TRUE,
                     ISNUMBER(FIND(SUBSTITUTE(C190," ",""),
                                    Load_Booking_Report!AL:AL)),
                     0)
      )
   ),
   ""
)</f>
        <v/>
      </c>
      <c r="W190" s="21">
        <f t="array" ref="W190">IFERROR(INDEX(Load_Booking_Report!F:F, MATCH(TRUE, ISNUMBER(FIND(SUBSTITUTE(C190," ",""), Load_Booking_Report!AL:AL)), 0)), "Not Found")</f>
        <v/>
      </c>
      <c r="X190" s="21">
        <f t="array" ref="X190">IFERROR(INDEX(Load_Booking_Report!N:N, MATCH(TRUE, ISNUMBER(FIND(SUBSTITUTE(C190," ",""), Load_Booking_Report!AL:AL)), 0)), "Not Found")</f>
        <v/>
      </c>
      <c r="Y190" s="21">
        <f t="array" ref="Y190">IFERROR(INDEX(Load_Booking_Report!V:V, MATCH(TRUE, ISNUMBER(FIND(SUBSTITUTE(C190," ",""), Load_Booking_Report!AL:AL)), 0)), "Not Found")</f>
        <v/>
      </c>
      <c r="Z190" s="41">
        <f t="array" ref="Z190">IFERROR(INDEX(Load_Booking_Report!BC:BC, MATCH(TRUE, ISNUMBER(FIND(SUBSTITUTE(C190," ",""), Load_Booking_Report!AL:AL)), 0)), "Not Found")</f>
        <v/>
      </c>
    </row>
    <row r="191">
      <c r="A191" t="n">
        <v>30</v>
      </c>
      <c r="B191" t="n">
        <v>300984</v>
      </c>
      <c r="C191" t="inlineStr">
        <is>
          <t>ANON0000000</t>
        </is>
      </c>
      <c r="D191" t="n">
        <v>40</v>
      </c>
      <c r="E191" t="inlineStr">
        <is>
          <t>USNFK</t>
        </is>
      </c>
      <c r="F191" t="inlineStr">
        <is>
          <t>RULED</t>
        </is>
      </c>
      <c r="G191" t="n">
        <v>24598</v>
      </c>
      <c r="H191" t="inlineStr">
        <is>
          <t>ART</t>
        </is>
      </c>
      <c r="I191" t="inlineStr">
        <is>
          <t>45G1</t>
        </is>
      </c>
      <c r="L191" t="inlineStr">
        <is>
          <t>OOG</t>
        </is>
      </c>
      <c r="M191" t="inlineStr">
        <is>
          <t>Full</t>
        </is>
      </c>
      <c r="N191" t="inlineStr">
        <is>
          <t>RULED</t>
        </is>
      </c>
      <c r="P191" s="21">
        <f>C191</f>
        <v/>
      </c>
      <c r="Q191" s="21">
        <f t="array" ref="Q191">IFERROR(INDEX(Load_Booking_Report!AC:AC, MATCH(TRUE, ISNUMBER(FIND(SUBSTITUTE(C191," ",""), Load_Booking_Report!AL:AL)), 0)), "Not Found")</f>
        <v/>
      </c>
      <c r="R191" s="21">
        <f t="array" ref="R191">IFERROR(INDEX(Load_Booking_Report!C:C, MATCH(TRUE, ISNUMBER(FIND(SUBSTITUTE(C191," ",""), Load_Booking_Report!AL:AL)), 0)), "Not Found")</f>
        <v/>
      </c>
      <c r="S191" s="21">
        <f t="array" ref="S191">IFERROR(INDEX(Load_Booking_Report!AG:AG, MATCH(TRUE, ISNUMBER(FIND(SUBSTITUTE(C191," ",""), Load_Booking_Report!AL:AL)), 0)), "Not Found")</f>
        <v/>
      </c>
      <c r="T191" s="21">
        <f>G191</f>
        <v/>
      </c>
      <c r="U191" s="33">
        <f t="array" ref="U191">IFERROR(
   IF(
      INDEX(Load_Booking_Report!AM:AM,
             MATCH(TRUE,
                     ISNUMBER(FIND(SUBSTITUTE(C191," ",""),
                                    Load_Booking_Report!AL:AL)),
                     0)
      )=0,
      "",
      INDEX(Load_Booking_Report!AM:AM,
             MATCH(TRUE,
                     ISNUMBER(FIND(SUBSTITUTE(C191," ",""),
                                    Load_Booking_Report!AL:AL)),
                     0)
      )
   ),
   ""
)</f>
        <v/>
      </c>
      <c r="V191" s="21">
        <f t="array" ref="V191">IFERROR(
   IF(
      INDEX(Load_Booking_Report!AR:AR,
             MATCH(TRUE,
                     ISNUMBER(FIND(SUBSTITUTE(C191," ",""),
                                    Load_Booking_Report!AL:AL)),
                     0)
      )=0,
      "",
      INDEX(Load_Booking_Report!AR:AR,
             MATCH(TRUE,
                     ISNUMBER(FIND(SUBSTITUTE(C191," ",""),
                                    Load_Booking_Report!AL:AL)),
                     0)
      )
   ),
   ""
)</f>
        <v/>
      </c>
      <c r="W191" s="21">
        <f t="array" ref="W191">IFERROR(INDEX(Load_Booking_Report!F:F, MATCH(TRUE, ISNUMBER(FIND(SUBSTITUTE(C191," ",""), Load_Booking_Report!AL:AL)), 0)), "Not Found")</f>
        <v/>
      </c>
      <c r="X191" s="21">
        <f t="array" ref="X191">IFERROR(INDEX(Load_Booking_Report!N:N, MATCH(TRUE, ISNUMBER(FIND(SUBSTITUTE(C191," ",""), Load_Booking_Report!AL:AL)), 0)), "Not Found")</f>
        <v/>
      </c>
      <c r="Y191" s="21">
        <f t="array" ref="Y191">IFERROR(INDEX(Load_Booking_Report!V:V, MATCH(TRUE, ISNUMBER(FIND(SUBSTITUTE(C191," ",""), Load_Booking_Report!AL:AL)), 0)), "Not Found")</f>
        <v/>
      </c>
      <c r="Z191" s="41">
        <f t="array" ref="Z191">IFERROR(INDEX(Load_Booking_Report!BC:BC, MATCH(TRUE, ISNUMBER(FIND(SUBSTITUTE(C191," ",""), Load_Booking_Report!AL:AL)), 0)), "Not Found")</f>
        <v/>
      </c>
    </row>
    <row r="192">
      <c r="A192" t="n">
        <v>6</v>
      </c>
      <c r="B192" t="n">
        <v>60406</v>
      </c>
      <c r="C192" t="inlineStr">
        <is>
          <t>ANON0000000</t>
        </is>
      </c>
      <c r="D192" t="n">
        <v>40</v>
      </c>
      <c r="E192" t="inlineStr">
        <is>
          <t>USNFK</t>
        </is>
      </c>
      <c r="F192" t="inlineStr">
        <is>
          <t>RULED</t>
        </is>
      </c>
      <c r="G192" t="n">
        <v>30800</v>
      </c>
      <c r="H192" t="inlineStr">
        <is>
          <t>ART</t>
        </is>
      </c>
      <c r="I192" t="inlineStr">
        <is>
          <t>45G1</t>
        </is>
      </c>
      <c r="L192" t="inlineStr">
        <is>
          <t>9'6</t>
        </is>
      </c>
      <c r="M192" t="inlineStr">
        <is>
          <t>Full</t>
        </is>
      </c>
      <c r="N192" t="inlineStr">
        <is>
          <t>RULED</t>
        </is>
      </c>
      <c r="P192" s="21">
        <f>C192</f>
        <v/>
      </c>
      <c r="Q192" s="21">
        <f t="array" ref="Q192">IFERROR(INDEX(Load_Booking_Report!AC:AC, MATCH(TRUE, ISNUMBER(FIND(SUBSTITUTE(C192," ",""), Load_Booking_Report!AL:AL)), 0)), "Not Found")</f>
        <v/>
      </c>
      <c r="R192" s="21">
        <f t="array" ref="R192">IFERROR(INDEX(Load_Booking_Report!C:C, MATCH(TRUE, ISNUMBER(FIND(SUBSTITUTE(C192," ",""), Load_Booking_Report!AL:AL)), 0)), "Not Found")</f>
        <v/>
      </c>
      <c r="S192" s="21">
        <f t="array" ref="S192">IFERROR(INDEX(Load_Booking_Report!AG:AG, MATCH(TRUE, ISNUMBER(FIND(SUBSTITUTE(C192," ",""), Load_Booking_Report!AL:AL)), 0)), "Not Found")</f>
        <v/>
      </c>
      <c r="T192" s="21">
        <f>G192</f>
        <v/>
      </c>
      <c r="U192" s="33">
        <f t="array" ref="U192">IFERROR(
   IF(
      INDEX(Load_Booking_Report!AM:AM,
             MATCH(TRUE,
                     ISNUMBER(FIND(SUBSTITUTE(C192," ",""),
                                    Load_Booking_Report!AL:AL)),
                     0)
      )=0,
      "",
      INDEX(Load_Booking_Report!AM:AM,
             MATCH(TRUE,
                     ISNUMBER(FIND(SUBSTITUTE(C192," ",""),
                                    Load_Booking_Report!AL:AL)),
                     0)
      )
   ),
   ""
)</f>
        <v/>
      </c>
      <c r="V192" s="21">
        <f t="array" ref="V192">IFERROR(
   IF(
      INDEX(Load_Booking_Report!AR:AR,
             MATCH(TRUE,
                     ISNUMBER(FIND(SUBSTITUTE(C192," ",""),
                                    Load_Booking_Report!AL:AL)),
                     0)
      )=0,
      "",
      INDEX(Load_Booking_Report!AR:AR,
             MATCH(TRUE,
                     ISNUMBER(FIND(SUBSTITUTE(C192," ",""),
                                    Load_Booking_Report!AL:AL)),
                     0)
      )
   ),
   ""
)</f>
        <v/>
      </c>
      <c r="W192" s="21">
        <f t="array" ref="W192">IFERROR(INDEX(Load_Booking_Report!F:F, MATCH(TRUE, ISNUMBER(FIND(SUBSTITUTE(C192," ",""), Load_Booking_Report!AL:AL)), 0)), "Not Found")</f>
        <v/>
      </c>
      <c r="X192" s="21">
        <f t="array" ref="X192">IFERROR(INDEX(Load_Booking_Report!N:N, MATCH(TRUE, ISNUMBER(FIND(SUBSTITUTE(C192," ",""), Load_Booking_Report!AL:AL)), 0)), "Not Found")</f>
        <v/>
      </c>
      <c r="Y192" s="21">
        <f t="array" ref="Y192">IFERROR(INDEX(Load_Booking_Report!V:V, MATCH(TRUE, ISNUMBER(FIND(SUBSTITUTE(C192," ",""), Load_Booking_Report!AL:AL)), 0)), "Not Found")</f>
        <v/>
      </c>
      <c r="Z192" s="41">
        <f t="array" ref="Z192">IFERROR(INDEX(Load_Booking_Report!BC:BC, MATCH(TRUE, ISNUMBER(FIND(SUBSTITUTE(C192," ",""), Load_Booking_Report!AL:AL)), 0)), "Not Found")</f>
        <v/>
      </c>
    </row>
    <row r="193">
      <c r="A193" t="n">
        <v>40</v>
      </c>
      <c r="B193" t="n">
        <v>400684</v>
      </c>
      <c r="C193" t="inlineStr">
        <is>
          <t>ANON0000000</t>
        </is>
      </c>
      <c r="D193" t="n">
        <v>40</v>
      </c>
      <c r="E193" t="inlineStr">
        <is>
          <t>USNFK</t>
        </is>
      </c>
      <c r="F193" t="inlineStr">
        <is>
          <t>RUBLT</t>
        </is>
      </c>
      <c r="G193" t="n">
        <v>28700</v>
      </c>
      <c r="H193" t="inlineStr">
        <is>
          <t>ART</t>
        </is>
      </c>
      <c r="I193" t="inlineStr">
        <is>
          <t>45G1</t>
        </is>
      </c>
      <c r="L193" t="inlineStr">
        <is>
          <t>OOG</t>
        </is>
      </c>
      <c r="M193" t="inlineStr">
        <is>
          <t>Full</t>
        </is>
      </c>
      <c r="N193" t="inlineStr">
        <is>
          <t>RUBLT</t>
        </is>
      </c>
      <c r="P193" s="21">
        <f>C193</f>
        <v/>
      </c>
      <c r="Q193" s="21">
        <f t="array" ref="Q193">IFERROR(INDEX(Load_Booking_Report!AC:AC, MATCH(TRUE, ISNUMBER(FIND(SUBSTITUTE(C193," ",""), Load_Booking_Report!AL:AL)), 0)), "Not Found")</f>
        <v/>
      </c>
      <c r="R193" s="21">
        <f t="array" ref="R193">IFERROR(INDEX(Load_Booking_Report!C:C, MATCH(TRUE, ISNUMBER(FIND(SUBSTITUTE(C193," ",""), Load_Booking_Report!AL:AL)), 0)), "Not Found")</f>
        <v/>
      </c>
      <c r="S193" s="21">
        <f t="array" ref="S193">IFERROR(INDEX(Load_Booking_Report!AG:AG, MATCH(TRUE, ISNUMBER(FIND(SUBSTITUTE(C193," ",""), Load_Booking_Report!AL:AL)), 0)), "Not Found")</f>
        <v/>
      </c>
      <c r="T193" s="21">
        <f>G193</f>
        <v/>
      </c>
      <c r="U193" s="33">
        <f t="array" ref="U193">IFERROR(
   IF(
      INDEX(Load_Booking_Report!AM:AM,
             MATCH(TRUE,
                     ISNUMBER(FIND(SUBSTITUTE(C193," ",""),
                                    Load_Booking_Report!AL:AL)),
                     0)
      )=0,
      "",
      INDEX(Load_Booking_Report!AM:AM,
             MATCH(TRUE,
                     ISNUMBER(FIND(SUBSTITUTE(C193," ",""),
                                    Load_Booking_Report!AL:AL)),
                     0)
      )
   ),
   ""
)</f>
        <v/>
      </c>
      <c r="V193" s="21">
        <f t="array" ref="V193">IFERROR(
   IF(
      INDEX(Load_Booking_Report!AR:AR,
             MATCH(TRUE,
                     ISNUMBER(FIND(SUBSTITUTE(C193," ",""),
                                    Load_Booking_Report!AL:AL)),
                     0)
      )=0,
      "",
      INDEX(Load_Booking_Report!AR:AR,
             MATCH(TRUE,
                     ISNUMBER(FIND(SUBSTITUTE(C193," ",""),
                                    Load_Booking_Report!AL:AL)),
                     0)
      )
   ),
   ""
)</f>
        <v/>
      </c>
      <c r="W193" s="21">
        <f t="array" ref="W193">IFERROR(INDEX(Load_Booking_Report!F:F, MATCH(TRUE, ISNUMBER(FIND(SUBSTITUTE(C193," ",""), Load_Booking_Report!AL:AL)), 0)), "Not Found")</f>
        <v/>
      </c>
      <c r="X193" s="21">
        <f t="array" ref="X193">IFERROR(INDEX(Load_Booking_Report!N:N, MATCH(TRUE, ISNUMBER(FIND(SUBSTITUTE(C193," ",""), Load_Booking_Report!AL:AL)), 0)), "Not Found")</f>
        <v/>
      </c>
      <c r="Y193" s="21">
        <f t="array" ref="Y193">IFERROR(INDEX(Load_Booking_Report!V:V, MATCH(TRUE, ISNUMBER(FIND(SUBSTITUTE(C193," ",""), Load_Booking_Report!AL:AL)), 0)), "Not Found")</f>
        <v/>
      </c>
      <c r="Z193" s="41">
        <f t="array" ref="Z193">IFERROR(INDEX(Load_Booking_Report!BC:BC, MATCH(TRUE, ISNUMBER(FIND(SUBSTITUTE(C193," ",""), Load_Booking_Report!AL:AL)), 0)), "Not Found")</f>
        <v/>
      </c>
    </row>
    <row r="194">
      <c r="A194" t="n">
        <v>14</v>
      </c>
      <c r="B194" t="n">
        <v>140808</v>
      </c>
      <c r="C194" t="inlineStr">
        <is>
          <t>ANON0000000</t>
        </is>
      </c>
      <c r="D194" t="n">
        <v>40</v>
      </c>
      <c r="E194" t="inlineStr">
        <is>
          <t>USNFK</t>
        </is>
      </c>
      <c r="F194" t="inlineStr">
        <is>
          <t>RULED</t>
        </is>
      </c>
      <c r="G194" t="n">
        <v>28700</v>
      </c>
      <c r="H194" t="inlineStr">
        <is>
          <t>ART</t>
        </is>
      </c>
      <c r="I194" t="inlineStr">
        <is>
          <t>45G1</t>
        </is>
      </c>
      <c r="L194" t="inlineStr">
        <is>
          <t>OOG</t>
        </is>
      </c>
      <c r="M194" t="inlineStr">
        <is>
          <t>Full</t>
        </is>
      </c>
      <c r="N194" t="inlineStr">
        <is>
          <t>RULED</t>
        </is>
      </c>
      <c r="P194" s="21">
        <f>C194</f>
        <v/>
      </c>
      <c r="Q194" s="21">
        <f t="array" ref="Q194">IFERROR(INDEX(Load_Booking_Report!AC:AC, MATCH(TRUE, ISNUMBER(FIND(SUBSTITUTE(C194," ",""), Load_Booking_Report!AL:AL)), 0)), "Not Found")</f>
        <v/>
      </c>
      <c r="R194" s="21">
        <f t="array" ref="R194">IFERROR(INDEX(Load_Booking_Report!C:C, MATCH(TRUE, ISNUMBER(FIND(SUBSTITUTE(C194," ",""), Load_Booking_Report!AL:AL)), 0)), "Not Found")</f>
        <v/>
      </c>
      <c r="S194" s="21">
        <f t="array" ref="S194">IFERROR(INDEX(Load_Booking_Report!AG:AG, MATCH(TRUE, ISNUMBER(FIND(SUBSTITUTE(C194," ",""), Load_Booking_Report!AL:AL)), 0)), "Not Found")</f>
        <v/>
      </c>
      <c r="T194" s="21">
        <f>G194</f>
        <v/>
      </c>
      <c r="U194" s="33">
        <f t="array" ref="U194">IFERROR(
   IF(
      INDEX(Load_Booking_Report!AM:AM,
             MATCH(TRUE,
                     ISNUMBER(FIND(SUBSTITUTE(C194," ",""),
                                    Load_Booking_Report!AL:AL)),
                     0)
      )=0,
      "",
      INDEX(Load_Booking_Report!AM:AM,
             MATCH(TRUE,
                     ISNUMBER(FIND(SUBSTITUTE(C194," ",""),
                                    Load_Booking_Report!AL:AL)),
                     0)
      )
   ),
   ""
)</f>
        <v/>
      </c>
      <c r="V194" s="21">
        <f t="array" ref="V194">IFERROR(
   IF(
      INDEX(Load_Booking_Report!AR:AR,
             MATCH(TRUE,
                     ISNUMBER(FIND(SUBSTITUTE(C194," ",""),
                                    Load_Booking_Report!AL:AL)),
                     0)
      )=0,
      "",
      INDEX(Load_Booking_Report!AR:AR,
             MATCH(TRUE,
                     ISNUMBER(FIND(SUBSTITUTE(C194," ",""),
                                    Load_Booking_Report!AL:AL)),
                     0)
      )
   ),
   ""
)</f>
        <v/>
      </c>
      <c r="W194" s="21">
        <f t="array" ref="W194">IFERROR(INDEX(Load_Booking_Report!F:F, MATCH(TRUE, ISNUMBER(FIND(SUBSTITUTE(C194," ",""), Load_Booking_Report!AL:AL)), 0)), "Not Found")</f>
        <v/>
      </c>
      <c r="X194" s="21">
        <f t="array" ref="X194">IFERROR(INDEX(Load_Booking_Report!N:N, MATCH(TRUE, ISNUMBER(FIND(SUBSTITUTE(C194," ",""), Load_Booking_Report!AL:AL)), 0)), "Not Found")</f>
        <v/>
      </c>
      <c r="Y194" s="21">
        <f t="array" ref="Y194">IFERROR(INDEX(Load_Booking_Report!V:V, MATCH(TRUE, ISNUMBER(FIND(SUBSTITUTE(C194," ",""), Load_Booking_Report!AL:AL)), 0)), "Not Found")</f>
        <v/>
      </c>
      <c r="Z194" s="41">
        <f t="array" ref="Z194">IFERROR(INDEX(Load_Booking_Report!BC:BC, MATCH(TRUE, ISNUMBER(FIND(SUBSTITUTE(C194," ",""), Load_Booking_Report!AL:AL)), 0)), "Not Found")</f>
        <v/>
      </c>
    </row>
    <row r="195">
      <c r="A195" t="n">
        <v>34</v>
      </c>
      <c r="B195" t="n">
        <v>340784</v>
      </c>
      <c r="C195" t="inlineStr">
        <is>
          <t>ANON0000000</t>
        </is>
      </c>
      <c r="D195" t="n">
        <v>40</v>
      </c>
      <c r="E195" t="inlineStr">
        <is>
          <t>USHOU</t>
        </is>
      </c>
      <c r="F195" t="inlineStr">
        <is>
          <t>RULED</t>
        </is>
      </c>
      <c r="G195" t="n">
        <v>17678</v>
      </c>
      <c r="H195" t="inlineStr">
        <is>
          <t>ART</t>
        </is>
      </c>
      <c r="I195" t="inlineStr">
        <is>
          <t>45G1</t>
        </is>
      </c>
      <c r="L195" t="inlineStr">
        <is>
          <t>9'6</t>
        </is>
      </c>
      <c r="M195" t="inlineStr">
        <is>
          <t>Full</t>
        </is>
      </c>
      <c r="N195" t="inlineStr">
        <is>
          <t>RULED</t>
        </is>
      </c>
      <c r="P195" s="21">
        <f>C195</f>
        <v/>
      </c>
      <c r="Q195" s="21">
        <f t="array" ref="Q195">IFERROR(INDEX(Load_Booking_Report!AC:AC, MATCH(TRUE, ISNUMBER(FIND(SUBSTITUTE(C195," ",""), Load_Booking_Report!AL:AL)), 0)), "Not Found")</f>
        <v/>
      </c>
      <c r="R195" s="21">
        <f t="array" ref="R195">IFERROR(INDEX(Load_Booking_Report!C:C, MATCH(TRUE, ISNUMBER(FIND(SUBSTITUTE(C195," ",""), Load_Booking_Report!AL:AL)), 0)), "Not Found")</f>
        <v/>
      </c>
      <c r="S195" s="21">
        <f t="array" ref="S195">IFERROR(INDEX(Load_Booking_Report!AG:AG, MATCH(TRUE, ISNUMBER(FIND(SUBSTITUTE(C195," ",""), Load_Booking_Report!AL:AL)), 0)), "Not Found")</f>
        <v/>
      </c>
      <c r="T195" s="21">
        <f>G195</f>
        <v/>
      </c>
      <c r="U195" s="33">
        <f t="array" ref="U195">IFERROR(
   IF(
      INDEX(Load_Booking_Report!AM:AM,
             MATCH(TRUE,
                     ISNUMBER(FIND(SUBSTITUTE(C195," ",""),
                                    Load_Booking_Report!AL:AL)),
                     0)
      )=0,
      "",
      INDEX(Load_Booking_Report!AM:AM,
             MATCH(TRUE,
                     ISNUMBER(FIND(SUBSTITUTE(C195," ",""),
                                    Load_Booking_Report!AL:AL)),
                     0)
      )
   ),
   ""
)</f>
        <v/>
      </c>
      <c r="V195" s="21">
        <f t="array" ref="V195">IFERROR(
   IF(
      INDEX(Load_Booking_Report!AR:AR,
             MATCH(TRUE,
                     ISNUMBER(FIND(SUBSTITUTE(C195," ",""),
                                    Load_Booking_Report!AL:AL)),
                     0)
      )=0,
      "",
      INDEX(Load_Booking_Report!AR:AR,
             MATCH(TRUE,
                     ISNUMBER(FIND(SUBSTITUTE(C195," ",""),
                                    Load_Booking_Report!AL:AL)),
                     0)
      )
   ),
   ""
)</f>
        <v/>
      </c>
      <c r="W195" s="21">
        <f t="array" ref="W195">IFERROR(INDEX(Load_Booking_Report!F:F, MATCH(TRUE, ISNUMBER(FIND(SUBSTITUTE(C195," ",""), Load_Booking_Report!AL:AL)), 0)), "Not Found")</f>
        <v/>
      </c>
      <c r="X195" s="21">
        <f t="array" ref="X195">IFERROR(INDEX(Load_Booking_Report!N:N, MATCH(TRUE, ISNUMBER(FIND(SUBSTITUTE(C195," ",""), Load_Booking_Report!AL:AL)), 0)), "Not Found")</f>
        <v/>
      </c>
      <c r="Y195" s="21">
        <f t="array" ref="Y195">IFERROR(INDEX(Load_Booking_Report!V:V, MATCH(TRUE, ISNUMBER(FIND(SUBSTITUTE(C195," ",""), Load_Booking_Report!AL:AL)), 0)), "Not Found")</f>
        <v/>
      </c>
      <c r="Z195" s="41">
        <f t="array" ref="Z195">IFERROR(INDEX(Load_Booking_Report!BC:BC, MATCH(TRUE, ISNUMBER(FIND(SUBSTITUTE(C195," ",""), Load_Booking_Report!AL:AL)), 0)), "Not Found")</f>
        <v/>
      </c>
    </row>
    <row r="196">
      <c r="A196" t="n">
        <v>10</v>
      </c>
      <c r="B196" t="n">
        <v>100606</v>
      </c>
      <c r="C196" t="inlineStr">
        <is>
          <t>ANON0000000</t>
        </is>
      </c>
      <c r="D196" t="n">
        <v>40</v>
      </c>
      <c r="E196" t="inlineStr">
        <is>
          <t>USNFK</t>
        </is>
      </c>
      <c r="F196" t="inlineStr">
        <is>
          <t>RULED</t>
        </is>
      </c>
      <c r="G196" t="n">
        <v>28700</v>
      </c>
      <c r="H196" t="inlineStr">
        <is>
          <t>ART</t>
        </is>
      </c>
      <c r="I196" t="inlineStr">
        <is>
          <t>45G1</t>
        </is>
      </c>
      <c r="L196" t="inlineStr">
        <is>
          <t>OOG</t>
        </is>
      </c>
      <c r="M196" t="inlineStr">
        <is>
          <t>Full</t>
        </is>
      </c>
      <c r="N196" t="inlineStr">
        <is>
          <t>RULED</t>
        </is>
      </c>
      <c r="P196" s="21">
        <f>C196</f>
        <v/>
      </c>
      <c r="Q196" s="21">
        <f t="array" ref="Q196">IFERROR(INDEX(Load_Booking_Report!AC:AC, MATCH(TRUE, ISNUMBER(FIND(SUBSTITUTE(C196," ",""), Load_Booking_Report!AL:AL)), 0)), "Not Found")</f>
        <v/>
      </c>
      <c r="R196" s="21">
        <f t="array" ref="R196">IFERROR(INDEX(Load_Booking_Report!C:C, MATCH(TRUE, ISNUMBER(FIND(SUBSTITUTE(C196," ",""), Load_Booking_Report!AL:AL)), 0)), "Not Found")</f>
        <v/>
      </c>
      <c r="S196" s="21">
        <f t="array" ref="S196">IFERROR(INDEX(Load_Booking_Report!AG:AG, MATCH(TRUE, ISNUMBER(FIND(SUBSTITUTE(C196," ",""), Load_Booking_Report!AL:AL)), 0)), "Not Found")</f>
        <v/>
      </c>
      <c r="T196" s="21">
        <f>G196</f>
        <v/>
      </c>
      <c r="U196" s="33">
        <f t="array" ref="U196">IFERROR(
   IF(
      INDEX(Load_Booking_Report!AM:AM,
             MATCH(TRUE,
                     ISNUMBER(FIND(SUBSTITUTE(C196," ",""),
                                    Load_Booking_Report!AL:AL)),
                     0)
      )=0,
      "",
      INDEX(Load_Booking_Report!AM:AM,
             MATCH(TRUE,
                     ISNUMBER(FIND(SUBSTITUTE(C196," ",""),
                                    Load_Booking_Report!AL:AL)),
                     0)
      )
   ),
   ""
)</f>
        <v/>
      </c>
      <c r="V196" s="21">
        <f t="array" ref="V196">IFERROR(
   IF(
      INDEX(Load_Booking_Report!AR:AR,
             MATCH(TRUE,
                     ISNUMBER(FIND(SUBSTITUTE(C196," ",""),
                                    Load_Booking_Report!AL:AL)),
                     0)
      )=0,
      "",
      INDEX(Load_Booking_Report!AR:AR,
             MATCH(TRUE,
                     ISNUMBER(FIND(SUBSTITUTE(C196," ",""),
                                    Load_Booking_Report!AL:AL)),
                     0)
      )
   ),
   ""
)</f>
        <v/>
      </c>
      <c r="W196" s="21">
        <f t="array" ref="W196">IFERROR(INDEX(Load_Booking_Report!F:F, MATCH(TRUE, ISNUMBER(FIND(SUBSTITUTE(C196," ",""), Load_Booking_Report!AL:AL)), 0)), "Not Found")</f>
        <v/>
      </c>
      <c r="X196" s="21">
        <f t="array" ref="X196">IFERROR(INDEX(Load_Booking_Report!N:N, MATCH(TRUE, ISNUMBER(FIND(SUBSTITUTE(C196," ",""), Load_Booking_Report!AL:AL)), 0)), "Not Found")</f>
        <v/>
      </c>
      <c r="Y196" s="21">
        <f t="array" ref="Y196">IFERROR(INDEX(Load_Booking_Report!V:V, MATCH(TRUE, ISNUMBER(FIND(SUBSTITUTE(C196," ",""), Load_Booking_Report!AL:AL)), 0)), "Not Found")</f>
        <v/>
      </c>
      <c r="Z196" s="41">
        <f t="array" ref="Z196">IFERROR(INDEX(Load_Booking_Report!BC:BC, MATCH(TRUE, ISNUMBER(FIND(SUBSTITUTE(C196," ",""), Load_Booking_Report!AL:AL)), 0)), "Not Found")</f>
        <v/>
      </c>
    </row>
    <row r="197">
      <c r="A197" t="n">
        <v>6</v>
      </c>
      <c r="B197" t="n">
        <v>60186</v>
      </c>
      <c r="C197" t="inlineStr">
        <is>
          <t>ANON0000000</t>
        </is>
      </c>
      <c r="D197" t="n">
        <v>40</v>
      </c>
      <c r="E197" t="inlineStr">
        <is>
          <t>USNFK</t>
        </is>
      </c>
      <c r="F197" t="inlineStr">
        <is>
          <t>RULED</t>
        </is>
      </c>
      <c r="G197" t="n">
        <v>24350</v>
      </c>
      <c r="H197" t="inlineStr">
        <is>
          <t>ART</t>
        </is>
      </c>
      <c r="I197" t="inlineStr">
        <is>
          <t>45G1</t>
        </is>
      </c>
      <c r="L197" t="inlineStr">
        <is>
          <t>9'6</t>
        </is>
      </c>
      <c r="M197" t="inlineStr">
        <is>
          <t>Full</t>
        </is>
      </c>
      <c r="N197" t="inlineStr">
        <is>
          <t>RULED</t>
        </is>
      </c>
      <c r="P197" s="21">
        <f>C197</f>
        <v/>
      </c>
      <c r="Q197" s="21">
        <f t="array" ref="Q197">IFERROR(INDEX(Load_Booking_Report!AC:AC, MATCH(TRUE, ISNUMBER(FIND(SUBSTITUTE(C197," ",""), Load_Booking_Report!AL:AL)), 0)), "Not Found")</f>
        <v/>
      </c>
      <c r="R197" s="21">
        <f t="array" ref="R197">IFERROR(INDEX(Load_Booking_Report!C:C, MATCH(TRUE, ISNUMBER(FIND(SUBSTITUTE(C197," ",""), Load_Booking_Report!AL:AL)), 0)), "Not Found")</f>
        <v/>
      </c>
      <c r="S197" s="21">
        <f t="array" ref="S197">IFERROR(INDEX(Load_Booking_Report!AG:AG, MATCH(TRUE, ISNUMBER(FIND(SUBSTITUTE(C197," ",""), Load_Booking_Report!AL:AL)), 0)), "Not Found")</f>
        <v/>
      </c>
      <c r="T197" s="21">
        <f>G197</f>
        <v/>
      </c>
      <c r="U197" s="33">
        <f t="array" ref="U197">IFERROR(
   IF(
      INDEX(Load_Booking_Report!AM:AM,
             MATCH(TRUE,
                     ISNUMBER(FIND(SUBSTITUTE(C197," ",""),
                                    Load_Booking_Report!AL:AL)),
                     0)
      )=0,
      "",
      INDEX(Load_Booking_Report!AM:AM,
             MATCH(TRUE,
                     ISNUMBER(FIND(SUBSTITUTE(C197," ",""),
                                    Load_Booking_Report!AL:AL)),
                     0)
      )
   ),
   ""
)</f>
        <v/>
      </c>
      <c r="V197" s="21">
        <f t="array" ref="V197">IFERROR(
   IF(
      INDEX(Load_Booking_Report!AR:AR,
             MATCH(TRUE,
                     ISNUMBER(FIND(SUBSTITUTE(C197," ",""),
                                    Load_Booking_Report!AL:AL)),
                     0)
      )=0,
      "",
      INDEX(Load_Booking_Report!AR:AR,
             MATCH(TRUE,
                     ISNUMBER(FIND(SUBSTITUTE(C197," ",""),
                                    Load_Booking_Report!AL:AL)),
                     0)
      )
   ),
   ""
)</f>
        <v/>
      </c>
      <c r="W197" s="21">
        <f t="array" ref="W197">IFERROR(INDEX(Load_Booking_Report!F:F, MATCH(TRUE, ISNUMBER(FIND(SUBSTITUTE(C197," ",""), Load_Booking_Report!AL:AL)), 0)), "Not Found")</f>
        <v/>
      </c>
      <c r="X197" s="21">
        <f t="array" ref="X197">IFERROR(INDEX(Load_Booking_Report!N:N, MATCH(TRUE, ISNUMBER(FIND(SUBSTITUTE(C197," ",""), Load_Booking_Report!AL:AL)), 0)), "Not Found")</f>
        <v/>
      </c>
      <c r="Y197" s="21">
        <f t="array" ref="Y197">IFERROR(INDEX(Load_Booking_Report!V:V, MATCH(TRUE, ISNUMBER(FIND(SUBSTITUTE(C197," ",""), Load_Booking_Report!AL:AL)), 0)), "Not Found")</f>
        <v/>
      </c>
      <c r="Z197" s="41">
        <f t="array" ref="Z197">IFERROR(INDEX(Load_Booking_Report!BC:BC, MATCH(TRUE, ISNUMBER(FIND(SUBSTITUTE(C197," ",""), Load_Booking_Report!AL:AL)), 0)), "Not Found")</f>
        <v/>
      </c>
    </row>
    <row r="198">
      <c r="A198" t="n">
        <v>6</v>
      </c>
      <c r="B198" t="n">
        <v>60586</v>
      </c>
      <c r="C198" t="inlineStr">
        <is>
          <t>ANON0000000</t>
        </is>
      </c>
      <c r="D198" t="n">
        <v>40</v>
      </c>
      <c r="E198" t="inlineStr">
        <is>
          <t>USNFK</t>
        </is>
      </c>
      <c r="F198" t="inlineStr">
        <is>
          <t>RULED</t>
        </is>
      </c>
      <c r="G198" t="n">
        <v>24350</v>
      </c>
      <c r="H198" t="inlineStr">
        <is>
          <t>ART</t>
        </is>
      </c>
      <c r="I198" t="inlineStr">
        <is>
          <t>45G1</t>
        </is>
      </c>
      <c r="L198" t="inlineStr">
        <is>
          <t>9'6</t>
        </is>
      </c>
      <c r="M198" t="inlineStr">
        <is>
          <t>Full</t>
        </is>
      </c>
      <c r="N198" t="inlineStr">
        <is>
          <t>RULED</t>
        </is>
      </c>
      <c r="P198" s="21">
        <f>C198</f>
        <v/>
      </c>
      <c r="Q198" s="21">
        <f t="array" ref="Q198">IFERROR(INDEX(Load_Booking_Report!AC:AC, MATCH(TRUE, ISNUMBER(FIND(SUBSTITUTE(C198," ",""), Load_Booking_Report!AL:AL)), 0)), "Not Found")</f>
        <v/>
      </c>
      <c r="R198" s="21">
        <f t="array" ref="R198">IFERROR(INDEX(Load_Booking_Report!C:C, MATCH(TRUE, ISNUMBER(FIND(SUBSTITUTE(C198," ",""), Load_Booking_Report!AL:AL)), 0)), "Not Found")</f>
        <v/>
      </c>
      <c r="S198" s="21">
        <f t="array" ref="S198">IFERROR(INDEX(Load_Booking_Report!AG:AG, MATCH(TRUE, ISNUMBER(FIND(SUBSTITUTE(C198," ",""), Load_Booking_Report!AL:AL)), 0)), "Not Found")</f>
        <v/>
      </c>
      <c r="T198" s="21">
        <f>G198</f>
        <v/>
      </c>
      <c r="U198" s="33">
        <f t="array" ref="U198">IFERROR(
   IF(
      INDEX(Load_Booking_Report!AM:AM,
             MATCH(TRUE,
                     ISNUMBER(FIND(SUBSTITUTE(C198," ",""),
                                    Load_Booking_Report!AL:AL)),
                     0)
      )=0,
      "",
      INDEX(Load_Booking_Report!AM:AM,
             MATCH(TRUE,
                     ISNUMBER(FIND(SUBSTITUTE(C198," ",""),
                                    Load_Booking_Report!AL:AL)),
                     0)
      )
   ),
   ""
)</f>
        <v/>
      </c>
      <c r="V198" s="21">
        <f t="array" ref="V198">IFERROR(
   IF(
      INDEX(Load_Booking_Report!AR:AR,
             MATCH(TRUE,
                     ISNUMBER(FIND(SUBSTITUTE(C198," ",""),
                                    Load_Booking_Report!AL:AL)),
                     0)
      )=0,
      "",
      INDEX(Load_Booking_Report!AR:AR,
             MATCH(TRUE,
                     ISNUMBER(FIND(SUBSTITUTE(C198," ",""),
                                    Load_Booking_Report!AL:AL)),
                     0)
      )
   ),
   ""
)</f>
        <v/>
      </c>
      <c r="W198" s="21">
        <f t="array" ref="W198">IFERROR(INDEX(Load_Booking_Report!F:F, MATCH(TRUE, ISNUMBER(FIND(SUBSTITUTE(C198," ",""), Load_Booking_Report!AL:AL)), 0)), "Not Found")</f>
        <v/>
      </c>
      <c r="X198" s="21">
        <f t="array" ref="X198">IFERROR(INDEX(Load_Booking_Report!N:N, MATCH(TRUE, ISNUMBER(FIND(SUBSTITUTE(C198," ",""), Load_Booking_Report!AL:AL)), 0)), "Not Found")</f>
        <v/>
      </c>
      <c r="Y198" s="21">
        <f t="array" ref="Y198">IFERROR(INDEX(Load_Booking_Report!V:V, MATCH(TRUE, ISNUMBER(FIND(SUBSTITUTE(C198," ",""), Load_Booking_Report!AL:AL)), 0)), "Not Found")</f>
        <v/>
      </c>
      <c r="Z198" s="41">
        <f t="array" ref="Z198">IFERROR(INDEX(Load_Booking_Report!BC:BC, MATCH(TRUE, ISNUMBER(FIND(SUBSTITUTE(C198," ",""), Load_Booking_Report!AL:AL)), 0)), "Not Found")</f>
        <v/>
      </c>
    </row>
    <row r="199">
      <c r="A199" t="n">
        <v>30</v>
      </c>
      <c r="B199" t="n">
        <v>300708</v>
      </c>
      <c r="C199" t="inlineStr">
        <is>
          <t>ANON0000000</t>
        </is>
      </c>
      <c r="D199" t="n">
        <v>40</v>
      </c>
      <c r="E199" t="inlineStr">
        <is>
          <t>USNFK</t>
        </is>
      </c>
      <c r="F199" t="inlineStr">
        <is>
          <t>RULED</t>
        </is>
      </c>
      <c r="G199" t="n">
        <v>15764</v>
      </c>
      <c r="H199" t="inlineStr">
        <is>
          <t>ART</t>
        </is>
      </c>
      <c r="I199" t="inlineStr">
        <is>
          <t>45G1</t>
        </is>
      </c>
      <c r="L199" t="inlineStr">
        <is>
          <t>OOG</t>
        </is>
      </c>
      <c r="M199" t="inlineStr">
        <is>
          <t>Full</t>
        </is>
      </c>
      <c r="N199" t="inlineStr">
        <is>
          <t>RULED</t>
        </is>
      </c>
      <c r="P199" s="21">
        <f>C199</f>
        <v/>
      </c>
      <c r="Q199" s="21">
        <f t="array" ref="Q199">IFERROR(INDEX(Load_Booking_Report!AC:AC, MATCH(TRUE, ISNUMBER(FIND(SUBSTITUTE(C199," ",""), Load_Booking_Report!AL:AL)), 0)), "Not Found")</f>
        <v/>
      </c>
      <c r="R199" s="21">
        <f t="array" ref="R199">IFERROR(INDEX(Load_Booking_Report!C:C, MATCH(TRUE, ISNUMBER(FIND(SUBSTITUTE(C199," ",""), Load_Booking_Report!AL:AL)), 0)), "Not Found")</f>
        <v/>
      </c>
      <c r="S199" s="21">
        <f t="array" ref="S199">IFERROR(INDEX(Load_Booking_Report!AG:AG, MATCH(TRUE, ISNUMBER(FIND(SUBSTITUTE(C199," ",""), Load_Booking_Report!AL:AL)), 0)), "Not Found")</f>
        <v/>
      </c>
      <c r="T199" s="21">
        <f>G199</f>
        <v/>
      </c>
      <c r="U199" s="33">
        <f t="array" ref="U199">IFERROR(
   IF(
      INDEX(Load_Booking_Report!AM:AM,
             MATCH(TRUE,
                     ISNUMBER(FIND(SUBSTITUTE(C199," ",""),
                                    Load_Booking_Report!AL:AL)),
                     0)
      )=0,
      "",
      INDEX(Load_Booking_Report!AM:AM,
             MATCH(TRUE,
                     ISNUMBER(FIND(SUBSTITUTE(C199," ",""),
                                    Load_Booking_Report!AL:AL)),
                     0)
      )
   ),
   ""
)</f>
        <v/>
      </c>
      <c r="V199" s="21">
        <f t="array" ref="V199">IFERROR(
   IF(
      INDEX(Load_Booking_Report!AR:AR,
             MATCH(TRUE,
                     ISNUMBER(FIND(SUBSTITUTE(C199," ",""),
                                    Load_Booking_Report!AL:AL)),
                     0)
      )=0,
      "",
      INDEX(Load_Booking_Report!AR:AR,
             MATCH(TRUE,
                     ISNUMBER(FIND(SUBSTITUTE(C199," ",""),
                                    Load_Booking_Report!AL:AL)),
                     0)
      )
   ),
   ""
)</f>
        <v/>
      </c>
      <c r="W199" s="21">
        <f t="array" ref="W199">IFERROR(INDEX(Load_Booking_Report!F:F, MATCH(TRUE, ISNUMBER(FIND(SUBSTITUTE(C199," ",""), Load_Booking_Report!AL:AL)), 0)), "Not Found")</f>
        <v/>
      </c>
      <c r="X199" s="21">
        <f t="array" ref="X199">IFERROR(INDEX(Load_Booking_Report!N:N, MATCH(TRUE, ISNUMBER(FIND(SUBSTITUTE(C199," ",""), Load_Booking_Report!AL:AL)), 0)), "Not Found")</f>
        <v/>
      </c>
      <c r="Y199" s="21">
        <f t="array" ref="Y199">IFERROR(INDEX(Load_Booking_Report!V:V, MATCH(TRUE, ISNUMBER(FIND(SUBSTITUTE(C199," ",""), Load_Booking_Report!AL:AL)), 0)), "Not Found")</f>
        <v/>
      </c>
      <c r="Z199" s="41">
        <f t="array" ref="Z199">IFERROR(INDEX(Load_Booking_Report!BC:BC, MATCH(TRUE, ISNUMBER(FIND(SUBSTITUTE(C199," ",""), Load_Booking_Report!AL:AL)), 0)), "Not Found")</f>
        <v/>
      </c>
    </row>
    <row r="200">
      <c r="A200" t="n">
        <v>14</v>
      </c>
      <c r="B200" t="n">
        <v>140986</v>
      </c>
      <c r="C200" t="inlineStr">
        <is>
          <t>ANON0000000</t>
        </is>
      </c>
      <c r="D200" t="n">
        <v>40</v>
      </c>
      <c r="E200" t="inlineStr">
        <is>
          <t>USNFK</t>
        </is>
      </c>
      <c r="F200" t="inlineStr">
        <is>
          <t>RULED</t>
        </is>
      </c>
      <c r="G200" t="n">
        <v>22250</v>
      </c>
      <c r="H200" t="inlineStr">
        <is>
          <t>ART</t>
        </is>
      </c>
      <c r="I200" t="inlineStr">
        <is>
          <t>45G1</t>
        </is>
      </c>
      <c r="L200" t="inlineStr">
        <is>
          <t>9'6</t>
        </is>
      </c>
      <c r="M200" t="inlineStr">
        <is>
          <t>Full</t>
        </is>
      </c>
      <c r="N200" t="inlineStr">
        <is>
          <t>RULED</t>
        </is>
      </c>
      <c r="P200" s="21">
        <f>C200</f>
        <v/>
      </c>
      <c r="Q200" s="21">
        <f t="array" ref="Q200">IFERROR(INDEX(Load_Booking_Report!AC:AC, MATCH(TRUE, ISNUMBER(FIND(SUBSTITUTE(C200," ",""), Load_Booking_Report!AL:AL)), 0)), "Not Found")</f>
        <v/>
      </c>
      <c r="R200" s="21">
        <f t="array" ref="R200">IFERROR(INDEX(Load_Booking_Report!C:C, MATCH(TRUE, ISNUMBER(FIND(SUBSTITUTE(C200," ",""), Load_Booking_Report!AL:AL)), 0)), "Not Found")</f>
        <v/>
      </c>
      <c r="S200" s="21">
        <f t="array" ref="S200">IFERROR(INDEX(Load_Booking_Report!AG:AG, MATCH(TRUE, ISNUMBER(FIND(SUBSTITUTE(C200," ",""), Load_Booking_Report!AL:AL)), 0)), "Not Found")</f>
        <v/>
      </c>
      <c r="T200" s="21">
        <f>G200</f>
        <v/>
      </c>
      <c r="U200" s="33">
        <f t="array" ref="U200">IFERROR(
   IF(
      INDEX(Load_Booking_Report!AM:AM,
             MATCH(TRUE,
                     ISNUMBER(FIND(SUBSTITUTE(C200," ",""),
                                    Load_Booking_Report!AL:AL)),
                     0)
      )=0,
      "",
      INDEX(Load_Booking_Report!AM:AM,
             MATCH(TRUE,
                     ISNUMBER(FIND(SUBSTITUTE(C200," ",""),
                                    Load_Booking_Report!AL:AL)),
                     0)
      )
   ),
   ""
)</f>
        <v/>
      </c>
      <c r="V200" s="21">
        <f t="array" ref="V200">IFERROR(
   IF(
      INDEX(Load_Booking_Report!AR:AR,
             MATCH(TRUE,
                     ISNUMBER(FIND(SUBSTITUTE(C200," ",""),
                                    Load_Booking_Report!AL:AL)),
                     0)
      )=0,
      "",
      INDEX(Load_Booking_Report!AR:AR,
             MATCH(TRUE,
                     ISNUMBER(FIND(SUBSTITUTE(C200," ",""),
                                    Load_Booking_Report!AL:AL)),
                     0)
      )
   ),
   ""
)</f>
        <v/>
      </c>
      <c r="W200" s="21">
        <f t="array" ref="W200">IFERROR(INDEX(Load_Booking_Report!F:F, MATCH(TRUE, ISNUMBER(FIND(SUBSTITUTE(C200," ",""), Load_Booking_Report!AL:AL)), 0)), "Not Found")</f>
        <v/>
      </c>
      <c r="X200" s="21">
        <f t="array" ref="X200">IFERROR(INDEX(Load_Booking_Report!N:N, MATCH(TRUE, ISNUMBER(FIND(SUBSTITUTE(C200," ",""), Load_Booking_Report!AL:AL)), 0)), "Not Found")</f>
        <v/>
      </c>
      <c r="Y200" s="21">
        <f t="array" ref="Y200">IFERROR(INDEX(Load_Booking_Report!V:V, MATCH(TRUE, ISNUMBER(FIND(SUBSTITUTE(C200," ",""), Load_Booking_Report!AL:AL)), 0)), "Not Found")</f>
        <v/>
      </c>
      <c r="Z200" s="41">
        <f t="array" ref="Z200">IFERROR(INDEX(Load_Booking_Report!BC:BC, MATCH(TRUE, ISNUMBER(FIND(SUBSTITUTE(C200," ",""), Load_Booking_Report!AL:AL)), 0)), "Not Found")</f>
        <v/>
      </c>
    </row>
    <row r="201">
      <c r="A201" t="n">
        <v>26</v>
      </c>
      <c r="B201" t="n">
        <v>260708</v>
      </c>
      <c r="C201" t="inlineStr">
        <is>
          <t>ANON0000000</t>
        </is>
      </c>
      <c r="D201" t="n">
        <v>40</v>
      </c>
      <c r="E201" t="inlineStr">
        <is>
          <t>USNYC</t>
        </is>
      </c>
      <c r="F201" t="inlineStr">
        <is>
          <t>RULED</t>
        </is>
      </c>
      <c r="G201" t="n">
        <v>30200</v>
      </c>
      <c r="H201" t="inlineStr">
        <is>
          <t>ART</t>
        </is>
      </c>
      <c r="I201" t="inlineStr">
        <is>
          <t>45G1</t>
        </is>
      </c>
      <c r="L201" t="inlineStr">
        <is>
          <t>9'6</t>
        </is>
      </c>
      <c r="M201" t="inlineStr">
        <is>
          <t>Full</t>
        </is>
      </c>
      <c r="N201" t="inlineStr">
        <is>
          <t>RULED</t>
        </is>
      </c>
      <c r="P201" s="21">
        <f>C201</f>
        <v/>
      </c>
      <c r="Q201" s="21">
        <f t="array" ref="Q201">IFERROR(INDEX(Load_Booking_Report!AC:AC, MATCH(TRUE, ISNUMBER(FIND(SUBSTITUTE(C201," ",""), Load_Booking_Report!AL:AL)), 0)), "Not Found")</f>
        <v/>
      </c>
      <c r="R201" s="21">
        <f t="array" ref="R201">IFERROR(INDEX(Load_Booking_Report!C:C, MATCH(TRUE, ISNUMBER(FIND(SUBSTITUTE(C201," ",""), Load_Booking_Report!AL:AL)), 0)), "Not Found")</f>
        <v/>
      </c>
      <c r="S201" s="21">
        <f t="array" ref="S201">IFERROR(INDEX(Load_Booking_Report!AG:AG, MATCH(TRUE, ISNUMBER(FIND(SUBSTITUTE(C201," ",""), Load_Booking_Report!AL:AL)), 0)), "Not Found")</f>
        <v/>
      </c>
      <c r="T201" s="21">
        <f>G201</f>
        <v/>
      </c>
      <c r="U201" s="33">
        <f t="array" ref="U201">IFERROR(
   IF(
      INDEX(Load_Booking_Report!AM:AM,
             MATCH(TRUE,
                     ISNUMBER(FIND(SUBSTITUTE(C201," ",""),
                                    Load_Booking_Report!AL:AL)),
                     0)
      )=0,
      "",
      INDEX(Load_Booking_Report!AM:AM,
             MATCH(TRUE,
                     ISNUMBER(FIND(SUBSTITUTE(C201," ",""),
                                    Load_Booking_Report!AL:AL)),
                     0)
      )
   ),
   ""
)</f>
        <v/>
      </c>
      <c r="V201" s="21">
        <f t="array" ref="V201">IFERROR(
   IF(
      INDEX(Load_Booking_Report!AR:AR,
             MATCH(TRUE,
                     ISNUMBER(FIND(SUBSTITUTE(C201," ",""),
                                    Load_Booking_Report!AL:AL)),
                     0)
      )=0,
      "",
      INDEX(Load_Booking_Report!AR:AR,
             MATCH(TRUE,
                     ISNUMBER(FIND(SUBSTITUTE(C201," ",""),
                                    Load_Booking_Report!AL:AL)),
                     0)
      )
   ),
   ""
)</f>
        <v/>
      </c>
      <c r="W201" s="21">
        <f t="array" ref="W201">IFERROR(INDEX(Load_Booking_Report!F:F, MATCH(TRUE, ISNUMBER(FIND(SUBSTITUTE(C201," ",""), Load_Booking_Report!AL:AL)), 0)), "Not Found")</f>
        <v/>
      </c>
      <c r="X201" s="21">
        <f t="array" ref="X201">IFERROR(INDEX(Load_Booking_Report!N:N, MATCH(TRUE, ISNUMBER(FIND(SUBSTITUTE(C201," ",""), Load_Booking_Report!AL:AL)), 0)), "Not Found")</f>
        <v/>
      </c>
      <c r="Y201" s="21">
        <f t="array" ref="Y201">IFERROR(INDEX(Load_Booking_Report!V:V, MATCH(TRUE, ISNUMBER(FIND(SUBSTITUTE(C201," ",""), Load_Booking_Report!AL:AL)), 0)), "Not Found")</f>
        <v/>
      </c>
      <c r="Z201" s="41">
        <f t="array" ref="Z201">IFERROR(INDEX(Load_Booking_Report!BC:BC, MATCH(TRUE, ISNUMBER(FIND(SUBSTITUTE(C201," ",""), Load_Booking_Report!AL:AL)), 0)), "Not Found")</f>
        <v/>
      </c>
    </row>
    <row r="202">
      <c r="A202" t="n">
        <v>18</v>
      </c>
      <c r="B202" t="n">
        <v>180106</v>
      </c>
      <c r="C202" t="inlineStr">
        <is>
          <t>ANON0000000</t>
        </is>
      </c>
      <c r="D202" t="n">
        <v>40</v>
      </c>
      <c r="E202" t="inlineStr">
        <is>
          <t>USNFK</t>
        </is>
      </c>
      <c r="F202" t="inlineStr">
        <is>
          <t>RULED</t>
        </is>
      </c>
      <c r="G202" t="n">
        <v>28700</v>
      </c>
      <c r="H202" t="inlineStr">
        <is>
          <t>ART</t>
        </is>
      </c>
      <c r="I202" t="inlineStr">
        <is>
          <t>45G1</t>
        </is>
      </c>
      <c r="L202" t="inlineStr">
        <is>
          <t>OOG</t>
        </is>
      </c>
      <c r="M202" t="inlineStr">
        <is>
          <t>Full</t>
        </is>
      </c>
      <c r="N202" t="inlineStr">
        <is>
          <t>RULED</t>
        </is>
      </c>
      <c r="P202" s="21">
        <f>C202</f>
        <v/>
      </c>
      <c r="Q202" s="21">
        <f t="array" ref="Q202">IFERROR(INDEX(Load_Booking_Report!AC:AC, MATCH(TRUE, ISNUMBER(FIND(SUBSTITUTE(C202," ",""), Load_Booking_Report!AL:AL)), 0)), "Not Found")</f>
        <v/>
      </c>
      <c r="R202" s="21">
        <f t="array" ref="R202">IFERROR(INDEX(Load_Booking_Report!C:C, MATCH(TRUE, ISNUMBER(FIND(SUBSTITUTE(C202," ",""), Load_Booking_Report!AL:AL)), 0)), "Not Found")</f>
        <v/>
      </c>
      <c r="S202" s="21">
        <f t="array" ref="S202">IFERROR(INDEX(Load_Booking_Report!AG:AG, MATCH(TRUE, ISNUMBER(FIND(SUBSTITUTE(C202," ",""), Load_Booking_Report!AL:AL)), 0)), "Not Found")</f>
        <v/>
      </c>
      <c r="T202" s="21">
        <f>G202</f>
        <v/>
      </c>
      <c r="U202" s="33">
        <f t="array" ref="U202">IFERROR(
   IF(
      INDEX(Load_Booking_Report!AM:AM,
             MATCH(TRUE,
                     ISNUMBER(FIND(SUBSTITUTE(C202," ",""),
                                    Load_Booking_Report!AL:AL)),
                     0)
      )=0,
      "",
      INDEX(Load_Booking_Report!AM:AM,
             MATCH(TRUE,
                     ISNUMBER(FIND(SUBSTITUTE(C202," ",""),
                                    Load_Booking_Report!AL:AL)),
                     0)
      )
   ),
   ""
)</f>
        <v/>
      </c>
      <c r="V202" s="21">
        <f t="array" ref="V202">IFERROR(
   IF(
      INDEX(Load_Booking_Report!AR:AR,
             MATCH(TRUE,
                     ISNUMBER(FIND(SUBSTITUTE(C202," ",""),
                                    Load_Booking_Report!AL:AL)),
                     0)
      )=0,
      "",
      INDEX(Load_Booking_Report!AR:AR,
             MATCH(TRUE,
                     ISNUMBER(FIND(SUBSTITUTE(C202," ",""),
                                    Load_Booking_Report!AL:AL)),
                     0)
      )
   ),
   ""
)</f>
        <v/>
      </c>
      <c r="W202" s="21">
        <f t="array" ref="W202">IFERROR(INDEX(Load_Booking_Report!F:F, MATCH(TRUE, ISNUMBER(FIND(SUBSTITUTE(C202," ",""), Load_Booking_Report!AL:AL)), 0)), "Not Found")</f>
        <v/>
      </c>
      <c r="X202" s="21">
        <f t="array" ref="X202">IFERROR(INDEX(Load_Booking_Report!N:N, MATCH(TRUE, ISNUMBER(FIND(SUBSTITUTE(C202," ",""), Load_Booking_Report!AL:AL)), 0)), "Not Found")</f>
        <v/>
      </c>
      <c r="Y202" s="21">
        <f t="array" ref="Y202">IFERROR(INDEX(Load_Booking_Report!V:V, MATCH(TRUE, ISNUMBER(FIND(SUBSTITUTE(C202," ",""), Load_Booking_Report!AL:AL)), 0)), "Not Found")</f>
        <v/>
      </c>
      <c r="Z202" s="41">
        <f t="array" ref="Z202">IFERROR(INDEX(Load_Booking_Report!BC:BC, MATCH(TRUE, ISNUMBER(FIND(SUBSTITUTE(C202," ",""), Load_Booking_Report!AL:AL)), 0)), "Not Found")</f>
        <v/>
      </c>
    </row>
    <row r="203">
      <c r="A203" t="n">
        <v>34</v>
      </c>
      <c r="B203" t="n">
        <v>340106</v>
      </c>
      <c r="C203" t="inlineStr">
        <is>
          <t>ANON0000000</t>
        </is>
      </c>
      <c r="D203" t="n">
        <v>40</v>
      </c>
      <c r="E203" t="inlineStr">
        <is>
          <t>USNYC</t>
        </is>
      </c>
      <c r="F203" t="inlineStr">
        <is>
          <t>RULED</t>
        </is>
      </c>
      <c r="G203" t="n">
        <v>13180</v>
      </c>
      <c r="H203" t="inlineStr">
        <is>
          <t>ART</t>
        </is>
      </c>
      <c r="I203" t="inlineStr">
        <is>
          <t>45G1</t>
        </is>
      </c>
      <c r="L203" t="inlineStr">
        <is>
          <t>9'6</t>
        </is>
      </c>
      <c r="M203" t="inlineStr">
        <is>
          <t>Full</t>
        </is>
      </c>
      <c r="N203" t="inlineStr">
        <is>
          <t>RULED</t>
        </is>
      </c>
      <c r="P203" s="21">
        <f>C203</f>
        <v/>
      </c>
      <c r="Q203" s="21">
        <f t="array" ref="Q203">IFERROR(INDEX(Load_Booking_Report!AC:AC, MATCH(TRUE, ISNUMBER(FIND(SUBSTITUTE(C203," ",""), Load_Booking_Report!AL:AL)), 0)), "Not Found")</f>
        <v/>
      </c>
      <c r="R203" s="21">
        <f t="array" ref="R203">IFERROR(INDEX(Load_Booking_Report!C:C, MATCH(TRUE, ISNUMBER(FIND(SUBSTITUTE(C203," ",""), Load_Booking_Report!AL:AL)), 0)), "Not Found")</f>
        <v/>
      </c>
      <c r="S203" s="21">
        <f t="array" ref="S203">IFERROR(INDEX(Load_Booking_Report!AG:AG, MATCH(TRUE, ISNUMBER(FIND(SUBSTITUTE(C203," ",""), Load_Booking_Report!AL:AL)), 0)), "Not Found")</f>
        <v/>
      </c>
      <c r="T203" s="21">
        <f>G203</f>
        <v/>
      </c>
      <c r="U203" s="33">
        <f t="array" ref="U203">IFERROR(
   IF(
      INDEX(Load_Booking_Report!AM:AM,
             MATCH(TRUE,
                     ISNUMBER(FIND(SUBSTITUTE(C203," ",""),
                                    Load_Booking_Report!AL:AL)),
                     0)
      )=0,
      "",
      INDEX(Load_Booking_Report!AM:AM,
             MATCH(TRUE,
                     ISNUMBER(FIND(SUBSTITUTE(C203," ",""),
                                    Load_Booking_Report!AL:AL)),
                     0)
      )
   ),
   ""
)</f>
        <v/>
      </c>
      <c r="V203" s="21">
        <f t="array" ref="V203">IFERROR(
   IF(
      INDEX(Load_Booking_Report!AR:AR,
             MATCH(TRUE,
                     ISNUMBER(FIND(SUBSTITUTE(C203," ",""),
                                    Load_Booking_Report!AL:AL)),
                     0)
      )=0,
      "",
      INDEX(Load_Booking_Report!AR:AR,
             MATCH(TRUE,
                     ISNUMBER(FIND(SUBSTITUTE(C203," ",""),
                                    Load_Booking_Report!AL:AL)),
                     0)
      )
   ),
   ""
)</f>
        <v/>
      </c>
      <c r="W203" s="21">
        <f t="array" ref="W203">IFERROR(INDEX(Load_Booking_Report!F:F, MATCH(TRUE, ISNUMBER(FIND(SUBSTITUTE(C203," ",""), Load_Booking_Report!AL:AL)), 0)), "Not Found")</f>
        <v/>
      </c>
      <c r="X203" s="21">
        <f t="array" ref="X203">IFERROR(INDEX(Load_Booking_Report!N:N, MATCH(TRUE, ISNUMBER(FIND(SUBSTITUTE(C203," ",""), Load_Booking_Report!AL:AL)), 0)), "Not Found")</f>
        <v/>
      </c>
      <c r="Y203" s="21">
        <f t="array" ref="Y203">IFERROR(INDEX(Load_Booking_Report!V:V, MATCH(TRUE, ISNUMBER(FIND(SUBSTITUTE(C203," ",""), Load_Booking_Report!AL:AL)), 0)), "Not Found")</f>
        <v/>
      </c>
      <c r="Z203" s="41">
        <f t="array" ref="Z203">IFERROR(INDEX(Load_Booking_Report!BC:BC, MATCH(TRUE, ISNUMBER(FIND(SUBSTITUTE(C203," ",""), Load_Booking_Report!AL:AL)), 0)), "Not Found")</f>
        <v/>
      </c>
    </row>
    <row r="204">
      <c r="A204" t="n">
        <v>6</v>
      </c>
      <c r="B204" t="n">
        <v>60486</v>
      </c>
      <c r="C204" t="inlineStr">
        <is>
          <t>ANON0000000</t>
        </is>
      </c>
      <c r="D204" t="n">
        <v>40</v>
      </c>
      <c r="E204" t="inlineStr">
        <is>
          <t>USNFK</t>
        </is>
      </c>
      <c r="F204" t="inlineStr">
        <is>
          <t>RULED</t>
        </is>
      </c>
      <c r="G204" t="n">
        <v>24598</v>
      </c>
      <c r="H204" t="inlineStr">
        <is>
          <t>ART</t>
        </is>
      </c>
      <c r="I204" t="inlineStr">
        <is>
          <t>45G1</t>
        </is>
      </c>
      <c r="L204" t="inlineStr">
        <is>
          <t>9'6</t>
        </is>
      </c>
      <c r="M204" t="inlineStr">
        <is>
          <t>Full</t>
        </is>
      </c>
      <c r="N204" t="inlineStr">
        <is>
          <t>RULED</t>
        </is>
      </c>
      <c r="P204" s="21">
        <f>C204</f>
        <v/>
      </c>
      <c r="Q204" s="21">
        <f t="array" ref="Q204">IFERROR(INDEX(Load_Booking_Report!AC:AC, MATCH(TRUE, ISNUMBER(FIND(SUBSTITUTE(C204," ",""), Load_Booking_Report!AL:AL)), 0)), "Not Found")</f>
        <v/>
      </c>
      <c r="R204" s="21">
        <f t="array" ref="R204">IFERROR(INDEX(Load_Booking_Report!C:C, MATCH(TRUE, ISNUMBER(FIND(SUBSTITUTE(C204," ",""), Load_Booking_Report!AL:AL)), 0)), "Not Found")</f>
        <v/>
      </c>
      <c r="S204" s="21">
        <f t="array" ref="S204">IFERROR(INDEX(Load_Booking_Report!AG:AG, MATCH(TRUE, ISNUMBER(FIND(SUBSTITUTE(C204," ",""), Load_Booking_Report!AL:AL)), 0)), "Not Found")</f>
        <v/>
      </c>
      <c r="T204" s="21">
        <f>G204</f>
        <v/>
      </c>
      <c r="U204" s="33">
        <f t="array" ref="U204">IFERROR(
   IF(
      INDEX(Load_Booking_Report!AM:AM,
             MATCH(TRUE,
                     ISNUMBER(FIND(SUBSTITUTE(C204," ",""),
                                    Load_Booking_Report!AL:AL)),
                     0)
      )=0,
      "",
      INDEX(Load_Booking_Report!AM:AM,
             MATCH(TRUE,
                     ISNUMBER(FIND(SUBSTITUTE(C204," ",""),
                                    Load_Booking_Report!AL:AL)),
                     0)
      )
   ),
   ""
)</f>
        <v/>
      </c>
      <c r="V204" s="21">
        <f t="array" ref="V204">IFERROR(
   IF(
      INDEX(Load_Booking_Report!AR:AR,
             MATCH(TRUE,
                     ISNUMBER(FIND(SUBSTITUTE(C204," ",""),
                                    Load_Booking_Report!AL:AL)),
                     0)
      )=0,
      "",
      INDEX(Load_Booking_Report!AR:AR,
             MATCH(TRUE,
                     ISNUMBER(FIND(SUBSTITUTE(C204," ",""),
                                    Load_Booking_Report!AL:AL)),
                     0)
      )
   ),
   ""
)</f>
        <v/>
      </c>
      <c r="W204" s="21">
        <f t="array" ref="W204">IFERROR(INDEX(Load_Booking_Report!F:F, MATCH(TRUE, ISNUMBER(FIND(SUBSTITUTE(C204," ",""), Load_Booking_Report!AL:AL)), 0)), "Not Found")</f>
        <v/>
      </c>
      <c r="X204" s="21">
        <f t="array" ref="X204">IFERROR(INDEX(Load_Booking_Report!N:N, MATCH(TRUE, ISNUMBER(FIND(SUBSTITUTE(C204," ",""), Load_Booking_Report!AL:AL)), 0)), "Not Found")</f>
        <v/>
      </c>
      <c r="Y204" s="21">
        <f t="array" ref="Y204">IFERROR(INDEX(Load_Booking_Report!V:V, MATCH(TRUE, ISNUMBER(FIND(SUBSTITUTE(C204," ",""), Load_Booking_Report!AL:AL)), 0)), "Not Found")</f>
        <v/>
      </c>
      <c r="Z204" s="41">
        <f t="array" ref="Z204">IFERROR(INDEX(Load_Booking_Report!BC:BC, MATCH(TRUE, ISNUMBER(FIND(SUBSTITUTE(C204," ",""), Load_Booking_Report!AL:AL)), 0)), "Not Found")</f>
        <v/>
      </c>
    </row>
    <row r="205">
      <c r="A205" t="n">
        <v>14</v>
      </c>
      <c r="B205" t="n">
        <v>140886</v>
      </c>
      <c r="C205" t="inlineStr">
        <is>
          <t>ANON0000000</t>
        </is>
      </c>
      <c r="D205" t="n">
        <v>40</v>
      </c>
      <c r="E205" t="inlineStr">
        <is>
          <t>USNFK</t>
        </is>
      </c>
      <c r="F205" t="inlineStr">
        <is>
          <t>RULED</t>
        </is>
      </c>
      <c r="G205" t="n">
        <v>24650</v>
      </c>
      <c r="H205" t="inlineStr">
        <is>
          <t>ART</t>
        </is>
      </c>
      <c r="I205" t="inlineStr">
        <is>
          <t>45G1</t>
        </is>
      </c>
      <c r="L205" t="inlineStr">
        <is>
          <t>9'6</t>
        </is>
      </c>
      <c r="M205" t="inlineStr">
        <is>
          <t>Full</t>
        </is>
      </c>
      <c r="N205" t="inlineStr">
        <is>
          <t>RULED</t>
        </is>
      </c>
      <c r="P205" s="21">
        <f>C205</f>
        <v/>
      </c>
      <c r="Q205" s="21">
        <f t="array" ref="Q205">IFERROR(INDEX(Load_Booking_Report!AC:AC, MATCH(TRUE, ISNUMBER(FIND(SUBSTITUTE(C205," ",""), Load_Booking_Report!AL:AL)), 0)), "Not Found")</f>
        <v/>
      </c>
      <c r="R205" s="21">
        <f t="array" ref="R205">IFERROR(INDEX(Load_Booking_Report!C:C, MATCH(TRUE, ISNUMBER(FIND(SUBSTITUTE(C205," ",""), Load_Booking_Report!AL:AL)), 0)), "Not Found")</f>
        <v/>
      </c>
      <c r="S205" s="21">
        <f t="array" ref="S205">IFERROR(INDEX(Load_Booking_Report!AG:AG, MATCH(TRUE, ISNUMBER(FIND(SUBSTITUTE(C205," ",""), Load_Booking_Report!AL:AL)), 0)), "Not Found")</f>
        <v/>
      </c>
      <c r="T205" s="21">
        <f>G205</f>
        <v/>
      </c>
      <c r="U205" s="33">
        <f t="array" ref="U205">IFERROR(
   IF(
      INDEX(Load_Booking_Report!AM:AM,
             MATCH(TRUE,
                     ISNUMBER(FIND(SUBSTITUTE(C205," ",""),
                                    Load_Booking_Report!AL:AL)),
                     0)
      )=0,
      "",
      INDEX(Load_Booking_Report!AM:AM,
             MATCH(TRUE,
                     ISNUMBER(FIND(SUBSTITUTE(C205," ",""),
                                    Load_Booking_Report!AL:AL)),
                     0)
      )
   ),
   ""
)</f>
        <v/>
      </c>
      <c r="V205" s="21">
        <f t="array" ref="V205">IFERROR(
   IF(
      INDEX(Load_Booking_Report!AR:AR,
             MATCH(TRUE,
                     ISNUMBER(FIND(SUBSTITUTE(C205," ",""),
                                    Load_Booking_Report!AL:AL)),
                     0)
      )=0,
      "",
      INDEX(Load_Booking_Report!AR:AR,
             MATCH(TRUE,
                     ISNUMBER(FIND(SUBSTITUTE(C205," ",""),
                                    Load_Booking_Report!AL:AL)),
                     0)
      )
   ),
   ""
)</f>
        <v/>
      </c>
      <c r="W205" s="21">
        <f t="array" ref="W205">IFERROR(INDEX(Load_Booking_Report!F:F, MATCH(TRUE, ISNUMBER(FIND(SUBSTITUTE(C205," ",""), Load_Booking_Report!AL:AL)), 0)), "Not Found")</f>
        <v/>
      </c>
      <c r="X205" s="21">
        <f t="array" ref="X205">IFERROR(INDEX(Load_Booking_Report!N:N, MATCH(TRUE, ISNUMBER(FIND(SUBSTITUTE(C205," ",""), Load_Booking_Report!AL:AL)), 0)), "Not Found")</f>
        <v/>
      </c>
      <c r="Y205" s="21">
        <f t="array" ref="Y205">IFERROR(INDEX(Load_Booking_Report!V:V, MATCH(TRUE, ISNUMBER(FIND(SUBSTITUTE(C205," ",""), Load_Booking_Report!AL:AL)), 0)), "Not Found")</f>
        <v/>
      </c>
      <c r="Z205" s="41">
        <f t="array" ref="Z205">IFERROR(INDEX(Load_Booking_Report!BC:BC, MATCH(TRUE, ISNUMBER(FIND(SUBSTITUTE(C205," ",""), Load_Booking_Report!AL:AL)), 0)), "Not Found")</f>
        <v/>
      </c>
    </row>
    <row r="206">
      <c r="A206" t="n">
        <v>10</v>
      </c>
      <c r="B206" t="n">
        <v>100508</v>
      </c>
      <c r="C206" t="inlineStr">
        <is>
          <t>ANON0000000</t>
        </is>
      </c>
      <c r="D206" t="n">
        <v>40</v>
      </c>
      <c r="E206" t="inlineStr">
        <is>
          <t>USNFK</t>
        </is>
      </c>
      <c r="F206" t="inlineStr">
        <is>
          <t>RULED</t>
        </is>
      </c>
      <c r="G206" t="n">
        <v>28700</v>
      </c>
      <c r="H206" t="inlineStr">
        <is>
          <t>ART</t>
        </is>
      </c>
      <c r="I206" t="inlineStr">
        <is>
          <t>45G1</t>
        </is>
      </c>
      <c r="L206" t="inlineStr">
        <is>
          <t>OOG</t>
        </is>
      </c>
      <c r="M206" t="inlineStr">
        <is>
          <t>Full</t>
        </is>
      </c>
      <c r="N206" t="inlineStr">
        <is>
          <t>RULED</t>
        </is>
      </c>
      <c r="P206" s="21">
        <f>C206</f>
        <v/>
      </c>
      <c r="Q206" s="21">
        <f t="array" ref="Q206">IFERROR(INDEX(Load_Booking_Report!AC:AC, MATCH(TRUE, ISNUMBER(FIND(SUBSTITUTE(C206," ",""), Load_Booking_Report!AL:AL)), 0)), "Not Found")</f>
        <v/>
      </c>
      <c r="R206" s="21">
        <f t="array" ref="R206">IFERROR(INDEX(Load_Booking_Report!C:C, MATCH(TRUE, ISNUMBER(FIND(SUBSTITUTE(C206," ",""), Load_Booking_Report!AL:AL)), 0)), "Not Found")</f>
        <v/>
      </c>
      <c r="S206" s="21">
        <f t="array" ref="S206">IFERROR(INDEX(Load_Booking_Report!AG:AG, MATCH(TRUE, ISNUMBER(FIND(SUBSTITUTE(C206," ",""), Load_Booking_Report!AL:AL)), 0)), "Not Found")</f>
        <v/>
      </c>
      <c r="T206" s="21">
        <f>G206</f>
        <v/>
      </c>
      <c r="U206" s="33">
        <f t="array" ref="U206">IFERROR(
   IF(
      INDEX(Load_Booking_Report!AM:AM,
             MATCH(TRUE,
                     ISNUMBER(FIND(SUBSTITUTE(C206," ",""),
                                    Load_Booking_Report!AL:AL)),
                     0)
      )=0,
      "",
      INDEX(Load_Booking_Report!AM:AM,
             MATCH(TRUE,
                     ISNUMBER(FIND(SUBSTITUTE(C206," ",""),
                                    Load_Booking_Report!AL:AL)),
                     0)
      )
   ),
   ""
)</f>
        <v/>
      </c>
      <c r="V206" s="21">
        <f t="array" ref="V206">IFERROR(
   IF(
      INDEX(Load_Booking_Report!AR:AR,
             MATCH(TRUE,
                     ISNUMBER(FIND(SUBSTITUTE(C206," ",""),
                                    Load_Booking_Report!AL:AL)),
                     0)
      )=0,
      "",
      INDEX(Load_Booking_Report!AR:AR,
             MATCH(TRUE,
                     ISNUMBER(FIND(SUBSTITUTE(C206," ",""),
                                    Load_Booking_Report!AL:AL)),
                     0)
      )
   ),
   ""
)</f>
        <v/>
      </c>
      <c r="W206" s="21">
        <f t="array" ref="W206">IFERROR(INDEX(Load_Booking_Report!F:F, MATCH(TRUE, ISNUMBER(FIND(SUBSTITUTE(C206," ",""), Load_Booking_Report!AL:AL)), 0)), "Not Found")</f>
        <v/>
      </c>
      <c r="X206" s="21">
        <f t="array" ref="X206">IFERROR(INDEX(Load_Booking_Report!N:N, MATCH(TRUE, ISNUMBER(FIND(SUBSTITUTE(C206," ",""), Load_Booking_Report!AL:AL)), 0)), "Not Found")</f>
        <v/>
      </c>
      <c r="Y206" s="21">
        <f t="array" ref="Y206">IFERROR(INDEX(Load_Booking_Report!V:V, MATCH(TRUE, ISNUMBER(FIND(SUBSTITUTE(C206," ",""), Load_Booking_Report!AL:AL)), 0)), "Not Found")</f>
        <v/>
      </c>
      <c r="Z206" s="41">
        <f t="array" ref="Z206">IFERROR(INDEX(Load_Booking_Report!BC:BC, MATCH(TRUE, ISNUMBER(FIND(SUBSTITUTE(C206," ",""), Load_Booking_Report!AL:AL)), 0)), "Not Found")</f>
        <v/>
      </c>
    </row>
    <row r="207">
      <c r="A207" t="n">
        <v>18</v>
      </c>
      <c r="B207" t="n">
        <v>180606</v>
      </c>
      <c r="C207" t="inlineStr">
        <is>
          <t>ANON0000000</t>
        </is>
      </c>
      <c r="D207" t="n">
        <v>40</v>
      </c>
      <c r="E207" t="inlineStr">
        <is>
          <t>USNFK</t>
        </is>
      </c>
      <c r="F207" t="inlineStr">
        <is>
          <t>RULED</t>
        </is>
      </c>
      <c r="G207" t="n">
        <v>28700</v>
      </c>
      <c r="H207" t="inlineStr">
        <is>
          <t>ART</t>
        </is>
      </c>
      <c r="I207" t="inlineStr">
        <is>
          <t>45G1</t>
        </is>
      </c>
      <c r="L207" t="inlineStr">
        <is>
          <t>OOG</t>
        </is>
      </c>
      <c r="M207" t="inlineStr">
        <is>
          <t>Full</t>
        </is>
      </c>
      <c r="N207" t="inlineStr">
        <is>
          <t>RULED</t>
        </is>
      </c>
      <c r="P207" s="21">
        <f>C207</f>
        <v/>
      </c>
      <c r="Q207" s="21">
        <f t="array" ref="Q207">IFERROR(INDEX(Load_Booking_Report!AC:AC, MATCH(TRUE, ISNUMBER(FIND(SUBSTITUTE(C207," ",""), Load_Booking_Report!AL:AL)), 0)), "Not Found")</f>
        <v/>
      </c>
      <c r="R207" s="21">
        <f t="array" ref="R207">IFERROR(INDEX(Load_Booking_Report!C:C, MATCH(TRUE, ISNUMBER(FIND(SUBSTITUTE(C207," ",""), Load_Booking_Report!AL:AL)), 0)), "Not Found")</f>
        <v/>
      </c>
      <c r="S207" s="21">
        <f t="array" ref="S207">IFERROR(INDEX(Load_Booking_Report!AG:AG, MATCH(TRUE, ISNUMBER(FIND(SUBSTITUTE(C207," ",""), Load_Booking_Report!AL:AL)), 0)), "Not Found")</f>
        <v/>
      </c>
      <c r="T207" s="21">
        <f>G207</f>
        <v/>
      </c>
      <c r="U207" s="33">
        <f t="array" ref="U207">IFERROR(
   IF(
      INDEX(Load_Booking_Report!AM:AM,
             MATCH(TRUE,
                     ISNUMBER(FIND(SUBSTITUTE(C207," ",""),
                                    Load_Booking_Report!AL:AL)),
                     0)
      )=0,
      "",
      INDEX(Load_Booking_Report!AM:AM,
             MATCH(TRUE,
                     ISNUMBER(FIND(SUBSTITUTE(C207," ",""),
                                    Load_Booking_Report!AL:AL)),
                     0)
      )
   ),
   ""
)</f>
        <v/>
      </c>
      <c r="V207" s="21">
        <f t="array" ref="V207">IFERROR(
   IF(
      INDEX(Load_Booking_Report!AR:AR,
             MATCH(TRUE,
                     ISNUMBER(FIND(SUBSTITUTE(C207," ",""),
                                    Load_Booking_Report!AL:AL)),
                     0)
      )=0,
      "",
      INDEX(Load_Booking_Report!AR:AR,
             MATCH(TRUE,
                     ISNUMBER(FIND(SUBSTITUTE(C207," ",""),
                                    Load_Booking_Report!AL:AL)),
                     0)
      )
   ),
   ""
)</f>
        <v/>
      </c>
      <c r="W207" s="21">
        <f t="array" ref="W207">IFERROR(INDEX(Load_Booking_Report!F:F, MATCH(TRUE, ISNUMBER(FIND(SUBSTITUTE(C207," ",""), Load_Booking_Report!AL:AL)), 0)), "Not Found")</f>
        <v/>
      </c>
      <c r="X207" s="21">
        <f t="array" ref="X207">IFERROR(INDEX(Load_Booking_Report!N:N, MATCH(TRUE, ISNUMBER(FIND(SUBSTITUTE(C207," ",""), Load_Booking_Report!AL:AL)), 0)), "Not Found")</f>
        <v/>
      </c>
      <c r="Y207" s="21">
        <f t="array" ref="Y207">IFERROR(INDEX(Load_Booking_Report!V:V, MATCH(TRUE, ISNUMBER(FIND(SUBSTITUTE(C207," ",""), Load_Booking_Report!AL:AL)), 0)), "Not Found")</f>
        <v/>
      </c>
      <c r="Z207" s="41">
        <f t="array" ref="Z207">IFERROR(INDEX(Load_Booking_Report!BC:BC, MATCH(TRUE, ISNUMBER(FIND(SUBSTITUTE(C207," ",""), Load_Booking_Report!AL:AL)), 0)), "Not Found")</f>
        <v/>
      </c>
    </row>
    <row r="208">
      <c r="A208" t="n">
        <v>6</v>
      </c>
      <c r="B208" t="n">
        <v>60686</v>
      </c>
      <c r="C208" t="inlineStr">
        <is>
          <t>ANON0000000</t>
        </is>
      </c>
      <c r="D208" t="n">
        <v>40</v>
      </c>
      <c r="E208" t="inlineStr">
        <is>
          <t>USNFK</t>
        </is>
      </c>
      <c r="F208" t="inlineStr">
        <is>
          <t>RULED</t>
        </is>
      </c>
      <c r="G208" t="n">
        <v>24400</v>
      </c>
      <c r="H208" t="inlineStr">
        <is>
          <t>ART</t>
        </is>
      </c>
      <c r="I208" t="inlineStr">
        <is>
          <t>45G1</t>
        </is>
      </c>
      <c r="L208" t="inlineStr">
        <is>
          <t>9'6</t>
        </is>
      </c>
      <c r="M208" t="inlineStr">
        <is>
          <t>Full</t>
        </is>
      </c>
      <c r="N208" t="inlineStr">
        <is>
          <t>RULED</t>
        </is>
      </c>
      <c r="P208" s="21">
        <f>C208</f>
        <v/>
      </c>
      <c r="Q208" s="21">
        <f t="array" ref="Q208">IFERROR(INDEX(Load_Booking_Report!AC:AC, MATCH(TRUE, ISNUMBER(FIND(SUBSTITUTE(C208," ",""), Load_Booking_Report!AL:AL)), 0)), "Not Found")</f>
        <v/>
      </c>
      <c r="R208" s="21">
        <f t="array" ref="R208">IFERROR(INDEX(Load_Booking_Report!C:C, MATCH(TRUE, ISNUMBER(FIND(SUBSTITUTE(C208," ",""), Load_Booking_Report!AL:AL)), 0)), "Not Found")</f>
        <v/>
      </c>
      <c r="S208" s="21">
        <f t="array" ref="S208">IFERROR(INDEX(Load_Booking_Report!AG:AG, MATCH(TRUE, ISNUMBER(FIND(SUBSTITUTE(C208," ",""), Load_Booking_Report!AL:AL)), 0)), "Not Found")</f>
        <v/>
      </c>
      <c r="T208" s="21">
        <f>G208</f>
        <v/>
      </c>
      <c r="U208" s="33">
        <f t="array" ref="U208">IFERROR(
   IF(
      INDEX(Load_Booking_Report!AM:AM,
             MATCH(TRUE,
                     ISNUMBER(FIND(SUBSTITUTE(C208," ",""),
                                    Load_Booking_Report!AL:AL)),
                     0)
      )=0,
      "",
      INDEX(Load_Booking_Report!AM:AM,
             MATCH(TRUE,
                     ISNUMBER(FIND(SUBSTITUTE(C208," ",""),
                                    Load_Booking_Report!AL:AL)),
                     0)
      )
   ),
   ""
)</f>
        <v/>
      </c>
      <c r="V208" s="21">
        <f t="array" ref="V208">IFERROR(
   IF(
      INDEX(Load_Booking_Report!AR:AR,
             MATCH(TRUE,
                     ISNUMBER(FIND(SUBSTITUTE(C208," ",""),
                                    Load_Booking_Report!AL:AL)),
                     0)
      )=0,
      "",
      INDEX(Load_Booking_Report!AR:AR,
             MATCH(TRUE,
                     ISNUMBER(FIND(SUBSTITUTE(C208," ",""),
                                    Load_Booking_Report!AL:AL)),
                     0)
      )
   ),
   ""
)</f>
        <v/>
      </c>
      <c r="W208" s="21">
        <f t="array" ref="W208">IFERROR(INDEX(Load_Booking_Report!F:F, MATCH(TRUE, ISNUMBER(FIND(SUBSTITUTE(C208," ",""), Load_Booking_Report!AL:AL)), 0)), "Not Found")</f>
        <v/>
      </c>
      <c r="X208" s="21">
        <f t="array" ref="X208">IFERROR(INDEX(Load_Booking_Report!N:N, MATCH(TRUE, ISNUMBER(FIND(SUBSTITUTE(C208," ",""), Load_Booking_Report!AL:AL)), 0)), "Not Found")</f>
        <v/>
      </c>
      <c r="Y208" s="21">
        <f t="array" ref="Y208">IFERROR(INDEX(Load_Booking_Report!V:V, MATCH(TRUE, ISNUMBER(FIND(SUBSTITUTE(C208," ",""), Load_Booking_Report!AL:AL)), 0)), "Not Found")</f>
        <v/>
      </c>
      <c r="Z208" s="41">
        <f t="array" ref="Z208">IFERROR(INDEX(Load_Booking_Report!BC:BC, MATCH(TRUE, ISNUMBER(FIND(SUBSTITUTE(C208," ",""), Load_Booking_Report!AL:AL)), 0)), "Not Found")</f>
        <v/>
      </c>
    </row>
    <row r="209">
      <c r="A209" t="n">
        <v>10</v>
      </c>
      <c r="B209" t="n">
        <v>100686</v>
      </c>
      <c r="C209" t="inlineStr">
        <is>
          <t>ANON0000000</t>
        </is>
      </c>
      <c r="D209" t="n">
        <v>40</v>
      </c>
      <c r="E209" t="inlineStr">
        <is>
          <t>USNFK</t>
        </is>
      </c>
      <c r="F209" t="inlineStr">
        <is>
          <t>RULED</t>
        </is>
      </c>
      <c r="G209" t="n">
        <v>25050</v>
      </c>
      <c r="H209" t="inlineStr">
        <is>
          <t>ART</t>
        </is>
      </c>
      <c r="I209" t="inlineStr">
        <is>
          <t>45G1</t>
        </is>
      </c>
      <c r="L209" t="inlineStr">
        <is>
          <t>9'6</t>
        </is>
      </c>
      <c r="M209" t="inlineStr">
        <is>
          <t>Full</t>
        </is>
      </c>
      <c r="N209" t="inlineStr">
        <is>
          <t>RULED</t>
        </is>
      </c>
      <c r="P209" s="21">
        <f>C209</f>
        <v/>
      </c>
      <c r="Q209" s="21">
        <f t="array" ref="Q209">IFERROR(INDEX(Load_Booking_Report!AC:AC, MATCH(TRUE, ISNUMBER(FIND(SUBSTITUTE(C209," ",""), Load_Booking_Report!AL:AL)), 0)), "Not Found")</f>
        <v/>
      </c>
      <c r="R209" s="21">
        <f t="array" ref="R209">IFERROR(INDEX(Load_Booking_Report!C:C, MATCH(TRUE, ISNUMBER(FIND(SUBSTITUTE(C209," ",""), Load_Booking_Report!AL:AL)), 0)), "Not Found")</f>
        <v/>
      </c>
      <c r="S209" s="21">
        <f t="array" ref="S209">IFERROR(INDEX(Load_Booking_Report!AG:AG, MATCH(TRUE, ISNUMBER(FIND(SUBSTITUTE(C209," ",""), Load_Booking_Report!AL:AL)), 0)), "Not Found")</f>
        <v/>
      </c>
      <c r="T209" s="21">
        <f>G209</f>
        <v/>
      </c>
      <c r="U209" s="33">
        <f t="array" ref="U209">IFERROR(
   IF(
      INDEX(Load_Booking_Report!AM:AM,
             MATCH(TRUE,
                     ISNUMBER(FIND(SUBSTITUTE(C209," ",""),
                                    Load_Booking_Report!AL:AL)),
                     0)
      )=0,
      "",
      INDEX(Load_Booking_Report!AM:AM,
             MATCH(TRUE,
                     ISNUMBER(FIND(SUBSTITUTE(C209," ",""),
                                    Load_Booking_Report!AL:AL)),
                     0)
      )
   ),
   ""
)</f>
        <v/>
      </c>
      <c r="V209" s="21">
        <f t="array" ref="V209">IFERROR(
   IF(
      INDEX(Load_Booking_Report!AR:AR,
             MATCH(TRUE,
                     ISNUMBER(FIND(SUBSTITUTE(C209," ",""),
                                    Load_Booking_Report!AL:AL)),
                     0)
      )=0,
      "",
      INDEX(Load_Booking_Report!AR:AR,
             MATCH(TRUE,
                     ISNUMBER(FIND(SUBSTITUTE(C209," ",""),
                                    Load_Booking_Report!AL:AL)),
                     0)
      )
   ),
   ""
)</f>
        <v/>
      </c>
      <c r="W209" s="21">
        <f t="array" ref="W209">IFERROR(INDEX(Load_Booking_Report!F:F, MATCH(TRUE, ISNUMBER(FIND(SUBSTITUTE(C209," ",""), Load_Booking_Report!AL:AL)), 0)), "Not Found")</f>
        <v/>
      </c>
      <c r="X209" s="21">
        <f t="array" ref="X209">IFERROR(INDEX(Load_Booking_Report!N:N, MATCH(TRUE, ISNUMBER(FIND(SUBSTITUTE(C209," ",""), Load_Booking_Report!AL:AL)), 0)), "Not Found")</f>
        <v/>
      </c>
      <c r="Y209" s="21">
        <f t="array" ref="Y209">IFERROR(INDEX(Load_Booking_Report!V:V, MATCH(TRUE, ISNUMBER(FIND(SUBSTITUTE(C209," ",""), Load_Booking_Report!AL:AL)), 0)), "Not Found")</f>
        <v/>
      </c>
      <c r="Z209" s="41">
        <f t="array" ref="Z209">IFERROR(INDEX(Load_Booking_Report!BC:BC, MATCH(TRUE, ISNUMBER(FIND(SUBSTITUTE(C209," ",""), Load_Booking_Report!AL:AL)), 0)), "Not Found")</f>
        <v/>
      </c>
    </row>
    <row r="210">
      <c r="A210" t="n">
        <v>18</v>
      </c>
      <c r="B210" t="n">
        <v>180408</v>
      </c>
      <c r="C210" t="inlineStr">
        <is>
          <t>ANON0000000</t>
        </is>
      </c>
      <c r="D210" t="n">
        <v>40</v>
      </c>
      <c r="E210" t="inlineStr">
        <is>
          <t>USNFK</t>
        </is>
      </c>
      <c r="F210" t="inlineStr">
        <is>
          <t>RULED</t>
        </is>
      </c>
      <c r="G210" t="n">
        <v>28600</v>
      </c>
      <c r="H210" t="inlineStr">
        <is>
          <t>ART</t>
        </is>
      </c>
      <c r="I210" t="inlineStr">
        <is>
          <t>45G1</t>
        </is>
      </c>
      <c r="L210" t="inlineStr">
        <is>
          <t>OOG</t>
        </is>
      </c>
      <c r="M210" t="inlineStr">
        <is>
          <t>Full</t>
        </is>
      </c>
      <c r="N210" t="inlineStr">
        <is>
          <t>RULED</t>
        </is>
      </c>
      <c r="P210" s="21">
        <f>C210</f>
        <v/>
      </c>
      <c r="Q210" s="21">
        <f t="array" ref="Q210">IFERROR(INDEX(Load_Booking_Report!AC:AC, MATCH(TRUE, ISNUMBER(FIND(SUBSTITUTE(C210," ",""), Load_Booking_Report!AL:AL)), 0)), "Not Found")</f>
        <v/>
      </c>
      <c r="R210" s="21">
        <f t="array" ref="R210">IFERROR(INDEX(Load_Booking_Report!C:C, MATCH(TRUE, ISNUMBER(FIND(SUBSTITUTE(C210," ",""), Load_Booking_Report!AL:AL)), 0)), "Not Found")</f>
        <v/>
      </c>
      <c r="S210" s="21">
        <f t="array" ref="S210">IFERROR(INDEX(Load_Booking_Report!AG:AG, MATCH(TRUE, ISNUMBER(FIND(SUBSTITUTE(C210," ",""), Load_Booking_Report!AL:AL)), 0)), "Not Found")</f>
        <v/>
      </c>
      <c r="T210" s="21">
        <f>G210</f>
        <v/>
      </c>
      <c r="U210" s="33">
        <f t="array" ref="U210">IFERROR(
   IF(
      INDEX(Load_Booking_Report!AM:AM,
             MATCH(TRUE,
                     ISNUMBER(FIND(SUBSTITUTE(C210," ",""),
                                    Load_Booking_Report!AL:AL)),
                     0)
      )=0,
      "",
      INDEX(Load_Booking_Report!AM:AM,
             MATCH(TRUE,
                     ISNUMBER(FIND(SUBSTITUTE(C210," ",""),
                                    Load_Booking_Report!AL:AL)),
                     0)
      )
   ),
   ""
)</f>
        <v/>
      </c>
      <c r="V210" s="21">
        <f t="array" ref="V210">IFERROR(
   IF(
      INDEX(Load_Booking_Report!AR:AR,
             MATCH(TRUE,
                     ISNUMBER(FIND(SUBSTITUTE(C210," ",""),
                                    Load_Booking_Report!AL:AL)),
                     0)
      )=0,
      "",
      INDEX(Load_Booking_Report!AR:AR,
             MATCH(TRUE,
                     ISNUMBER(FIND(SUBSTITUTE(C210," ",""),
                                    Load_Booking_Report!AL:AL)),
                     0)
      )
   ),
   ""
)</f>
        <v/>
      </c>
      <c r="W210" s="21">
        <f t="array" ref="W210">IFERROR(INDEX(Load_Booking_Report!F:F, MATCH(TRUE, ISNUMBER(FIND(SUBSTITUTE(C210," ",""), Load_Booking_Report!AL:AL)), 0)), "Not Found")</f>
        <v/>
      </c>
      <c r="X210" s="21">
        <f t="array" ref="X210">IFERROR(INDEX(Load_Booking_Report!N:N, MATCH(TRUE, ISNUMBER(FIND(SUBSTITUTE(C210," ",""), Load_Booking_Report!AL:AL)), 0)), "Not Found")</f>
        <v/>
      </c>
      <c r="Y210" s="21">
        <f t="array" ref="Y210">IFERROR(INDEX(Load_Booking_Report!V:V, MATCH(TRUE, ISNUMBER(FIND(SUBSTITUTE(C210," ",""), Load_Booking_Report!AL:AL)), 0)), "Not Found")</f>
        <v/>
      </c>
      <c r="Z210" s="41">
        <f t="array" ref="Z210">IFERROR(INDEX(Load_Booking_Report!BC:BC, MATCH(TRUE, ISNUMBER(FIND(SUBSTITUTE(C210," ",""), Load_Booking_Report!AL:AL)), 0)), "Not Found")</f>
        <v/>
      </c>
    </row>
    <row r="211">
      <c r="A211" t="n">
        <v>34</v>
      </c>
      <c r="B211" t="n">
        <v>340206</v>
      </c>
      <c r="C211" t="inlineStr">
        <is>
          <t>ANON0000000</t>
        </is>
      </c>
      <c r="D211" t="n">
        <v>40</v>
      </c>
      <c r="E211" t="inlineStr">
        <is>
          <t>USNYC</t>
        </is>
      </c>
      <c r="F211" t="inlineStr">
        <is>
          <t>RULED</t>
        </is>
      </c>
      <c r="G211" t="n">
        <v>12510</v>
      </c>
      <c r="H211" t="inlineStr">
        <is>
          <t>ART</t>
        </is>
      </c>
      <c r="I211" t="inlineStr">
        <is>
          <t>45G1</t>
        </is>
      </c>
      <c r="L211" t="inlineStr">
        <is>
          <t>9'6</t>
        </is>
      </c>
      <c r="M211" t="inlineStr">
        <is>
          <t>Full</t>
        </is>
      </c>
      <c r="N211" t="inlineStr">
        <is>
          <t>RULED</t>
        </is>
      </c>
      <c r="P211" s="21">
        <f>C211</f>
        <v/>
      </c>
      <c r="Q211" s="21">
        <f t="array" ref="Q211">IFERROR(INDEX(Load_Booking_Report!AC:AC, MATCH(TRUE, ISNUMBER(FIND(SUBSTITUTE(C211," ",""), Load_Booking_Report!AL:AL)), 0)), "Not Found")</f>
        <v/>
      </c>
      <c r="R211" s="21">
        <f t="array" ref="R211">IFERROR(INDEX(Load_Booking_Report!C:C, MATCH(TRUE, ISNUMBER(FIND(SUBSTITUTE(C211," ",""), Load_Booking_Report!AL:AL)), 0)), "Not Found")</f>
        <v/>
      </c>
      <c r="S211" s="21">
        <f t="array" ref="S211">IFERROR(INDEX(Load_Booking_Report!AG:AG, MATCH(TRUE, ISNUMBER(FIND(SUBSTITUTE(C211," ",""), Load_Booking_Report!AL:AL)), 0)), "Not Found")</f>
        <v/>
      </c>
      <c r="T211" s="21">
        <f>G211</f>
        <v/>
      </c>
      <c r="U211" s="33">
        <f t="array" ref="U211">IFERROR(
   IF(
      INDEX(Load_Booking_Report!AM:AM,
             MATCH(TRUE,
                     ISNUMBER(FIND(SUBSTITUTE(C211," ",""),
                                    Load_Booking_Report!AL:AL)),
                     0)
      )=0,
      "",
      INDEX(Load_Booking_Report!AM:AM,
             MATCH(TRUE,
                     ISNUMBER(FIND(SUBSTITUTE(C211," ",""),
                                    Load_Booking_Report!AL:AL)),
                     0)
      )
   ),
   ""
)</f>
        <v/>
      </c>
      <c r="V211" s="21">
        <f t="array" ref="V211">IFERROR(
   IF(
      INDEX(Load_Booking_Report!AR:AR,
             MATCH(TRUE,
                     ISNUMBER(FIND(SUBSTITUTE(C211," ",""),
                                    Load_Booking_Report!AL:AL)),
                     0)
      )=0,
      "",
      INDEX(Load_Booking_Report!AR:AR,
             MATCH(TRUE,
                     ISNUMBER(FIND(SUBSTITUTE(C211," ",""),
                                    Load_Booking_Report!AL:AL)),
                     0)
      )
   ),
   ""
)</f>
        <v/>
      </c>
      <c r="W211" s="21">
        <f t="array" ref="W211">IFERROR(INDEX(Load_Booking_Report!F:F, MATCH(TRUE, ISNUMBER(FIND(SUBSTITUTE(C211," ",""), Load_Booking_Report!AL:AL)), 0)), "Not Found")</f>
        <v/>
      </c>
      <c r="X211" s="21">
        <f t="array" ref="X211">IFERROR(INDEX(Load_Booking_Report!N:N, MATCH(TRUE, ISNUMBER(FIND(SUBSTITUTE(C211," ",""), Load_Booking_Report!AL:AL)), 0)), "Not Found")</f>
        <v/>
      </c>
      <c r="Y211" s="21">
        <f t="array" ref="Y211">IFERROR(INDEX(Load_Booking_Report!V:V, MATCH(TRUE, ISNUMBER(FIND(SUBSTITUTE(C211," ",""), Load_Booking_Report!AL:AL)), 0)), "Not Found")</f>
        <v/>
      </c>
      <c r="Z211" s="41">
        <f t="array" ref="Z211">IFERROR(INDEX(Load_Booking_Report!BC:BC, MATCH(TRUE, ISNUMBER(FIND(SUBSTITUTE(C211," ",""), Load_Booking_Report!AL:AL)), 0)), "Not Found")</f>
        <v/>
      </c>
    </row>
    <row r="212">
      <c r="A212" t="n">
        <v>30</v>
      </c>
      <c r="B212" t="n">
        <v>300784</v>
      </c>
      <c r="C212" t="inlineStr">
        <is>
          <t>ANON0000000</t>
        </is>
      </c>
      <c r="D212" t="n">
        <v>40</v>
      </c>
      <c r="E212" t="inlineStr">
        <is>
          <t>USNFK</t>
        </is>
      </c>
      <c r="F212" t="inlineStr">
        <is>
          <t>RULED</t>
        </is>
      </c>
      <c r="G212" t="n">
        <v>25800</v>
      </c>
      <c r="H212" t="inlineStr">
        <is>
          <t>ART</t>
        </is>
      </c>
      <c r="I212" t="inlineStr">
        <is>
          <t>45G1</t>
        </is>
      </c>
      <c r="L212" t="inlineStr">
        <is>
          <t>OOG</t>
        </is>
      </c>
      <c r="M212" t="inlineStr">
        <is>
          <t>Full</t>
        </is>
      </c>
      <c r="N212" t="inlineStr">
        <is>
          <t>RULED</t>
        </is>
      </c>
      <c r="P212" s="21">
        <f>C212</f>
        <v/>
      </c>
      <c r="Q212" s="21">
        <f t="array" ref="Q212">IFERROR(INDEX(Load_Booking_Report!AC:AC, MATCH(TRUE, ISNUMBER(FIND(SUBSTITUTE(C212," ",""), Load_Booking_Report!AL:AL)), 0)), "Not Found")</f>
        <v/>
      </c>
      <c r="R212" s="21">
        <f t="array" ref="R212">IFERROR(INDEX(Load_Booking_Report!C:C, MATCH(TRUE, ISNUMBER(FIND(SUBSTITUTE(C212," ",""), Load_Booking_Report!AL:AL)), 0)), "Not Found")</f>
        <v/>
      </c>
      <c r="S212" s="21">
        <f t="array" ref="S212">IFERROR(INDEX(Load_Booking_Report!AG:AG, MATCH(TRUE, ISNUMBER(FIND(SUBSTITUTE(C212," ",""), Load_Booking_Report!AL:AL)), 0)), "Not Found")</f>
        <v/>
      </c>
      <c r="T212" s="21">
        <f>G212</f>
        <v/>
      </c>
      <c r="U212" s="33">
        <f t="array" ref="U212">IFERROR(
   IF(
      INDEX(Load_Booking_Report!AM:AM,
             MATCH(TRUE,
                     ISNUMBER(FIND(SUBSTITUTE(C212," ",""),
                                    Load_Booking_Report!AL:AL)),
                     0)
      )=0,
      "",
      INDEX(Load_Booking_Report!AM:AM,
             MATCH(TRUE,
                     ISNUMBER(FIND(SUBSTITUTE(C212," ",""),
                                    Load_Booking_Report!AL:AL)),
                     0)
      )
   ),
   ""
)</f>
        <v/>
      </c>
      <c r="V212" s="21">
        <f t="array" ref="V212">IFERROR(
   IF(
      INDEX(Load_Booking_Report!AR:AR,
             MATCH(TRUE,
                     ISNUMBER(FIND(SUBSTITUTE(C212," ",""),
                                    Load_Booking_Report!AL:AL)),
                     0)
      )=0,
      "",
      INDEX(Load_Booking_Report!AR:AR,
             MATCH(TRUE,
                     ISNUMBER(FIND(SUBSTITUTE(C212," ",""),
                                    Load_Booking_Report!AL:AL)),
                     0)
      )
   ),
   ""
)</f>
        <v/>
      </c>
      <c r="W212" s="21">
        <f t="array" ref="W212">IFERROR(INDEX(Load_Booking_Report!F:F, MATCH(TRUE, ISNUMBER(FIND(SUBSTITUTE(C212," ",""), Load_Booking_Report!AL:AL)), 0)), "Not Found")</f>
        <v/>
      </c>
      <c r="X212" s="21">
        <f t="array" ref="X212">IFERROR(INDEX(Load_Booking_Report!N:N, MATCH(TRUE, ISNUMBER(FIND(SUBSTITUTE(C212," ",""), Load_Booking_Report!AL:AL)), 0)), "Not Found")</f>
        <v/>
      </c>
      <c r="Y212" s="21">
        <f t="array" ref="Y212">IFERROR(INDEX(Load_Booking_Report!V:V, MATCH(TRUE, ISNUMBER(FIND(SUBSTITUTE(C212," ",""), Load_Booking_Report!AL:AL)), 0)), "Not Found")</f>
        <v/>
      </c>
      <c r="Z212" s="41">
        <f t="array" ref="Z212">IFERROR(INDEX(Load_Booking_Report!BC:BC, MATCH(TRUE, ISNUMBER(FIND(SUBSTITUTE(C212," ",""), Load_Booking_Report!AL:AL)), 0)), "Not Found")</f>
        <v/>
      </c>
    </row>
    <row r="213">
      <c r="A213" t="n">
        <v>6</v>
      </c>
      <c r="B213" t="n">
        <v>60208</v>
      </c>
      <c r="C213" t="inlineStr">
        <is>
          <t>ANON0000000</t>
        </is>
      </c>
      <c r="D213" t="n">
        <v>40</v>
      </c>
      <c r="E213" t="inlineStr">
        <is>
          <t>USNFK</t>
        </is>
      </c>
      <c r="F213" t="inlineStr">
        <is>
          <t>RULED</t>
        </is>
      </c>
      <c r="G213" t="n">
        <v>29120</v>
      </c>
      <c r="H213" t="inlineStr">
        <is>
          <t>ART</t>
        </is>
      </c>
      <c r="I213" t="inlineStr">
        <is>
          <t>45G1</t>
        </is>
      </c>
      <c r="L213" t="inlineStr">
        <is>
          <t>9'6</t>
        </is>
      </c>
      <c r="M213" t="inlineStr">
        <is>
          <t>Full</t>
        </is>
      </c>
      <c r="N213" t="inlineStr">
        <is>
          <t>RULED</t>
        </is>
      </c>
      <c r="P213" s="21">
        <f>C213</f>
        <v/>
      </c>
      <c r="Q213" s="21">
        <f t="array" ref="Q213">IFERROR(INDEX(Load_Booking_Report!AC:AC, MATCH(TRUE, ISNUMBER(FIND(SUBSTITUTE(C213," ",""), Load_Booking_Report!AL:AL)), 0)), "Not Found")</f>
        <v/>
      </c>
      <c r="R213" s="21">
        <f t="array" ref="R213">IFERROR(INDEX(Load_Booking_Report!C:C, MATCH(TRUE, ISNUMBER(FIND(SUBSTITUTE(C213," ",""), Load_Booking_Report!AL:AL)), 0)), "Not Found")</f>
        <v/>
      </c>
      <c r="S213" s="21">
        <f t="array" ref="S213">IFERROR(INDEX(Load_Booking_Report!AG:AG, MATCH(TRUE, ISNUMBER(FIND(SUBSTITUTE(C213," ",""), Load_Booking_Report!AL:AL)), 0)), "Not Found")</f>
        <v/>
      </c>
      <c r="T213" s="21">
        <f>G213</f>
        <v/>
      </c>
      <c r="U213" s="33">
        <f t="array" ref="U213">IFERROR(
   IF(
      INDEX(Load_Booking_Report!AM:AM,
             MATCH(TRUE,
                     ISNUMBER(FIND(SUBSTITUTE(C213," ",""),
                                    Load_Booking_Report!AL:AL)),
                     0)
      )=0,
      "",
      INDEX(Load_Booking_Report!AM:AM,
             MATCH(TRUE,
                     ISNUMBER(FIND(SUBSTITUTE(C213," ",""),
                                    Load_Booking_Report!AL:AL)),
                     0)
      )
   ),
   ""
)</f>
        <v/>
      </c>
      <c r="V213" s="21">
        <f t="array" ref="V213">IFERROR(
   IF(
      INDEX(Load_Booking_Report!AR:AR,
             MATCH(TRUE,
                     ISNUMBER(FIND(SUBSTITUTE(C213," ",""),
                                    Load_Booking_Report!AL:AL)),
                     0)
      )=0,
      "",
      INDEX(Load_Booking_Report!AR:AR,
             MATCH(TRUE,
                     ISNUMBER(FIND(SUBSTITUTE(C213," ",""),
                                    Load_Booking_Report!AL:AL)),
                     0)
      )
   ),
   ""
)</f>
        <v/>
      </c>
      <c r="W213" s="21">
        <f t="array" ref="W213">IFERROR(INDEX(Load_Booking_Report!F:F, MATCH(TRUE, ISNUMBER(FIND(SUBSTITUTE(C213," ",""), Load_Booking_Report!AL:AL)), 0)), "Not Found")</f>
        <v/>
      </c>
      <c r="X213" s="21">
        <f t="array" ref="X213">IFERROR(INDEX(Load_Booking_Report!N:N, MATCH(TRUE, ISNUMBER(FIND(SUBSTITUTE(C213," ",""), Load_Booking_Report!AL:AL)), 0)), "Not Found")</f>
        <v/>
      </c>
      <c r="Y213" s="21">
        <f t="array" ref="Y213">IFERROR(INDEX(Load_Booking_Report!V:V, MATCH(TRUE, ISNUMBER(FIND(SUBSTITUTE(C213," ",""), Load_Booking_Report!AL:AL)), 0)), "Not Found")</f>
        <v/>
      </c>
      <c r="Z213" s="41">
        <f t="array" ref="Z213">IFERROR(INDEX(Load_Booking_Report!BC:BC, MATCH(TRUE, ISNUMBER(FIND(SUBSTITUTE(C213," ",""), Load_Booking_Report!AL:AL)), 0)), "Not Found")</f>
        <v/>
      </c>
    </row>
    <row r="214">
      <c r="A214" t="n">
        <v>34</v>
      </c>
      <c r="B214" t="n">
        <v>340484</v>
      </c>
      <c r="C214" t="inlineStr">
        <is>
          <t>ANON0000000</t>
        </is>
      </c>
      <c r="D214" t="n">
        <v>40</v>
      </c>
      <c r="E214" t="inlineStr">
        <is>
          <t>USHOU</t>
        </is>
      </c>
      <c r="F214" t="inlineStr">
        <is>
          <t>RULED</t>
        </is>
      </c>
      <c r="G214" t="n">
        <v>22528</v>
      </c>
      <c r="H214" t="inlineStr">
        <is>
          <t>ART</t>
        </is>
      </c>
      <c r="I214" t="inlineStr">
        <is>
          <t>45G1</t>
        </is>
      </c>
      <c r="L214" t="inlineStr">
        <is>
          <t>9'6</t>
        </is>
      </c>
      <c r="M214" t="inlineStr">
        <is>
          <t>Full</t>
        </is>
      </c>
      <c r="N214" t="inlineStr">
        <is>
          <t>RULED</t>
        </is>
      </c>
      <c r="P214" s="21">
        <f>C214</f>
        <v/>
      </c>
      <c r="Q214" s="21">
        <f t="array" ref="Q214">IFERROR(INDEX(Load_Booking_Report!AC:AC, MATCH(TRUE, ISNUMBER(FIND(SUBSTITUTE(C214," ",""), Load_Booking_Report!AL:AL)), 0)), "Not Found")</f>
        <v/>
      </c>
      <c r="R214" s="21">
        <f t="array" ref="R214">IFERROR(INDEX(Load_Booking_Report!C:C, MATCH(TRUE, ISNUMBER(FIND(SUBSTITUTE(C214," ",""), Load_Booking_Report!AL:AL)), 0)), "Not Found")</f>
        <v/>
      </c>
      <c r="S214" s="21">
        <f t="array" ref="S214">IFERROR(INDEX(Load_Booking_Report!AG:AG, MATCH(TRUE, ISNUMBER(FIND(SUBSTITUTE(C214," ",""), Load_Booking_Report!AL:AL)), 0)), "Not Found")</f>
        <v/>
      </c>
      <c r="T214" s="21">
        <f>G214</f>
        <v/>
      </c>
      <c r="U214" s="33">
        <f t="array" ref="U214">IFERROR(
   IF(
      INDEX(Load_Booking_Report!AM:AM,
             MATCH(TRUE,
                     ISNUMBER(FIND(SUBSTITUTE(C214," ",""),
                                    Load_Booking_Report!AL:AL)),
                     0)
      )=0,
      "",
      INDEX(Load_Booking_Report!AM:AM,
             MATCH(TRUE,
                     ISNUMBER(FIND(SUBSTITUTE(C214," ",""),
                                    Load_Booking_Report!AL:AL)),
                     0)
      )
   ),
   ""
)</f>
        <v/>
      </c>
      <c r="V214" s="21">
        <f t="array" ref="V214">IFERROR(
   IF(
      INDEX(Load_Booking_Report!AR:AR,
             MATCH(TRUE,
                     ISNUMBER(FIND(SUBSTITUTE(C214," ",""),
                                    Load_Booking_Report!AL:AL)),
                     0)
      )=0,
      "",
      INDEX(Load_Booking_Report!AR:AR,
             MATCH(TRUE,
                     ISNUMBER(FIND(SUBSTITUTE(C214," ",""),
                                    Load_Booking_Report!AL:AL)),
                     0)
      )
   ),
   ""
)</f>
        <v/>
      </c>
      <c r="W214" s="21">
        <f t="array" ref="W214">IFERROR(INDEX(Load_Booking_Report!F:F, MATCH(TRUE, ISNUMBER(FIND(SUBSTITUTE(C214," ",""), Load_Booking_Report!AL:AL)), 0)), "Not Found")</f>
        <v/>
      </c>
      <c r="X214" s="21">
        <f t="array" ref="X214">IFERROR(INDEX(Load_Booking_Report!N:N, MATCH(TRUE, ISNUMBER(FIND(SUBSTITUTE(C214," ",""), Load_Booking_Report!AL:AL)), 0)), "Not Found")</f>
        <v/>
      </c>
      <c r="Y214" s="21">
        <f t="array" ref="Y214">IFERROR(INDEX(Load_Booking_Report!V:V, MATCH(TRUE, ISNUMBER(FIND(SUBSTITUTE(C214," ",""), Load_Booking_Report!AL:AL)), 0)), "Not Found")</f>
        <v/>
      </c>
      <c r="Z214" s="41">
        <f t="array" ref="Z214">IFERROR(INDEX(Load_Booking_Report!BC:BC, MATCH(TRUE, ISNUMBER(FIND(SUBSTITUTE(C214," ",""), Load_Booking_Report!AL:AL)), 0)), "Not Found")</f>
        <v/>
      </c>
    </row>
    <row r="215">
      <c r="A215" t="n">
        <v>22</v>
      </c>
      <c r="B215" t="n">
        <v>220486</v>
      </c>
      <c r="C215" t="inlineStr">
        <is>
          <t>ANON0000000</t>
        </is>
      </c>
      <c r="D215" t="n">
        <v>40</v>
      </c>
      <c r="E215" t="inlineStr">
        <is>
          <t>USNFK</t>
        </is>
      </c>
      <c r="F215" t="inlineStr">
        <is>
          <t>RULED</t>
        </is>
      </c>
      <c r="G215" t="n">
        <v>24150</v>
      </c>
      <c r="H215" t="inlineStr">
        <is>
          <t>ART</t>
        </is>
      </c>
      <c r="I215" t="inlineStr">
        <is>
          <t>45G1</t>
        </is>
      </c>
      <c r="L215" t="inlineStr">
        <is>
          <t>9'6</t>
        </is>
      </c>
      <c r="M215" t="inlineStr">
        <is>
          <t>Full</t>
        </is>
      </c>
      <c r="N215" t="inlineStr">
        <is>
          <t>RULED</t>
        </is>
      </c>
      <c r="P215" s="21">
        <f>C215</f>
        <v/>
      </c>
      <c r="Q215" s="21">
        <f t="array" ref="Q215">IFERROR(INDEX(Load_Booking_Report!AC:AC, MATCH(TRUE, ISNUMBER(FIND(SUBSTITUTE(C215," ",""), Load_Booking_Report!AL:AL)), 0)), "Not Found")</f>
        <v/>
      </c>
      <c r="R215" s="21">
        <f t="array" ref="R215">IFERROR(INDEX(Load_Booking_Report!C:C, MATCH(TRUE, ISNUMBER(FIND(SUBSTITUTE(C215," ",""), Load_Booking_Report!AL:AL)), 0)), "Not Found")</f>
        <v/>
      </c>
      <c r="S215" s="21">
        <f t="array" ref="S215">IFERROR(INDEX(Load_Booking_Report!AG:AG, MATCH(TRUE, ISNUMBER(FIND(SUBSTITUTE(C215," ",""), Load_Booking_Report!AL:AL)), 0)), "Not Found")</f>
        <v/>
      </c>
      <c r="T215" s="21">
        <f>G215</f>
        <v/>
      </c>
      <c r="U215" s="33">
        <f t="array" ref="U215">IFERROR(
   IF(
      INDEX(Load_Booking_Report!AM:AM,
             MATCH(TRUE,
                     ISNUMBER(FIND(SUBSTITUTE(C215," ",""),
                                    Load_Booking_Report!AL:AL)),
                     0)
      )=0,
      "",
      INDEX(Load_Booking_Report!AM:AM,
             MATCH(TRUE,
                     ISNUMBER(FIND(SUBSTITUTE(C215," ",""),
                                    Load_Booking_Report!AL:AL)),
                     0)
      )
   ),
   ""
)</f>
        <v/>
      </c>
      <c r="V215" s="21">
        <f t="array" ref="V215">IFERROR(
   IF(
      INDEX(Load_Booking_Report!AR:AR,
             MATCH(TRUE,
                     ISNUMBER(FIND(SUBSTITUTE(C215," ",""),
                                    Load_Booking_Report!AL:AL)),
                     0)
      )=0,
      "",
      INDEX(Load_Booking_Report!AR:AR,
             MATCH(TRUE,
                     ISNUMBER(FIND(SUBSTITUTE(C215," ",""),
                                    Load_Booking_Report!AL:AL)),
                     0)
      )
   ),
   ""
)</f>
        <v/>
      </c>
      <c r="W215" s="21">
        <f t="array" ref="W215">IFERROR(INDEX(Load_Booking_Report!F:F, MATCH(TRUE, ISNUMBER(FIND(SUBSTITUTE(C215," ",""), Load_Booking_Report!AL:AL)), 0)), "Not Found")</f>
        <v/>
      </c>
      <c r="X215" s="21">
        <f t="array" ref="X215">IFERROR(INDEX(Load_Booking_Report!N:N, MATCH(TRUE, ISNUMBER(FIND(SUBSTITUTE(C215," ",""), Load_Booking_Report!AL:AL)), 0)), "Not Found")</f>
        <v/>
      </c>
      <c r="Y215" s="21">
        <f t="array" ref="Y215">IFERROR(INDEX(Load_Booking_Report!V:V, MATCH(TRUE, ISNUMBER(FIND(SUBSTITUTE(C215," ",""), Load_Booking_Report!AL:AL)), 0)), "Not Found")</f>
        <v/>
      </c>
      <c r="Z215" s="41">
        <f t="array" ref="Z215">IFERROR(INDEX(Load_Booking_Report!BC:BC, MATCH(TRUE, ISNUMBER(FIND(SUBSTITUTE(C215," ",""), Load_Booking_Report!AL:AL)), 0)), "Not Found")</f>
        <v/>
      </c>
    </row>
    <row r="216">
      <c r="A216" t="n">
        <v>14</v>
      </c>
      <c r="B216" t="n">
        <v>140786</v>
      </c>
      <c r="C216" t="inlineStr">
        <is>
          <t>ANON0000000</t>
        </is>
      </c>
      <c r="D216" t="n">
        <v>40</v>
      </c>
      <c r="E216" t="inlineStr">
        <is>
          <t>USNFK</t>
        </is>
      </c>
      <c r="F216" t="inlineStr">
        <is>
          <t>RULED</t>
        </is>
      </c>
      <c r="G216" t="n">
        <v>24600</v>
      </c>
      <c r="H216" t="inlineStr">
        <is>
          <t>ART</t>
        </is>
      </c>
      <c r="I216" t="inlineStr">
        <is>
          <t>45G1</t>
        </is>
      </c>
      <c r="L216" t="inlineStr">
        <is>
          <t>9'6</t>
        </is>
      </c>
      <c r="M216" t="inlineStr">
        <is>
          <t>Full</t>
        </is>
      </c>
      <c r="N216" t="inlineStr">
        <is>
          <t>RULED</t>
        </is>
      </c>
      <c r="P216" s="21">
        <f>C216</f>
        <v/>
      </c>
      <c r="Q216" s="21">
        <f t="array" ref="Q216">IFERROR(INDEX(Load_Booking_Report!AC:AC, MATCH(TRUE, ISNUMBER(FIND(SUBSTITUTE(C216," ",""), Load_Booking_Report!AL:AL)), 0)), "Not Found")</f>
        <v/>
      </c>
      <c r="R216" s="21">
        <f t="array" ref="R216">IFERROR(INDEX(Load_Booking_Report!C:C, MATCH(TRUE, ISNUMBER(FIND(SUBSTITUTE(C216," ",""), Load_Booking_Report!AL:AL)), 0)), "Not Found")</f>
        <v/>
      </c>
      <c r="S216" s="21">
        <f t="array" ref="S216">IFERROR(INDEX(Load_Booking_Report!AG:AG, MATCH(TRUE, ISNUMBER(FIND(SUBSTITUTE(C216," ",""), Load_Booking_Report!AL:AL)), 0)), "Not Found")</f>
        <v/>
      </c>
      <c r="T216" s="21">
        <f>G216</f>
        <v/>
      </c>
      <c r="U216" s="33">
        <f t="array" ref="U216">IFERROR(
   IF(
      INDEX(Load_Booking_Report!AM:AM,
             MATCH(TRUE,
                     ISNUMBER(FIND(SUBSTITUTE(C216," ",""),
                                    Load_Booking_Report!AL:AL)),
                     0)
      )=0,
      "",
      INDEX(Load_Booking_Report!AM:AM,
             MATCH(TRUE,
                     ISNUMBER(FIND(SUBSTITUTE(C216," ",""),
                                    Load_Booking_Report!AL:AL)),
                     0)
      )
   ),
   ""
)</f>
        <v/>
      </c>
      <c r="V216" s="21">
        <f t="array" ref="V216">IFERROR(
   IF(
      INDEX(Load_Booking_Report!AR:AR,
             MATCH(TRUE,
                     ISNUMBER(FIND(SUBSTITUTE(C216," ",""),
                                    Load_Booking_Report!AL:AL)),
                     0)
      )=0,
      "",
      INDEX(Load_Booking_Report!AR:AR,
             MATCH(TRUE,
                     ISNUMBER(FIND(SUBSTITUTE(C216," ",""),
                                    Load_Booking_Report!AL:AL)),
                     0)
      )
   ),
   ""
)</f>
        <v/>
      </c>
      <c r="W216" s="21">
        <f t="array" ref="W216">IFERROR(INDEX(Load_Booking_Report!F:F, MATCH(TRUE, ISNUMBER(FIND(SUBSTITUTE(C216," ",""), Load_Booking_Report!AL:AL)), 0)), "Not Found")</f>
        <v/>
      </c>
      <c r="X216" s="21">
        <f t="array" ref="X216">IFERROR(INDEX(Load_Booking_Report!N:N, MATCH(TRUE, ISNUMBER(FIND(SUBSTITUTE(C216," ",""), Load_Booking_Report!AL:AL)), 0)), "Not Found")</f>
        <v/>
      </c>
      <c r="Y216" s="21">
        <f t="array" ref="Y216">IFERROR(INDEX(Load_Booking_Report!V:V, MATCH(TRUE, ISNUMBER(FIND(SUBSTITUTE(C216," ",""), Load_Booking_Report!AL:AL)), 0)), "Not Found")</f>
        <v/>
      </c>
      <c r="Z216" s="41">
        <f t="array" ref="Z216">IFERROR(INDEX(Load_Booking_Report!BC:BC, MATCH(TRUE, ISNUMBER(FIND(SUBSTITUTE(C216," ",""), Load_Booking_Report!AL:AL)), 0)), "Not Found")</f>
        <v/>
      </c>
    </row>
    <row r="217">
      <c r="A217" t="n">
        <v>34</v>
      </c>
      <c r="B217" t="n">
        <v>340684</v>
      </c>
      <c r="C217" t="inlineStr">
        <is>
          <t>ANON0000000</t>
        </is>
      </c>
      <c r="D217" t="n">
        <v>40</v>
      </c>
      <c r="E217" t="inlineStr">
        <is>
          <t>USHOU</t>
        </is>
      </c>
      <c r="F217" t="inlineStr">
        <is>
          <t>RULED</t>
        </is>
      </c>
      <c r="G217" t="n">
        <v>17679</v>
      </c>
      <c r="H217" t="inlineStr">
        <is>
          <t>ART</t>
        </is>
      </c>
      <c r="I217" t="inlineStr">
        <is>
          <t>45G1</t>
        </is>
      </c>
      <c r="L217" t="inlineStr">
        <is>
          <t>9'6</t>
        </is>
      </c>
      <c r="M217" t="inlineStr">
        <is>
          <t>Full</t>
        </is>
      </c>
      <c r="N217" t="inlineStr">
        <is>
          <t>RULED</t>
        </is>
      </c>
      <c r="P217" s="21">
        <f>C217</f>
        <v/>
      </c>
      <c r="Q217" s="21">
        <f t="array" ref="Q217">IFERROR(INDEX(Load_Booking_Report!AC:AC, MATCH(TRUE, ISNUMBER(FIND(SUBSTITUTE(C217," ",""), Load_Booking_Report!AL:AL)), 0)), "Not Found")</f>
        <v/>
      </c>
      <c r="R217" s="21">
        <f t="array" ref="R217">IFERROR(INDEX(Load_Booking_Report!C:C, MATCH(TRUE, ISNUMBER(FIND(SUBSTITUTE(C217," ",""), Load_Booking_Report!AL:AL)), 0)), "Not Found")</f>
        <v/>
      </c>
      <c r="S217" s="21">
        <f t="array" ref="S217">IFERROR(INDEX(Load_Booking_Report!AG:AG, MATCH(TRUE, ISNUMBER(FIND(SUBSTITUTE(C217," ",""), Load_Booking_Report!AL:AL)), 0)), "Not Found")</f>
        <v/>
      </c>
      <c r="T217" s="21">
        <f>G217</f>
        <v/>
      </c>
      <c r="U217" s="33">
        <f t="array" ref="U217">IFERROR(
   IF(
      INDEX(Load_Booking_Report!AM:AM,
             MATCH(TRUE,
                     ISNUMBER(FIND(SUBSTITUTE(C217," ",""),
                                    Load_Booking_Report!AL:AL)),
                     0)
      )=0,
      "",
      INDEX(Load_Booking_Report!AM:AM,
             MATCH(TRUE,
                     ISNUMBER(FIND(SUBSTITUTE(C217," ",""),
                                    Load_Booking_Report!AL:AL)),
                     0)
      )
   ),
   ""
)</f>
        <v/>
      </c>
      <c r="V217" s="21">
        <f t="array" ref="V217">IFERROR(
   IF(
      INDEX(Load_Booking_Report!AR:AR,
             MATCH(TRUE,
                     ISNUMBER(FIND(SUBSTITUTE(C217," ",""),
                                    Load_Booking_Report!AL:AL)),
                     0)
      )=0,
      "",
      INDEX(Load_Booking_Report!AR:AR,
             MATCH(TRUE,
                     ISNUMBER(FIND(SUBSTITUTE(C217," ",""),
                                    Load_Booking_Report!AL:AL)),
                     0)
      )
   ),
   ""
)</f>
        <v/>
      </c>
      <c r="W217" s="21">
        <f t="array" ref="W217">IFERROR(INDEX(Load_Booking_Report!F:F, MATCH(TRUE, ISNUMBER(FIND(SUBSTITUTE(C217," ",""), Load_Booking_Report!AL:AL)), 0)), "Not Found")</f>
        <v/>
      </c>
      <c r="X217" s="21">
        <f t="array" ref="X217">IFERROR(INDEX(Load_Booking_Report!N:N, MATCH(TRUE, ISNUMBER(FIND(SUBSTITUTE(C217," ",""), Load_Booking_Report!AL:AL)), 0)), "Not Found")</f>
        <v/>
      </c>
      <c r="Y217" s="21">
        <f t="array" ref="Y217">IFERROR(INDEX(Load_Booking_Report!V:V, MATCH(TRUE, ISNUMBER(FIND(SUBSTITUTE(C217," ",""), Load_Booking_Report!AL:AL)), 0)), "Not Found")</f>
        <v/>
      </c>
      <c r="Z217" s="41">
        <f t="array" ref="Z217">IFERROR(INDEX(Load_Booking_Report!BC:BC, MATCH(TRUE, ISNUMBER(FIND(SUBSTITUTE(C217," ",""), Load_Booking_Report!AL:AL)), 0)), "Not Found")</f>
        <v/>
      </c>
    </row>
    <row r="218">
      <c r="A218" t="n">
        <v>10</v>
      </c>
      <c r="B218" t="n">
        <v>100506</v>
      </c>
      <c r="C218" t="inlineStr">
        <is>
          <t>ANON0000000</t>
        </is>
      </c>
      <c r="D218" t="n">
        <v>40</v>
      </c>
      <c r="E218" t="inlineStr">
        <is>
          <t>USNFK</t>
        </is>
      </c>
      <c r="F218" t="inlineStr">
        <is>
          <t>RULED</t>
        </is>
      </c>
      <c r="G218" t="n">
        <v>28700</v>
      </c>
      <c r="H218" t="inlineStr">
        <is>
          <t>ART</t>
        </is>
      </c>
      <c r="I218" t="inlineStr">
        <is>
          <t>45G1</t>
        </is>
      </c>
      <c r="L218" t="inlineStr">
        <is>
          <t>OOG</t>
        </is>
      </c>
      <c r="M218" t="inlineStr">
        <is>
          <t>Full</t>
        </is>
      </c>
      <c r="N218" t="inlineStr">
        <is>
          <t>RULED</t>
        </is>
      </c>
      <c r="P218" s="21">
        <f>C218</f>
        <v/>
      </c>
      <c r="Q218" s="21">
        <f t="array" ref="Q218">IFERROR(INDEX(Load_Booking_Report!AC:AC, MATCH(TRUE, ISNUMBER(FIND(SUBSTITUTE(C218," ",""), Load_Booking_Report!AL:AL)), 0)), "Not Found")</f>
        <v/>
      </c>
      <c r="R218" s="21">
        <f t="array" ref="R218">IFERROR(INDEX(Load_Booking_Report!C:C, MATCH(TRUE, ISNUMBER(FIND(SUBSTITUTE(C218," ",""), Load_Booking_Report!AL:AL)), 0)), "Not Found")</f>
        <v/>
      </c>
      <c r="S218" s="21">
        <f t="array" ref="S218">IFERROR(INDEX(Load_Booking_Report!AG:AG, MATCH(TRUE, ISNUMBER(FIND(SUBSTITUTE(C218," ",""), Load_Booking_Report!AL:AL)), 0)), "Not Found")</f>
        <v/>
      </c>
      <c r="T218" s="21">
        <f>G218</f>
        <v/>
      </c>
      <c r="U218" s="33">
        <f t="array" ref="U218">IFERROR(
   IF(
      INDEX(Load_Booking_Report!AM:AM,
             MATCH(TRUE,
                     ISNUMBER(FIND(SUBSTITUTE(C218," ",""),
                                    Load_Booking_Report!AL:AL)),
                     0)
      )=0,
      "",
      INDEX(Load_Booking_Report!AM:AM,
             MATCH(TRUE,
                     ISNUMBER(FIND(SUBSTITUTE(C218," ",""),
                                    Load_Booking_Report!AL:AL)),
                     0)
      )
   ),
   ""
)</f>
        <v/>
      </c>
      <c r="V218" s="21">
        <f t="array" ref="V218">IFERROR(
   IF(
      INDEX(Load_Booking_Report!AR:AR,
             MATCH(TRUE,
                     ISNUMBER(FIND(SUBSTITUTE(C218," ",""),
                                    Load_Booking_Report!AL:AL)),
                     0)
      )=0,
      "",
      INDEX(Load_Booking_Report!AR:AR,
             MATCH(TRUE,
                     ISNUMBER(FIND(SUBSTITUTE(C218," ",""),
                                    Load_Booking_Report!AL:AL)),
                     0)
      )
   ),
   ""
)</f>
        <v/>
      </c>
      <c r="W218" s="21">
        <f t="array" ref="W218">IFERROR(INDEX(Load_Booking_Report!F:F, MATCH(TRUE, ISNUMBER(FIND(SUBSTITUTE(C218," ",""), Load_Booking_Report!AL:AL)), 0)), "Not Found")</f>
        <v/>
      </c>
      <c r="X218" s="21">
        <f t="array" ref="X218">IFERROR(INDEX(Load_Booking_Report!N:N, MATCH(TRUE, ISNUMBER(FIND(SUBSTITUTE(C218," ",""), Load_Booking_Report!AL:AL)), 0)), "Not Found")</f>
        <v/>
      </c>
      <c r="Y218" s="21">
        <f t="array" ref="Y218">IFERROR(INDEX(Load_Booking_Report!V:V, MATCH(TRUE, ISNUMBER(FIND(SUBSTITUTE(C218," ",""), Load_Booking_Report!AL:AL)), 0)), "Not Found")</f>
        <v/>
      </c>
      <c r="Z218" s="41">
        <f t="array" ref="Z218">IFERROR(INDEX(Load_Booking_Report!BC:BC, MATCH(TRUE, ISNUMBER(FIND(SUBSTITUTE(C218," ",""), Load_Booking_Report!AL:AL)), 0)), "Not Found")</f>
        <v/>
      </c>
    </row>
    <row r="219">
      <c r="A219" t="n">
        <v>10</v>
      </c>
      <c r="B219" t="n">
        <v>100608</v>
      </c>
      <c r="C219" t="inlineStr">
        <is>
          <t>ANON0000000</t>
        </is>
      </c>
      <c r="D219" t="n">
        <v>40</v>
      </c>
      <c r="E219" t="inlineStr">
        <is>
          <t>USNFK</t>
        </is>
      </c>
      <c r="F219" t="inlineStr">
        <is>
          <t>RULED</t>
        </is>
      </c>
      <c r="G219" t="n">
        <v>28700</v>
      </c>
      <c r="H219" t="inlineStr">
        <is>
          <t>ART</t>
        </is>
      </c>
      <c r="I219" t="inlineStr">
        <is>
          <t>45G1</t>
        </is>
      </c>
      <c r="L219" t="inlineStr">
        <is>
          <t>OOG</t>
        </is>
      </c>
      <c r="M219" t="inlineStr">
        <is>
          <t>Full</t>
        </is>
      </c>
      <c r="N219" t="inlineStr">
        <is>
          <t>RULED</t>
        </is>
      </c>
      <c r="P219" s="21">
        <f>C219</f>
        <v/>
      </c>
      <c r="Q219" s="21">
        <f t="array" ref="Q219">IFERROR(INDEX(Load_Booking_Report!AC:AC, MATCH(TRUE, ISNUMBER(FIND(SUBSTITUTE(C219," ",""), Load_Booking_Report!AL:AL)), 0)), "Not Found")</f>
        <v/>
      </c>
      <c r="R219" s="21">
        <f t="array" ref="R219">IFERROR(INDEX(Load_Booking_Report!C:C, MATCH(TRUE, ISNUMBER(FIND(SUBSTITUTE(C219," ",""), Load_Booking_Report!AL:AL)), 0)), "Not Found")</f>
        <v/>
      </c>
      <c r="S219" s="21">
        <f t="array" ref="S219">IFERROR(INDEX(Load_Booking_Report!AG:AG, MATCH(TRUE, ISNUMBER(FIND(SUBSTITUTE(C219," ",""), Load_Booking_Report!AL:AL)), 0)), "Not Found")</f>
        <v/>
      </c>
      <c r="T219" s="21">
        <f>G219</f>
        <v/>
      </c>
      <c r="U219" s="33">
        <f t="array" ref="U219">IFERROR(
   IF(
      INDEX(Load_Booking_Report!AM:AM,
             MATCH(TRUE,
                     ISNUMBER(FIND(SUBSTITUTE(C219," ",""),
                                    Load_Booking_Report!AL:AL)),
                     0)
      )=0,
      "",
      INDEX(Load_Booking_Report!AM:AM,
             MATCH(TRUE,
                     ISNUMBER(FIND(SUBSTITUTE(C219," ",""),
                                    Load_Booking_Report!AL:AL)),
                     0)
      )
   ),
   ""
)</f>
        <v/>
      </c>
      <c r="V219" s="21">
        <f t="array" ref="V219">IFERROR(
   IF(
      INDEX(Load_Booking_Report!AR:AR,
             MATCH(TRUE,
                     ISNUMBER(FIND(SUBSTITUTE(C219," ",""),
                                    Load_Booking_Report!AL:AL)),
                     0)
      )=0,
      "",
      INDEX(Load_Booking_Report!AR:AR,
             MATCH(TRUE,
                     ISNUMBER(FIND(SUBSTITUTE(C219," ",""),
                                    Load_Booking_Report!AL:AL)),
                     0)
      )
   ),
   ""
)</f>
        <v/>
      </c>
      <c r="W219" s="21">
        <f t="array" ref="W219">IFERROR(INDEX(Load_Booking_Report!F:F, MATCH(TRUE, ISNUMBER(FIND(SUBSTITUTE(C219," ",""), Load_Booking_Report!AL:AL)), 0)), "Not Found")</f>
        <v/>
      </c>
      <c r="X219" s="21">
        <f t="array" ref="X219">IFERROR(INDEX(Load_Booking_Report!N:N, MATCH(TRUE, ISNUMBER(FIND(SUBSTITUTE(C219," ",""), Load_Booking_Report!AL:AL)), 0)), "Not Found")</f>
        <v/>
      </c>
      <c r="Y219" s="21">
        <f t="array" ref="Y219">IFERROR(INDEX(Load_Booking_Report!V:V, MATCH(TRUE, ISNUMBER(FIND(SUBSTITUTE(C219," ",""), Load_Booking_Report!AL:AL)), 0)), "Not Found")</f>
        <v/>
      </c>
      <c r="Z219" s="41">
        <f t="array" ref="Z219">IFERROR(INDEX(Load_Booking_Report!BC:BC, MATCH(TRUE, ISNUMBER(FIND(SUBSTITUTE(C219," ",""), Load_Booking_Report!AL:AL)), 0)), "Not Found")</f>
        <v/>
      </c>
    </row>
    <row r="220">
      <c r="A220" t="n">
        <v>6</v>
      </c>
      <c r="B220" t="n">
        <v>60204</v>
      </c>
      <c r="C220" t="inlineStr">
        <is>
          <t>ANON0000000</t>
        </is>
      </c>
      <c r="D220" t="n">
        <v>40</v>
      </c>
      <c r="E220" t="inlineStr">
        <is>
          <t>USNFK</t>
        </is>
      </c>
      <c r="F220" t="inlineStr">
        <is>
          <t>RULED</t>
        </is>
      </c>
      <c r="G220" t="n">
        <v>30500</v>
      </c>
      <c r="H220" t="inlineStr">
        <is>
          <t>ART</t>
        </is>
      </c>
      <c r="I220" t="inlineStr">
        <is>
          <t>45G1</t>
        </is>
      </c>
      <c r="L220" t="inlineStr">
        <is>
          <t>9'6</t>
        </is>
      </c>
      <c r="M220" t="inlineStr">
        <is>
          <t>Full</t>
        </is>
      </c>
      <c r="N220" t="inlineStr">
        <is>
          <t>RULED</t>
        </is>
      </c>
      <c r="P220" s="21">
        <f>C220</f>
        <v/>
      </c>
      <c r="Q220" s="21">
        <f t="array" ref="Q220">IFERROR(INDEX(Load_Booking_Report!AC:AC, MATCH(TRUE, ISNUMBER(FIND(SUBSTITUTE(C220," ",""), Load_Booking_Report!AL:AL)), 0)), "Not Found")</f>
        <v/>
      </c>
      <c r="R220" s="21">
        <f t="array" ref="R220">IFERROR(INDEX(Load_Booking_Report!C:C, MATCH(TRUE, ISNUMBER(FIND(SUBSTITUTE(C220," ",""), Load_Booking_Report!AL:AL)), 0)), "Not Found")</f>
        <v/>
      </c>
      <c r="S220" s="21">
        <f t="array" ref="S220">IFERROR(INDEX(Load_Booking_Report!AG:AG, MATCH(TRUE, ISNUMBER(FIND(SUBSTITUTE(C220," ",""), Load_Booking_Report!AL:AL)), 0)), "Not Found")</f>
        <v/>
      </c>
      <c r="T220" s="21">
        <f>G220</f>
        <v/>
      </c>
      <c r="U220" s="33">
        <f t="array" ref="U220">IFERROR(
   IF(
      INDEX(Load_Booking_Report!AM:AM,
             MATCH(TRUE,
                     ISNUMBER(FIND(SUBSTITUTE(C220," ",""),
                                    Load_Booking_Report!AL:AL)),
                     0)
      )=0,
      "",
      INDEX(Load_Booking_Report!AM:AM,
             MATCH(TRUE,
                     ISNUMBER(FIND(SUBSTITUTE(C220," ",""),
                                    Load_Booking_Report!AL:AL)),
                     0)
      )
   ),
   ""
)</f>
        <v/>
      </c>
      <c r="V220" s="21">
        <f t="array" ref="V220">IFERROR(
   IF(
      INDEX(Load_Booking_Report!AR:AR,
             MATCH(TRUE,
                     ISNUMBER(FIND(SUBSTITUTE(C220," ",""),
                                    Load_Booking_Report!AL:AL)),
                     0)
      )=0,
      "",
      INDEX(Load_Booking_Report!AR:AR,
             MATCH(TRUE,
                     ISNUMBER(FIND(SUBSTITUTE(C220," ",""),
                                    Load_Booking_Report!AL:AL)),
                     0)
      )
   ),
   ""
)</f>
        <v/>
      </c>
      <c r="W220" s="21">
        <f t="array" ref="W220">IFERROR(INDEX(Load_Booking_Report!F:F, MATCH(TRUE, ISNUMBER(FIND(SUBSTITUTE(C220," ",""), Load_Booking_Report!AL:AL)), 0)), "Not Found")</f>
        <v/>
      </c>
      <c r="X220" s="21">
        <f t="array" ref="X220">IFERROR(INDEX(Load_Booking_Report!N:N, MATCH(TRUE, ISNUMBER(FIND(SUBSTITUTE(C220," ",""), Load_Booking_Report!AL:AL)), 0)), "Not Found")</f>
        <v/>
      </c>
      <c r="Y220" s="21">
        <f t="array" ref="Y220">IFERROR(INDEX(Load_Booking_Report!V:V, MATCH(TRUE, ISNUMBER(FIND(SUBSTITUTE(C220," ",""), Load_Booking_Report!AL:AL)), 0)), "Not Found")</f>
        <v/>
      </c>
      <c r="Z220" s="41">
        <f t="array" ref="Z220">IFERROR(INDEX(Load_Booking_Report!BC:BC, MATCH(TRUE, ISNUMBER(FIND(SUBSTITUTE(C220," ",""), Load_Booking_Report!AL:AL)), 0)), "Not Found")</f>
        <v/>
      </c>
    </row>
    <row r="221">
      <c r="A221" t="n">
        <v>34</v>
      </c>
      <c r="B221" t="n">
        <v>340086</v>
      </c>
      <c r="C221" t="inlineStr">
        <is>
          <t>ANON0000000</t>
        </is>
      </c>
      <c r="D221" t="n">
        <v>40</v>
      </c>
      <c r="E221" t="inlineStr">
        <is>
          <t>USNFK</t>
        </is>
      </c>
      <c r="F221" t="inlineStr">
        <is>
          <t>RULED</t>
        </is>
      </c>
      <c r="G221" t="n">
        <v>16170</v>
      </c>
      <c r="H221" t="inlineStr">
        <is>
          <t>ART</t>
        </is>
      </c>
      <c r="I221" t="inlineStr">
        <is>
          <t>45P3</t>
        </is>
      </c>
      <c r="L221" t="inlineStr">
        <is>
          <t>OOG</t>
        </is>
      </c>
      <c r="M221" t="inlineStr">
        <is>
          <t>Full</t>
        </is>
      </c>
      <c r="N221" t="inlineStr">
        <is>
          <t>RULED</t>
        </is>
      </c>
      <c r="P221" s="21">
        <f>C221</f>
        <v/>
      </c>
      <c r="Q221" s="21">
        <f t="array" ref="Q221">IFERROR(INDEX(Load_Booking_Report!AC:AC, MATCH(TRUE, ISNUMBER(FIND(SUBSTITUTE(C221," ",""), Load_Booking_Report!AL:AL)), 0)), "Not Found")</f>
        <v/>
      </c>
      <c r="R221" s="21">
        <f t="array" ref="R221">IFERROR(INDEX(Load_Booking_Report!C:C, MATCH(TRUE, ISNUMBER(FIND(SUBSTITUTE(C221," ",""), Load_Booking_Report!AL:AL)), 0)), "Not Found")</f>
        <v/>
      </c>
      <c r="S221" s="21">
        <f t="array" ref="S221">IFERROR(INDEX(Load_Booking_Report!AG:AG, MATCH(TRUE, ISNUMBER(FIND(SUBSTITUTE(C221," ",""), Load_Booking_Report!AL:AL)), 0)), "Not Found")</f>
        <v/>
      </c>
      <c r="T221" s="21">
        <f>G221</f>
        <v/>
      </c>
      <c r="U221" s="33">
        <f t="array" ref="U221">IFERROR(
   IF(
      INDEX(Load_Booking_Report!AM:AM,
             MATCH(TRUE,
                     ISNUMBER(FIND(SUBSTITUTE(C221," ",""),
                                    Load_Booking_Report!AL:AL)),
                     0)
      )=0,
      "",
      INDEX(Load_Booking_Report!AM:AM,
             MATCH(TRUE,
                     ISNUMBER(FIND(SUBSTITUTE(C221," ",""),
                                    Load_Booking_Report!AL:AL)),
                     0)
      )
   ),
   ""
)</f>
        <v/>
      </c>
      <c r="V221" s="21">
        <f t="array" ref="V221">IFERROR(
   IF(
      INDEX(Load_Booking_Report!AR:AR,
             MATCH(TRUE,
                     ISNUMBER(FIND(SUBSTITUTE(C221," ",""),
                                    Load_Booking_Report!AL:AL)),
                     0)
      )=0,
      "",
      INDEX(Load_Booking_Report!AR:AR,
             MATCH(TRUE,
                     ISNUMBER(FIND(SUBSTITUTE(C221," ",""),
                                    Load_Booking_Report!AL:AL)),
                     0)
      )
   ),
   ""
)</f>
        <v/>
      </c>
      <c r="W221" s="21">
        <f t="array" ref="W221">IFERROR(INDEX(Load_Booking_Report!F:F, MATCH(TRUE, ISNUMBER(FIND(SUBSTITUTE(C221," ",""), Load_Booking_Report!AL:AL)), 0)), "Not Found")</f>
        <v/>
      </c>
      <c r="X221" s="21">
        <f t="array" ref="X221">IFERROR(INDEX(Load_Booking_Report!N:N, MATCH(TRUE, ISNUMBER(FIND(SUBSTITUTE(C221," ",""), Load_Booking_Report!AL:AL)), 0)), "Not Found")</f>
        <v/>
      </c>
      <c r="Y221" s="21">
        <f t="array" ref="Y221">IFERROR(INDEX(Load_Booking_Report!V:V, MATCH(TRUE, ISNUMBER(FIND(SUBSTITUTE(C221," ",""), Load_Booking_Report!AL:AL)), 0)), "Not Found")</f>
        <v/>
      </c>
      <c r="Z221" s="41">
        <f t="array" ref="Z221">IFERROR(INDEX(Load_Booking_Report!BC:BC, MATCH(TRUE, ISNUMBER(FIND(SUBSTITUTE(C221," ",""), Load_Booking_Report!AL:AL)), 0)), "Not Found")</f>
        <v/>
      </c>
    </row>
    <row r="222">
      <c r="A222" t="n">
        <v>26</v>
      </c>
      <c r="B222" t="n">
        <v>261082</v>
      </c>
      <c r="C222" t="inlineStr">
        <is>
          <t>ANON0000000</t>
        </is>
      </c>
      <c r="D222" t="n">
        <v>40</v>
      </c>
      <c r="E222" t="inlineStr">
        <is>
          <t>USHOU</t>
        </is>
      </c>
      <c r="F222" t="inlineStr">
        <is>
          <t>RUBLT</t>
        </is>
      </c>
      <c r="G222" t="n">
        <v>33230</v>
      </c>
      <c r="H222" t="inlineStr">
        <is>
          <t>ART</t>
        </is>
      </c>
      <c r="I222" t="inlineStr">
        <is>
          <t>45R0</t>
        </is>
      </c>
      <c r="K222" t="inlineStr">
        <is>
          <t>-22.0:CEL</t>
        </is>
      </c>
      <c r="L222" t="inlineStr">
        <is>
          <t>9'6</t>
        </is>
      </c>
      <c r="M222" t="inlineStr">
        <is>
          <t>Full</t>
        </is>
      </c>
      <c r="N222" t="inlineStr">
        <is>
          <t>RULED</t>
        </is>
      </c>
      <c r="P222" s="21">
        <f>C222</f>
        <v/>
      </c>
      <c r="Q222" s="21">
        <f t="array" ref="Q222">IFERROR(INDEX(Load_Booking_Report!AC:AC, MATCH(TRUE, ISNUMBER(FIND(SUBSTITUTE(C222," ",""), Load_Booking_Report!AL:AL)), 0)), "Not Found")</f>
        <v/>
      </c>
      <c r="R222" s="21">
        <f t="array" ref="R222">IFERROR(INDEX(Load_Booking_Report!C:C, MATCH(TRUE, ISNUMBER(FIND(SUBSTITUTE(C222," ",""), Load_Booking_Report!AL:AL)), 0)), "Not Found")</f>
        <v/>
      </c>
      <c r="S222" s="21">
        <f t="array" ref="S222">IFERROR(INDEX(Load_Booking_Report!AG:AG, MATCH(TRUE, ISNUMBER(FIND(SUBSTITUTE(C222," ",""), Load_Booking_Report!AL:AL)), 0)), "Not Found")</f>
        <v/>
      </c>
      <c r="T222" s="21">
        <f>G222</f>
        <v/>
      </c>
      <c r="U222" s="33">
        <f t="array" ref="U222">IFERROR(
   IF(
      INDEX(Load_Booking_Report!AM:AM,
             MATCH(TRUE,
                     ISNUMBER(FIND(SUBSTITUTE(C222," ",""),
                                    Load_Booking_Report!AL:AL)),
                     0)
      )=0,
      "",
      INDEX(Load_Booking_Report!AM:AM,
             MATCH(TRUE,
                     ISNUMBER(FIND(SUBSTITUTE(C222," ",""),
                                    Load_Booking_Report!AL:AL)),
                     0)
      )
   ),
   ""
)</f>
        <v/>
      </c>
      <c r="V222" s="21">
        <f t="array" ref="V222">IFERROR(
   IF(
      INDEX(Load_Booking_Report!AR:AR,
             MATCH(TRUE,
                     ISNUMBER(FIND(SUBSTITUTE(C222," ",""),
                                    Load_Booking_Report!AL:AL)),
                     0)
      )=0,
      "",
      INDEX(Load_Booking_Report!AR:AR,
             MATCH(TRUE,
                     ISNUMBER(FIND(SUBSTITUTE(C222," ",""),
                                    Load_Booking_Report!AL:AL)),
                     0)
      )
   ),
   ""
)</f>
        <v/>
      </c>
      <c r="W222" s="21">
        <f t="array" ref="W222">IFERROR(INDEX(Load_Booking_Report!F:F, MATCH(TRUE, ISNUMBER(FIND(SUBSTITUTE(C222," ",""), Load_Booking_Report!AL:AL)), 0)), "Not Found")</f>
        <v/>
      </c>
      <c r="X222" s="21">
        <f t="array" ref="X222">IFERROR(INDEX(Load_Booking_Report!N:N, MATCH(TRUE, ISNUMBER(FIND(SUBSTITUTE(C222," ",""), Load_Booking_Report!AL:AL)), 0)), "Not Found")</f>
        <v/>
      </c>
      <c r="Y222" s="21">
        <f t="array" ref="Y222">IFERROR(INDEX(Load_Booking_Report!V:V, MATCH(TRUE, ISNUMBER(FIND(SUBSTITUTE(C222," ",""), Load_Booking_Report!AL:AL)), 0)), "Not Found")</f>
        <v/>
      </c>
      <c r="Z222" s="41">
        <f t="array" ref="Z222">IFERROR(INDEX(Load_Booking_Report!BC:BC, MATCH(TRUE, ISNUMBER(FIND(SUBSTITUTE(C222," ",""), Load_Booking_Report!AL:AL)), 0)), "Not Found")</f>
        <v/>
      </c>
    </row>
    <row r="223">
      <c r="A223" t="n">
        <v>26</v>
      </c>
      <c r="B223" t="n">
        <v>260886</v>
      </c>
      <c r="C223" t="inlineStr">
        <is>
          <t>ANON0000000</t>
        </is>
      </c>
      <c r="D223" t="n">
        <v>40</v>
      </c>
      <c r="E223" t="inlineStr">
        <is>
          <t>USHOU</t>
        </is>
      </c>
      <c r="F223" t="inlineStr">
        <is>
          <t>RUBLT</t>
        </is>
      </c>
      <c r="G223" t="n">
        <v>33130</v>
      </c>
      <c r="H223" t="inlineStr">
        <is>
          <t>ART</t>
        </is>
      </c>
      <c r="I223" t="inlineStr">
        <is>
          <t>45R0</t>
        </is>
      </c>
      <c r="K223" t="inlineStr">
        <is>
          <t>-22.0:CEL</t>
        </is>
      </c>
      <c r="L223" t="inlineStr">
        <is>
          <t>9'6</t>
        </is>
      </c>
      <c r="M223" t="inlineStr">
        <is>
          <t>Full</t>
        </is>
      </c>
      <c r="N223" t="inlineStr">
        <is>
          <t>RULED</t>
        </is>
      </c>
      <c r="P223" s="21">
        <f>C223</f>
        <v/>
      </c>
      <c r="Q223" s="21">
        <f t="array" ref="Q223">IFERROR(INDEX(Load_Booking_Report!AC:AC, MATCH(TRUE, ISNUMBER(FIND(SUBSTITUTE(C223," ",""), Load_Booking_Report!AL:AL)), 0)), "Not Found")</f>
        <v/>
      </c>
      <c r="R223" s="21">
        <f t="array" ref="R223">IFERROR(INDEX(Load_Booking_Report!C:C, MATCH(TRUE, ISNUMBER(FIND(SUBSTITUTE(C223," ",""), Load_Booking_Report!AL:AL)), 0)), "Not Found")</f>
        <v/>
      </c>
      <c r="S223" s="21">
        <f t="array" ref="S223">IFERROR(INDEX(Load_Booking_Report!AG:AG, MATCH(TRUE, ISNUMBER(FIND(SUBSTITUTE(C223," ",""), Load_Booking_Report!AL:AL)), 0)), "Not Found")</f>
        <v/>
      </c>
      <c r="T223" s="21">
        <f>G223</f>
        <v/>
      </c>
      <c r="U223" s="33">
        <f t="array" ref="U223">IFERROR(
   IF(
      INDEX(Load_Booking_Report!AM:AM,
             MATCH(TRUE,
                     ISNUMBER(FIND(SUBSTITUTE(C223," ",""),
                                    Load_Booking_Report!AL:AL)),
                     0)
      )=0,
      "",
      INDEX(Load_Booking_Report!AM:AM,
             MATCH(TRUE,
                     ISNUMBER(FIND(SUBSTITUTE(C223," ",""),
                                    Load_Booking_Report!AL:AL)),
                     0)
      )
   ),
   ""
)</f>
        <v/>
      </c>
      <c r="V223" s="21">
        <f t="array" ref="V223">IFERROR(
   IF(
      INDEX(Load_Booking_Report!AR:AR,
             MATCH(TRUE,
                     ISNUMBER(FIND(SUBSTITUTE(C223," ",""),
                                    Load_Booking_Report!AL:AL)),
                     0)
      )=0,
      "",
      INDEX(Load_Booking_Report!AR:AR,
             MATCH(TRUE,
                     ISNUMBER(FIND(SUBSTITUTE(C223," ",""),
                                    Load_Booking_Report!AL:AL)),
                     0)
      )
   ),
   ""
)</f>
        <v/>
      </c>
      <c r="W223" s="21">
        <f t="array" ref="W223">IFERROR(INDEX(Load_Booking_Report!F:F, MATCH(TRUE, ISNUMBER(FIND(SUBSTITUTE(C223," ",""), Load_Booking_Report!AL:AL)), 0)), "Not Found")</f>
        <v/>
      </c>
      <c r="X223" s="21">
        <f t="array" ref="X223">IFERROR(INDEX(Load_Booking_Report!N:N, MATCH(TRUE, ISNUMBER(FIND(SUBSTITUTE(C223," ",""), Load_Booking_Report!AL:AL)), 0)), "Not Found")</f>
        <v/>
      </c>
      <c r="Y223" s="21">
        <f t="array" ref="Y223">IFERROR(INDEX(Load_Booking_Report!V:V, MATCH(TRUE, ISNUMBER(FIND(SUBSTITUTE(C223," ",""), Load_Booking_Report!AL:AL)), 0)), "Not Found")</f>
        <v/>
      </c>
      <c r="Z223" s="41">
        <f t="array" ref="Z223">IFERROR(INDEX(Load_Booking_Report!BC:BC, MATCH(TRUE, ISNUMBER(FIND(SUBSTITUTE(C223," ",""), Load_Booking_Report!AL:AL)), 0)), "Not Found")</f>
        <v/>
      </c>
    </row>
    <row r="224">
      <c r="A224" t="n">
        <v>26</v>
      </c>
      <c r="B224" t="n">
        <v>260984</v>
      </c>
      <c r="C224" t="inlineStr">
        <is>
          <t>ANON0000000</t>
        </is>
      </c>
      <c r="D224" t="n">
        <v>40</v>
      </c>
      <c r="E224" t="inlineStr">
        <is>
          <t>USHOU</t>
        </is>
      </c>
      <c r="F224" t="inlineStr">
        <is>
          <t>RUBLT</t>
        </is>
      </c>
      <c r="G224" t="n">
        <v>33040</v>
      </c>
      <c r="H224" t="inlineStr">
        <is>
          <t>ART</t>
        </is>
      </c>
      <c r="I224" t="inlineStr">
        <is>
          <t>45R0</t>
        </is>
      </c>
      <c r="K224" t="inlineStr">
        <is>
          <t>-22.0:CEL</t>
        </is>
      </c>
      <c r="L224" t="inlineStr">
        <is>
          <t>9'6</t>
        </is>
      </c>
      <c r="M224" t="inlineStr">
        <is>
          <t>Full</t>
        </is>
      </c>
      <c r="N224" t="inlineStr">
        <is>
          <t>RULED</t>
        </is>
      </c>
      <c r="P224" s="21">
        <f>C224</f>
        <v/>
      </c>
      <c r="Q224" s="21">
        <f t="array" ref="Q224">IFERROR(INDEX(Load_Booking_Report!AC:AC, MATCH(TRUE, ISNUMBER(FIND(SUBSTITUTE(C224," ",""), Load_Booking_Report!AL:AL)), 0)), "Not Found")</f>
        <v/>
      </c>
      <c r="R224" s="21">
        <f t="array" ref="R224">IFERROR(INDEX(Load_Booking_Report!C:C, MATCH(TRUE, ISNUMBER(FIND(SUBSTITUTE(C224," ",""), Load_Booking_Report!AL:AL)), 0)), "Not Found")</f>
        <v/>
      </c>
      <c r="S224" s="21">
        <f t="array" ref="S224">IFERROR(INDEX(Load_Booking_Report!AG:AG, MATCH(TRUE, ISNUMBER(FIND(SUBSTITUTE(C224," ",""), Load_Booking_Report!AL:AL)), 0)), "Not Found")</f>
        <v/>
      </c>
      <c r="T224" s="21">
        <f>G224</f>
        <v/>
      </c>
      <c r="U224" s="33">
        <f t="array" ref="U224">IFERROR(
   IF(
      INDEX(Load_Booking_Report!AM:AM,
             MATCH(TRUE,
                     ISNUMBER(FIND(SUBSTITUTE(C224," ",""),
                                    Load_Booking_Report!AL:AL)),
                     0)
      )=0,
      "",
      INDEX(Load_Booking_Report!AM:AM,
             MATCH(TRUE,
                     ISNUMBER(FIND(SUBSTITUTE(C224," ",""),
                                    Load_Booking_Report!AL:AL)),
                     0)
      )
   ),
   ""
)</f>
        <v/>
      </c>
      <c r="V224" s="21">
        <f t="array" ref="V224">IFERROR(
   IF(
      INDEX(Load_Booking_Report!AR:AR,
             MATCH(TRUE,
                     ISNUMBER(FIND(SUBSTITUTE(C224," ",""),
                                    Load_Booking_Report!AL:AL)),
                     0)
      )=0,
      "",
      INDEX(Load_Booking_Report!AR:AR,
             MATCH(TRUE,
                     ISNUMBER(FIND(SUBSTITUTE(C224," ",""),
                                    Load_Booking_Report!AL:AL)),
                     0)
      )
   ),
   ""
)</f>
        <v/>
      </c>
      <c r="W224" s="21">
        <f t="array" ref="W224">IFERROR(INDEX(Load_Booking_Report!F:F, MATCH(TRUE, ISNUMBER(FIND(SUBSTITUTE(C224," ",""), Load_Booking_Report!AL:AL)), 0)), "Not Found")</f>
        <v/>
      </c>
      <c r="X224" s="21">
        <f t="array" ref="X224">IFERROR(INDEX(Load_Booking_Report!N:N, MATCH(TRUE, ISNUMBER(FIND(SUBSTITUTE(C224," ",""), Load_Booking_Report!AL:AL)), 0)), "Not Found")</f>
        <v/>
      </c>
      <c r="Y224" s="21">
        <f t="array" ref="Y224">IFERROR(INDEX(Load_Booking_Report!V:V, MATCH(TRUE, ISNUMBER(FIND(SUBSTITUTE(C224," ",""), Load_Booking_Report!AL:AL)), 0)), "Not Found")</f>
        <v/>
      </c>
      <c r="Z224" s="41">
        <f t="array" ref="Z224">IFERROR(INDEX(Load_Booking_Report!BC:BC, MATCH(TRUE, ISNUMBER(FIND(SUBSTITUTE(C224," ",""), Load_Booking_Report!AL:AL)), 0)), "Not Found")</f>
        <v/>
      </c>
    </row>
    <row r="225">
      <c r="A225" t="n">
        <v>26</v>
      </c>
      <c r="B225" t="n">
        <v>260884</v>
      </c>
      <c r="C225" t="inlineStr">
        <is>
          <t>ANON0000000</t>
        </is>
      </c>
      <c r="D225" t="n">
        <v>40</v>
      </c>
      <c r="E225" t="inlineStr">
        <is>
          <t>USHOU</t>
        </is>
      </c>
      <c r="F225" t="inlineStr">
        <is>
          <t>RUBLT</t>
        </is>
      </c>
      <c r="G225" t="n">
        <v>32864</v>
      </c>
      <c r="H225" t="inlineStr">
        <is>
          <t>ART</t>
        </is>
      </c>
      <c r="I225" t="inlineStr">
        <is>
          <t>45R0</t>
        </is>
      </c>
      <c r="K225" t="inlineStr">
        <is>
          <t>-22.0:CEL</t>
        </is>
      </c>
      <c r="L225" t="inlineStr">
        <is>
          <t>9'6</t>
        </is>
      </c>
      <c r="M225" t="inlineStr">
        <is>
          <t>Full</t>
        </is>
      </c>
      <c r="N225" t="inlineStr">
        <is>
          <t>RULED</t>
        </is>
      </c>
      <c r="P225" s="21">
        <f>C225</f>
        <v/>
      </c>
      <c r="Q225" s="21">
        <f t="array" ref="Q225">IFERROR(INDEX(Load_Booking_Report!AC:AC, MATCH(TRUE, ISNUMBER(FIND(SUBSTITUTE(C225," ",""), Load_Booking_Report!AL:AL)), 0)), "Not Found")</f>
        <v/>
      </c>
      <c r="R225" s="21">
        <f t="array" ref="R225">IFERROR(INDEX(Load_Booking_Report!C:C, MATCH(TRUE, ISNUMBER(FIND(SUBSTITUTE(C225," ",""), Load_Booking_Report!AL:AL)), 0)), "Not Found")</f>
        <v/>
      </c>
      <c r="S225" s="21">
        <f t="array" ref="S225">IFERROR(INDEX(Load_Booking_Report!AG:AG, MATCH(TRUE, ISNUMBER(FIND(SUBSTITUTE(C225," ",""), Load_Booking_Report!AL:AL)), 0)), "Not Found")</f>
        <v/>
      </c>
      <c r="T225" s="21">
        <f>G225</f>
        <v/>
      </c>
      <c r="U225" s="33">
        <f t="array" ref="U225">IFERROR(
   IF(
      INDEX(Load_Booking_Report!AM:AM,
             MATCH(TRUE,
                     ISNUMBER(FIND(SUBSTITUTE(C225," ",""),
                                    Load_Booking_Report!AL:AL)),
                     0)
      )=0,
      "",
      INDEX(Load_Booking_Report!AM:AM,
             MATCH(TRUE,
                     ISNUMBER(FIND(SUBSTITUTE(C225," ",""),
                                    Load_Booking_Report!AL:AL)),
                     0)
      )
   ),
   ""
)</f>
        <v/>
      </c>
      <c r="V225" s="21">
        <f t="array" ref="V225">IFERROR(
   IF(
      INDEX(Load_Booking_Report!AR:AR,
             MATCH(TRUE,
                     ISNUMBER(FIND(SUBSTITUTE(C225," ",""),
                                    Load_Booking_Report!AL:AL)),
                     0)
      )=0,
      "",
      INDEX(Load_Booking_Report!AR:AR,
             MATCH(TRUE,
                     ISNUMBER(FIND(SUBSTITUTE(C225," ",""),
                                    Load_Booking_Report!AL:AL)),
                     0)
      )
   ),
   ""
)</f>
        <v/>
      </c>
      <c r="W225" s="21">
        <f t="array" ref="W225">IFERROR(INDEX(Load_Booking_Report!F:F, MATCH(TRUE, ISNUMBER(FIND(SUBSTITUTE(C225," ",""), Load_Booking_Report!AL:AL)), 0)), "Not Found")</f>
        <v/>
      </c>
      <c r="X225" s="21">
        <f t="array" ref="X225">IFERROR(INDEX(Load_Booking_Report!N:N, MATCH(TRUE, ISNUMBER(FIND(SUBSTITUTE(C225," ",""), Load_Booking_Report!AL:AL)), 0)), "Not Found")</f>
        <v/>
      </c>
      <c r="Y225" s="21">
        <f t="array" ref="Y225">IFERROR(INDEX(Load_Booking_Report!V:V, MATCH(TRUE, ISNUMBER(FIND(SUBSTITUTE(C225," ",""), Load_Booking_Report!AL:AL)), 0)), "Not Found")</f>
        <v/>
      </c>
      <c r="Z225" s="41">
        <f t="array" ref="Z225">IFERROR(INDEX(Load_Booking_Report!BC:BC, MATCH(TRUE, ISNUMBER(FIND(SUBSTITUTE(C225," ",""), Load_Booking_Report!AL:AL)), 0)), "Not Found")</f>
        <v/>
      </c>
    </row>
    <row r="226">
      <c r="A226" t="n">
        <v>26</v>
      </c>
      <c r="B226" t="n">
        <v>260684</v>
      </c>
      <c r="C226" t="inlineStr">
        <is>
          <t>ANON0000000</t>
        </is>
      </c>
      <c r="D226" t="n">
        <v>40</v>
      </c>
      <c r="E226" t="inlineStr">
        <is>
          <t>USNYC</t>
        </is>
      </c>
      <c r="F226" t="inlineStr">
        <is>
          <t>RUBLT</t>
        </is>
      </c>
      <c r="G226" t="n">
        <v>33218</v>
      </c>
      <c r="H226" t="inlineStr">
        <is>
          <t>ART</t>
        </is>
      </c>
      <c r="I226" t="inlineStr">
        <is>
          <t>45R0</t>
        </is>
      </c>
      <c r="K226" t="inlineStr">
        <is>
          <t>-22.0:CEL</t>
        </is>
      </c>
      <c r="L226" t="inlineStr">
        <is>
          <t>9'6</t>
        </is>
      </c>
      <c r="M226" t="inlineStr">
        <is>
          <t>Full</t>
        </is>
      </c>
      <c r="N226" t="inlineStr">
        <is>
          <t>RULED</t>
        </is>
      </c>
      <c r="P226" s="21">
        <f>C226</f>
        <v/>
      </c>
      <c r="Q226" s="21">
        <f t="array" ref="Q226">IFERROR(INDEX(Load_Booking_Report!AC:AC, MATCH(TRUE, ISNUMBER(FIND(SUBSTITUTE(C226," ",""), Load_Booking_Report!AL:AL)), 0)), "Not Found")</f>
        <v/>
      </c>
      <c r="R226" s="21">
        <f t="array" ref="R226">IFERROR(INDEX(Load_Booking_Report!C:C, MATCH(TRUE, ISNUMBER(FIND(SUBSTITUTE(C226," ",""), Load_Booking_Report!AL:AL)), 0)), "Not Found")</f>
        <v/>
      </c>
      <c r="S226" s="21">
        <f t="array" ref="S226">IFERROR(INDEX(Load_Booking_Report!AG:AG, MATCH(TRUE, ISNUMBER(FIND(SUBSTITUTE(C226," ",""), Load_Booking_Report!AL:AL)), 0)), "Not Found")</f>
        <v/>
      </c>
      <c r="T226" s="21">
        <f>G226</f>
        <v/>
      </c>
      <c r="U226" s="33">
        <f t="array" ref="U226">IFERROR(
   IF(
      INDEX(Load_Booking_Report!AM:AM,
             MATCH(TRUE,
                     ISNUMBER(FIND(SUBSTITUTE(C226," ",""),
                                    Load_Booking_Report!AL:AL)),
                     0)
      )=0,
      "",
      INDEX(Load_Booking_Report!AM:AM,
             MATCH(TRUE,
                     ISNUMBER(FIND(SUBSTITUTE(C226," ",""),
                                    Load_Booking_Report!AL:AL)),
                     0)
      )
   ),
   ""
)</f>
        <v/>
      </c>
      <c r="V226" s="21">
        <f t="array" ref="V226">IFERROR(
   IF(
      INDEX(Load_Booking_Report!AR:AR,
             MATCH(TRUE,
                     ISNUMBER(FIND(SUBSTITUTE(C226," ",""),
                                    Load_Booking_Report!AL:AL)),
                     0)
      )=0,
      "",
      INDEX(Load_Booking_Report!AR:AR,
             MATCH(TRUE,
                     ISNUMBER(FIND(SUBSTITUTE(C226," ",""),
                                    Load_Booking_Report!AL:AL)),
                     0)
      )
   ),
   ""
)</f>
        <v/>
      </c>
      <c r="W226" s="21">
        <f t="array" ref="W226">IFERROR(INDEX(Load_Booking_Report!F:F, MATCH(TRUE, ISNUMBER(FIND(SUBSTITUTE(C226," ",""), Load_Booking_Report!AL:AL)), 0)), "Not Found")</f>
        <v/>
      </c>
      <c r="X226" s="21">
        <f t="array" ref="X226">IFERROR(INDEX(Load_Booking_Report!N:N, MATCH(TRUE, ISNUMBER(FIND(SUBSTITUTE(C226," ",""), Load_Booking_Report!AL:AL)), 0)), "Not Found")</f>
        <v/>
      </c>
      <c r="Y226" s="21">
        <f t="array" ref="Y226">IFERROR(INDEX(Load_Booking_Report!V:V, MATCH(TRUE, ISNUMBER(FIND(SUBSTITUTE(C226," ",""), Load_Booking_Report!AL:AL)), 0)), "Not Found")</f>
        <v/>
      </c>
      <c r="Z226" s="41">
        <f t="array" ref="Z226">IFERROR(INDEX(Load_Booking_Report!BC:BC, MATCH(TRUE, ISNUMBER(FIND(SUBSTITUTE(C226," ",""), Load_Booking_Report!AL:AL)), 0)), "Not Found")</f>
        <v/>
      </c>
    </row>
    <row r="227">
      <c r="A227" t="n">
        <v>34</v>
      </c>
      <c r="B227" t="n">
        <v>340884</v>
      </c>
      <c r="C227" t="inlineStr">
        <is>
          <t>ANON0000000</t>
        </is>
      </c>
      <c r="D227" t="n">
        <v>40</v>
      </c>
      <c r="E227" t="inlineStr">
        <is>
          <t>USNFK</t>
        </is>
      </c>
      <c r="F227" t="inlineStr">
        <is>
          <t>RULED</t>
        </is>
      </c>
      <c r="G227" t="n">
        <v>29976</v>
      </c>
      <c r="H227" t="inlineStr">
        <is>
          <t>ART</t>
        </is>
      </c>
      <c r="I227" t="inlineStr">
        <is>
          <t>45R1</t>
        </is>
      </c>
      <c r="K227" t="inlineStr">
        <is>
          <t>-1.4:CEL</t>
        </is>
      </c>
      <c r="L227" t="inlineStr">
        <is>
          <t>OOG</t>
        </is>
      </c>
      <c r="M227" t="inlineStr">
        <is>
          <t>Full</t>
        </is>
      </c>
      <c r="N227" t="inlineStr">
        <is>
          <t>RULED</t>
        </is>
      </c>
      <c r="P227" s="21">
        <f>C227</f>
        <v/>
      </c>
      <c r="Q227" s="21">
        <f t="array" ref="Q227">IFERROR(INDEX(Load_Booking_Report!AC:AC, MATCH(TRUE, ISNUMBER(FIND(SUBSTITUTE(C227," ",""), Load_Booking_Report!AL:AL)), 0)), "Not Found")</f>
        <v/>
      </c>
      <c r="R227" s="21">
        <f t="array" ref="R227">IFERROR(INDEX(Load_Booking_Report!C:C, MATCH(TRUE, ISNUMBER(FIND(SUBSTITUTE(C227," ",""), Load_Booking_Report!AL:AL)), 0)), "Not Found")</f>
        <v/>
      </c>
      <c r="S227" s="21">
        <f t="array" ref="S227">IFERROR(INDEX(Load_Booking_Report!AG:AG, MATCH(TRUE, ISNUMBER(FIND(SUBSTITUTE(C227," ",""), Load_Booking_Report!AL:AL)), 0)), "Not Found")</f>
        <v/>
      </c>
      <c r="T227" s="21">
        <f>G227</f>
        <v/>
      </c>
      <c r="U227" s="33">
        <f t="array" ref="U227">IFERROR(
   IF(
      INDEX(Load_Booking_Report!AM:AM,
             MATCH(TRUE,
                     ISNUMBER(FIND(SUBSTITUTE(C227," ",""),
                                    Load_Booking_Report!AL:AL)),
                     0)
      )=0,
      "",
      INDEX(Load_Booking_Report!AM:AM,
             MATCH(TRUE,
                     ISNUMBER(FIND(SUBSTITUTE(C227," ",""),
                                    Load_Booking_Report!AL:AL)),
                     0)
      )
   ),
   ""
)</f>
        <v/>
      </c>
      <c r="V227" s="21">
        <f t="array" ref="V227">IFERROR(
   IF(
      INDEX(Load_Booking_Report!AR:AR,
             MATCH(TRUE,
                     ISNUMBER(FIND(SUBSTITUTE(C227," ",""),
                                    Load_Booking_Report!AL:AL)),
                     0)
      )=0,
      "",
      INDEX(Load_Booking_Report!AR:AR,
             MATCH(TRUE,
                     ISNUMBER(FIND(SUBSTITUTE(C227," ",""),
                                    Load_Booking_Report!AL:AL)),
                     0)
      )
   ),
   ""
)</f>
        <v/>
      </c>
      <c r="W227" s="21">
        <f t="array" ref="W227">IFERROR(INDEX(Load_Booking_Report!F:F, MATCH(TRUE, ISNUMBER(FIND(SUBSTITUTE(C227," ",""), Load_Booking_Report!AL:AL)), 0)), "Not Found")</f>
        <v/>
      </c>
      <c r="X227" s="21">
        <f t="array" ref="X227">IFERROR(INDEX(Load_Booking_Report!N:N, MATCH(TRUE, ISNUMBER(FIND(SUBSTITUTE(C227," ",""), Load_Booking_Report!AL:AL)), 0)), "Not Found")</f>
        <v/>
      </c>
      <c r="Y227" s="21">
        <f t="array" ref="Y227">IFERROR(INDEX(Load_Booking_Report!V:V, MATCH(TRUE, ISNUMBER(FIND(SUBSTITUTE(C227," ",""), Load_Booking_Report!AL:AL)), 0)), "Not Found")</f>
        <v/>
      </c>
      <c r="Z227" s="41">
        <f t="array" ref="Z227">IFERROR(INDEX(Load_Booking_Report!BC:BC, MATCH(TRUE, ISNUMBER(FIND(SUBSTITUTE(C227," ",""), Load_Booking_Report!AL:AL)), 0)), "Not Found")</f>
        <v/>
      </c>
    </row>
    <row r="228">
      <c r="A228" t="n">
        <v>34</v>
      </c>
      <c r="B228" t="n">
        <v>340982</v>
      </c>
      <c r="C228" t="inlineStr">
        <is>
          <t>ANON0000000</t>
        </is>
      </c>
      <c r="D228" t="n">
        <v>40</v>
      </c>
      <c r="E228" t="inlineStr">
        <is>
          <t>USHOU</t>
        </is>
      </c>
      <c r="F228" t="inlineStr">
        <is>
          <t>RULED</t>
        </is>
      </c>
      <c r="G228" t="n">
        <v>32158</v>
      </c>
      <c r="H228" t="inlineStr">
        <is>
          <t>ART</t>
        </is>
      </c>
      <c r="I228" t="inlineStr">
        <is>
          <t>45R1</t>
        </is>
      </c>
      <c r="K228" t="inlineStr">
        <is>
          <t>-18.0:CEL</t>
        </is>
      </c>
      <c r="L228" t="inlineStr">
        <is>
          <t>9'6</t>
        </is>
      </c>
      <c r="M228" t="inlineStr">
        <is>
          <t>Full</t>
        </is>
      </c>
      <c r="N228" t="inlineStr">
        <is>
          <t>RULED</t>
        </is>
      </c>
      <c r="P228" s="21">
        <f>C228</f>
        <v/>
      </c>
      <c r="Q228" s="21">
        <f t="array" ref="Q228">IFERROR(INDEX(Load_Booking_Report!AC:AC, MATCH(TRUE, ISNUMBER(FIND(SUBSTITUTE(C228," ",""), Load_Booking_Report!AL:AL)), 0)), "Not Found")</f>
        <v/>
      </c>
      <c r="R228" s="21">
        <f t="array" ref="R228">IFERROR(INDEX(Load_Booking_Report!C:C, MATCH(TRUE, ISNUMBER(FIND(SUBSTITUTE(C228," ",""), Load_Booking_Report!AL:AL)), 0)), "Not Found")</f>
        <v/>
      </c>
      <c r="S228" s="21">
        <f t="array" ref="S228">IFERROR(INDEX(Load_Booking_Report!AG:AG, MATCH(TRUE, ISNUMBER(FIND(SUBSTITUTE(C228," ",""), Load_Booking_Report!AL:AL)), 0)), "Not Found")</f>
        <v/>
      </c>
      <c r="T228" s="21">
        <f>G228</f>
        <v/>
      </c>
      <c r="U228" s="33">
        <f t="array" ref="U228">IFERROR(
   IF(
      INDEX(Load_Booking_Report!AM:AM,
             MATCH(TRUE,
                     ISNUMBER(FIND(SUBSTITUTE(C228," ",""),
                                    Load_Booking_Report!AL:AL)),
                     0)
      )=0,
      "",
      INDEX(Load_Booking_Report!AM:AM,
             MATCH(TRUE,
                     ISNUMBER(FIND(SUBSTITUTE(C228," ",""),
                                    Load_Booking_Report!AL:AL)),
                     0)
      )
   ),
   ""
)</f>
        <v/>
      </c>
      <c r="V228" s="21">
        <f t="array" ref="V228">IFERROR(
   IF(
      INDEX(Load_Booking_Report!AR:AR,
             MATCH(TRUE,
                     ISNUMBER(FIND(SUBSTITUTE(C228," ",""),
                                    Load_Booking_Report!AL:AL)),
                     0)
      )=0,
      "",
      INDEX(Load_Booking_Report!AR:AR,
             MATCH(TRUE,
                     ISNUMBER(FIND(SUBSTITUTE(C228," ",""),
                                    Load_Booking_Report!AL:AL)),
                     0)
      )
   ),
   ""
)</f>
        <v/>
      </c>
      <c r="W228" s="21">
        <f t="array" ref="W228">IFERROR(INDEX(Load_Booking_Report!F:F, MATCH(TRUE, ISNUMBER(FIND(SUBSTITUTE(C228," ",""), Load_Booking_Report!AL:AL)), 0)), "Not Found")</f>
        <v/>
      </c>
      <c r="X228" s="21">
        <f t="array" ref="X228">IFERROR(INDEX(Load_Booking_Report!N:N, MATCH(TRUE, ISNUMBER(FIND(SUBSTITUTE(C228," ",""), Load_Booking_Report!AL:AL)), 0)), "Not Found")</f>
        <v/>
      </c>
      <c r="Y228" s="21">
        <f t="array" ref="Y228">IFERROR(INDEX(Load_Booking_Report!V:V, MATCH(TRUE, ISNUMBER(FIND(SUBSTITUTE(C228," ",""), Load_Booking_Report!AL:AL)), 0)), "Not Found")</f>
        <v/>
      </c>
      <c r="Z228" s="41">
        <f t="array" ref="Z228">IFERROR(INDEX(Load_Booking_Report!BC:BC, MATCH(TRUE, ISNUMBER(FIND(SUBSTITUTE(C228," ",""), Load_Booking_Report!AL:AL)), 0)), "Not Found")</f>
        <v/>
      </c>
    </row>
    <row r="229">
      <c r="A229" t="n">
        <v>26</v>
      </c>
      <c r="B229" t="n">
        <v>260384</v>
      </c>
      <c r="C229" t="inlineStr">
        <is>
          <t>ANON0000000</t>
        </is>
      </c>
      <c r="D229" t="n">
        <v>40</v>
      </c>
      <c r="E229" t="inlineStr">
        <is>
          <t>USHOU</t>
        </is>
      </c>
      <c r="F229" t="inlineStr">
        <is>
          <t>RULED</t>
        </is>
      </c>
      <c r="G229" t="n">
        <v>27679</v>
      </c>
      <c r="H229" t="inlineStr">
        <is>
          <t>ART</t>
        </is>
      </c>
      <c r="I229" t="inlineStr">
        <is>
          <t>45R1</t>
        </is>
      </c>
      <c r="K229" t="inlineStr">
        <is>
          <t>0.0:CEL</t>
        </is>
      </c>
      <c r="L229" t="inlineStr">
        <is>
          <t>9'6</t>
        </is>
      </c>
      <c r="M229" t="inlineStr">
        <is>
          <t>Full</t>
        </is>
      </c>
      <c r="N229" t="inlineStr">
        <is>
          <t>RULED</t>
        </is>
      </c>
      <c r="P229" s="21">
        <f>C229</f>
        <v/>
      </c>
      <c r="Q229" s="21">
        <f t="array" ref="Q229">IFERROR(INDEX(Load_Booking_Report!AC:AC, MATCH(TRUE, ISNUMBER(FIND(SUBSTITUTE(C229," ",""), Load_Booking_Report!AL:AL)), 0)), "Not Found")</f>
        <v/>
      </c>
      <c r="R229" s="21">
        <f t="array" ref="R229">IFERROR(INDEX(Load_Booking_Report!C:C, MATCH(TRUE, ISNUMBER(FIND(SUBSTITUTE(C229," ",""), Load_Booking_Report!AL:AL)), 0)), "Not Found")</f>
        <v/>
      </c>
      <c r="S229" s="21">
        <f t="array" ref="S229">IFERROR(INDEX(Load_Booking_Report!AG:AG, MATCH(TRUE, ISNUMBER(FIND(SUBSTITUTE(C229," ",""), Load_Booking_Report!AL:AL)), 0)), "Not Found")</f>
        <v/>
      </c>
      <c r="T229" s="21">
        <f>G229</f>
        <v/>
      </c>
      <c r="U229" s="33">
        <f t="array" ref="U229">IFERROR(
   IF(
      INDEX(Load_Booking_Report!AM:AM,
             MATCH(TRUE,
                     ISNUMBER(FIND(SUBSTITUTE(C229," ",""),
                                    Load_Booking_Report!AL:AL)),
                     0)
      )=0,
      "",
      INDEX(Load_Booking_Report!AM:AM,
             MATCH(TRUE,
                     ISNUMBER(FIND(SUBSTITUTE(C229," ",""),
                                    Load_Booking_Report!AL:AL)),
                     0)
      )
   ),
   ""
)</f>
        <v/>
      </c>
      <c r="V229" s="21">
        <f t="array" ref="V229">IFERROR(
   IF(
      INDEX(Load_Booking_Report!AR:AR,
             MATCH(TRUE,
                     ISNUMBER(FIND(SUBSTITUTE(C229," ",""),
                                    Load_Booking_Report!AL:AL)),
                     0)
      )=0,
      "",
      INDEX(Load_Booking_Report!AR:AR,
             MATCH(TRUE,
                     ISNUMBER(FIND(SUBSTITUTE(C229," ",""),
                                    Load_Booking_Report!AL:AL)),
                     0)
      )
   ),
   ""
)</f>
        <v/>
      </c>
      <c r="W229" s="21">
        <f t="array" ref="W229">IFERROR(INDEX(Load_Booking_Report!F:F, MATCH(TRUE, ISNUMBER(FIND(SUBSTITUTE(C229," ",""), Load_Booking_Report!AL:AL)), 0)), "Not Found")</f>
        <v/>
      </c>
      <c r="X229" s="21">
        <f t="array" ref="X229">IFERROR(INDEX(Load_Booking_Report!N:N, MATCH(TRUE, ISNUMBER(FIND(SUBSTITUTE(C229," ",""), Load_Booking_Report!AL:AL)), 0)), "Not Found")</f>
        <v/>
      </c>
      <c r="Y229" s="21">
        <f t="array" ref="Y229">IFERROR(INDEX(Load_Booking_Report!V:V, MATCH(TRUE, ISNUMBER(FIND(SUBSTITUTE(C229," ",""), Load_Booking_Report!AL:AL)), 0)), "Not Found")</f>
        <v/>
      </c>
      <c r="Z229" s="41">
        <f t="array" ref="Z229">IFERROR(INDEX(Load_Booking_Report!BC:BC, MATCH(TRUE, ISNUMBER(FIND(SUBSTITUTE(C229," ",""), Load_Booking_Report!AL:AL)), 0)), "Not Found")</f>
        <v/>
      </c>
    </row>
    <row r="230">
      <c r="A230" t="n">
        <v>26</v>
      </c>
      <c r="B230" t="n">
        <v>260882</v>
      </c>
      <c r="C230" t="inlineStr">
        <is>
          <t>ANON0000000</t>
        </is>
      </c>
      <c r="D230" t="n">
        <v>40</v>
      </c>
      <c r="E230" t="inlineStr">
        <is>
          <t>USHOU</t>
        </is>
      </c>
      <c r="F230" t="inlineStr">
        <is>
          <t>RUBLT</t>
        </is>
      </c>
      <c r="G230" t="n">
        <v>33190</v>
      </c>
      <c r="H230" t="inlineStr">
        <is>
          <t>ART</t>
        </is>
      </c>
      <c r="I230" t="inlineStr">
        <is>
          <t>45R1</t>
        </is>
      </c>
      <c r="K230" t="inlineStr">
        <is>
          <t>-22.0:CEL</t>
        </is>
      </c>
      <c r="L230" t="inlineStr">
        <is>
          <t>9'6</t>
        </is>
      </c>
      <c r="M230" t="inlineStr">
        <is>
          <t>Full</t>
        </is>
      </c>
      <c r="N230" t="inlineStr">
        <is>
          <t>RULED</t>
        </is>
      </c>
      <c r="P230" s="21">
        <f>C230</f>
        <v/>
      </c>
      <c r="Q230" s="21">
        <f t="array" ref="Q230">IFERROR(INDEX(Load_Booking_Report!AC:AC, MATCH(TRUE, ISNUMBER(FIND(SUBSTITUTE(C230," ",""), Load_Booking_Report!AL:AL)), 0)), "Not Found")</f>
        <v/>
      </c>
      <c r="R230" s="21">
        <f t="array" ref="R230">IFERROR(INDEX(Load_Booking_Report!C:C, MATCH(TRUE, ISNUMBER(FIND(SUBSTITUTE(C230," ",""), Load_Booking_Report!AL:AL)), 0)), "Not Found")</f>
        <v/>
      </c>
      <c r="S230" s="21">
        <f t="array" ref="S230">IFERROR(INDEX(Load_Booking_Report!AG:AG, MATCH(TRUE, ISNUMBER(FIND(SUBSTITUTE(C230," ",""), Load_Booking_Report!AL:AL)), 0)), "Not Found")</f>
        <v/>
      </c>
      <c r="T230" s="21">
        <f>G230</f>
        <v/>
      </c>
      <c r="U230" s="33">
        <f t="array" ref="U230">IFERROR(
   IF(
      INDEX(Load_Booking_Report!AM:AM,
             MATCH(TRUE,
                     ISNUMBER(FIND(SUBSTITUTE(C230," ",""),
                                    Load_Booking_Report!AL:AL)),
                     0)
      )=0,
      "",
      INDEX(Load_Booking_Report!AM:AM,
             MATCH(TRUE,
                     ISNUMBER(FIND(SUBSTITUTE(C230," ",""),
                                    Load_Booking_Report!AL:AL)),
                     0)
      )
   ),
   ""
)</f>
        <v/>
      </c>
      <c r="V230" s="21">
        <f t="array" ref="V230">IFERROR(
   IF(
      INDEX(Load_Booking_Report!AR:AR,
             MATCH(TRUE,
                     ISNUMBER(FIND(SUBSTITUTE(C230," ",""),
                                    Load_Booking_Report!AL:AL)),
                     0)
      )=0,
      "",
      INDEX(Load_Booking_Report!AR:AR,
             MATCH(TRUE,
                     ISNUMBER(FIND(SUBSTITUTE(C230," ",""),
                                    Load_Booking_Report!AL:AL)),
                     0)
      )
   ),
   ""
)</f>
        <v/>
      </c>
      <c r="W230" s="21">
        <f t="array" ref="W230">IFERROR(INDEX(Load_Booking_Report!F:F, MATCH(TRUE, ISNUMBER(FIND(SUBSTITUTE(C230," ",""), Load_Booking_Report!AL:AL)), 0)), "Not Found")</f>
        <v/>
      </c>
      <c r="X230" s="21">
        <f t="array" ref="X230">IFERROR(INDEX(Load_Booking_Report!N:N, MATCH(TRUE, ISNUMBER(FIND(SUBSTITUTE(C230," ",""), Load_Booking_Report!AL:AL)), 0)), "Not Found")</f>
        <v/>
      </c>
      <c r="Y230" s="21">
        <f t="array" ref="Y230">IFERROR(INDEX(Load_Booking_Report!V:V, MATCH(TRUE, ISNUMBER(FIND(SUBSTITUTE(C230," ",""), Load_Booking_Report!AL:AL)), 0)), "Not Found")</f>
        <v/>
      </c>
      <c r="Z230" s="41">
        <f t="array" ref="Z230">IFERROR(INDEX(Load_Booking_Report!BC:BC, MATCH(TRUE, ISNUMBER(FIND(SUBSTITUTE(C230," ",""), Load_Booking_Report!AL:AL)), 0)), "Not Found")</f>
        <v/>
      </c>
    </row>
    <row r="231">
      <c r="A231" t="n">
        <v>34</v>
      </c>
      <c r="B231" t="n">
        <v>341084</v>
      </c>
      <c r="C231" t="inlineStr">
        <is>
          <t>ANON0000000</t>
        </is>
      </c>
      <c r="D231" t="n">
        <v>40</v>
      </c>
      <c r="E231" t="inlineStr">
        <is>
          <t>USNFK</t>
        </is>
      </c>
      <c r="F231" t="inlineStr">
        <is>
          <t>RULED</t>
        </is>
      </c>
      <c r="G231" t="n">
        <v>25367</v>
      </c>
      <c r="H231" t="inlineStr">
        <is>
          <t>ART</t>
        </is>
      </c>
      <c r="I231" t="inlineStr">
        <is>
          <t>45R1</t>
        </is>
      </c>
      <c r="K231" t="inlineStr">
        <is>
          <t>10.0:CEL</t>
        </is>
      </c>
      <c r="L231" t="inlineStr">
        <is>
          <t>OOG</t>
        </is>
      </c>
      <c r="M231" t="inlineStr">
        <is>
          <t>Full</t>
        </is>
      </c>
      <c r="N231" t="inlineStr">
        <is>
          <t>RULED</t>
        </is>
      </c>
      <c r="P231" s="21">
        <f>C231</f>
        <v/>
      </c>
      <c r="Q231" s="21">
        <f t="array" ref="Q231">IFERROR(INDEX(Load_Booking_Report!AC:AC, MATCH(TRUE, ISNUMBER(FIND(SUBSTITUTE(C231," ",""), Load_Booking_Report!AL:AL)), 0)), "Not Found")</f>
        <v/>
      </c>
      <c r="R231" s="21">
        <f t="array" ref="R231">IFERROR(INDEX(Load_Booking_Report!C:C, MATCH(TRUE, ISNUMBER(FIND(SUBSTITUTE(C231," ",""), Load_Booking_Report!AL:AL)), 0)), "Not Found")</f>
        <v/>
      </c>
      <c r="S231" s="21">
        <f t="array" ref="S231">IFERROR(INDEX(Load_Booking_Report!AG:AG, MATCH(TRUE, ISNUMBER(FIND(SUBSTITUTE(C231," ",""), Load_Booking_Report!AL:AL)), 0)), "Not Found")</f>
        <v/>
      </c>
      <c r="T231" s="21">
        <f>G231</f>
        <v/>
      </c>
      <c r="U231" s="33">
        <f t="array" ref="U231">IFERROR(
   IF(
      INDEX(Load_Booking_Report!AM:AM,
             MATCH(TRUE,
                     ISNUMBER(FIND(SUBSTITUTE(C231," ",""),
                                    Load_Booking_Report!AL:AL)),
                     0)
      )=0,
      "",
      INDEX(Load_Booking_Report!AM:AM,
             MATCH(TRUE,
                     ISNUMBER(FIND(SUBSTITUTE(C231," ",""),
                                    Load_Booking_Report!AL:AL)),
                     0)
      )
   ),
   ""
)</f>
        <v/>
      </c>
      <c r="V231" s="21">
        <f t="array" ref="V231">IFERROR(
   IF(
      INDEX(Load_Booking_Report!AR:AR,
             MATCH(TRUE,
                     ISNUMBER(FIND(SUBSTITUTE(C231," ",""),
                                    Load_Booking_Report!AL:AL)),
                     0)
      )=0,
      "",
      INDEX(Load_Booking_Report!AR:AR,
             MATCH(TRUE,
                     ISNUMBER(FIND(SUBSTITUTE(C231," ",""),
                                    Load_Booking_Report!AL:AL)),
                     0)
      )
   ),
   ""
)</f>
        <v/>
      </c>
      <c r="W231" s="21">
        <f t="array" ref="W231">IFERROR(INDEX(Load_Booking_Report!F:F, MATCH(TRUE, ISNUMBER(FIND(SUBSTITUTE(C231," ",""), Load_Booking_Report!AL:AL)), 0)), "Not Found")</f>
        <v/>
      </c>
      <c r="X231" s="21">
        <f t="array" ref="X231">IFERROR(INDEX(Load_Booking_Report!N:N, MATCH(TRUE, ISNUMBER(FIND(SUBSTITUTE(C231," ",""), Load_Booking_Report!AL:AL)), 0)), "Not Found")</f>
        <v/>
      </c>
      <c r="Y231" s="21">
        <f t="array" ref="Y231">IFERROR(INDEX(Load_Booking_Report!V:V, MATCH(TRUE, ISNUMBER(FIND(SUBSTITUTE(C231," ",""), Load_Booking_Report!AL:AL)), 0)), "Not Found")</f>
        <v/>
      </c>
      <c r="Z231" s="41">
        <f t="array" ref="Z231">IFERROR(INDEX(Load_Booking_Report!BC:BC, MATCH(TRUE, ISNUMBER(FIND(SUBSTITUTE(C231," ",""), Load_Booking_Report!AL:AL)), 0)), "Not Found")</f>
        <v/>
      </c>
    </row>
    <row r="232">
      <c r="A232" t="n">
        <v>34</v>
      </c>
      <c r="B232" t="n">
        <v>340682</v>
      </c>
      <c r="C232" t="inlineStr">
        <is>
          <t>ANON0000000</t>
        </is>
      </c>
      <c r="D232" t="n">
        <v>40</v>
      </c>
      <c r="E232" t="inlineStr">
        <is>
          <t>USHOU</t>
        </is>
      </c>
      <c r="F232" t="inlineStr">
        <is>
          <t>RULED</t>
        </is>
      </c>
      <c r="G232" t="n">
        <v>32356</v>
      </c>
      <c r="H232" t="inlineStr">
        <is>
          <t>ART</t>
        </is>
      </c>
      <c r="I232" t="inlineStr">
        <is>
          <t>45R1</t>
        </is>
      </c>
      <c r="K232" t="inlineStr">
        <is>
          <t>-18.0:CEL</t>
        </is>
      </c>
      <c r="L232" t="inlineStr">
        <is>
          <t>9'6</t>
        </is>
      </c>
      <c r="M232" t="inlineStr">
        <is>
          <t>Full</t>
        </is>
      </c>
      <c r="N232" t="inlineStr">
        <is>
          <t>RULED</t>
        </is>
      </c>
      <c r="P232" s="21">
        <f>C232</f>
        <v/>
      </c>
      <c r="Q232" s="21">
        <f t="array" ref="Q232">IFERROR(INDEX(Load_Booking_Report!AC:AC, MATCH(TRUE, ISNUMBER(FIND(SUBSTITUTE(C232," ",""), Load_Booking_Report!AL:AL)), 0)), "Not Found")</f>
        <v/>
      </c>
      <c r="R232" s="21">
        <f t="array" ref="R232">IFERROR(INDEX(Load_Booking_Report!C:C, MATCH(TRUE, ISNUMBER(FIND(SUBSTITUTE(C232," ",""), Load_Booking_Report!AL:AL)), 0)), "Not Found")</f>
        <v/>
      </c>
      <c r="S232" s="21">
        <f t="array" ref="S232">IFERROR(INDEX(Load_Booking_Report!AG:AG, MATCH(TRUE, ISNUMBER(FIND(SUBSTITUTE(C232," ",""), Load_Booking_Report!AL:AL)), 0)), "Not Found")</f>
        <v/>
      </c>
      <c r="T232" s="21">
        <f>G232</f>
        <v/>
      </c>
      <c r="U232" s="33">
        <f t="array" ref="U232">IFERROR(
   IF(
      INDEX(Load_Booking_Report!AM:AM,
             MATCH(TRUE,
                     ISNUMBER(FIND(SUBSTITUTE(C232," ",""),
                                    Load_Booking_Report!AL:AL)),
                     0)
      )=0,
      "",
      INDEX(Load_Booking_Report!AM:AM,
             MATCH(TRUE,
                     ISNUMBER(FIND(SUBSTITUTE(C232," ",""),
                                    Load_Booking_Report!AL:AL)),
                     0)
      )
   ),
   ""
)</f>
        <v/>
      </c>
      <c r="V232" s="21">
        <f t="array" ref="V232">IFERROR(
   IF(
      INDEX(Load_Booking_Report!AR:AR,
             MATCH(TRUE,
                     ISNUMBER(FIND(SUBSTITUTE(C232," ",""),
                                    Load_Booking_Report!AL:AL)),
                     0)
      )=0,
      "",
      INDEX(Load_Booking_Report!AR:AR,
             MATCH(TRUE,
                     ISNUMBER(FIND(SUBSTITUTE(C232," ",""),
                                    Load_Booking_Report!AL:AL)),
                     0)
      )
   ),
   ""
)</f>
        <v/>
      </c>
      <c r="W232" s="21">
        <f t="array" ref="W232">IFERROR(INDEX(Load_Booking_Report!F:F, MATCH(TRUE, ISNUMBER(FIND(SUBSTITUTE(C232," ",""), Load_Booking_Report!AL:AL)), 0)), "Not Found")</f>
        <v/>
      </c>
      <c r="X232" s="21">
        <f t="array" ref="X232">IFERROR(INDEX(Load_Booking_Report!N:N, MATCH(TRUE, ISNUMBER(FIND(SUBSTITUTE(C232," ",""), Load_Booking_Report!AL:AL)), 0)), "Not Found")</f>
        <v/>
      </c>
      <c r="Y232" s="21">
        <f t="array" ref="Y232">IFERROR(INDEX(Load_Booking_Report!V:V, MATCH(TRUE, ISNUMBER(FIND(SUBSTITUTE(C232," ",""), Load_Booking_Report!AL:AL)), 0)), "Not Found")</f>
        <v/>
      </c>
      <c r="Z232" s="41">
        <f t="array" ref="Z232">IFERROR(INDEX(Load_Booking_Report!BC:BC, MATCH(TRUE, ISNUMBER(FIND(SUBSTITUTE(C232," ",""), Load_Booking_Report!AL:AL)), 0)), "Not Found")</f>
        <v/>
      </c>
    </row>
    <row r="233">
      <c r="A233" t="n">
        <v>40</v>
      </c>
      <c r="B233" t="n">
        <v>400882</v>
      </c>
      <c r="C233" t="inlineStr">
        <is>
          <t>ANON0000000</t>
        </is>
      </c>
      <c r="D233" t="n">
        <v>40</v>
      </c>
      <c r="E233" t="inlineStr">
        <is>
          <t>USHOU</t>
        </is>
      </c>
      <c r="F233" t="inlineStr">
        <is>
          <t>RUBLT</t>
        </is>
      </c>
      <c r="G233" t="n">
        <v>33190</v>
      </c>
      <c r="H233" t="inlineStr">
        <is>
          <t>ART</t>
        </is>
      </c>
      <c r="I233" t="inlineStr">
        <is>
          <t>45R1</t>
        </is>
      </c>
      <c r="K233" t="inlineStr">
        <is>
          <t>-22.0:CEL</t>
        </is>
      </c>
      <c r="L233" t="inlineStr">
        <is>
          <t>9'6</t>
        </is>
      </c>
      <c r="M233" t="inlineStr">
        <is>
          <t>Full</t>
        </is>
      </c>
      <c r="N233" t="inlineStr">
        <is>
          <t>RULED</t>
        </is>
      </c>
      <c r="P233" s="21">
        <f>C233</f>
        <v/>
      </c>
      <c r="Q233" s="21">
        <f t="array" ref="Q233">IFERROR(INDEX(Load_Booking_Report!AC:AC, MATCH(TRUE, ISNUMBER(FIND(SUBSTITUTE(C233," ",""), Load_Booking_Report!AL:AL)), 0)), "Not Found")</f>
        <v/>
      </c>
      <c r="R233" s="21">
        <f t="array" ref="R233">IFERROR(INDEX(Load_Booking_Report!C:C, MATCH(TRUE, ISNUMBER(FIND(SUBSTITUTE(C233," ",""), Load_Booking_Report!AL:AL)), 0)), "Not Found")</f>
        <v/>
      </c>
      <c r="S233" s="21">
        <f t="array" ref="S233">IFERROR(INDEX(Load_Booking_Report!AG:AG, MATCH(TRUE, ISNUMBER(FIND(SUBSTITUTE(C233," ",""), Load_Booking_Report!AL:AL)), 0)), "Not Found")</f>
        <v/>
      </c>
      <c r="T233" s="21">
        <f>G233</f>
        <v/>
      </c>
      <c r="U233" s="33">
        <f t="array" ref="U233">IFERROR(
   IF(
      INDEX(Load_Booking_Report!AM:AM,
             MATCH(TRUE,
                     ISNUMBER(FIND(SUBSTITUTE(C233," ",""),
                                    Load_Booking_Report!AL:AL)),
                     0)
      )=0,
      "",
      INDEX(Load_Booking_Report!AM:AM,
             MATCH(TRUE,
                     ISNUMBER(FIND(SUBSTITUTE(C233," ",""),
                                    Load_Booking_Report!AL:AL)),
                     0)
      )
   ),
   ""
)</f>
        <v/>
      </c>
      <c r="V233" s="21">
        <f t="array" ref="V233">IFERROR(
   IF(
      INDEX(Load_Booking_Report!AR:AR,
             MATCH(TRUE,
                     ISNUMBER(FIND(SUBSTITUTE(C233," ",""),
                                    Load_Booking_Report!AL:AL)),
                     0)
      )=0,
      "",
      INDEX(Load_Booking_Report!AR:AR,
             MATCH(TRUE,
                     ISNUMBER(FIND(SUBSTITUTE(C233," ",""),
                                    Load_Booking_Report!AL:AL)),
                     0)
      )
   ),
   ""
)</f>
        <v/>
      </c>
      <c r="W233" s="21">
        <f t="array" ref="W233">IFERROR(INDEX(Load_Booking_Report!F:F, MATCH(TRUE, ISNUMBER(FIND(SUBSTITUTE(C233," ",""), Load_Booking_Report!AL:AL)), 0)), "Not Found")</f>
        <v/>
      </c>
      <c r="X233" s="21">
        <f t="array" ref="X233">IFERROR(INDEX(Load_Booking_Report!N:N, MATCH(TRUE, ISNUMBER(FIND(SUBSTITUTE(C233," ",""), Load_Booking_Report!AL:AL)), 0)), "Not Found")</f>
        <v/>
      </c>
      <c r="Y233" s="21">
        <f t="array" ref="Y233">IFERROR(INDEX(Load_Booking_Report!V:V, MATCH(TRUE, ISNUMBER(FIND(SUBSTITUTE(C233," ",""), Load_Booking_Report!AL:AL)), 0)), "Not Found")</f>
        <v/>
      </c>
      <c r="Z233" s="41">
        <f t="array" ref="Z233">IFERROR(INDEX(Load_Booking_Report!BC:BC, MATCH(TRUE, ISNUMBER(FIND(SUBSTITUTE(C233," ",""), Load_Booking_Report!AL:AL)), 0)), "Not Found")</f>
        <v/>
      </c>
    </row>
    <row r="234">
      <c r="A234" t="n">
        <v>26</v>
      </c>
      <c r="B234" t="n">
        <v>260586</v>
      </c>
      <c r="C234" t="inlineStr">
        <is>
          <t>ANON0000000</t>
        </is>
      </c>
      <c r="D234" t="n">
        <v>40</v>
      </c>
      <c r="E234" t="inlineStr">
        <is>
          <t>USNYC</t>
        </is>
      </c>
      <c r="F234" t="inlineStr">
        <is>
          <t>RUBLT</t>
        </is>
      </c>
      <c r="G234" t="n">
        <v>33543</v>
      </c>
      <c r="H234" t="inlineStr">
        <is>
          <t>ART</t>
        </is>
      </c>
      <c r="I234" t="inlineStr">
        <is>
          <t>45R1</t>
        </is>
      </c>
      <c r="K234" t="inlineStr">
        <is>
          <t>-22.0:CEL</t>
        </is>
      </c>
      <c r="L234" t="inlineStr">
        <is>
          <t>9'6</t>
        </is>
      </c>
      <c r="M234" t="inlineStr">
        <is>
          <t>Full</t>
        </is>
      </c>
      <c r="N234" t="inlineStr">
        <is>
          <t>RULED</t>
        </is>
      </c>
      <c r="P234" s="21">
        <f>C234</f>
        <v/>
      </c>
      <c r="Q234" s="21">
        <f t="array" ref="Q234">IFERROR(INDEX(Load_Booking_Report!AC:AC, MATCH(TRUE, ISNUMBER(FIND(SUBSTITUTE(C234," ",""), Load_Booking_Report!AL:AL)), 0)), "Not Found")</f>
        <v/>
      </c>
      <c r="R234" s="21">
        <f t="array" ref="R234">IFERROR(INDEX(Load_Booking_Report!C:C, MATCH(TRUE, ISNUMBER(FIND(SUBSTITUTE(C234," ",""), Load_Booking_Report!AL:AL)), 0)), "Not Found")</f>
        <v/>
      </c>
      <c r="S234" s="21">
        <f t="array" ref="S234">IFERROR(INDEX(Load_Booking_Report!AG:AG, MATCH(TRUE, ISNUMBER(FIND(SUBSTITUTE(C234," ",""), Load_Booking_Report!AL:AL)), 0)), "Not Found")</f>
        <v/>
      </c>
      <c r="T234" s="21">
        <f>G234</f>
        <v/>
      </c>
      <c r="U234" s="33">
        <f t="array" ref="U234">IFERROR(
   IF(
      INDEX(Load_Booking_Report!AM:AM,
             MATCH(TRUE,
                     ISNUMBER(FIND(SUBSTITUTE(C234," ",""),
                                    Load_Booking_Report!AL:AL)),
                     0)
      )=0,
      "",
      INDEX(Load_Booking_Report!AM:AM,
             MATCH(TRUE,
                     ISNUMBER(FIND(SUBSTITUTE(C234," ",""),
                                    Load_Booking_Report!AL:AL)),
                     0)
      )
   ),
   ""
)</f>
        <v/>
      </c>
      <c r="V234" s="21">
        <f t="array" ref="V234">IFERROR(
   IF(
      INDEX(Load_Booking_Report!AR:AR,
             MATCH(TRUE,
                     ISNUMBER(FIND(SUBSTITUTE(C234," ",""),
                                    Load_Booking_Report!AL:AL)),
                     0)
      )=0,
      "",
      INDEX(Load_Booking_Report!AR:AR,
             MATCH(TRUE,
                     ISNUMBER(FIND(SUBSTITUTE(C234," ",""),
                                    Load_Booking_Report!AL:AL)),
                     0)
      )
   ),
   ""
)</f>
        <v/>
      </c>
      <c r="W234" s="21">
        <f t="array" ref="W234">IFERROR(INDEX(Load_Booking_Report!F:F, MATCH(TRUE, ISNUMBER(FIND(SUBSTITUTE(C234," ",""), Load_Booking_Report!AL:AL)), 0)), "Not Found")</f>
        <v/>
      </c>
      <c r="X234" s="21">
        <f t="array" ref="X234">IFERROR(INDEX(Load_Booking_Report!N:N, MATCH(TRUE, ISNUMBER(FIND(SUBSTITUTE(C234," ",""), Load_Booking_Report!AL:AL)), 0)), "Not Found")</f>
        <v/>
      </c>
      <c r="Y234" s="21">
        <f t="array" ref="Y234">IFERROR(INDEX(Load_Booking_Report!V:V, MATCH(TRUE, ISNUMBER(FIND(SUBSTITUTE(C234," ",""), Load_Booking_Report!AL:AL)), 0)), "Not Found")</f>
        <v/>
      </c>
      <c r="Z234" s="41">
        <f t="array" ref="Z234">IFERROR(INDEX(Load_Booking_Report!BC:BC, MATCH(TRUE, ISNUMBER(FIND(SUBSTITUTE(C234," ",""), Load_Booking_Report!AL:AL)), 0)), "Not Found")</f>
        <v/>
      </c>
    </row>
    <row r="235">
      <c r="A235" t="n">
        <v>34</v>
      </c>
      <c r="B235" t="n">
        <v>340182</v>
      </c>
      <c r="C235" t="inlineStr">
        <is>
          <t>ANON0000000</t>
        </is>
      </c>
      <c r="D235" t="n">
        <v>40</v>
      </c>
      <c r="E235" t="inlineStr">
        <is>
          <t>USHOU</t>
        </is>
      </c>
      <c r="F235" t="inlineStr">
        <is>
          <t>RULED</t>
        </is>
      </c>
      <c r="G235" t="n">
        <v>32216</v>
      </c>
      <c r="H235" t="inlineStr">
        <is>
          <t>ART</t>
        </is>
      </c>
      <c r="I235" t="inlineStr">
        <is>
          <t>45R1</t>
        </is>
      </c>
      <c r="K235" t="inlineStr">
        <is>
          <t>-18.0:CEL</t>
        </is>
      </c>
      <c r="L235" t="inlineStr">
        <is>
          <t>9'6</t>
        </is>
      </c>
      <c r="M235" t="inlineStr">
        <is>
          <t>Full</t>
        </is>
      </c>
      <c r="N235" t="inlineStr">
        <is>
          <t>RULED</t>
        </is>
      </c>
      <c r="P235" s="21">
        <f>C235</f>
        <v/>
      </c>
      <c r="Q235" s="21">
        <f t="array" ref="Q235">IFERROR(INDEX(Load_Booking_Report!AC:AC, MATCH(TRUE, ISNUMBER(FIND(SUBSTITUTE(C235," ",""), Load_Booking_Report!AL:AL)), 0)), "Not Found")</f>
        <v/>
      </c>
      <c r="R235" s="21">
        <f t="array" ref="R235">IFERROR(INDEX(Load_Booking_Report!C:C, MATCH(TRUE, ISNUMBER(FIND(SUBSTITUTE(C235," ",""), Load_Booking_Report!AL:AL)), 0)), "Not Found")</f>
        <v/>
      </c>
      <c r="S235" s="21">
        <f t="array" ref="S235">IFERROR(INDEX(Load_Booking_Report!AG:AG, MATCH(TRUE, ISNUMBER(FIND(SUBSTITUTE(C235," ",""), Load_Booking_Report!AL:AL)), 0)), "Not Found")</f>
        <v/>
      </c>
      <c r="T235" s="21">
        <f>G235</f>
        <v/>
      </c>
      <c r="U235" s="33">
        <f t="array" ref="U235">IFERROR(
   IF(
      INDEX(Load_Booking_Report!AM:AM,
             MATCH(TRUE,
                     ISNUMBER(FIND(SUBSTITUTE(C235," ",""),
                                    Load_Booking_Report!AL:AL)),
                     0)
      )=0,
      "",
      INDEX(Load_Booking_Report!AM:AM,
             MATCH(TRUE,
                     ISNUMBER(FIND(SUBSTITUTE(C235," ",""),
                                    Load_Booking_Report!AL:AL)),
                     0)
      )
   ),
   ""
)</f>
        <v/>
      </c>
      <c r="V235" s="21">
        <f t="array" ref="V235">IFERROR(
   IF(
      INDEX(Load_Booking_Report!AR:AR,
             MATCH(TRUE,
                     ISNUMBER(FIND(SUBSTITUTE(C235," ",""),
                                    Load_Booking_Report!AL:AL)),
                     0)
      )=0,
      "",
      INDEX(Load_Booking_Report!AR:AR,
             MATCH(TRUE,
                     ISNUMBER(FIND(SUBSTITUTE(C235," ",""),
                                    Load_Booking_Report!AL:AL)),
                     0)
      )
   ),
   ""
)</f>
        <v/>
      </c>
      <c r="W235" s="21">
        <f t="array" ref="W235">IFERROR(INDEX(Load_Booking_Report!F:F, MATCH(TRUE, ISNUMBER(FIND(SUBSTITUTE(C235," ",""), Load_Booking_Report!AL:AL)), 0)), "Not Found")</f>
        <v/>
      </c>
      <c r="X235" s="21">
        <f t="array" ref="X235">IFERROR(INDEX(Load_Booking_Report!N:N, MATCH(TRUE, ISNUMBER(FIND(SUBSTITUTE(C235," ",""), Load_Booking_Report!AL:AL)), 0)), "Not Found")</f>
        <v/>
      </c>
      <c r="Y235" s="21">
        <f t="array" ref="Y235">IFERROR(INDEX(Load_Booking_Report!V:V, MATCH(TRUE, ISNUMBER(FIND(SUBSTITUTE(C235," ",""), Load_Booking_Report!AL:AL)), 0)), "Not Found")</f>
        <v/>
      </c>
      <c r="Z235" s="41">
        <f t="array" ref="Z235">IFERROR(INDEX(Load_Booking_Report!BC:BC, MATCH(TRUE, ISNUMBER(FIND(SUBSTITUTE(C235," ",""), Load_Booking_Report!AL:AL)), 0)), "Not Found")</f>
        <v/>
      </c>
    </row>
    <row r="236">
      <c r="A236" t="n">
        <v>34</v>
      </c>
      <c r="B236" t="n">
        <v>340782</v>
      </c>
      <c r="C236" t="inlineStr">
        <is>
          <t>ANON0000000</t>
        </is>
      </c>
      <c r="D236" t="n">
        <v>40</v>
      </c>
      <c r="E236" t="inlineStr">
        <is>
          <t>USHOU</t>
        </is>
      </c>
      <c r="F236" t="inlineStr">
        <is>
          <t>RULED</t>
        </is>
      </c>
      <c r="G236" t="n">
        <v>32214</v>
      </c>
      <c r="H236" t="inlineStr">
        <is>
          <t>ART</t>
        </is>
      </c>
      <c r="I236" t="inlineStr">
        <is>
          <t>45R1</t>
        </is>
      </c>
      <c r="K236" t="inlineStr">
        <is>
          <t>-18.0:CEL</t>
        </is>
      </c>
      <c r="L236" t="inlineStr">
        <is>
          <t>9'6</t>
        </is>
      </c>
      <c r="M236" t="inlineStr">
        <is>
          <t>Full</t>
        </is>
      </c>
      <c r="N236" t="inlineStr">
        <is>
          <t>RULED</t>
        </is>
      </c>
      <c r="P236" s="21">
        <f>C236</f>
        <v/>
      </c>
      <c r="Q236" s="21">
        <f t="array" ref="Q236">IFERROR(INDEX(Load_Booking_Report!AC:AC, MATCH(TRUE, ISNUMBER(FIND(SUBSTITUTE(C236," ",""), Load_Booking_Report!AL:AL)), 0)), "Not Found")</f>
        <v/>
      </c>
      <c r="R236" s="21">
        <f t="array" ref="R236">IFERROR(INDEX(Load_Booking_Report!C:C, MATCH(TRUE, ISNUMBER(FIND(SUBSTITUTE(C236," ",""), Load_Booking_Report!AL:AL)), 0)), "Not Found")</f>
        <v/>
      </c>
      <c r="S236" s="21">
        <f t="array" ref="S236">IFERROR(INDEX(Load_Booking_Report!AG:AG, MATCH(TRUE, ISNUMBER(FIND(SUBSTITUTE(C236," ",""), Load_Booking_Report!AL:AL)), 0)), "Not Found")</f>
        <v/>
      </c>
      <c r="T236" s="21">
        <f>G236</f>
        <v/>
      </c>
      <c r="U236" s="33">
        <f t="array" ref="U236">IFERROR(
   IF(
      INDEX(Load_Booking_Report!AM:AM,
             MATCH(TRUE,
                     ISNUMBER(FIND(SUBSTITUTE(C236," ",""),
                                    Load_Booking_Report!AL:AL)),
                     0)
      )=0,
      "",
      INDEX(Load_Booking_Report!AM:AM,
             MATCH(TRUE,
                     ISNUMBER(FIND(SUBSTITUTE(C236," ",""),
                                    Load_Booking_Report!AL:AL)),
                     0)
      )
   ),
   ""
)</f>
        <v/>
      </c>
      <c r="V236" s="21">
        <f t="array" ref="V236">IFERROR(
   IF(
      INDEX(Load_Booking_Report!AR:AR,
             MATCH(TRUE,
                     ISNUMBER(FIND(SUBSTITUTE(C236," ",""),
                                    Load_Booking_Report!AL:AL)),
                     0)
      )=0,
      "",
      INDEX(Load_Booking_Report!AR:AR,
             MATCH(TRUE,
                     ISNUMBER(FIND(SUBSTITUTE(C236," ",""),
                                    Load_Booking_Report!AL:AL)),
                     0)
      )
   ),
   ""
)</f>
        <v/>
      </c>
      <c r="W236" s="21">
        <f t="array" ref="W236">IFERROR(INDEX(Load_Booking_Report!F:F, MATCH(TRUE, ISNUMBER(FIND(SUBSTITUTE(C236," ",""), Load_Booking_Report!AL:AL)), 0)), "Not Found")</f>
        <v/>
      </c>
      <c r="X236" s="21">
        <f t="array" ref="X236">IFERROR(INDEX(Load_Booking_Report!N:N, MATCH(TRUE, ISNUMBER(FIND(SUBSTITUTE(C236," ",""), Load_Booking_Report!AL:AL)), 0)), "Not Found")</f>
        <v/>
      </c>
      <c r="Y236" s="21">
        <f t="array" ref="Y236">IFERROR(INDEX(Load_Booking_Report!V:V, MATCH(TRUE, ISNUMBER(FIND(SUBSTITUTE(C236," ",""), Load_Booking_Report!AL:AL)), 0)), "Not Found")</f>
        <v/>
      </c>
      <c r="Z236" s="41">
        <f t="array" ref="Z236">IFERROR(INDEX(Load_Booking_Report!BC:BC, MATCH(TRUE, ISNUMBER(FIND(SUBSTITUTE(C236," ",""), Load_Booking_Report!AL:AL)), 0)), "Not Found")</f>
        <v/>
      </c>
    </row>
    <row r="237">
      <c r="A237" t="n">
        <v>40</v>
      </c>
      <c r="B237" t="n">
        <v>400582</v>
      </c>
      <c r="C237" t="inlineStr">
        <is>
          <t>ANON0000000</t>
        </is>
      </c>
      <c r="D237" t="n">
        <v>40</v>
      </c>
      <c r="E237" t="inlineStr">
        <is>
          <t>USNFK</t>
        </is>
      </c>
      <c r="F237" t="inlineStr">
        <is>
          <t>RUBLT</t>
        </is>
      </c>
      <c r="G237" t="n">
        <v>33163</v>
      </c>
      <c r="H237" t="inlineStr">
        <is>
          <t>ART</t>
        </is>
      </c>
      <c r="I237" t="inlineStr">
        <is>
          <t>45R1</t>
        </is>
      </c>
      <c r="K237" t="inlineStr">
        <is>
          <t>-18.0:CEL</t>
        </is>
      </c>
      <c r="L237" t="inlineStr">
        <is>
          <t>OOG</t>
        </is>
      </c>
      <c r="M237" t="inlineStr">
        <is>
          <t>Full</t>
        </is>
      </c>
      <c r="N237" t="inlineStr">
        <is>
          <t>RUBLT</t>
        </is>
      </c>
      <c r="P237" s="21">
        <f>C237</f>
        <v/>
      </c>
      <c r="Q237" s="21">
        <f t="array" ref="Q237">IFERROR(INDEX(Load_Booking_Report!AC:AC, MATCH(TRUE, ISNUMBER(FIND(SUBSTITUTE(C237," ",""), Load_Booking_Report!AL:AL)), 0)), "Not Found")</f>
        <v/>
      </c>
      <c r="R237" s="21">
        <f t="array" ref="R237">IFERROR(INDEX(Load_Booking_Report!C:C, MATCH(TRUE, ISNUMBER(FIND(SUBSTITUTE(C237," ",""), Load_Booking_Report!AL:AL)), 0)), "Not Found")</f>
        <v/>
      </c>
      <c r="S237" s="21">
        <f t="array" ref="S237">IFERROR(INDEX(Load_Booking_Report!AG:AG, MATCH(TRUE, ISNUMBER(FIND(SUBSTITUTE(C237," ",""), Load_Booking_Report!AL:AL)), 0)), "Not Found")</f>
        <v/>
      </c>
      <c r="T237" s="21">
        <f>G237</f>
        <v/>
      </c>
      <c r="U237" s="33">
        <f t="array" ref="U237">IFERROR(
   IF(
      INDEX(Load_Booking_Report!AM:AM,
             MATCH(TRUE,
                     ISNUMBER(FIND(SUBSTITUTE(C237," ",""),
                                    Load_Booking_Report!AL:AL)),
                     0)
      )=0,
      "",
      INDEX(Load_Booking_Report!AM:AM,
             MATCH(TRUE,
                     ISNUMBER(FIND(SUBSTITUTE(C237," ",""),
                                    Load_Booking_Report!AL:AL)),
                     0)
      )
   ),
   ""
)</f>
        <v/>
      </c>
      <c r="V237" s="21">
        <f t="array" ref="V237">IFERROR(
   IF(
      INDEX(Load_Booking_Report!AR:AR,
             MATCH(TRUE,
                     ISNUMBER(FIND(SUBSTITUTE(C237," ",""),
                                    Load_Booking_Report!AL:AL)),
                     0)
      )=0,
      "",
      INDEX(Load_Booking_Report!AR:AR,
             MATCH(TRUE,
                     ISNUMBER(FIND(SUBSTITUTE(C237," ",""),
                                    Load_Booking_Report!AL:AL)),
                     0)
      )
   ),
   ""
)</f>
        <v/>
      </c>
      <c r="W237" s="21">
        <f t="array" ref="W237">IFERROR(INDEX(Load_Booking_Report!F:F, MATCH(TRUE, ISNUMBER(FIND(SUBSTITUTE(C237," ",""), Load_Booking_Report!AL:AL)), 0)), "Not Found")</f>
        <v/>
      </c>
      <c r="X237" s="21">
        <f t="array" ref="X237">IFERROR(INDEX(Load_Booking_Report!N:N, MATCH(TRUE, ISNUMBER(FIND(SUBSTITUTE(C237," ",""), Load_Booking_Report!AL:AL)), 0)), "Not Found")</f>
        <v/>
      </c>
      <c r="Y237" s="21">
        <f t="array" ref="Y237">IFERROR(INDEX(Load_Booking_Report!V:V, MATCH(TRUE, ISNUMBER(FIND(SUBSTITUTE(C237," ",""), Load_Booking_Report!AL:AL)), 0)), "Not Found")</f>
        <v/>
      </c>
      <c r="Z237" s="41">
        <f t="array" ref="Z237">IFERROR(INDEX(Load_Booking_Report!BC:BC, MATCH(TRUE, ISNUMBER(FIND(SUBSTITUTE(C237," ",""), Load_Booking_Report!AL:AL)), 0)), "Not Found")</f>
        <v/>
      </c>
    </row>
    <row r="238">
      <c r="A238" t="n">
        <v>34</v>
      </c>
      <c r="B238" t="n">
        <v>340382</v>
      </c>
      <c r="C238" t="inlineStr">
        <is>
          <t>ANON0000000</t>
        </is>
      </c>
      <c r="D238" t="n">
        <v>40</v>
      </c>
      <c r="E238" t="inlineStr">
        <is>
          <t>USHOU</t>
        </is>
      </c>
      <c r="F238" t="inlineStr">
        <is>
          <t>RULED</t>
        </is>
      </c>
      <c r="G238" t="n">
        <v>32396</v>
      </c>
      <c r="H238" t="inlineStr">
        <is>
          <t>ART</t>
        </is>
      </c>
      <c r="I238" t="inlineStr">
        <is>
          <t>45R1</t>
        </is>
      </c>
      <c r="K238" t="inlineStr">
        <is>
          <t>-18.0:CEL</t>
        </is>
      </c>
      <c r="L238" t="inlineStr">
        <is>
          <t>9'6</t>
        </is>
      </c>
      <c r="M238" t="inlineStr">
        <is>
          <t>Full</t>
        </is>
      </c>
      <c r="N238" t="inlineStr">
        <is>
          <t>RULED</t>
        </is>
      </c>
      <c r="P238" s="21">
        <f>C238</f>
        <v/>
      </c>
      <c r="Q238" s="21">
        <f t="array" ref="Q238">IFERROR(INDEX(Load_Booking_Report!AC:AC, MATCH(TRUE, ISNUMBER(FIND(SUBSTITUTE(C238," ",""), Load_Booking_Report!AL:AL)), 0)), "Not Found")</f>
        <v/>
      </c>
      <c r="R238" s="21">
        <f t="array" ref="R238">IFERROR(INDEX(Load_Booking_Report!C:C, MATCH(TRUE, ISNUMBER(FIND(SUBSTITUTE(C238," ",""), Load_Booking_Report!AL:AL)), 0)), "Not Found")</f>
        <v/>
      </c>
      <c r="S238" s="21">
        <f t="array" ref="S238">IFERROR(INDEX(Load_Booking_Report!AG:AG, MATCH(TRUE, ISNUMBER(FIND(SUBSTITUTE(C238," ",""), Load_Booking_Report!AL:AL)), 0)), "Not Found")</f>
        <v/>
      </c>
      <c r="T238" s="21">
        <f>G238</f>
        <v/>
      </c>
      <c r="U238" s="33">
        <f t="array" ref="U238">IFERROR(
   IF(
      INDEX(Load_Booking_Report!AM:AM,
             MATCH(TRUE,
                     ISNUMBER(FIND(SUBSTITUTE(C238," ",""),
                                    Load_Booking_Report!AL:AL)),
                     0)
      )=0,
      "",
      INDEX(Load_Booking_Report!AM:AM,
             MATCH(TRUE,
                     ISNUMBER(FIND(SUBSTITUTE(C238," ",""),
                                    Load_Booking_Report!AL:AL)),
                     0)
      )
   ),
   ""
)</f>
        <v/>
      </c>
      <c r="V238" s="21">
        <f t="array" ref="V238">IFERROR(
   IF(
      INDEX(Load_Booking_Report!AR:AR,
             MATCH(TRUE,
                     ISNUMBER(FIND(SUBSTITUTE(C238," ",""),
                                    Load_Booking_Report!AL:AL)),
                     0)
      )=0,
      "",
      INDEX(Load_Booking_Report!AR:AR,
             MATCH(TRUE,
                     ISNUMBER(FIND(SUBSTITUTE(C238," ",""),
                                    Load_Booking_Report!AL:AL)),
                     0)
      )
   ),
   ""
)</f>
        <v/>
      </c>
      <c r="W238" s="21">
        <f t="array" ref="W238">IFERROR(INDEX(Load_Booking_Report!F:F, MATCH(TRUE, ISNUMBER(FIND(SUBSTITUTE(C238," ",""), Load_Booking_Report!AL:AL)), 0)), "Not Found")</f>
        <v/>
      </c>
      <c r="X238" s="21">
        <f t="array" ref="X238">IFERROR(INDEX(Load_Booking_Report!N:N, MATCH(TRUE, ISNUMBER(FIND(SUBSTITUTE(C238," ",""), Load_Booking_Report!AL:AL)), 0)), "Not Found")</f>
        <v/>
      </c>
      <c r="Y238" s="21">
        <f t="array" ref="Y238">IFERROR(INDEX(Load_Booking_Report!V:V, MATCH(TRUE, ISNUMBER(FIND(SUBSTITUTE(C238," ",""), Load_Booking_Report!AL:AL)), 0)), "Not Found")</f>
        <v/>
      </c>
      <c r="Z238" s="41">
        <f t="array" ref="Z238">IFERROR(INDEX(Load_Booking_Report!BC:BC, MATCH(TRUE, ISNUMBER(FIND(SUBSTITUTE(C238," ",""), Load_Booking_Report!AL:AL)), 0)), "Not Found")</f>
        <v/>
      </c>
    </row>
    <row r="239">
      <c r="A239" t="n">
        <v>34</v>
      </c>
      <c r="B239" t="n">
        <v>340284</v>
      </c>
      <c r="C239" t="inlineStr">
        <is>
          <t>ANON0000000</t>
        </is>
      </c>
      <c r="D239" t="n">
        <v>40</v>
      </c>
      <c r="E239" t="inlineStr">
        <is>
          <t>USHOU</t>
        </is>
      </c>
      <c r="F239" t="inlineStr">
        <is>
          <t>RULED</t>
        </is>
      </c>
      <c r="G239" t="n">
        <v>27609</v>
      </c>
      <c r="H239" t="inlineStr">
        <is>
          <t>ART</t>
        </is>
      </c>
      <c r="I239" t="inlineStr">
        <is>
          <t>45R1</t>
        </is>
      </c>
      <c r="K239" t="inlineStr">
        <is>
          <t>0.0:CEL</t>
        </is>
      </c>
      <c r="L239" t="inlineStr">
        <is>
          <t>9'6</t>
        </is>
      </c>
      <c r="M239" t="inlineStr">
        <is>
          <t>Full</t>
        </is>
      </c>
      <c r="N239" t="inlineStr">
        <is>
          <t>RULED</t>
        </is>
      </c>
      <c r="P239" s="21">
        <f>C239</f>
        <v/>
      </c>
      <c r="Q239" s="21">
        <f t="array" ref="Q239">IFERROR(INDEX(Load_Booking_Report!AC:AC, MATCH(TRUE, ISNUMBER(FIND(SUBSTITUTE(C239," ",""), Load_Booking_Report!AL:AL)), 0)), "Not Found")</f>
        <v/>
      </c>
      <c r="R239" s="21">
        <f t="array" ref="R239">IFERROR(INDEX(Load_Booking_Report!C:C, MATCH(TRUE, ISNUMBER(FIND(SUBSTITUTE(C239," ",""), Load_Booking_Report!AL:AL)), 0)), "Not Found")</f>
        <v/>
      </c>
      <c r="S239" s="21">
        <f t="array" ref="S239">IFERROR(INDEX(Load_Booking_Report!AG:AG, MATCH(TRUE, ISNUMBER(FIND(SUBSTITUTE(C239," ",""), Load_Booking_Report!AL:AL)), 0)), "Not Found")</f>
        <v/>
      </c>
      <c r="T239" s="21">
        <f>G239</f>
        <v/>
      </c>
      <c r="U239" s="33">
        <f t="array" ref="U239">IFERROR(
   IF(
      INDEX(Load_Booking_Report!AM:AM,
             MATCH(TRUE,
                     ISNUMBER(FIND(SUBSTITUTE(C239," ",""),
                                    Load_Booking_Report!AL:AL)),
                     0)
      )=0,
      "",
      INDEX(Load_Booking_Report!AM:AM,
             MATCH(TRUE,
                     ISNUMBER(FIND(SUBSTITUTE(C239," ",""),
                                    Load_Booking_Report!AL:AL)),
                     0)
      )
   ),
   ""
)</f>
        <v/>
      </c>
      <c r="V239" s="21">
        <f t="array" ref="V239">IFERROR(
   IF(
      INDEX(Load_Booking_Report!AR:AR,
             MATCH(TRUE,
                     ISNUMBER(FIND(SUBSTITUTE(C239," ",""),
                                    Load_Booking_Report!AL:AL)),
                     0)
      )=0,
      "",
      INDEX(Load_Booking_Report!AR:AR,
             MATCH(TRUE,
                     ISNUMBER(FIND(SUBSTITUTE(C239," ",""),
                                    Load_Booking_Report!AL:AL)),
                     0)
      )
   ),
   ""
)</f>
        <v/>
      </c>
      <c r="W239" s="21">
        <f t="array" ref="W239">IFERROR(INDEX(Load_Booking_Report!F:F, MATCH(TRUE, ISNUMBER(FIND(SUBSTITUTE(C239," ",""), Load_Booking_Report!AL:AL)), 0)), "Not Found")</f>
        <v/>
      </c>
      <c r="X239" s="21">
        <f t="array" ref="X239">IFERROR(INDEX(Load_Booking_Report!N:N, MATCH(TRUE, ISNUMBER(FIND(SUBSTITUTE(C239," ",""), Load_Booking_Report!AL:AL)), 0)), "Not Found")</f>
        <v/>
      </c>
      <c r="Y239" s="21">
        <f t="array" ref="Y239">IFERROR(INDEX(Load_Booking_Report!V:V, MATCH(TRUE, ISNUMBER(FIND(SUBSTITUTE(C239," ",""), Load_Booking_Report!AL:AL)), 0)), "Not Found")</f>
        <v/>
      </c>
      <c r="Z239" s="41">
        <f t="array" ref="Z239">IFERROR(INDEX(Load_Booking_Report!BC:BC, MATCH(TRUE, ISNUMBER(FIND(SUBSTITUTE(C239," ",""), Load_Booking_Report!AL:AL)), 0)), "Not Found")</f>
        <v/>
      </c>
    </row>
    <row r="240">
      <c r="A240" t="n">
        <v>26</v>
      </c>
      <c r="B240" t="n">
        <v>260184</v>
      </c>
      <c r="C240" t="inlineStr">
        <is>
          <t>ANON0000000</t>
        </is>
      </c>
      <c r="D240" t="n">
        <v>40</v>
      </c>
      <c r="E240" t="inlineStr">
        <is>
          <t>USHOU</t>
        </is>
      </c>
      <c r="F240" t="inlineStr">
        <is>
          <t>RULED</t>
        </is>
      </c>
      <c r="G240" t="n">
        <v>27609</v>
      </c>
      <c r="H240" t="inlineStr">
        <is>
          <t>ART</t>
        </is>
      </c>
      <c r="I240" t="inlineStr">
        <is>
          <t>45R1</t>
        </is>
      </c>
      <c r="K240" t="inlineStr">
        <is>
          <t>0.0:CEL</t>
        </is>
      </c>
      <c r="L240" t="inlineStr">
        <is>
          <t>9'6</t>
        </is>
      </c>
      <c r="M240" t="inlineStr">
        <is>
          <t>Full</t>
        </is>
      </c>
      <c r="N240" t="inlineStr">
        <is>
          <t>RULED</t>
        </is>
      </c>
      <c r="P240" s="21">
        <f>C240</f>
        <v/>
      </c>
      <c r="Q240" s="21">
        <f t="array" ref="Q240">IFERROR(INDEX(Load_Booking_Report!AC:AC, MATCH(TRUE, ISNUMBER(FIND(SUBSTITUTE(C240," ",""), Load_Booking_Report!AL:AL)), 0)), "Not Found")</f>
        <v/>
      </c>
      <c r="R240" s="21">
        <f t="array" ref="R240">IFERROR(INDEX(Load_Booking_Report!C:C, MATCH(TRUE, ISNUMBER(FIND(SUBSTITUTE(C240," ",""), Load_Booking_Report!AL:AL)), 0)), "Not Found")</f>
        <v/>
      </c>
      <c r="S240" s="21">
        <f t="array" ref="S240">IFERROR(INDEX(Load_Booking_Report!AG:AG, MATCH(TRUE, ISNUMBER(FIND(SUBSTITUTE(C240," ",""), Load_Booking_Report!AL:AL)), 0)), "Not Found")</f>
        <v/>
      </c>
      <c r="T240" s="21">
        <f>G240</f>
        <v/>
      </c>
      <c r="U240" s="33">
        <f t="array" ref="U240">IFERROR(
   IF(
      INDEX(Load_Booking_Report!AM:AM,
             MATCH(TRUE,
                     ISNUMBER(FIND(SUBSTITUTE(C240," ",""),
                                    Load_Booking_Report!AL:AL)),
                     0)
      )=0,
      "",
      INDEX(Load_Booking_Report!AM:AM,
             MATCH(TRUE,
                     ISNUMBER(FIND(SUBSTITUTE(C240," ",""),
                                    Load_Booking_Report!AL:AL)),
                     0)
      )
   ),
   ""
)</f>
        <v/>
      </c>
      <c r="V240" s="21">
        <f t="array" ref="V240">IFERROR(
   IF(
      INDEX(Load_Booking_Report!AR:AR,
             MATCH(TRUE,
                     ISNUMBER(FIND(SUBSTITUTE(C240," ",""),
                                    Load_Booking_Report!AL:AL)),
                     0)
      )=0,
      "",
      INDEX(Load_Booking_Report!AR:AR,
             MATCH(TRUE,
                     ISNUMBER(FIND(SUBSTITUTE(C240," ",""),
                                    Load_Booking_Report!AL:AL)),
                     0)
      )
   ),
   ""
)</f>
        <v/>
      </c>
      <c r="W240" s="21">
        <f t="array" ref="W240">IFERROR(INDEX(Load_Booking_Report!F:F, MATCH(TRUE, ISNUMBER(FIND(SUBSTITUTE(C240," ",""), Load_Booking_Report!AL:AL)), 0)), "Not Found")</f>
        <v/>
      </c>
      <c r="X240" s="21">
        <f t="array" ref="X240">IFERROR(INDEX(Load_Booking_Report!N:N, MATCH(TRUE, ISNUMBER(FIND(SUBSTITUTE(C240," ",""), Load_Booking_Report!AL:AL)), 0)), "Not Found")</f>
        <v/>
      </c>
      <c r="Y240" s="21">
        <f t="array" ref="Y240">IFERROR(INDEX(Load_Booking_Report!V:V, MATCH(TRUE, ISNUMBER(FIND(SUBSTITUTE(C240," ",""), Load_Booking_Report!AL:AL)), 0)), "Not Found")</f>
        <v/>
      </c>
      <c r="Z240" s="41">
        <f t="array" ref="Z240">IFERROR(INDEX(Load_Booking_Report!BC:BC, MATCH(TRUE, ISNUMBER(FIND(SUBSTITUTE(C240," ",""), Load_Booking_Report!AL:AL)), 0)), "Not Found")</f>
        <v/>
      </c>
    </row>
    <row r="241">
      <c r="A241" t="n">
        <v>26</v>
      </c>
      <c r="B241" t="n">
        <v>260182</v>
      </c>
      <c r="C241" t="inlineStr">
        <is>
          <t>ANON0000000</t>
        </is>
      </c>
      <c r="D241" t="n">
        <v>40</v>
      </c>
      <c r="E241" t="inlineStr">
        <is>
          <t>USNYC</t>
        </is>
      </c>
      <c r="F241" t="inlineStr">
        <is>
          <t>RULED</t>
        </is>
      </c>
      <c r="G241" t="n">
        <v>31080</v>
      </c>
      <c r="H241" t="inlineStr">
        <is>
          <t>ART</t>
        </is>
      </c>
      <c r="I241" t="inlineStr">
        <is>
          <t>45R1</t>
        </is>
      </c>
      <c r="K241" t="inlineStr">
        <is>
          <t>-18.0:CEL</t>
        </is>
      </c>
      <c r="L241" t="inlineStr">
        <is>
          <t>9'6</t>
        </is>
      </c>
      <c r="M241" t="inlineStr">
        <is>
          <t>Full</t>
        </is>
      </c>
      <c r="N241" t="inlineStr">
        <is>
          <t>RULED</t>
        </is>
      </c>
      <c r="P241" s="21">
        <f>C241</f>
        <v/>
      </c>
      <c r="Q241" s="21">
        <f t="array" ref="Q241">IFERROR(INDEX(Load_Booking_Report!AC:AC, MATCH(TRUE, ISNUMBER(FIND(SUBSTITUTE(C241," ",""), Load_Booking_Report!AL:AL)), 0)), "Not Found")</f>
        <v/>
      </c>
      <c r="R241" s="21">
        <f t="array" ref="R241">IFERROR(INDEX(Load_Booking_Report!C:C, MATCH(TRUE, ISNUMBER(FIND(SUBSTITUTE(C241," ",""), Load_Booking_Report!AL:AL)), 0)), "Not Found")</f>
        <v/>
      </c>
      <c r="S241" s="21">
        <f t="array" ref="S241">IFERROR(INDEX(Load_Booking_Report!AG:AG, MATCH(TRUE, ISNUMBER(FIND(SUBSTITUTE(C241," ",""), Load_Booking_Report!AL:AL)), 0)), "Not Found")</f>
        <v/>
      </c>
      <c r="T241" s="21">
        <f>G241</f>
        <v/>
      </c>
      <c r="U241" s="33">
        <f t="array" ref="U241">IFERROR(
   IF(
      INDEX(Load_Booking_Report!AM:AM,
             MATCH(TRUE,
                     ISNUMBER(FIND(SUBSTITUTE(C241," ",""),
                                    Load_Booking_Report!AL:AL)),
                     0)
      )=0,
      "",
      INDEX(Load_Booking_Report!AM:AM,
             MATCH(TRUE,
                     ISNUMBER(FIND(SUBSTITUTE(C241," ",""),
                                    Load_Booking_Report!AL:AL)),
                     0)
      )
   ),
   ""
)</f>
        <v/>
      </c>
      <c r="V241" s="21">
        <f t="array" ref="V241">IFERROR(
   IF(
      INDEX(Load_Booking_Report!AR:AR,
             MATCH(TRUE,
                     ISNUMBER(FIND(SUBSTITUTE(C241," ",""),
                                    Load_Booking_Report!AL:AL)),
                     0)
      )=0,
      "",
      INDEX(Load_Booking_Report!AR:AR,
             MATCH(TRUE,
                     ISNUMBER(FIND(SUBSTITUTE(C241," ",""),
                                    Load_Booking_Report!AL:AL)),
                     0)
      )
   ),
   ""
)</f>
        <v/>
      </c>
      <c r="W241" s="21">
        <f t="array" ref="W241">IFERROR(INDEX(Load_Booking_Report!F:F, MATCH(TRUE, ISNUMBER(FIND(SUBSTITUTE(C241," ",""), Load_Booking_Report!AL:AL)), 0)), "Not Found")</f>
        <v/>
      </c>
      <c r="X241" s="21">
        <f t="array" ref="X241">IFERROR(INDEX(Load_Booking_Report!N:N, MATCH(TRUE, ISNUMBER(FIND(SUBSTITUTE(C241," ",""), Load_Booking_Report!AL:AL)), 0)), "Not Found")</f>
        <v/>
      </c>
      <c r="Y241" s="21">
        <f t="array" ref="Y241">IFERROR(INDEX(Load_Booking_Report!V:V, MATCH(TRUE, ISNUMBER(FIND(SUBSTITUTE(C241," ",""), Load_Booking_Report!AL:AL)), 0)), "Not Found")</f>
        <v/>
      </c>
      <c r="Z241" s="41">
        <f t="array" ref="Z241">IFERROR(INDEX(Load_Booking_Report!BC:BC, MATCH(TRUE, ISNUMBER(FIND(SUBSTITUTE(C241," ",""), Load_Booking_Report!AL:AL)), 0)), "Not Found")</f>
        <v/>
      </c>
    </row>
    <row r="242">
      <c r="A242" t="n">
        <v>34</v>
      </c>
      <c r="B242" t="n">
        <v>340582</v>
      </c>
      <c r="C242" t="inlineStr">
        <is>
          <t>ANON0000000</t>
        </is>
      </c>
      <c r="D242" t="n">
        <v>40</v>
      </c>
      <c r="E242" t="inlineStr">
        <is>
          <t>USHOU</t>
        </is>
      </c>
      <c r="F242" t="inlineStr">
        <is>
          <t>RULED</t>
        </is>
      </c>
      <c r="G242" t="n">
        <v>32258</v>
      </c>
      <c r="H242" t="inlineStr">
        <is>
          <t>ART</t>
        </is>
      </c>
      <c r="I242" t="inlineStr">
        <is>
          <t>45R1</t>
        </is>
      </c>
      <c r="K242" t="inlineStr">
        <is>
          <t>-18.0:CEL</t>
        </is>
      </c>
      <c r="L242" t="inlineStr">
        <is>
          <t>9'6</t>
        </is>
      </c>
      <c r="M242" t="inlineStr">
        <is>
          <t>Full</t>
        </is>
      </c>
      <c r="N242" t="inlineStr">
        <is>
          <t>RULED</t>
        </is>
      </c>
      <c r="P242" s="21">
        <f>C242</f>
        <v/>
      </c>
      <c r="Q242" s="21">
        <f t="array" ref="Q242">IFERROR(INDEX(Load_Booking_Report!AC:AC, MATCH(TRUE, ISNUMBER(FIND(SUBSTITUTE(C242," ",""), Load_Booking_Report!AL:AL)), 0)), "Not Found")</f>
        <v/>
      </c>
      <c r="R242" s="21">
        <f t="array" ref="R242">IFERROR(INDEX(Load_Booking_Report!C:C, MATCH(TRUE, ISNUMBER(FIND(SUBSTITUTE(C242," ",""), Load_Booking_Report!AL:AL)), 0)), "Not Found")</f>
        <v/>
      </c>
      <c r="S242" s="21">
        <f t="array" ref="S242">IFERROR(INDEX(Load_Booking_Report!AG:AG, MATCH(TRUE, ISNUMBER(FIND(SUBSTITUTE(C242," ",""), Load_Booking_Report!AL:AL)), 0)), "Not Found")</f>
        <v/>
      </c>
      <c r="T242" s="21">
        <f>G242</f>
        <v/>
      </c>
      <c r="U242" s="33">
        <f t="array" ref="U242">IFERROR(
   IF(
      INDEX(Load_Booking_Report!AM:AM,
             MATCH(TRUE,
                     ISNUMBER(FIND(SUBSTITUTE(C242," ",""),
                                    Load_Booking_Report!AL:AL)),
                     0)
      )=0,
      "",
      INDEX(Load_Booking_Report!AM:AM,
             MATCH(TRUE,
                     ISNUMBER(FIND(SUBSTITUTE(C242," ",""),
                                    Load_Booking_Report!AL:AL)),
                     0)
      )
   ),
   ""
)</f>
        <v/>
      </c>
      <c r="V242" s="21">
        <f t="array" ref="V242">IFERROR(
   IF(
      INDEX(Load_Booking_Report!AR:AR,
             MATCH(TRUE,
                     ISNUMBER(FIND(SUBSTITUTE(C242," ",""),
                                    Load_Booking_Report!AL:AL)),
                     0)
      )=0,
      "",
      INDEX(Load_Booking_Report!AR:AR,
             MATCH(TRUE,
                     ISNUMBER(FIND(SUBSTITUTE(C242," ",""),
                                    Load_Booking_Report!AL:AL)),
                     0)
      )
   ),
   ""
)</f>
        <v/>
      </c>
      <c r="W242" s="21">
        <f t="array" ref="W242">IFERROR(INDEX(Load_Booking_Report!F:F, MATCH(TRUE, ISNUMBER(FIND(SUBSTITUTE(C242," ",""), Load_Booking_Report!AL:AL)), 0)), "Not Found")</f>
        <v/>
      </c>
      <c r="X242" s="21">
        <f t="array" ref="X242">IFERROR(INDEX(Load_Booking_Report!N:N, MATCH(TRUE, ISNUMBER(FIND(SUBSTITUTE(C242," ",""), Load_Booking_Report!AL:AL)), 0)), "Not Found")</f>
        <v/>
      </c>
      <c r="Y242" s="21">
        <f t="array" ref="Y242">IFERROR(INDEX(Load_Booking_Report!V:V, MATCH(TRUE, ISNUMBER(FIND(SUBSTITUTE(C242," ",""), Load_Booking_Report!AL:AL)), 0)), "Not Found")</f>
        <v/>
      </c>
      <c r="Z242" s="41">
        <f t="array" ref="Z242">IFERROR(INDEX(Load_Booking_Report!BC:BC, MATCH(TRUE, ISNUMBER(FIND(SUBSTITUTE(C242," ",""), Load_Booking_Report!AL:AL)), 0)), "Not Found")</f>
        <v/>
      </c>
    </row>
    <row r="243">
      <c r="A243" t="n">
        <v>34</v>
      </c>
      <c r="B243" t="n">
        <v>340882</v>
      </c>
      <c r="C243" t="inlineStr">
        <is>
          <t>ANON0000000</t>
        </is>
      </c>
      <c r="D243" t="n">
        <v>40</v>
      </c>
      <c r="E243" t="inlineStr">
        <is>
          <t>USHOU</t>
        </is>
      </c>
      <c r="F243" t="inlineStr">
        <is>
          <t>RULED</t>
        </is>
      </c>
      <c r="G243" t="n">
        <v>32400</v>
      </c>
      <c r="H243" t="inlineStr">
        <is>
          <t>ART</t>
        </is>
      </c>
      <c r="I243" t="inlineStr">
        <is>
          <t>45R1</t>
        </is>
      </c>
      <c r="K243" t="inlineStr">
        <is>
          <t>-18.0:CEL</t>
        </is>
      </c>
      <c r="L243" t="inlineStr">
        <is>
          <t>9'6</t>
        </is>
      </c>
      <c r="M243" t="inlineStr">
        <is>
          <t>Full</t>
        </is>
      </c>
      <c r="N243" t="inlineStr">
        <is>
          <t>RULED</t>
        </is>
      </c>
      <c r="P243" s="21">
        <f>C243</f>
        <v/>
      </c>
      <c r="Q243" s="21">
        <f t="array" ref="Q243">IFERROR(INDEX(Load_Booking_Report!AC:AC, MATCH(TRUE, ISNUMBER(FIND(SUBSTITUTE(C243," ",""), Load_Booking_Report!AL:AL)), 0)), "Not Found")</f>
        <v/>
      </c>
      <c r="R243" s="21">
        <f t="array" ref="R243">IFERROR(INDEX(Load_Booking_Report!C:C, MATCH(TRUE, ISNUMBER(FIND(SUBSTITUTE(C243," ",""), Load_Booking_Report!AL:AL)), 0)), "Not Found")</f>
        <v/>
      </c>
      <c r="S243" s="21">
        <f t="array" ref="S243">IFERROR(INDEX(Load_Booking_Report!AG:AG, MATCH(TRUE, ISNUMBER(FIND(SUBSTITUTE(C243," ",""), Load_Booking_Report!AL:AL)), 0)), "Not Found")</f>
        <v/>
      </c>
      <c r="T243" s="21">
        <f>G243</f>
        <v/>
      </c>
      <c r="U243" s="33">
        <f t="array" ref="U243">IFERROR(
   IF(
      INDEX(Load_Booking_Report!AM:AM,
             MATCH(TRUE,
                     ISNUMBER(FIND(SUBSTITUTE(C243," ",""),
                                    Load_Booking_Report!AL:AL)),
                     0)
      )=0,
      "",
      INDEX(Load_Booking_Report!AM:AM,
             MATCH(TRUE,
                     ISNUMBER(FIND(SUBSTITUTE(C243," ",""),
                                    Load_Booking_Report!AL:AL)),
                     0)
      )
   ),
   ""
)</f>
        <v/>
      </c>
      <c r="V243" s="21">
        <f t="array" ref="V243">IFERROR(
   IF(
      INDEX(Load_Booking_Report!AR:AR,
             MATCH(TRUE,
                     ISNUMBER(FIND(SUBSTITUTE(C243," ",""),
                                    Load_Booking_Report!AL:AL)),
                     0)
      )=0,
      "",
      INDEX(Load_Booking_Report!AR:AR,
             MATCH(TRUE,
                     ISNUMBER(FIND(SUBSTITUTE(C243," ",""),
                                    Load_Booking_Report!AL:AL)),
                     0)
      )
   ),
   ""
)</f>
        <v/>
      </c>
      <c r="W243" s="21">
        <f t="array" ref="W243">IFERROR(INDEX(Load_Booking_Report!F:F, MATCH(TRUE, ISNUMBER(FIND(SUBSTITUTE(C243," ",""), Load_Booking_Report!AL:AL)), 0)), "Not Found")</f>
        <v/>
      </c>
      <c r="X243" s="21">
        <f t="array" ref="X243">IFERROR(INDEX(Load_Booking_Report!N:N, MATCH(TRUE, ISNUMBER(FIND(SUBSTITUTE(C243," ",""), Load_Booking_Report!AL:AL)), 0)), "Not Found")</f>
        <v/>
      </c>
      <c r="Y243" s="21">
        <f t="array" ref="Y243">IFERROR(INDEX(Load_Booking_Report!V:V, MATCH(TRUE, ISNUMBER(FIND(SUBSTITUTE(C243," ",""), Load_Booking_Report!AL:AL)), 0)), "Not Found")</f>
        <v/>
      </c>
      <c r="Z243" s="41">
        <f t="array" ref="Z243">IFERROR(INDEX(Load_Booking_Report!BC:BC, MATCH(TRUE, ISNUMBER(FIND(SUBSTITUTE(C243," ",""), Load_Booking_Report!AL:AL)), 0)), "Not Found")</f>
        <v/>
      </c>
    </row>
    <row r="244">
      <c r="A244" t="n">
        <v>26</v>
      </c>
      <c r="B244" t="n">
        <v>260786</v>
      </c>
      <c r="C244" t="inlineStr">
        <is>
          <t>ANON0000000</t>
        </is>
      </c>
      <c r="D244" t="n">
        <v>40</v>
      </c>
      <c r="E244" t="inlineStr">
        <is>
          <t>USHOU</t>
        </is>
      </c>
      <c r="F244" t="inlineStr">
        <is>
          <t>RUBLT</t>
        </is>
      </c>
      <c r="G244" t="n">
        <v>32095</v>
      </c>
      <c r="H244" t="inlineStr">
        <is>
          <t>ART</t>
        </is>
      </c>
      <c r="I244" t="inlineStr">
        <is>
          <t>45R1</t>
        </is>
      </c>
      <c r="K244" t="inlineStr">
        <is>
          <t>-22.0:CEL</t>
        </is>
      </c>
      <c r="L244" t="inlineStr">
        <is>
          <t>9'6</t>
        </is>
      </c>
      <c r="M244" t="inlineStr">
        <is>
          <t>Full</t>
        </is>
      </c>
      <c r="N244" t="inlineStr">
        <is>
          <t>RULED</t>
        </is>
      </c>
      <c r="P244" s="21">
        <f>C244</f>
        <v/>
      </c>
      <c r="Q244" s="21">
        <f t="array" ref="Q244">IFERROR(INDEX(Load_Booking_Report!AC:AC, MATCH(TRUE, ISNUMBER(FIND(SUBSTITUTE(C244," ",""), Load_Booking_Report!AL:AL)), 0)), "Not Found")</f>
        <v/>
      </c>
      <c r="R244" s="21">
        <f t="array" ref="R244">IFERROR(INDEX(Load_Booking_Report!C:C, MATCH(TRUE, ISNUMBER(FIND(SUBSTITUTE(C244," ",""), Load_Booking_Report!AL:AL)), 0)), "Not Found")</f>
        <v/>
      </c>
      <c r="S244" s="21">
        <f t="array" ref="S244">IFERROR(INDEX(Load_Booking_Report!AG:AG, MATCH(TRUE, ISNUMBER(FIND(SUBSTITUTE(C244," ",""), Load_Booking_Report!AL:AL)), 0)), "Not Found")</f>
        <v/>
      </c>
      <c r="T244" s="21">
        <f>G244</f>
        <v/>
      </c>
      <c r="U244" s="33">
        <f t="array" ref="U244">IFERROR(
   IF(
      INDEX(Load_Booking_Report!AM:AM,
             MATCH(TRUE,
                     ISNUMBER(FIND(SUBSTITUTE(C244," ",""),
                                    Load_Booking_Report!AL:AL)),
                     0)
      )=0,
      "",
      INDEX(Load_Booking_Report!AM:AM,
             MATCH(TRUE,
                     ISNUMBER(FIND(SUBSTITUTE(C244," ",""),
                                    Load_Booking_Report!AL:AL)),
                     0)
      )
   ),
   ""
)</f>
        <v/>
      </c>
      <c r="V244" s="21">
        <f t="array" ref="V244">IFERROR(
   IF(
      INDEX(Load_Booking_Report!AR:AR,
             MATCH(TRUE,
                     ISNUMBER(FIND(SUBSTITUTE(C244," ",""),
                                    Load_Booking_Report!AL:AL)),
                     0)
      )=0,
      "",
      INDEX(Load_Booking_Report!AR:AR,
             MATCH(TRUE,
                     ISNUMBER(FIND(SUBSTITUTE(C244," ",""),
                                    Load_Booking_Report!AL:AL)),
                     0)
      )
   ),
   ""
)</f>
        <v/>
      </c>
      <c r="W244" s="21">
        <f t="array" ref="W244">IFERROR(INDEX(Load_Booking_Report!F:F, MATCH(TRUE, ISNUMBER(FIND(SUBSTITUTE(C244," ",""), Load_Booking_Report!AL:AL)), 0)), "Not Found")</f>
        <v/>
      </c>
      <c r="X244" s="21">
        <f t="array" ref="X244">IFERROR(INDEX(Load_Booking_Report!N:N, MATCH(TRUE, ISNUMBER(FIND(SUBSTITUTE(C244," ",""), Load_Booking_Report!AL:AL)), 0)), "Not Found")</f>
        <v/>
      </c>
      <c r="Y244" s="21">
        <f t="array" ref="Y244">IFERROR(INDEX(Load_Booking_Report!V:V, MATCH(TRUE, ISNUMBER(FIND(SUBSTITUTE(C244," ",""), Load_Booking_Report!AL:AL)), 0)), "Not Found")</f>
        <v/>
      </c>
      <c r="Z244" s="41">
        <f t="array" ref="Z244">IFERROR(INDEX(Load_Booking_Report!BC:BC, MATCH(TRUE, ISNUMBER(FIND(SUBSTITUTE(C244," ",""), Load_Booking_Report!AL:AL)), 0)), "Not Found")</f>
        <v/>
      </c>
    </row>
    <row r="245">
      <c r="A245" t="n">
        <v>26</v>
      </c>
      <c r="B245" t="n">
        <v>260284</v>
      </c>
      <c r="C245" t="inlineStr">
        <is>
          <t>ANON0000000</t>
        </is>
      </c>
      <c r="D245" t="n">
        <v>40</v>
      </c>
      <c r="E245" t="inlineStr">
        <is>
          <t>USNYC</t>
        </is>
      </c>
      <c r="F245" t="inlineStr">
        <is>
          <t>RUBLT</t>
        </is>
      </c>
      <c r="G245" t="n">
        <v>33563</v>
      </c>
      <c r="H245" t="inlineStr">
        <is>
          <t>ART</t>
        </is>
      </c>
      <c r="I245" t="inlineStr">
        <is>
          <t>45R1</t>
        </is>
      </c>
      <c r="K245" t="inlineStr">
        <is>
          <t>-22.0:CEL</t>
        </is>
      </c>
      <c r="L245" t="inlineStr">
        <is>
          <t>9'6</t>
        </is>
      </c>
      <c r="M245" t="inlineStr">
        <is>
          <t>Full</t>
        </is>
      </c>
      <c r="N245" t="inlineStr">
        <is>
          <t>RULED</t>
        </is>
      </c>
      <c r="P245" s="21">
        <f>C245</f>
        <v/>
      </c>
      <c r="Q245" s="21">
        <f t="array" ref="Q245">IFERROR(INDEX(Load_Booking_Report!AC:AC, MATCH(TRUE, ISNUMBER(FIND(SUBSTITUTE(C245," ",""), Load_Booking_Report!AL:AL)), 0)), "Not Found")</f>
        <v/>
      </c>
      <c r="R245" s="21">
        <f t="array" ref="R245">IFERROR(INDEX(Load_Booking_Report!C:C, MATCH(TRUE, ISNUMBER(FIND(SUBSTITUTE(C245," ",""), Load_Booking_Report!AL:AL)), 0)), "Not Found")</f>
        <v/>
      </c>
      <c r="S245" s="21">
        <f t="array" ref="S245">IFERROR(INDEX(Load_Booking_Report!AG:AG, MATCH(TRUE, ISNUMBER(FIND(SUBSTITUTE(C245," ",""), Load_Booking_Report!AL:AL)), 0)), "Not Found")</f>
        <v/>
      </c>
      <c r="T245" s="21">
        <f>G245</f>
        <v/>
      </c>
      <c r="U245" s="33">
        <f t="array" ref="U245">IFERROR(
   IF(
      INDEX(Load_Booking_Report!AM:AM,
             MATCH(TRUE,
                     ISNUMBER(FIND(SUBSTITUTE(C245," ",""),
                                    Load_Booking_Report!AL:AL)),
                     0)
      )=0,
      "",
      INDEX(Load_Booking_Report!AM:AM,
             MATCH(TRUE,
                     ISNUMBER(FIND(SUBSTITUTE(C245," ",""),
                                    Load_Booking_Report!AL:AL)),
                     0)
      )
   ),
   ""
)</f>
        <v/>
      </c>
      <c r="V245" s="21">
        <f t="array" ref="V245">IFERROR(
   IF(
      INDEX(Load_Booking_Report!AR:AR,
             MATCH(TRUE,
                     ISNUMBER(FIND(SUBSTITUTE(C245," ",""),
                                    Load_Booking_Report!AL:AL)),
                     0)
      )=0,
      "",
      INDEX(Load_Booking_Report!AR:AR,
             MATCH(TRUE,
                     ISNUMBER(FIND(SUBSTITUTE(C245," ",""),
                                    Load_Booking_Report!AL:AL)),
                     0)
      )
   ),
   ""
)</f>
        <v/>
      </c>
      <c r="W245" s="21">
        <f t="array" ref="W245">IFERROR(INDEX(Load_Booking_Report!F:F, MATCH(TRUE, ISNUMBER(FIND(SUBSTITUTE(C245," ",""), Load_Booking_Report!AL:AL)), 0)), "Not Found")</f>
        <v/>
      </c>
      <c r="X245" s="21">
        <f t="array" ref="X245">IFERROR(INDEX(Load_Booking_Report!N:N, MATCH(TRUE, ISNUMBER(FIND(SUBSTITUTE(C245," ",""), Load_Booking_Report!AL:AL)), 0)), "Not Found")</f>
        <v/>
      </c>
      <c r="Y245" s="21">
        <f t="array" ref="Y245">IFERROR(INDEX(Load_Booking_Report!V:V, MATCH(TRUE, ISNUMBER(FIND(SUBSTITUTE(C245," ",""), Load_Booking_Report!AL:AL)), 0)), "Not Found")</f>
        <v/>
      </c>
      <c r="Z245" s="41">
        <f t="array" ref="Z245">IFERROR(INDEX(Load_Booking_Report!BC:BC, MATCH(TRUE, ISNUMBER(FIND(SUBSTITUTE(C245," ",""), Load_Booking_Report!AL:AL)), 0)), "Not Found")</f>
        <v/>
      </c>
    </row>
    <row r="246">
      <c r="A246" t="n">
        <v>40</v>
      </c>
      <c r="B246" t="n">
        <v>400782</v>
      </c>
      <c r="C246" t="inlineStr">
        <is>
          <t>ANON0000000</t>
        </is>
      </c>
      <c r="D246" t="n">
        <v>40</v>
      </c>
      <c r="E246" t="inlineStr">
        <is>
          <t>USHOU</t>
        </is>
      </c>
      <c r="F246" t="inlineStr">
        <is>
          <t>RUBLT</t>
        </is>
      </c>
      <c r="G246" t="n">
        <v>33180</v>
      </c>
      <c r="H246" t="inlineStr">
        <is>
          <t>ART</t>
        </is>
      </c>
      <c r="I246" t="inlineStr">
        <is>
          <t>45R1</t>
        </is>
      </c>
      <c r="K246" t="inlineStr">
        <is>
          <t>-22.0:CEL</t>
        </is>
      </c>
      <c r="L246" t="inlineStr">
        <is>
          <t>9'6</t>
        </is>
      </c>
      <c r="M246" t="inlineStr">
        <is>
          <t>Full</t>
        </is>
      </c>
      <c r="N246" t="inlineStr">
        <is>
          <t>RULED</t>
        </is>
      </c>
      <c r="P246" s="21">
        <f>C246</f>
        <v/>
      </c>
      <c r="Q246" s="21">
        <f t="array" ref="Q246">IFERROR(INDEX(Load_Booking_Report!AC:AC, MATCH(TRUE, ISNUMBER(FIND(SUBSTITUTE(C246," ",""), Load_Booking_Report!AL:AL)), 0)), "Not Found")</f>
        <v/>
      </c>
      <c r="R246" s="21">
        <f t="array" ref="R246">IFERROR(INDEX(Load_Booking_Report!C:C, MATCH(TRUE, ISNUMBER(FIND(SUBSTITUTE(C246," ",""), Load_Booking_Report!AL:AL)), 0)), "Not Found")</f>
        <v/>
      </c>
      <c r="S246" s="21">
        <f t="array" ref="S246">IFERROR(INDEX(Load_Booking_Report!AG:AG, MATCH(TRUE, ISNUMBER(FIND(SUBSTITUTE(C246," ",""), Load_Booking_Report!AL:AL)), 0)), "Not Found")</f>
        <v/>
      </c>
      <c r="T246" s="21">
        <f>G246</f>
        <v/>
      </c>
      <c r="U246" s="33">
        <f t="array" ref="U246">IFERROR(
   IF(
      INDEX(Load_Booking_Report!AM:AM,
             MATCH(TRUE,
                     ISNUMBER(FIND(SUBSTITUTE(C246," ",""),
                                    Load_Booking_Report!AL:AL)),
                     0)
      )=0,
      "",
      INDEX(Load_Booking_Report!AM:AM,
             MATCH(TRUE,
                     ISNUMBER(FIND(SUBSTITUTE(C246," ",""),
                                    Load_Booking_Report!AL:AL)),
                     0)
      )
   ),
   ""
)</f>
        <v/>
      </c>
      <c r="V246" s="21">
        <f t="array" ref="V246">IFERROR(
   IF(
      INDEX(Load_Booking_Report!AR:AR,
             MATCH(TRUE,
                     ISNUMBER(FIND(SUBSTITUTE(C246," ",""),
                                    Load_Booking_Report!AL:AL)),
                     0)
      )=0,
      "",
      INDEX(Load_Booking_Report!AR:AR,
             MATCH(TRUE,
                     ISNUMBER(FIND(SUBSTITUTE(C246," ",""),
                                    Load_Booking_Report!AL:AL)),
                     0)
      )
   ),
   ""
)</f>
        <v/>
      </c>
      <c r="W246" s="21">
        <f t="array" ref="W246">IFERROR(INDEX(Load_Booking_Report!F:F, MATCH(TRUE, ISNUMBER(FIND(SUBSTITUTE(C246," ",""), Load_Booking_Report!AL:AL)), 0)), "Not Found")</f>
        <v/>
      </c>
      <c r="X246" s="21">
        <f t="array" ref="X246">IFERROR(INDEX(Load_Booking_Report!N:N, MATCH(TRUE, ISNUMBER(FIND(SUBSTITUTE(C246," ",""), Load_Booking_Report!AL:AL)), 0)), "Not Found")</f>
        <v/>
      </c>
      <c r="Y246" s="21">
        <f t="array" ref="Y246">IFERROR(INDEX(Load_Booking_Report!V:V, MATCH(TRUE, ISNUMBER(FIND(SUBSTITUTE(C246," ",""), Load_Booking_Report!AL:AL)), 0)), "Not Found")</f>
        <v/>
      </c>
      <c r="Z246" s="41">
        <f t="array" ref="Z246">IFERROR(INDEX(Load_Booking_Report!BC:BC, MATCH(TRUE, ISNUMBER(FIND(SUBSTITUTE(C246," ",""), Load_Booking_Report!AL:AL)), 0)), "Not Found")</f>
        <v/>
      </c>
    </row>
    <row r="247">
      <c r="A247" t="n">
        <v>34</v>
      </c>
      <c r="B247" t="n">
        <v>340482</v>
      </c>
      <c r="C247" t="inlineStr">
        <is>
          <t>ANON0000000</t>
        </is>
      </c>
      <c r="D247" t="n">
        <v>40</v>
      </c>
      <c r="E247" t="inlineStr">
        <is>
          <t>USHOU</t>
        </is>
      </c>
      <c r="F247" t="inlineStr">
        <is>
          <t>RULED</t>
        </is>
      </c>
      <c r="G247" t="n">
        <v>32314</v>
      </c>
      <c r="H247" t="inlineStr">
        <is>
          <t>ART</t>
        </is>
      </c>
      <c r="I247" t="inlineStr">
        <is>
          <t>45R1</t>
        </is>
      </c>
      <c r="K247" t="inlineStr">
        <is>
          <t>-18.0:CEL</t>
        </is>
      </c>
      <c r="L247" t="inlineStr">
        <is>
          <t>9'6</t>
        </is>
      </c>
      <c r="M247" t="inlineStr">
        <is>
          <t>Full</t>
        </is>
      </c>
      <c r="N247" t="inlineStr">
        <is>
          <t>RULED</t>
        </is>
      </c>
      <c r="P247" s="21">
        <f>C247</f>
        <v/>
      </c>
      <c r="Q247" s="21">
        <f t="array" ref="Q247">IFERROR(INDEX(Load_Booking_Report!AC:AC, MATCH(TRUE, ISNUMBER(FIND(SUBSTITUTE(C247," ",""), Load_Booking_Report!AL:AL)), 0)), "Not Found")</f>
        <v/>
      </c>
      <c r="R247" s="21">
        <f t="array" ref="R247">IFERROR(INDEX(Load_Booking_Report!C:C, MATCH(TRUE, ISNUMBER(FIND(SUBSTITUTE(C247," ",""), Load_Booking_Report!AL:AL)), 0)), "Not Found")</f>
        <v/>
      </c>
      <c r="S247" s="21">
        <f t="array" ref="S247">IFERROR(INDEX(Load_Booking_Report!AG:AG, MATCH(TRUE, ISNUMBER(FIND(SUBSTITUTE(C247," ",""), Load_Booking_Report!AL:AL)), 0)), "Not Found")</f>
        <v/>
      </c>
      <c r="T247" s="21">
        <f>G247</f>
        <v/>
      </c>
      <c r="U247" s="33">
        <f t="array" ref="U247">IFERROR(
   IF(
      INDEX(Load_Booking_Report!AM:AM,
             MATCH(TRUE,
                     ISNUMBER(FIND(SUBSTITUTE(C247," ",""),
                                    Load_Booking_Report!AL:AL)),
                     0)
      )=0,
      "",
      INDEX(Load_Booking_Report!AM:AM,
             MATCH(TRUE,
                     ISNUMBER(FIND(SUBSTITUTE(C247," ",""),
                                    Load_Booking_Report!AL:AL)),
                     0)
      )
   ),
   ""
)</f>
        <v/>
      </c>
      <c r="V247" s="21">
        <f t="array" ref="V247">IFERROR(
   IF(
      INDEX(Load_Booking_Report!AR:AR,
             MATCH(TRUE,
                     ISNUMBER(FIND(SUBSTITUTE(C247," ",""),
                                    Load_Booking_Report!AL:AL)),
                     0)
      )=0,
      "",
      INDEX(Load_Booking_Report!AR:AR,
             MATCH(TRUE,
                     ISNUMBER(FIND(SUBSTITUTE(C247," ",""),
                                    Load_Booking_Report!AL:AL)),
                     0)
      )
   ),
   ""
)</f>
        <v/>
      </c>
      <c r="W247" s="21">
        <f t="array" ref="W247">IFERROR(INDEX(Load_Booking_Report!F:F, MATCH(TRUE, ISNUMBER(FIND(SUBSTITUTE(C247," ",""), Load_Booking_Report!AL:AL)), 0)), "Not Found")</f>
        <v/>
      </c>
      <c r="X247" s="21">
        <f t="array" ref="X247">IFERROR(INDEX(Load_Booking_Report!N:N, MATCH(TRUE, ISNUMBER(FIND(SUBSTITUTE(C247," ",""), Load_Booking_Report!AL:AL)), 0)), "Not Found")</f>
        <v/>
      </c>
      <c r="Y247" s="21">
        <f t="array" ref="Y247">IFERROR(INDEX(Load_Booking_Report!V:V, MATCH(TRUE, ISNUMBER(FIND(SUBSTITUTE(C247," ",""), Load_Booking_Report!AL:AL)), 0)), "Not Found")</f>
        <v/>
      </c>
      <c r="Z247" s="41">
        <f t="array" ref="Z247">IFERROR(INDEX(Load_Booking_Report!BC:BC, MATCH(TRUE, ISNUMBER(FIND(SUBSTITUTE(C247," ",""), Load_Booking_Report!AL:AL)), 0)), "Not Found")</f>
        <v/>
      </c>
    </row>
    <row r="248">
      <c r="A248" t="n">
        <v>26</v>
      </c>
      <c r="B248" t="n">
        <v>260584</v>
      </c>
      <c r="C248" t="inlineStr">
        <is>
          <t>ANON0000000</t>
        </is>
      </c>
      <c r="D248" t="n">
        <v>40</v>
      </c>
      <c r="E248" t="inlineStr">
        <is>
          <t>USNYC</t>
        </is>
      </c>
      <c r="F248" t="inlineStr">
        <is>
          <t>RUBLT</t>
        </is>
      </c>
      <c r="G248" t="n">
        <v>32832</v>
      </c>
      <c r="H248" t="inlineStr">
        <is>
          <t>ART</t>
        </is>
      </c>
      <c r="I248" t="inlineStr">
        <is>
          <t>45R1</t>
        </is>
      </c>
      <c r="K248" t="inlineStr">
        <is>
          <t>-24.0:CEL</t>
        </is>
      </c>
      <c r="L248" t="inlineStr">
        <is>
          <t>9'6</t>
        </is>
      </c>
      <c r="M248" t="inlineStr">
        <is>
          <t>Full</t>
        </is>
      </c>
      <c r="N248" t="inlineStr">
        <is>
          <t>RULED</t>
        </is>
      </c>
      <c r="P248" s="21">
        <f>C248</f>
        <v/>
      </c>
      <c r="Q248" s="21">
        <f t="array" ref="Q248">IFERROR(INDEX(Load_Booking_Report!AC:AC, MATCH(TRUE, ISNUMBER(FIND(SUBSTITUTE(C248," ",""), Load_Booking_Report!AL:AL)), 0)), "Not Found")</f>
        <v/>
      </c>
      <c r="R248" s="21">
        <f t="array" ref="R248">IFERROR(INDEX(Load_Booking_Report!C:C, MATCH(TRUE, ISNUMBER(FIND(SUBSTITUTE(C248," ",""), Load_Booking_Report!AL:AL)), 0)), "Not Found")</f>
        <v/>
      </c>
      <c r="S248" s="21">
        <f t="array" ref="S248">IFERROR(INDEX(Load_Booking_Report!AG:AG, MATCH(TRUE, ISNUMBER(FIND(SUBSTITUTE(C248," ",""), Load_Booking_Report!AL:AL)), 0)), "Not Found")</f>
        <v/>
      </c>
      <c r="T248" s="21">
        <f>G248</f>
        <v/>
      </c>
      <c r="U248" s="33">
        <f t="array" ref="U248">IFERROR(
   IF(
      INDEX(Load_Booking_Report!AM:AM,
             MATCH(TRUE,
                     ISNUMBER(FIND(SUBSTITUTE(C248," ",""),
                                    Load_Booking_Report!AL:AL)),
                     0)
      )=0,
      "",
      INDEX(Load_Booking_Report!AM:AM,
             MATCH(TRUE,
                     ISNUMBER(FIND(SUBSTITUTE(C248," ",""),
                                    Load_Booking_Report!AL:AL)),
                     0)
      )
   ),
   ""
)</f>
        <v/>
      </c>
      <c r="V248" s="21">
        <f t="array" ref="V248">IFERROR(
   IF(
      INDEX(Load_Booking_Report!AR:AR,
             MATCH(TRUE,
                     ISNUMBER(FIND(SUBSTITUTE(C248," ",""),
                                    Load_Booking_Report!AL:AL)),
                     0)
      )=0,
      "",
      INDEX(Load_Booking_Report!AR:AR,
             MATCH(TRUE,
                     ISNUMBER(FIND(SUBSTITUTE(C248," ",""),
                                    Load_Booking_Report!AL:AL)),
                     0)
      )
   ),
   ""
)</f>
        <v/>
      </c>
      <c r="W248" s="21">
        <f t="array" ref="W248">IFERROR(INDEX(Load_Booking_Report!F:F, MATCH(TRUE, ISNUMBER(FIND(SUBSTITUTE(C248," ",""), Load_Booking_Report!AL:AL)), 0)), "Not Found")</f>
        <v/>
      </c>
      <c r="X248" s="21">
        <f t="array" ref="X248">IFERROR(INDEX(Load_Booking_Report!N:N, MATCH(TRUE, ISNUMBER(FIND(SUBSTITUTE(C248," ",""), Load_Booking_Report!AL:AL)), 0)), "Not Found")</f>
        <v/>
      </c>
      <c r="Y248" s="21">
        <f t="array" ref="Y248">IFERROR(INDEX(Load_Booking_Report!V:V, MATCH(TRUE, ISNUMBER(FIND(SUBSTITUTE(C248," ",""), Load_Booking_Report!AL:AL)), 0)), "Not Found")</f>
        <v/>
      </c>
      <c r="Z248" s="41">
        <f t="array" ref="Z248">IFERROR(INDEX(Load_Booking_Report!BC:BC, MATCH(TRUE, ISNUMBER(FIND(SUBSTITUTE(C248," ",""), Load_Booking_Report!AL:AL)), 0)), "Not Found")</f>
        <v/>
      </c>
    </row>
    <row r="249">
      <c r="A249" t="n">
        <v>26</v>
      </c>
      <c r="B249" t="n">
        <v>260282</v>
      </c>
      <c r="C249" t="inlineStr">
        <is>
          <t>ANON0000000</t>
        </is>
      </c>
      <c r="D249" t="n">
        <v>40</v>
      </c>
      <c r="E249" t="inlineStr">
        <is>
          <t>USNYC</t>
        </is>
      </c>
      <c r="F249" t="inlineStr">
        <is>
          <t>RUBLT</t>
        </is>
      </c>
      <c r="G249" t="n">
        <v>32988</v>
      </c>
      <c r="H249" t="inlineStr">
        <is>
          <t>ART</t>
        </is>
      </c>
      <c r="I249" t="inlineStr">
        <is>
          <t>45R1</t>
        </is>
      </c>
      <c r="K249" t="inlineStr">
        <is>
          <t>-22.0:CEL</t>
        </is>
      </c>
      <c r="L249" t="inlineStr">
        <is>
          <t>9'6</t>
        </is>
      </c>
      <c r="M249" t="inlineStr">
        <is>
          <t>Full</t>
        </is>
      </c>
      <c r="N249" t="inlineStr">
        <is>
          <t>RULED</t>
        </is>
      </c>
      <c r="P249" s="21">
        <f>C249</f>
        <v/>
      </c>
      <c r="Q249" s="21">
        <f t="array" ref="Q249">IFERROR(INDEX(Load_Booking_Report!AC:AC, MATCH(TRUE, ISNUMBER(FIND(SUBSTITUTE(C249," ",""), Load_Booking_Report!AL:AL)), 0)), "Not Found")</f>
        <v/>
      </c>
      <c r="R249" s="21">
        <f t="array" ref="R249">IFERROR(INDEX(Load_Booking_Report!C:C, MATCH(TRUE, ISNUMBER(FIND(SUBSTITUTE(C249," ",""), Load_Booking_Report!AL:AL)), 0)), "Not Found")</f>
        <v/>
      </c>
      <c r="S249" s="21">
        <f t="array" ref="S249">IFERROR(INDEX(Load_Booking_Report!AG:AG, MATCH(TRUE, ISNUMBER(FIND(SUBSTITUTE(C249," ",""), Load_Booking_Report!AL:AL)), 0)), "Not Found")</f>
        <v/>
      </c>
      <c r="T249" s="21">
        <f>G249</f>
        <v/>
      </c>
      <c r="U249" s="33">
        <f t="array" ref="U249">IFERROR(
   IF(
      INDEX(Load_Booking_Report!AM:AM,
             MATCH(TRUE,
                     ISNUMBER(FIND(SUBSTITUTE(C249," ",""),
                                    Load_Booking_Report!AL:AL)),
                     0)
      )=0,
      "",
      INDEX(Load_Booking_Report!AM:AM,
             MATCH(TRUE,
                     ISNUMBER(FIND(SUBSTITUTE(C249," ",""),
                                    Load_Booking_Report!AL:AL)),
                     0)
      )
   ),
   ""
)</f>
        <v/>
      </c>
      <c r="V249" s="21">
        <f t="array" ref="V249">IFERROR(
   IF(
      INDEX(Load_Booking_Report!AR:AR,
             MATCH(TRUE,
                     ISNUMBER(FIND(SUBSTITUTE(C249," ",""),
                                    Load_Booking_Report!AL:AL)),
                     0)
      )=0,
      "",
      INDEX(Load_Booking_Report!AR:AR,
             MATCH(TRUE,
                     ISNUMBER(FIND(SUBSTITUTE(C249," ",""),
                                    Load_Booking_Report!AL:AL)),
                     0)
      )
   ),
   ""
)</f>
        <v/>
      </c>
      <c r="W249" s="21">
        <f t="array" ref="W249">IFERROR(INDEX(Load_Booking_Report!F:F, MATCH(TRUE, ISNUMBER(FIND(SUBSTITUTE(C249," ",""), Load_Booking_Report!AL:AL)), 0)), "Not Found")</f>
        <v/>
      </c>
      <c r="X249" s="21">
        <f t="array" ref="X249">IFERROR(INDEX(Load_Booking_Report!N:N, MATCH(TRUE, ISNUMBER(FIND(SUBSTITUTE(C249," ",""), Load_Booking_Report!AL:AL)), 0)), "Not Found")</f>
        <v/>
      </c>
      <c r="Y249" s="21">
        <f t="array" ref="Y249">IFERROR(INDEX(Load_Booking_Report!V:V, MATCH(TRUE, ISNUMBER(FIND(SUBSTITUTE(C249," ",""), Load_Booking_Report!AL:AL)), 0)), "Not Found")</f>
        <v/>
      </c>
      <c r="Z249" s="41">
        <f t="array" ref="Z249">IFERROR(INDEX(Load_Booking_Report!BC:BC, MATCH(TRUE, ISNUMBER(FIND(SUBSTITUTE(C249," ",""), Load_Booking_Report!AL:AL)), 0)), "Not Found")</f>
        <v/>
      </c>
    </row>
    <row r="250">
      <c r="A250" t="n">
        <v>26</v>
      </c>
      <c r="B250" t="n">
        <v>260686</v>
      </c>
      <c r="C250" t="inlineStr">
        <is>
          <t>ANON0000000</t>
        </is>
      </c>
      <c r="D250" t="n">
        <v>40</v>
      </c>
      <c r="E250" t="inlineStr">
        <is>
          <t>USNYC</t>
        </is>
      </c>
      <c r="F250" t="inlineStr">
        <is>
          <t>RUBLT</t>
        </is>
      </c>
      <c r="G250" t="n">
        <v>32908</v>
      </c>
      <c r="H250" t="inlineStr">
        <is>
          <t>ART</t>
        </is>
      </c>
      <c r="I250" t="inlineStr">
        <is>
          <t>45R1</t>
        </is>
      </c>
      <c r="K250" t="inlineStr">
        <is>
          <t>-22.0:CEL</t>
        </is>
      </c>
      <c r="L250" t="inlineStr">
        <is>
          <t>9'6</t>
        </is>
      </c>
      <c r="M250" t="inlineStr">
        <is>
          <t>Full</t>
        </is>
      </c>
      <c r="N250" t="inlineStr">
        <is>
          <t>RULED</t>
        </is>
      </c>
      <c r="P250" s="21">
        <f>C250</f>
        <v/>
      </c>
      <c r="Q250" s="21">
        <f t="array" ref="Q250">IFERROR(INDEX(Load_Booking_Report!AC:AC, MATCH(TRUE, ISNUMBER(FIND(SUBSTITUTE(C250," ",""), Load_Booking_Report!AL:AL)), 0)), "Not Found")</f>
        <v/>
      </c>
      <c r="R250" s="21">
        <f t="array" ref="R250">IFERROR(INDEX(Load_Booking_Report!C:C, MATCH(TRUE, ISNUMBER(FIND(SUBSTITUTE(C250," ",""), Load_Booking_Report!AL:AL)), 0)), "Not Found")</f>
        <v/>
      </c>
      <c r="S250" s="21">
        <f t="array" ref="S250">IFERROR(INDEX(Load_Booking_Report!AG:AG, MATCH(TRUE, ISNUMBER(FIND(SUBSTITUTE(C250," ",""), Load_Booking_Report!AL:AL)), 0)), "Not Found")</f>
        <v/>
      </c>
      <c r="T250" s="21">
        <f>G250</f>
        <v/>
      </c>
      <c r="U250" s="33">
        <f t="array" ref="U250">IFERROR(
   IF(
      INDEX(Load_Booking_Report!AM:AM,
             MATCH(TRUE,
                     ISNUMBER(FIND(SUBSTITUTE(C250," ",""),
                                    Load_Booking_Report!AL:AL)),
                     0)
      )=0,
      "",
      INDEX(Load_Booking_Report!AM:AM,
             MATCH(TRUE,
                     ISNUMBER(FIND(SUBSTITUTE(C250," ",""),
                                    Load_Booking_Report!AL:AL)),
                     0)
      )
   ),
   ""
)</f>
        <v/>
      </c>
      <c r="V250" s="21">
        <f t="array" ref="V250">IFERROR(
   IF(
      INDEX(Load_Booking_Report!AR:AR,
             MATCH(TRUE,
                     ISNUMBER(FIND(SUBSTITUTE(C250," ",""),
                                    Load_Booking_Report!AL:AL)),
                     0)
      )=0,
      "",
      INDEX(Load_Booking_Report!AR:AR,
             MATCH(TRUE,
                     ISNUMBER(FIND(SUBSTITUTE(C250," ",""),
                                    Load_Booking_Report!AL:AL)),
                     0)
      )
   ),
   ""
)</f>
        <v/>
      </c>
      <c r="W250" s="21">
        <f t="array" ref="W250">IFERROR(INDEX(Load_Booking_Report!F:F, MATCH(TRUE, ISNUMBER(FIND(SUBSTITUTE(C250," ",""), Load_Booking_Report!AL:AL)), 0)), "Not Found")</f>
        <v/>
      </c>
      <c r="X250" s="21">
        <f t="array" ref="X250">IFERROR(INDEX(Load_Booking_Report!N:N, MATCH(TRUE, ISNUMBER(FIND(SUBSTITUTE(C250," ",""), Load_Booking_Report!AL:AL)), 0)), "Not Found")</f>
        <v/>
      </c>
      <c r="Y250" s="21">
        <f t="array" ref="Y250">IFERROR(INDEX(Load_Booking_Report!V:V, MATCH(TRUE, ISNUMBER(FIND(SUBSTITUTE(C250," ",""), Load_Booking_Report!AL:AL)), 0)), "Not Found")</f>
        <v/>
      </c>
      <c r="Z250" s="41">
        <f t="array" ref="Z250">IFERROR(INDEX(Load_Booking_Report!BC:BC, MATCH(TRUE, ISNUMBER(FIND(SUBSTITUTE(C250," ",""), Load_Booking_Report!AL:AL)), 0)), "Not Found")</f>
        <v/>
      </c>
    </row>
    <row r="251">
      <c r="A251" t="n">
        <v>26</v>
      </c>
      <c r="B251" t="n">
        <v>260682</v>
      </c>
      <c r="C251" t="inlineStr">
        <is>
          <t>ANON0000000</t>
        </is>
      </c>
      <c r="D251" t="n">
        <v>40</v>
      </c>
      <c r="E251" t="inlineStr">
        <is>
          <t>USNYC</t>
        </is>
      </c>
      <c r="F251" t="inlineStr">
        <is>
          <t>RUBLT</t>
        </is>
      </c>
      <c r="G251" t="n">
        <v>32872</v>
      </c>
      <c r="H251" t="inlineStr">
        <is>
          <t>ART</t>
        </is>
      </c>
      <c r="I251" t="inlineStr">
        <is>
          <t>45R1</t>
        </is>
      </c>
      <c r="K251" t="inlineStr">
        <is>
          <t>-18.0:CEL</t>
        </is>
      </c>
      <c r="L251" t="inlineStr">
        <is>
          <t>9'6</t>
        </is>
      </c>
      <c r="M251" t="inlineStr">
        <is>
          <t>Full</t>
        </is>
      </c>
      <c r="N251" t="inlineStr">
        <is>
          <t>RULED</t>
        </is>
      </c>
      <c r="P251" s="21">
        <f>C251</f>
        <v/>
      </c>
      <c r="Q251" s="21">
        <f t="array" ref="Q251">IFERROR(INDEX(Load_Booking_Report!AC:AC, MATCH(TRUE, ISNUMBER(FIND(SUBSTITUTE(C251," ",""), Load_Booking_Report!AL:AL)), 0)), "Not Found")</f>
        <v/>
      </c>
      <c r="R251" s="21">
        <f t="array" ref="R251">IFERROR(INDEX(Load_Booking_Report!C:C, MATCH(TRUE, ISNUMBER(FIND(SUBSTITUTE(C251," ",""), Load_Booking_Report!AL:AL)), 0)), "Not Found")</f>
        <v/>
      </c>
      <c r="S251" s="21">
        <f t="array" ref="S251">IFERROR(INDEX(Load_Booking_Report!AG:AG, MATCH(TRUE, ISNUMBER(FIND(SUBSTITUTE(C251," ",""), Load_Booking_Report!AL:AL)), 0)), "Not Found")</f>
        <v/>
      </c>
      <c r="T251" s="21">
        <f>G251</f>
        <v/>
      </c>
      <c r="U251" s="33">
        <f t="array" ref="U251">IFERROR(
   IF(
      INDEX(Load_Booking_Report!AM:AM,
             MATCH(TRUE,
                     ISNUMBER(FIND(SUBSTITUTE(C251," ",""),
                                    Load_Booking_Report!AL:AL)),
                     0)
      )=0,
      "",
      INDEX(Load_Booking_Report!AM:AM,
             MATCH(TRUE,
                     ISNUMBER(FIND(SUBSTITUTE(C251," ",""),
                                    Load_Booking_Report!AL:AL)),
                     0)
      )
   ),
   ""
)</f>
        <v/>
      </c>
      <c r="V251" s="21">
        <f t="array" ref="V251">IFERROR(
   IF(
      INDEX(Load_Booking_Report!AR:AR,
             MATCH(TRUE,
                     ISNUMBER(FIND(SUBSTITUTE(C251," ",""),
                                    Load_Booking_Report!AL:AL)),
                     0)
      )=0,
      "",
      INDEX(Load_Booking_Report!AR:AR,
             MATCH(TRUE,
                     ISNUMBER(FIND(SUBSTITUTE(C251," ",""),
                                    Load_Booking_Report!AL:AL)),
                     0)
      )
   ),
   ""
)</f>
        <v/>
      </c>
      <c r="W251" s="21">
        <f t="array" ref="W251">IFERROR(INDEX(Load_Booking_Report!F:F, MATCH(TRUE, ISNUMBER(FIND(SUBSTITUTE(C251," ",""), Load_Booking_Report!AL:AL)), 0)), "Not Found")</f>
        <v/>
      </c>
      <c r="X251" s="21">
        <f t="array" ref="X251">IFERROR(INDEX(Load_Booking_Report!N:N, MATCH(TRUE, ISNUMBER(FIND(SUBSTITUTE(C251," ",""), Load_Booking_Report!AL:AL)), 0)), "Not Found")</f>
        <v/>
      </c>
      <c r="Y251" s="21">
        <f t="array" ref="Y251">IFERROR(INDEX(Load_Booking_Report!V:V, MATCH(TRUE, ISNUMBER(FIND(SUBSTITUTE(C251," ",""), Load_Booking_Report!AL:AL)), 0)), "Not Found")</f>
        <v/>
      </c>
      <c r="Z251" s="41">
        <f t="array" ref="Z251">IFERROR(INDEX(Load_Booking_Report!BC:BC, MATCH(TRUE, ISNUMBER(FIND(SUBSTITUTE(C251," ",""), Load_Booking_Report!AL:AL)), 0)), "Not Found")</f>
        <v/>
      </c>
    </row>
    <row r="252">
      <c r="A252" t="n">
        <v>26</v>
      </c>
      <c r="B252" t="n">
        <v>260382</v>
      </c>
      <c r="C252" t="inlineStr">
        <is>
          <t>ANON0000000</t>
        </is>
      </c>
      <c r="D252" t="n">
        <v>40</v>
      </c>
      <c r="E252" t="inlineStr">
        <is>
          <t>USHOU</t>
        </is>
      </c>
      <c r="F252" t="inlineStr">
        <is>
          <t>RULED</t>
        </is>
      </c>
      <c r="G252" t="n">
        <v>27669</v>
      </c>
      <c r="H252" t="inlineStr">
        <is>
          <t>ART</t>
        </is>
      </c>
      <c r="I252" t="inlineStr">
        <is>
          <t>45R1</t>
        </is>
      </c>
      <c r="K252" t="inlineStr">
        <is>
          <t>0.0:CEL</t>
        </is>
      </c>
      <c r="L252" t="inlineStr">
        <is>
          <t>9'6</t>
        </is>
      </c>
      <c r="M252" t="inlineStr">
        <is>
          <t>Full</t>
        </is>
      </c>
      <c r="N252" t="inlineStr">
        <is>
          <t>RULED</t>
        </is>
      </c>
      <c r="P252" s="21">
        <f>C252</f>
        <v/>
      </c>
      <c r="Q252" s="21">
        <f t="array" ref="Q252">IFERROR(INDEX(Load_Booking_Report!AC:AC, MATCH(TRUE, ISNUMBER(FIND(SUBSTITUTE(C252," ",""), Load_Booking_Report!AL:AL)), 0)), "Not Found")</f>
        <v/>
      </c>
      <c r="R252" s="21">
        <f t="array" ref="R252">IFERROR(INDEX(Load_Booking_Report!C:C, MATCH(TRUE, ISNUMBER(FIND(SUBSTITUTE(C252," ",""), Load_Booking_Report!AL:AL)), 0)), "Not Found")</f>
        <v/>
      </c>
      <c r="S252" s="21">
        <f t="array" ref="S252">IFERROR(INDEX(Load_Booking_Report!AG:AG, MATCH(TRUE, ISNUMBER(FIND(SUBSTITUTE(C252," ",""), Load_Booking_Report!AL:AL)), 0)), "Not Found")</f>
        <v/>
      </c>
      <c r="T252" s="21">
        <f>G252</f>
        <v/>
      </c>
      <c r="U252" s="33">
        <f t="array" ref="U252">IFERROR(
   IF(
      INDEX(Load_Booking_Report!AM:AM,
             MATCH(TRUE,
                     ISNUMBER(FIND(SUBSTITUTE(C252," ",""),
                                    Load_Booking_Report!AL:AL)),
                     0)
      )=0,
      "",
      INDEX(Load_Booking_Report!AM:AM,
             MATCH(TRUE,
                     ISNUMBER(FIND(SUBSTITUTE(C252," ",""),
                                    Load_Booking_Report!AL:AL)),
                     0)
      )
   ),
   ""
)</f>
        <v/>
      </c>
      <c r="V252" s="21">
        <f t="array" ref="V252">IFERROR(
   IF(
      INDEX(Load_Booking_Report!AR:AR,
             MATCH(TRUE,
                     ISNUMBER(FIND(SUBSTITUTE(C252," ",""),
                                    Load_Booking_Report!AL:AL)),
                     0)
      )=0,
      "",
      INDEX(Load_Booking_Report!AR:AR,
             MATCH(TRUE,
                     ISNUMBER(FIND(SUBSTITUTE(C252," ",""),
                                    Load_Booking_Report!AL:AL)),
                     0)
      )
   ),
   ""
)</f>
        <v/>
      </c>
      <c r="W252" s="21">
        <f t="array" ref="W252">IFERROR(INDEX(Load_Booking_Report!F:F, MATCH(TRUE, ISNUMBER(FIND(SUBSTITUTE(C252," ",""), Load_Booking_Report!AL:AL)), 0)), "Not Found")</f>
        <v/>
      </c>
      <c r="X252" s="21">
        <f t="array" ref="X252">IFERROR(INDEX(Load_Booking_Report!N:N, MATCH(TRUE, ISNUMBER(FIND(SUBSTITUTE(C252," ",""), Load_Booking_Report!AL:AL)), 0)), "Not Found")</f>
        <v/>
      </c>
      <c r="Y252" s="21">
        <f t="array" ref="Y252">IFERROR(INDEX(Load_Booking_Report!V:V, MATCH(TRUE, ISNUMBER(FIND(SUBSTITUTE(C252," ",""), Load_Booking_Report!AL:AL)), 0)), "Not Found")</f>
        <v/>
      </c>
      <c r="Z252" s="41">
        <f t="array" ref="Z252">IFERROR(INDEX(Load_Booking_Report!BC:BC, MATCH(TRUE, ISNUMBER(FIND(SUBSTITUTE(C252," ",""), Load_Booking_Report!AL:AL)), 0)), "Not Found")</f>
        <v/>
      </c>
    </row>
    <row r="253">
      <c r="A253" t="n">
        <v>26</v>
      </c>
      <c r="B253" t="n">
        <v>260784</v>
      </c>
      <c r="C253" t="inlineStr">
        <is>
          <t>ANON0000000</t>
        </is>
      </c>
      <c r="D253" t="n">
        <v>40</v>
      </c>
      <c r="E253" t="inlineStr">
        <is>
          <t>USNYC</t>
        </is>
      </c>
      <c r="F253" t="inlineStr">
        <is>
          <t>RUBLT</t>
        </is>
      </c>
      <c r="G253" t="n">
        <v>33705</v>
      </c>
      <c r="H253" t="inlineStr">
        <is>
          <t>ART</t>
        </is>
      </c>
      <c r="I253" t="inlineStr">
        <is>
          <t>45R1</t>
        </is>
      </c>
      <c r="K253" t="inlineStr">
        <is>
          <t>-18.0:CEL</t>
        </is>
      </c>
      <c r="L253" t="inlineStr">
        <is>
          <t>9'6</t>
        </is>
      </c>
      <c r="M253" t="inlineStr">
        <is>
          <t>Full</t>
        </is>
      </c>
      <c r="N253" t="inlineStr">
        <is>
          <t>RULED</t>
        </is>
      </c>
      <c r="P253" s="21">
        <f>C253</f>
        <v/>
      </c>
      <c r="Q253" s="21">
        <f t="array" ref="Q253">IFERROR(INDEX(Load_Booking_Report!AC:AC, MATCH(TRUE, ISNUMBER(FIND(SUBSTITUTE(C253," ",""), Load_Booking_Report!AL:AL)), 0)), "Not Found")</f>
        <v/>
      </c>
      <c r="R253" s="21">
        <f t="array" ref="R253">IFERROR(INDEX(Load_Booking_Report!C:C, MATCH(TRUE, ISNUMBER(FIND(SUBSTITUTE(C253," ",""), Load_Booking_Report!AL:AL)), 0)), "Not Found")</f>
        <v/>
      </c>
      <c r="S253" s="21">
        <f t="array" ref="S253">IFERROR(INDEX(Load_Booking_Report!AG:AG, MATCH(TRUE, ISNUMBER(FIND(SUBSTITUTE(C253," ",""), Load_Booking_Report!AL:AL)), 0)), "Not Found")</f>
        <v/>
      </c>
      <c r="T253" s="21">
        <f>G253</f>
        <v/>
      </c>
      <c r="U253" s="33">
        <f t="array" ref="U253">IFERROR(
   IF(
      INDEX(Load_Booking_Report!AM:AM,
             MATCH(TRUE,
                     ISNUMBER(FIND(SUBSTITUTE(C253," ",""),
                                    Load_Booking_Report!AL:AL)),
                     0)
      )=0,
      "",
      INDEX(Load_Booking_Report!AM:AM,
             MATCH(TRUE,
                     ISNUMBER(FIND(SUBSTITUTE(C253," ",""),
                                    Load_Booking_Report!AL:AL)),
                     0)
      )
   ),
   ""
)</f>
        <v/>
      </c>
      <c r="V253" s="21">
        <f t="array" ref="V253">IFERROR(
   IF(
      INDEX(Load_Booking_Report!AR:AR,
             MATCH(TRUE,
                     ISNUMBER(FIND(SUBSTITUTE(C253," ",""),
                                    Load_Booking_Report!AL:AL)),
                     0)
      )=0,
      "",
      INDEX(Load_Booking_Report!AR:AR,
             MATCH(TRUE,
                     ISNUMBER(FIND(SUBSTITUTE(C253," ",""),
                                    Load_Booking_Report!AL:AL)),
                     0)
      )
   ),
   ""
)</f>
        <v/>
      </c>
      <c r="W253" s="21">
        <f t="array" ref="W253">IFERROR(INDEX(Load_Booking_Report!F:F, MATCH(TRUE, ISNUMBER(FIND(SUBSTITUTE(C253," ",""), Load_Booking_Report!AL:AL)), 0)), "Not Found")</f>
        <v/>
      </c>
      <c r="X253" s="21">
        <f t="array" ref="X253">IFERROR(INDEX(Load_Booking_Report!N:N, MATCH(TRUE, ISNUMBER(FIND(SUBSTITUTE(C253," ",""), Load_Booking_Report!AL:AL)), 0)), "Not Found")</f>
        <v/>
      </c>
      <c r="Y253" s="21">
        <f t="array" ref="Y253">IFERROR(INDEX(Load_Booking_Report!V:V, MATCH(TRUE, ISNUMBER(FIND(SUBSTITUTE(C253," ",""), Load_Booking_Report!AL:AL)), 0)), "Not Found")</f>
        <v/>
      </c>
      <c r="Z253" s="41">
        <f t="array" ref="Z253">IFERROR(INDEX(Load_Booking_Report!BC:BC, MATCH(TRUE, ISNUMBER(FIND(SUBSTITUTE(C253," ",""), Load_Booking_Report!AL:AL)), 0)), "Not Found")</f>
        <v/>
      </c>
    </row>
    <row r="254">
      <c r="A254" t="n">
        <v>40</v>
      </c>
      <c r="B254" t="n">
        <v>400884</v>
      </c>
      <c r="C254" t="inlineStr">
        <is>
          <t>ANON0000000</t>
        </is>
      </c>
      <c r="D254" t="n">
        <v>40</v>
      </c>
      <c r="E254" t="inlineStr">
        <is>
          <t>USHOU</t>
        </is>
      </c>
      <c r="F254" t="inlineStr">
        <is>
          <t>RUBLT</t>
        </is>
      </c>
      <c r="G254" t="n">
        <v>32528</v>
      </c>
      <c r="H254" t="inlineStr">
        <is>
          <t>ART</t>
        </is>
      </c>
      <c r="I254" t="inlineStr">
        <is>
          <t>45R1</t>
        </is>
      </c>
      <c r="K254" t="inlineStr">
        <is>
          <t>-22.0:CEL</t>
        </is>
      </c>
      <c r="L254" t="inlineStr">
        <is>
          <t>9'6</t>
        </is>
      </c>
      <c r="M254" t="inlineStr">
        <is>
          <t>Full</t>
        </is>
      </c>
      <c r="N254" t="inlineStr">
        <is>
          <t>RULED</t>
        </is>
      </c>
      <c r="P254" s="21">
        <f>C254</f>
        <v/>
      </c>
      <c r="Q254" s="21">
        <f t="array" ref="Q254">IFERROR(INDEX(Load_Booking_Report!AC:AC, MATCH(TRUE, ISNUMBER(FIND(SUBSTITUTE(C254," ",""), Load_Booking_Report!AL:AL)), 0)), "Not Found")</f>
        <v/>
      </c>
      <c r="R254" s="21">
        <f t="array" ref="R254">IFERROR(INDEX(Load_Booking_Report!C:C, MATCH(TRUE, ISNUMBER(FIND(SUBSTITUTE(C254," ",""), Load_Booking_Report!AL:AL)), 0)), "Not Found")</f>
        <v/>
      </c>
      <c r="S254" s="21">
        <f t="array" ref="S254">IFERROR(INDEX(Load_Booking_Report!AG:AG, MATCH(TRUE, ISNUMBER(FIND(SUBSTITUTE(C254," ",""), Load_Booking_Report!AL:AL)), 0)), "Not Found")</f>
        <v/>
      </c>
      <c r="T254" s="21">
        <f>G254</f>
        <v/>
      </c>
      <c r="U254" s="33">
        <f t="array" ref="U254">IFERROR(
   IF(
      INDEX(Load_Booking_Report!AM:AM,
             MATCH(TRUE,
                     ISNUMBER(FIND(SUBSTITUTE(C254," ",""),
                                    Load_Booking_Report!AL:AL)),
                     0)
      )=0,
      "",
      INDEX(Load_Booking_Report!AM:AM,
             MATCH(TRUE,
                     ISNUMBER(FIND(SUBSTITUTE(C254," ",""),
                                    Load_Booking_Report!AL:AL)),
                     0)
      )
   ),
   ""
)</f>
        <v/>
      </c>
      <c r="V254" s="21">
        <f t="array" ref="V254">IFERROR(
   IF(
      INDEX(Load_Booking_Report!AR:AR,
             MATCH(TRUE,
                     ISNUMBER(FIND(SUBSTITUTE(C254," ",""),
                                    Load_Booking_Report!AL:AL)),
                     0)
      )=0,
      "",
      INDEX(Load_Booking_Report!AR:AR,
             MATCH(TRUE,
                     ISNUMBER(FIND(SUBSTITUTE(C254," ",""),
                                    Load_Booking_Report!AL:AL)),
                     0)
      )
   ),
   ""
)</f>
        <v/>
      </c>
      <c r="W254" s="21">
        <f t="array" ref="W254">IFERROR(INDEX(Load_Booking_Report!F:F, MATCH(TRUE, ISNUMBER(FIND(SUBSTITUTE(C254," ",""), Load_Booking_Report!AL:AL)), 0)), "Not Found")</f>
        <v/>
      </c>
      <c r="X254" s="21">
        <f t="array" ref="X254">IFERROR(INDEX(Load_Booking_Report!N:N, MATCH(TRUE, ISNUMBER(FIND(SUBSTITUTE(C254," ",""), Load_Booking_Report!AL:AL)), 0)), "Not Found")</f>
        <v/>
      </c>
      <c r="Y254" s="21">
        <f t="array" ref="Y254">IFERROR(INDEX(Load_Booking_Report!V:V, MATCH(TRUE, ISNUMBER(FIND(SUBSTITUTE(C254," ",""), Load_Booking_Report!AL:AL)), 0)), "Not Found")</f>
        <v/>
      </c>
      <c r="Z254" s="41">
        <f t="array" ref="Z254">IFERROR(INDEX(Load_Booking_Report!BC:BC, MATCH(TRUE, ISNUMBER(FIND(SUBSTITUTE(C254," ",""), Load_Booking_Report!AL:AL)), 0)), "Not Found")</f>
        <v/>
      </c>
    </row>
    <row r="255">
      <c r="A255" t="n">
        <v>26</v>
      </c>
      <c r="B255" t="n">
        <v>260082</v>
      </c>
      <c r="C255" t="inlineStr">
        <is>
          <t>ANON0000000</t>
        </is>
      </c>
      <c r="D255" t="n">
        <v>40</v>
      </c>
      <c r="E255" t="inlineStr">
        <is>
          <t>USNYC</t>
        </is>
      </c>
      <c r="F255" t="inlineStr">
        <is>
          <t>RULED</t>
        </is>
      </c>
      <c r="G255" t="n">
        <v>31128</v>
      </c>
      <c r="H255" t="inlineStr">
        <is>
          <t>ART</t>
        </is>
      </c>
      <c r="I255" t="inlineStr">
        <is>
          <t>45R1</t>
        </is>
      </c>
      <c r="K255" t="inlineStr">
        <is>
          <t>-18.0:CEL</t>
        </is>
      </c>
      <c r="L255" t="inlineStr">
        <is>
          <t>9'6</t>
        </is>
      </c>
      <c r="M255" t="inlineStr">
        <is>
          <t>Full</t>
        </is>
      </c>
      <c r="N255" t="inlineStr">
        <is>
          <t>RULED</t>
        </is>
      </c>
      <c r="P255" s="21">
        <f>C255</f>
        <v/>
      </c>
      <c r="Q255" s="21">
        <f t="array" ref="Q255">IFERROR(INDEX(Load_Booking_Report!AC:AC, MATCH(TRUE, ISNUMBER(FIND(SUBSTITUTE(C255," ",""), Load_Booking_Report!AL:AL)), 0)), "Not Found")</f>
        <v/>
      </c>
      <c r="R255" s="21">
        <f t="array" ref="R255">IFERROR(INDEX(Load_Booking_Report!C:C, MATCH(TRUE, ISNUMBER(FIND(SUBSTITUTE(C255," ",""), Load_Booking_Report!AL:AL)), 0)), "Not Found")</f>
        <v/>
      </c>
      <c r="S255" s="21">
        <f t="array" ref="S255">IFERROR(INDEX(Load_Booking_Report!AG:AG, MATCH(TRUE, ISNUMBER(FIND(SUBSTITUTE(C255," ",""), Load_Booking_Report!AL:AL)), 0)), "Not Found")</f>
        <v/>
      </c>
      <c r="T255" s="21">
        <f>G255</f>
        <v/>
      </c>
      <c r="U255" s="33">
        <f t="array" ref="U255">IFERROR(
   IF(
      INDEX(Load_Booking_Report!AM:AM,
             MATCH(TRUE,
                     ISNUMBER(FIND(SUBSTITUTE(C255," ",""),
                                    Load_Booking_Report!AL:AL)),
                     0)
      )=0,
      "",
      INDEX(Load_Booking_Report!AM:AM,
             MATCH(TRUE,
                     ISNUMBER(FIND(SUBSTITUTE(C255," ",""),
                                    Load_Booking_Report!AL:AL)),
                     0)
      )
   ),
   ""
)</f>
        <v/>
      </c>
      <c r="V255" s="21">
        <f t="array" ref="V255">IFERROR(
   IF(
      INDEX(Load_Booking_Report!AR:AR,
             MATCH(TRUE,
                     ISNUMBER(FIND(SUBSTITUTE(C255," ",""),
                                    Load_Booking_Report!AL:AL)),
                     0)
      )=0,
      "",
      INDEX(Load_Booking_Report!AR:AR,
             MATCH(TRUE,
                     ISNUMBER(FIND(SUBSTITUTE(C255," ",""),
                                    Load_Booking_Report!AL:AL)),
                     0)
      )
   ),
   ""
)</f>
        <v/>
      </c>
      <c r="W255" s="21">
        <f t="array" ref="W255">IFERROR(INDEX(Load_Booking_Report!F:F, MATCH(TRUE, ISNUMBER(FIND(SUBSTITUTE(C255," ",""), Load_Booking_Report!AL:AL)), 0)), "Not Found")</f>
        <v/>
      </c>
      <c r="X255" s="21">
        <f t="array" ref="X255">IFERROR(INDEX(Load_Booking_Report!N:N, MATCH(TRUE, ISNUMBER(FIND(SUBSTITUTE(C255," ",""), Load_Booking_Report!AL:AL)), 0)), "Not Found")</f>
        <v/>
      </c>
      <c r="Y255" s="21">
        <f t="array" ref="Y255">IFERROR(INDEX(Load_Booking_Report!V:V, MATCH(TRUE, ISNUMBER(FIND(SUBSTITUTE(C255," ",""), Load_Booking_Report!AL:AL)), 0)), "Not Found")</f>
        <v/>
      </c>
      <c r="Z255" s="41">
        <f t="array" ref="Z255">IFERROR(INDEX(Load_Booking_Report!BC:BC, MATCH(TRUE, ISNUMBER(FIND(SUBSTITUTE(C255," ",""), Load_Booking_Report!AL:AL)), 0)), "Not Found")</f>
        <v/>
      </c>
    </row>
    <row r="256">
      <c r="A256" t="n">
        <v>26</v>
      </c>
      <c r="B256" t="n">
        <v>260986</v>
      </c>
      <c r="C256" t="inlineStr">
        <is>
          <t>ANON0000000</t>
        </is>
      </c>
      <c r="D256" t="n">
        <v>40</v>
      </c>
      <c r="E256" t="inlineStr">
        <is>
          <t>USHOU</t>
        </is>
      </c>
      <c r="F256" t="inlineStr">
        <is>
          <t>RUBLT</t>
        </is>
      </c>
      <c r="G256" t="n">
        <v>32179</v>
      </c>
      <c r="H256" t="inlineStr">
        <is>
          <t>ART</t>
        </is>
      </c>
      <c r="I256" t="inlineStr">
        <is>
          <t>45R1</t>
        </is>
      </c>
      <c r="K256" t="inlineStr">
        <is>
          <t>-22.0:CEL</t>
        </is>
      </c>
      <c r="L256" t="inlineStr">
        <is>
          <t>9'6</t>
        </is>
      </c>
      <c r="M256" t="inlineStr">
        <is>
          <t>Full</t>
        </is>
      </c>
      <c r="N256" t="inlineStr">
        <is>
          <t>RULED</t>
        </is>
      </c>
      <c r="P256" s="21">
        <f>C256</f>
        <v/>
      </c>
      <c r="Q256" s="21">
        <f t="array" ref="Q256">IFERROR(INDEX(Load_Booking_Report!AC:AC, MATCH(TRUE, ISNUMBER(FIND(SUBSTITUTE(C256," ",""), Load_Booking_Report!AL:AL)), 0)), "Not Found")</f>
        <v/>
      </c>
      <c r="R256" s="21">
        <f t="array" ref="R256">IFERROR(INDEX(Load_Booking_Report!C:C, MATCH(TRUE, ISNUMBER(FIND(SUBSTITUTE(C256," ",""), Load_Booking_Report!AL:AL)), 0)), "Not Found")</f>
        <v/>
      </c>
      <c r="S256" s="21">
        <f t="array" ref="S256">IFERROR(INDEX(Load_Booking_Report!AG:AG, MATCH(TRUE, ISNUMBER(FIND(SUBSTITUTE(C256," ",""), Load_Booking_Report!AL:AL)), 0)), "Not Found")</f>
        <v/>
      </c>
      <c r="T256" s="21">
        <f>G256</f>
        <v/>
      </c>
      <c r="U256" s="33">
        <f t="array" ref="U256">IFERROR(
   IF(
      INDEX(Load_Booking_Report!AM:AM,
             MATCH(TRUE,
                     ISNUMBER(FIND(SUBSTITUTE(C256," ",""),
                                    Load_Booking_Report!AL:AL)),
                     0)
      )=0,
      "",
      INDEX(Load_Booking_Report!AM:AM,
             MATCH(TRUE,
                     ISNUMBER(FIND(SUBSTITUTE(C256," ",""),
                                    Load_Booking_Report!AL:AL)),
                     0)
      )
   ),
   ""
)</f>
        <v/>
      </c>
      <c r="V256" s="21">
        <f t="array" ref="V256">IFERROR(
   IF(
      INDEX(Load_Booking_Report!AR:AR,
             MATCH(TRUE,
                     ISNUMBER(FIND(SUBSTITUTE(C256," ",""),
                                    Load_Booking_Report!AL:AL)),
                     0)
      )=0,
      "",
      INDEX(Load_Booking_Report!AR:AR,
             MATCH(TRUE,
                     ISNUMBER(FIND(SUBSTITUTE(C256," ",""),
                                    Load_Booking_Report!AL:AL)),
                     0)
      )
   ),
   ""
)</f>
        <v/>
      </c>
      <c r="W256" s="21">
        <f t="array" ref="W256">IFERROR(INDEX(Load_Booking_Report!F:F, MATCH(TRUE, ISNUMBER(FIND(SUBSTITUTE(C256," ",""), Load_Booking_Report!AL:AL)), 0)), "Not Found")</f>
        <v/>
      </c>
      <c r="X256" s="21">
        <f t="array" ref="X256">IFERROR(INDEX(Load_Booking_Report!N:N, MATCH(TRUE, ISNUMBER(FIND(SUBSTITUTE(C256," ",""), Load_Booking_Report!AL:AL)), 0)), "Not Found")</f>
        <v/>
      </c>
      <c r="Y256" s="21">
        <f t="array" ref="Y256">IFERROR(INDEX(Load_Booking_Report!V:V, MATCH(TRUE, ISNUMBER(FIND(SUBSTITUTE(C256," ",""), Load_Booking_Report!AL:AL)), 0)), "Not Found")</f>
        <v/>
      </c>
      <c r="Z256" s="41">
        <f t="array" ref="Z256">IFERROR(INDEX(Load_Booking_Report!BC:BC, MATCH(TRUE, ISNUMBER(FIND(SUBSTITUTE(C256," ",""), Load_Booking_Report!AL:AL)), 0)), "Not Found")</f>
        <v/>
      </c>
    </row>
    <row r="257">
      <c r="A257" t="n">
        <v>34</v>
      </c>
      <c r="B257" t="n">
        <v>340084</v>
      </c>
      <c r="C257" t="inlineStr">
        <is>
          <t>ANON0000000</t>
        </is>
      </c>
      <c r="D257" t="n">
        <v>40</v>
      </c>
      <c r="E257" t="inlineStr">
        <is>
          <t>USHOU</t>
        </is>
      </c>
      <c r="F257" t="inlineStr">
        <is>
          <t>RULED</t>
        </is>
      </c>
      <c r="G257" t="n">
        <v>27679</v>
      </c>
      <c r="H257" t="inlineStr">
        <is>
          <t>ART</t>
        </is>
      </c>
      <c r="I257" t="inlineStr">
        <is>
          <t>45R1</t>
        </is>
      </c>
      <c r="K257" t="inlineStr">
        <is>
          <t>0.0:CEL</t>
        </is>
      </c>
      <c r="L257" t="inlineStr">
        <is>
          <t>9'6</t>
        </is>
      </c>
      <c r="M257" t="inlineStr">
        <is>
          <t>Full</t>
        </is>
      </c>
      <c r="N257" t="inlineStr">
        <is>
          <t>RULED</t>
        </is>
      </c>
      <c r="P257" s="21">
        <f>C257</f>
        <v/>
      </c>
      <c r="Q257" s="21">
        <f t="array" ref="Q257">IFERROR(INDEX(Load_Booking_Report!AC:AC, MATCH(TRUE, ISNUMBER(FIND(SUBSTITUTE(C257," ",""), Load_Booking_Report!AL:AL)), 0)), "Not Found")</f>
        <v/>
      </c>
      <c r="R257" s="21">
        <f t="array" ref="R257">IFERROR(INDEX(Load_Booking_Report!C:C, MATCH(TRUE, ISNUMBER(FIND(SUBSTITUTE(C257," ",""), Load_Booking_Report!AL:AL)), 0)), "Not Found")</f>
        <v/>
      </c>
      <c r="S257" s="21">
        <f t="array" ref="S257">IFERROR(INDEX(Load_Booking_Report!AG:AG, MATCH(TRUE, ISNUMBER(FIND(SUBSTITUTE(C257," ",""), Load_Booking_Report!AL:AL)), 0)), "Not Found")</f>
        <v/>
      </c>
      <c r="T257" s="21">
        <f>G257</f>
        <v/>
      </c>
      <c r="U257" s="33">
        <f t="array" ref="U257">IFERROR(
   IF(
      INDEX(Load_Booking_Report!AM:AM,
             MATCH(TRUE,
                     ISNUMBER(FIND(SUBSTITUTE(C257," ",""),
                                    Load_Booking_Report!AL:AL)),
                     0)
      )=0,
      "",
      INDEX(Load_Booking_Report!AM:AM,
             MATCH(TRUE,
                     ISNUMBER(FIND(SUBSTITUTE(C257," ",""),
                                    Load_Booking_Report!AL:AL)),
                     0)
      )
   ),
   ""
)</f>
        <v/>
      </c>
      <c r="V257" s="21">
        <f t="array" ref="V257">IFERROR(
   IF(
      INDEX(Load_Booking_Report!AR:AR,
             MATCH(TRUE,
                     ISNUMBER(FIND(SUBSTITUTE(C257," ",""),
                                    Load_Booking_Report!AL:AL)),
                     0)
      )=0,
      "",
      INDEX(Load_Booking_Report!AR:AR,
             MATCH(TRUE,
                     ISNUMBER(FIND(SUBSTITUTE(C257," ",""),
                                    Load_Booking_Report!AL:AL)),
                     0)
      )
   ),
   ""
)</f>
        <v/>
      </c>
      <c r="W257" s="21">
        <f t="array" ref="W257">IFERROR(INDEX(Load_Booking_Report!F:F, MATCH(TRUE, ISNUMBER(FIND(SUBSTITUTE(C257," ",""), Load_Booking_Report!AL:AL)), 0)), "Not Found")</f>
        <v/>
      </c>
      <c r="X257" s="21">
        <f t="array" ref="X257">IFERROR(INDEX(Load_Booking_Report!N:N, MATCH(TRUE, ISNUMBER(FIND(SUBSTITUTE(C257," ",""), Load_Booking_Report!AL:AL)), 0)), "Not Found")</f>
        <v/>
      </c>
      <c r="Y257" s="21">
        <f t="array" ref="Y257">IFERROR(INDEX(Load_Booking_Report!V:V, MATCH(TRUE, ISNUMBER(FIND(SUBSTITUTE(C257," ",""), Load_Booking_Report!AL:AL)), 0)), "Not Found")</f>
        <v/>
      </c>
      <c r="Z257" s="41">
        <f t="array" ref="Z257">IFERROR(INDEX(Load_Booking_Report!BC:BC, MATCH(TRUE, ISNUMBER(FIND(SUBSTITUTE(C257," ",""), Load_Booking_Report!AL:AL)), 0)), "Not Found")</f>
        <v/>
      </c>
    </row>
    <row r="258">
      <c r="A258" t="n">
        <v>26</v>
      </c>
      <c r="B258" t="n">
        <v>260582</v>
      </c>
      <c r="C258" t="inlineStr">
        <is>
          <t>ANON0000000</t>
        </is>
      </c>
      <c r="D258" t="n">
        <v>40</v>
      </c>
      <c r="E258" t="inlineStr">
        <is>
          <t>USNYC</t>
        </is>
      </c>
      <c r="F258" t="inlineStr">
        <is>
          <t>RUBLT</t>
        </is>
      </c>
      <c r="G258" t="n">
        <v>33511</v>
      </c>
      <c r="H258" t="inlineStr">
        <is>
          <t>ART</t>
        </is>
      </c>
      <c r="I258" t="inlineStr">
        <is>
          <t>45R1</t>
        </is>
      </c>
      <c r="K258" t="inlineStr">
        <is>
          <t>-22.0:CEL</t>
        </is>
      </c>
      <c r="L258" t="inlineStr">
        <is>
          <t>9'6</t>
        </is>
      </c>
      <c r="M258" t="inlineStr">
        <is>
          <t>Full</t>
        </is>
      </c>
      <c r="N258" t="inlineStr">
        <is>
          <t>RULED</t>
        </is>
      </c>
      <c r="P258" s="21">
        <f>C258</f>
        <v/>
      </c>
      <c r="Q258" s="21">
        <f t="array" ref="Q258">IFERROR(INDEX(Load_Booking_Report!AC:AC, MATCH(TRUE, ISNUMBER(FIND(SUBSTITUTE(C258," ",""), Load_Booking_Report!AL:AL)), 0)), "Not Found")</f>
        <v/>
      </c>
      <c r="R258" s="21">
        <f t="array" ref="R258">IFERROR(INDEX(Load_Booking_Report!C:C, MATCH(TRUE, ISNUMBER(FIND(SUBSTITUTE(C258," ",""), Load_Booking_Report!AL:AL)), 0)), "Not Found")</f>
        <v/>
      </c>
      <c r="S258" s="21">
        <f t="array" ref="S258">IFERROR(INDEX(Load_Booking_Report!AG:AG, MATCH(TRUE, ISNUMBER(FIND(SUBSTITUTE(C258," ",""), Load_Booking_Report!AL:AL)), 0)), "Not Found")</f>
        <v/>
      </c>
      <c r="T258" s="21">
        <f>G258</f>
        <v/>
      </c>
      <c r="U258" s="33">
        <f t="array" ref="U258">IFERROR(
   IF(
      INDEX(Load_Booking_Report!AM:AM,
             MATCH(TRUE,
                     ISNUMBER(FIND(SUBSTITUTE(C258," ",""),
                                    Load_Booking_Report!AL:AL)),
                     0)
      )=0,
      "",
      INDEX(Load_Booking_Report!AM:AM,
             MATCH(TRUE,
                     ISNUMBER(FIND(SUBSTITUTE(C258," ",""),
                                    Load_Booking_Report!AL:AL)),
                     0)
      )
   ),
   ""
)</f>
        <v/>
      </c>
      <c r="V258" s="21">
        <f t="array" ref="V258">IFERROR(
   IF(
      INDEX(Load_Booking_Report!AR:AR,
             MATCH(TRUE,
                     ISNUMBER(FIND(SUBSTITUTE(C258," ",""),
                                    Load_Booking_Report!AL:AL)),
                     0)
      )=0,
      "",
      INDEX(Load_Booking_Report!AR:AR,
             MATCH(TRUE,
                     ISNUMBER(FIND(SUBSTITUTE(C258," ",""),
                                    Load_Booking_Report!AL:AL)),
                     0)
      )
   ),
   ""
)</f>
        <v/>
      </c>
      <c r="W258" s="21">
        <f t="array" ref="W258">IFERROR(INDEX(Load_Booking_Report!F:F, MATCH(TRUE, ISNUMBER(FIND(SUBSTITUTE(C258," ",""), Load_Booking_Report!AL:AL)), 0)), "Not Found")</f>
        <v/>
      </c>
      <c r="X258" s="21">
        <f t="array" ref="X258">IFERROR(INDEX(Load_Booking_Report!N:N, MATCH(TRUE, ISNUMBER(FIND(SUBSTITUTE(C258," ",""), Load_Booking_Report!AL:AL)), 0)), "Not Found")</f>
        <v/>
      </c>
      <c r="Y258" s="21">
        <f t="array" ref="Y258">IFERROR(INDEX(Load_Booking_Report!V:V, MATCH(TRUE, ISNUMBER(FIND(SUBSTITUTE(C258," ",""), Load_Booking_Report!AL:AL)), 0)), "Not Found")</f>
        <v/>
      </c>
      <c r="Z258" s="41">
        <f t="array" ref="Z258">IFERROR(INDEX(Load_Booking_Report!BC:BC, MATCH(TRUE, ISNUMBER(FIND(SUBSTITUTE(C258," ",""), Load_Booking_Report!AL:AL)), 0)), "Not Found")</f>
        <v/>
      </c>
    </row>
    <row r="259">
      <c r="A259" t="n">
        <v>26</v>
      </c>
      <c r="B259" t="n">
        <v>260084</v>
      </c>
      <c r="C259" t="inlineStr">
        <is>
          <t>ANON0000000</t>
        </is>
      </c>
      <c r="D259" t="n">
        <v>40</v>
      </c>
      <c r="E259" t="inlineStr">
        <is>
          <t>USNYC</t>
        </is>
      </c>
      <c r="F259" t="inlineStr">
        <is>
          <t>RULED</t>
        </is>
      </c>
      <c r="G259" t="n">
        <v>33608</v>
      </c>
      <c r="H259" t="inlineStr">
        <is>
          <t>ART</t>
        </is>
      </c>
      <c r="I259" t="inlineStr">
        <is>
          <t>45R1</t>
        </is>
      </c>
      <c r="K259" t="inlineStr">
        <is>
          <t>-18.0:CEL</t>
        </is>
      </c>
      <c r="L259" t="inlineStr">
        <is>
          <t>9'6</t>
        </is>
      </c>
      <c r="M259" t="inlineStr">
        <is>
          <t>Full</t>
        </is>
      </c>
      <c r="N259" t="inlineStr">
        <is>
          <t>RULED</t>
        </is>
      </c>
      <c r="P259" s="21">
        <f>C259</f>
        <v/>
      </c>
      <c r="Q259" s="21">
        <f t="array" ref="Q259">IFERROR(INDEX(Load_Booking_Report!AC:AC, MATCH(TRUE, ISNUMBER(FIND(SUBSTITUTE(C259," ",""), Load_Booking_Report!AL:AL)), 0)), "Not Found")</f>
        <v/>
      </c>
      <c r="R259" s="21">
        <f t="array" ref="R259">IFERROR(INDEX(Load_Booking_Report!C:C, MATCH(TRUE, ISNUMBER(FIND(SUBSTITUTE(C259," ",""), Load_Booking_Report!AL:AL)), 0)), "Not Found")</f>
        <v/>
      </c>
      <c r="S259" s="21">
        <f t="array" ref="S259">IFERROR(INDEX(Load_Booking_Report!AG:AG, MATCH(TRUE, ISNUMBER(FIND(SUBSTITUTE(C259," ",""), Load_Booking_Report!AL:AL)), 0)), "Not Found")</f>
        <v/>
      </c>
      <c r="T259" s="21">
        <f>G259</f>
        <v/>
      </c>
      <c r="U259" s="33">
        <f t="array" ref="U259">IFERROR(
   IF(
      INDEX(Load_Booking_Report!AM:AM,
             MATCH(TRUE,
                     ISNUMBER(FIND(SUBSTITUTE(C259," ",""),
                                    Load_Booking_Report!AL:AL)),
                     0)
      )=0,
      "",
      INDEX(Load_Booking_Report!AM:AM,
             MATCH(TRUE,
                     ISNUMBER(FIND(SUBSTITUTE(C259," ",""),
                                    Load_Booking_Report!AL:AL)),
                     0)
      )
   ),
   ""
)</f>
        <v/>
      </c>
      <c r="V259" s="21">
        <f t="array" ref="V259">IFERROR(
   IF(
      INDEX(Load_Booking_Report!AR:AR,
             MATCH(TRUE,
                     ISNUMBER(FIND(SUBSTITUTE(C259," ",""),
                                    Load_Booking_Report!AL:AL)),
                     0)
      )=0,
      "",
      INDEX(Load_Booking_Report!AR:AR,
             MATCH(TRUE,
                     ISNUMBER(FIND(SUBSTITUTE(C259," ",""),
                                    Load_Booking_Report!AL:AL)),
                     0)
      )
   ),
   ""
)</f>
        <v/>
      </c>
      <c r="W259" s="21">
        <f t="array" ref="W259">IFERROR(INDEX(Load_Booking_Report!F:F, MATCH(TRUE, ISNUMBER(FIND(SUBSTITUTE(C259," ",""), Load_Booking_Report!AL:AL)), 0)), "Not Found")</f>
        <v/>
      </c>
      <c r="X259" s="21">
        <f t="array" ref="X259">IFERROR(INDEX(Load_Booking_Report!N:N, MATCH(TRUE, ISNUMBER(FIND(SUBSTITUTE(C259," ",""), Load_Booking_Report!AL:AL)), 0)), "Not Found")</f>
        <v/>
      </c>
      <c r="Y259" s="21">
        <f t="array" ref="Y259">IFERROR(INDEX(Load_Booking_Report!V:V, MATCH(TRUE, ISNUMBER(FIND(SUBSTITUTE(C259," ",""), Load_Booking_Report!AL:AL)), 0)), "Not Found")</f>
        <v/>
      </c>
      <c r="Z259" s="41">
        <f t="array" ref="Z259">IFERROR(INDEX(Load_Booking_Report!BC:BC, MATCH(TRUE, ISNUMBER(FIND(SUBSTITUTE(C259," ",""), Load_Booking_Report!AL:AL)), 0)), "Not Found")</f>
        <v/>
      </c>
    </row>
    <row r="260">
      <c r="A260" t="n">
        <v>26</v>
      </c>
      <c r="B260" t="n">
        <v>261084</v>
      </c>
      <c r="C260" t="inlineStr">
        <is>
          <t>ANON0000000</t>
        </is>
      </c>
      <c r="D260" t="n">
        <v>40</v>
      </c>
      <c r="E260" t="inlineStr">
        <is>
          <t>USHOU</t>
        </is>
      </c>
      <c r="F260" t="inlineStr">
        <is>
          <t>RUBLT</t>
        </is>
      </c>
      <c r="G260" t="n">
        <v>33180</v>
      </c>
      <c r="H260" t="inlineStr">
        <is>
          <t>ART</t>
        </is>
      </c>
      <c r="I260" t="inlineStr">
        <is>
          <t>45R1</t>
        </is>
      </c>
      <c r="K260" t="inlineStr">
        <is>
          <t>-22.0:CEL</t>
        </is>
      </c>
      <c r="L260" t="inlineStr">
        <is>
          <t>9'6</t>
        </is>
      </c>
      <c r="M260" t="inlineStr">
        <is>
          <t>Full</t>
        </is>
      </c>
      <c r="N260" t="inlineStr">
        <is>
          <t>RULED</t>
        </is>
      </c>
      <c r="P260" s="21">
        <f>C260</f>
        <v/>
      </c>
      <c r="Q260" s="21">
        <f t="array" ref="Q260">IFERROR(INDEX(Load_Booking_Report!AC:AC, MATCH(TRUE, ISNUMBER(FIND(SUBSTITUTE(C260," ",""), Load_Booking_Report!AL:AL)), 0)), "Not Found")</f>
        <v/>
      </c>
      <c r="R260" s="21">
        <f t="array" ref="R260">IFERROR(INDEX(Load_Booking_Report!C:C, MATCH(TRUE, ISNUMBER(FIND(SUBSTITUTE(C260," ",""), Load_Booking_Report!AL:AL)), 0)), "Not Found")</f>
        <v/>
      </c>
      <c r="S260" s="21">
        <f t="array" ref="S260">IFERROR(INDEX(Load_Booking_Report!AG:AG, MATCH(TRUE, ISNUMBER(FIND(SUBSTITUTE(C260," ",""), Load_Booking_Report!AL:AL)), 0)), "Not Found")</f>
        <v/>
      </c>
      <c r="T260" s="21">
        <f>G260</f>
        <v/>
      </c>
      <c r="U260" s="33">
        <f t="array" ref="U260">IFERROR(
   IF(
      INDEX(Load_Booking_Report!AM:AM,
             MATCH(TRUE,
                     ISNUMBER(FIND(SUBSTITUTE(C260," ",""),
                                    Load_Booking_Report!AL:AL)),
                     0)
      )=0,
      "",
      INDEX(Load_Booking_Report!AM:AM,
             MATCH(TRUE,
                     ISNUMBER(FIND(SUBSTITUTE(C260," ",""),
                                    Load_Booking_Report!AL:AL)),
                     0)
      )
   ),
   ""
)</f>
        <v/>
      </c>
      <c r="V260" s="21">
        <f t="array" ref="V260">IFERROR(
   IF(
      INDEX(Load_Booking_Report!AR:AR,
             MATCH(TRUE,
                     ISNUMBER(FIND(SUBSTITUTE(C260," ",""),
                                    Load_Booking_Report!AL:AL)),
                     0)
      )=0,
      "",
      INDEX(Load_Booking_Report!AR:AR,
             MATCH(TRUE,
                     ISNUMBER(FIND(SUBSTITUTE(C260," ",""),
                                    Load_Booking_Report!AL:AL)),
                     0)
      )
   ),
   ""
)</f>
        <v/>
      </c>
      <c r="W260" s="21">
        <f t="array" ref="W260">IFERROR(INDEX(Load_Booking_Report!F:F, MATCH(TRUE, ISNUMBER(FIND(SUBSTITUTE(C260," ",""), Load_Booking_Report!AL:AL)), 0)), "Not Found")</f>
        <v/>
      </c>
      <c r="X260" s="21">
        <f t="array" ref="X260">IFERROR(INDEX(Load_Booking_Report!N:N, MATCH(TRUE, ISNUMBER(FIND(SUBSTITUTE(C260," ",""), Load_Booking_Report!AL:AL)), 0)), "Not Found")</f>
        <v/>
      </c>
      <c r="Y260" s="21">
        <f t="array" ref="Y260">IFERROR(INDEX(Load_Booking_Report!V:V, MATCH(TRUE, ISNUMBER(FIND(SUBSTITUTE(C260," ",""), Load_Booking_Report!AL:AL)), 0)), "Not Found")</f>
        <v/>
      </c>
      <c r="Z260" s="41">
        <f t="array" ref="Z260">IFERROR(INDEX(Load_Booking_Report!BC:BC, MATCH(TRUE, ISNUMBER(FIND(SUBSTITUTE(C260," ",""), Load_Booking_Report!AL:AL)), 0)), "Not Found")</f>
        <v/>
      </c>
    </row>
    <row r="261">
      <c r="A261" t="n">
        <v>34</v>
      </c>
      <c r="B261" t="n">
        <v>340282</v>
      </c>
      <c r="C261" t="inlineStr">
        <is>
          <t>ANON0000000</t>
        </is>
      </c>
      <c r="D261" t="n">
        <v>40</v>
      </c>
      <c r="E261" t="inlineStr">
        <is>
          <t>USHOU</t>
        </is>
      </c>
      <c r="F261" t="inlineStr">
        <is>
          <t>RULED</t>
        </is>
      </c>
      <c r="G261" t="n">
        <v>32242</v>
      </c>
      <c r="H261" t="inlineStr">
        <is>
          <t>ART</t>
        </is>
      </c>
      <c r="I261" t="inlineStr">
        <is>
          <t>45R1</t>
        </is>
      </c>
      <c r="K261" t="inlineStr">
        <is>
          <t>-18.0:CEL</t>
        </is>
      </c>
      <c r="L261" t="inlineStr">
        <is>
          <t>9'6</t>
        </is>
      </c>
      <c r="M261" t="inlineStr">
        <is>
          <t>Full</t>
        </is>
      </c>
      <c r="N261" t="inlineStr">
        <is>
          <t>RULED</t>
        </is>
      </c>
      <c r="P261" s="21">
        <f>C261</f>
        <v/>
      </c>
      <c r="Q261" s="21">
        <f t="array" ref="Q261">IFERROR(INDEX(Load_Booking_Report!AC:AC, MATCH(TRUE, ISNUMBER(FIND(SUBSTITUTE(C261," ",""), Load_Booking_Report!AL:AL)), 0)), "Not Found")</f>
        <v/>
      </c>
      <c r="R261" s="21">
        <f t="array" ref="R261">IFERROR(INDEX(Load_Booking_Report!C:C, MATCH(TRUE, ISNUMBER(FIND(SUBSTITUTE(C261," ",""), Load_Booking_Report!AL:AL)), 0)), "Not Found")</f>
        <v/>
      </c>
      <c r="S261" s="21">
        <f t="array" ref="S261">IFERROR(INDEX(Load_Booking_Report!AG:AG, MATCH(TRUE, ISNUMBER(FIND(SUBSTITUTE(C261," ",""), Load_Booking_Report!AL:AL)), 0)), "Not Found")</f>
        <v/>
      </c>
      <c r="T261" s="21">
        <f>G261</f>
        <v/>
      </c>
      <c r="U261" s="33">
        <f t="array" ref="U261">IFERROR(
   IF(
      INDEX(Load_Booking_Report!AM:AM,
             MATCH(TRUE,
                     ISNUMBER(FIND(SUBSTITUTE(C261," ",""),
                                    Load_Booking_Report!AL:AL)),
                     0)
      )=0,
      "",
      INDEX(Load_Booking_Report!AM:AM,
             MATCH(TRUE,
                     ISNUMBER(FIND(SUBSTITUTE(C261," ",""),
                                    Load_Booking_Report!AL:AL)),
                     0)
      )
   ),
   ""
)</f>
        <v/>
      </c>
      <c r="V261" s="21">
        <f t="array" ref="V261">IFERROR(
   IF(
      INDEX(Load_Booking_Report!AR:AR,
             MATCH(TRUE,
                     ISNUMBER(FIND(SUBSTITUTE(C261," ",""),
                                    Load_Booking_Report!AL:AL)),
                     0)
      )=0,
      "",
      INDEX(Load_Booking_Report!AR:AR,
             MATCH(TRUE,
                     ISNUMBER(FIND(SUBSTITUTE(C261," ",""),
                                    Load_Booking_Report!AL:AL)),
                     0)
      )
   ),
   ""
)</f>
        <v/>
      </c>
      <c r="W261" s="21">
        <f t="array" ref="W261">IFERROR(INDEX(Load_Booking_Report!F:F, MATCH(TRUE, ISNUMBER(FIND(SUBSTITUTE(C261," ",""), Load_Booking_Report!AL:AL)), 0)), "Not Found")</f>
        <v/>
      </c>
      <c r="X261" s="21">
        <f t="array" ref="X261">IFERROR(INDEX(Load_Booking_Report!N:N, MATCH(TRUE, ISNUMBER(FIND(SUBSTITUTE(C261," ",""), Load_Booking_Report!AL:AL)), 0)), "Not Found")</f>
        <v/>
      </c>
      <c r="Y261" s="21">
        <f t="array" ref="Y261">IFERROR(INDEX(Load_Booking_Report!V:V, MATCH(TRUE, ISNUMBER(FIND(SUBSTITUTE(C261," ",""), Load_Booking_Report!AL:AL)), 0)), "Not Found")</f>
        <v/>
      </c>
      <c r="Z261" s="41">
        <f t="array" ref="Z261">IFERROR(INDEX(Load_Booking_Report!BC:BC, MATCH(TRUE, ISNUMBER(FIND(SUBSTITUTE(C261," ",""), Load_Booking_Report!AL:AL)), 0)), "Not Found")</f>
        <v/>
      </c>
    </row>
    <row r="262">
      <c r="A262" t="n">
        <v>26</v>
      </c>
      <c r="B262" t="n">
        <v>261086</v>
      </c>
      <c r="C262" t="inlineStr">
        <is>
          <t>ANON0000000</t>
        </is>
      </c>
      <c r="D262" t="n">
        <v>40</v>
      </c>
      <c r="E262" t="inlineStr">
        <is>
          <t>USNFK</t>
        </is>
      </c>
      <c r="F262" t="inlineStr">
        <is>
          <t>RUBLT</t>
        </is>
      </c>
      <c r="G262" t="n">
        <v>31827</v>
      </c>
      <c r="H262" t="inlineStr">
        <is>
          <t>ART</t>
        </is>
      </c>
      <c r="I262" t="inlineStr">
        <is>
          <t>45R1</t>
        </is>
      </c>
      <c r="K262" t="inlineStr">
        <is>
          <t>-18.0:CEL</t>
        </is>
      </c>
      <c r="L262" t="inlineStr">
        <is>
          <t>OOG</t>
        </is>
      </c>
      <c r="M262" t="inlineStr">
        <is>
          <t>Full</t>
        </is>
      </c>
      <c r="N262" t="inlineStr">
        <is>
          <t>RUBLT</t>
        </is>
      </c>
      <c r="P262" s="21">
        <f>C262</f>
        <v/>
      </c>
      <c r="Q262" s="21">
        <f t="array" ref="Q262">IFERROR(INDEX(Load_Booking_Report!AC:AC, MATCH(TRUE, ISNUMBER(FIND(SUBSTITUTE(C262," ",""), Load_Booking_Report!AL:AL)), 0)), "Not Found")</f>
        <v/>
      </c>
      <c r="R262" s="21">
        <f t="array" ref="R262">IFERROR(INDEX(Load_Booking_Report!C:C, MATCH(TRUE, ISNUMBER(FIND(SUBSTITUTE(C262," ",""), Load_Booking_Report!AL:AL)), 0)), "Not Found")</f>
        <v/>
      </c>
      <c r="S262" s="21">
        <f t="array" ref="S262">IFERROR(INDEX(Load_Booking_Report!AG:AG, MATCH(TRUE, ISNUMBER(FIND(SUBSTITUTE(C262," ",""), Load_Booking_Report!AL:AL)), 0)), "Not Found")</f>
        <v/>
      </c>
      <c r="T262" s="21">
        <f>G262</f>
        <v/>
      </c>
      <c r="U262" s="33">
        <f t="array" ref="U262">IFERROR(
   IF(
      INDEX(Load_Booking_Report!AM:AM,
             MATCH(TRUE,
                     ISNUMBER(FIND(SUBSTITUTE(C262," ",""),
                                    Load_Booking_Report!AL:AL)),
                     0)
      )=0,
      "",
      INDEX(Load_Booking_Report!AM:AM,
             MATCH(TRUE,
                     ISNUMBER(FIND(SUBSTITUTE(C262," ",""),
                                    Load_Booking_Report!AL:AL)),
                     0)
      )
   ),
   ""
)</f>
        <v/>
      </c>
      <c r="V262" s="21">
        <f t="array" ref="V262">IFERROR(
   IF(
      INDEX(Load_Booking_Report!AR:AR,
             MATCH(TRUE,
                     ISNUMBER(FIND(SUBSTITUTE(C262," ",""),
                                    Load_Booking_Report!AL:AL)),
                     0)
      )=0,
      "",
      INDEX(Load_Booking_Report!AR:AR,
             MATCH(TRUE,
                     ISNUMBER(FIND(SUBSTITUTE(C262," ",""),
                                    Load_Booking_Report!AL:AL)),
                     0)
      )
   ),
   ""
)</f>
        <v/>
      </c>
      <c r="W262" s="21">
        <f t="array" ref="W262">IFERROR(INDEX(Load_Booking_Report!F:F, MATCH(TRUE, ISNUMBER(FIND(SUBSTITUTE(C262," ",""), Load_Booking_Report!AL:AL)), 0)), "Not Found")</f>
        <v/>
      </c>
      <c r="X262" s="21">
        <f t="array" ref="X262">IFERROR(INDEX(Load_Booking_Report!N:N, MATCH(TRUE, ISNUMBER(FIND(SUBSTITUTE(C262," ",""), Load_Booking_Report!AL:AL)), 0)), "Not Found")</f>
        <v/>
      </c>
      <c r="Y262" s="21">
        <f t="array" ref="Y262">IFERROR(INDEX(Load_Booking_Report!V:V, MATCH(TRUE, ISNUMBER(FIND(SUBSTITUTE(C262," ",""), Load_Booking_Report!AL:AL)), 0)), "Not Found")</f>
        <v/>
      </c>
      <c r="Z262" s="41">
        <f t="array" ref="Z262">IFERROR(INDEX(Load_Booking_Report!BC:BC, MATCH(TRUE, ISNUMBER(FIND(SUBSTITUTE(C262," ",""), Load_Booking_Report!AL:AL)), 0)), "Not Found")</f>
        <v/>
      </c>
    </row>
    <row r="263">
      <c r="A263" t="n">
        <v>26</v>
      </c>
      <c r="B263" t="n">
        <v>260486</v>
      </c>
      <c r="C263" t="inlineStr">
        <is>
          <t>ANON0000000</t>
        </is>
      </c>
      <c r="D263" t="n">
        <v>40</v>
      </c>
      <c r="E263" t="inlineStr">
        <is>
          <t>USNYC</t>
        </is>
      </c>
      <c r="F263" t="inlineStr">
        <is>
          <t>RUBLT</t>
        </is>
      </c>
      <c r="G263" t="n">
        <v>33509</v>
      </c>
      <c r="H263" t="inlineStr">
        <is>
          <t>ART</t>
        </is>
      </c>
      <c r="I263" t="inlineStr">
        <is>
          <t>45R1</t>
        </is>
      </c>
      <c r="K263" t="inlineStr">
        <is>
          <t>-18.0:CEL</t>
        </is>
      </c>
      <c r="L263" t="inlineStr">
        <is>
          <t>9'6</t>
        </is>
      </c>
      <c r="M263" t="inlineStr">
        <is>
          <t>Full</t>
        </is>
      </c>
      <c r="N263" t="inlineStr">
        <is>
          <t>RULED</t>
        </is>
      </c>
      <c r="P263" s="21">
        <f>C263</f>
        <v/>
      </c>
      <c r="Q263" s="21">
        <f t="array" ref="Q263">IFERROR(INDEX(Load_Booking_Report!AC:AC, MATCH(TRUE, ISNUMBER(FIND(SUBSTITUTE(C263," ",""), Load_Booking_Report!AL:AL)), 0)), "Not Found")</f>
        <v/>
      </c>
      <c r="R263" s="21">
        <f t="array" ref="R263">IFERROR(INDEX(Load_Booking_Report!C:C, MATCH(TRUE, ISNUMBER(FIND(SUBSTITUTE(C263," ",""), Load_Booking_Report!AL:AL)), 0)), "Not Found")</f>
        <v/>
      </c>
      <c r="S263" s="21">
        <f t="array" ref="S263">IFERROR(INDEX(Load_Booking_Report!AG:AG, MATCH(TRUE, ISNUMBER(FIND(SUBSTITUTE(C263," ",""), Load_Booking_Report!AL:AL)), 0)), "Not Found")</f>
        <v/>
      </c>
      <c r="T263" s="21">
        <f>G263</f>
        <v/>
      </c>
      <c r="U263" s="33">
        <f t="array" ref="U263">IFERROR(
   IF(
      INDEX(Load_Booking_Report!AM:AM,
             MATCH(TRUE,
                     ISNUMBER(FIND(SUBSTITUTE(C263," ",""),
                                    Load_Booking_Report!AL:AL)),
                     0)
      )=0,
      "",
      INDEX(Load_Booking_Report!AM:AM,
             MATCH(TRUE,
                     ISNUMBER(FIND(SUBSTITUTE(C263," ",""),
                                    Load_Booking_Report!AL:AL)),
                     0)
      )
   ),
   ""
)</f>
        <v/>
      </c>
      <c r="V263" s="21">
        <f t="array" ref="V263">IFERROR(
   IF(
      INDEX(Load_Booking_Report!AR:AR,
             MATCH(TRUE,
                     ISNUMBER(FIND(SUBSTITUTE(C263," ",""),
                                    Load_Booking_Report!AL:AL)),
                     0)
      )=0,
      "",
      INDEX(Load_Booking_Report!AR:AR,
             MATCH(TRUE,
                     ISNUMBER(FIND(SUBSTITUTE(C263," ",""),
                                    Load_Booking_Report!AL:AL)),
                     0)
      )
   ),
   ""
)</f>
        <v/>
      </c>
      <c r="W263" s="21">
        <f t="array" ref="W263">IFERROR(INDEX(Load_Booking_Report!F:F, MATCH(TRUE, ISNUMBER(FIND(SUBSTITUTE(C263," ",""), Load_Booking_Report!AL:AL)), 0)), "Not Found")</f>
        <v/>
      </c>
      <c r="X263" s="21">
        <f t="array" ref="X263">IFERROR(INDEX(Load_Booking_Report!N:N, MATCH(TRUE, ISNUMBER(FIND(SUBSTITUTE(C263," ",""), Load_Booking_Report!AL:AL)), 0)), "Not Found")</f>
        <v/>
      </c>
      <c r="Y263" s="21">
        <f t="array" ref="Y263">IFERROR(INDEX(Load_Booking_Report!V:V, MATCH(TRUE, ISNUMBER(FIND(SUBSTITUTE(C263," ",""), Load_Booking_Report!AL:AL)), 0)), "Not Found")</f>
        <v/>
      </c>
      <c r="Z263" s="41">
        <f t="array" ref="Z263">IFERROR(INDEX(Load_Booking_Report!BC:BC, MATCH(TRUE, ISNUMBER(FIND(SUBSTITUTE(C263," ",""), Load_Booking_Report!AL:AL)), 0)), "Not Found")</f>
        <v/>
      </c>
    </row>
    <row r="264">
      <c r="A264" t="n">
        <v>26</v>
      </c>
      <c r="B264" t="n">
        <v>260286</v>
      </c>
      <c r="C264" t="inlineStr">
        <is>
          <t>ANON0000000</t>
        </is>
      </c>
      <c r="D264" t="n">
        <v>40</v>
      </c>
      <c r="E264" t="inlineStr">
        <is>
          <t>USNYC</t>
        </is>
      </c>
      <c r="F264" t="inlineStr">
        <is>
          <t>RUBLT</t>
        </is>
      </c>
      <c r="G264" t="n">
        <v>32687</v>
      </c>
      <c r="H264" t="inlineStr">
        <is>
          <t>ART</t>
        </is>
      </c>
      <c r="I264" t="inlineStr">
        <is>
          <t>45R1</t>
        </is>
      </c>
      <c r="K264" t="inlineStr">
        <is>
          <t>-18.0:CEL</t>
        </is>
      </c>
      <c r="L264" t="inlineStr">
        <is>
          <t>9'6</t>
        </is>
      </c>
      <c r="M264" t="inlineStr">
        <is>
          <t>Full</t>
        </is>
      </c>
      <c r="N264" t="inlineStr">
        <is>
          <t>RULED</t>
        </is>
      </c>
      <c r="P264" s="21">
        <f>C264</f>
        <v/>
      </c>
      <c r="Q264" s="21">
        <f t="array" ref="Q264">IFERROR(INDEX(Load_Booking_Report!AC:AC, MATCH(TRUE, ISNUMBER(FIND(SUBSTITUTE(C264," ",""), Load_Booking_Report!AL:AL)), 0)), "Not Found")</f>
        <v/>
      </c>
      <c r="R264" s="21">
        <f t="array" ref="R264">IFERROR(INDEX(Load_Booking_Report!C:C, MATCH(TRUE, ISNUMBER(FIND(SUBSTITUTE(C264," ",""), Load_Booking_Report!AL:AL)), 0)), "Not Found")</f>
        <v/>
      </c>
      <c r="S264" s="21">
        <f t="array" ref="S264">IFERROR(INDEX(Load_Booking_Report!AG:AG, MATCH(TRUE, ISNUMBER(FIND(SUBSTITUTE(C264," ",""), Load_Booking_Report!AL:AL)), 0)), "Not Found")</f>
        <v/>
      </c>
      <c r="T264" s="21">
        <f>G264</f>
        <v/>
      </c>
      <c r="U264" s="33">
        <f t="array" ref="U264">IFERROR(
   IF(
      INDEX(Load_Booking_Report!AM:AM,
             MATCH(TRUE,
                     ISNUMBER(FIND(SUBSTITUTE(C264," ",""),
                                    Load_Booking_Report!AL:AL)),
                     0)
      )=0,
      "",
      INDEX(Load_Booking_Report!AM:AM,
             MATCH(TRUE,
                     ISNUMBER(FIND(SUBSTITUTE(C264," ",""),
                                    Load_Booking_Report!AL:AL)),
                     0)
      )
   ),
   ""
)</f>
        <v/>
      </c>
      <c r="V264" s="21">
        <f t="array" ref="V264">IFERROR(
   IF(
      INDEX(Load_Booking_Report!AR:AR,
             MATCH(TRUE,
                     ISNUMBER(FIND(SUBSTITUTE(C264," ",""),
                                    Load_Booking_Report!AL:AL)),
                     0)
      )=0,
      "",
      INDEX(Load_Booking_Report!AR:AR,
             MATCH(TRUE,
                     ISNUMBER(FIND(SUBSTITUTE(C264," ",""),
                                    Load_Booking_Report!AL:AL)),
                     0)
      )
   ),
   ""
)</f>
        <v/>
      </c>
      <c r="W264" s="21">
        <f t="array" ref="W264">IFERROR(INDEX(Load_Booking_Report!F:F, MATCH(TRUE, ISNUMBER(FIND(SUBSTITUTE(C264," ",""), Load_Booking_Report!AL:AL)), 0)), "Not Found")</f>
        <v/>
      </c>
      <c r="X264" s="21">
        <f t="array" ref="X264">IFERROR(INDEX(Load_Booking_Report!N:N, MATCH(TRUE, ISNUMBER(FIND(SUBSTITUTE(C264," ",""), Load_Booking_Report!AL:AL)), 0)), "Not Found")</f>
        <v/>
      </c>
      <c r="Y264" s="21">
        <f t="array" ref="Y264">IFERROR(INDEX(Load_Booking_Report!V:V, MATCH(TRUE, ISNUMBER(FIND(SUBSTITUTE(C264," ",""), Load_Booking_Report!AL:AL)), 0)), "Not Found")</f>
        <v/>
      </c>
      <c r="Z264" s="41">
        <f t="array" ref="Z264">IFERROR(INDEX(Load_Booking_Report!BC:BC, MATCH(TRUE, ISNUMBER(FIND(SUBSTITUTE(C264," ",""), Load_Booking_Report!AL:AL)), 0)), "Not Found")</f>
        <v/>
      </c>
    </row>
    <row r="265">
      <c r="A265" t="n">
        <v>34</v>
      </c>
      <c r="B265" t="n">
        <v>340184</v>
      </c>
      <c r="C265" t="inlineStr">
        <is>
          <t>ANON0000000</t>
        </is>
      </c>
      <c r="D265" t="n">
        <v>40</v>
      </c>
      <c r="E265" t="inlineStr">
        <is>
          <t>USHOU</t>
        </is>
      </c>
      <c r="F265" t="inlineStr">
        <is>
          <t>RULED</t>
        </is>
      </c>
      <c r="G265" t="n">
        <v>27749</v>
      </c>
      <c r="H265" t="inlineStr">
        <is>
          <t>ART</t>
        </is>
      </c>
      <c r="I265" t="inlineStr">
        <is>
          <t>45R1</t>
        </is>
      </c>
      <c r="K265" t="inlineStr">
        <is>
          <t>0.0:CEL</t>
        </is>
      </c>
      <c r="L265" t="inlineStr">
        <is>
          <t>9'6</t>
        </is>
      </c>
      <c r="M265" t="inlineStr">
        <is>
          <t>Full</t>
        </is>
      </c>
      <c r="N265" t="inlineStr">
        <is>
          <t>RULED</t>
        </is>
      </c>
      <c r="P265" s="21">
        <f>C265</f>
        <v/>
      </c>
      <c r="Q265" s="21">
        <f t="array" ref="Q265">IFERROR(INDEX(Load_Booking_Report!AC:AC, MATCH(TRUE, ISNUMBER(FIND(SUBSTITUTE(C265," ",""), Load_Booking_Report!AL:AL)), 0)), "Not Found")</f>
        <v/>
      </c>
      <c r="R265" s="21">
        <f t="array" ref="R265">IFERROR(INDEX(Load_Booking_Report!C:C, MATCH(TRUE, ISNUMBER(FIND(SUBSTITUTE(C265," ",""), Load_Booking_Report!AL:AL)), 0)), "Not Found")</f>
        <v/>
      </c>
      <c r="S265" s="21">
        <f t="array" ref="S265">IFERROR(INDEX(Load_Booking_Report!AG:AG, MATCH(TRUE, ISNUMBER(FIND(SUBSTITUTE(C265," ",""), Load_Booking_Report!AL:AL)), 0)), "Not Found")</f>
        <v/>
      </c>
      <c r="T265" s="21">
        <f>G265</f>
        <v/>
      </c>
      <c r="U265" s="33">
        <f t="array" ref="U265">IFERROR(
   IF(
      INDEX(Load_Booking_Report!AM:AM,
             MATCH(TRUE,
                     ISNUMBER(FIND(SUBSTITUTE(C265," ",""),
                                    Load_Booking_Report!AL:AL)),
                     0)
      )=0,
      "",
      INDEX(Load_Booking_Report!AM:AM,
             MATCH(TRUE,
                     ISNUMBER(FIND(SUBSTITUTE(C265," ",""),
                                    Load_Booking_Report!AL:AL)),
                     0)
      )
   ),
   ""
)</f>
        <v/>
      </c>
      <c r="V265" s="21">
        <f t="array" ref="V265">IFERROR(
   IF(
      INDEX(Load_Booking_Report!AR:AR,
             MATCH(TRUE,
                     ISNUMBER(FIND(SUBSTITUTE(C265," ",""),
                                    Load_Booking_Report!AL:AL)),
                     0)
      )=0,
      "",
      INDEX(Load_Booking_Report!AR:AR,
             MATCH(TRUE,
                     ISNUMBER(FIND(SUBSTITUTE(C265," ",""),
                                    Load_Booking_Report!AL:AL)),
                     0)
      )
   ),
   ""
)</f>
        <v/>
      </c>
      <c r="W265" s="21">
        <f t="array" ref="W265">IFERROR(INDEX(Load_Booking_Report!F:F, MATCH(TRUE, ISNUMBER(FIND(SUBSTITUTE(C265," ",""), Load_Booking_Report!AL:AL)), 0)), "Not Found")</f>
        <v/>
      </c>
      <c r="X265" s="21">
        <f t="array" ref="X265">IFERROR(INDEX(Load_Booking_Report!N:N, MATCH(TRUE, ISNUMBER(FIND(SUBSTITUTE(C265," ",""), Load_Booking_Report!AL:AL)), 0)), "Not Found")</f>
        <v/>
      </c>
      <c r="Y265" s="21">
        <f t="array" ref="Y265">IFERROR(INDEX(Load_Booking_Report!V:V, MATCH(TRUE, ISNUMBER(FIND(SUBSTITUTE(C265," ",""), Load_Booking_Report!AL:AL)), 0)), "Not Found")</f>
        <v/>
      </c>
      <c r="Z265" s="41">
        <f t="array" ref="Z265">IFERROR(INDEX(Load_Booking_Report!BC:BC, MATCH(TRUE, ISNUMBER(FIND(SUBSTITUTE(C265," ",""), Load_Booking_Report!AL:AL)), 0)), "Not Found")</f>
        <v/>
      </c>
    </row>
    <row r="266">
      <c r="A266" t="n">
        <v>34</v>
      </c>
      <c r="B266" t="n">
        <v>341082</v>
      </c>
      <c r="C266" t="inlineStr">
        <is>
          <t>ANON0000000</t>
        </is>
      </c>
      <c r="D266" t="n">
        <v>40</v>
      </c>
      <c r="E266" t="inlineStr">
        <is>
          <t>USHOU</t>
        </is>
      </c>
      <c r="F266" t="inlineStr">
        <is>
          <t>RULED</t>
        </is>
      </c>
      <c r="G266" t="n">
        <v>32374</v>
      </c>
      <c r="H266" t="inlineStr">
        <is>
          <t>ART</t>
        </is>
      </c>
      <c r="I266" t="inlineStr">
        <is>
          <t>45R1</t>
        </is>
      </c>
      <c r="K266" t="inlineStr">
        <is>
          <t>-18.0:CEL</t>
        </is>
      </c>
      <c r="L266" t="inlineStr">
        <is>
          <t>9'6</t>
        </is>
      </c>
      <c r="M266" t="inlineStr">
        <is>
          <t>Full</t>
        </is>
      </c>
      <c r="N266" t="inlineStr">
        <is>
          <t>RULED</t>
        </is>
      </c>
      <c r="P266" s="21">
        <f>C266</f>
        <v/>
      </c>
      <c r="Q266" s="21">
        <f t="array" ref="Q266">IFERROR(INDEX(Load_Booking_Report!AC:AC, MATCH(TRUE, ISNUMBER(FIND(SUBSTITUTE(C266," ",""), Load_Booking_Report!AL:AL)), 0)), "Not Found")</f>
        <v/>
      </c>
      <c r="R266" s="21">
        <f t="array" ref="R266">IFERROR(INDEX(Load_Booking_Report!C:C, MATCH(TRUE, ISNUMBER(FIND(SUBSTITUTE(C266," ",""), Load_Booking_Report!AL:AL)), 0)), "Not Found")</f>
        <v/>
      </c>
      <c r="S266" s="21">
        <f t="array" ref="S266">IFERROR(INDEX(Load_Booking_Report!AG:AG, MATCH(TRUE, ISNUMBER(FIND(SUBSTITUTE(C266," ",""), Load_Booking_Report!AL:AL)), 0)), "Not Found")</f>
        <v/>
      </c>
      <c r="T266" s="21">
        <f>G266</f>
        <v/>
      </c>
      <c r="U266" s="33">
        <f t="array" ref="U266">IFERROR(
   IF(
      INDEX(Load_Booking_Report!AM:AM,
             MATCH(TRUE,
                     ISNUMBER(FIND(SUBSTITUTE(C266," ",""),
                                    Load_Booking_Report!AL:AL)),
                     0)
      )=0,
      "",
      INDEX(Load_Booking_Report!AM:AM,
             MATCH(TRUE,
                     ISNUMBER(FIND(SUBSTITUTE(C266," ",""),
                                    Load_Booking_Report!AL:AL)),
                     0)
      )
   ),
   ""
)</f>
        <v/>
      </c>
      <c r="V266" s="21">
        <f t="array" ref="V266">IFERROR(
   IF(
      INDEX(Load_Booking_Report!AR:AR,
             MATCH(TRUE,
                     ISNUMBER(FIND(SUBSTITUTE(C266," ",""),
                                    Load_Booking_Report!AL:AL)),
                     0)
      )=0,
      "",
      INDEX(Load_Booking_Report!AR:AR,
             MATCH(TRUE,
                     ISNUMBER(FIND(SUBSTITUTE(C266," ",""),
                                    Load_Booking_Report!AL:AL)),
                     0)
      )
   ),
   ""
)</f>
        <v/>
      </c>
      <c r="W266" s="21">
        <f t="array" ref="W266">IFERROR(INDEX(Load_Booking_Report!F:F, MATCH(TRUE, ISNUMBER(FIND(SUBSTITUTE(C266," ",""), Load_Booking_Report!AL:AL)), 0)), "Not Found")</f>
        <v/>
      </c>
      <c r="X266" s="21">
        <f t="array" ref="X266">IFERROR(INDEX(Load_Booking_Report!N:N, MATCH(TRUE, ISNUMBER(FIND(SUBSTITUTE(C266," ",""), Load_Booking_Report!AL:AL)), 0)), "Not Found")</f>
        <v/>
      </c>
      <c r="Y266" s="21">
        <f t="array" ref="Y266">IFERROR(INDEX(Load_Booking_Report!V:V, MATCH(TRUE, ISNUMBER(FIND(SUBSTITUTE(C266," ",""), Load_Booking_Report!AL:AL)), 0)), "Not Found")</f>
        <v/>
      </c>
      <c r="Z266" s="41">
        <f t="array" ref="Z266">IFERROR(INDEX(Load_Booking_Report!BC:BC, MATCH(TRUE, ISNUMBER(FIND(SUBSTITUTE(C266," ",""), Load_Booking_Report!AL:AL)), 0)), "Not Found")</f>
        <v/>
      </c>
    </row>
    <row r="267">
      <c r="A267" t="n">
        <v>26</v>
      </c>
      <c r="B267" t="n">
        <v>260482</v>
      </c>
      <c r="C267" t="inlineStr">
        <is>
          <t>ANON0000000</t>
        </is>
      </c>
      <c r="D267" t="n">
        <v>40</v>
      </c>
      <c r="E267" t="inlineStr">
        <is>
          <t>USNYC</t>
        </is>
      </c>
      <c r="F267" t="inlineStr">
        <is>
          <t>RUBLT</t>
        </is>
      </c>
      <c r="G267" t="n">
        <v>33735</v>
      </c>
      <c r="H267" t="inlineStr">
        <is>
          <t>ART</t>
        </is>
      </c>
      <c r="I267" t="inlineStr">
        <is>
          <t>45R1</t>
        </is>
      </c>
      <c r="K267" t="inlineStr">
        <is>
          <t>-18.0:CEL</t>
        </is>
      </c>
      <c r="L267" t="inlineStr">
        <is>
          <t>9'6</t>
        </is>
      </c>
      <c r="M267" t="inlineStr">
        <is>
          <t>Full</t>
        </is>
      </c>
      <c r="N267" t="inlineStr">
        <is>
          <t>RULED</t>
        </is>
      </c>
      <c r="P267" s="21">
        <f>C267</f>
        <v/>
      </c>
      <c r="Q267" s="21">
        <f t="array" ref="Q267">IFERROR(INDEX(Load_Booking_Report!AC:AC, MATCH(TRUE, ISNUMBER(FIND(SUBSTITUTE(C267," ",""), Load_Booking_Report!AL:AL)), 0)), "Not Found")</f>
        <v/>
      </c>
      <c r="R267" s="21">
        <f t="array" ref="R267">IFERROR(INDEX(Load_Booking_Report!C:C, MATCH(TRUE, ISNUMBER(FIND(SUBSTITUTE(C267," ",""), Load_Booking_Report!AL:AL)), 0)), "Not Found")</f>
        <v/>
      </c>
      <c r="S267" s="21">
        <f t="array" ref="S267">IFERROR(INDEX(Load_Booking_Report!AG:AG, MATCH(TRUE, ISNUMBER(FIND(SUBSTITUTE(C267," ",""), Load_Booking_Report!AL:AL)), 0)), "Not Found")</f>
        <v/>
      </c>
      <c r="T267" s="21">
        <f>G267</f>
        <v/>
      </c>
      <c r="U267" s="33">
        <f t="array" ref="U267">IFERROR(
   IF(
      INDEX(Load_Booking_Report!AM:AM,
             MATCH(TRUE,
                     ISNUMBER(FIND(SUBSTITUTE(C267," ",""),
                                    Load_Booking_Report!AL:AL)),
                     0)
      )=0,
      "",
      INDEX(Load_Booking_Report!AM:AM,
             MATCH(TRUE,
                     ISNUMBER(FIND(SUBSTITUTE(C267," ",""),
                                    Load_Booking_Report!AL:AL)),
                     0)
      )
   ),
   ""
)</f>
        <v/>
      </c>
      <c r="V267" s="21">
        <f t="array" ref="V267">IFERROR(
   IF(
      INDEX(Load_Booking_Report!AR:AR,
             MATCH(TRUE,
                     ISNUMBER(FIND(SUBSTITUTE(C267," ",""),
                                    Load_Booking_Report!AL:AL)),
                     0)
      )=0,
      "",
      INDEX(Load_Booking_Report!AR:AR,
             MATCH(TRUE,
                     ISNUMBER(FIND(SUBSTITUTE(C267," ",""),
                                    Load_Booking_Report!AL:AL)),
                     0)
      )
   ),
   ""
)</f>
        <v/>
      </c>
      <c r="W267" s="21">
        <f t="array" ref="W267">IFERROR(INDEX(Load_Booking_Report!F:F, MATCH(TRUE, ISNUMBER(FIND(SUBSTITUTE(C267," ",""), Load_Booking_Report!AL:AL)), 0)), "Not Found")</f>
        <v/>
      </c>
      <c r="X267" s="21">
        <f t="array" ref="X267">IFERROR(INDEX(Load_Booking_Report!N:N, MATCH(TRUE, ISNUMBER(FIND(SUBSTITUTE(C267," ",""), Load_Booking_Report!AL:AL)), 0)), "Not Found")</f>
        <v/>
      </c>
      <c r="Y267" s="21">
        <f t="array" ref="Y267">IFERROR(INDEX(Load_Booking_Report!V:V, MATCH(TRUE, ISNUMBER(FIND(SUBSTITUTE(C267," ",""), Load_Booking_Report!AL:AL)), 0)), "Not Found")</f>
        <v/>
      </c>
      <c r="Z267" s="41">
        <f t="array" ref="Z267">IFERROR(INDEX(Load_Booking_Report!BC:BC, MATCH(TRUE, ISNUMBER(FIND(SUBSTITUTE(C267," ",""), Load_Booking_Report!AL:AL)), 0)), "Not Found")</f>
        <v/>
      </c>
    </row>
    <row r="268">
      <c r="A268" t="n">
        <v>40</v>
      </c>
      <c r="B268" t="n">
        <v>400682</v>
      </c>
      <c r="C268" t="inlineStr">
        <is>
          <t>ANON0000000</t>
        </is>
      </c>
      <c r="D268" t="n">
        <v>40</v>
      </c>
      <c r="E268" t="inlineStr">
        <is>
          <t>USNFK</t>
        </is>
      </c>
      <c r="F268" t="inlineStr">
        <is>
          <t>RUBLT</t>
        </is>
      </c>
      <c r="G268" t="n">
        <v>33399</v>
      </c>
      <c r="H268" t="inlineStr">
        <is>
          <t>ART</t>
        </is>
      </c>
      <c r="I268" t="inlineStr">
        <is>
          <t>45R1</t>
        </is>
      </c>
      <c r="K268" t="inlineStr">
        <is>
          <t>-18.0:CEL</t>
        </is>
      </c>
      <c r="L268" t="inlineStr">
        <is>
          <t>OOG</t>
        </is>
      </c>
      <c r="M268" t="inlineStr">
        <is>
          <t>Full</t>
        </is>
      </c>
      <c r="N268" t="inlineStr">
        <is>
          <t>RUBLT</t>
        </is>
      </c>
      <c r="P268" s="21">
        <f>C268</f>
        <v/>
      </c>
      <c r="Q268" s="21">
        <f t="array" ref="Q268">IFERROR(INDEX(Load_Booking_Report!AC:AC, MATCH(TRUE, ISNUMBER(FIND(SUBSTITUTE(C268," ",""), Load_Booking_Report!AL:AL)), 0)), "Not Found")</f>
        <v/>
      </c>
      <c r="R268" s="21">
        <f t="array" ref="R268">IFERROR(INDEX(Load_Booking_Report!C:C, MATCH(TRUE, ISNUMBER(FIND(SUBSTITUTE(C268," ",""), Load_Booking_Report!AL:AL)), 0)), "Not Found")</f>
        <v/>
      </c>
      <c r="S268" s="21">
        <f t="array" ref="S268">IFERROR(INDEX(Load_Booking_Report!AG:AG, MATCH(TRUE, ISNUMBER(FIND(SUBSTITUTE(C268," ",""), Load_Booking_Report!AL:AL)), 0)), "Not Found")</f>
        <v/>
      </c>
      <c r="T268" s="21">
        <f>G268</f>
        <v/>
      </c>
      <c r="U268" s="33">
        <f t="array" ref="U268">IFERROR(
   IF(
      INDEX(Load_Booking_Report!AM:AM,
             MATCH(TRUE,
                     ISNUMBER(FIND(SUBSTITUTE(C268," ",""),
                                    Load_Booking_Report!AL:AL)),
                     0)
      )=0,
      "",
      INDEX(Load_Booking_Report!AM:AM,
             MATCH(TRUE,
                     ISNUMBER(FIND(SUBSTITUTE(C268," ",""),
                                    Load_Booking_Report!AL:AL)),
                     0)
      )
   ),
   ""
)</f>
        <v/>
      </c>
      <c r="V268" s="21">
        <f t="array" ref="V268">IFERROR(
   IF(
      INDEX(Load_Booking_Report!AR:AR,
             MATCH(TRUE,
                     ISNUMBER(FIND(SUBSTITUTE(C268," ",""),
                                    Load_Booking_Report!AL:AL)),
                     0)
      )=0,
      "",
      INDEX(Load_Booking_Report!AR:AR,
             MATCH(TRUE,
                     ISNUMBER(FIND(SUBSTITUTE(C268," ",""),
                                    Load_Booking_Report!AL:AL)),
                     0)
      )
   ),
   ""
)</f>
        <v/>
      </c>
      <c r="W268" s="21">
        <f t="array" ref="W268">IFERROR(INDEX(Load_Booking_Report!F:F, MATCH(TRUE, ISNUMBER(FIND(SUBSTITUTE(C268," ",""), Load_Booking_Report!AL:AL)), 0)), "Not Found")</f>
        <v/>
      </c>
      <c r="X268" s="21">
        <f t="array" ref="X268">IFERROR(INDEX(Load_Booking_Report!N:N, MATCH(TRUE, ISNUMBER(FIND(SUBSTITUTE(C268," ",""), Load_Booking_Report!AL:AL)), 0)), "Not Found")</f>
        <v/>
      </c>
      <c r="Y268" s="21">
        <f t="array" ref="Y268">IFERROR(INDEX(Load_Booking_Report!V:V, MATCH(TRUE, ISNUMBER(FIND(SUBSTITUTE(C268," ",""), Load_Booking_Report!AL:AL)), 0)), "Not Found")</f>
        <v/>
      </c>
      <c r="Z268" s="41">
        <f t="array" ref="Z268">IFERROR(INDEX(Load_Booking_Report!BC:BC, MATCH(TRUE, ISNUMBER(FIND(SUBSTITUTE(C268," ",""), Load_Booking_Report!AL:AL)), 0)), "Not Found")</f>
        <v/>
      </c>
    </row>
    <row r="269">
      <c r="A269" t="n">
        <v>26</v>
      </c>
      <c r="B269" t="n">
        <v>260982</v>
      </c>
      <c r="C269" t="inlineStr">
        <is>
          <t>ANON0000000</t>
        </is>
      </c>
      <c r="D269" t="n">
        <v>40</v>
      </c>
      <c r="E269" t="inlineStr">
        <is>
          <t>USHOU</t>
        </is>
      </c>
      <c r="F269" t="inlineStr">
        <is>
          <t>RUBLT</t>
        </is>
      </c>
      <c r="G269" t="n">
        <v>33300</v>
      </c>
      <c r="H269" t="inlineStr">
        <is>
          <t>ART</t>
        </is>
      </c>
      <c r="I269" t="inlineStr">
        <is>
          <t>45R1</t>
        </is>
      </c>
      <c r="K269" t="inlineStr">
        <is>
          <t>-22.0:CEL</t>
        </is>
      </c>
      <c r="L269" t="inlineStr">
        <is>
          <t>9'6</t>
        </is>
      </c>
      <c r="M269" t="inlineStr">
        <is>
          <t>Full</t>
        </is>
      </c>
      <c r="N269" t="inlineStr">
        <is>
          <t>RULED</t>
        </is>
      </c>
      <c r="P269" s="21">
        <f>C269</f>
        <v/>
      </c>
      <c r="Q269" s="21">
        <f t="array" ref="Q269">IFERROR(INDEX(Load_Booking_Report!AC:AC, MATCH(TRUE, ISNUMBER(FIND(SUBSTITUTE(C269," ",""), Load_Booking_Report!AL:AL)), 0)), "Not Found")</f>
        <v/>
      </c>
      <c r="R269" s="21">
        <f t="array" ref="R269">IFERROR(INDEX(Load_Booking_Report!C:C, MATCH(TRUE, ISNUMBER(FIND(SUBSTITUTE(C269," ",""), Load_Booking_Report!AL:AL)), 0)), "Not Found")</f>
        <v/>
      </c>
      <c r="S269" s="21">
        <f t="array" ref="S269">IFERROR(INDEX(Load_Booking_Report!AG:AG, MATCH(TRUE, ISNUMBER(FIND(SUBSTITUTE(C269," ",""), Load_Booking_Report!AL:AL)), 0)), "Not Found")</f>
        <v/>
      </c>
      <c r="T269" s="21">
        <f>G269</f>
        <v/>
      </c>
      <c r="U269" s="33">
        <f t="array" ref="U269">IFERROR(
   IF(
      INDEX(Load_Booking_Report!AM:AM,
             MATCH(TRUE,
                     ISNUMBER(FIND(SUBSTITUTE(C269," ",""),
                                    Load_Booking_Report!AL:AL)),
                     0)
      )=0,
      "",
      INDEX(Load_Booking_Report!AM:AM,
             MATCH(TRUE,
                     ISNUMBER(FIND(SUBSTITUTE(C269," ",""),
                                    Load_Booking_Report!AL:AL)),
                     0)
      )
   ),
   ""
)</f>
        <v/>
      </c>
      <c r="V269" s="21">
        <f t="array" ref="V269">IFERROR(
   IF(
      INDEX(Load_Booking_Report!AR:AR,
             MATCH(TRUE,
                     ISNUMBER(FIND(SUBSTITUTE(C269," ",""),
                                    Load_Booking_Report!AL:AL)),
                     0)
      )=0,
      "",
      INDEX(Load_Booking_Report!AR:AR,
             MATCH(TRUE,
                     ISNUMBER(FIND(SUBSTITUTE(C269," ",""),
                                    Load_Booking_Report!AL:AL)),
                     0)
      )
   ),
   ""
)</f>
        <v/>
      </c>
      <c r="W269" s="21">
        <f t="array" ref="W269">IFERROR(INDEX(Load_Booking_Report!F:F, MATCH(TRUE, ISNUMBER(FIND(SUBSTITUTE(C269," ",""), Load_Booking_Report!AL:AL)), 0)), "Not Found")</f>
        <v/>
      </c>
      <c r="X269" s="21">
        <f t="array" ref="X269">IFERROR(INDEX(Load_Booking_Report!N:N, MATCH(TRUE, ISNUMBER(FIND(SUBSTITUTE(C269," ",""), Load_Booking_Report!AL:AL)), 0)), "Not Found")</f>
        <v/>
      </c>
      <c r="Y269" s="21">
        <f t="array" ref="Y269">IFERROR(INDEX(Load_Booking_Report!V:V, MATCH(TRUE, ISNUMBER(FIND(SUBSTITUTE(C269," ",""), Load_Booking_Report!AL:AL)), 0)), "Not Found")</f>
        <v/>
      </c>
      <c r="Z269" s="41">
        <f t="array" ref="Z269">IFERROR(INDEX(Load_Booking_Report!BC:BC, MATCH(TRUE, ISNUMBER(FIND(SUBSTITUTE(C269," ",""), Load_Booking_Report!AL:AL)), 0)), "Not Found")</f>
        <v/>
      </c>
    </row>
    <row r="270">
      <c r="A270" t="n">
        <v>34</v>
      </c>
      <c r="B270" t="n">
        <v>340082</v>
      </c>
      <c r="C270" t="inlineStr">
        <is>
          <t>ANON0000000</t>
        </is>
      </c>
      <c r="D270" t="n">
        <v>40</v>
      </c>
      <c r="E270" t="inlineStr">
        <is>
          <t>USHOU</t>
        </is>
      </c>
      <c r="F270" t="inlineStr">
        <is>
          <t>RULED</t>
        </is>
      </c>
      <c r="G270" t="n">
        <v>32443</v>
      </c>
      <c r="H270" t="inlineStr">
        <is>
          <t>ART</t>
        </is>
      </c>
      <c r="I270" t="inlineStr">
        <is>
          <t>45R1</t>
        </is>
      </c>
      <c r="K270" t="inlineStr">
        <is>
          <t>-18.0:CEL</t>
        </is>
      </c>
      <c r="L270" t="inlineStr">
        <is>
          <t>9'6</t>
        </is>
      </c>
      <c r="M270" t="inlineStr">
        <is>
          <t>Full</t>
        </is>
      </c>
      <c r="N270" t="inlineStr">
        <is>
          <t>RULED</t>
        </is>
      </c>
      <c r="P270" s="21">
        <f>C270</f>
        <v/>
      </c>
      <c r="Q270" s="21">
        <f t="array" ref="Q270">IFERROR(INDEX(Load_Booking_Report!AC:AC, MATCH(TRUE, ISNUMBER(FIND(SUBSTITUTE(C270," ",""), Load_Booking_Report!AL:AL)), 0)), "Not Found")</f>
        <v/>
      </c>
      <c r="R270" s="21">
        <f t="array" ref="R270">IFERROR(INDEX(Load_Booking_Report!C:C, MATCH(TRUE, ISNUMBER(FIND(SUBSTITUTE(C270," ",""), Load_Booking_Report!AL:AL)), 0)), "Not Found")</f>
        <v/>
      </c>
      <c r="S270" s="21">
        <f t="array" ref="S270">IFERROR(INDEX(Load_Booking_Report!AG:AG, MATCH(TRUE, ISNUMBER(FIND(SUBSTITUTE(C270," ",""), Load_Booking_Report!AL:AL)), 0)), "Not Found")</f>
        <v/>
      </c>
      <c r="T270" s="21">
        <f>G270</f>
        <v/>
      </c>
      <c r="U270" s="33">
        <f t="array" ref="U270">IFERROR(
   IF(
      INDEX(Load_Booking_Report!AM:AM,
             MATCH(TRUE,
                     ISNUMBER(FIND(SUBSTITUTE(C270," ",""),
                                    Load_Booking_Report!AL:AL)),
                     0)
      )=0,
      "",
      INDEX(Load_Booking_Report!AM:AM,
             MATCH(TRUE,
                     ISNUMBER(FIND(SUBSTITUTE(C270," ",""),
                                    Load_Booking_Report!AL:AL)),
                     0)
      )
   ),
   ""
)</f>
        <v/>
      </c>
      <c r="V270" s="21">
        <f t="array" ref="V270">IFERROR(
   IF(
      INDEX(Load_Booking_Report!AR:AR,
             MATCH(TRUE,
                     ISNUMBER(FIND(SUBSTITUTE(C270," ",""),
                                    Load_Booking_Report!AL:AL)),
                     0)
      )=0,
      "",
      INDEX(Load_Booking_Report!AR:AR,
             MATCH(TRUE,
                     ISNUMBER(FIND(SUBSTITUTE(C270," ",""),
                                    Load_Booking_Report!AL:AL)),
                     0)
      )
   ),
   ""
)</f>
        <v/>
      </c>
      <c r="W270" s="21">
        <f t="array" ref="W270">IFERROR(INDEX(Load_Booking_Report!F:F, MATCH(TRUE, ISNUMBER(FIND(SUBSTITUTE(C270," ",""), Load_Booking_Report!AL:AL)), 0)), "Not Found")</f>
        <v/>
      </c>
      <c r="X270" s="21">
        <f t="array" ref="X270">IFERROR(INDEX(Load_Booking_Report!N:N, MATCH(TRUE, ISNUMBER(FIND(SUBSTITUTE(C270," ",""), Load_Booking_Report!AL:AL)), 0)), "Not Found")</f>
        <v/>
      </c>
      <c r="Y270" s="21">
        <f t="array" ref="Y270">IFERROR(INDEX(Load_Booking_Report!V:V, MATCH(TRUE, ISNUMBER(FIND(SUBSTITUTE(C270," ",""), Load_Booking_Report!AL:AL)), 0)), "Not Found")</f>
        <v/>
      </c>
      <c r="Z270" s="41">
        <f t="array" ref="Z270">IFERROR(INDEX(Load_Booking_Report!BC:BC, MATCH(TRUE, ISNUMBER(FIND(SUBSTITUTE(C270," ",""), Load_Booking_Report!AL:AL)), 0)), "Not Found")</f>
        <v/>
      </c>
    </row>
    <row r="271">
      <c r="A271" t="n">
        <v>26</v>
      </c>
      <c r="B271" t="n">
        <v>260484</v>
      </c>
      <c r="C271" t="inlineStr">
        <is>
          <t>ANON0000000</t>
        </is>
      </c>
      <c r="D271" t="n">
        <v>40</v>
      </c>
      <c r="E271" t="inlineStr">
        <is>
          <t>USNYC</t>
        </is>
      </c>
      <c r="F271" t="inlineStr">
        <is>
          <t>RUBLT</t>
        </is>
      </c>
      <c r="G271" t="n">
        <v>33086</v>
      </c>
      <c r="H271" t="inlineStr">
        <is>
          <t>ART</t>
        </is>
      </c>
      <c r="I271" t="inlineStr">
        <is>
          <t>45R1</t>
        </is>
      </c>
      <c r="K271" t="inlineStr">
        <is>
          <t>-22.0:CEL</t>
        </is>
      </c>
      <c r="L271" t="inlineStr">
        <is>
          <t>9'6</t>
        </is>
      </c>
      <c r="M271" t="inlineStr">
        <is>
          <t>Full</t>
        </is>
      </c>
      <c r="N271" t="inlineStr">
        <is>
          <t>RULED</t>
        </is>
      </c>
      <c r="P271" s="21">
        <f>C271</f>
        <v/>
      </c>
      <c r="Q271" s="21">
        <f t="array" ref="Q271">IFERROR(INDEX(Load_Booking_Report!AC:AC, MATCH(TRUE, ISNUMBER(FIND(SUBSTITUTE(C271," ",""), Load_Booking_Report!AL:AL)), 0)), "Not Found")</f>
        <v/>
      </c>
      <c r="R271" s="21">
        <f t="array" ref="R271">IFERROR(INDEX(Load_Booking_Report!C:C, MATCH(TRUE, ISNUMBER(FIND(SUBSTITUTE(C271," ",""), Load_Booking_Report!AL:AL)), 0)), "Not Found")</f>
        <v/>
      </c>
      <c r="S271" s="21">
        <f t="array" ref="S271">IFERROR(INDEX(Load_Booking_Report!AG:AG, MATCH(TRUE, ISNUMBER(FIND(SUBSTITUTE(C271," ",""), Load_Booking_Report!AL:AL)), 0)), "Not Found")</f>
        <v/>
      </c>
      <c r="T271" s="21">
        <f>G271</f>
        <v/>
      </c>
      <c r="U271" s="33">
        <f t="array" ref="U271">IFERROR(
   IF(
      INDEX(Load_Booking_Report!AM:AM,
             MATCH(TRUE,
                     ISNUMBER(FIND(SUBSTITUTE(C271," ",""),
                                    Load_Booking_Report!AL:AL)),
                     0)
      )=0,
      "",
      INDEX(Load_Booking_Report!AM:AM,
             MATCH(TRUE,
                     ISNUMBER(FIND(SUBSTITUTE(C271," ",""),
                                    Load_Booking_Report!AL:AL)),
                     0)
      )
   ),
   ""
)</f>
        <v/>
      </c>
      <c r="V271" s="21">
        <f t="array" ref="V271">IFERROR(
   IF(
      INDEX(Load_Booking_Report!AR:AR,
             MATCH(TRUE,
                     ISNUMBER(FIND(SUBSTITUTE(C271," ",""),
                                    Load_Booking_Report!AL:AL)),
                     0)
      )=0,
      "",
      INDEX(Load_Booking_Report!AR:AR,
             MATCH(TRUE,
                     ISNUMBER(FIND(SUBSTITUTE(C271," ",""),
                                    Load_Booking_Report!AL:AL)),
                     0)
      )
   ),
   ""
)</f>
        <v/>
      </c>
      <c r="W271" s="21">
        <f t="array" ref="W271">IFERROR(INDEX(Load_Booking_Report!F:F, MATCH(TRUE, ISNUMBER(FIND(SUBSTITUTE(C271," ",""), Load_Booking_Report!AL:AL)), 0)), "Not Found")</f>
        <v/>
      </c>
      <c r="X271" s="21">
        <f t="array" ref="X271">IFERROR(INDEX(Load_Booking_Report!N:N, MATCH(TRUE, ISNUMBER(FIND(SUBSTITUTE(C271," ",""), Load_Booking_Report!AL:AL)), 0)), "Not Found")</f>
        <v/>
      </c>
      <c r="Y271" s="21">
        <f t="array" ref="Y271">IFERROR(INDEX(Load_Booking_Report!V:V, MATCH(TRUE, ISNUMBER(FIND(SUBSTITUTE(C271," ",""), Load_Booking_Report!AL:AL)), 0)), "Not Found")</f>
        <v/>
      </c>
      <c r="Z271" s="41">
        <f t="array" ref="Z271">IFERROR(INDEX(Load_Booking_Report!BC:BC, MATCH(TRUE, ISNUMBER(FIND(SUBSTITUTE(C271," ",""), Load_Booking_Report!AL:AL)), 0)), "Not Found")</f>
        <v/>
      </c>
    </row>
    <row r="272">
      <c r="A272" t="n">
        <v>40</v>
      </c>
      <c r="B272" t="n">
        <v>400784</v>
      </c>
      <c r="C272" t="inlineStr">
        <is>
          <t>ANON0000000</t>
        </is>
      </c>
      <c r="D272" t="n">
        <v>40</v>
      </c>
      <c r="E272" t="inlineStr">
        <is>
          <t>USHOU</t>
        </is>
      </c>
      <c r="F272" t="inlineStr">
        <is>
          <t>RUBLT</t>
        </is>
      </c>
      <c r="G272" t="n">
        <v>33110</v>
      </c>
      <c r="H272" t="inlineStr">
        <is>
          <t>ART</t>
        </is>
      </c>
      <c r="I272" t="inlineStr">
        <is>
          <t>45R1</t>
        </is>
      </c>
      <c r="K272" t="inlineStr">
        <is>
          <t>-22.0:CEL</t>
        </is>
      </c>
      <c r="L272" t="inlineStr">
        <is>
          <t>9'6</t>
        </is>
      </c>
      <c r="M272" t="inlineStr">
        <is>
          <t>Full</t>
        </is>
      </c>
      <c r="N272" t="inlineStr">
        <is>
          <t>RULED</t>
        </is>
      </c>
      <c r="P272" s="21">
        <f>C272</f>
        <v/>
      </c>
      <c r="Q272" s="21">
        <f t="array" ref="Q272">IFERROR(INDEX(Load_Booking_Report!AC:AC, MATCH(TRUE, ISNUMBER(FIND(SUBSTITUTE(C272," ",""), Load_Booking_Report!AL:AL)), 0)), "Not Found")</f>
        <v/>
      </c>
      <c r="R272" s="21">
        <f t="array" ref="R272">IFERROR(INDEX(Load_Booking_Report!C:C, MATCH(TRUE, ISNUMBER(FIND(SUBSTITUTE(C272," ",""), Load_Booking_Report!AL:AL)), 0)), "Not Found")</f>
        <v/>
      </c>
      <c r="S272" s="21">
        <f t="array" ref="S272">IFERROR(INDEX(Load_Booking_Report!AG:AG, MATCH(TRUE, ISNUMBER(FIND(SUBSTITUTE(C272," ",""), Load_Booking_Report!AL:AL)), 0)), "Not Found")</f>
        <v/>
      </c>
      <c r="T272" s="21">
        <f>G272</f>
        <v/>
      </c>
      <c r="U272" s="33">
        <f t="array" ref="U272">IFERROR(
   IF(
      INDEX(Load_Booking_Report!AM:AM,
             MATCH(TRUE,
                     ISNUMBER(FIND(SUBSTITUTE(C272," ",""),
                                    Load_Booking_Report!AL:AL)),
                     0)
      )=0,
      "",
      INDEX(Load_Booking_Report!AM:AM,
             MATCH(TRUE,
                     ISNUMBER(FIND(SUBSTITUTE(C272," ",""),
                                    Load_Booking_Report!AL:AL)),
                     0)
      )
   ),
   ""
)</f>
        <v/>
      </c>
      <c r="V272" s="21">
        <f t="array" ref="V272">IFERROR(
   IF(
      INDEX(Load_Booking_Report!AR:AR,
             MATCH(TRUE,
                     ISNUMBER(FIND(SUBSTITUTE(C272," ",""),
                                    Load_Booking_Report!AL:AL)),
                     0)
      )=0,
      "",
      INDEX(Load_Booking_Report!AR:AR,
             MATCH(TRUE,
                     ISNUMBER(FIND(SUBSTITUTE(C272," ",""),
                                    Load_Booking_Report!AL:AL)),
                     0)
      )
   ),
   ""
)</f>
        <v/>
      </c>
      <c r="W272" s="21">
        <f t="array" ref="W272">IFERROR(INDEX(Load_Booking_Report!F:F, MATCH(TRUE, ISNUMBER(FIND(SUBSTITUTE(C272," ",""), Load_Booking_Report!AL:AL)), 0)), "Not Found")</f>
        <v/>
      </c>
      <c r="X272" s="21">
        <f t="array" ref="X272">IFERROR(INDEX(Load_Booking_Report!N:N, MATCH(TRUE, ISNUMBER(FIND(SUBSTITUTE(C272," ",""), Load_Booking_Report!AL:AL)), 0)), "Not Found")</f>
        <v/>
      </c>
      <c r="Y272" s="21">
        <f t="array" ref="Y272">IFERROR(INDEX(Load_Booking_Report!V:V, MATCH(TRUE, ISNUMBER(FIND(SUBSTITUTE(C272," ",""), Load_Booking_Report!AL:AL)), 0)), "Not Found")</f>
        <v/>
      </c>
      <c r="Z272" s="41">
        <f t="array" ref="Z272">IFERROR(INDEX(Load_Booking_Report!BC:BC, MATCH(TRUE, ISNUMBER(FIND(SUBSTITUTE(C272," ",""), Load_Booking_Report!AL:AL)), 0)), "Not Found")</f>
        <v/>
      </c>
    </row>
    <row r="273">
      <c r="A273" t="n">
        <v>26</v>
      </c>
      <c r="B273" t="n">
        <v>260782</v>
      </c>
      <c r="C273" t="inlineStr">
        <is>
          <t>ANON0000000</t>
        </is>
      </c>
      <c r="D273" t="n">
        <v>40</v>
      </c>
      <c r="E273" t="inlineStr">
        <is>
          <t>USNYC</t>
        </is>
      </c>
      <c r="F273" t="inlineStr">
        <is>
          <t>RUBLT</t>
        </is>
      </c>
      <c r="G273" t="n">
        <v>32650</v>
      </c>
      <c r="H273" t="inlineStr">
        <is>
          <t>ART</t>
        </is>
      </c>
      <c r="I273" t="inlineStr">
        <is>
          <t>45RH</t>
        </is>
      </c>
      <c r="K273" t="inlineStr">
        <is>
          <t>-18.0:CEL</t>
        </is>
      </c>
      <c r="L273" t="inlineStr">
        <is>
          <t>9'6</t>
        </is>
      </c>
      <c r="M273" t="inlineStr">
        <is>
          <t>Full</t>
        </is>
      </c>
      <c r="N273" t="inlineStr">
        <is>
          <t>RULED</t>
        </is>
      </c>
      <c r="P273" s="21">
        <f>C273</f>
        <v/>
      </c>
      <c r="Q273" s="21">
        <f t="array" ref="Q273">IFERROR(INDEX(Load_Booking_Report!AC:AC, MATCH(TRUE, ISNUMBER(FIND(SUBSTITUTE(C273," ",""), Load_Booking_Report!AL:AL)), 0)), "Not Found")</f>
        <v/>
      </c>
      <c r="R273" s="21">
        <f t="array" ref="R273">IFERROR(INDEX(Load_Booking_Report!C:C, MATCH(TRUE, ISNUMBER(FIND(SUBSTITUTE(C273," ",""), Load_Booking_Report!AL:AL)), 0)), "Not Found")</f>
        <v/>
      </c>
      <c r="S273" s="21">
        <f t="array" ref="S273">IFERROR(INDEX(Load_Booking_Report!AG:AG, MATCH(TRUE, ISNUMBER(FIND(SUBSTITUTE(C273," ",""), Load_Booking_Report!AL:AL)), 0)), "Not Found")</f>
        <v/>
      </c>
      <c r="T273" s="21">
        <f>G273</f>
        <v/>
      </c>
      <c r="U273" s="33">
        <f t="array" ref="U273">IFERROR(
   IF(
      INDEX(Load_Booking_Report!AM:AM,
             MATCH(TRUE,
                     ISNUMBER(FIND(SUBSTITUTE(C273," ",""),
                                    Load_Booking_Report!AL:AL)),
                     0)
      )=0,
      "",
      INDEX(Load_Booking_Report!AM:AM,
             MATCH(TRUE,
                     ISNUMBER(FIND(SUBSTITUTE(C273," ",""),
                                    Load_Booking_Report!AL:AL)),
                     0)
      )
   ),
   ""
)</f>
        <v/>
      </c>
      <c r="V273" s="21">
        <f t="array" ref="V273">IFERROR(
   IF(
      INDEX(Load_Booking_Report!AR:AR,
             MATCH(TRUE,
                     ISNUMBER(FIND(SUBSTITUTE(C273," ",""),
                                    Load_Booking_Report!AL:AL)),
                     0)
      )=0,
      "",
      INDEX(Load_Booking_Report!AR:AR,
             MATCH(TRUE,
                     ISNUMBER(FIND(SUBSTITUTE(C273," ",""),
                                    Load_Booking_Report!AL:AL)),
                     0)
      )
   ),
   ""
)</f>
        <v/>
      </c>
      <c r="W273" s="21">
        <f t="array" ref="W273">IFERROR(INDEX(Load_Booking_Report!F:F, MATCH(TRUE, ISNUMBER(FIND(SUBSTITUTE(C273," ",""), Load_Booking_Report!AL:AL)), 0)), "Not Found")</f>
        <v/>
      </c>
      <c r="X273" s="21">
        <f t="array" ref="X273">IFERROR(INDEX(Load_Booking_Report!N:N, MATCH(TRUE, ISNUMBER(FIND(SUBSTITUTE(C273," ",""), Load_Booking_Report!AL:AL)), 0)), "Not Found")</f>
        <v/>
      </c>
      <c r="Y273" s="21">
        <f t="array" ref="Y273">IFERROR(INDEX(Load_Booking_Report!V:V, MATCH(TRUE, ISNUMBER(FIND(SUBSTITUTE(C273," ",""), Load_Booking_Report!AL:AL)), 0)), "Not Found")</f>
        <v/>
      </c>
      <c r="Z273" s="41">
        <f t="array" ref="Z273">IFERROR(INDEX(Load_Booking_Report!BC:BC, MATCH(TRUE, ISNUMBER(FIND(SUBSTITUTE(C273," ",""), Load_Booking_Report!AL:AL)), 0)), "Not Found")</f>
        <v/>
      </c>
    </row>
    <row r="274">
      <c r="A274" t="n">
        <v>31</v>
      </c>
      <c r="B274" t="n">
        <v>310402</v>
      </c>
      <c r="C274" t="inlineStr">
        <is>
          <t>ANON0000000</t>
        </is>
      </c>
      <c r="D274" t="n">
        <v>20</v>
      </c>
      <c r="E274" t="inlineStr">
        <is>
          <t>USNFK</t>
        </is>
      </c>
      <c r="F274" t="inlineStr">
        <is>
          <t>RULED</t>
        </is>
      </c>
      <c r="G274" t="n">
        <v>26770</v>
      </c>
      <c r="H274" t="inlineStr">
        <is>
          <t>ART</t>
        </is>
      </c>
      <c r="I274" t="inlineStr">
        <is>
          <t>22DC</t>
        </is>
      </c>
      <c r="L274" t="inlineStr">
        <is>
          <t>OOG</t>
        </is>
      </c>
      <c r="M274" t="inlineStr">
        <is>
          <t>Full</t>
        </is>
      </c>
      <c r="N274" t="inlineStr">
        <is>
          <t>RULED</t>
        </is>
      </c>
      <c r="P274" s="21">
        <f>C274</f>
        <v/>
      </c>
      <c r="Q274" s="21">
        <f t="array" ref="Q274">IFERROR(INDEX(Load_Booking_Report!AC:AC, MATCH(TRUE, ISNUMBER(FIND(SUBSTITUTE(C274," ",""), Load_Booking_Report!AL:AL)), 0)), "Not Found")</f>
        <v/>
      </c>
      <c r="R274" s="21">
        <f t="array" ref="R274">IFERROR(INDEX(Load_Booking_Report!C:C, MATCH(TRUE, ISNUMBER(FIND(SUBSTITUTE(C274," ",""), Load_Booking_Report!AL:AL)), 0)), "Not Found")</f>
        <v/>
      </c>
      <c r="S274" s="21">
        <f t="array" ref="S274">IFERROR(INDEX(Load_Booking_Report!AG:AG, MATCH(TRUE, ISNUMBER(FIND(SUBSTITUTE(C274," ",""), Load_Booking_Report!AL:AL)), 0)), "Not Found")</f>
        <v/>
      </c>
      <c r="T274" s="21">
        <f>G274</f>
        <v/>
      </c>
      <c r="U274" s="33">
        <f t="array" ref="U274">IFERROR(
   IF(
      INDEX(Load_Booking_Report!AM:AM,
             MATCH(TRUE,
                     ISNUMBER(FIND(SUBSTITUTE(C274," ",""),
                                    Load_Booking_Report!AL:AL)),
                     0)
      )=0,
      "",
      INDEX(Load_Booking_Report!AM:AM,
             MATCH(TRUE,
                     ISNUMBER(FIND(SUBSTITUTE(C274," ",""),
                                    Load_Booking_Report!AL:AL)),
                     0)
      )
   ),
   ""
)</f>
        <v/>
      </c>
      <c r="V274" s="21">
        <f t="array" ref="V274">IFERROR(
   IF(
      INDEX(Load_Booking_Report!AR:AR,
             MATCH(TRUE,
                     ISNUMBER(FIND(SUBSTITUTE(C274," ",""),
                                    Load_Booking_Report!AL:AL)),
                     0)
      )=0,
      "",
      INDEX(Load_Booking_Report!AR:AR,
             MATCH(TRUE,
                     ISNUMBER(FIND(SUBSTITUTE(C274," ",""),
                                    Load_Booking_Report!AL:AL)),
                     0)
      )
   ),
   ""
)</f>
        <v/>
      </c>
      <c r="W274" s="21">
        <f t="array" ref="W274">IFERROR(INDEX(Load_Booking_Report!F:F, MATCH(TRUE, ISNUMBER(FIND(SUBSTITUTE(C274," ",""), Load_Booking_Report!AL:AL)), 0)), "Not Found")</f>
        <v/>
      </c>
      <c r="X274" s="21">
        <f t="array" ref="X274">IFERROR(INDEX(Load_Booking_Report!N:N, MATCH(TRUE, ISNUMBER(FIND(SUBSTITUTE(C274," ",""), Load_Booking_Report!AL:AL)), 0)), "Not Found")</f>
        <v/>
      </c>
      <c r="Y274" s="21">
        <f t="array" ref="Y274">IFERROR(INDEX(Load_Booking_Report!V:V, MATCH(TRUE, ISNUMBER(FIND(SUBSTITUTE(C274," ",""), Load_Booking_Report!AL:AL)), 0)), "Not Found")</f>
        <v/>
      </c>
      <c r="Z274" s="41">
        <f t="array" ref="Z274">IFERROR(INDEX(Load_Booking_Report!BC:BC, MATCH(TRUE, ISNUMBER(FIND(SUBSTITUTE(C274," ",""), Load_Booking_Report!AL:AL)), 0)), "Not Found")</f>
        <v/>
      </c>
    </row>
    <row r="275">
      <c r="A275" t="n">
        <v>31</v>
      </c>
      <c r="B275" t="n">
        <v>310602</v>
      </c>
      <c r="C275" t="inlineStr">
        <is>
          <t>ANON0000000</t>
        </is>
      </c>
      <c r="D275" t="n">
        <v>20</v>
      </c>
      <c r="E275" t="inlineStr">
        <is>
          <t>USNFK</t>
        </is>
      </c>
      <c r="F275" t="inlineStr">
        <is>
          <t>RULED</t>
        </is>
      </c>
      <c r="G275" t="n">
        <v>26680</v>
      </c>
      <c r="H275" t="inlineStr">
        <is>
          <t>ART</t>
        </is>
      </c>
      <c r="I275" t="inlineStr">
        <is>
          <t>22DC</t>
        </is>
      </c>
      <c r="L275" t="inlineStr">
        <is>
          <t>OOG</t>
        </is>
      </c>
      <c r="M275" t="inlineStr">
        <is>
          <t>Full</t>
        </is>
      </c>
      <c r="N275" t="inlineStr">
        <is>
          <t>RULED</t>
        </is>
      </c>
      <c r="P275" s="21">
        <f>C275</f>
        <v/>
      </c>
      <c r="Q275" s="21">
        <f t="array" ref="Q275">IFERROR(INDEX(Load_Booking_Report!AC:AC, MATCH(TRUE, ISNUMBER(FIND(SUBSTITUTE(C275," ",""), Load_Booking_Report!AL:AL)), 0)), "Not Found")</f>
        <v/>
      </c>
      <c r="R275" s="21">
        <f t="array" ref="R275">IFERROR(INDEX(Load_Booking_Report!C:C, MATCH(TRUE, ISNUMBER(FIND(SUBSTITUTE(C275," ",""), Load_Booking_Report!AL:AL)), 0)), "Not Found")</f>
        <v/>
      </c>
      <c r="S275" s="21">
        <f t="array" ref="S275">IFERROR(INDEX(Load_Booking_Report!AG:AG, MATCH(TRUE, ISNUMBER(FIND(SUBSTITUTE(C275," ",""), Load_Booking_Report!AL:AL)), 0)), "Not Found")</f>
        <v/>
      </c>
      <c r="T275" s="21">
        <f>G275</f>
        <v/>
      </c>
      <c r="U275" s="33">
        <f t="array" ref="U275">IFERROR(
   IF(
      INDEX(Load_Booking_Report!AM:AM,
             MATCH(TRUE,
                     ISNUMBER(FIND(SUBSTITUTE(C275," ",""),
                                    Load_Booking_Report!AL:AL)),
                     0)
      )=0,
      "",
      INDEX(Load_Booking_Report!AM:AM,
             MATCH(TRUE,
                     ISNUMBER(FIND(SUBSTITUTE(C275," ",""),
                                    Load_Booking_Report!AL:AL)),
                     0)
      )
   ),
   ""
)</f>
        <v/>
      </c>
      <c r="V275" s="21">
        <f t="array" ref="V275">IFERROR(
   IF(
      INDEX(Load_Booking_Report!AR:AR,
             MATCH(TRUE,
                     ISNUMBER(FIND(SUBSTITUTE(C275," ",""),
                                    Load_Booking_Report!AL:AL)),
                     0)
      )=0,
      "",
      INDEX(Load_Booking_Report!AR:AR,
             MATCH(TRUE,
                     ISNUMBER(FIND(SUBSTITUTE(C275," ",""),
                                    Load_Booking_Report!AL:AL)),
                     0)
      )
   ),
   ""
)</f>
        <v/>
      </c>
      <c r="W275" s="21">
        <f t="array" ref="W275">IFERROR(INDEX(Load_Booking_Report!F:F, MATCH(TRUE, ISNUMBER(FIND(SUBSTITUTE(C275," ",""), Load_Booking_Report!AL:AL)), 0)), "Not Found")</f>
        <v/>
      </c>
      <c r="X275" s="21">
        <f t="array" ref="X275">IFERROR(INDEX(Load_Booking_Report!N:N, MATCH(TRUE, ISNUMBER(FIND(SUBSTITUTE(C275," ",""), Load_Booking_Report!AL:AL)), 0)), "Not Found")</f>
        <v/>
      </c>
      <c r="Y275" s="21">
        <f t="array" ref="Y275">IFERROR(INDEX(Load_Booking_Report!V:V, MATCH(TRUE, ISNUMBER(FIND(SUBSTITUTE(C275," ",""), Load_Booking_Report!AL:AL)), 0)), "Not Found")</f>
        <v/>
      </c>
      <c r="Z275" s="41">
        <f t="array" ref="Z275">IFERROR(INDEX(Load_Booking_Report!BC:BC, MATCH(TRUE, ISNUMBER(FIND(SUBSTITUTE(C275," ",""), Load_Booking_Report!AL:AL)), 0)), "Not Found")</f>
        <v/>
      </c>
    </row>
    <row r="276">
      <c r="A276" t="n">
        <v>31</v>
      </c>
      <c r="B276" t="n">
        <v>310804</v>
      </c>
      <c r="C276" t="inlineStr">
        <is>
          <t>ANON0000000</t>
        </is>
      </c>
      <c r="D276" t="n">
        <v>20</v>
      </c>
      <c r="E276" t="inlineStr">
        <is>
          <t>USNFK</t>
        </is>
      </c>
      <c r="F276" t="inlineStr">
        <is>
          <t>RULED</t>
        </is>
      </c>
      <c r="G276" t="n">
        <v>25972</v>
      </c>
      <c r="H276" t="inlineStr">
        <is>
          <t>ART</t>
        </is>
      </c>
      <c r="I276" t="inlineStr">
        <is>
          <t>22DC</t>
        </is>
      </c>
      <c r="L276" t="inlineStr">
        <is>
          <t>OOG</t>
        </is>
      </c>
      <c r="M276" t="inlineStr">
        <is>
          <t>Full</t>
        </is>
      </c>
      <c r="N276" t="inlineStr">
        <is>
          <t>RULED</t>
        </is>
      </c>
      <c r="P276" s="21">
        <f>C276</f>
        <v/>
      </c>
      <c r="Q276" s="21">
        <f t="array" ref="Q276">IFERROR(INDEX(Load_Booking_Report!AC:AC, MATCH(TRUE, ISNUMBER(FIND(SUBSTITUTE(C276," ",""), Load_Booking_Report!AL:AL)), 0)), "Not Found")</f>
        <v/>
      </c>
      <c r="R276" s="21">
        <f t="array" ref="R276">IFERROR(INDEX(Load_Booking_Report!C:C, MATCH(TRUE, ISNUMBER(FIND(SUBSTITUTE(C276," ",""), Load_Booking_Report!AL:AL)), 0)), "Not Found")</f>
        <v/>
      </c>
      <c r="S276" s="21">
        <f t="array" ref="S276">IFERROR(INDEX(Load_Booking_Report!AG:AG, MATCH(TRUE, ISNUMBER(FIND(SUBSTITUTE(C276," ",""), Load_Booking_Report!AL:AL)), 0)), "Not Found")</f>
        <v/>
      </c>
      <c r="T276" s="21">
        <f>G276</f>
        <v/>
      </c>
      <c r="U276" s="33">
        <f t="array" ref="U276">IFERROR(
   IF(
      INDEX(Load_Booking_Report!AM:AM,
             MATCH(TRUE,
                     ISNUMBER(FIND(SUBSTITUTE(C276," ",""),
                                    Load_Booking_Report!AL:AL)),
                     0)
      )=0,
      "",
      INDEX(Load_Booking_Report!AM:AM,
             MATCH(TRUE,
                     ISNUMBER(FIND(SUBSTITUTE(C276," ",""),
                                    Load_Booking_Report!AL:AL)),
                     0)
      )
   ),
   ""
)</f>
        <v/>
      </c>
      <c r="V276" s="21">
        <f t="array" ref="V276">IFERROR(
   IF(
      INDEX(Load_Booking_Report!AR:AR,
             MATCH(TRUE,
                     ISNUMBER(FIND(SUBSTITUTE(C276," ",""),
                                    Load_Booking_Report!AL:AL)),
                     0)
      )=0,
      "",
      INDEX(Load_Booking_Report!AR:AR,
             MATCH(TRUE,
                     ISNUMBER(FIND(SUBSTITUTE(C276," ",""),
                                    Load_Booking_Report!AL:AL)),
                     0)
      )
   ),
   ""
)</f>
        <v/>
      </c>
      <c r="W276" s="21">
        <f t="array" ref="W276">IFERROR(INDEX(Load_Booking_Report!F:F, MATCH(TRUE, ISNUMBER(FIND(SUBSTITUTE(C276," ",""), Load_Booking_Report!AL:AL)), 0)), "Not Found")</f>
        <v/>
      </c>
      <c r="X276" s="21">
        <f t="array" ref="X276">IFERROR(INDEX(Load_Booking_Report!N:N, MATCH(TRUE, ISNUMBER(FIND(SUBSTITUTE(C276," ",""), Load_Booking_Report!AL:AL)), 0)), "Not Found")</f>
        <v/>
      </c>
      <c r="Y276" s="21">
        <f t="array" ref="Y276">IFERROR(INDEX(Load_Booking_Report!V:V, MATCH(TRUE, ISNUMBER(FIND(SUBSTITUTE(C276," ",""), Load_Booking_Report!AL:AL)), 0)), "Not Found")</f>
        <v/>
      </c>
      <c r="Z276" s="41">
        <f t="array" ref="Z276">IFERROR(INDEX(Load_Booking_Report!BC:BC, MATCH(TRUE, ISNUMBER(FIND(SUBSTITUTE(C276," ",""), Load_Booking_Report!AL:AL)), 0)), "Not Found")</f>
        <v/>
      </c>
    </row>
    <row r="277">
      <c r="A277" t="n">
        <v>17</v>
      </c>
      <c r="B277" t="n">
        <v>170502</v>
      </c>
      <c r="C277" t="inlineStr">
        <is>
          <t>ANON0000000</t>
        </is>
      </c>
      <c r="D277" t="n">
        <v>20</v>
      </c>
      <c r="E277" t="inlineStr">
        <is>
          <t>USNFK</t>
        </is>
      </c>
      <c r="F277" t="inlineStr">
        <is>
          <t>RULED</t>
        </is>
      </c>
      <c r="G277" t="n">
        <v>26725</v>
      </c>
      <c r="H277" t="inlineStr">
        <is>
          <t>ART</t>
        </is>
      </c>
      <c r="I277" t="inlineStr">
        <is>
          <t>22DC</t>
        </is>
      </c>
      <c r="L277" t="inlineStr">
        <is>
          <t>OOG</t>
        </is>
      </c>
      <c r="M277" t="inlineStr">
        <is>
          <t>Full</t>
        </is>
      </c>
      <c r="N277" t="inlineStr">
        <is>
          <t>RULED</t>
        </is>
      </c>
      <c r="P277" s="21">
        <f>C277</f>
        <v/>
      </c>
      <c r="Q277" s="21">
        <f t="array" ref="Q277">IFERROR(INDEX(Load_Booking_Report!AC:AC, MATCH(TRUE, ISNUMBER(FIND(SUBSTITUTE(C277," ",""), Load_Booking_Report!AL:AL)), 0)), "Not Found")</f>
        <v/>
      </c>
      <c r="R277" s="21">
        <f t="array" ref="R277">IFERROR(INDEX(Load_Booking_Report!C:C, MATCH(TRUE, ISNUMBER(FIND(SUBSTITUTE(C277," ",""), Load_Booking_Report!AL:AL)), 0)), "Not Found")</f>
        <v/>
      </c>
      <c r="S277" s="21">
        <f t="array" ref="S277">IFERROR(INDEX(Load_Booking_Report!AG:AG, MATCH(TRUE, ISNUMBER(FIND(SUBSTITUTE(C277," ",""), Load_Booking_Report!AL:AL)), 0)), "Not Found")</f>
        <v/>
      </c>
      <c r="T277" s="21">
        <f>G277</f>
        <v/>
      </c>
      <c r="U277" s="33">
        <f t="array" ref="U277">IFERROR(
   IF(
      INDEX(Load_Booking_Report!AM:AM,
             MATCH(TRUE,
                     ISNUMBER(FIND(SUBSTITUTE(C277," ",""),
                                    Load_Booking_Report!AL:AL)),
                     0)
      )=0,
      "",
      INDEX(Load_Booking_Report!AM:AM,
             MATCH(TRUE,
                     ISNUMBER(FIND(SUBSTITUTE(C277," ",""),
                                    Load_Booking_Report!AL:AL)),
                     0)
      )
   ),
   ""
)</f>
        <v/>
      </c>
      <c r="V277" s="21">
        <f t="array" ref="V277">IFERROR(
   IF(
      INDEX(Load_Booking_Report!AR:AR,
             MATCH(TRUE,
                     ISNUMBER(FIND(SUBSTITUTE(C277," ",""),
                                    Load_Booking_Report!AL:AL)),
                     0)
      )=0,
      "",
      INDEX(Load_Booking_Report!AR:AR,
             MATCH(TRUE,
                     ISNUMBER(FIND(SUBSTITUTE(C277," ",""),
                                    Load_Booking_Report!AL:AL)),
                     0)
      )
   ),
   ""
)</f>
        <v/>
      </c>
      <c r="W277" s="21">
        <f t="array" ref="W277">IFERROR(INDEX(Load_Booking_Report!F:F, MATCH(TRUE, ISNUMBER(FIND(SUBSTITUTE(C277," ",""), Load_Booking_Report!AL:AL)), 0)), "Not Found")</f>
        <v/>
      </c>
      <c r="X277" s="21">
        <f t="array" ref="X277">IFERROR(INDEX(Load_Booking_Report!N:N, MATCH(TRUE, ISNUMBER(FIND(SUBSTITUTE(C277," ",""), Load_Booking_Report!AL:AL)), 0)), "Not Found")</f>
        <v/>
      </c>
      <c r="Y277" s="21">
        <f t="array" ref="Y277">IFERROR(INDEX(Load_Booking_Report!V:V, MATCH(TRUE, ISNUMBER(FIND(SUBSTITUTE(C277," ",""), Load_Booking_Report!AL:AL)), 0)), "Not Found")</f>
        <v/>
      </c>
      <c r="Z277" s="41">
        <f t="array" ref="Z277">IFERROR(INDEX(Load_Booking_Report!BC:BC, MATCH(TRUE, ISNUMBER(FIND(SUBSTITUTE(C277," ",""), Load_Booking_Report!AL:AL)), 0)), "Not Found")</f>
        <v/>
      </c>
    </row>
    <row r="278">
      <c r="A278" t="n">
        <v>19</v>
      </c>
      <c r="B278" t="n">
        <v>190702</v>
      </c>
      <c r="C278" t="inlineStr">
        <is>
          <t>ANON0000000</t>
        </is>
      </c>
      <c r="D278" t="n">
        <v>20</v>
      </c>
      <c r="E278" t="inlineStr">
        <is>
          <t>USNFK</t>
        </is>
      </c>
      <c r="F278" t="inlineStr">
        <is>
          <t>RULED</t>
        </is>
      </c>
      <c r="G278" t="n">
        <v>27000</v>
      </c>
      <c r="H278" t="inlineStr">
        <is>
          <t>ART</t>
        </is>
      </c>
      <c r="I278" t="inlineStr">
        <is>
          <t>22DC</t>
        </is>
      </c>
      <c r="L278" t="inlineStr">
        <is>
          <t>OOG</t>
        </is>
      </c>
      <c r="M278" t="inlineStr">
        <is>
          <t>Full</t>
        </is>
      </c>
      <c r="N278" t="inlineStr">
        <is>
          <t>RULED</t>
        </is>
      </c>
      <c r="P278" s="21">
        <f>C278</f>
        <v/>
      </c>
      <c r="Q278" s="21">
        <f t="array" ref="Q278">IFERROR(INDEX(Load_Booking_Report!AC:AC, MATCH(TRUE, ISNUMBER(FIND(SUBSTITUTE(C278," ",""), Load_Booking_Report!AL:AL)), 0)), "Not Found")</f>
        <v/>
      </c>
      <c r="R278" s="21">
        <f t="array" ref="R278">IFERROR(INDEX(Load_Booking_Report!C:C, MATCH(TRUE, ISNUMBER(FIND(SUBSTITUTE(C278," ",""), Load_Booking_Report!AL:AL)), 0)), "Not Found")</f>
        <v/>
      </c>
      <c r="S278" s="21">
        <f t="array" ref="S278">IFERROR(INDEX(Load_Booking_Report!AG:AG, MATCH(TRUE, ISNUMBER(FIND(SUBSTITUTE(C278," ",""), Load_Booking_Report!AL:AL)), 0)), "Not Found")</f>
        <v/>
      </c>
      <c r="T278" s="21">
        <f>G278</f>
        <v/>
      </c>
      <c r="U278" s="33">
        <f t="array" ref="U278">IFERROR(
   IF(
      INDEX(Load_Booking_Report!AM:AM,
             MATCH(TRUE,
                     ISNUMBER(FIND(SUBSTITUTE(C278," ",""),
                                    Load_Booking_Report!AL:AL)),
                     0)
      )=0,
      "",
      INDEX(Load_Booking_Report!AM:AM,
             MATCH(TRUE,
                     ISNUMBER(FIND(SUBSTITUTE(C278," ",""),
                                    Load_Booking_Report!AL:AL)),
                     0)
      )
   ),
   ""
)</f>
        <v/>
      </c>
      <c r="V278" s="21">
        <f t="array" ref="V278">IFERROR(
   IF(
      INDEX(Load_Booking_Report!AR:AR,
             MATCH(TRUE,
                     ISNUMBER(FIND(SUBSTITUTE(C278," ",""),
                                    Load_Booking_Report!AL:AL)),
                     0)
      )=0,
      "",
      INDEX(Load_Booking_Report!AR:AR,
             MATCH(TRUE,
                     ISNUMBER(FIND(SUBSTITUTE(C278," ",""),
                                    Load_Booking_Report!AL:AL)),
                     0)
      )
   ),
   ""
)</f>
        <v/>
      </c>
      <c r="W278" s="21">
        <f t="array" ref="W278">IFERROR(INDEX(Load_Booking_Report!F:F, MATCH(TRUE, ISNUMBER(FIND(SUBSTITUTE(C278," ",""), Load_Booking_Report!AL:AL)), 0)), "Not Found")</f>
        <v/>
      </c>
      <c r="X278" s="21">
        <f t="array" ref="X278">IFERROR(INDEX(Load_Booking_Report!N:N, MATCH(TRUE, ISNUMBER(FIND(SUBSTITUTE(C278," ",""), Load_Booking_Report!AL:AL)), 0)), "Not Found")</f>
        <v/>
      </c>
      <c r="Y278" s="21">
        <f t="array" ref="Y278">IFERROR(INDEX(Load_Booking_Report!V:V, MATCH(TRUE, ISNUMBER(FIND(SUBSTITUTE(C278," ",""), Load_Booking_Report!AL:AL)), 0)), "Not Found")</f>
        <v/>
      </c>
      <c r="Z278" s="41">
        <f t="array" ref="Z278">IFERROR(INDEX(Load_Booking_Report!BC:BC, MATCH(TRUE, ISNUMBER(FIND(SUBSTITUTE(C278," ",""), Load_Booking_Report!AL:AL)), 0)), "Not Found")</f>
        <v/>
      </c>
    </row>
    <row r="279">
      <c r="A279" t="n">
        <v>23</v>
      </c>
      <c r="B279" t="n">
        <v>230104</v>
      </c>
      <c r="C279" t="inlineStr">
        <is>
          <t>ANON0000000</t>
        </is>
      </c>
      <c r="D279" t="n">
        <v>20</v>
      </c>
      <c r="E279" t="inlineStr">
        <is>
          <t>USNFK</t>
        </is>
      </c>
      <c r="F279" t="inlineStr">
        <is>
          <t>RULED</t>
        </is>
      </c>
      <c r="G279" t="n">
        <v>23670</v>
      </c>
      <c r="H279" t="inlineStr">
        <is>
          <t>ART</t>
        </is>
      </c>
      <c r="I279" t="inlineStr">
        <is>
          <t>22G1</t>
        </is>
      </c>
      <c r="L279" t="inlineStr">
        <is>
          <t>8'6</t>
        </is>
      </c>
      <c r="M279" t="inlineStr">
        <is>
          <t>Full</t>
        </is>
      </c>
      <c r="N279" t="inlineStr">
        <is>
          <t>RULED</t>
        </is>
      </c>
      <c r="P279" s="21">
        <f>C279</f>
        <v/>
      </c>
      <c r="Q279" s="21">
        <f t="array" ref="Q279">IFERROR(INDEX(Load_Booking_Report!AC:AC, MATCH(TRUE, ISNUMBER(FIND(SUBSTITUTE(C279," ",""), Load_Booking_Report!AL:AL)), 0)), "Not Found")</f>
        <v/>
      </c>
      <c r="R279" s="21">
        <f t="array" ref="R279">IFERROR(INDEX(Load_Booking_Report!C:C, MATCH(TRUE, ISNUMBER(FIND(SUBSTITUTE(C279," ",""), Load_Booking_Report!AL:AL)), 0)), "Not Found")</f>
        <v/>
      </c>
      <c r="S279" s="21">
        <f t="array" ref="S279">IFERROR(INDEX(Load_Booking_Report!AG:AG, MATCH(TRUE, ISNUMBER(FIND(SUBSTITUTE(C279," ",""), Load_Booking_Report!AL:AL)), 0)), "Not Found")</f>
        <v/>
      </c>
      <c r="T279" s="21">
        <f>G279</f>
        <v/>
      </c>
      <c r="U279" s="33">
        <f t="array" ref="U279">IFERROR(
   IF(
      INDEX(Load_Booking_Report!AM:AM,
             MATCH(TRUE,
                     ISNUMBER(FIND(SUBSTITUTE(C279," ",""),
                                    Load_Booking_Report!AL:AL)),
                     0)
      )=0,
      "",
      INDEX(Load_Booking_Report!AM:AM,
             MATCH(TRUE,
                     ISNUMBER(FIND(SUBSTITUTE(C279," ",""),
                                    Load_Booking_Report!AL:AL)),
                     0)
      )
   ),
   ""
)</f>
        <v/>
      </c>
      <c r="V279" s="21">
        <f t="array" ref="V279">IFERROR(
   IF(
      INDEX(Load_Booking_Report!AR:AR,
             MATCH(TRUE,
                     ISNUMBER(FIND(SUBSTITUTE(C279," ",""),
                                    Load_Booking_Report!AL:AL)),
                     0)
      )=0,
      "",
      INDEX(Load_Booking_Report!AR:AR,
             MATCH(TRUE,
                     ISNUMBER(FIND(SUBSTITUTE(C279," ",""),
                                    Load_Booking_Report!AL:AL)),
                     0)
      )
   ),
   ""
)</f>
        <v/>
      </c>
      <c r="W279" s="21">
        <f t="array" ref="W279">IFERROR(INDEX(Load_Booking_Report!F:F, MATCH(TRUE, ISNUMBER(FIND(SUBSTITUTE(C279," ",""), Load_Booking_Report!AL:AL)), 0)), "Not Found")</f>
        <v/>
      </c>
      <c r="X279" s="21">
        <f t="array" ref="X279">IFERROR(INDEX(Load_Booking_Report!N:N, MATCH(TRUE, ISNUMBER(FIND(SUBSTITUTE(C279," ",""), Load_Booking_Report!AL:AL)), 0)), "Not Found")</f>
        <v/>
      </c>
      <c r="Y279" s="21">
        <f t="array" ref="Y279">IFERROR(INDEX(Load_Booking_Report!V:V, MATCH(TRUE, ISNUMBER(FIND(SUBSTITUTE(C279," ",""), Load_Booking_Report!AL:AL)), 0)), "Not Found")</f>
        <v/>
      </c>
      <c r="Z279" s="41">
        <f t="array" ref="Z279">IFERROR(INDEX(Load_Booking_Report!BC:BC, MATCH(TRUE, ISNUMBER(FIND(SUBSTITUTE(C279," ",""), Load_Booking_Report!AL:AL)), 0)), "Not Found")</f>
        <v/>
      </c>
    </row>
    <row r="280">
      <c r="A280" t="n">
        <v>23</v>
      </c>
      <c r="B280" t="n">
        <v>230402</v>
      </c>
      <c r="C280" t="inlineStr">
        <is>
          <t>ANON0000000</t>
        </is>
      </c>
      <c r="D280" t="n">
        <v>20</v>
      </c>
      <c r="E280" t="inlineStr">
        <is>
          <t>USNFK</t>
        </is>
      </c>
      <c r="F280" t="inlineStr">
        <is>
          <t>RULED</t>
        </is>
      </c>
      <c r="G280" t="n">
        <v>23180</v>
      </c>
      <c r="H280" t="inlineStr">
        <is>
          <t>ART</t>
        </is>
      </c>
      <c r="I280" t="inlineStr">
        <is>
          <t>22G1</t>
        </is>
      </c>
      <c r="L280" t="inlineStr">
        <is>
          <t>8'6</t>
        </is>
      </c>
      <c r="M280" t="inlineStr">
        <is>
          <t>Full</t>
        </is>
      </c>
      <c r="N280" t="inlineStr">
        <is>
          <t>RULED</t>
        </is>
      </c>
      <c r="P280" s="21">
        <f>C280</f>
        <v/>
      </c>
      <c r="Q280" s="21">
        <f t="array" ref="Q280">IFERROR(INDEX(Load_Booking_Report!AC:AC, MATCH(TRUE, ISNUMBER(FIND(SUBSTITUTE(C280," ",""), Load_Booking_Report!AL:AL)), 0)), "Not Found")</f>
        <v/>
      </c>
      <c r="R280" s="21">
        <f t="array" ref="R280">IFERROR(INDEX(Load_Booking_Report!C:C, MATCH(TRUE, ISNUMBER(FIND(SUBSTITUTE(C280," ",""), Load_Booking_Report!AL:AL)), 0)), "Not Found")</f>
        <v/>
      </c>
      <c r="S280" s="21">
        <f t="array" ref="S280">IFERROR(INDEX(Load_Booking_Report!AG:AG, MATCH(TRUE, ISNUMBER(FIND(SUBSTITUTE(C280," ",""), Load_Booking_Report!AL:AL)), 0)), "Not Found")</f>
        <v/>
      </c>
      <c r="T280" s="21">
        <f>G280</f>
        <v/>
      </c>
      <c r="U280" s="33">
        <f t="array" ref="U280">IFERROR(
   IF(
      INDEX(Load_Booking_Report!AM:AM,
             MATCH(TRUE,
                     ISNUMBER(FIND(SUBSTITUTE(C280," ",""),
                                    Load_Booking_Report!AL:AL)),
                     0)
      )=0,
      "",
      INDEX(Load_Booking_Report!AM:AM,
             MATCH(TRUE,
                     ISNUMBER(FIND(SUBSTITUTE(C280," ",""),
                                    Load_Booking_Report!AL:AL)),
                     0)
      )
   ),
   ""
)</f>
        <v/>
      </c>
      <c r="V280" s="21">
        <f t="array" ref="V280">IFERROR(
   IF(
      INDEX(Load_Booking_Report!AR:AR,
             MATCH(TRUE,
                     ISNUMBER(FIND(SUBSTITUTE(C280," ",""),
                                    Load_Booking_Report!AL:AL)),
                     0)
      )=0,
      "",
      INDEX(Load_Booking_Report!AR:AR,
             MATCH(TRUE,
                     ISNUMBER(FIND(SUBSTITUTE(C280," ",""),
                                    Load_Booking_Report!AL:AL)),
                     0)
      )
   ),
   ""
)</f>
        <v/>
      </c>
      <c r="W280" s="21">
        <f t="array" ref="W280">IFERROR(INDEX(Load_Booking_Report!F:F, MATCH(TRUE, ISNUMBER(FIND(SUBSTITUTE(C280," ",""), Load_Booking_Report!AL:AL)), 0)), "Not Found")</f>
        <v/>
      </c>
      <c r="X280" s="21">
        <f t="array" ref="X280">IFERROR(INDEX(Load_Booking_Report!N:N, MATCH(TRUE, ISNUMBER(FIND(SUBSTITUTE(C280," ",""), Load_Booking_Report!AL:AL)), 0)), "Not Found")</f>
        <v/>
      </c>
      <c r="Y280" s="21">
        <f t="array" ref="Y280">IFERROR(INDEX(Load_Booking_Report!V:V, MATCH(TRUE, ISNUMBER(FIND(SUBSTITUTE(C280," ",""), Load_Booking_Report!AL:AL)), 0)), "Not Found")</f>
        <v/>
      </c>
      <c r="Z280" s="41">
        <f t="array" ref="Z280">IFERROR(INDEX(Load_Booking_Report!BC:BC, MATCH(TRUE, ISNUMBER(FIND(SUBSTITUTE(C280," ",""), Load_Booking_Report!AL:AL)), 0)), "Not Found")</f>
        <v/>
      </c>
    </row>
    <row r="281">
      <c r="A281" t="n">
        <v>22</v>
      </c>
      <c r="B281" t="n">
        <v>220108</v>
      </c>
      <c r="C281" t="inlineStr">
        <is>
          <t>ANON0000000</t>
        </is>
      </c>
      <c r="D281" t="n">
        <v>40</v>
      </c>
      <c r="E281" t="inlineStr">
        <is>
          <t>USNFK</t>
        </is>
      </c>
      <c r="F281" t="inlineStr">
        <is>
          <t>RULED</t>
        </is>
      </c>
      <c r="G281" t="n">
        <v>28830</v>
      </c>
      <c r="H281" t="inlineStr">
        <is>
          <t>ART</t>
        </is>
      </c>
      <c r="I281" t="inlineStr">
        <is>
          <t>45G1</t>
        </is>
      </c>
      <c r="L281" t="inlineStr">
        <is>
          <t>9'6</t>
        </is>
      </c>
      <c r="M281" t="inlineStr">
        <is>
          <t>Full</t>
        </is>
      </c>
      <c r="N281" t="inlineStr">
        <is>
          <t>RULED</t>
        </is>
      </c>
      <c r="P281" s="21">
        <f>C281</f>
        <v/>
      </c>
      <c r="Q281" s="21">
        <f t="array" ref="Q281">IFERROR(INDEX(Load_Booking_Report!AC:AC, MATCH(TRUE, ISNUMBER(FIND(SUBSTITUTE(C281," ",""), Load_Booking_Report!AL:AL)), 0)), "Not Found")</f>
        <v/>
      </c>
      <c r="R281" s="21">
        <f t="array" ref="R281">IFERROR(INDEX(Load_Booking_Report!C:C, MATCH(TRUE, ISNUMBER(FIND(SUBSTITUTE(C281," ",""), Load_Booking_Report!AL:AL)), 0)), "Not Found")</f>
        <v/>
      </c>
      <c r="S281" s="21">
        <f t="array" ref="S281">IFERROR(INDEX(Load_Booking_Report!AG:AG, MATCH(TRUE, ISNUMBER(FIND(SUBSTITUTE(C281," ",""), Load_Booking_Report!AL:AL)), 0)), "Not Found")</f>
        <v/>
      </c>
      <c r="T281" s="21">
        <f>G281</f>
        <v/>
      </c>
      <c r="U281" s="33">
        <f t="array" ref="U281">IFERROR(
   IF(
      INDEX(Load_Booking_Report!AM:AM,
             MATCH(TRUE,
                     ISNUMBER(FIND(SUBSTITUTE(C281," ",""),
                                    Load_Booking_Report!AL:AL)),
                     0)
      )=0,
      "",
      INDEX(Load_Booking_Report!AM:AM,
             MATCH(TRUE,
                     ISNUMBER(FIND(SUBSTITUTE(C281," ",""),
                                    Load_Booking_Report!AL:AL)),
                     0)
      )
   ),
   ""
)</f>
        <v/>
      </c>
      <c r="V281" s="21">
        <f t="array" ref="V281">IFERROR(
   IF(
      INDEX(Load_Booking_Report!AR:AR,
             MATCH(TRUE,
                     ISNUMBER(FIND(SUBSTITUTE(C281," ",""),
                                    Load_Booking_Report!AL:AL)),
                     0)
      )=0,
      "",
      INDEX(Load_Booking_Report!AR:AR,
             MATCH(TRUE,
                     ISNUMBER(FIND(SUBSTITUTE(C281," ",""),
                                    Load_Booking_Report!AL:AL)),
                     0)
      )
   ),
   ""
)</f>
        <v/>
      </c>
      <c r="W281" s="21">
        <f t="array" ref="W281">IFERROR(INDEX(Load_Booking_Report!F:F, MATCH(TRUE, ISNUMBER(FIND(SUBSTITUTE(C281," ",""), Load_Booking_Report!AL:AL)), 0)), "Not Found")</f>
        <v/>
      </c>
      <c r="X281" s="21">
        <f t="array" ref="X281">IFERROR(INDEX(Load_Booking_Report!N:N, MATCH(TRUE, ISNUMBER(FIND(SUBSTITUTE(C281," ",""), Load_Booking_Report!AL:AL)), 0)), "Not Found")</f>
        <v/>
      </c>
      <c r="Y281" s="21">
        <f t="array" ref="Y281">IFERROR(INDEX(Load_Booking_Report!V:V, MATCH(TRUE, ISNUMBER(FIND(SUBSTITUTE(C281," ",""), Load_Booking_Report!AL:AL)), 0)), "Not Found")</f>
        <v/>
      </c>
      <c r="Z281" s="41">
        <f t="array" ref="Z281">IFERROR(INDEX(Load_Booking_Report!BC:BC, MATCH(TRUE, ISNUMBER(FIND(SUBSTITUTE(C281," ",""), Load_Booking_Report!AL:AL)), 0)), "Not Found")</f>
        <v/>
      </c>
    </row>
    <row r="282">
      <c r="A282" t="n">
        <v>22</v>
      </c>
      <c r="B282" t="n">
        <v>220406</v>
      </c>
      <c r="C282" t="inlineStr">
        <is>
          <t>ANON0000000</t>
        </is>
      </c>
      <c r="D282" t="n">
        <v>40</v>
      </c>
      <c r="E282" t="inlineStr">
        <is>
          <t>USNFK</t>
        </is>
      </c>
      <c r="F282" t="inlineStr">
        <is>
          <t>RULED</t>
        </is>
      </c>
      <c r="G282" t="n">
        <v>28680</v>
      </c>
      <c r="H282" t="inlineStr">
        <is>
          <t>ART</t>
        </is>
      </c>
      <c r="I282" t="inlineStr">
        <is>
          <t>45G1</t>
        </is>
      </c>
      <c r="L282" t="inlineStr">
        <is>
          <t>9'6</t>
        </is>
      </c>
      <c r="M282" t="inlineStr">
        <is>
          <t>Full</t>
        </is>
      </c>
      <c r="N282" t="inlineStr">
        <is>
          <t>RULED</t>
        </is>
      </c>
      <c r="P282" s="21">
        <f>C282</f>
        <v/>
      </c>
      <c r="Q282" s="21">
        <f t="array" ref="Q282">IFERROR(INDEX(Load_Booking_Report!AC:AC, MATCH(TRUE, ISNUMBER(FIND(SUBSTITUTE(C282," ",""), Load_Booking_Report!AL:AL)), 0)), "Not Found")</f>
        <v/>
      </c>
      <c r="R282" s="21">
        <f t="array" ref="R282">IFERROR(INDEX(Load_Booking_Report!C:C, MATCH(TRUE, ISNUMBER(FIND(SUBSTITUTE(C282," ",""), Load_Booking_Report!AL:AL)), 0)), "Not Found")</f>
        <v/>
      </c>
      <c r="S282" s="21">
        <f t="array" ref="S282">IFERROR(INDEX(Load_Booking_Report!AG:AG, MATCH(TRUE, ISNUMBER(FIND(SUBSTITUTE(C282," ",""), Load_Booking_Report!AL:AL)), 0)), "Not Found")</f>
        <v/>
      </c>
      <c r="T282" s="21">
        <f>G282</f>
        <v/>
      </c>
      <c r="U282" s="33">
        <f t="array" ref="U282">IFERROR(
   IF(
      INDEX(Load_Booking_Report!AM:AM,
             MATCH(TRUE,
                     ISNUMBER(FIND(SUBSTITUTE(C282," ",""),
                                    Load_Booking_Report!AL:AL)),
                     0)
      )=0,
      "",
      INDEX(Load_Booking_Report!AM:AM,
             MATCH(TRUE,
                     ISNUMBER(FIND(SUBSTITUTE(C282," ",""),
                                    Load_Booking_Report!AL:AL)),
                     0)
      )
   ),
   ""
)</f>
        <v/>
      </c>
      <c r="V282" s="21">
        <f t="array" ref="V282">IFERROR(
   IF(
      INDEX(Load_Booking_Report!AR:AR,
             MATCH(TRUE,
                     ISNUMBER(FIND(SUBSTITUTE(C282," ",""),
                                    Load_Booking_Report!AL:AL)),
                     0)
      )=0,
      "",
      INDEX(Load_Booking_Report!AR:AR,
             MATCH(TRUE,
                     ISNUMBER(FIND(SUBSTITUTE(C282," ",""),
                                    Load_Booking_Report!AL:AL)),
                     0)
      )
   ),
   ""
)</f>
        <v/>
      </c>
      <c r="W282" s="21">
        <f t="array" ref="W282">IFERROR(INDEX(Load_Booking_Report!F:F, MATCH(TRUE, ISNUMBER(FIND(SUBSTITUTE(C282," ",""), Load_Booking_Report!AL:AL)), 0)), "Not Found")</f>
        <v/>
      </c>
      <c r="X282" s="21">
        <f t="array" ref="X282">IFERROR(INDEX(Load_Booking_Report!N:N, MATCH(TRUE, ISNUMBER(FIND(SUBSTITUTE(C282," ",""), Load_Booking_Report!AL:AL)), 0)), "Not Found")</f>
        <v/>
      </c>
      <c r="Y282" s="21">
        <f t="array" ref="Y282">IFERROR(INDEX(Load_Booking_Report!V:V, MATCH(TRUE, ISNUMBER(FIND(SUBSTITUTE(C282," ",""), Load_Booking_Report!AL:AL)), 0)), "Not Found")</f>
        <v/>
      </c>
      <c r="Z282" s="41">
        <f t="array" ref="Z282">IFERROR(INDEX(Load_Booking_Report!BC:BC, MATCH(TRUE, ISNUMBER(FIND(SUBSTITUTE(C282," ",""), Load_Booking_Report!AL:AL)), 0)), "Not Found")</f>
        <v/>
      </c>
    </row>
    <row r="283">
      <c r="A283" t="n">
        <v>22</v>
      </c>
      <c r="B283" t="n">
        <v>220308</v>
      </c>
      <c r="C283" s="37" t="inlineStr">
        <is>
          <t>ANON0000000</t>
        </is>
      </c>
      <c r="D283" t="n">
        <v>40</v>
      </c>
      <c r="E283" t="inlineStr">
        <is>
          <t>USNFK</t>
        </is>
      </c>
      <c r="F283" t="inlineStr">
        <is>
          <t>RULED</t>
        </is>
      </c>
      <c r="G283" t="n">
        <v>28620</v>
      </c>
      <c r="H283" t="inlineStr">
        <is>
          <t>ART</t>
        </is>
      </c>
      <c r="I283" t="inlineStr">
        <is>
          <t>45G1</t>
        </is>
      </c>
      <c r="L283" t="inlineStr">
        <is>
          <t>9'6</t>
        </is>
      </c>
      <c r="M283" t="inlineStr">
        <is>
          <t>Full</t>
        </is>
      </c>
      <c r="N283" t="inlineStr">
        <is>
          <t>RULED</t>
        </is>
      </c>
      <c r="P283" s="21">
        <f>C283</f>
        <v/>
      </c>
      <c r="Q283" s="21">
        <f t="array" ref="Q283">IFERROR(INDEX(Load_Booking_Report!AC:AC, MATCH(TRUE, ISNUMBER(FIND(SUBSTITUTE(C283," ",""), Load_Booking_Report!AL:AL)), 0)), "Not Found")</f>
        <v/>
      </c>
      <c r="R283" s="21">
        <f t="array" ref="R283">IFERROR(INDEX(Load_Booking_Report!C:C, MATCH(TRUE, ISNUMBER(FIND(SUBSTITUTE(C283," ",""), Load_Booking_Report!AL:AL)), 0)), "Not Found")</f>
        <v/>
      </c>
      <c r="S283" s="21">
        <f t="array" ref="S283">IFERROR(INDEX(Load_Booking_Report!AG:AG, MATCH(TRUE, ISNUMBER(FIND(SUBSTITUTE(C283," ",""), Load_Booking_Report!AL:AL)), 0)), "Not Found")</f>
        <v/>
      </c>
      <c r="T283" s="21">
        <f>G283</f>
        <v/>
      </c>
      <c r="U283" s="33">
        <f t="array" ref="U283">IFERROR(
   IF(
      INDEX(Load_Booking_Report!AM:AM,
             MATCH(TRUE,
                     ISNUMBER(FIND(SUBSTITUTE(C283," ",""),
                                    Load_Booking_Report!AL:AL)),
                     0)
      )=0,
      "",
      INDEX(Load_Booking_Report!AM:AM,
             MATCH(TRUE,
                     ISNUMBER(FIND(SUBSTITUTE(C283," ",""),
                                    Load_Booking_Report!AL:AL)),
                     0)
      )
   ),
   ""
)</f>
        <v/>
      </c>
      <c r="V283" s="21">
        <f t="array" ref="V283">IFERROR(
   IF(
      INDEX(Load_Booking_Report!AR:AR,
             MATCH(TRUE,
                     ISNUMBER(FIND(SUBSTITUTE(C283," ",""),
                                    Load_Booking_Report!AL:AL)),
                     0)
      )=0,
      "",
      INDEX(Load_Booking_Report!AR:AR,
             MATCH(TRUE,
                     ISNUMBER(FIND(SUBSTITUTE(C283," ",""),
                                    Load_Booking_Report!AL:AL)),
                     0)
      )
   ),
   ""
)</f>
        <v/>
      </c>
      <c r="W283" s="21">
        <f t="array" ref="W283">IFERROR(INDEX(Load_Booking_Report!F:F, MATCH(TRUE, ISNUMBER(FIND(SUBSTITUTE(C283," ",""), Load_Booking_Report!AL:AL)), 0)), "Not Found")</f>
        <v/>
      </c>
      <c r="X283" s="21">
        <f t="array" ref="X283">IFERROR(INDEX(Load_Booking_Report!N:N, MATCH(TRUE, ISNUMBER(FIND(SUBSTITUTE(C283," ",""), Load_Booking_Report!AL:AL)), 0)), "Not Found")</f>
        <v/>
      </c>
      <c r="Y283" s="21">
        <f t="array" ref="Y283">IFERROR(INDEX(Load_Booking_Report!V:V, MATCH(TRUE, ISNUMBER(FIND(SUBSTITUTE(C283," ",""), Load_Booking_Report!AL:AL)), 0)), "Not Found")</f>
        <v/>
      </c>
      <c r="Z283" s="41">
        <f t="array" ref="Z283">IFERROR(INDEX(Load_Booking_Report!BC:BC, MATCH(TRUE, ISNUMBER(FIND(SUBSTITUTE(C283," ",""), Load_Booking_Report!AL:AL)), 0)), "Not Found")</f>
        <v/>
      </c>
    </row>
    <row r="284">
      <c r="A284" t="n">
        <v>22</v>
      </c>
      <c r="B284" t="n">
        <v>220806</v>
      </c>
      <c r="C284" t="inlineStr">
        <is>
          <t>ANON0000000</t>
        </is>
      </c>
      <c r="D284" t="n">
        <v>40</v>
      </c>
      <c r="E284" t="inlineStr">
        <is>
          <t>USNFK</t>
        </is>
      </c>
      <c r="F284" t="inlineStr">
        <is>
          <t>RULED</t>
        </is>
      </c>
      <c r="G284" t="n">
        <v>28610</v>
      </c>
      <c r="H284" t="inlineStr">
        <is>
          <t>ART</t>
        </is>
      </c>
      <c r="I284" t="inlineStr">
        <is>
          <t>45G1</t>
        </is>
      </c>
      <c r="L284" t="inlineStr">
        <is>
          <t>9'6</t>
        </is>
      </c>
      <c r="M284" t="inlineStr">
        <is>
          <t>Full</t>
        </is>
      </c>
      <c r="N284" t="inlineStr">
        <is>
          <t>RULED</t>
        </is>
      </c>
      <c r="P284" s="21">
        <f>C284</f>
        <v/>
      </c>
      <c r="Q284" s="21">
        <f t="array" ref="Q284">IFERROR(INDEX(Load_Booking_Report!AC:AC, MATCH(TRUE, ISNUMBER(FIND(SUBSTITUTE(C284," ",""), Load_Booking_Report!AL:AL)), 0)), "Not Found")</f>
        <v/>
      </c>
      <c r="R284" s="21">
        <f t="array" ref="R284">IFERROR(INDEX(Load_Booking_Report!C:C, MATCH(TRUE, ISNUMBER(FIND(SUBSTITUTE(C284," ",""), Load_Booking_Report!AL:AL)), 0)), "Not Found")</f>
        <v/>
      </c>
      <c r="S284" s="21">
        <f t="array" ref="S284">IFERROR(INDEX(Load_Booking_Report!AG:AG, MATCH(TRUE, ISNUMBER(FIND(SUBSTITUTE(C284," ",""), Load_Booking_Report!AL:AL)), 0)), "Not Found")</f>
        <v/>
      </c>
      <c r="T284" s="21">
        <f>G284</f>
        <v/>
      </c>
      <c r="U284" s="33">
        <f t="array" ref="U284">IFERROR(
   IF(
      INDEX(Load_Booking_Report!AM:AM,
             MATCH(TRUE,
                     ISNUMBER(FIND(SUBSTITUTE(C284," ",""),
                                    Load_Booking_Report!AL:AL)),
                     0)
      )=0,
      "",
      INDEX(Load_Booking_Report!AM:AM,
             MATCH(TRUE,
                     ISNUMBER(FIND(SUBSTITUTE(C284," ",""),
                                    Load_Booking_Report!AL:AL)),
                     0)
      )
   ),
   ""
)</f>
        <v/>
      </c>
      <c r="V284" s="21">
        <f t="array" ref="V284">IFERROR(
   IF(
      INDEX(Load_Booking_Report!AR:AR,
             MATCH(TRUE,
                     ISNUMBER(FIND(SUBSTITUTE(C284," ",""),
                                    Load_Booking_Report!AL:AL)),
                     0)
      )=0,
      "",
      INDEX(Load_Booking_Report!AR:AR,
             MATCH(TRUE,
                     ISNUMBER(FIND(SUBSTITUTE(C284," ",""),
                                    Load_Booking_Report!AL:AL)),
                     0)
      )
   ),
   ""
)</f>
        <v/>
      </c>
      <c r="W284" s="21">
        <f t="array" ref="W284">IFERROR(INDEX(Load_Booking_Report!F:F, MATCH(TRUE, ISNUMBER(FIND(SUBSTITUTE(C284," ",""), Load_Booking_Report!AL:AL)), 0)), "Not Found")</f>
        <v/>
      </c>
      <c r="X284" s="21">
        <f t="array" ref="X284">IFERROR(INDEX(Load_Booking_Report!N:N, MATCH(TRUE, ISNUMBER(FIND(SUBSTITUTE(C284," ",""), Load_Booking_Report!AL:AL)), 0)), "Not Found")</f>
        <v/>
      </c>
      <c r="Y284" s="21">
        <f t="array" ref="Y284">IFERROR(INDEX(Load_Booking_Report!V:V, MATCH(TRUE, ISNUMBER(FIND(SUBSTITUTE(C284," ",""), Load_Booking_Report!AL:AL)), 0)), "Not Found")</f>
        <v/>
      </c>
      <c r="Z284" s="41">
        <f t="array" ref="Z284">IFERROR(INDEX(Load_Booking_Report!BC:BC, MATCH(TRUE, ISNUMBER(FIND(SUBSTITUTE(C284," ",""), Load_Booking_Report!AL:AL)), 0)), "Not Found")</f>
        <v/>
      </c>
    </row>
    <row r="285">
      <c r="A285" t="n">
        <v>22</v>
      </c>
      <c r="B285" t="n">
        <v>220508</v>
      </c>
      <c r="C285" t="inlineStr">
        <is>
          <t>ANON0000000</t>
        </is>
      </c>
      <c r="D285" t="n">
        <v>40</v>
      </c>
      <c r="E285" t="inlineStr">
        <is>
          <t>USNFK</t>
        </is>
      </c>
      <c r="F285" t="inlineStr">
        <is>
          <t>RULED</t>
        </is>
      </c>
      <c r="G285" t="n">
        <v>28720</v>
      </c>
      <c r="H285" t="inlineStr">
        <is>
          <t>ART</t>
        </is>
      </c>
      <c r="I285" t="inlineStr">
        <is>
          <t>45G1</t>
        </is>
      </c>
      <c r="L285" t="inlineStr">
        <is>
          <t>9'6</t>
        </is>
      </c>
      <c r="M285" t="inlineStr">
        <is>
          <t>Full</t>
        </is>
      </c>
      <c r="N285" t="inlineStr">
        <is>
          <t>RULED</t>
        </is>
      </c>
      <c r="P285" s="21">
        <f>C285</f>
        <v/>
      </c>
      <c r="Q285" s="21">
        <f t="array" ref="Q285">IFERROR(INDEX(Load_Booking_Report!AC:AC, MATCH(TRUE, ISNUMBER(FIND(SUBSTITUTE(C285," ",""), Load_Booking_Report!AL:AL)), 0)), "Not Found")</f>
        <v/>
      </c>
      <c r="R285" s="21">
        <f t="array" ref="R285">IFERROR(INDEX(Load_Booking_Report!C:C, MATCH(TRUE, ISNUMBER(FIND(SUBSTITUTE(C285," ",""), Load_Booking_Report!AL:AL)), 0)), "Not Found")</f>
        <v/>
      </c>
      <c r="S285" s="21">
        <f t="array" ref="S285">IFERROR(INDEX(Load_Booking_Report!AG:AG, MATCH(TRUE, ISNUMBER(FIND(SUBSTITUTE(C285," ",""), Load_Booking_Report!AL:AL)), 0)), "Not Found")</f>
        <v/>
      </c>
      <c r="T285" s="21">
        <f>G285</f>
        <v/>
      </c>
      <c r="U285" s="33">
        <f t="array" ref="U285">IFERROR(
   IF(
      INDEX(Load_Booking_Report!AM:AM,
             MATCH(TRUE,
                     ISNUMBER(FIND(SUBSTITUTE(C285," ",""),
                                    Load_Booking_Report!AL:AL)),
                     0)
      )=0,
      "",
      INDEX(Load_Booking_Report!AM:AM,
             MATCH(TRUE,
                     ISNUMBER(FIND(SUBSTITUTE(C285," ",""),
                                    Load_Booking_Report!AL:AL)),
                     0)
      )
   ),
   ""
)</f>
        <v/>
      </c>
      <c r="V285" s="21">
        <f t="array" ref="V285">IFERROR(
   IF(
      INDEX(Load_Booking_Report!AR:AR,
             MATCH(TRUE,
                     ISNUMBER(FIND(SUBSTITUTE(C285," ",""),
                                    Load_Booking_Report!AL:AL)),
                     0)
      )=0,
      "",
      INDEX(Load_Booking_Report!AR:AR,
             MATCH(TRUE,
                     ISNUMBER(FIND(SUBSTITUTE(C285," ",""),
                                    Load_Booking_Report!AL:AL)),
                     0)
      )
   ),
   ""
)</f>
        <v/>
      </c>
      <c r="W285" s="21">
        <f t="array" ref="W285">IFERROR(INDEX(Load_Booking_Report!F:F, MATCH(TRUE, ISNUMBER(FIND(SUBSTITUTE(C285," ",""), Load_Booking_Report!AL:AL)), 0)), "Not Found")</f>
        <v/>
      </c>
      <c r="X285" s="21">
        <f t="array" ref="X285">IFERROR(INDEX(Load_Booking_Report!N:N, MATCH(TRUE, ISNUMBER(FIND(SUBSTITUTE(C285," ",""), Load_Booking_Report!AL:AL)), 0)), "Not Found")</f>
        <v/>
      </c>
      <c r="Y285" s="21">
        <f t="array" ref="Y285">IFERROR(INDEX(Load_Booking_Report!V:V, MATCH(TRUE, ISNUMBER(FIND(SUBSTITUTE(C285," ",""), Load_Booking_Report!AL:AL)), 0)), "Not Found")</f>
        <v/>
      </c>
      <c r="Z285" s="41">
        <f t="array" ref="Z285">IFERROR(INDEX(Load_Booking_Report!BC:BC, MATCH(TRUE, ISNUMBER(FIND(SUBSTITUTE(C285," ",""), Load_Booking_Report!AL:AL)), 0)), "Not Found")</f>
        <v/>
      </c>
    </row>
    <row r="286">
      <c r="A286" t="n">
        <v>22</v>
      </c>
      <c r="B286" t="n">
        <v>220606</v>
      </c>
      <c r="C286" t="inlineStr">
        <is>
          <t>ANON0000000</t>
        </is>
      </c>
      <c r="D286" t="n">
        <v>40</v>
      </c>
      <c r="E286" t="inlineStr">
        <is>
          <t>USNFK</t>
        </is>
      </c>
      <c r="F286" t="inlineStr">
        <is>
          <t>RULED</t>
        </is>
      </c>
      <c r="G286" t="n">
        <v>28690</v>
      </c>
      <c r="H286" t="inlineStr">
        <is>
          <t>ART</t>
        </is>
      </c>
      <c r="I286" t="inlineStr">
        <is>
          <t>45G1</t>
        </is>
      </c>
      <c r="L286" t="inlineStr">
        <is>
          <t>9'6</t>
        </is>
      </c>
      <c r="M286" t="inlineStr">
        <is>
          <t>Full</t>
        </is>
      </c>
      <c r="N286" t="inlineStr">
        <is>
          <t>RULED</t>
        </is>
      </c>
      <c r="P286" s="21">
        <f>C286</f>
        <v/>
      </c>
      <c r="Q286" s="21">
        <f t="array" ref="Q286">IFERROR(INDEX(Load_Booking_Report!AC:AC, MATCH(TRUE, ISNUMBER(FIND(SUBSTITUTE(C286," ",""), Load_Booking_Report!AL:AL)), 0)), "Not Found")</f>
        <v/>
      </c>
      <c r="R286" s="21">
        <f t="array" ref="R286">IFERROR(INDEX(Load_Booking_Report!C:C, MATCH(TRUE, ISNUMBER(FIND(SUBSTITUTE(C286," ",""), Load_Booking_Report!AL:AL)), 0)), "Not Found")</f>
        <v/>
      </c>
      <c r="S286" s="21">
        <f t="array" ref="S286">IFERROR(INDEX(Load_Booking_Report!AG:AG, MATCH(TRUE, ISNUMBER(FIND(SUBSTITUTE(C286," ",""), Load_Booking_Report!AL:AL)), 0)), "Not Found")</f>
        <v/>
      </c>
      <c r="T286" s="21">
        <f>G286</f>
        <v/>
      </c>
      <c r="U286" s="33">
        <f t="array" ref="U286">IFERROR(
   IF(
      INDEX(Load_Booking_Report!AM:AM,
             MATCH(TRUE,
                     ISNUMBER(FIND(SUBSTITUTE(C286," ",""),
                                    Load_Booking_Report!AL:AL)),
                     0)
      )=0,
      "",
      INDEX(Load_Booking_Report!AM:AM,
             MATCH(TRUE,
                     ISNUMBER(FIND(SUBSTITUTE(C286," ",""),
                                    Load_Booking_Report!AL:AL)),
                     0)
      )
   ),
   ""
)</f>
        <v/>
      </c>
      <c r="V286" s="21">
        <f t="array" ref="V286">IFERROR(
   IF(
      INDEX(Load_Booking_Report!AR:AR,
             MATCH(TRUE,
                     ISNUMBER(FIND(SUBSTITUTE(C286," ",""),
                                    Load_Booking_Report!AL:AL)),
                     0)
      )=0,
      "",
      INDEX(Load_Booking_Report!AR:AR,
             MATCH(TRUE,
                     ISNUMBER(FIND(SUBSTITUTE(C286," ",""),
                                    Load_Booking_Report!AL:AL)),
                     0)
      )
   ),
   ""
)</f>
        <v/>
      </c>
      <c r="W286" s="21">
        <f t="array" ref="W286">IFERROR(INDEX(Load_Booking_Report!F:F, MATCH(TRUE, ISNUMBER(FIND(SUBSTITUTE(C286," ",""), Load_Booking_Report!AL:AL)), 0)), "Not Found")</f>
        <v/>
      </c>
      <c r="X286" s="21">
        <f t="array" ref="X286">IFERROR(INDEX(Load_Booking_Report!N:N, MATCH(TRUE, ISNUMBER(FIND(SUBSTITUTE(C286," ",""), Load_Booking_Report!AL:AL)), 0)), "Not Found")</f>
        <v/>
      </c>
      <c r="Y286" s="21">
        <f t="array" ref="Y286">IFERROR(INDEX(Load_Booking_Report!V:V, MATCH(TRUE, ISNUMBER(FIND(SUBSTITUTE(C286," ",""), Load_Booking_Report!AL:AL)), 0)), "Not Found")</f>
        <v/>
      </c>
      <c r="Z286" s="41">
        <f t="array" ref="Z286">IFERROR(INDEX(Load_Booking_Report!BC:BC, MATCH(TRUE, ISNUMBER(FIND(SUBSTITUTE(C286," ",""), Load_Booking_Report!AL:AL)), 0)), "Not Found")</f>
        <v/>
      </c>
    </row>
    <row r="287">
      <c r="A287" t="n">
        <v>22</v>
      </c>
      <c r="B287" t="n">
        <v>220708</v>
      </c>
      <c r="C287" t="inlineStr">
        <is>
          <t>ANON0000000</t>
        </is>
      </c>
      <c r="D287" t="n">
        <v>40</v>
      </c>
      <c r="E287" t="inlineStr">
        <is>
          <t>USNFK</t>
        </is>
      </c>
      <c r="F287" t="inlineStr">
        <is>
          <t>RULED</t>
        </is>
      </c>
      <c r="G287" t="n">
        <v>28740</v>
      </c>
      <c r="H287" t="inlineStr">
        <is>
          <t>ART</t>
        </is>
      </c>
      <c r="I287" t="inlineStr">
        <is>
          <t>45G1</t>
        </is>
      </c>
      <c r="L287" t="inlineStr">
        <is>
          <t>9'6</t>
        </is>
      </c>
      <c r="M287" t="inlineStr">
        <is>
          <t>Full</t>
        </is>
      </c>
      <c r="N287" t="inlineStr">
        <is>
          <t>RULED</t>
        </is>
      </c>
      <c r="P287" s="21">
        <f>C287</f>
        <v/>
      </c>
      <c r="Q287" s="21">
        <f t="array" ref="Q287">IFERROR(INDEX(Load_Booking_Report!AC:AC, MATCH(TRUE, ISNUMBER(FIND(SUBSTITUTE(C287," ",""), Load_Booking_Report!AL:AL)), 0)), "Not Found")</f>
        <v/>
      </c>
      <c r="R287" s="21">
        <f t="array" ref="R287">IFERROR(INDEX(Load_Booking_Report!C:C, MATCH(TRUE, ISNUMBER(FIND(SUBSTITUTE(C287," ",""), Load_Booking_Report!AL:AL)), 0)), "Not Found")</f>
        <v/>
      </c>
      <c r="S287" s="21">
        <f t="array" ref="S287">IFERROR(INDEX(Load_Booking_Report!AG:AG, MATCH(TRUE, ISNUMBER(FIND(SUBSTITUTE(C287," ",""), Load_Booking_Report!AL:AL)), 0)), "Not Found")</f>
        <v/>
      </c>
      <c r="T287" s="21">
        <f>G287</f>
        <v/>
      </c>
      <c r="U287" s="33">
        <f t="array" ref="U287">IFERROR(
   IF(
      INDEX(Load_Booking_Report!AM:AM,
             MATCH(TRUE,
                     ISNUMBER(FIND(SUBSTITUTE(C287," ",""),
                                    Load_Booking_Report!AL:AL)),
                     0)
      )=0,
      "",
      INDEX(Load_Booking_Report!AM:AM,
             MATCH(TRUE,
                     ISNUMBER(FIND(SUBSTITUTE(C287," ",""),
                                    Load_Booking_Report!AL:AL)),
                     0)
      )
   ),
   ""
)</f>
        <v/>
      </c>
      <c r="V287" s="21">
        <f t="array" ref="V287">IFERROR(
   IF(
      INDEX(Load_Booking_Report!AR:AR,
             MATCH(TRUE,
                     ISNUMBER(FIND(SUBSTITUTE(C287," ",""),
                                    Load_Booking_Report!AL:AL)),
                     0)
      )=0,
      "",
      INDEX(Load_Booking_Report!AR:AR,
             MATCH(TRUE,
                     ISNUMBER(FIND(SUBSTITUTE(C287," ",""),
                                    Load_Booking_Report!AL:AL)),
                     0)
      )
   ),
   ""
)</f>
        <v/>
      </c>
      <c r="W287" s="21">
        <f t="array" ref="W287">IFERROR(INDEX(Load_Booking_Report!F:F, MATCH(TRUE, ISNUMBER(FIND(SUBSTITUTE(C287," ",""), Load_Booking_Report!AL:AL)), 0)), "Not Found")</f>
        <v/>
      </c>
      <c r="X287" s="21">
        <f t="array" ref="X287">IFERROR(INDEX(Load_Booking_Report!N:N, MATCH(TRUE, ISNUMBER(FIND(SUBSTITUTE(C287," ",""), Load_Booking_Report!AL:AL)), 0)), "Not Found")</f>
        <v/>
      </c>
      <c r="Y287" s="21">
        <f t="array" ref="Y287">IFERROR(INDEX(Load_Booking_Report!V:V, MATCH(TRUE, ISNUMBER(FIND(SUBSTITUTE(C287," ",""), Load_Booking_Report!AL:AL)), 0)), "Not Found")</f>
        <v/>
      </c>
      <c r="Z287" s="41">
        <f t="array" ref="Z287">IFERROR(INDEX(Load_Booking_Report!BC:BC, MATCH(TRUE, ISNUMBER(FIND(SUBSTITUTE(C287," ",""), Load_Booking_Report!AL:AL)), 0)), "Not Found")</f>
        <v/>
      </c>
    </row>
    <row r="288">
      <c r="A288" t="n">
        <v>22</v>
      </c>
      <c r="B288" t="n">
        <v>220602</v>
      </c>
      <c r="C288" t="inlineStr">
        <is>
          <t>ANON0000000</t>
        </is>
      </c>
      <c r="D288" t="n">
        <v>40</v>
      </c>
      <c r="E288" t="inlineStr">
        <is>
          <t>USNFK</t>
        </is>
      </c>
      <c r="F288" t="inlineStr">
        <is>
          <t>RULED</t>
        </is>
      </c>
      <c r="G288" t="n">
        <v>28850</v>
      </c>
      <c r="H288" t="inlineStr">
        <is>
          <t>ART</t>
        </is>
      </c>
      <c r="I288" t="inlineStr">
        <is>
          <t>45G1</t>
        </is>
      </c>
      <c r="L288" t="inlineStr">
        <is>
          <t>9'6</t>
        </is>
      </c>
      <c r="M288" t="inlineStr">
        <is>
          <t>Full</t>
        </is>
      </c>
      <c r="N288" t="inlineStr">
        <is>
          <t>RULED</t>
        </is>
      </c>
      <c r="P288" s="21">
        <f>C288</f>
        <v/>
      </c>
      <c r="Q288" s="21">
        <f t="array" ref="Q288">IFERROR(INDEX(Load_Booking_Report!AC:AC, MATCH(TRUE, ISNUMBER(FIND(SUBSTITUTE(C288," ",""), Load_Booking_Report!AL:AL)), 0)), "Not Found")</f>
        <v/>
      </c>
      <c r="R288" s="21">
        <f t="array" ref="R288">IFERROR(INDEX(Load_Booking_Report!C:C, MATCH(TRUE, ISNUMBER(FIND(SUBSTITUTE(C288," ",""), Load_Booking_Report!AL:AL)), 0)), "Not Found")</f>
        <v/>
      </c>
      <c r="S288" s="21">
        <f t="array" ref="S288">IFERROR(INDEX(Load_Booking_Report!AG:AG, MATCH(TRUE, ISNUMBER(FIND(SUBSTITUTE(C288," ",""), Load_Booking_Report!AL:AL)), 0)), "Not Found")</f>
        <v/>
      </c>
      <c r="T288" s="21">
        <f>G288</f>
        <v/>
      </c>
      <c r="U288" s="33">
        <f t="array" ref="U288">IFERROR(
   IF(
      INDEX(Load_Booking_Report!AM:AM,
             MATCH(TRUE,
                     ISNUMBER(FIND(SUBSTITUTE(C288," ",""),
                                    Load_Booking_Report!AL:AL)),
                     0)
      )=0,
      "",
      INDEX(Load_Booking_Report!AM:AM,
             MATCH(TRUE,
                     ISNUMBER(FIND(SUBSTITUTE(C288," ",""),
                                    Load_Booking_Report!AL:AL)),
                     0)
      )
   ),
   ""
)</f>
        <v/>
      </c>
      <c r="V288" s="21">
        <f t="array" ref="V288">IFERROR(
   IF(
      INDEX(Load_Booking_Report!AR:AR,
             MATCH(TRUE,
                     ISNUMBER(FIND(SUBSTITUTE(C288," ",""),
                                    Load_Booking_Report!AL:AL)),
                     0)
      )=0,
      "",
      INDEX(Load_Booking_Report!AR:AR,
             MATCH(TRUE,
                     ISNUMBER(FIND(SUBSTITUTE(C288," ",""),
                                    Load_Booking_Report!AL:AL)),
                     0)
      )
   ),
   ""
)</f>
        <v/>
      </c>
      <c r="W288" s="21">
        <f t="array" ref="W288">IFERROR(INDEX(Load_Booking_Report!F:F, MATCH(TRUE, ISNUMBER(FIND(SUBSTITUTE(C288," ",""), Load_Booking_Report!AL:AL)), 0)), "Not Found")</f>
        <v/>
      </c>
      <c r="X288" s="21">
        <f t="array" ref="X288">IFERROR(INDEX(Load_Booking_Report!N:N, MATCH(TRUE, ISNUMBER(FIND(SUBSTITUTE(C288," ",""), Load_Booking_Report!AL:AL)), 0)), "Not Found")</f>
        <v/>
      </c>
      <c r="Y288" s="21">
        <f t="array" ref="Y288">IFERROR(INDEX(Load_Booking_Report!V:V, MATCH(TRUE, ISNUMBER(FIND(SUBSTITUTE(C288," ",""), Load_Booking_Report!AL:AL)), 0)), "Not Found")</f>
        <v/>
      </c>
      <c r="Z288" s="41">
        <f t="array" ref="Z288">IFERROR(INDEX(Load_Booking_Report!BC:BC, MATCH(TRUE, ISNUMBER(FIND(SUBSTITUTE(C288," ",""), Load_Booking_Report!AL:AL)), 0)), "Not Found")</f>
        <v/>
      </c>
    </row>
    <row r="289">
      <c r="A289" t="n">
        <v>22</v>
      </c>
      <c r="B289" t="n">
        <v>220704</v>
      </c>
      <c r="C289" t="inlineStr">
        <is>
          <t>ANON0000000</t>
        </is>
      </c>
      <c r="D289" t="n">
        <v>40</v>
      </c>
      <c r="E289" t="inlineStr">
        <is>
          <t>USNFK</t>
        </is>
      </c>
      <c r="F289" t="inlineStr">
        <is>
          <t>RULED</t>
        </is>
      </c>
      <c r="G289" t="n">
        <v>28720</v>
      </c>
      <c r="H289" t="inlineStr">
        <is>
          <t>ART</t>
        </is>
      </c>
      <c r="I289" t="inlineStr">
        <is>
          <t>45G1</t>
        </is>
      </c>
      <c r="L289" t="inlineStr">
        <is>
          <t>9'6</t>
        </is>
      </c>
      <c r="M289" t="inlineStr">
        <is>
          <t>Full</t>
        </is>
      </c>
      <c r="N289" t="inlineStr">
        <is>
          <t>RULED</t>
        </is>
      </c>
      <c r="P289" s="21">
        <f>C289</f>
        <v/>
      </c>
      <c r="Q289" s="21">
        <f t="array" ref="Q289">IFERROR(INDEX(Load_Booking_Report!AC:AC, MATCH(TRUE, ISNUMBER(FIND(SUBSTITUTE(C289," ",""), Load_Booking_Report!AL:AL)), 0)), "Not Found")</f>
        <v/>
      </c>
      <c r="R289" s="21">
        <f t="array" ref="R289">IFERROR(INDEX(Load_Booking_Report!C:C, MATCH(TRUE, ISNUMBER(FIND(SUBSTITUTE(C289," ",""), Load_Booking_Report!AL:AL)), 0)), "Not Found")</f>
        <v/>
      </c>
      <c r="S289" s="21">
        <f t="array" ref="S289">IFERROR(INDEX(Load_Booking_Report!AG:AG, MATCH(TRUE, ISNUMBER(FIND(SUBSTITUTE(C289," ",""), Load_Booking_Report!AL:AL)), 0)), "Not Found")</f>
        <v/>
      </c>
      <c r="T289" s="21">
        <f>G289</f>
        <v/>
      </c>
      <c r="U289" s="33">
        <f t="array" ref="U289">IFERROR(
   IF(
      INDEX(Load_Booking_Report!AM:AM,
             MATCH(TRUE,
                     ISNUMBER(FIND(SUBSTITUTE(C289," ",""),
                                    Load_Booking_Report!AL:AL)),
                     0)
      )=0,
      "",
      INDEX(Load_Booking_Report!AM:AM,
             MATCH(TRUE,
                     ISNUMBER(FIND(SUBSTITUTE(C289," ",""),
                                    Load_Booking_Report!AL:AL)),
                     0)
      )
   ),
   ""
)</f>
        <v/>
      </c>
      <c r="V289" s="21">
        <f t="array" ref="V289">IFERROR(
   IF(
      INDEX(Load_Booking_Report!AR:AR,
             MATCH(TRUE,
                     ISNUMBER(FIND(SUBSTITUTE(C289," ",""),
                                    Load_Booking_Report!AL:AL)),
                     0)
      )=0,
      "",
      INDEX(Load_Booking_Report!AR:AR,
             MATCH(TRUE,
                     ISNUMBER(FIND(SUBSTITUTE(C289," ",""),
                                    Load_Booking_Report!AL:AL)),
                     0)
      )
   ),
   ""
)</f>
        <v/>
      </c>
      <c r="W289" s="21">
        <f t="array" ref="W289">IFERROR(INDEX(Load_Booking_Report!F:F, MATCH(TRUE, ISNUMBER(FIND(SUBSTITUTE(C289," ",""), Load_Booking_Report!AL:AL)), 0)), "Not Found")</f>
        <v/>
      </c>
      <c r="X289" s="21">
        <f t="array" ref="X289">IFERROR(INDEX(Load_Booking_Report!N:N, MATCH(TRUE, ISNUMBER(FIND(SUBSTITUTE(C289," ",""), Load_Booking_Report!AL:AL)), 0)), "Not Found")</f>
        <v/>
      </c>
      <c r="Y289" s="21">
        <f t="array" ref="Y289">IFERROR(INDEX(Load_Booking_Report!V:V, MATCH(TRUE, ISNUMBER(FIND(SUBSTITUTE(C289," ",""), Load_Booking_Report!AL:AL)), 0)), "Not Found")</f>
        <v/>
      </c>
      <c r="Z289" s="41">
        <f t="array" ref="Z289">IFERROR(INDEX(Load_Booking_Report!BC:BC, MATCH(TRUE, ISNUMBER(FIND(SUBSTITUTE(C289," ",""), Load_Booking_Report!AL:AL)), 0)), "Not Found")</f>
        <v/>
      </c>
    </row>
    <row r="290">
      <c r="A290" t="n">
        <v>22</v>
      </c>
      <c r="B290" t="n">
        <v>220706</v>
      </c>
      <c r="C290" t="inlineStr">
        <is>
          <t>ANON0000000</t>
        </is>
      </c>
      <c r="D290" t="n">
        <v>40</v>
      </c>
      <c r="E290" t="inlineStr">
        <is>
          <t>USNFK</t>
        </is>
      </c>
      <c r="F290" t="inlineStr">
        <is>
          <t>RULED</t>
        </is>
      </c>
      <c r="G290" t="n">
        <v>28790</v>
      </c>
      <c r="H290" t="inlineStr">
        <is>
          <t>ART</t>
        </is>
      </c>
      <c r="I290" t="inlineStr">
        <is>
          <t>45G1</t>
        </is>
      </c>
      <c r="L290" t="inlineStr">
        <is>
          <t>9'6</t>
        </is>
      </c>
      <c r="M290" t="inlineStr">
        <is>
          <t>Full</t>
        </is>
      </c>
      <c r="N290" t="inlineStr">
        <is>
          <t>RULED</t>
        </is>
      </c>
      <c r="P290" s="21">
        <f>C290</f>
        <v/>
      </c>
      <c r="Q290" s="21">
        <f t="array" ref="Q290">IFERROR(INDEX(Load_Booking_Report!AC:AC, MATCH(TRUE, ISNUMBER(FIND(SUBSTITUTE(C290," ",""), Load_Booking_Report!AL:AL)), 0)), "Not Found")</f>
        <v/>
      </c>
      <c r="R290" s="21">
        <f t="array" ref="R290">IFERROR(INDEX(Load_Booking_Report!C:C, MATCH(TRUE, ISNUMBER(FIND(SUBSTITUTE(C290," ",""), Load_Booking_Report!AL:AL)), 0)), "Not Found")</f>
        <v/>
      </c>
      <c r="S290" s="21">
        <f t="array" ref="S290">IFERROR(INDEX(Load_Booking_Report!AG:AG, MATCH(TRUE, ISNUMBER(FIND(SUBSTITUTE(C290," ",""), Load_Booking_Report!AL:AL)), 0)), "Not Found")</f>
        <v/>
      </c>
      <c r="T290" s="21">
        <f>G290</f>
        <v/>
      </c>
      <c r="U290" s="33">
        <f t="array" ref="U290">IFERROR(
   IF(
      INDEX(Load_Booking_Report!AM:AM,
             MATCH(TRUE,
                     ISNUMBER(FIND(SUBSTITUTE(C290," ",""),
                                    Load_Booking_Report!AL:AL)),
                     0)
      )=0,
      "",
      INDEX(Load_Booking_Report!AM:AM,
             MATCH(TRUE,
                     ISNUMBER(FIND(SUBSTITUTE(C290," ",""),
                                    Load_Booking_Report!AL:AL)),
                     0)
      )
   ),
   ""
)</f>
        <v/>
      </c>
      <c r="V290" s="21">
        <f t="array" ref="V290">IFERROR(
   IF(
      INDEX(Load_Booking_Report!AR:AR,
             MATCH(TRUE,
                     ISNUMBER(FIND(SUBSTITUTE(C290," ",""),
                                    Load_Booking_Report!AL:AL)),
                     0)
      )=0,
      "",
      INDEX(Load_Booking_Report!AR:AR,
             MATCH(TRUE,
                     ISNUMBER(FIND(SUBSTITUTE(C290," ",""),
                                    Load_Booking_Report!AL:AL)),
                     0)
      )
   ),
   ""
)</f>
        <v/>
      </c>
      <c r="W290" s="21">
        <f t="array" ref="W290">IFERROR(INDEX(Load_Booking_Report!F:F, MATCH(TRUE, ISNUMBER(FIND(SUBSTITUTE(C290," ",""), Load_Booking_Report!AL:AL)), 0)), "Not Found")</f>
        <v/>
      </c>
      <c r="X290" s="21">
        <f t="array" ref="X290">IFERROR(INDEX(Load_Booking_Report!N:N, MATCH(TRUE, ISNUMBER(FIND(SUBSTITUTE(C290," ",""), Load_Booking_Report!AL:AL)), 0)), "Not Found")</f>
        <v/>
      </c>
      <c r="Y290" s="21">
        <f t="array" ref="Y290">IFERROR(INDEX(Load_Booking_Report!V:V, MATCH(TRUE, ISNUMBER(FIND(SUBSTITUTE(C290," ",""), Load_Booking_Report!AL:AL)), 0)), "Not Found")</f>
        <v/>
      </c>
      <c r="Z290" s="41">
        <f t="array" ref="Z290">IFERROR(INDEX(Load_Booking_Report!BC:BC, MATCH(TRUE, ISNUMBER(FIND(SUBSTITUTE(C290," ",""), Load_Booking_Report!AL:AL)), 0)), "Not Found")</f>
        <v/>
      </c>
    </row>
    <row r="291">
      <c r="A291" t="n">
        <v>22</v>
      </c>
      <c r="B291" t="n">
        <v>220702</v>
      </c>
      <c r="C291" t="inlineStr">
        <is>
          <t>ANON0000000</t>
        </is>
      </c>
      <c r="D291" t="n">
        <v>40</v>
      </c>
      <c r="E291" t="inlineStr">
        <is>
          <t>USNFK</t>
        </is>
      </c>
      <c r="F291" t="inlineStr">
        <is>
          <t>RULED</t>
        </is>
      </c>
      <c r="G291" t="n">
        <v>28730</v>
      </c>
      <c r="H291" t="inlineStr">
        <is>
          <t>ART</t>
        </is>
      </c>
      <c r="I291" t="inlineStr">
        <is>
          <t>45G1</t>
        </is>
      </c>
      <c r="L291" t="inlineStr">
        <is>
          <t>9'6</t>
        </is>
      </c>
      <c r="M291" t="inlineStr">
        <is>
          <t>Full</t>
        </is>
      </c>
      <c r="N291" t="inlineStr">
        <is>
          <t>RULED</t>
        </is>
      </c>
      <c r="P291" s="21">
        <f>C291</f>
        <v/>
      </c>
      <c r="Q291" s="21">
        <f t="array" ref="Q291">IFERROR(INDEX(Load_Booking_Report!AC:AC, MATCH(TRUE, ISNUMBER(FIND(SUBSTITUTE(C291," ",""), Load_Booking_Report!AL:AL)), 0)), "Not Found")</f>
        <v/>
      </c>
      <c r="R291" s="21">
        <f t="array" ref="R291">IFERROR(INDEX(Load_Booking_Report!C:C, MATCH(TRUE, ISNUMBER(FIND(SUBSTITUTE(C291," ",""), Load_Booking_Report!AL:AL)), 0)), "Not Found")</f>
        <v/>
      </c>
      <c r="S291" s="21">
        <f t="array" ref="S291">IFERROR(INDEX(Load_Booking_Report!AG:AG, MATCH(TRUE, ISNUMBER(FIND(SUBSTITUTE(C291," ",""), Load_Booking_Report!AL:AL)), 0)), "Not Found")</f>
        <v/>
      </c>
      <c r="T291" s="21">
        <f>G291</f>
        <v/>
      </c>
      <c r="U291" s="33">
        <f t="array" ref="U291">IFERROR(
   IF(
      INDEX(Load_Booking_Report!AM:AM,
             MATCH(TRUE,
                     ISNUMBER(FIND(SUBSTITUTE(C291," ",""),
                                    Load_Booking_Report!AL:AL)),
                     0)
      )=0,
      "",
      INDEX(Load_Booking_Report!AM:AM,
             MATCH(TRUE,
                     ISNUMBER(FIND(SUBSTITUTE(C291," ",""),
                                    Load_Booking_Report!AL:AL)),
                     0)
      )
   ),
   ""
)</f>
        <v/>
      </c>
      <c r="V291" s="21">
        <f t="array" ref="V291">IFERROR(
   IF(
      INDEX(Load_Booking_Report!AR:AR,
             MATCH(TRUE,
                     ISNUMBER(FIND(SUBSTITUTE(C291," ",""),
                                    Load_Booking_Report!AL:AL)),
                     0)
      )=0,
      "",
      INDEX(Load_Booking_Report!AR:AR,
             MATCH(TRUE,
                     ISNUMBER(FIND(SUBSTITUTE(C291," ",""),
                                    Load_Booking_Report!AL:AL)),
                     0)
      )
   ),
   ""
)</f>
        <v/>
      </c>
      <c r="W291" s="21">
        <f t="array" ref="W291">IFERROR(INDEX(Load_Booking_Report!F:F, MATCH(TRUE, ISNUMBER(FIND(SUBSTITUTE(C291," ",""), Load_Booking_Report!AL:AL)), 0)), "Not Found")</f>
        <v/>
      </c>
      <c r="X291" s="21">
        <f t="array" ref="X291">IFERROR(INDEX(Load_Booking_Report!N:N, MATCH(TRUE, ISNUMBER(FIND(SUBSTITUTE(C291," ",""), Load_Booking_Report!AL:AL)), 0)), "Not Found")</f>
        <v/>
      </c>
      <c r="Y291" s="21">
        <f t="array" ref="Y291">IFERROR(INDEX(Load_Booking_Report!V:V, MATCH(TRUE, ISNUMBER(FIND(SUBSTITUTE(C291," ",""), Load_Booking_Report!AL:AL)), 0)), "Not Found")</f>
        <v/>
      </c>
      <c r="Z291" s="41">
        <f t="array" ref="Z291">IFERROR(INDEX(Load_Booking_Report!BC:BC, MATCH(TRUE, ISNUMBER(FIND(SUBSTITUTE(C291," ",""), Load_Booking_Report!AL:AL)), 0)), "Not Found")</f>
        <v/>
      </c>
    </row>
    <row r="292">
      <c r="A292" t="n">
        <v>23</v>
      </c>
      <c r="B292" t="n">
        <v>230302</v>
      </c>
      <c r="C292" t="inlineStr">
        <is>
          <t>ANON0000000</t>
        </is>
      </c>
      <c r="D292" t="n">
        <v>20</v>
      </c>
      <c r="E292" t="inlineStr">
        <is>
          <t>USNFK</t>
        </is>
      </c>
      <c r="F292" t="inlineStr">
        <is>
          <t>RULED</t>
        </is>
      </c>
      <c r="G292" t="n">
        <v>23540</v>
      </c>
      <c r="H292" t="inlineStr">
        <is>
          <t>ART</t>
        </is>
      </c>
      <c r="I292" t="n">
        <v>2210</v>
      </c>
      <c r="L292" t="inlineStr">
        <is>
          <t>8'6</t>
        </is>
      </c>
      <c r="M292" t="inlineStr">
        <is>
          <t>Full</t>
        </is>
      </c>
      <c r="N292" t="inlineStr">
        <is>
          <t>RULED</t>
        </is>
      </c>
      <c r="P292" s="21">
        <f>C292</f>
        <v/>
      </c>
      <c r="Q292" s="21">
        <f t="array" ref="Q292">IFERROR(INDEX(Load_Booking_Report!AC:AC, MATCH(TRUE, ISNUMBER(FIND(SUBSTITUTE(C292," ",""), Load_Booking_Report!AL:AL)), 0)), "Not Found")</f>
        <v/>
      </c>
      <c r="R292" s="21">
        <f t="array" ref="R292">IFERROR(INDEX(Load_Booking_Report!C:C, MATCH(TRUE, ISNUMBER(FIND(SUBSTITUTE(C292," ",""), Load_Booking_Report!AL:AL)), 0)), "Not Found")</f>
        <v/>
      </c>
      <c r="S292" s="21">
        <f t="array" ref="S292">IFERROR(INDEX(Load_Booking_Report!AG:AG, MATCH(TRUE, ISNUMBER(FIND(SUBSTITUTE(C292," ",""), Load_Booking_Report!AL:AL)), 0)), "Not Found")</f>
        <v/>
      </c>
      <c r="T292" s="21">
        <f>G292</f>
        <v/>
      </c>
      <c r="U292" s="33">
        <f t="array" ref="U292">IFERROR(
   IF(
      INDEX(Load_Booking_Report!AM:AM,
             MATCH(TRUE,
                     ISNUMBER(FIND(SUBSTITUTE(C292," ",""),
                                    Load_Booking_Report!AL:AL)),
                     0)
      )=0,
      "",
      INDEX(Load_Booking_Report!AM:AM,
             MATCH(TRUE,
                     ISNUMBER(FIND(SUBSTITUTE(C292," ",""),
                                    Load_Booking_Report!AL:AL)),
                     0)
      )
   ),
   ""
)</f>
        <v/>
      </c>
      <c r="V292" s="21">
        <f t="array" ref="V292">IFERROR(
   IF(
      INDEX(Load_Booking_Report!AR:AR,
             MATCH(TRUE,
                     ISNUMBER(FIND(SUBSTITUTE(C292," ",""),
                                    Load_Booking_Report!AL:AL)),
                     0)
      )=0,
      "",
      INDEX(Load_Booking_Report!AR:AR,
             MATCH(TRUE,
                     ISNUMBER(FIND(SUBSTITUTE(C292," ",""),
                                    Load_Booking_Report!AL:AL)),
                     0)
      )
   ),
   ""
)</f>
        <v/>
      </c>
      <c r="W292" s="21">
        <f t="array" ref="W292">IFERROR(INDEX(Load_Booking_Report!F:F, MATCH(TRUE, ISNUMBER(FIND(SUBSTITUTE(C292," ",""), Load_Booking_Report!AL:AL)), 0)), "Not Found")</f>
        <v/>
      </c>
      <c r="X292" s="21">
        <f t="array" ref="X292">IFERROR(INDEX(Load_Booking_Report!N:N, MATCH(TRUE, ISNUMBER(FIND(SUBSTITUTE(C292," ",""), Load_Booking_Report!AL:AL)), 0)), "Not Found")</f>
        <v/>
      </c>
      <c r="Y292" s="21">
        <f t="array" ref="Y292">IFERROR(INDEX(Load_Booking_Report!V:V, MATCH(TRUE, ISNUMBER(FIND(SUBSTITUTE(C292," ",""), Load_Booking_Report!AL:AL)), 0)), "Not Found")</f>
        <v/>
      </c>
      <c r="Z292" s="41">
        <f t="array" ref="Z292">IFERROR(INDEX(Load_Booking_Report!BC:BC, MATCH(TRUE, ISNUMBER(FIND(SUBSTITUTE(C292," ",""), Load_Booking_Report!AL:AL)), 0)), "Not Found")</f>
        <v/>
      </c>
    </row>
    <row r="293">
      <c r="A293" t="n">
        <v>22</v>
      </c>
      <c r="B293" t="n">
        <v>220604</v>
      </c>
      <c r="C293" t="inlineStr">
        <is>
          <t>ANON0000000</t>
        </is>
      </c>
      <c r="D293" t="n">
        <v>40</v>
      </c>
      <c r="E293" t="inlineStr">
        <is>
          <t>USNFK</t>
        </is>
      </c>
      <c r="F293" t="inlineStr">
        <is>
          <t>RULED</t>
        </is>
      </c>
      <c r="G293" t="n">
        <v>28700</v>
      </c>
      <c r="H293" t="inlineStr">
        <is>
          <t>ART</t>
        </is>
      </c>
      <c r="I293" t="n">
        <v>4510</v>
      </c>
      <c r="L293" t="inlineStr">
        <is>
          <t>9'6</t>
        </is>
      </c>
      <c r="M293" t="inlineStr">
        <is>
          <t>Full</t>
        </is>
      </c>
      <c r="N293" t="inlineStr">
        <is>
          <t>RULED</t>
        </is>
      </c>
      <c r="P293" s="21">
        <f>C293</f>
        <v/>
      </c>
      <c r="Q293" s="21">
        <f t="array" ref="Q293">IFERROR(INDEX(Load_Booking_Report!AC:AC, MATCH(TRUE, ISNUMBER(FIND(SUBSTITUTE(C293," ",""), Load_Booking_Report!AL:AL)), 0)), "Not Found")</f>
        <v/>
      </c>
      <c r="R293" s="21">
        <f t="array" ref="R293">IFERROR(INDEX(Load_Booking_Report!C:C, MATCH(TRUE, ISNUMBER(FIND(SUBSTITUTE(C293," ",""), Load_Booking_Report!AL:AL)), 0)), "Not Found")</f>
        <v/>
      </c>
      <c r="S293" s="21">
        <f t="array" ref="S293">IFERROR(INDEX(Load_Booking_Report!AG:AG, MATCH(TRUE, ISNUMBER(FIND(SUBSTITUTE(C293," ",""), Load_Booking_Report!AL:AL)), 0)), "Not Found")</f>
        <v/>
      </c>
      <c r="T293" s="21">
        <f>G293</f>
        <v/>
      </c>
      <c r="U293" s="33">
        <f t="array" ref="U293">IFERROR(
   IF(
      INDEX(Load_Booking_Report!AM:AM,
             MATCH(TRUE,
                     ISNUMBER(FIND(SUBSTITUTE(C293," ",""),
                                    Load_Booking_Report!AL:AL)),
                     0)
      )=0,
      "",
      INDEX(Load_Booking_Report!AM:AM,
             MATCH(TRUE,
                     ISNUMBER(FIND(SUBSTITUTE(C293," ",""),
                                    Load_Booking_Report!AL:AL)),
                     0)
      )
   ),
   ""
)</f>
        <v/>
      </c>
      <c r="V293" s="21">
        <f t="array" ref="V293">IFERROR(
   IF(
      INDEX(Load_Booking_Report!AR:AR,
             MATCH(TRUE,
                     ISNUMBER(FIND(SUBSTITUTE(C293," ",""),
                                    Load_Booking_Report!AL:AL)),
                     0)
      )=0,
      "",
      INDEX(Load_Booking_Report!AR:AR,
             MATCH(TRUE,
                     ISNUMBER(FIND(SUBSTITUTE(C293," ",""),
                                    Load_Booking_Report!AL:AL)),
                     0)
      )
   ),
   ""
)</f>
        <v/>
      </c>
      <c r="W293" s="21">
        <f t="array" ref="W293">IFERROR(INDEX(Load_Booking_Report!F:F, MATCH(TRUE, ISNUMBER(FIND(SUBSTITUTE(C293," ",""), Load_Booking_Report!AL:AL)), 0)), "Not Found")</f>
        <v/>
      </c>
      <c r="X293" s="21">
        <f t="array" ref="X293">IFERROR(INDEX(Load_Booking_Report!N:N, MATCH(TRUE, ISNUMBER(FIND(SUBSTITUTE(C293," ",""), Load_Booking_Report!AL:AL)), 0)), "Not Found")</f>
        <v/>
      </c>
      <c r="Y293" s="21">
        <f t="array" ref="Y293">IFERROR(INDEX(Load_Booking_Report!V:V, MATCH(TRUE, ISNUMBER(FIND(SUBSTITUTE(C293," ",""), Load_Booking_Report!AL:AL)), 0)), "Not Found")</f>
        <v/>
      </c>
      <c r="Z293" s="41">
        <f t="array" ref="Z293">IFERROR(INDEX(Load_Booking_Report!BC:BC, MATCH(TRUE, ISNUMBER(FIND(SUBSTITUTE(C293," ",""), Load_Booking_Report!AL:AL)), 0)), "Not Found")</f>
        <v/>
      </c>
    </row>
    <row r="294">
      <c r="A294" t="n">
        <v>2</v>
      </c>
      <c r="B294" t="n">
        <v>20086</v>
      </c>
      <c r="C294" t="inlineStr">
        <is>
          <t>ANON0000000</t>
        </is>
      </c>
      <c r="D294" t="n">
        <v>40</v>
      </c>
      <c r="E294" t="inlineStr">
        <is>
          <t>USNFK</t>
        </is>
      </c>
      <c r="F294" t="inlineStr">
        <is>
          <t>RULED</t>
        </is>
      </c>
      <c r="G294" t="n">
        <v>28640</v>
      </c>
      <c r="H294" t="inlineStr">
        <is>
          <t>ART</t>
        </is>
      </c>
      <c r="I294" t="n">
        <v>4510</v>
      </c>
      <c r="L294" t="inlineStr">
        <is>
          <t>9'6</t>
        </is>
      </c>
      <c r="M294" t="inlineStr">
        <is>
          <t>Full</t>
        </is>
      </c>
      <c r="N294" t="inlineStr">
        <is>
          <t>RULED</t>
        </is>
      </c>
      <c r="P294" s="21">
        <f>C294</f>
        <v/>
      </c>
      <c r="Q294" s="21">
        <f t="array" ref="Q294">IFERROR(INDEX(Load_Booking_Report!AC:AC, MATCH(TRUE, ISNUMBER(FIND(SUBSTITUTE(C294," ",""), Load_Booking_Report!AL:AL)), 0)), "Not Found")</f>
        <v/>
      </c>
      <c r="R294" s="21">
        <f t="array" ref="R294">IFERROR(INDEX(Load_Booking_Report!C:C, MATCH(TRUE, ISNUMBER(FIND(SUBSTITUTE(C294," ",""), Load_Booking_Report!AL:AL)), 0)), "Not Found")</f>
        <v/>
      </c>
      <c r="S294" s="21">
        <f t="array" ref="S294">IFERROR(INDEX(Load_Booking_Report!AG:AG, MATCH(TRUE, ISNUMBER(FIND(SUBSTITUTE(C294," ",""), Load_Booking_Report!AL:AL)), 0)), "Not Found")</f>
        <v/>
      </c>
      <c r="T294" s="21">
        <f>G294</f>
        <v/>
      </c>
      <c r="U294" s="33">
        <f t="array" ref="U294">IFERROR(
   IF(
      INDEX(Load_Booking_Report!AM:AM,
             MATCH(TRUE,
                     ISNUMBER(FIND(SUBSTITUTE(C294," ",""),
                                    Load_Booking_Report!AL:AL)),
                     0)
      )=0,
      "",
      INDEX(Load_Booking_Report!AM:AM,
             MATCH(TRUE,
                     ISNUMBER(FIND(SUBSTITUTE(C294," ",""),
                                    Load_Booking_Report!AL:AL)),
                     0)
      )
   ),
   ""
)</f>
        <v/>
      </c>
      <c r="V294" s="21">
        <f t="array" ref="V294">IFERROR(
   IF(
      INDEX(Load_Booking_Report!AR:AR,
             MATCH(TRUE,
                     ISNUMBER(FIND(SUBSTITUTE(C294," ",""),
                                    Load_Booking_Report!AL:AL)),
                     0)
      )=0,
      "",
      INDEX(Load_Booking_Report!AR:AR,
             MATCH(TRUE,
                     ISNUMBER(FIND(SUBSTITUTE(C294," ",""),
                                    Load_Booking_Report!AL:AL)),
                     0)
      )
   ),
   ""
)</f>
        <v/>
      </c>
      <c r="W294" s="21">
        <f t="array" ref="W294">IFERROR(INDEX(Load_Booking_Report!F:F, MATCH(TRUE, ISNUMBER(FIND(SUBSTITUTE(C294," ",""), Load_Booking_Report!AL:AL)), 0)), "Not Found")</f>
        <v/>
      </c>
      <c r="X294" s="21">
        <f t="array" ref="X294">IFERROR(INDEX(Load_Booking_Report!N:N, MATCH(TRUE, ISNUMBER(FIND(SUBSTITUTE(C294," ",""), Load_Booking_Report!AL:AL)), 0)), "Not Found")</f>
        <v/>
      </c>
      <c r="Y294" s="21">
        <f t="array" ref="Y294">IFERROR(INDEX(Load_Booking_Report!V:V, MATCH(TRUE, ISNUMBER(FIND(SUBSTITUTE(C294," ",""), Load_Booking_Report!AL:AL)), 0)), "Not Found")</f>
        <v/>
      </c>
      <c r="Z294" s="41">
        <f t="array" ref="Z294">IFERROR(INDEX(Load_Booking_Report!BC:BC, MATCH(TRUE, ISNUMBER(FIND(SUBSTITUTE(C294," ",""), Load_Booking_Report!AL:AL)), 0)), "Not Found")</f>
        <v/>
      </c>
    </row>
    <row r="295">
      <c r="A295" t="n">
        <v>22</v>
      </c>
      <c r="B295" t="n">
        <v>220804</v>
      </c>
      <c r="C295" t="inlineStr">
        <is>
          <t>ANON0000000</t>
        </is>
      </c>
      <c r="D295" t="n">
        <v>40</v>
      </c>
      <c r="E295" t="inlineStr">
        <is>
          <t>USNFK</t>
        </is>
      </c>
      <c r="F295" t="inlineStr">
        <is>
          <t>RULED</t>
        </is>
      </c>
      <c r="G295" t="n">
        <v>28760</v>
      </c>
      <c r="H295" t="inlineStr">
        <is>
          <t>ART</t>
        </is>
      </c>
      <c r="I295" t="n">
        <v>4510</v>
      </c>
      <c r="L295" t="inlineStr">
        <is>
          <t>9'6</t>
        </is>
      </c>
      <c r="M295" t="inlineStr">
        <is>
          <t>Full</t>
        </is>
      </c>
      <c r="N295" t="inlineStr">
        <is>
          <t>RULED</t>
        </is>
      </c>
      <c r="P295" s="21">
        <f>C295</f>
        <v/>
      </c>
      <c r="Q295" s="21">
        <f t="array" ref="Q295">IFERROR(INDEX(Load_Booking_Report!AC:AC, MATCH(TRUE, ISNUMBER(FIND(SUBSTITUTE(C295," ",""), Load_Booking_Report!AL:AL)), 0)), "Not Found")</f>
        <v/>
      </c>
      <c r="R295" s="21">
        <f t="array" ref="R295">IFERROR(INDEX(Load_Booking_Report!C:C, MATCH(TRUE, ISNUMBER(FIND(SUBSTITUTE(C295," ",""), Load_Booking_Report!AL:AL)), 0)), "Not Found")</f>
        <v/>
      </c>
      <c r="S295" s="21">
        <f t="array" ref="S295">IFERROR(INDEX(Load_Booking_Report!AG:AG, MATCH(TRUE, ISNUMBER(FIND(SUBSTITUTE(C295," ",""), Load_Booking_Report!AL:AL)), 0)), "Not Found")</f>
        <v/>
      </c>
      <c r="T295" s="21">
        <f>G295</f>
        <v/>
      </c>
      <c r="U295" s="33">
        <f t="array" ref="U295">IFERROR(
   IF(
      INDEX(Load_Booking_Report!AM:AM,
             MATCH(TRUE,
                     ISNUMBER(FIND(SUBSTITUTE(C295," ",""),
                                    Load_Booking_Report!AL:AL)),
                     0)
      )=0,
      "",
      INDEX(Load_Booking_Report!AM:AM,
             MATCH(TRUE,
                     ISNUMBER(FIND(SUBSTITUTE(C295," ",""),
                                    Load_Booking_Report!AL:AL)),
                     0)
      )
   ),
   ""
)</f>
        <v/>
      </c>
      <c r="V295" s="21">
        <f t="array" ref="V295">IFERROR(
   IF(
      INDEX(Load_Booking_Report!AR:AR,
             MATCH(TRUE,
                     ISNUMBER(FIND(SUBSTITUTE(C295," ",""),
                                    Load_Booking_Report!AL:AL)),
                     0)
      )=0,
      "",
      INDEX(Load_Booking_Report!AR:AR,
             MATCH(TRUE,
                     ISNUMBER(FIND(SUBSTITUTE(C295," ",""),
                                    Load_Booking_Report!AL:AL)),
                     0)
      )
   ),
   ""
)</f>
        <v/>
      </c>
      <c r="W295" s="21">
        <f t="array" ref="W295">IFERROR(INDEX(Load_Booking_Report!F:F, MATCH(TRUE, ISNUMBER(FIND(SUBSTITUTE(C295," ",""), Load_Booking_Report!AL:AL)), 0)), "Not Found")</f>
        <v/>
      </c>
      <c r="X295" s="21">
        <f t="array" ref="X295">IFERROR(INDEX(Load_Booking_Report!N:N, MATCH(TRUE, ISNUMBER(FIND(SUBSTITUTE(C295," ",""), Load_Booking_Report!AL:AL)), 0)), "Not Found")</f>
        <v/>
      </c>
      <c r="Y295" s="21">
        <f t="array" ref="Y295">IFERROR(INDEX(Load_Booking_Report!V:V, MATCH(TRUE, ISNUMBER(FIND(SUBSTITUTE(C295," ",""), Load_Booking_Report!AL:AL)), 0)), "Not Found")</f>
        <v/>
      </c>
      <c r="Z295" s="41">
        <f t="array" ref="Z295">IFERROR(INDEX(Load_Booking_Report!BC:BC, MATCH(TRUE, ISNUMBER(FIND(SUBSTITUTE(C295," ",""), Load_Booking_Report!AL:AL)), 0)), "Not Found")</f>
        <v/>
      </c>
    </row>
    <row r="296">
      <c r="A296" t="n">
        <v>6</v>
      </c>
      <c r="B296" t="n">
        <v>60104</v>
      </c>
      <c r="C296" t="inlineStr">
        <is>
          <t>ANON0000000</t>
        </is>
      </c>
      <c r="D296" t="n">
        <v>40</v>
      </c>
      <c r="E296" t="inlineStr">
        <is>
          <t>USNFK</t>
        </is>
      </c>
      <c r="F296" t="inlineStr">
        <is>
          <t>RULED</t>
        </is>
      </c>
      <c r="G296" t="n">
        <v>28780</v>
      </c>
      <c r="H296" t="inlineStr">
        <is>
          <t>ART</t>
        </is>
      </c>
      <c r="I296" t="inlineStr">
        <is>
          <t>45G1</t>
        </is>
      </c>
      <c r="L296" t="inlineStr">
        <is>
          <t>9'6</t>
        </is>
      </c>
      <c r="M296" t="inlineStr">
        <is>
          <t>Full</t>
        </is>
      </c>
      <c r="N296" t="inlineStr">
        <is>
          <t>RULED</t>
        </is>
      </c>
      <c r="P296" s="21">
        <f>C296</f>
        <v/>
      </c>
      <c r="Q296" s="21">
        <f t="array" ref="Q296">IFERROR(INDEX(Load_Booking_Report!AC:AC, MATCH(TRUE, ISNUMBER(FIND(SUBSTITUTE(C296," ",""), Load_Booking_Report!AL:AL)), 0)), "Not Found")</f>
        <v/>
      </c>
      <c r="R296" s="21">
        <f t="array" ref="R296">IFERROR(INDEX(Load_Booking_Report!C:C, MATCH(TRUE, ISNUMBER(FIND(SUBSTITUTE(C296," ",""), Load_Booking_Report!AL:AL)), 0)), "Not Found")</f>
        <v/>
      </c>
      <c r="S296" s="21">
        <f t="array" ref="S296">IFERROR(INDEX(Load_Booking_Report!AG:AG, MATCH(TRUE, ISNUMBER(FIND(SUBSTITUTE(C296," ",""), Load_Booking_Report!AL:AL)), 0)), "Not Found")</f>
        <v/>
      </c>
      <c r="T296" s="21">
        <f>G296</f>
        <v/>
      </c>
      <c r="U296" s="33">
        <f t="array" ref="U296">IFERROR(
   IF(
      INDEX(Load_Booking_Report!AM:AM,
             MATCH(TRUE,
                     ISNUMBER(FIND(SUBSTITUTE(C296," ",""),
                                    Load_Booking_Report!AL:AL)),
                     0)
      )=0,
      "",
      INDEX(Load_Booking_Report!AM:AM,
             MATCH(TRUE,
                     ISNUMBER(FIND(SUBSTITUTE(C296," ",""),
                                    Load_Booking_Report!AL:AL)),
                     0)
      )
   ),
   ""
)</f>
        <v/>
      </c>
      <c r="V296" s="21">
        <f t="array" ref="V296">IFERROR(
   IF(
      INDEX(Load_Booking_Report!AR:AR,
             MATCH(TRUE,
                     ISNUMBER(FIND(SUBSTITUTE(C296," ",""),
                                    Load_Booking_Report!AL:AL)),
                     0)
      )=0,
      "",
      INDEX(Load_Booking_Report!AR:AR,
             MATCH(TRUE,
                     ISNUMBER(FIND(SUBSTITUTE(C296," ",""),
                                    Load_Booking_Report!AL:AL)),
                     0)
      )
   ),
   ""
)</f>
        <v/>
      </c>
      <c r="W296" s="21">
        <f t="array" ref="W296">IFERROR(INDEX(Load_Booking_Report!F:F, MATCH(TRUE, ISNUMBER(FIND(SUBSTITUTE(C296," ",""), Load_Booking_Report!AL:AL)), 0)), "Not Found")</f>
        <v/>
      </c>
      <c r="X296" s="21">
        <f t="array" ref="X296">IFERROR(INDEX(Load_Booking_Report!N:N, MATCH(TRUE, ISNUMBER(FIND(SUBSTITUTE(C296," ",""), Load_Booking_Report!AL:AL)), 0)), "Not Found")</f>
        <v/>
      </c>
      <c r="Y296" s="21">
        <f t="array" ref="Y296">IFERROR(INDEX(Load_Booking_Report!V:V, MATCH(TRUE, ISNUMBER(FIND(SUBSTITUTE(C296," ",""), Load_Booking_Report!AL:AL)), 0)), "Not Found")</f>
        <v/>
      </c>
      <c r="Z296" s="41">
        <f t="array" ref="Z296">IFERROR(INDEX(Load_Booking_Report!BC:BC, MATCH(TRUE, ISNUMBER(FIND(SUBSTITUTE(C296," ",""), Load_Booking_Report!AL:AL)), 0)), "Not Found")</f>
        <v/>
      </c>
    </row>
    <row r="297">
      <c r="A297" t="n">
        <v>2</v>
      </c>
      <c r="B297" t="n">
        <v>20386</v>
      </c>
      <c r="C297" t="inlineStr">
        <is>
          <t>ANON0000000</t>
        </is>
      </c>
      <c r="D297" t="n">
        <v>40</v>
      </c>
      <c r="E297" t="inlineStr">
        <is>
          <t>USNFK</t>
        </is>
      </c>
      <c r="F297" t="inlineStr">
        <is>
          <t>RULED</t>
        </is>
      </c>
      <c r="G297" t="n">
        <v>28680</v>
      </c>
      <c r="H297" t="inlineStr">
        <is>
          <t>ART</t>
        </is>
      </c>
      <c r="I297" t="inlineStr">
        <is>
          <t>45G1</t>
        </is>
      </c>
      <c r="L297" t="inlineStr">
        <is>
          <t>9'6</t>
        </is>
      </c>
      <c r="M297" t="inlineStr">
        <is>
          <t>Full</t>
        </is>
      </c>
      <c r="N297" t="inlineStr">
        <is>
          <t>RULED</t>
        </is>
      </c>
      <c r="P297" s="21">
        <f>C297</f>
        <v/>
      </c>
      <c r="Q297" s="21">
        <f t="array" ref="Q297">IFERROR(INDEX(Load_Booking_Report!AC:AC, MATCH(TRUE, ISNUMBER(FIND(SUBSTITUTE(C297," ",""), Load_Booking_Report!AL:AL)), 0)), "Not Found")</f>
        <v/>
      </c>
      <c r="R297" s="21">
        <f t="array" ref="R297">IFERROR(INDEX(Load_Booking_Report!C:C, MATCH(TRUE, ISNUMBER(FIND(SUBSTITUTE(C297," ",""), Load_Booking_Report!AL:AL)), 0)), "Not Found")</f>
        <v/>
      </c>
      <c r="S297" s="21">
        <f t="array" ref="S297">IFERROR(INDEX(Load_Booking_Report!AG:AG, MATCH(TRUE, ISNUMBER(FIND(SUBSTITUTE(C297," ",""), Load_Booking_Report!AL:AL)), 0)), "Not Found")</f>
        <v/>
      </c>
      <c r="T297" s="21">
        <f>G297</f>
        <v/>
      </c>
      <c r="U297" s="33">
        <f t="array" ref="U297">IFERROR(
   IF(
      INDEX(Load_Booking_Report!AM:AM,
             MATCH(TRUE,
                     ISNUMBER(FIND(SUBSTITUTE(C297," ",""),
                                    Load_Booking_Report!AL:AL)),
                     0)
      )=0,
      "",
      INDEX(Load_Booking_Report!AM:AM,
             MATCH(TRUE,
                     ISNUMBER(FIND(SUBSTITUTE(C297," ",""),
                                    Load_Booking_Report!AL:AL)),
                     0)
      )
   ),
   ""
)</f>
        <v/>
      </c>
      <c r="V297" s="21">
        <f t="array" ref="V297">IFERROR(
   IF(
      INDEX(Load_Booking_Report!AR:AR,
             MATCH(TRUE,
                     ISNUMBER(FIND(SUBSTITUTE(C297," ",""),
                                    Load_Booking_Report!AL:AL)),
                     0)
      )=0,
      "",
      INDEX(Load_Booking_Report!AR:AR,
             MATCH(TRUE,
                     ISNUMBER(FIND(SUBSTITUTE(C297," ",""),
                                    Load_Booking_Report!AL:AL)),
                     0)
      )
   ),
   ""
)</f>
        <v/>
      </c>
      <c r="W297" s="21">
        <f t="array" ref="W297">IFERROR(INDEX(Load_Booking_Report!F:F, MATCH(TRUE, ISNUMBER(FIND(SUBSTITUTE(C297," ",""), Load_Booking_Report!AL:AL)), 0)), "Not Found")</f>
        <v/>
      </c>
      <c r="X297" s="21">
        <f t="array" ref="X297">IFERROR(INDEX(Load_Booking_Report!N:N, MATCH(TRUE, ISNUMBER(FIND(SUBSTITUTE(C297," ",""), Load_Booking_Report!AL:AL)), 0)), "Not Found")</f>
        <v/>
      </c>
      <c r="Y297" s="21">
        <f t="array" ref="Y297">IFERROR(INDEX(Load_Booking_Report!V:V, MATCH(TRUE, ISNUMBER(FIND(SUBSTITUTE(C297," ",""), Load_Booking_Report!AL:AL)), 0)), "Not Found")</f>
        <v/>
      </c>
      <c r="Z297" s="41">
        <f t="array" ref="Z297">IFERROR(INDEX(Load_Booking_Report!BC:BC, MATCH(TRUE, ISNUMBER(FIND(SUBSTITUTE(C297," ",""), Load_Booking_Report!AL:AL)), 0)), "Not Found")</f>
        <v/>
      </c>
    </row>
    <row r="298">
      <c r="A298" t="n">
        <v>10</v>
      </c>
      <c r="B298" t="n">
        <v>100208</v>
      </c>
      <c r="C298" t="inlineStr">
        <is>
          <t>ANON0000000</t>
        </is>
      </c>
      <c r="D298" t="n">
        <v>40</v>
      </c>
      <c r="E298" t="inlineStr">
        <is>
          <t>USNFK</t>
        </is>
      </c>
      <c r="F298" t="inlineStr">
        <is>
          <t>RULED</t>
        </is>
      </c>
      <c r="G298" t="n">
        <v>28700</v>
      </c>
      <c r="H298" t="inlineStr">
        <is>
          <t>ART</t>
        </is>
      </c>
      <c r="I298" t="inlineStr">
        <is>
          <t>45G1</t>
        </is>
      </c>
      <c r="L298" t="inlineStr">
        <is>
          <t>9'6</t>
        </is>
      </c>
      <c r="M298" t="inlineStr">
        <is>
          <t>Full</t>
        </is>
      </c>
      <c r="N298" t="inlineStr">
        <is>
          <t>RULED</t>
        </is>
      </c>
      <c r="P298" s="21">
        <f>C298</f>
        <v/>
      </c>
      <c r="Q298" s="21">
        <f t="array" ref="Q298">IFERROR(INDEX(Load_Booking_Report!AC:AC, MATCH(TRUE, ISNUMBER(FIND(SUBSTITUTE(C298," ",""), Load_Booking_Report!AL:AL)), 0)), "Not Found")</f>
        <v/>
      </c>
      <c r="R298" s="21">
        <f t="array" ref="R298">IFERROR(INDEX(Load_Booking_Report!C:C, MATCH(TRUE, ISNUMBER(FIND(SUBSTITUTE(C298," ",""), Load_Booking_Report!AL:AL)), 0)), "Not Found")</f>
        <v/>
      </c>
      <c r="S298" s="21">
        <f t="array" ref="S298">IFERROR(INDEX(Load_Booking_Report!AG:AG, MATCH(TRUE, ISNUMBER(FIND(SUBSTITUTE(C298," ",""), Load_Booking_Report!AL:AL)), 0)), "Not Found")</f>
        <v/>
      </c>
      <c r="T298" s="21">
        <f>G298</f>
        <v/>
      </c>
      <c r="U298" s="33">
        <f t="array" ref="U298">IFERROR(
   IF(
      INDEX(Load_Booking_Report!AM:AM,
             MATCH(TRUE,
                     ISNUMBER(FIND(SUBSTITUTE(C298," ",""),
                                    Load_Booking_Report!AL:AL)),
                     0)
      )=0,
      "",
      INDEX(Load_Booking_Report!AM:AM,
             MATCH(TRUE,
                     ISNUMBER(FIND(SUBSTITUTE(C298," ",""),
                                    Load_Booking_Report!AL:AL)),
                     0)
      )
   ),
   ""
)</f>
        <v/>
      </c>
      <c r="V298" s="21">
        <f t="array" ref="V298">IFERROR(
   IF(
      INDEX(Load_Booking_Report!AR:AR,
             MATCH(TRUE,
                     ISNUMBER(FIND(SUBSTITUTE(C298," ",""),
                                    Load_Booking_Report!AL:AL)),
                     0)
      )=0,
      "",
      INDEX(Load_Booking_Report!AR:AR,
             MATCH(TRUE,
                     ISNUMBER(FIND(SUBSTITUTE(C298," ",""),
                                    Load_Booking_Report!AL:AL)),
                     0)
      )
   ),
   ""
)</f>
        <v/>
      </c>
      <c r="W298" s="21">
        <f t="array" ref="W298">IFERROR(INDEX(Load_Booking_Report!F:F, MATCH(TRUE, ISNUMBER(FIND(SUBSTITUTE(C298," ",""), Load_Booking_Report!AL:AL)), 0)), "Not Found")</f>
        <v/>
      </c>
      <c r="X298" s="21">
        <f t="array" ref="X298">IFERROR(INDEX(Load_Booking_Report!N:N, MATCH(TRUE, ISNUMBER(FIND(SUBSTITUTE(C298," ",""), Load_Booking_Report!AL:AL)), 0)), "Not Found")</f>
        <v/>
      </c>
      <c r="Y298" s="21">
        <f t="array" ref="Y298">IFERROR(INDEX(Load_Booking_Report!V:V, MATCH(TRUE, ISNUMBER(FIND(SUBSTITUTE(C298," ",""), Load_Booking_Report!AL:AL)), 0)), "Not Found")</f>
        <v/>
      </c>
      <c r="Z298" s="41">
        <f t="array" ref="Z298">IFERROR(INDEX(Load_Booking_Report!BC:BC, MATCH(TRUE, ISNUMBER(FIND(SUBSTITUTE(C298," ",""), Load_Booking_Report!AL:AL)), 0)), "Not Found")</f>
        <v/>
      </c>
    </row>
    <row r="299">
      <c r="A299" t="n">
        <v>22</v>
      </c>
      <c r="B299" t="n">
        <v>220502</v>
      </c>
      <c r="C299" t="inlineStr">
        <is>
          <t>ANON0000000</t>
        </is>
      </c>
      <c r="D299" t="n">
        <v>40</v>
      </c>
      <c r="E299" t="inlineStr">
        <is>
          <t>USNFK</t>
        </is>
      </c>
      <c r="F299" t="inlineStr">
        <is>
          <t>RULED</t>
        </is>
      </c>
      <c r="G299" t="n">
        <v>28760</v>
      </c>
      <c r="H299" t="inlineStr">
        <is>
          <t>ART</t>
        </is>
      </c>
      <c r="I299" t="inlineStr">
        <is>
          <t>45G1</t>
        </is>
      </c>
      <c r="L299" t="inlineStr">
        <is>
          <t>9'6</t>
        </is>
      </c>
      <c r="M299" t="inlineStr">
        <is>
          <t>Full</t>
        </is>
      </c>
      <c r="N299" t="inlineStr">
        <is>
          <t>RULED</t>
        </is>
      </c>
      <c r="P299" s="21">
        <f>C299</f>
        <v/>
      </c>
      <c r="Q299" s="21">
        <f t="array" ref="Q299">IFERROR(INDEX(Load_Booking_Report!AC:AC, MATCH(TRUE, ISNUMBER(FIND(SUBSTITUTE(C299," ",""), Load_Booking_Report!AL:AL)), 0)), "Not Found")</f>
        <v/>
      </c>
      <c r="R299" s="21">
        <f t="array" ref="R299">IFERROR(INDEX(Load_Booking_Report!C:C, MATCH(TRUE, ISNUMBER(FIND(SUBSTITUTE(C299," ",""), Load_Booking_Report!AL:AL)), 0)), "Not Found")</f>
        <v/>
      </c>
      <c r="S299" s="21">
        <f t="array" ref="S299">IFERROR(INDEX(Load_Booking_Report!AG:AG, MATCH(TRUE, ISNUMBER(FIND(SUBSTITUTE(C299," ",""), Load_Booking_Report!AL:AL)), 0)), "Not Found")</f>
        <v/>
      </c>
      <c r="T299" s="21">
        <f>G299</f>
        <v/>
      </c>
      <c r="U299" s="33">
        <f t="array" ref="U299">IFERROR(
   IF(
      INDEX(Load_Booking_Report!AM:AM,
             MATCH(TRUE,
                     ISNUMBER(FIND(SUBSTITUTE(C299," ",""),
                                    Load_Booking_Report!AL:AL)),
                     0)
      )=0,
      "",
      INDEX(Load_Booking_Report!AM:AM,
             MATCH(TRUE,
                     ISNUMBER(FIND(SUBSTITUTE(C299," ",""),
                                    Load_Booking_Report!AL:AL)),
                     0)
      )
   ),
   ""
)</f>
        <v/>
      </c>
      <c r="V299" s="21">
        <f t="array" ref="V299">IFERROR(
   IF(
      INDEX(Load_Booking_Report!AR:AR,
             MATCH(TRUE,
                     ISNUMBER(FIND(SUBSTITUTE(C299," ",""),
                                    Load_Booking_Report!AL:AL)),
                     0)
      )=0,
      "",
      INDEX(Load_Booking_Report!AR:AR,
             MATCH(TRUE,
                     ISNUMBER(FIND(SUBSTITUTE(C299," ",""),
                                    Load_Booking_Report!AL:AL)),
                     0)
      )
   ),
   ""
)</f>
        <v/>
      </c>
      <c r="W299" s="21">
        <f t="array" ref="W299">IFERROR(INDEX(Load_Booking_Report!F:F, MATCH(TRUE, ISNUMBER(FIND(SUBSTITUTE(C299," ",""), Load_Booking_Report!AL:AL)), 0)), "Not Found")</f>
        <v/>
      </c>
      <c r="X299" s="21">
        <f t="array" ref="X299">IFERROR(INDEX(Load_Booking_Report!N:N, MATCH(TRUE, ISNUMBER(FIND(SUBSTITUTE(C299," ",""), Load_Booking_Report!AL:AL)), 0)), "Not Found")</f>
        <v/>
      </c>
      <c r="Y299" s="21">
        <f t="array" ref="Y299">IFERROR(INDEX(Load_Booking_Report!V:V, MATCH(TRUE, ISNUMBER(FIND(SUBSTITUTE(C299," ",""), Load_Booking_Report!AL:AL)), 0)), "Not Found")</f>
        <v/>
      </c>
      <c r="Z299" s="41">
        <f t="array" ref="Z299">IFERROR(INDEX(Load_Booking_Report!BC:BC, MATCH(TRUE, ISNUMBER(FIND(SUBSTITUTE(C299," ",""), Load_Booking_Report!AL:AL)), 0)), "Not Found")</f>
        <v/>
      </c>
    </row>
    <row r="300">
      <c r="A300" t="n">
        <v>6</v>
      </c>
      <c r="B300" t="n">
        <v>60308</v>
      </c>
      <c r="C300" t="inlineStr">
        <is>
          <t>ANON0000000</t>
        </is>
      </c>
      <c r="D300" t="n">
        <v>40</v>
      </c>
      <c r="E300" t="inlineStr">
        <is>
          <t>USNFK</t>
        </is>
      </c>
      <c r="F300" t="inlineStr">
        <is>
          <t>RULED</t>
        </is>
      </c>
      <c r="G300" t="n">
        <v>28760</v>
      </c>
      <c r="H300" t="inlineStr">
        <is>
          <t>ART</t>
        </is>
      </c>
      <c r="I300" t="inlineStr">
        <is>
          <t>45G1</t>
        </is>
      </c>
      <c r="L300" t="inlineStr">
        <is>
          <t>9'6</t>
        </is>
      </c>
      <c r="M300" t="inlineStr">
        <is>
          <t>Full</t>
        </is>
      </c>
      <c r="N300" t="inlineStr">
        <is>
          <t>RULED</t>
        </is>
      </c>
      <c r="P300" s="21">
        <f>C300</f>
        <v/>
      </c>
      <c r="Q300" s="21">
        <f t="array" ref="Q300">IFERROR(INDEX(Load_Booking_Report!AC:AC, MATCH(TRUE, ISNUMBER(FIND(SUBSTITUTE(C300," ",""), Load_Booking_Report!AL:AL)), 0)), "Not Found")</f>
        <v/>
      </c>
      <c r="R300" s="21">
        <f t="array" ref="R300">IFERROR(INDEX(Load_Booking_Report!C:C, MATCH(TRUE, ISNUMBER(FIND(SUBSTITUTE(C300," ",""), Load_Booking_Report!AL:AL)), 0)), "Not Found")</f>
        <v/>
      </c>
      <c r="S300" s="21">
        <f t="array" ref="S300">IFERROR(INDEX(Load_Booking_Report!AG:AG, MATCH(TRUE, ISNUMBER(FIND(SUBSTITUTE(C300," ",""), Load_Booking_Report!AL:AL)), 0)), "Not Found")</f>
        <v/>
      </c>
      <c r="T300" s="21">
        <f>G300</f>
        <v/>
      </c>
      <c r="U300" s="33">
        <f t="array" ref="U300">IFERROR(
   IF(
      INDEX(Load_Booking_Report!AM:AM,
             MATCH(TRUE,
                     ISNUMBER(FIND(SUBSTITUTE(C300," ",""),
                                    Load_Booking_Report!AL:AL)),
                     0)
      )=0,
      "",
      INDEX(Load_Booking_Report!AM:AM,
             MATCH(TRUE,
                     ISNUMBER(FIND(SUBSTITUTE(C300," ",""),
                                    Load_Booking_Report!AL:AL)),
                     0)
      )
   ),
   ""
)</f>
        <v/>
      </c>
      <c r="V300" s="21">
        <f t="array" ref="V300">IFERROR(
   IF(
      INDEX(Load_Booking_Report!AR:AR,
             MATCH(TRUE,
                     ISNUMBER(FIND(SUBSTITUTE(C300," ",""),
                                    Load_Booking_Report!AL:AL)),
                     0)
      )=0,
      "",
      INDEX(Load_Booking_Report!AR:AR,
             MATCH(TRUE,
                     ISNUMBER(FIND(SUBSTITUTE(C300," ",""),
                                    Load_Booking_Report!AL:AL)),
                     0)
      )
   ),
   ""
)</f>
        <v/>
      </c>
      <c r="W300" s="21">
        <f t="array" ref="W300">IFERROR(INDEX(Load_Booking_Report!F:F, MATCH(TRUE, ISNUMBER(FIND(SUBSTITUTE(C300," ",""), Load_Booking_Report!AL:AL)), 0)), "Not Found")</f>
        <v/>
      </c>
      <c r="X300" s="21">
        <f t="array" ref="X300">IFERROR(INDEX(Load_Booking_Report!N:N, MATCH(TRUE, ISNUMBER(FIND(SUBSTITUTE(C300," ",""), Load_Booking_Report!AL:AL)), 0)), "Not Found")</f>
        <v/>
      </c>
      <c r="Y300" s="21">
        <f t="array" ref="Y300">IFERROR(INDEX(Load_Booking_Report!V:V, MATCH(TRUE, ISNUMBER(FIND(SUBSTITUTE(C300," ",""), Load_Booking_Report!AL:AL)), 0)), "Not Found")</f>
        <v/>
      </c>
      <c r="Z300" s="41">
        <f t="array" ref="Z300">IFERROR(INDEX(Load_Booking_Report!BC:BC, MATCH(TRUE, ISNUMBER(FIND(SUBSTITUTE(C300," ",""), Load_Booking_Report!AL:AL)), 0)), "Not Found")</f>
        <v/>
      </c>
    </row>
    <row r="301">
      <c r="A301" t="n">
        <v>10</v>
      </c>
      <c r="B301" t="n">
        <v>100106</v>
      </c>
      <c r="C301" t="inlineStr">
        <is>
          <t>ANON0000000</t>
        </is>
      </c>
      <c r="D301" t="n">
        <v>40</v>
      </c>
      <c r="E301" t="inlineStr">
        <is>
          <t>USNFK</t>
        </is>
      </c>
      <c r="F301" t="inlineStr">
        <is>
          <t>RULED</t>
        </is>
      </c>
      <c r="G301" t="n">
        <v>28650</v>
      </c>
      <c r="H301" t="inlineStr">
        <is>
          <t>ART</t>
        </is>
      </c>
      <c r="I301" t="inlineStr">
        <is>
          <t>45G1</t>
        </is>
      </c>
      <c r="L301" t="inlineStr">
        <is>
          <t>9'6</t>
        </is>
      </c>
      <c r="M301" t="inlineStr">
        <is>
          <t>Full</t>
        </is>
      </c>
      <c r="N301" t="inlineStr">
        <is>
          <t>RULED</t>
        </is>
      </c>
      <c r="P301" s="21">
        <f>C301</f>
        <v/>
      </c>
      <c r="Q301" s="21">
        <f t="array" ref="Q301">IFERROR(INDEX(Load_Booking_Report!AC:AC, MATCH(TRUE, ISNUMBER(FIND(SUBSTITUTE(C301," ",""), Load_Booking_Report!AL:AL)), 0)), "Not Found")</f>
        <v/>
      </c>
      <c r="R301" s="21">
        <f t="array" ref="R301">IFERROR(INDEX(Load_Booking_Report!C:C, MATCH(TRUE, ISNUMBER(FIND(SUBSTITUTE(C301," ",""), Load_Booking_Report!AL:AL)), 0)), "Not Found")</f>
        <v/>
      </c>
      <c r="S301" s="21">
        <f t="array" ref="S301">IFERROR(INDEX(Load_Booking_Report!AG:AG, MATCH(TRUE, ISNUMBER(FIND(SUBSTITUTE(C301," ",""), Load_Booking_Report!AL:AL)), 0)), "Not Found")</f>
        <v/>
      </c>
      <c r="T301" s="21">
        <f>G301</f>
        <v/>
      </c>
      <c r="U301" s="33">
        <f t="array" ref="U301">IFERROR(
   IF(
      INDEX(Load_Booking_Report!AM:AM,
             MATCH(TRUE,
                     ISNUMBER(FIND(SUBSTITUTE(C301," ",""),
                                    Load_Booking_Report!AL:AL)),
                     0)
      )=0,
      "",
      INDEX(Load_Booking_Report!AM:AM,
             MATCH(TRUE,
                     ISNUMBER(FIND(SUBSTITUTE(C301," ",""),
                                    Load_Booking_Report!AL:AL)),
                     0)
      )
   ),
   ""
)</f>
        <v/>
      </c>
      <c r="V301" s="21">
        <f t="array" ref="V301">IFERROR(
   IF(
      INDEX(Load_Booking_Report!AR:AR,
             MATCH(TRUE,
                     ISNUMBER(FIND(SUBSTITUTE(C301," ",""),
                                    Load_Booking_Report!AL:AL)),
                     0)
      )=0,
      "",
      INDEX(Load_Booking_Report!AR:AR,
             MATCH(TRUE,
                     ISNUMBER(FIND(SUBSTITUTE(C301," ",""),
                                    Load_Booking_Report!AL:AL)),
                     0)
      )
   ),
   ""
)</f>
        <v/>
      </c>
      <c r="W301" s="21">
        <f t="array" ref="W301">IFERROR(INDEX(Load_Booking_Report!F:F, MATCH(TRUE, ISNUMBER(FIND(SUBSTITUTE(C301," ",""), Load_Booking_Report!AL:AL)), 0)), "Not Found")</f>
        <v/>
      </c>
      <c r="X301" s="21">
        <f t="array" ref="X301">IFERROR(INDEX(Load_Booking_Report!N:N, MATCH(TRUE, ISNUMBER(FIND(SUBSTITUTE(C301," ",""), Load_Booking_Report!AL:AL)), 0)), "Not Found")</f>
        <v/>
      </c>
      <c r="Y301" s="21">
        <f t="array" ref="Y301">IFERROR(INDEX(Load_Booking_Report!V:V, MATCH(TRUE, ISNUMBER(FIND(SUBSTITUTE(C301," ",""), Load_Booking_Report!AL:AL)), 0)), "Not Found")</f>
        <v/>
      </c>
      <c r="Z301" s="41">
        <f t="array" ref="Z301">IFERROR(INDEX(Load_Booking_Report!BC:BC, MATCH(TRUE, ISNUMBER(FIND(SUBSTITUTE(C301," ",""), Load_Booking_Report!AL:AL)), 0)), "Not Found")</f>
        <v/>
      </c>
    </row>
    <row r="302">
      <c r="A302" t="n">
        <v>2</v>
      </c>
      <c r="B302" t="n">
        <v>20006</v>
      </c>
      <c r="C302" t="inlineStr">
        <is>
          <t>ANON0000000</t>
        </is>
      </c>
      <c r="D302" t="n">
        <v>40</v>
      </c>
      <c r="E302" t="inlineStr">
        <is>
          <t>USNFK</t>
        </is>
      </c>
      <c r="F302" t="inlineStr">
        <is>
          <t>RULED</t>
        </is>
      </c>
      <c r="G302" t="n">
        <v>28720</v>
      </c>
      <c r="H302" t="inlineStr">
        <is>
          <t>ART</t>
        </is>
      </c>
      <c r="I302" t="inlineStr">
        <is>
          <t>45G1</t>
        </is>
      </c>
      <c r="L302" t="inlineStr">
        <is>
          <t>9'6</t>
        </is>
      </c>
      <c r="M302" t="inlineStr">
        <is>
          <t>Full</t>
        </is>
      </c>
      <c r="N302" t="inlineStr">
        <is>
          <t>RULED</t>
        </is>
      </c>
      <c r="P302" s="21">
        <f>C302</f>
        <v/>
      </c>
      <c r="Q302" s="21">
        <f t="array" ref="Q302">IFERROR(INDEX(Load_Booking_Report!AC:AC, MATCH(TRUE, ISNUMBER(FIND(SUBSTITUTE(C302," ",""), Load_Booking_Report!AL:AL)), 0)), "Not Found")</f>
        <v/>
      </c>
      <c r="R302" s="21">
        <f t="array" ref="R302">IFERROR(INDEX(Load_Booking_Report!C:C, MATCH(TRUE, ISNUMBER(FIND(SUBSTITUTE(C302," ",""), Load_Booking_Report!AL:AL)), 0)), "Not Found")</f>
        <v/>
      </c>
      <c r="S302" s="21">
        <f t="array" ref="S302">IFERROR(INDEX(Load_Booking_Report!AG:AG, MATCH(TRUE, ISNUMBER(FIND(SUBSTITUTE(C302," ",""), Load_Booking_Report!AL:AL)), 0)), "Not Found")</f>
        <v/>
      </c>
      <c r="T302" s="21">
        <f>G302</f>
        <v/>
      </c>
      <c r="U302" s="33">
        <f t="array" ref="U302">IFERROR(
   IF(
      INDEX(Load_Booking_Report!AM:AM,
             MATCH(TRUE,
                     ISNUMBER(FIND(SUBSTITUTE(C302," ",""),
                                    Load_Booking_Report!AL:AL)),
                     0)
      )=0,
      "",
      INDEX(Load_Booking_Report!AM:AM,
             MATCH(TRUE,
                     ISNUMBER(FIND(SUBSTITUTE(C302," ",""),
                                    Load_Booking_Report!AL:AL)),
                     0)
      )
   ),
   ""
)</f>
        <v/>
      </c>
      <c r="V302" s="21">
        <f t="array" ref="V302">IFERROR(
   IF(
      INDEX(Load_Booking_Report!AR:AR,
             MATCH(TRUE,
                     ISNUMBER(FIND(SUBSTITUTE(C302," ",""),
                                    Load_Booking_Report!AL:AL)),
                     0)
      )=0,
      "",
      INDEX(Load_Booking_Report!AR:AR,
             MATCH(TRUE,
                     ISNUMBER(FIND(SUBSTITUTE(C302," ",""),
                                    Load_Booking_Report!AL:AL)),
                     0)
      )
   ),
   ""
)</f>
        <v/>
      </c>
      <c r="W302" s="21">
        <f t="array" ref="W302">IFERROR(INDEX(Load_Booking_Report!F:F, MATCH(TRUE, ISNUMBER(FIND(SUBSTITUTE(C302," ",""), Load_Booking_Report!AL:AL)), 0)), "Not Found")</f>
        <v/>
      </c>
      <c r="X302" s="21">
        <f t="array" ref="X302">IFERROR(INDEX(Load_Booking_Report!N:N, MATCH(TRUE, ISNUMBER(FIND(SUBSTITUTE(C302," ",""), Load_Booking_Report!AL:AL)), 0)), "Not Found")</f>
        <v/>
      </c>
      <c r="Y302" s="21">
        <f t="array" ref="Y302">IFERROR(INDEX(Load_Booking_Report!V:V, MATCH(TRUE, ISNUMBER(FIND(SUBSTITUTE(C302," ",""), Load_Booking_Report!AL:AL)), 0)), "Not Found")</f>
        <v/>
      </c>
      <c r="Z302" s="41">
        <f t="array" ref="Z302">IFERROR(INDEX(Load_Booking_Report!BC:BC, MATCH(TRUE, ISNUMBER(FIND(SUBSTITUTE(C302," ",""), Load_Booking_Report!AL:AL)), 0)), "Not Found")</f>
        <v/>
      </c>
    </row>
    <row r="303">
      <c r="A303" t="n">
        <v>22</v>
      </c>
      <c r="B303" t="n">
        <v>220802</v>
      </c>
      <c r="C303" t="inlineStr">
        <is>
          <t>ANON0000000</t>
        </is>
      </c>
      <c r="D303" t="n">
        <v>40</v>
      </c>
      <c r="E303" t="inlineStr">
        <is>
          <t>USNFK</t>
        </is>
      </c>
      <c r="F303" t="inlineStr">
        <is>
          <t>RULED</t>
        </is>
      </c>
      <c r="G303" t="n">
        <v>28780</v>
      </c>
      <c r="H303" t="inlineStr">
        <is>
          <t>ART</t>
        </is>
      </c>
      <c r="I303" t="inlineStr">
        <is>
          <t>45G1</t>
        </is>
      </c>
      <c r="L303" t="inlineStr">
        <is>
          <t>9'6</t>
        </is>
      </c>
      <c r="M303" t="inlineStr">
        <is>
          <t>Full</t>
        </is>
      </c>
      <c r="N303" t="inlineStr">
        <is>
          <t>RULED</t>
        </is>
      </c>
      <c r="P303" s="21">
        <f>C303</f>
        <v/>
      </c>
      <c r="Q303" s="21">
        <f t="array" ref="Q303">IFERROR(INDEX(Load_Booking_Report!AC:AC, MATCH(TRUE, ISNUMBER(FIND(SUBSTITUTE(C303," ",""), Load_Booking_Report!AL:AL)), 0)), "Not Found")</f>
        <v/>
      </c>
      <c r="R303" s="21">
        <f t="array" ref="R303">IFERROR(INDEX(Load_Booking_Report!C:C, MATCH(TRUE, ISNUMBER(FIND(SUBSTITUTE(C303," ",""), Load_Booking_Report!AL:AL)), 0)), "Not Found")</f>
        <v/>
      </c>
      <c r="S303" s="21">
        <f t="array" ref="S303">IFERROR(INDEX(Load_Booking_Report!AG:AG, MATCH(TRUE, ISNUMBER(FIND(SUBSTITUTE(C303," ",""), Load_Booking_Report!AL:AL)), 0)), "Not Found")</f>
        <v/>
      </c>
      <c r="T303" s="21">
        <f>G303</f>
        <v/>
      </c>
      <c r="U303" s="33">
        <f t="array" ref="U303">IFERROR(
   IF(
      INDEX(Load_Booking_Report!AM:AM,
             MATCH(TRUE,
                     ISNUMBER(FIND(SUBSTITUTE(C303," ",""),
                                    Load_Booking_Report!AL:AL)),
                     0)
      )=0,
      "",
      INDEX(Load_Booking_Report!AM:AM,
             MATCH(TRUE,
                     ISNUMBER(FIND(SUBSTITUTE(C303," ",""),
                                    Load_Booking_Report!AL:AL)),
                     0)
      )
   ),
   ""
)</f>
        <v/>
      </c>
      <c r="V303" s="21">
        <f t="array" ref="V303">IFERROR(
   IF(
      INDEX(Load_Booking_Report!AR:AR,
             MATCH(TRUE,
                     ISNUMBER(FIND(SUBSTITUTE(C303," ",""),
                                    Load_Booking_Report!AL:AL)),
                     0)
      )=0,
      "",
      INDEX(Load_Booking_Report!AR:AR,
             MATCH(TRUE,
                     ISNUMBER(FIND(SUBSTITUTE(C303," ",""),
                                    Load_Booking_Report!AL:AL)),
                     0)
      )
   ),
   ""
)</f>
        <v/>
      </c>
      <c r="W303" s="21">
        <f t="array" ref="W303">IFERROR(INDEX(Load_Booking_Report!F:F, MATCH(TRUE, ISNUMBER(FIND(SUBSTITUTE(C303," ",""), Load_Booking_Report!AL:AL)), 0)), "Not Found")</f>
        <v/>
      </c>
      <c r="X303" s="21">
        <f t="array" ref="X303">IFERROR(INDEX(Load_Booking_Report!N:N, MATCH(TRUE, ISNUMBER(FIND(SUBSTITUTE(C303," ",""), Load_Booking_Report!AL:AL)), 0)), "Not Found")</f>
        <v/>
      </c>
      <c r="Y303" s="21">
        <f t="array" ref="Y303">IFERROR(INDEX(Load_Booking_Report!V:V, MATCH(TRUE, ISNUMBER(FIND(SUBSTITUTE(C303," ",""), Load_Booking_Report!AL:AL)), 0)), "Not Found")</f>
        <v/>
      </c>
      <c r="Z303" s="41">
        <f t="array" ref="Z303">IFERROR(INDEX(Load_Booking_Report!BC:BC, MATCH(TRUE, ISNUMBER(FIND(SUBSTITUTE(C303," ",""), Load_Booking_Report!AL:AL)), 0)), "Not Found")</f>
        <v/>
      </c>
    </row>
    <row r="304">
      <c r="A304" t="n">
        <v>6</v>
      </c>
      <c r="B304" t="n">
        <v>60108</v>
      </c>
      <c r="C304" t="inlineStr">
        <is>
          <t>ANON0000000</t>
        </is>
      </c>
      <c r="D304" t="n">
        <v>40</v>
      </c>
      <c r="E304" t="inlineStr">
        <is>
          <t>USNFK</t>
        </is>
      </c>
      <c r="F304" t="inlineStr">
        <is>
          <t>RULED</t>
        </is>
      </c>
      <c r="G304" t="n">
        <v>28730</v>
      </c>
      <c r="H304" t="inlineStr">
        <is>
          <t>ART</t>
        </is>
      </c>
      <c r="I304" t="inlineStr">
        <is>
          <t>45G1</t>
        </is>
      </c>
      <c r="L304" t="inlineStr">
        <is>
          <t>9'6</t>
        </is>
      </c>
      <c r="M304" t="inlineStr">
        <is>
          <t>Full</t>
        </is>
      </c>
      <c r="N304" t="inlineStr">
        <is>
          <t>RULED</t>
        </is>
      </c>
      <c r="P304" s="21">
        <f>C304</f>
        <v/>
      </c>
      <c r="Q304" s="21">
        <f t="array" ref="Q304">IFERROR(INDEX(Load_Booking_Report!AC:AC, MATCH(TRUE, ISNUMBER(FIND(SUBSTITUTE(C304," ",""), Load_Booking_Report!AL:AL)), 0)), "Not Found")</f>
        <v/>
      </c>
      <c r="R304" s="21">
        <f t="array" ref="R304">IFERROR(INDEX(Load_Booking_Report!C:C, MATCH(TRUE, ISNUMBER(FIND(SUBSTITUTE(C304," ",""), Load_Booking_Report!AL:AL)), 0)), "Not Found")</f>
        <v/>
      </c>
      <c r="S304" s="21">
        <f t="array" ref="S304">IFERROR(INDEX(Load_Booking_Report!AG:AG, MATCH(TRUE, ISNUMBER(FIND(SUBSTITUTE(C304," ",""), Load_Booking_Report!AL:AL)), 0)), "Not Found")</f>
        <v/>
      </c>
      <c r="T304" s="21">
        <f>G304</f>
        <v/>
      </c>
      <c r="U304" s="33">
        <f t="array" ref="U304">IFERROR(
   IF(
      INDEX(Load_Booking_Report!AM:AM,
             MATCH(TRUE,
                     ISNUMBER(FIND(SUBSTITUTE(C304," ",""),
                                    Load_Booking_Report!AL:AL)),
                     0)
      )=0,
      "",
      INDEX(Load_Booking_Report!AM:AM,
             MATCH(TRUE,
                     ISNUMBER(FIND(SUBSTITUTE(C304," ",""),
                                    Load_Booking_Report!AL:AL)),
                     0)
      )
   ),
   ""
)</f>
        <v/>
      </c>
      <c r="V304" s="21">
        <f t="array" ref="V304">IFERROR(
   IF(
      INDEX(Load_Booking_Report!AR:AR,
             MATCH(TRUE,
                     ISNUMBER(FIND(SUBSTITUTE(C304," ",""),
                                    Load_Booking_Report!AL:AL)),
                     0)
      )=0,
      "",
      INDEX(Load_Booking_Report!AR:AR,
             MATCH(TRUE,
                     ISNUMBER(FIND(SUBSTITUTE(C304," ",""),
                                    Load_Booking_Report!AL:AL)),
                     0)
      )
   ),
   ""
)</f>
        <v/>
      </c>
      <c r="W304" s="21">
        <f t="array" ref="W304">IFERROR(INDEX(Load_Booking_Report!F:F, MATCH(TRUE, ISNUMBER(FIND(SUBSTITUTE(C304," ",""), Load_Booking_Report!AL:AL)), 0)), "Not Found")</f>
        <v/>
      </c>
      <c r="X304" s="21">
        <f t="array" ref="X304">IFERROR(INDEX(Load_Booking_Report!N:N, MATCH(TRUE, ISNUMBER(FIND(SUBSTITUTE(C304," ",""), Load_Booking_Report!AL:AL)), 0)), "Not Found")</f>
        <v/>
      </c>
      <c r="Y304" s="21">
        <f t="array" ref="Y304">IFERROR(INDEX(Load_Booking_Report!V:V, MATCH(TRUE, ISNUMBER(FIND(SUBSTITUTE(C304," ",""), Load_Booking_Report!AL:AL)), 0)), "Not Found")</f>
        <v/>
      </c>
      <c r="Z304" s="41">
        <f t="array" ref="Z304">IFERROR(INDEX(Load_Booking_Report!BC:BC, MATCH(TRUE, ISNUMBER(FIND(SUBSTITUTE(C304," ",""), Load_Booking_Report!AL:AL)), 0)), "Not Found")</f>
        <v/>
      </c>
    </row>
    <row r="305">
      <c r="A305" t="n">
        <v>10</v>
      </c>
      <c r="B305" t="n">
        <v>100206</v>
      </c>
      <c r="C305" t="inlineStr">
        <is>
          <t>ANON0000000</t>
        </is>
      </c>
      <c r="D305" t="n">
        <v>40</v>
      </c>
      <c r="E305" t="inlineStr">
        <is>
          <t>USNFK</t>
        </is>
      </c>
      <c r="F305" t="inlineStr">
        <is>
          <t>RULED</t>
        </is>
      </c>
      <c r="G305" t="n">
        <v>28560</v>
      </c>
      <c r="H305" t="inlineStr">
        <is>
          <t>ART</t>
        </is>
      </c>
      <c r="I305" t="inlineStr">
        <is>
          <t>45G1</t>
        </is>
      </c>
      <c r="L305" t="inlineStr">
        <is>
          <t>9'6</t>
        </is>
      </c>
      <c r="M305" t="inlineStr">
        <is>
          <t>Full</t>
        </is>
      </c>
      <c r="N305" t="inlineStr">
        <is>
          <t>RULED</t>
        </is>
      </c>
      <c r="P305" s="21">
        <f>C305</f>
        <v/>
      </c>
      <c r="Q305" s="21">
        <f t="array" ref="Q305">IFERROR(INDEX(Load_Booking_Report!AC:AC, MATCH(TRUE, ISNUMBER(FIND(SUBSTITUTE(C305," ",""), Load_Booking_Report!AL:AL)), 0)), "Not Found")</f>
        <v/>
      </c>
      <c r="R305" s="21">
        <f t="array" ref="R305">IFERROR(INDEX(Load_Booking_Report!C:C, MATCH(TRUE, ISNUMBER(FIND(SUBSTITUTE(C305," ",""), Load_Booking_Report!AL:AL)), 0)), "Not Found")</f>
        <v/>
      </c>
      <c r="S305" s="21">
        <f t="array" ref="S305">IFERROR(INDEX(Load_Booking_Report!AG:AG, MATCH(TRUE, ISNUMBER(FIND(SUBSTITUTE(C305," ",""), Load_Booking_Report!AL:AL)), 0)), "Not Found")</f>
        <v/>
      </c>
      <c r="T305" s="21">
        <f>G305</f>
        <v/>
      </c>
      <c r="U305" s="33">
        <f t="array" ref="U305">IFERROR(
   IF(
      INDEX(Load_Booking_Report!AM:AM,
             MATCH(TRUE,
                     ISNUMBER(FIND(SUBSTITUTE(C305," ",""),
                                    Load_Booking_Report!AL:AL)),
                     0)
      )=0,
      "",
      INDEX(Load_Booking_Report!AM:AM,
             MATCH(TRUE,
                     ISNUMBER(FIND(SUBSTITUTE(C305," ",""),
                                    Load_Booking_Report!AL:AL)),
                     0)
      )
   ),
   ""
)</f>
        <v/>
      </c>
      <c r="V305" s="21">
        <f t="array" ref="V305">IFERROR(
   IF(
      INDEX(Load_Booking_Report!AR:AR,
             MATCH(TRUE,
                     ISNUMBER(FIND(SUBSTITUTE(C305," ",""),
                                    Load_Booking_Report!AL:AL)),
                     0)
      )=0,
      "",
      INDEX(Load_Booking_Report!AR:AR,
             MATCH(TRUE,
                     ISNUMBER(FIND(SUBSTITUTE(C305," ",""),
                                    Load_Booking_Report!AL:AL)),
                     0)
      )
   ),
   ""
)</f>
        <v/>
      </c>
      <c r="W305" s="21">
        <f t="array" ref="W305">IFERROR(INDEX(Load_Booking_Report!F:F, MATCH(TRUE, ISNUMBER(FIND(SUBSTITUTE(C305," ",""), Load_Booking_Report!AL:AL)), 0)), "Not Found")</f>
        <v/>
      </c>
      <c r="X305" s="21">
        <f t="array" ref="X305">IFERROR(INDEX(Load_Booking_Report!N:N, MATCH(TRUE, ISNUMBER(FIND(SUBSTITUTE(C305," ",""), Load_Booking_Report!AL:AL)), 0)), "Not Found")</f>
        <v/>
      </c>
      <c r="Y305" s="21">
        <f t="array" ref="Y305">IFERROR(INDEX(Load_Booking_Report!V:V, MATCH(TRUE, ISNUMBER(FIND(SUBSTITUTE(C305," ",""), Load_Booking_Report!AL:AL)), 0)), "Not Found")</f>
        <v/>
      </c>
      <c r="Z305" s="41">
        <f t="array" ref="Z305">IFERROR(INDEX(Load_Booking_Report!BC:BC, MATCH(TRUE, ISNUMBER(FIND(SUBSTITUTE(C305," ",""), Load_Booking_Report!AL:AL)), 0)), "Not Found")</f>
        <v/>
      </c>
    </row>
    <row r="306">
      <c r="A306" t="n">
        <v>22</v>
      </c>
      <c r="B306" t="n">
        <v>220504</v>
      </c>
      <c r="C306" t="inlineStr">
        <is>
          <t>ANON0000000</t>
        </is>
      </c>
      <c r="D306" t="n">
        <v>40</v>
      </c>
      <c r="E306" t="inlineStr">
        <is>
          <t>USNFK</t>
        </is>
      </c>
      <c r="F306" t="inlineStr">
        <is>
          <t>RULED</t>
        </is>
      </c>
      <c r="G306" t="n">
        <v>28840</v>
      </c>
      <c r="H306" t="inlineStr">
        <is>
          <t>ART</t>
        </is>
      </c>
      <c r="I306" t="inlineStr">
        <is>
          <t>45G1</t>
        </is>
      </c>
      <c r="L306" t="inlineStr">
        <is>
          <t>9'6</t>
        </is>
      </c>
      <c r="M306" t="inlineStr">
        <is>
          <t>Full</t>
        </is>
      </c>
      <c r="N306" t="inlineStr">
        <is>
          <t>RULED</t>
        </is>
      </c>
      <c r="P306" s="21">
        <f>C306</f>
        <v/>
      </c>
      <c r="Q306" s="21">
        <f t="array" ref="Q306">IFERROR(INDEX(Load_Booking_Report!AC:AC, MATCH(TRUE, ISNUMBER(FIND(SUBSTITUTE(C306," ",""), Load_Booking_Report!AL:AL)), 0)), "Not Found")</f>
        <v/>
      </c>
      <c r="R306" s="21">
        <f t="array" ref="R306">IFERROR(INDEX(Load_Booking_Report!C:C, MATCH(TRUE, ISNUMBER(FIND(SUBSTITUTE(C306," ",""), Load_Booking_Report!AL:AL)), 0)), "Not Found")</f>
        <v/>
      </c>
      <c r="S306" s="21">
        <f t="array" ref="S306">IFERROR(INDEX(Load_Booking_Report!AG:AG, MATCH(TRUE, ISNUMBER(FIND(SUBSTITUTE(C306," ",""), Load_Booking_Report!AL:AL)), 0)), "Not Found")</f>
        <v/>
      </c>
      <c r="T306" s="21">
        <f>G306</f>
        <v/>
      </c>
      <c r="U306" s="33">
        <f t="array" ref="U306">IFERROR(
   IF(
      INDEX(Load_Booking_Report!AM:AM,
             MATCH(TRUE,
                     ISNUMBER(FIND(SUBSTITUTE(C306," ",""),
                                    Load_Booking_Report!AL:AL)),
                     0)
      )=0,
      "",
      INDEX(Load_Booking_Report!AM:AM,
             MATCH(TRUE,
                     ISNUMBER(FIND(SUBSTITUTE(C306," ",""),
                                    Load_Booking_Report!AL:AL)),
                     0)
      )
   ),
   ""
)</f>
        <v/>
      </c>
      <c r="V306" s="21">
        <f t="array" ref="V306">IFERROR(
   IF(
      INDEX(Load_Booking_Report!AR:AR,
             MATCH(TRUE,
                     ISNUMBER(FIND(SUBSTITUTE(C306," ",""),
                                    Load_Booking_Report!AL:AL)),
                     0)
      )=0,
      "",
      INDEX(Load_Booking_Report!AR:AR,
             MATCH(TRUE,
                     ISNUMBER(FIND(SUBSTITUTE(C306," ",""),
                                    Load_Booking_Report!AL:AL)),
                     0)
      )
   ),
   ""
)</f>
        <v/>
      </c>
      <c r="W306" s="21">
        <f t="array" ref="W306">IFERROR(INDEX(Load_Booking_Report!F:F, MATCH(TRUE, ISNUMBER(FIND(SUBSTITUTE(C306," ",""), Load_Booking_Report!AL:AL)), 0)), "Not Found")</f>
        <v/>
      </c>
      <c r="X306" s="21">
        <f t="array" ref="X306">IFERROR(INDEX(Load_Booking_Report!N:N, MATCH(TRUE, ISNUMBER(FIND(SUBSTITUTE(C306," ",""), Load_Booking_Report!AL:AL)), 0)), "Not Found")</f>
        <v/>
      </c>
      <c r="Y306" s="21">
        <f t="array" ref="Y306">IFERROR(INDEX(Load_Booking_Report!V:V, MATCH(TRUE, ISNUMBER(FIND(SUBSTITUTE(C306," ",""), Load_Booking_Report!AL:AL)), 0)), "Not Found")</f>
        <v/>
      </c>
      <c r="Z306" s="41">
        <f t="array" ref="Z306">IFERROR(INDEX(Load_Booking_Report!BC:BC, MATCH(TRUE, ISNUMBER(FIND(SUBSTITUTE(C306," ",""), Load_Booking_Report!AL:AL)), 0)), "Not Found")</f>
        <v/>
      </c>
    </row>
    <row r="307">
      <c r="A307" t="n">
        <v>10</v>
      </c>
      <c r="B307" t="n">
        <v>100308</v>
      </c>
      <c r="C307" t="inlineStr">
        <is>
          <t>ANON0000000</t>
        </is>
      </c>
      <c r="D307" t="n">
        <v>40</v>
      </c>
      <c r="E307" t="inlineStr">
        <is>
          <t>USNFK</t>
        </is>
      </c>
      <c r="F307" t="inlineStr">
        <is>
          <t>RULED</t>
        </is>
      </c>
      <c r="G307" t="n">
        <v>28620</v>
      </c>
      <c r="H307" t="inlineStr">
        <is>
          <t>ART</t>
        </is>
      </c>
      <c r="I307" t="inlineStr">
        <is>
          <t>45G1</t>
        </is>
      </c>
      <c r="L307" t="inlineStr">
        <is>
          <t>9'6</t>
        </is>
      </c>
      <c r="M307" t="inlineStr">
        <is>
          <t>Full</t>
        </is>
      </c>
      <c r="N307" t="inlineStr">
        <is>
          <t>RULED</t>
        </is>
      </c>
      <c r="P307" s="21">
        <f>C307</f>
        <v/>
      </c>
      <c r="Q307" s="21">
        <f t="array" ref="Q307">IFERROR(INDEX(Load_Booking_Report!AC:AC, MATCH(TRUE, ISNUMBER(FIND(SUBSTITUTE(C307," ",""), Load_Booking_Report!AL:AL)), 0)), "Not Found")</f>
        <v/>
      </c>
      <c r="R307" s="21">
        <f t="array" ref="R307">IFERROR(INDEX(Load_Booking_Report!C:C, MATCH(TRUE, ISNUMBER(FIND(SUBSTITUTE(C307," ",""), Load_Booking_Report!AL:AL)), 0)), "Not Found")</f>
        <v/>
      </c>
      <c r="S307" s="21">
        <f t="array" ref="S307">IFERROR(INDEX(Load_Booking_Report!AG:AG, MATCH(TRUE, ISNUMBER(FIND(SUBSTITUTE(C307," ",""), Load_Booking_Report!AL:AL)), 0)), "Not Found")</f>
        <v/>
      </c>
      <c r="T307" s="21">
        <f>G307</f>
        <v/>
      </c>
      <c r="U307" s="33">
        <f t="array" ref="U307">IFERROR(
   IF(
      INDEX(Load_Booking_Report!AM:AM,
             MATCH(TRUE,
                     ISNUMBER(FIND(SUBSTITUTE(C307," ",""),
                                    Load_Booking_Report!AL:AL)),
                     0)
      )=0,
      "",
      INDEX(Load_Booking_Report!AM:AM,
             MATCH(TRUE,
                     ISNUMBER(FIND(SUBSTITUTE(C307," ",""),
                                    Load_Booking_Report!AL:AL)),
                     0)
      )
   ),
   ""
)</f>
        <v/>
      </c>
      <c r="V307" s="21">
        <f t="array" ref="V307">IFERROR(
   IF(
      INDEX(Load_Booking_Report!AR:AR,
             MATCH(TRUE,
                     ISNUMBER(FIND(SUBSTITUTE(C307," ",""),
                                    Load_Booking_Report!AL:AL)),
                     0)
      )=0,
      "",
      INDEX(Load_Booking_Report!AR:AR,
             MATCH(TRUE,
                     ISNUMBER(FIND(SUBSTITUTE(C307," ",""),
                                    Load_Booking_Report!AL:AL)),
                     0)
      )
   ),
   ""
)</f>
        <v/>
      </c>
      <c r="W307" s="21">
        <f t="array" ref="W307">IFERROR(INDEX(Load_Booking_Report!F:F, MATCH(TRUE, ISNUMBER(FIND(SUBSTITUTE(C307," ",""), Load_Booking_Report!AL:AL)), 0)), "Not Found")</f>
        <v/>
      </c>
      <c r="X307" s="21">
        <f t="array" ref="X307">IFERROR(INDEX(Load_Booking_Report!N:N, MATCH(TRUE, ISNUMBER(FIND(SUBSTITUTE(C307," ",""), Load_Booking_Report!AL:AL)), 0)), "Not Found")</f>
        <v/>
      </c>
      <c r="Y307" s="21">
        <f t="array" ref="Y307">IFERROR(INDEX(Load_Booking_Report!V:V, MATCH(TRUE, ISNUMBER(FIND(SUBSTITUTE(C307," ",""), Load_Booking_Report!AL:AL)), 0)), "Not Found")</f>
        <v/>
      </c>
      <c r="Z307" s="41">
        <f t="array" ref="Z307">IFERROR(INDEX(Load_Booking_Report!BC:BC, MATCH(TRUE, ISNUMBER(FIND(SUBSTITUTE(C307," ",""), Load_Booking_Report!AL:AL)), 0)), "Not Found")</f>
        <v/>
      </c>
    </row>
    <row r="308">
      <c r="A308" t="n">
        <v>22</v>
      </c>
      <c r="B308" t="n">
        <v>220506</v>
      </c>
      <c r="C308" t="inlineStr">
        <is>
          <t>ANON0000000</t>
        </is>
      </c>
      <c r="D308" t="n">
        <v>40</v>
      </c>
      <c r="E308" t="inlineStr">
        <is>
          <t>USNFK</t>
        </is>
      </c>
      <c r="F308" t="inlineStr">
        <is>
          <t>RULED</t>
        </is>
      </c>
      <c r="G308" t="n">
        <v>28740</v>
      </c>
      <c r="H308" t="inlineStr">
        <is>
          <t>ART</t>
        </is>
      </c>
      <c r="I308" t="inlineStr">
        <is>
          <t>45G1</t>
        </is>
      </c>
      <c r="L308" t="inlineStr">
        <is>
          <t>9'6</t>
        </is>
      </c>
      <c r="M308" t="inlineStr">
        <is>
          <t>Full</t>
        </is>
      </c>
      <c r="N308" t="inlineStr">
        <is>
          <t>RULED</t>
        </is>
      </c>
      <c r="P308" s="21">
        <f>C308</f>
        <v/>
      </c>
      <c r="Q308" s="21">
        <f t="array" ref="Q308">IFERROR(INDEX(Load_Booking_Report!AC:AC, MATCH(TRUE, ISNUMBER(FIND(SUBSTITUTE(C308," ",""), Load_Booking_Report!AL:AL)), 0)), "Not Found")</f>
        <v/>
      </c>
      <c r="R308" s="21">
        <f t="array" ref="R308">IFERROR(INDEX(Load_Booking_Report!C:C, MATCH(TRUE, ISNUMBER(FIND(SUBSTITUTE(C308," ",""), Load_Booking_Report!AL:AL)), 0)), "Not Found")</f>
        <v/>
      </c>
      <c r="S308" s="21">
        <f t="array" ref="S308">IFERROR(INDEX(Load_Booking_Report!AG:AG, MATCH(TRUE, ISNUMBER(FIND(SUBSTITUTE(C308," ",""), Load_Booking_Report!AL:AL)), 0)), "Not Found")</f>
        <v/>
      </c>
      <c r="T308" s="21">
        <f>G308</f>
        <v/>
      </c>
      <c r="U308" s="33">
        <f t="array" ref="U308">IFERROR(
   IF(
      INDEX(Load_Booking_Report!AM:AM,
             MATCH(TRUE,
                     ISNUMBER(FIND(SUBSTITUTE(C308," ",""),
                                    Load_Booking_Report!AL:AL)),
                     0)
      )=0,
      "",
      INDEX(Load_Booking_Report!AM:AM,
             MATCH(TRUE,
                     ISNUMBER(FIND(SUBSTITUTE(C308," ",""),
                                    Load_Booking_Report!AL:AL)),
                     0)
      )
   ),
   ""
)</f>
        <v/>
      </c>
      <c r="V308" s="21">
        <f t="array" ref="V308">IFERROR(
   IF(
      INDEX(Load_Booking_Report!AR:AR,
             MATCH(TRUE,
                     ISNUMBER(FIND(SUBSTITUTE(C308," ",""),
                                    Load_Booking_Report!AL:AL)),
                     0)
      )=0,
      "",
      INDEX(Load_Booking_Report!AR:AR,
             MATCH(TRUE,
                     ISNUMBER(FIND(SUBSTITUTE(C308," ",""),
                                    Load_Booking_Report!AL:AL)),
                     0)
      )
   ),
   ""
)</f>
        <v/>
      </c>
      <c r="W308" s="21">
        <f t="array" ref="W308">IFERROR(INDEX(Load_Booking_Report!F:F, MATCH(TRUE, ISNUMBER(FIND(SUBSTITUTE(C308," ",""), Load_Booking_Report!AL:AL)), 0)), "Not Found")</f>
        <v/>
      </c>
      <c r="X308" s="21">
        <f t="array" ref="X308">IFERROR(INDEX(Load_Booking_Report!N:N, MATCH(TRUE, ISNUMBER(FIND(SUBSTITUTE(C308," ",""), Load_Booking_Report!AL:AL)), 0)), "Not Found")</f>
        <v/>
      </c>
      <c r="Y308" s="21">
        <f t="array" ref="Y308">IFERROR(INDEX(Load_Booking_Report!V:V, MATCH(TRUE, ISNUMBER(FIND(SUBSTITUTE(C308," ",""), Load_Booking_Report!AL:AL)), 0)), "Not Found")</f>
        <v/>
      </c>
      <c r="Z308" s="41">
        <f t="array" ref="Z308">IFERROR(INDEX(Load_Booking_Report!BC:BC, MATCH(TRUE, ISNUMBER(FIND(SUBSTITUTE(C308," ",""), Load_Booking_Report!AL:AL)), 0)), "Not Found")</f>
        <v/>
      </c>
    </row>
    <row r="309">
      <c r="A309" t="n">
        <v>23</v>
      </c>
      <c r="B309" t="n">
        <v>230404</v>
      </c>
      <c r="C309" t="inlineStr">
        <is>
          <t>ANON0000000</t>
        </is>
      </c>
      <c r="D309" t="n">
        <v>20</v>
      </c>
      <c r="E309" t="inlineStr">
        <is>
          <t>USNFK</t>
        </is>
      </c>
      <c r="F309" t="inlineStr">
        <is>
          <t>RULED</t>
        </is>
      </c>
      <c r="G309" t="n">
        <v>23310</v>
      </c>
      <c r="H309" t="inlineStr">
        <is>
          <t>ART</t>
        </is>
      </c>
      <c r="I309" t="inlineStr">
        <is>
          <t>22G1</t>
        </is>
      </c>
      <c r="L309" t="inlineStr">
        <is>
          <t>8'6</t>
        </is>
      </c>
      <c r="M309" t="inlineStr">
        <is>
          <t>Full</t>
        </is>
      </c>
      <c r="N309" t="inlineStr">
        <is>
          <t>RULED</t>
        </is>
      </c>
      <c r="P309" s="21">
        <f>C309</f>
        <v/>
      </c>
      <c r="Q309" s="21">
        <f t="array" ref="Q309">IFERROR(INDEX(Load_Booking_Report!AC:AC, MATCH(TRUE, ISNUMBER(FIND(SUBSTITUTE(C309," ",""), Load_Booking_Report!AL:AL)), 0)), "Not Found")</f>
        <v/>
      </c>
      <c r="R309" s="21">
        <f t="array" ref="R309">IFERROR(INDEX(Load_Booking_Report!C:C, MATCH(TRUE, ISNUMBER(FIND(SUBSTITUTE(C309," ",""), Load_Booking_Report!AL:AL)), 0)), "Not Found")</f>
        <v/>
      </c>
      <c r="S309" s="21">
        <f t="array" ref="S309">IFERROR(INDEX(Load_Booking_Report!AG:AG, MATCH(TRUE, ISNUMBER(FIND(SUBSTITUTE(C309," ",""), Load_Booking_Report!AL:AL)), 0)), "Not Found")</f>
        <v/>
      </c>
      <c r="T309" s="21">
        <f>G309</f>
        <v/>
      </c>
      <c r="U309" s="33">
        <f t="array" ref="U309">IFERROR(
   IF(
      INDEX(Load_Booking_Report!AM:AM,
             MATCH(TRUE,
                     ISNUMBER(FIND(SUBSTITUTE(C309," ",""),
                                    Load_Booking_Report!AL:AL)),
                     0)
      )=0,
      "",
      INDEX(Load_Booking_Report!AM:AM,
             MATCH(TRUE,
                     ISNUMBER(FIND(SUBSTITUTE(C309," ",""),
                                    Load_Booking_Report!AL:AL)),
                     0)
      )
   ),
   ""
)</f>
        <v/>
      </c>
      <c r="V309" s="21">
        <f t="array" ref="V309">IFERROR(
   IF(
      INDEX(Load_Booking_Report!AR:AR,
             MATCH(TRUE,
                     ISNUMBER(FIND(SUBSTITUTE(C309," ",""),
                                    Load_Booking_Report!AL:AL)),
                     0)
      )=0,
      "",
      INDEX(Load_Booking_Report!AR:AR,
             MATCH(TRUE,
                     ISNUMBER(FIND(SUBSTITUTE(C309," ",""),
                                    Load_Booking_Report!AL:AL)),
                     0)
      )
   ),
   ""
)</f>
        <v/>
      </c>
      <c r="W309" s="21">
        <f t="array" ref="W309">IFERROR(INDEX(Load_Booking_Report!F:F, MATCH(TRUE, ISNUMBER(FIND(SUBSTITUTE(C309," ",""), Load_Booking_Report!AL:AL)), 0)), "Not Found")</f>
        <v/>
      </c>
      <c r="X309" s="21">
        <f t="array" ref="X309">IFERROR(INDEX(Load_Booking_Report!N:N, MATCH(TRUE, ISNUMBER(FIND(SUBSTITUTE(C309," ",""), Load_Booking_Report!AL:AL)), 0)), "Not Found")</f>
        <v/>
      </c>
      <c r="Y309" s="21">
        <f t="array" ref="Y309">IFERROR(INDEX(Load_Booking_Report!V:V, MATCH(TRUE, ISNUMBER(FIND(SUBSTITUTE(C309," ",""), Load_Booking_Report!AL:AL)), 0)), "Not Found")</f>
        <v/>
      </c>
      <c r="Z309" s="41">
        <f t="array" ref="Z309">IFERROR(INDEX(Load_Booking_Report!BC:BC, MATCH(TRUE, ISNUMBER(FIND(SUBSTITUTE(C309," ",""), Load_Booking_Report!AL:AL)), 0)), "Not Found")</f>
        <v/>
      </c>
    </row>
    <row r="310">
      <c r="A310" t="n">
        <v>23</v>
      </c>
      <c r="B310" t="n">
        <v>230106</v>
      </c>
      <c r="C310" t="inlineStr">
        <is>
          <t>ANON0000000</t>
        </is>
      </c>
      <c r="D310" t="n">
        <v>20</v>
      </c>
      <c r="E310" t="inlineStr">
        <is>
          <t>USNFK</t>
        </is>
      </c>
      <c r="F310" t="inlineStr">
        <is>
          <t>RULED</t>
        </is>
      </c>
      <c r="G310" t="n">
        <v>23780</v>
      </c>
      <c r="H310" t="inlineStr">
        <is>
          <t>ART</t>
        </is>
      </c>
      <c r="I310" t="inlineStr">
        <is>
          <t>22G1</t>
        </is>
      </c>
      <c r="L310" t="inlineStr">
        <is>
          <t>8'6</t>
        </is>
      </c>
      <c r="M310" t="inlineStr">
        <is>
          <t>Full</t>
        </is>
      </c>
      <c r="N310" t="inlineStr">
        <is>
          <t>RULED</t>
        </is>
      </c>
      <c r="P310" s="21">
        <f>C310</f>
        <v/>
      </c>
      <c r="Q310" s="21">
        <f t="array" ref="Q310">IFERROR(INDEX(Load_Booking_Report!AC:AC, MATCH(TRUE, ISNUMBER(FIND(SUBSTITUTE(C310," ",""), Load_Booking_Report!AL:AL)), 0)), "Not Found")</f>
        <v/>
      </c>
      <c r="R310" s="21">
        <f t="array" ref="R310">IFERROR(INDEX(Load_Booking_Report!C:C, MATCH(TRUE, ISNUMBER(FIND(SUBSTITUTE(C310," ",""), Load_Booking_Report!AL:AL)), 0)), "Not Found")</f>
        <v/>
      </c>
      <c r="S310" s="21">
        <f t="array" ref="S310">IFERROR(INDEX(Load_Booking_Report!AG:AG, MATCH(TRUE, ISNUMBER(FIND(SUBSTITUTE(C310," ",""), Load_Booking_Report!AL:AL)), 0)), "Not Found")</f>
        <v/>
      </c>
      <c r="T310" s="21">
        <f>G310</f>
        <v/>
      </c>
      <c r="U310" s="33">
        <f t="array" ref="U310">IFERROR(
   IF(
      INDEX(Load_Booking_Report!AM:AM,
             MATCH(TRUE,
                     ISNUMBER(FIND(SUBSTITUTE(C310," ",""),
                                    Load_Booking_Report!AL:AL)),
                     0)
      )=0,
      "",
      INDEX(Load_Booking_Report!AM:AM,
             MATCH(TRUE,
                     ISNUMBER(FIND(SUBSTITUTE(C310," ",""),
                                    Load_Booking_Report!AL:AL)),
                     0)
      )
   ),
   ""
)</f>
        <v/>
      </c>
      <c r="V310" s="21">
        <f t="array" ref="V310">IFERROR(
   IF(
      INDEX(Load_Booking_Report!AR:AR,
             MATCH(TRUE,
                     ISNUMBER(FIND(SUBSTITUTE(C310," ",""),
                                    Load_Booking_Report!AL:AL)),
                     0)
      )=0,
      "",
      INDEX(Load_Booking_Report!AR:AR,
             MATCH(TRUE,
                     ISNUMBER(FIND(SUBSTITUTE(C310," ",""),
                                    Load_Booking_Report!AL:AL)),
                     0)
      )
   ),
   ""
)</f>
        <v/>
      </c>
      <c r="W310" s="21">
        <f t="array" ref="W310">IFERROR(INDEX(Load_Booking_Report!F:F, MATCH(TRUE, ISNUMBER(FIND(SUBSTITUTE(C310," ",""), Load_Booking_Report!AL:AL)), 0)), "Not Found")</f>
        <v/>
      </c>
      <c r="X310" s="21">
        <f t="array" ref="X310">IFERROR(INDEX(Load_Booking_Report!N:N, MATCH(TRUE, ISNUMBER(FIND(SUBSTITUTE(C310," ",""), Load_Booking_Report!AL:AL)), 0)), "Not Found")</f>
        <v/>
      </c>
      <c r="Y310" s="21">
        <f t="array" ref="Y310">IFERROR(INDEX(Load_Booking_Report!V:V, MATCH(TRUE, ISNUMBER(FIND(SUBSTITUTE(C310," ",""), Load_Booking_Report!AL:AL)), 0)), "Not Found")</f>
        <v/>
      </c>
      <c r="Z310" s="41">
        <f t="array" ref="Z310">IFERROR(INDEX(Load_Booking_Report!BC:BC, MATCH(TRUE, ISNUMBER(FIND(SUBSTITUTE(C310," ",""), Load_Booking_Report!AL:AL)), 0)), "Not Found")</f>
        <v/>
      </c>
    </row>
    <row r="311">
      <c r="A311" t="n">
        <v>2</v>
      </c>
      <c r="B311" t="n">
        <v>20186</v>
      </c>
      <c r="C311" t="inlineStr">
        <is>
          <t>ANON0000000</t>
        </is>
      </c>
      <c r="D311" t="n">
        <v>40</v>
      </c>
      <c r="E311" t="inlineStr">
        <is>
          <t>USNFK</t>
        </is>
      </c>
      <c r="F311" t="inlineStr">
        <is>
          <t>RULED</t>
        </is>
      </c>
      <c r="G311" t="n">
        <v>28830</v>
      </c>
      <c r="H311" t="inlineStr">
        <is>
          <t>ART</t>
        </is>
      </c>
      <c r="I311" t="inlineStr">
        <is>
          <t>45G1</t>
        </is>
      </c>
      <c r="L311" t="inlineStr">
        <is>
          <t>9'6</t>
        </is>
      </c>
      <c r="M311" t="inlineStr">
        <is>
          <t>Full</t>
        </is>
      </c>
      <c r="N311" t="inlineStr">
        <is>
          <t>RULED</t>
        </is>
      </c>
      <c r="P311" s="21">
        <f>C311</f>
        <v/>
      </c>
      <c r="Q311" s="21">
        <f t="array" ref="Q311">IFERROR(INDEX(Load_Booking_Report!AC:AC, MATCH(TRUE, ISNUMBER(FIND(SUBSTITUTE(C311," ",""), Load_Booking_Report!AL:AL)), 0)), "Not Found")</f>
        <v/>
      </c>
      <c r="R311" s="21">
        <f t="array" ref="R311">IFERROR(INDEX(Load_Booking_Report!C:C, MATCH(TRUE, ISNUMBER(FIND(SUBSTITUTE(C311," ",""), Load_Booking_Report!AL:AL)), 0)), "Not Found")</f>
        <v/>
      </c>
      <c r="S311" s="21">
        <f t="array" ref="S311">IFERROR(INDEX(Load_Booking_Report!AG:AG, MATCH(TRUE, ISNUMBER(FIND(SUBSTITUTE(C311," ",""), Load_Booking_Report!AL:AL)), 0)), "Not Found")</f>
        <v/>
      </c>
      <c r="T311" s="21">
        <f>G311</f>
        <v/>
      </c>
      <c r="U311" s="33">
        <f t="array" ref="U311">IFERROR(
   IF(
      INDEX(Load_Booking_Report!AM:AM,
             MATCH(TRUE,
                     ISNUMBER(FIND(SUBSTITUTE(C311," ",""),
                                    Load_Booking_Report!AL:AL)),
                     0)
      )=0,
      "",
      INDEX(Load_Booking_Report!AM:AM,
             MATCH(TRUE,
                     ISNUMBER(FIND(SUBSTITUTE(C311," ",""),
                                    Load_Booking_Report!AL:AL)),
                     0)
      )
   ),
   ""
)</f>
        <v/>
      </c>
      <c r="V311" s="21">
        <f t="array" ref="V311">IFERROR(
   IF(
      INDEX(Load_Booking_Report!AR:AR,
             MATCH(TRUE,
                     ISNUMBER(FIND(SUBSTITUTE(C311," ",""),
                                    Load_Booking_Report!AL:AL)),
                     0)
      )=0,
      "",
      INDEX(Load_Booking_Report!AR:AR,
             MATCH(TRUE,
                     ISNUMBER(FIND(SUBSTITUTE(C311," ",""),
                                    Load_Booking_Report!AL:AL)),
                     0)
      )
   ),
   ""
)</f>
        <v/>
      </c>
      <c r="W311" s="21">
        <f t="array" ref="W311">IFERROR(INDEX(Load_Booking_Report!F:F, MATCH(TRUE, ISNUMBER(FIND(SUBSTITUTE(C311," ",""), Load_Booking_Report!AL:AL)), 0)), "Not Found")</f>
        <v/>
      </c>
      <c r="X311" s="21">
        <f t="array" ref="X311">IFERROR(INDEX(Load_Booking_Report!N:N, MATCH(TRUE, ISNUMBER(FIND(SUBSTITUTE(C311," ",""), Load_Booking_Report!AL:AL)), 0)), "Not Found")</f>
        <v/>
      </c>
      <c r="Y311" s="21">
        <f t="array" ref="Y311">IFERROR(INDEX(Load_Booking_Report!V:V, MATCH(TRUE, ISNUMBER(FIND(SUBSTITUTE(C311," ",""), Load_Booking_Report!AL:AL)), 0)), "Not Found")</f>
        <v/>
      </c>
      <c r="Z311" s="41">
        <f t="array" ref="Z311">IFERROR(INDEX(Load_Booking_Report!BC:BC, MATCH(TRUE, ISNUMBER(FIND(SUBSTITUTE(C311," ",""), Load_Booking_Report!AL:AL)), 0)), "Not Found")</f>
        <v/>
      </c>
    </row>
    <row r="312">
      <c r="A312" t="n">
        <v>2</v>
      </c>
      <c r="B312" t="n">
        <v>20008</v>
      </c>
      <c r="C312" t="inlineStr">
        <is>
          <t>ANON0000000</t>
        </is>
      </c>
      <c r="D312" t="n">
        <v>40</v>
      </c>
      <c r="E312" t="inlineStr">
        <is>
          <t>USNFK</t>
        </is>
      </c>
      <c r="F312" t="inlineStr">
        <is>
          <t>RULED</t>
        </is>
      </c>
      <c r="G312" t="n">
        <v>28770</v>
      </c>
      <c r="H312" t="inlineStr">
        <is>
          <t>ART</t>
        </is>
      </c>
      <c r="I312" t="inlineStr">
        <is>
          <t>45G1</t>
        </is>
      </c>
      <c r="L312" t="inlineStr">
        <is>
          <t>9'6</t>
        </is>
      </c>
      <c r="M312" t="inlineStr">
        <is>
          <t>Full</t>
        </is>
      </c>
      <c r="N312" t="inlineStr">
        <is>
          <t>RULED</t>
        </is>
      </c>
      <c r="P312" s="21">
        <f>C312</f>
        <v/>
      </c>
      <c r="Q312" s="21">
        <f t="array" ref="Q312">IFERROR(INDEX(Load_Booking_Report!AC:AC, MATCH(TRUE, ISNUMBER(FIND(SUBSTITUTE(C312," ",""), Load_Booking_Report!AL:AL)), 0)), "Not Found")</f>
        <v/>
      </c>
      <c r="R312" s="21">
        <f t="array" ref="R312">IFERROR(INDEX(Load_Booking_Report!C:C, MATCH(TRUE, ISNUMBER(FIND(SUBSTITUTE(C312," ",""), Load_Booking_Report!AL:AL)), 0)), "Not Found")</f>
        <v/>
      </c>
      <c r="S312" s="21">
        <f t="array" ref="S312">IFERROR(INDEX(Load_Booking_Report!AG:AG, MATCH(TRUE, ISNUMBER(FIND(SUBSTITUTE(C312," ",""), Load_Booking_Report!AL:AL)), 0)), "Not Found")</f>
        <v/>
      </c>
      <c r="T312" s="21">
        <f>G312</f>
        <v/>
      </c>
      <c r="U312" s="33">
        <f t="array" ref="U312">IFERROR(
   IF(
      INDEX(Load_Booking_Report!AM:AM,
             MATCH(TRUE,
                     ISNUMBER(FIND(SUBSTITUTE(C312," ",""),
                                    Load_Booking_Report!AL:AL)),
                     0)
      )=0,
      "",
      INDEX(Load_Booking_Report!AM:AM,
             MATCH(TRUE,
                     ISNUMBER(FIND(SUBSTITUTE(C312," ",""),
                                    Load_Booking_Report!AL:AL)),
                     0)
      )
   ),
   ""
)</f>
        <v/>
      </c>
      <c r="V312" s="21">
        <f t="array" ref="V312">IFERROR(
   IF(
      INDEX(Load_Booking_Report!AR:AR,
             MATCH(TRUE,
                     ISNUMBER(FIND(SUBSTITUTE(C312," ",""),
                                    Load_Booking_Report!AL:AL)),
                     0)
      )=0,
      "",
      INDEX(Load_Booking_Report!AR:AR,
             MATCH(TRUE,
                     ISNUMBER(FIND(SUBSTITUTE(C312," ",""),
                                    Load_Booking_Report!AL:AL)),
                     0)
      )
   ),
   ""
)</f>
        <v/>
      </c>
      <c r="W312" s="21">
        <f t="array" ref="W312">IFERROR(INDEX(Load_Booking_Report!F:F, MATCH(TRUE, ISNUMBER(FIND(SUBSTITUTE(C312," ",""), Load_Booking_Report!AL:AL)), 0)), "Not Found")</f>
        <v/>
      </c>
      <c r="X312" s="21">
        <f t="array" ref="X312">IFERROR(INDEX(Load_Booking_Report!N:N, MATCH(TRUE, ISNUMBER(FIND(SUBSTITUTE(C312," ",""), Load_Booking_Report!AL:AL)), 0)), "Not Found")</f>
        <v/>
      </c>
      <c r="Y312" s="21">
        <f t="array" ref="Y312">IFERROR(INDEX(Load_Booking_Report!V:V, MATCH(TRUE, ISNUMBER(FIND(SUBSTITUTE(C312," ",""), Load_Booking_Report!AL:AL)), 0)), "Not Found")</f>
        <v/>
      </c>
      <c r="Z312" s="41">
        <f t="array" ref="Z312">IFERROR(INDEX(Load_Booking_Report!BC:BC, MATCH(TRUE, ISNUMBER(FIND(SUBSTITUTE(C312," ",""), Load_Booking_Report!AL:AL)), 0)), "Not Found")</f>
        <v/>
      </c>
    </row>
    <row r="313">
      <c r="A313" t="n">
        <v>2</v>
      </c>
      <c r="B313" t="n">
        <v>20686</v>
      </c>
      <c r="C313" t="inlineStr">
        <is>
          <t>ANON0000000</t>
        </is>
      </c>
      <c r="D313" t="n">
        <v>40</v>
      </c>
      <c r="E313" t="inlineStr">
        <is>
          <t>USNFK</t>
        </is>
      </c>
      <c r="F313" t="inlineStr">
        <is>
          <t>RULED</t>
        </is>
      </c>
      <c r="G313" t="n">
        <v>28710</v>
      </c>
      <c r="H313" t="inlineStr">
        <is>
          <t>ART</t>
        </is>
      </c>
      <c r="I313" t="inlineStr">
        <is>
          <t>45G1</t>
        </is>
      </c>
      <c r="L313" t="inlineStr">
        <is>
          <t>9'6</t>
        </is>
      </c>
      <c r="M313" t="inlineStr">
        <is>
          <t>Full</t>
        </is>
      </c>
      <c r="N313" t="inlineStr">
        <is>
          <t>RULED</t>
        </is>
      </c>
      <c r="P313" s="21">
        <f>C313</f>
        <v/>
      </c>
      <c r="Q313" s="21">
        <f t="array" ref="Q313">IFERROR(INDEX(Load_Booking_Report!AC:AC, MATCH(TRUE, ISNUMBER(FIND(SUBSTITUTE(C313," ",""), Load_Booking_Report!AL:AL)), 0)), "Not Found")</f>
        <v/>
      </c>
      <c r="R313" s="21">
        <f t="array" ref="R313">IFERROR(INDEX(Load_Booking_Report!C:C, MATCH(TRUE, ISNUMBER(FIND(SUBSTITUTE(C313," ",""), Load_Booking_Report!AL:AL)), 0)), "Not Found")</f>
        <v/>
      </c>
      <c r="S313" s="21">
        <f t="array" ref="S313">IFERROR(INDEX(Load_Booking_Report!AG:AG, MATCH(TRUE, ISNUMBER(FIND(SUBSTITUTE(C313," ",""), Load_Booking_Report!AL:AL)), 0)), "Not Found")</f>
        <v/>
      </c>
      <c r="T313" s="21">
        <f>G313</f>
        <v/>
      </c>
      <c r="U313" s="33">
        <f t="array" ref="U313">IFERROR(
   IF(
      INDEX(Load_Booking_Report!AM:AM,
             MATCH(TRUE,
                     ISNUMBER(FIND(SUBSTITUTE(C313," ",""),
                                    Load_Booking_Report!AL:AL)),
                     0)
      )=0,
      "",
      INDEX(Load_Booking_Report!AM:AM,
             MATCH(TRUE,
                     ISNUMBER(FIND(SUBSTITUTE(C313," ",""),
                                    Load_Booking_Report!AL:AL)),
                     0)
      )
   ),
   ""
)</f>
        <v/>
      </c>
      <c r="V313" s="21">
        <f t="array" ref="V313">IFERROR(
   IF(
      INDEX(Load_Booking_Report!AR:AR,
             MATCH(TRUE,
                     ISNUMBER(FIND(SUBSTITUTE(C313," ",""),
                                    Load_Booking_Report!AL:AL)),
                     0)
      )=0,
      "",
      INDEX(Load_Booking_Report!AR:AR,
             MATCH(TRUE,
                     ISNUMBER(FIND(SUBSTITUTE(C313," ",""),
                                    Load_Booking_Report!AL:AL)),
                     0)
      )
   ),
   ""
)</f>
        <v/>
      </c>
      <c r="W313" s="21">
        <f t="array" ref="W313">IFERROR(INDEX(Load_Booking_Report!F:F, MATCH(TRUE, ISNUMBER(FIND(SUBSTITUTE(C313," ",""), Load_Booking_Report!AL:AL)), 0)), "Not Found")</f>
        <v/>
      </c>
      <c r="X313" s="21">
        <f t="array" ref="X313">IFERROR(INDEX(Load_Booking_Report!N:N, MATCH(TRUE, ISNUMBER(FIND(SUBSTITUTE(C313," ",""), Load_Booking_Report!AL:AL)), 0)), "Not Found")</f>
        <v/>
      </c>
      <c r="Y313" s="21">
        <f t="array" ref="Y313">IFERROR(INDEX(Load_Booking_Report!V:V, MATCH(TRUE, ISNUMBER(FIND(SUBSTITUTE(C313," ",""), Load_Booking_Report!AL:AL)), 0)), "Not Found")</f>
        <v/>
      </c>
      <c r="Z313" s="41">
        <f t="array" ref="Z313">IFERROR(INDEX(Load_Booking_Report!BC:BC, MATCH(TRUE, ISNUMBER(FIND(SUBSTITUTE(C313," ",""), Load_Booking_Report!AL:AL)), 0)), "Not Found")</f>
        <v/>
      </c>
    </row>
    <row r="314">
      <c r="A314" t="n">
        <v>22</v>
      </c>
      <c r="B314" t="n">
        <v>220408</v>
      </c>
      <c r="C314" t="inlineStr">
        <is>
          <t>ANON0000000</t>
        </is>
      </c>
      <c r="D314" t="n">
        <v>40</v>
      </c>
      <c r="E314" t="inlineStr">
        <is>
          <t>USNFK</t>
        </is>
      </c>
      <c r="F314" t="inlineStr">
        <is>
          <t>RULED</t>
        </is>
      </c>
      <c r="G314" t="n">
        <v>28650</v>
      </c>
      <c r="H314" t="inlineStr">
        <is>
          <t>ART</t>
        </is>
      </c>
      <c r="I314" t="inlineStr">
        <is>
          <t>45G1</t>
        </is>
      </c>
      <c r="L314" t="inlineStr">
        <is>
          <t>9'6</t>
        </is>
      </c>
      <c r="M314" t="inlineStr">
        <is>
          <t>Full</t>
        </is>
      </c>
      <c r="N314" t="inlineStr">
        <is>
          <t>RULED</t>
        </is>
      </c>
      <c r="P314" s="21">
        <f>C314</f>
        <v/>
      </c>
      <c r="Q314" s="21">
        <f t="array" ref="Q314">IFERROR(INDEX(Load_Booking_Report!AC:AC, MATCH(TRUE, ISNUMBER(FIND(SUBSTITUTE(C314," ",""), Load_Booking_Report!AL:AL)), 0)), "Not Found")</f>
        <v/>
      </c>
      <c r="R314" s="21">
        <f t="array" ref="R314">IFERROR(INDEX(Load_Booking_Report!C:C, MATCH(TRUE, ISNUMBER(FIND(SUBSTITUTE(C314," ",""), Load_Booking_Report!AL:AL)), 0)), "Not Found")</f>
        <v/>
      </c>
      <c r="S314" s="21">
        <f t="array" ref="S314">IFERROR(INDEX(Load_Booking_Report!AG:AG, MATCH(TRUE, ISNUMBER(FIND(SUBSTITUTE(C314," ",""), Load_Booking_Report!AL:AL)), 0)), "Not Found")</f>
        <v/>
      </c>
      <c r="T314" s="21">
        <f>G314</f>
        <v/>
      </c>
      <c r="U314" s="33">
        <f t="array" ref="U314">IFERROR(
   IF(
      INDEX(Load_Booking_Report!AM:AM,
             MATCH(TRUE,
                     ISNUMBER(FIND(SUBSTITUTE(C314," ",""),
                                    Load_Booking_Report!AL:AL)),
                     0)
      )=0,
      "",
      INDEX(Load_Booking_Report!AM:AM,
             MATCH(TRUE,
                     ISNUMBER(FIND(SUBSTITUTE(C314," ",""),
                                    Load_Booking_Report!AL:AL)),
                     0)
      )
   ),
   ""
)</f>
        <v/>
      </c>
      <c r="V314" s="21">
        <f t="array" ref="V314">IFERROR(
   IF(
      INDEX(Load_Booking_Report!AR:AR,
             MATCH(TRUE,
                     ISNUMBER(FIND(SUBSTITUTE(C314," ",""),
                                    Load_Booking_Report!AL:AL)),
                     0)
      )=0,
      "",
      INDEX(Load_Booking_Report!AR:AR,
             MATCH(TRUE,
                     ISNUMBER(FIND(SUBSTITUTE(C314," ",""),
                                    Load_Booking_Report!AL:AL)),
                     0)
      )
   ),
   ""
)</f>
        <v/>
      </c>
      <c r="W314" s="21">
        <f t="array" ref="W314">IFERROR(INDEX(Load_Booking_Report!F:F, MATCH(TRUE, ISNUMBER(FIND(SUBSTITUTE(C314," ",""), Load_Booking_Report!AL:AL)), 0)), "Not Found")</f>
        <v/>
      </c>
      <c r="X314" s="21">
        <f t="array" ref="X314">IFERROR(INDEX(Load_Booking_Report!N:N, MATCH(TRUE, ISNUMBER(FIND(SUBSTITUTE(C314," ",""), Load_Booking_Report!AL:AL)), 0)), "Not Found")</f>
        <v/>
      </c>
      <c r="Y314" s="21">
        <f t="array" ref="Y314">IFERROR(INDEX(Load_Booking_Report!V:V, MATCH(TRUE, ISNUMBER(FIND(SUBSTITUTE(C314," ",""), Load_Booking_Report!AL:AL)), 0)), "Not Found")</f>
        <v/>
      </c>
      <c r="Z314" s="41">
        <f t="array" ref="Z314">IFERROR(INDEX(Load_Booking_Report!BC:BC, MATCH(TRUE, ISNUMBER(FIND(SUBSTITUTE(C314," ",""), Load_Booking_Report!AL:AL)), 0)), "Not Found")</f>
        <v/>
      </c>
    </row>
    <row r="315">
      <c r="A315" t="n">
        <v>22</v>
      </c>
      <c r="B315" t="n">
        <v>220208</v>
      </c>
      <c r="C315" t="inlineStr">
        <is>
          <t>ANON0000000</t>
        </is>
      </c>
      <c r="D315" t="n">
        <v>40</v>
      </c>
      <c r="E315" t="inlineStr">
        <is>
          <t>USNFK</t>
        </is>
      </c>
      <c r="F315" t="inlineStr">
        <is>
          <t>RULED</t>
        </is>
      </c>
      <c r="G315" t="n">
        <v>28670</v>
      </c>
      <c r="H315" t="inlineStr">
        <is>
          <t>ART</t>
        </is>
      </c>
      <c r="I315" t="inlineStr">
        <is>
          <t>45G1</t>
        </is>
      </c>
      <c r="L315" t="inlineStr">
        <is>
          <t>9'6</t>
        </is>
      </c>
      <c r="M315" t="inlineStr">
        <is>
          <t>Full</t>
        </is>
      </c>
      <c r="N315" t="inlineStr">
        <is>
          <t>RULED</t>
        </is>
      </c>
      <c r="P315" s="21">
        <f>C315</f>
        <v/>
      </c>
      <c r="Q315" s="21">
        <f t="array" ref="Q315">IFERROR(INDEX(Load_Booking_Report!AC:AC, MATCH(TRUE, ISNUMBER(FIND(SUBSTITUTE(C315," ",""), Load_Booking_Report!AL:AL)), 0)), "Not Found")</f>
        <v/>
      </c>
      <c r="R315" s="21">
        <f t="array" ref="R315">IFERROR(INDEX(Load_Booking_Report!C:C, MATCH(TRUE, ISNUMBER(FIND(SUBSTITUTE(C315," ",""), Load_Booking_Report!AL:AL)), 0)), "Not Found")</f>
        <v/>
      </c>
      <c r="S315" s="21">
        <f t="array" ref="S315">IFERROR(INDEX(Load_Booking_Report!AG:AG, MATCH(TRUE, ISNUMBER(FIND(SUBSTITUTE(C315," ",""), Load_Booking_Report!AL:AL)), 0)), "Not Found")</f>
        <v/>
      </c>
      <c r="T315" s="21">
        <f>G315</f>
        <v/>
      </c>
      <c r="U315" s="33">
        <f t="array" ref="U315">IFERROR(
   IF(
      INDEX(Load_Booking_Report!AM:AM,
             MATCH(TRUE,
                     ISNUMBER(FIND(SUBSTITUTE(C315," ",""),
                                    Load_Booking_Report!AL:AL)),
                     0)
      )=0,
      "",
      INDEX(Load_Booking_Report!AM:AM,
             MATCH(TRUE,
                     ISNUMBER(FIND(SUBSTITUTE(C315," ",""),
                                    Load_Booking_Report!AL:AL)),
                     0)
      )
   ),
   ""
)</f>
        <v/>
      </c>
      <c r="V315" s="21">
        <f t="array" ref="V315">IFERROR(
   IF(
      INDEX(Load_Booking_Report!AR:AR,
             MATCH(TRUE,
                     ISNUMBER(FIND(SUBSTITUTE(C315," ",""),
                                    Load_Booking_Report!AL:AL)),
                     0)
      )=0,
      "",
      INDEX(Load_Booking_Report!AR:AR,
             MATCH(TRUE,
                     ISNUMBER(FIND(SUBSTITUTE(C315," ",""),
                                    Load_Booking_Report!AL:AL)),
                     0)
      )
   ),
   ""
)</f>
        <v/>
      </c>
      <c r="W315" s="21">
        <f t="array" ref="W315">IFERROR(INDEX(Load_Booking_Report!F:F, MATCH(TRUE, ISNUMBER(FIND(SUBSTITUTE(C315," ",""), Load_Booking_Report!AL:AL)), 0)), "Not Found")</f>
        <v/>
      </c>
      <c r="X315" s="21">
        <f t="array" ref="X315">IFERROR(INDEX(Load_Booking_Report!N:N, MATCH(TRUE, ISNUMBER(FIND(SUBSTITUTE(C315," ",""), Load_Booking_Report!AL:AL)), 0)), "Not Found")</f>
        <v/>
      </c>
      <c r="Y315" s="21">
        <f t="array" ref="Y315">IFERROR(INDEX(Load_Booking_Report!V:V, MATCH(TRUE, ISNUMBER(FIND(SUBSTITUTE(C315," ",""), Load_Booking_Report!AL:AL)), 0)), "Not Found")</f>
        <v/>
      </c>
      <c r="Z315" s="41">
        <f t="array" ref="Z315">IFERROR(INDEX(Load_Booking_Report!BC:BC, MATCH(TRUE, ISNUMBER(FIND(SUBSTITUTE(C315," ",""), Load_Booking_Report!AL:AL)), 0)), "Not Found")</f>
        <v/>
      </c>
    </row>
    <row r="316">
      <c r="A316" t="n">
        <v>22</v>
      </c>
      <c r="B316" t="n">
        <v>220808</v>
      </c>
      <c r="C316" t="inlineStr">
        <is>
          <t>ANON0000000</t>
        </is>
      </c>
      <c r="D316" t="n">
        <v>40</v>
      </c>
      <c r="E316" t="inlineStr">
        <is>
          <t>USNFK</t>
        </is>
      </c>
      <c r="F316" t="inlineStr">
        <is>
          <t>RULED</t>
        </is>
      </c>
      <c r="G316" t="n">
        <v>28710</v>
      </c>
      <c r="H316" t="inlineStr">
        <is>
          <t>ART</t>
        </is>
      </c>
      <c r="I316" t="inlineStr">
        <is>
          <t>45G1</t>
        </is>
      </c>
      <c r="L316" t="inlineStr">
        <is>
          <t>9'6</t>
        </is>
      </c>
      <c r="M316" t="inlineStr">
        <is>
          <t>Full</t>
        </is>
      </c>
      <c r="N316" t="inlineStr">
        <is>
          <t>RULED</t>
        </is>
      </c>
      <c r="P316" s="21">
        <f>C316</f>
        <v/>
      </c>
      <c r="Q316" s="21">
        <f t="array" ref="Q316">IFERROR(INDEX(Load_Booking_Report!AC:AC, MATCH(TRUE, ISNUMBER(FIND(SUBSTITUTE(C316," ",""), Load_Booking_Report!AL:AL)), 0)), "Not Found")</f>
        <v/>
      </c>
      <c r="R316" s="21">
        <f t="array" ref="R316">IFERROR(INDEX(Load_Booking_Report!C:C, MATCH(TRUE, ISNUMBER(FIND(SUBSTITUTE(C316," ",""), Load_Booking_Report!AL:AL)), 0)), "Not Found")</f>
        <v/>
      </c>
      <c r="S316" s="21">
        <f t="array" ref="S316">IFERROR(INDEX(Load_Booking_Report!AG:AG, MATCH(TRUE, ISNUMBER(FIND(SUBSTITUTE(C316," ",""), Load_Booking_Report!AL:AL)), 0)), "Not Found")</f>
        <v/>
      </c>
      <c r="T316" s="21">
        <f>G316</f>
        <v/>
      </c>
      <c r="U316" s="33">
        <f t="array" ref="U316">IFERROR(
   IF(
      INDEX(Load_Booking_Report!AM:AM,
             MATCH(TRUE,
                     ISNUMBER(FIND(SUBSTITUTE(C316," ",""),
                                    Load_Booking_Report!AL:AL)),
                     0)
      )=0,
      "",
      INDEX(Load_Booking_Report!AM:AM,
             MATCH(TRUE,
                     ISNUMBER(FIND(SUBSTITUTE(C316," ",""),
                                    Load_Booking_Report!AL:AL)),
                     0)
      )
   ),
   ""
)</f>
        <v/>
      </c>
      <c r="V316" s="21">
        <f t="array" ref="V316">IFERROR(
   IF(
      INDEX(Load_Booking_Report!AR:AR,
             MATCH(TRUE,
                     ISNUMBER(FIND(SUBSTITUTE(C316," ",""),
                                    Load_Booking_Report!AL:AL)),
                     0)
      )=0,
      "",
      INDEX(Load_Booking_Report!AR:AR,
             MATCH(TRUE,
                     ISNUMBER(FIND(SUBSTITUTE(C316," ",""),
                                    Load_Booking_Report!AL:AL)),
                     0)
      )
   ),
   ""
)</f>
        <v/>
      </c>
      <c r="W316" s="21">
        <f t="array" ref="W316">IFERROR(INDEX(Load_Booking_Report!F:F, MATCH(TRUE, ISNUMBER(FIND(SUBSTITUTE(C316," ",""), Load_Booking_Report!AL:AL)), 0)), "Not Found")</f>
        <v/>
      </c>
      <c r="X316" s="21">
        <f t="array" ref="X316">IFERROR(INDEX(Load_Booking_Report!N:N, MATCH(TRUE, ISNUMBER(FIND(SUBSTITUTE(C316," ",""), Load_Booking_Report!AL:AL)), 0)), "Not Found")</f>
        <v/>
      </c>
      <c r="Y316" s="21">
        <f t="array" ref="Y316">IFERROR(INDEX(Load_Booking_Report!V:V, MATCH(TRUE, ISNUMBER(FIND(SUBSTITUTE(C316," ",""), Load_Booking_Report!AL:AL)), 0)), "Not Found")</f>
        <v/>
      </c>
      <c r="Z316" s="41">
        <f t="array" ref="Z316">IFERROR(INDEX(Load_Booking_Report!BC:BC, MATCH(TRUE, ISNUMBER(FIND(SUBSTITUTE(C316," ",""), Load_Booking_Report!AL:AL)), 0)), "Not Found")</f>
        <v/>
      </c>
    </row>
    <row r="317">
      <c r="A317" t="n">
        <v>2</v>
      </c>
      <c r="B317" t="n">
        <v>20586</v>
      </c>
      <c r="C317" t="inlineStr">
        <is>
          <t>ANON0000000</t>
        </is>
      </c>
      <c r="D317" t="n">
        <v>40</v>
      </c>
      <c r="E317" t="inlineStr">
        <is>
          <t>USNFK</t>
        </is>
      </c>
      <c r="F317" t="inlineStr">
        <is>
          <t>RULED</t>
        </is>
      </c>
      <c r="G317" t="n">
        <v>28680</v>
      </c>
      <c r="H317" t="inlineStr">
        <is>
          <t>ART</t>
        </is>
      </c>
      <c r="I317" t="inlineStr">
        <is>
          <t>45G1</t>
        </is>
      </c>
      <c r="L317" t="inlineStr">
        <is>
          <t>9'6</t>
        </is>
      </c>
      <c r="M317" t="inlineStr">
        <is>
          <t>Full</t>
        </is>
      </c>
      <c r="N317" t="inlineStr">
        <is>
          <t>RULED</t>
        </is>
      </c>
      <c r="P317" s="21">
        <f>C317</f>
        <v/>
      </c>
      <c r="Q317" s="21">
        <f t="array" ref="Q317">IFERROR(INDEX(Load_Booking_Report!AC:AC, MATCH(TRUE, ISNUMBER(FIND(SUBSTITUTE(C317," ",""), Load_Booking_Report!AL:AL)), 0)), "Not Found")</f>
        <v/>
      </c>
      <c r="R317" s="21">
        <f t="array" ref="R317">IFERROR(INDEX(Load_Booking_Report!C:C, MATCH(TRUE, ISNUMBER(FIND(SUBSTITUTE(C317," ",""), Load_Booking_Report!AL:AL)), 0)), "Not Found")</f>
        <v/>
      </c>
      <c r="S317" s="21">
        <f t="array" ref="S317">IFERROR(INDEX(Load_Booking_Report!AG:AG, MATCH(TRUE, ISNUMBER(FIND(SUBSTITUTE(C317," ",""), Load_Booking_Report!AL:AL)), 0)), "Not Found")</f>
        <v/>
      </c>
      <c r="T317" s="21">
        <f>G317</f>
        <v/>
      </c>
      <c r="U317" s="33">
        <f t="array" ref="U317">IFERROR(
   IF(
      INDEX(Load_Booking_Report!AM:AM,
             MATCH(TRUE,
                     ISNUMBER(FIND(SUBSTITUTE(C317," ",""),
                                    Load_Booking_Report!AL:AL)),
                     0)
      )=0,
      "",
      INDEX(Load_Booking_Report!AM:AM,
             MATCH(TRUE,
                     ISNUMBER(FIND(SUBSTITUTE(C317," ",""),
                                    Load_Booking_Report!AL:AL)),
                     0)
      )
   ),
   ""
)</f>
        <v/>
      </c>
      <c r="V317" s="21">
        <f t="array" ref="V317">IFERROR(
   IF(
      INDEX(Load_Booking_Report!AR:AR,
             MATCH(TRUE,
                     ISNUMBER(FIND(SUBSTITUTE(C317," ",""),
                                    Load_Booking_Report!AL:AL)),
                     0)
      )=0,
      "",
      INDEX(Load_Booking_Report!AR:AR,
             MATCH(TRUE,
                     ISNUMBER(FIND(SUBSTITUTE(C317," ",""),
                                    Load_Booking_Report!AL:AL)),
                     0)
      )
   ),
   ""
)</f>
        <v/>
      </c>
      <c r="W317" s="21">
        <f t="array" ref="W317">IFERROR(INDEX(Load_Booking_Report!F:F, MATCH(TRUE, ISNUMBER(FIND(SUBSTITUTE(C317," ",""), Load_Booking_Report!AL:AL)), 0)), "Not Found")</f>
        <v/>
      </c>
      <c r="X317" s="21">
        <f t="array" ref="X317">IFERROR(INDEX(Load_Booking_Report!N:N, MATCH(TRUE, ISNUMBER(FIND(SUBSTITUTE(C317," ",""), Load_Booking_Report!AL:AL)), 0)), "Not Found")</f>
        <v/>
      </c>
      <c r="Y317" s="21">
        <f t="array" ref="Y317">IFERROR(INDEX(Load_Booking_Report!V:V, MATCH(TRUE, ISNUMBER(FIND(SUBSTITUTE(C317," ",""), Load_Booking_Report!AL:AL)), 0)), "Not Found")</f>
        <v/>
      </c>
      <c r="Z317" s="41">
        <f t="array" ref="Z317">IFERROR(INDEX(Load_Booking_Report!BC:BC, MATCH(TRUE, ISNUMBER(FIND(SUBSTITUTE(C317," ",""), Load_Booking_Report!AL:AL)), 0)), "Not Found")</f>
        <v/>
      </c>
    </row>
    <row r="318">
      <c r="A318" t="n">
        <v>22</v>
      </c>
      <c r="B318" t="n">
        <v>220608</v>
      </c>
      <c r="C318" t="inlineStr">
        <is>
          <t>ANON0000000</t>
        </is>
      </c>
      <c r="D318" t="n">
        <v>40</v>
      </c>
      <c r="E318" t="inlineStr">
        <is>
          <t>USNFK</t>
        </is>
      </c>
      <c r="F318" t="inlineStr">
        <is>
          <t>RULED</t>
        </is>
      </c>
      <c r="G318" t="n">
        <v>28730</v>
      </c>
      <c r="H318" t="inlineStr">
        <is>
          <t>ART</t>
        </is>
      </c>
      <c r="I318" t="inlineStr">
        <is>
          <t>45G1</t>
        </is>
      </c>
      <c r="L318" t="inlineStr">
        <is>
          <t>9'6</t>
        </is>
      </c>
      <c r="M318" t="inlineStr">
        <is>
          <t>Full</t>
        </is>
      </c>
      <c r="N318" t="inlineStr">
        <is>
          <t>RULED</t>
        </is>
      </c>
      <c r="P318" s="21">
        <f>C318</f>
        <v/>
      </c>
      <c r="Q318" s="21">
        <f t="array" ref="Q318">IFERROR(INDEX(Load_Booking_Report!AC:AC, MATCH(TRUE, ISNUMBER(FIND(SUBSTITUTE(C318," ",""), Load_Booking_Report!AL:AL)), 0)), "Not Found")</f>
        <v/>
      </c>
      <c r="R318" s="21">
        <f t="array" ref="R318">IFERROR(INDEX(Load_Booking_Report!C:C, MATCH(TRUE, ISNUMBER(FIND(SUBSTITUTE(C318," ",""), Load_Booking_Report!AL:AL)), 0)), "Not Found")</f>
        <v/>
      </c>
      <c r="S318" s="21">
        <f t="array" ref="S318">IFERROR(INDEX(Load_Booking_Report!AG:AG, MATCH(TRUE, ISNUMBER(FIND(SUBSTITUTE(C318," ",""), Load_Booking_Report!AL:AL)), 0)), "Not Found")</f>
        <v/>
      </c>
      <c r="T318" s="21">
        <f>G318</f>
        <v/>
      </c>
      <c r="U318" s="33">
        <f t="array" ref="U318">IFERROR(
   IF(
      INDEX(Load_Booking_Report!AM:AM,
             MATCH(TRUE,
                     ISNUMBER(FIND(SUBSTITUTE(C318," ",""),
                                    Load_Booking_Report!AL:AL)),
                     0)
      )=0,
      "",
      INDEX(Load_Booking_Report!AM:AM,
             MATCH(TRUE,
                     ISNUMBER(FIND(SUBSTITUTE(C318," ",""),
                                    Load_Booking_Report!AL:AL)),
                     0)
      )
   ),
   ""
)</f>
        <v/>
      </c>
      <c r="V318" s="21">
        <f t="array" ref="V318">IFERROR(
   IF(
      INDEX(Load_Booking_Report!AR:AR,
             MATCH(TRUE,
                     ISNUMBER(FIND(SUBSTITUTE(C318," ",""),
                                    Load_Booking_Report!AL:AL)),
                     0)
      )=0,
      "",
      INDEX(Load_Booking_Report!AR:AR,
             MATCH(TRUE,
                     ISNUMBER(FIND(SUBSTITUTE(C318," ",""),
                                    Load_Booking_Report!AL:AL)),
                     0)
      )
   ),
   ""
)</f>
        <v/>
      </c>
      <c r="W318" s="21">
        <f t="array" ref="W318">IFERROR(INDEX(Load_Booking_Report!F:F, MATCH(TRUE, ISNUMBER(FIND(SUBSTITUTE(C318," ",""), Load_Booking_Report!AL:AL)), 0)), "Not Found")</f>
        <v/>
      </c>
      <c r="X318" s="21">
        <f t="array" ref="X318">IFERROR(INDEX(Load_Booking_Report!N:N, MATCH(TRUE, ISNUMBER(FIND(SUBSTITUTE(C318," ",""), Load_Booking_Report!AL:AL)), 0)), "Not Found")</f>
        <v/>
      </c>
      <c r="Y318" s="21">
        <f t="array" ref="Y318">IFERROR(INDEX(Load_Booking_Report!V:V, MATCH(TRUE, ISNUMBER(FIND(SUBSTITUTE(C318," ",""), Load_Booking_Report!AL:AL)), 0)), "Not Found")</f>
        <v/>
      </c>
      <c r="Z318" s="41">
        <f t="array" ref="Z318">IFERROR(INDEX(Load_Booking_Report!BC:BC, MATCH(TRUE, ISNUMBER(FIND(SUBSTITUTE(C318," ",""), Load_Booking_Report!AL:AL)), 0)), "Not Found")</f>
        <v/>
      </c>
    </row>
    <row r="319">
      <c r="A319" t="n">
        <v>2</v>
      </c>
      <c r="B319" t="n">
        <v>20286</v>
      </c>
      <c r="C319" t="inlineStr">
        <is>
          <t>ANON0000000</t>
        </is>
      </c>
      <c r="D319" t="n">
        <v>40</v>
      </c>
      <c r="E319" t="inlineStr">
        <is>
          <t>USNFK</t>
        </is>
      </c>
      <c r="F319" t="inlineStr">
        <is>
          <t>RULED</t>
        </is>
      </c>
      <c r="G319" t="n">
        <v>28640</v>
      </c>
      <c r="H319" t="inlineStr">
        <is>
          <t>ART</t>
        </is>
      </c>
      <c r="I319" t="inlineStr">
        <is>
          <t>45G1</t>
        </is>
      </c>
      <c r="L319" t="inlineStr">
        <is>
          <t>9'6</t>
        </is>
      </c>
      <c r="M319" t="inlineStr">
        <is>
          <t>Full</t>
        </is>
      </c>
      <c r="N319" t="inlineStr">
        <is>
          <t>RULED</t>
        </is>
      </c>
      <c r="P319" s="21">
        <f>C319</f>
        <v/>
      </c>
      <c r="Q319" s="21">
        <f t="array" ref="Q319">IFERROR(INDEX(Load_Booking_Report!AC:AC, MATCH(TRUE, ISNUMBER(FIND(SUBSTITUTE(C319," ",""), Load_Booking_Report!AL:AL)), 0)), "Not Found")</f>
        <v/>
      </c>
      <c r="R319" s="21">
        <f t="array" ref="R319">IFERROR(INDEX(Load_Booking_Report!C:C, MATCH(TRUE, ISNUMBER(FIND(SUBSTITUTE(C319," ",""), Load_Booking_Report!AL:AL)), 0)), "Not Found")</f>
        <v/>
      </c>
      <c r="S319" s="21">
        <f t="array" ref="S319">IFERROR(INDEX(Load_Booking_Report!AG:AG, MATCH(TRUE, ISNUMBER(FIND(SUBSTITUTE(C319," ",""), Load_Booking_Report!AL:AL)), 0)), "Not Found")</f>
        <v/>
      </c>
      <c r="T319" s="21">
        <f>G319</f>
        <v/>
      </c>
      <c r="U319" s="33">
        <f t="array" ref="U319">IFERROR(
   IF(
      INDEX(Load_Booking_Report!AM:AM,
             MATCH(TRUE,
                     ISNUMBER(FIND(SUBSTITUTE(C319," ",""),
                                    Load_Booking_Report!AL:AL)),
                     0)
      )=0,
      "",
      INDEX(Load_Booking_Report!AM:AM,
             MATCH(TRUE,
                     ISNUMBER(FIND(SUBSTITUTE(C319," ",""),
                                    Load_Booking_Report!AL:AL)),
                     0)
      )
   ),
   ""
)</f>
        <v/>
      </c>
      <c r="V319" s="21">
        <f t="array" ref="V319">IFERROR(
   IF(
      INDEX(Load_Booking_Report!AR:AR,
             MATCH(TRUE,
                     ISNUMBER(FIND(SUBSTITUTE(C319," ",""),
                                    Load_Booking_Report!AL:AL)),
                     0)
      )=0,
      "",
      INDEX(Load_Booking_Report!AR:AR,
             MATCH(TRUE,
                     ISNUMBER(FIND(SUBSTITUTE(C319," ",""),
                                    Load_Booking_Report!AL:AL)),
                     0)
      )
   ),
   ""
)</f>
        <v/>
      </c>
      <c r="W319" s="21">
        <f t="array" ref="W319">IFERROR(INDEX(Load_Booking_Report!F:F, MATCH(TRUE, ISNUMBER(FIND(SUBSTITUTE(C319," ",""), Load_Booking_Report!AL:AL)), 0)), "Not Found")</f>
        <v/>
      </c>
      <c r="X319" s="21">
        <f t="array" ref="X319">IFERROR(INDEX(Load_Booking_Report!N:N, MATCH(TRUE, ISNUMBER(FIND(SUBSTITUTE(C319," ",""), Load_Booking_Report!AL:AL)), 0)), "Not Found")</f>
        <v/>
      </c>
      <c r="Y319" s="21">
        <f t="array" ref="Y319">IFERROR(INDEX(Load_Booking_Report!V:V, MATCH(TRUE, ISNUMBER(FIND(SUBSTITUTE(C319," ",""), Load_Booking_Report!AL:AL)), 0)), "Not Found")</f>
        <v/>
      </c>
      <c r="Z319" s="41">
        <f t="array" ref="Z319">IFERROR(INDEX(Load_Booking_Report!BC:BC, MATCH(TRUE, ISNUMBER(FIND(SUBSTITUTE(C319," ",""), Load_Booking_Report!AL:AL)), 0)), "Not Found")</f>
        <v/>
      </c>
    </row>
    <row r="320">
      <c r="A320" t="n">
        <v>2</v>
      </c>
      <c r="B320" t="n">
        <v>20486</v>
      </c>
      <c r="C320" t="inlineStr">
        <is>
          <t>ANON0000000</t>
        </is>
      </c>
      <c r="D320" t="n">
        <v>40</v>
      </c>
      <c r="E320" t="inlineStr">
        <is>
          <t>USNFK</t>
        </is>
      </c>
      <c r="F320" t="inlineStr">
        <is>
          <t>RULED</t>
        </is>
      </c>
      <c r="G320" t="n">
        <v>28730</v>
      </c>
      <c r="H320" t="inlineStr">
        <is>
          <t>ART</t>
        </is>
      </c>
      <c r="I320" t="inlineStr">
        <is>
          <t>45G1</t>
        </is>
      </c>
      <c r="L320" t="inlineStr">
        <is>
          <t>9'6</t>
        </is>
      </c>
      <c r="M320" t="inlineStr">
        <is>
          <t>Full</t>
        </is>
      </c>
      <c r="N320" t="inlineStr">
        <is>
          <t>RULED</t>
        </is>
      </c>
      <c r="P320" s="21">
        <f>C320</f>
        <v/>
      </c>
      <c r="Q320" s="21">
        <f t="array" ref="Q320">IFERROR(INDEX(Load_Booking_Report!AC:AC, MATCH(TRUE, ISNUMBER(FIND(SUBSTITUTE(C320," ",""), Load_Booking_Report!AL:AL)), 0)), "Not Found")</f>
        <v/>
      </c>
      <c r="R320" s="21">
        <f t="array" ref="R320">IFERROR(INDEX(Load_Booking_Report!C:C, MATCH(TRUE, ISNUMBER(FIND(SUBSTITUTE(C320," ",""), Load_Booking_Report!AL:AL)), 0)), "Not Found")</f>
        <v/>
      </c>
      <c r="S320" s="21">
        <f t="array" ref="S320">IFERROR(INDEX(Load_Booking_Report!AG:AG, MATCH(TRUE, ISNUMBER(FIND(SUBSTITUTE(C320," ",""), Load_Booking_Report!AL:AL)), 0)), "Not Found")</f>
        <v/>
      </c>
      <c r="T320" s="21">
        <f>G320</f>
        <v/>
      </c>
      <c r="U320" s="33">
        <f t="array" ref="U320">IFERROR(
   IF(
      INDEX(Load_Booking_Report!AM:AM,
             MATCH(TRUE,
                     ISNUMBER(FIND(SUBSTITUTE(C320," ",""),
                                    Load_Booking_Report!AL:AL)),
                     0)
      )=0,
      "",
      INDEX(Load_Booking_Report!AM:AM,
             MATCH(TRUE,
                     ISNUMBER(FIND(SUBSTITUTE(C320," ",""),
                                    Load_Booking_Report!AL:AL)),
                     0)
      )
   ),
   ""
)</f>
        <v/>
      </c>
      <c r="V320" s="21">
        <f t="array" ref="V320">IFERROR(
   IF(
      INDEX(Load_Booking_Report!AR:AR,
             MATCH(TRUE,
                     ISNUMBER(FIND(SUBSTITUTE(C320," ",""),
                                    Load_Booking_Report!AL:AL)),
                     0)
      )=0,
      "",
      INDEX(Load_Booking_Report!AR:AR,
             MATCH(TRUE,
                     ISNUMBER(FIND(SUBSTITUTE(C320," ",""),
                                    Load_Booking_Report!AL:AL)),
                     0)
      )
   ),
   ""
)</f>
        <v/>
      </c>
      <c r="W320" s="21">
        <f t="array" ref="W320">IFERROR(INDEX(Load_Booking_Report!F:F, MATCH(TRUE, ISNUMBER(FIND(SUBSTITUTE(C320," ",""), Load_Booking_Report!AL:AL)), 0)), "Not Found")</f>
        <v/>
      </c>
      <c r="X320" s="21">
        <f t="array" ref="X320">IFERROR(INDEX(Load_Booking_Report!N:N, MATCH(TRUE, ISNUMBER(FIND(SUBSTITUTE(C320," ",""), Load_Booking_Report!AL:AL)), 0)), "Not Found")</f>
        <v/>
      </c>
      <c r="Y320" s="21">
        <f t="array" ref="Y320">IFERROR(INDEX(Load_Booking_Report!V:V, MATCH(TRUE, ISNUMBER(FIND(SUBSTITUTE(C320," ",""), Load_Booking_Report!AL:AL)), 0)), "Not Found")</f>
        <v/>
      </c>
      <c r="Z320" s="41">
        <f t="array" ref="Z320">IFERROR(INDEX(Load_Booking_Report!BC:BC, MATCH(TRUE, ISNUMBER(FIND(SUBSTITUTE(C320," ",""), Load_Booking_Report!AL:AL)), 0)), "Not Found")</f>
        <v/>
      </c>
    </row>
    <row r="321">
      <c r="A321" t="n">
        <v>22</v>
      </c>
      <c r="B321" t="n">
        <v>220582</v>
      </c>
      <c r="C321" t="inlineStr">
        <is>
          <t>ANON0000000</t>
        </is>
      </c>
      <c r="D321" t="n">
        <v>40</v>
      </c>
      <c r="E321" t="inlineStr">
        <is>
          <t>USNFK</t>
        </is>
      </c>
      <c r="F321" t="inlineStr">
        <is>
          <t>RULED</t>
        </is>
      </c>
      <c r="G321" t="n">
        <v>32425</v>
      </c>
      <c r="H321" t="inlineStr">
        <is>
          <t>ART</t>
        </is>
      </c>
      <c r="I321" t="inlineStr">
        <is>
          <t>45R1</t>
        </is>
      </c>
      <c r="K321" t="inlineStr">
        <is>
          <t>-18.0:CEL</t>
        </is>
      </c>
      <c r="L321" t="inlineStr">
        <is>
          <t>9'6</t>
        </is>
      </c>
      <c r="M321" t="inlineStr">
        <is>
          <t>Full</t>
        </is>
      </c>
      <c r="N321" t="inlineStr">
        <is>
          <t>RULED</t>
        </is>
      </c>
      <c r="P321" s="21">
        <f>C321</f>
        <v/>
      </c>
      <c r="Q321" s="21">
        <f t="array" ref="Q321">IFERROR(INDEX(Load_Booking_Report!AC:AC, MATCH(TRUE, ISNUMBER(FIND(SUBSTITUTE(C321," ",""), Load_Booking_Report!AL:AL)), 0)), "Not Found")</f>
        <v/>
      </c>
      <c r="R321" s="21">
        <f t="array" ref="R321">IFERROR(INDEX(Load_Booking_Report!C:C, MATCH(TRUE, ISNUMBER(FIND(SUBSTITUTE(C321," ",""), Load_Booking_Report!AL:AL)), 0)), "Not Found")</f>
        <v/>
      </c>
      <c r="S321" s="21">
        <f t="array" ref="S321">IFERROR(INDEX(Load_Booking_Report!AG:AG, MATCH(TRUE, ISNUMBER(FIND(SUBSTITUTE(C321," ",""), Load_Booking_Report!AL:AL)), 0)), "Not Found")</f>
        <v/>
      </c>
      <c r="T321" s="21">
        <f>G321</f>
        <v/>
      </c>
      <c r="U321" s="33">
        <f t="array" ref="U321">IFERROR(
   IF(
      INDEX(Load_Booking_Report!AM:AM,
             MATCH(TRUE,
                     ISNUMBER(FIND(SUBSTITUTE(C321," ",""),
                                    Load_Booking_Report!AL:AL)),
                     0)
      )=0,
      "",
      INDEX(Load_Booking_Report!AM:AM,
             MATCH(TRUE,
                     ISNUMBER(FIND(SUBSTITUTE(C321," ",""),
                                    Load_Booking_Report!AL:AL)),
                     0)
      )
   ),
   ""
)</f>
        <v/>
      </c>
      <c r="V321" s="21">
        <f t="array" ref="V321">IFERROR(
   IF(
      INDEX(Load_Booking_Report!AR:AR,
             MATCH(TRUE,
                     ISNUMBER(FIND(SUBSTITUTE(C321," ",""),
                                    Load_Booking_Report!AL:AL)),
                     0)
      )=0,
      "",
      INDEX(Load_Booking_Report!AR:AR,
             MATCH(TRUE,
                     ISNUMBER(FIND(SUBSTITUTE(C321," ",""),
                                    Load_Booking_Report!AL:AL)),
                     0)
      )
   ),
   ""
)</f>
        <v/>
      </c>
      <c r="W321" s="21">
        <f t="array" ref="W321">IFERROR(INDEX(Load_Booking_Report!F:F, MATCH(TRUE, ISNUMBER(FIND(SUBSTITUTE(C321," ",""), Load_Booking_Report!AL:AL)), 0)), "Not Found")</f>
        <v/>
      </c>
      <c r="X321" s="21">
        <f t="array" ref="X321">IFERROR(INDEX(Load_Booking_Report!N:N, MATCH(TRUE, ISNUMBER(FIND(SUBSTITUTE(C321," ",""), Load_Booking_Report!AL:AL)), 0)), "Not Found")</f>
        <v/>
      </c>
      <c r="Y321" s="21">
        <f t="array" ref="Y321">IFERROR(INDEX(Load_Booking_Report!V:V, MATCH(TRUE, ISNUMBER(FIND(SUBSTITUTE(C321," ",""), Load_Booking_Report!AL:AL)), 0)), "Not Found")</f>
        <v/>
      </c>
      <c r="Z321" s="41">
        <f t="array" ref="Z321">IFERROR(INDEX(Load_Booking_Report!BC:BC, MATCH(TRUE, ISNUMBER(FIND(SUBSTITUTE(C321," ",""), Load_Booking_Report!AL:AL)), 0)), "Not Found")</f>
        <v/>
      </c>
    </row>
    <row r="322">
      <c r="A322" t="n">
        <v>10</v>
      </c>
      <c r="B322" t="n">
        <v>100386</v>
      </c>
      <c r="C322" t="inlineStr">
        <is>
          <t>ANON0000000</t>
        </is>
      </c>
      <c r="D322" t="n">
        <v>40</v>
      </c>
      <c r="E322" t="inlineStr">
        <is>
          <t>USNFK</t>
        </is>
      </c>
      <c r="F322" t="inlineStr">
        <is>
          <t>RULED</t>
        </is>
      </c>
      <c r="G322" t="n">
        <v>14118</v>
      </c>
      <c r="H322" t="inlineStr">
        <is>
          <t>ART</t>
        </is>
      </c>
      <c r="I322" t="inlineStr">
        <is>
          <t>45R1</t>
        </is>
      </c>
      <c r="J322" t="n">
        <v>3</v>
      </c>
      <c r="K322" t="inlineStr">
        <is>
          <t>4.0:CEL</t>
        </is>
      </c>
      <c r="L322" t="inlineStr">
        <is>
          <t>9'6</t>
        </is>
      </c>
      <c r="M322" t="inlineStr">
        <is>
          <t>Full</t>
        </is>
      </c>
      <c r="N322" t="inlineStr">
        <is>
          <t>RULED</t>
        </is>
      </c>
      <c r="P322" s="21">
        <f>C322</f>
        <v/>
      </c>
      <c r="Q322" s="21">
        <f t="array" ref="Q322">IFERROR(INDEX(Load_Booking_Report!AC:AC, MATCH(TRUE, ISNUMBER(FIND(SUBSTITUTE(C322," ",""), Load_Booking_Report!AL:AL)), 0)), "Not Found")</f>
        <v/>
      </c>
      <c r="R322" s="21">
        <f t="array" ref="R322">IFERROR(INDEX(Load_Booking_Report!C:C, MATCH(TRUE, ISNUMBER(FIND(SUBSTITUTE(C322," ",""), Load_Booking_Report!AL:AL)), 0)), "Not Found")</f>
        <v/>
      </c>
      <c r="S322" s="21">
        <f t="array" ref="S322">IFERROR(INDEX(Load_Booking_Report!AG:AG, MATCH(TRUE, ISNUMBER(FIND(SUBSTITUTE(C322," ",""), Load_Booking_Report!AL:AL)), 0)), "Not Found")</f>
        <v/>
      </c>
      <c r="T322" s="21">
        <f>G322</f>
        <v/>
      </c>
      <c r="U322" s="33">
        <f t="array" ref="U322">IFERROR(
   IF(
      INDEX(Load_Booking_Report!AM:AM,
             MATCH(TRUE,
                     ISNUMBER(FIND(SUBSTITUTE(C322," ",""),
                                    Load_Booking_Report!AL:AL)),
                     0)
      )=0,
      "",
      INDEX(Load_Booking_Report!AM:AM,
             MATCH(TRUE,
                     ISNUMBER(FIND(SUBSTITUTE(C322," ",""),
                                    Load_Booking_Report!AL:AL)),
                     0)
      )
   ),
   ""
)</f>
        <v/>
      </c>
      <c r="V322" s="21">
        <f t="array" ref="V322">IFERROR(
   IF(
      INDEX(Load_Booking_Report!AR:AR,
             MATCH(TRUE,
                     ISNUMBER(FIND(SUBSTITUTE(C322," ",""),
                                    Load_Booking_Report!AL:AL)),
                     0)
      )=0,
      "",
      INDEX(Load_Booking_Report!AR:AR,
             MATCH(TRUE,
                     ISNUMBER(FIND(SUBSTITUTE(C322," ",""),
                                    Load_Booking_Report!AL:AL)),
                     0)
      )
   ),
   ""
)</f>
        <v/>
      </c>
      <c r="W322" s="21">
        <f t="array" ref="W322">IFERROR(INDEX(Load_Booking_Report!F:F, MATCH(TRUE, ISNUMBER(FIND(SUBSTITUTE(C322," ",""), Load_Booking_Report!AL:AL)), 0)), "Not Found")</f>
        <v/>
      </c>
      <c r="X322" s="21">
        <f t="array" ref="X322">IFERROR(INDEX(Load_Booking_Report!N:N, MATCH(TRUE, ISNUMBER(FIND(SUBSTITUTE(C322," ",""), Load_Booking_Report!AL:AL)), 0)), "Not Found")</f>
        <v/>
      </c>
      <c r="Y322" s="21">
        <f t="array" ref="Y322">IFERROR(INDEX(Load_Booking_Report!V:V, MATCH(TRUE, ISNUMBER(FIND(SUBSTITUTE(C322," ",""), Load_Booking_Report!AL:AL)), 0)), "Not Found")</f>
        <v/>
      </c>
      <c r="Z322" s="41">
        <f t="array" ref="Z322">IFERROR(INDEX(Load_Booking_Report!BC:BC, MATCH(TRUE, ISNUMBER(FIND(SUBSTITUTE(C322," ",""), Load_Booking_Report!AL:AL)), 0)), "Not Found")</f>
        <v/>
      </c>
    </row>
    <row r="323">
      <c r="A323" t="n">
        <v>6</v>
      </c>
      <c r="B323" t="n">
        <v>60682</v>
      </c>
      <c r="C323" t="inlineStr">
        <is>
          <t>ANON0000000</t>
        </is>
      </c>
      <c r="D323" t="n">
        <v>40</v>
      </c>
      <c r="E323" t="inlineStr">
        <is>
          <t>USNFK</t>
        </is>
      </c>
      <c r="F323" t="inlineStr">
        <is>
          <t>RULED</t>
        </is>
      </c>
      <c r="G323" t="n">
        <v>33591</v>
      </c>
      <c r="H323" t="inlineStr">
        <is>
          <t>ART</t>
        </is>
      </c>
      <c r="I323" t="inlineStr">
        <is>
          <t>45R1</t>
        </is>
      </c>
      <c r="K323" t="inlineStr">
        <is>
          <t>-18.0:CEL</t>
        </is>
      </c>
      <c r="L323" t="inlineStr">
        <is>
          <t>9'6</t>
        </is>
      </c>
      <c r="M323" t="inlineStr">
        <is>
          <t>Full</t>
        </is>
      </c>
      <c r="N323" t="inlineStr">
        <is>
          <t>RULED</t>
        </is>
      </c>
      <c r="P323" s="21">
        <f>C323</f>
        <v/>
      </c>
      <c r="Q323" s="21">
        <f t="array" ref="Q323">IFERROR(INDEX(Load_Booking_Report!AC:AC, MATCH(TRUE, ISNUMBER(FIND(SUBSTITUTE(C323," ",""), Load_Booking_Report!AL:AL)), 0)), "Not Found")</f>
        <v/>
      </c>
      <c r="R323" s="21">
        <f t="array" ref="R323">IFERROR(INDEX(Load_Booking_Report!C:C, MATCH(TRUE, ISNUMBER(FIND(SUBSTITUTE(C323," ",""), Load_Booking_Report!AL:AL)), 0)), "Not Found")</f>
        <v/>
      </c>
      <c r="S323" s="21">
        <f t="array" ref="S323">IFERROR(INDEX(Load_Booking_Report!AG:AG, MATCH(TRUE, ISNUMBER(FIND(SUBSTITUTE(C323," ",""), Load_Booking_Report!AL:AL)), 0)), "Not Found")</f>
        <v/>
      </c>
      <c r="T323" s="21">
        <f>G323</f>
        <v/>
      </c>
      <c r="U323" s="33">
        <f t="array" ref="U323">IFERROR(
   IF(
      INDEX(Load_Booking_Report!AM:AM,
             MATCH(TRUE,
                     ISNUMBER(FIND(SUBSTITUTE(C323," ",""),
                                    Load_Booking_Report!AL:AL)),
                     0)
      )=0,
      "",
      INDEX(Load_Booking_Report!AM:AM,
             MATCH(TRUE,
                     ISNUMBER(FIND(SUBSTITUTE(C323," ",""),
                                    Load_Booking_Report!AL:AL)),
                     0)
      )
   ),
   ""
)</f>
        <v/>
      </c>
      <c r="V323" s="21">
        <f t="array" ref="V323">IFERROR(
   IF(
      INDEX(Load_Booking_Report!AR:AR,
             MATCH(TRUE,
                     ISNUMBER(FIND(SUBSTITUTE(C323," ",""),
                                    Load_Booking_Report!AL:AL)),
                     0)
      )=0,
      "",
      INDEX(Load_Booking_Report!AR:AR,
             MATCH(TRUE,
                     ISNUMBER(FIND(SUBSTITUTE(C323," ",""),
                                    Load_Booking_Report!AL:AL)),
                     0)
      )
   ),
   ""
)</f>
        <v/>
      </c>
      <c r="W323" s="21">
        <f t="array" ref="W323">IFERROR(INDEX(Load_Booking_Report!F:F, MATCH(TRUE, ISNUMBER(FIND(SUBSTITUTE(C323," ",""), Load_Booking_Report!AL:AL)), 0)), "Not Found")</f>
        <v/>
      </c>
      <c r="X323" s="21">
        <f t="array" ref="X323">IFERROR(INDEX(Load_Booking_Report!N:N, MATCH(TRUE, ISNUMBER(FIND(SUBSTITUTE(C323," ",""), Load_Booking_Report!AL:AL)), 0)), "Not Found")</f>
        <v/>
      </c>
      <c r="Y323" s="21">
        <f t="array" ref="Y323">IFERROR(INDEX(Load_Booking_Report!V:V, MATCH(TRUE, ISNUMBER(FIND(SUBSTITUTE(C323," ",""), Load_Booking_Report!AL:AL)), 0)), "Not Found")</f>
        <v/>
      </c>
      <c r="Z323" s="41">
        <f t="array" ref="Z323">IFERROR(INDEX(Load_Booking_Report!BC:BC, MATCH(TRUE, ISNUMBER(FIND(SUBSTITUTE(C323," ",""), Load_Booking_Report!AL:AL)), 0)), "Not Found")</f>
        <v/>
      </c>
    </row>
    <row r="324">
      <c r="A324" t="n">
        <v>10</v>
      </c>
      <c r="B324" t="n">
        <v>100486</v>
      </c>
      <c r="C324" t="inlineStr">
        <is>
          <t>ANON0000000</t>
        </is>
      </c>
      <c r="D324" t="n">
        <v>40</v>
      </c>
      <c r="E324" t="inlineStr">
        <is>
          <t>USNFK</t>
        </is>
      </c>
      <c r="F324" t="inlineStr">
        <is>
          <t>RULED</t>
        </is>
      </c>
      <c r="G324" t="n">
        <v>8541</v>
      </c>
      <c r="H324" t="inlineStr">
        <is>
          <t>ART</t>
        </is>
      </c>
      <c r="I324" t="inlineStr">
        <is>
          <t>45R1</t>
        </is>
      </c>
      <c r="J324" t="n">
        <v>8</v>
      </c>
      <c r="K324" t="inlineStr">
        <is>
          <t>4.0:CEL</t>
        </is>
      </c>
      <c r="L324" t="inlineStr">
        <is>
          <t>9'6</t>
        </is>
      </c>
      <c r="M324" t="inlineStr">
        <is>
          <t>Full</t>
        </is>
      </c>
      <c r="N324" t="inlineStr">
        <is>
          <t>RULED</t>
        </is>
      </c>
      <c r="P324" s="21">
        <f>C324</f>
        <v/>
      </c>
      <c r="Q324" s="21">
        <f t="array" ref="Q324">IFERROR(INDEX(Load_Booking_Report!AC:AC, MATCH(TRUE, ISNUMBER(FIND(SUBSTITUTE(C324," ",""), Load_Booking_Report!AL:AL)), 0)), "Not Found")</f>
        <v/>
      </c>
      <c r="R324" s="21">
        <f t="array" ref="R324">IFERROR(INDEX(Load_Booking_Report!C:C, MATCH(TRUE, ISNUMBER(FIND(SUBSTITUTE(C324," ",""), Load_Booking_Report!AL:AL)), 0)), "Not Found")</f>
        <v/>
      </c>
      <c r="S324" s="21">
        <f t="array" ref="S324">IFERROR(INDEX(Load_Booking_Report!AG:AG, MATCH(TRUE, ISNUMBER(FIND(SUBSTITUTE(C324," ",""), Load_Booking_Report!AL:AL)), 0)), "Not Found")</f>
        <v/>
      </c>
      <c r="T324" s="21">
        <f>G324</f>
        <v/>
      </c>
      <c r="U324" s="33">
        <f t="array" ref="U324">IFERROR(
   IF(
      INDEX(Load_Booking_Report!AM:AM,
             MATCH(TRUE,
                     ISNUMBER(FIND(SUBSTITUTE(C324," ",""),
                                    Load_Booking_Report!AL:AL)),
                     0)
      )=0,
      "",
      INDEX(Load_Booking_Report!AM:AM,
             MATCH(TRUE,
                     ISNUMBER(FIND(SUBSTITUTE(C324," ",""),
                                    Load_Booking_Report!AL:AL)),
                     0)
      )
   ),
   ""
)</f>
        <v/>
      </c>
      <c r="V324" s="21">
        <f t="array" ref="V324">IFERROR(
   IF(
      INDEX(Load_Booking_Report!AR:AR,
             MATCH(TRUE,
                     ISNUMBER(FIND(SUBSTITUTE(C324," ",""),
                                    Load_Booking_Report!AL:AL)),
                     0)
      )=0,
      "",
      INDEX(Load_Booking_Report!AR:AR,
             MATCH(TRUE,
                     ISNUMBER(FIND(SUBSTITUTE(C324," ",""),
                                    Load_Booking_Report!AL:AL)),
                     0)
      )
   ),
   ""
)</f>
        <v/>
      </c>
      <c r="W324" s="21">
        <f t="array" ref="W324">IFERROR(INDEX(Load_Booking_Report!F:F, MATCH(TRUE, ISNUMBER(FIND(SUBSTITUTE(C324," ",""), Load_Booking_Report!AL:AL)), 0)), "Not Found")</f>
        <v/>
      </c>
      <c r="X324" s="21">
        <f t="array" ref="X324">IFERROR(INDEX(Load_Booking_Report!N:N, MATCH(TRUE, ISNUMBER(FIND(SUBSTITUTE(C324," ",""), Load_Booking_Report!AL:AL)), 0)), "Not Found")</f>
        <v/>
      </c>
      <c r="Y324" s="21">
        <f t="array" ref="Y324">IFERROR(INDEX(Load_Booking_Report!V:V, MATCH(TRUE, ISNUMBER(FIND(SUBSTITUTE(C324," ",""), Load_Booking_Report!AL:AL)), 0)), "Not Found")</f>
        <v/>
      </c>
      <c r="Z324" s="41">
        <f t="array" ref="Z324">IFERROR(INDEX(Load_Booking_Report!BC:BC, MATCH(TRUE, ISNUMBER(FIND(SUBSTITUTE(C324," ",""), Load_Booking_Report!AL:AL)), 0)), "Not Found")</f>
        <v/>
      </c>
    </row>
    <row r="325">
      <c r="A325" t="n">
        <v>6</v>
      </c>
      <c r="B325" t="n">
        <v>60882</v>
      </c>
      <c r="C325" t="inlineStr">
        <is>
          <t>ANON0000000</t>
        </is>
      </c>
      <c r="D325" t="n">
        <v>40</v>
      </c>
      <c r="E325" t="inlineStr">
        <is>
          <t>USNFK</t>
        </is>
      </c>
      <c r="F325" t="inlineStr">
        <is>
          <t>RULED</t>
        </is>
      </c>
      <c r="G325" t="n">
        <v>33640</v>
      </c>
      <c r="H325" t="inlineStr">
        <is>
          <t>ART</t>
        </is>
      </c>
      <c r="I325" t="inlineStr">
        <is>
          <t>45R1</t>
        </is>
      </c>
      <c r="K325" t="inlineStr">
        <is>
          <t>-18.0:CEL</t>
        </is>
      </c>
      <c r="L325" t="inlineStr">
        <is>
          <t>9'6</t>
        </is>
      </c>
      <c r="M325" t="inlineStr">
        <is>
          <t>Full</t>
        </is>
      </c>
      <c r="N325" t="inlineStr">
        <is>
          <t>RULED</t>
        </is>
      </c>
      <c r="P325" s="21">
        <f>C325</f>
        <v/>
      </c>
      <c r="Q325" s="21">
        <f t="array" ref="Q325">IFERROR(INDEX(Load_Booking_Report!AC:AC, MATCH(TRUE, ISNUMBER(FIND(SUBSTITUTE(C325," ",""), Load_Booking_Report!AL:AL)), 0)), "Not Found")</f>
        <v/>
      </c>
      <c r="R325" s="21">
        <f t="array" ref="R325">IFERROR(INDEX(Load_Booking_Report!C:C, MATCH(TRUE, ISNUMBER(FIND(SUBSTITUTE(C325," ",""), Load_Booking_Report!AL:AL)), 0)), "Not Found")</f>
        <v/>
      </c>
      <c r="S325" s="21">
        <f t="array" ref="S325">IFERROR(INDEX(Load_Booking_Report!AG:AG, MATCH(TRUE, ISNUMBER(FIND(SUBSTITUTE(C325," ",""), Load_Booking_Report!AL:AL)), 0)), "Not Found")</f>
        <v/>
      </c>
      <c r="T325" s="21">
        <f>G325</f>
        <v/>
      </c>
      <c r="U325" s="33">
        <f t="array" ref="U325">IFERROR(
   IF(
      INDEX(Load_Booking_Report!AM:AM,
             MATCH(TRUE,
                     ISNUMBER(FIND(SUBSTITUTE(C325," ",""),
                                    Load_Booking_Report!AL:AL)),
                     0)
      )=0,
      "",
      INDEX(Load_Booking_Report!AM:AM,
             MATCH(TRUE,
                     ISNUMBER(FIND(SUBSTITUTE(C325," ",""),
                                    Load_Booking_Report!AL:AL)),
                     0)
      )
   ),
   ""
)</f>
        <v/>
      </c>
      <c r="V325" s="21">
        <f t="array" ref="V325">IFERROR(
   IF(
      INDEX(Load_Booking_Report!AR:AR,
             MATCH(TRUE,
                     ISNUMBER(FIND(SUBSTITUTE(C325," ",""),
                                    Load_Booking_Report!AL:AL)),
                     0)
      )=0,
      "",
      INDEX(Load_Booking_Report!AR:AR,
             MATCH(TRUE,
                     ISNUMBER(FIND(SUBSTITUTE(C325," ",""),
                                    Load_Booking_Report!AL:AL)),
                     0)
      )
   ),
   ""
)</f>
        <v/>
      </c>
      <c r="W325" s="21">
        <f t="array" ref="W325">IFERROR(INDEX(Load_Booking_Report!F:F, MATCH(TRUE, ISNUMBER(FIND(SUBSTITUTE(C325," ",""), Load_Booking_Report!AL:AL)), 0)), "Not Found")</f>
        <v/>
      </c>
      <c r="X325" s="21">
        <f t="array" ref="X325">IFERROR(INDEX(Load_Booking_Report!N:N, MATCH(TRUE, ISNUMBER(FIND(SUBSTITUTE(C325," ",""), Load_Booking_Report!AL:AL)), 0)), "Not Found")</f>
        <v/>
      </c>
      <c r="Y325" s="21">
        <f t="array" ref="Y325">IFERROR(INDEX(Load_Booking_Report!V:V, MATCH(TRUE, ISNUMBER(FIND(SUBSTITUTE(C325," ",""), Load_Booking_Report!AL:AL)), 0)), "Not Found")</f>
        <v/>
      </c>
      <c r="Z325" s="41">
        <f t="array" ref="Z325">IFERROR(INDEX(Load_Booking_Report!BC:BC, MATCH(TRUE, ISNUMBER(FIND(SUBSTITUTE(C325," ",""), Load_Booking_Report!AL:AL)), 0)), "Not Found")</f>
        <v/>
      </c>
    </row>
    <row r="326">
      <c r="A326" t="n">
        <v>6</v>
      </c>
      <c r="B326" t="n">
        <v>60182</v>
      </c>
      <c r="C326" t="inlineStr">
        <is>
          <t>ANON0000000</t>
        </is>
      </c>
      <c r="D326" t="n">
        <v>40</v>
      </c>
      <c r="E326" t="inlineStr">
        <is>
          <t>USNFK</t>
        </is>
      </c>
      <c r="F326" t="inlineStr">
        <is>
          <t>RULED</t>
        </is>
      </c>
      <c r="G326" t="n">
        <v>33534</v>
      </c>
      <c r="H326" t="inlineStr">
        <is>
          <t>ART</t>
        </is>
      </c>
      <c r="I326" t="inlineStr">
        <is>
          <t>45R1</t>
        </is>
      </c>
      <c r="K326" t="inlineStr">
        <is>
          <t>-18.0:CEL</t>
        </is>
      </c>
      <c r="L326" t="inlineStr">
        <is>
          <t>9'6</t>
        </is>
      </c>
      <c r="M326" t="inlineStr">
        <is>
          <t>Full</t>
        </is>
      </c>
      <c r="N326" t="inlineStr">
        <is>
          <t>RULED</t>
        </is>
      </c>
      <c r="P326" s="21">
        <f>C326</f>
        <v/>
      </c>
      <c r="Q326" s="21">
        <f t="array" ref="Q326">IFERROR(INDEX(Load_Booking_Report!AC:AC, MATCH(TRUE, ISNUMBER(FIND(SUBSTITUTE(C326," ",""), Load_Booking_Report!AL:AL)), 0)), "Not Found")</f>
        <v/>
      </c>
      <c r="R326" s="21">
        <f t="array" ref="R326">IFERROR(INDEX(Load_Booking_Report!C:C, MATCH(TRUE, ISNUMBER(FIND(SUBSTITUTE(C326," ",""), Load_Booking_Report!AL:AL)), 0)), "Not Found")</f>
        <v/>
      </c>
      <c r="S326" s="21">
        <f t="array" ref="S326">IFERROR(INDEX(Load_Booking_Report!AG:AG, MATCH(TRUE, ISNUMBER(FIND(SUBSTITUTE(C326," ",""), Load_Booking_Report!AL:AL)), 0)), "Not Found")</f>
        <v/>
      </c>
      <c r="T326" s="21">
        <f>G326</f>
        <v/>
      </c>
      <c r="U326" s="33">
        <f t="array" ref="U326">IFERROR(
   IF(
      INDEX(Load_Booking_Report!AM:AM,
             MATCH(TRUE,
                     ISNUMBER(FIND(SUBSTITUTE(C326," ",""),
                                    Load_Booking_Report!AL:AL)),
                     0)
      )=0,
      "",
      INDEX(Load_Booking_Report!AM:AM,
             MATCH(TRUE,
                     ISNUMBER(FIND(SUBSTITUTE(C326," ",""),
                                    Load_Booking_Report!AL:AL)),
                     0)
      )
   ),
   ""
)</f>
        <v/>
      </c>
      <c r="V326" s="21">
        <f t="array" ref="V326">IFERROR(
   IF(
      INDEX(Load_Booking_Report!AR:AR,
             MATCH(TRUE,
                     ISNUMBER(FIND(SUBSTITUTE(C326," ",""),
                                    Load_Booking_Report!AL:AL)),
                     0)
      )=0,
      "",
      INDEX(Load_Booking_Report!AR:AR,
             MATCH(TRUE,
                     ISNUMBER(FIND(SUBSTITUTE(C326," ",""),
                                    Load_Booking_Report!AL:AL)),
                     0)
      )
   ),
   ""
)</f>
        <v/>
      </c>
      <c r="W326" s="21">
        <f t="array" ref="W326">IFERROR(INDEX(Load_Booking_Report!F:F, MATCH(TRUE, ISNUMBER(FIND(SUBSTITUTE(C326," ",""), Load_Booking_Report!AL:AL)), 0)), "Not Found")</f>
        <v/>
      </c>
      <c r="X326" s="21">
        <f t="array" ref="X326">IFERROR(INDEX(Load_Booking_Report!N:N, MATCH(TRUE, ISNUMBER(FIND(SUBSTITUTE(C326," ",""), Load_Booking_Report!AL:AL)), 0)), "Not Found")</f>
        <v/>
      </c>
      <c r="Y326" s="21">
        <f t="array" ref="Y326">IFERROR(INDEX(Load_Booking_Report!V:V, MATCH(TRUE, ISNUMBER(FIND(SUBSTITUTE(C326," ",""), Load_Booking_Report!AL:AL)), 0)), "Not Found")</f>
        <v/>
      </c>
      <c r="Z326" s="41">
        <f t="array" ref="Z326">IFERROR(INDEX(Load_Booking_Report!BC:BC, MATCH(TRUE, ISNUMBER(FIND(SUBSTITUTE(C326," ",""), Load_Booking_Report!AL:AL)), 0)), "Not Found")</f>
        <v/>
      </c>
    </row>
    <row r="327">
      <c r="A327" t="n">
        <v>6</v>
      </c>
      <c r="B327" t="n">
        <v>60282</v>
      </c>
      <c r="C327" t="inlineStr">
        <is>
          <t>ANON0000000</t>
        </is>
      </c>
      <c r="D327" t="n">
        <v>40</v>
      </c>
      <c r="E327" t="inlineStr">
        <is>
          <t>USNFK</t>
        </is>
      </c>
      <c r="F327" t="inlineStr">
        <is>
          <t>RULED</t>
        </is>
      </c>
      <c r="G327" t="n">
        <v>33589</v>
      </c>
      <c r="H327" t="inlineStr">
        <is>
          <t>ART</t>
        </is>
      </c>
      <c r="I327" t="inlineStr">
        <is>
          <t>45R1</t>
        </is>
      </c>
      <c r="K327" t="inlineStr">
        <is>
          <t>-18.0:CEL</t>
        </is>
      </c>
      <c r="L327" t="inlineStr">
        <is>
          <t>9'6</t>
        </is>
      </c>
      <c r="M327" t="inlineStr">
        <is>
          <t>Full</t>
        </is>
      </c>
      <c r="N327" t="inlineStr">
        <is>
          <t>RULED</t>
        </is>
      </c>
      <c r="P327" s="21">
        <f>C327</f>
        <v/>
      </c>
      <c r="Q327" s="21">
        <f t="array" ref="Q327">IFERROR(INDEX(Load_Booking_Report!AC:AC, MATCH(TRUE, ISNUMBER(FIND(SUBSTITUTE(C327," ",""), Load_Booking_Report!AL:AL)), 0)), "Not Found")</f>
        <v/>
      </c>
      <c r="R327" s="21">
        <f t="array" ref="R327">IFERROR(INDEX(Load_Booking_Report!C:C, MATCH(TRUE, ISNUMBER(FIND(SUBSTITUTE(C327," ",""), Load_Booking_Report!AL:AL)), 0)), "Not Found")</f>
        <v/>
      </c>
      <c r="S327" s="21">
        <f t="array" ref="S327">IFERROR(INDEX(Load_Booking_Report!AG:AG, MATCH(TRUE, ISNUMBER(FIND(SUBSTITUTE(C327," ",""), Load_Booking_Report!AL:AL)), 0)), "Not Found")</f>
        <v/>
      </c>
      <c r="T327" s="21">
        <f>G327</f>
        <v/>
      </c>
      <c r="U327" s="33">
        <f t="array" ref="U327">IFERROR(
   IF(
      INDEX(Load_Booking_Report!AM:AM,
             MATCH(TRUE,
                     ISNUMBER(FIND(SUBSTITUTE(C327," ",""),
                                    Load_Booking_Report!AL:AL)),
                     0)
      )=0,
      "",
      INDEX(Load_Booking_Report!AM:AM,
             MATCH(TRUE,
                     ISNUMBER(FIND(SUBSTITUTE(C327," ",""),
                                    Load_Booking_Report!AL:AL)),
                     0)
      )
   ),
   ""
)</f>
        <v/>
      </c>
      <c r="V327" s="21">
        <f t="array" ref="V327">IFERROR(
   IF(
      INDEX(Load_Booking_Report!AR:AR,
             MATCH(TRUE,
                     ISNUMBER(FIND(SUBSTITUTE(C327," ",""),
                                    Load_Booking_Report!AL:AL)),
                     0)
      )=0,
      "",
      INDEX(Load_Booking_Report!AR:AR,
             MATCH(TRUE,
                     ISNUMBER(FIND(SUBSTITUTE(C327," ",""),
                                    Load_Booking_Report!AL:AL)),
                     0)
      )
   ),
   ""
)</f>
        <v/>
      </c>
      <c r="W327" s="21">
        <f t="array" ref="W327">IFERROR(INDEX(Load_Booking_Report!F:F, MATCH(TRUE, ISNUMBER(FIND(SUBSTITUTE(C327," ",""), Load_Booking_Report!AL:AL)), 0)), "Not Found")</f>
        <v/>
      </c>
      <c r="X327" s="21">
        <f t="array" ref="X327">IFERROR(INDEX(Load_Booking_Report!N:N, MATCH(TRUE, ISNUMBER(FIND(SUBSTITUTE(C327," ",""), Load_Booking_Report!AL:AL)), 0)), "Not Found")</f>
        <v/>
      </c>
      <c r="Y327" s="21">
        <f t="array" ref="Y327">IFERROR(INDEX(Load_Booking_Report!V:V, MATCH(TRUE, ISNUMBER(FIND(SUBSTITUTE(C327," ",""), Load_Booking_Report!AL:AL)), 0)), "Not Found")</f>
        <v/>
      </c>
      <c r="Z327" s="41">
        <f t="array" ref="Z327">IFERROR(INDEX(Load_Booking_Report!BC:BC, MATCH(TRUE, ISNUMBER(FIND(SUBSTITUTE(C327," ",""), Load_Booking_Report!AL:AL)), 0)), "Not Found")</f>
        <v/>
      </c>
    </row>
    <row r="328">
      <c r="A328" t="n">
        <v>6</v>
      </c>
      <c r="B328" t="n">
        <v>60582</v>
      </c>
      <c r="C328" t="inlineStr">
        <is>
          <t>ANON0000000</t>
        </is>
      </c>
      <c r="D328" t="n">
        <v>40</v>
      </c>
      <c r="E328" t="inlineStr">
        <is>
          <t>USNFK</t>
        </is>
      </c>
      <c r="F328" t="inlineStr">
        <is>
          <t>RULED</t>
        </is>
      </c>
      <c r="G328" t="n">
        <v>33516</v>
      </c>
      <c r="H328" t="inlineStr">
        <is>
          <t>ART</t>
        </is>
      </c>
      <c r="I328" t="inlineStr">
        <is>
          <t>45R1</t>
        </is>
      </c>
      <c r="K328" t="inlineStr">
        <is>
          <t>-18.0:CEL</t>
        </is>
      </c>
      <c r="L328" t="inlineStr">
        <is>
          <t>9'6</t>
        </is>
      </c>
      <c r="M328" t="inlineStr">
        <is>
          <t>Full</t>
        </is>
      </c>
      <c r="N328" t="inlineStr">
        <is>
          <t>RULED</t>
        </is>
      </c>
      <c r="P328" s="21">
        <f>C328</f>
        <v/>
      </c>
      <c r="Q328" s="21">
        <f t="array" ref="Q328">IFERROR(INDEX(Load_Booking_Report!AC:AC, MATCH(TRUE, ISNUMBER(FIND(SUBSTITUTE(C328," ",""), Load_Booking_Report!AL:AL)), 0)), "Not Found")</f>
        <v/>
      </c>
      <c r="R328" s="21">
        <f t="array" ref="R328">IFERROR(INDEX(Load_Booking_Report!C:C, MATCH(TRUE, ISNUMBER(FIND(SUBSTITUTE(C328," ",""), Load_Booking_Report!AL:AL)), 0)), "Not Found")</f>
        <v/>
      </c>
      <c r="S328" s="21">
        <f t="array" ref="S328">IFERROR(INDEX(Load_Booking_Report!AG:AG, MATCH(TRUE, ISNUMBER(FIND(SUBSTITUTE(C328," ",""), Load_Booking_Report!AL:AL)), 0)), "Not Found")</f>
        <v/>
      </c>
      <c r="T328" s="21">
        <f>G328</f>
        <v/>
      </c>
      <c r="U328" s="33">
        <f t="array" ref="U328">IFERROR(
   IF(
      INDEX(Load_Booking_Report!AM:AM,
             MATCH(TRUE,
                     ISNUMBER(FIND(SUBSTITUTE(C328," ",""),
                                    Load_Booking_Report!AL:AL)),
                     0)
      )=0,
      "",
      INDEX(Load_Booking_Report!AM:AM,
             MATCH(TRUE,
                     ISNUMBER(FIND(SUBSTITUTE(C328," ",""),
                                    Load_Booking_Report!AL:AL)),
                     0)
      )
   ),
   ""
)</f>
        <v/>
      </c>
      <c r="V328" s="21">
        <f t="array" ref="V328">IFERROR(
   IF(
      INDEX(Load_Booking_Report!AR:AR,
             MATCH(TRUE,
                     ISNUMBER(FIND(SUBSTITUTE(C328," ",""),
                                    Load_Booking_Report!AL:AL)),
                     0)
      )=0,
      "",
      INDEX(Load_Booking_Report!AR:AR,
             MATCH(TRUE,
                     ISNUMBER(FIND(SUBSTITUTE(C328," ",""),
                                    Load_Booking_Report!AL:AL)),
                     0)
      )
   ),
   ""
)</f>
        <v/>
      </c>
      <c r="W328" s="21">
        <f t="array" ref="W328">IFERROR(INDEX(Load_Booking_Report!F:F, MATCH(TRUE, ISNUMBER(FIND(SUBSTITUTE(C328," ",""), Load_Booking_Report!AL:AL)), 0)), "Not Found")</f>
        <v/>
      </c>
      <c r="X328" s="21">
        <f t="array" ref="X328">IFERROR(INDEX(Load_Booking_Report!N:N, MATCH(TRUE, ISNUMBER(FIND(SUBSTITUTE(C328," ",""), Load_Booking_Report!AL:AL)), 0)), "Not Found")</f>
        <v/>
      </c>
      <c r="Y328" s="21">
        <f t="array" ref="Y328">IFERROR(INDEX(Load_Booking_Report!V:V, MATCH(TRUE, ISNUMBER(FIND(SUBSTITUTE(C328," ",""), Load_Booking_Report!AL:AL)), 0)), "Not Found")</f>
        <v/>
      </c>
      <c r="Z328" s="41">
        <f t="array" ref="Z328">IFERROR(INDEX(Load_Booking_Report!BC:BC, MATCH(TRUE, ISNUMBER(FIND(SUBSTITUTE(C328," ",""), Load_Booking_Report!AL:AL)), 0)), "Not Found")</f>
        <v/>
      </c>
    </row>
    <row r="329">
      <c r="A329" t="n">
        <v>10</v>
      </c>
      <c r="B329" t="n">
        <v>100286</v>
      </c>
      <c r="C329" t="inlineStr">
        <is>
          <t>ANON0000000</t>
        </is>
      </c>
      <c r="D329" t="n">
        <v>40</v>
      </c>
      <c r="E329" t="inlineStr">
        <is>
          <t>USNFK</t>
        </is>
      </c>
      <c r="F329" t="inlineStr">
        <is>
          <t>RULED</t>
        </is>
      </c>
      <c r="G329" t="n">
        <v>15308</v>
      </c>
      <c r="H329" t="inlineStr">
        <is>
          <t>ART</t>
        </is>
      </c>
      <c r="I329" t="inlineStr">
        <is>
          <t>45R1</t>
        </is>
      </c>
      <c r="J329" t="n">
        <v>8</v>
      </c>
      <c r="K329" t="inlineStr">
        <is>
          <t>4.0:CEL</t>
        </is>
      </c>
      <c r="L329" t="inlineStr">
        <is>
          <t>9'6</t>
        </is>
      </c>
      <c r="M329" t="inlineStr">
        <is>
          <t>Full</t>
        </is>
      </c>
      <c r="N329" t="inlineStr">
        <is>
          <t>RULED</t>
        </is>
      </c>
      <c r="P329" s="21">
        <f>C329</f>
        <v/>
      </c>
      <c r="Q329" s="21">
        <f t="array" ref="Q329">IFERROR(INDEX(Load_Booking_Report!AC:AC, MATCH(TRUE, ISNUMBER(FIND(SUBSTITUTE(C329," ",""), Load_Booking_Report!AL:AL)), 0)), "Not Found")</f>
        <v/>
      </c>
      <c r="R329" s="21">
        <f t="array" ref="R329">IFERROR(INDEX(Load_Booking_Report!C:C, MATCH(TRUE, ISNUMBER(FIND(SUBSTITUTE(C329," ",""), Load_Booking_Report!AL:AL)), 0)), "Not Found")</f>
        <v/>
      </c>
      <c r="S329" s="21">
        <f t="array" ref="S329">IFERROR(INDEX(Load_Booking_Report!AG:AG, MATCH(TRUE, ISNUMBER(FIND(SUBSTITUTE(C329," ",""), Load_Booking_Report!AL:AL)), 0)), "Not Found")</f>
        <v/>
      </c>
      <c r="T329" s="21">
        <f>G329</f>
        <v/>
      </c>
      <c r="U329" s="33">
        <f t="array" ref="U329">IFERROR(
   IF(
      INDEX(Load_Booking_Report!AM:AM,
             MATCH(TRUE,
                     ISNUMBER(FIND(SUBSTITUTE(C329," ",""),
                                    Load_Booking_Report!AL:AL)),
                     0)
      )=0,
      "",
      INDEX(Load_Booking_Report!AM:AM,
             MATCH(TRUE,
                     ISNUMBER(FIND(SUBSTITUTE(C329," ",""),
                                    Load_Booking_Report!AL:AL)),
                     0)
      )
   ),
   ""
)</f>
        <v/>
      </c>
      <c r="V329" s="21">
        <f t="array" ref="V329">IFERROR(
   IF(
      INDEX(Load_Booking_Report!AR:AR,
             MATCH(TRUE,
                     ISNUMBER(FIND(SUBSTITUTE(C329," ",""),
                                    Load_Booking_Report!AL:AL)),
                     0)
      )=0,
      "",
      INDEX(Load_Booking_Report!AR:AR,
             MATCH(TRUE,
                     ISNUMBER(FIND(SUBSTITUTE(C329," ",""),
                                    Load_Booking_Report!AL:AL)),
                     0)
      )
   ),
   ""
)</f>
        <v/>
      </c>
      <c r="W329" s="21">
        <f t="array" ref="W329">IFERROR(INDEX(Load_Booking_Report!F:F, MATCH(TRUE, ISNUMBER(FIND(SUBSTITUTE(C329," ",""), Load_Booking_Report!AL:AL)), 0)), "Not Found")</f>
        <v/>
      </c>
      <c r="X329" s="21">
        <f t="array" ref="X329">IFERROR(INDEX(Load_Booking_Report!N:N, MATCH(TRUE, ISNUMBER(FIND(SUBSTITUTE(C329," ",""), Load_Booking_Report!AL:AL)), 0)), "Not Found")</f>
        <v/>
      </c>
      <c r="Y329" s="21">
        <f t="array" ref="Y329">IFERROR(INDEX(Load_Booking_Report!V:V, MATCH(TRUE, ISNUMBER(FIND(SUBSTITUTE(C329," ",""), Load_Booking_Report!AL:AL)), 0)), "Not Found")</f>
        <v/>
      </c>
      <c r="Z329" s="41">
        <f t="array" ref="Z329">IFERROR(INDEX(Load_Booking_Report!BC:BC, MATCH(TRUE, ISNUMBER(FIND(SUBSTITUTE(C329," ",""), Load_Booking_Report!AL:AL)), 0)), "Not Found")</f>
        <v/>
      </c>
    </row>
    <row r="330">
      <c r="A330" t="n">
        <v>10</v>
      </c>
      <c r="B330" t="n">
        <v>100186</v>
      </c>
      <c r="C330" t="inlineStr">
        <is>
          <t>ANON0000000</t>
        </is>
      </c>
      <c r="D330" t="n">
        <v>40</v>
      </c>
      <c r="E330" t="inlineStr">
        <is>
          <t>USNFK</t>
        </is>
      </c>
      <c r="F330" t="inlineStr">
        <is>
          <t>RULED</t>
        </is>
      </c>
      <c r="G330" t="n">
        <v>14849</v>
      </c>
      <c r="H330" t="inlineStr">
        <is>
          <t>ART</t>
        </is>
      </c>
      <c r="I330" t="inlineStr">
        <is>
          <t>45R1</t>
        </is>
      </c>
      <c r="J330" t="n">
        <v>8</v>
      </c>
      <c r="K330" t="inlineStr">
        <is>
          <t>4.0:CEL</t>
        </is>
      </c>
      <c r="L330" t="inlineStr">
        <is>
          <t>9'6</t>
        </is>
      </c>
      <c r="M330" t="inlineStr">
        <is>
          <t>Full</t>
        </is>
      </c>
      <c r="N330" t="inlineStr">
        <is>
          <t>RULED</t>
        </is>
      </c>
      <c r="P330" s="21">
        <f>C330</f>
        <v/>
      </c>
      <c r="Q330" s="21">
        <f t="array" ref="Q330">IFERROR(INDEX(Load_Booking_Report!AC:AC, MATCH(TRUE, ISNUMBER(FIND(SUBSTITUTE(C330," ",""), Load_Booking_Report!AL:AL)), 0)), "Not Found")</f>
        <v/>
      </c>
      <c r="R330" s="21">
        <f t="array" ref="R330">IFERROR(INDEX(Load_Booking_Report!C:C, MATCH(TRUE, ISNUMBER(FIND(SUBSTITUTE(C330," ",""), Load_Booking_Report!AL:AL)), 0)), "Not Found")</f>
        <v/>
      </c>
      <c r="S330" s="21">
        <f t="array" ref="S330">IFERROR(INDEX(Load_Booking_Report!AG:AG, MATCH(TRUE, ISNUMBER(FIND(SUBSTITUTE(C330," ",""), Load_Booking_Report!AL:AL)), 0)), "Not Found")</f>
        <v/>
      </c>
      <c r="T330" s="21">
        <f>G330</f>
        <v/>
      </c>
      <c r="U330" s="33">
        <f t="array" ref="U330">IFERROR(
   IF(
      INDEX(Load_Booking_Report!AM:AM,
             MATCH(TRUE,
                     ISNUMBER(FIND(SUBSTITUTE(C330," ",""),
                                    Load_Booking_Report!AL:AL)),
                     0)
      )=0,
      "",
      INDEX(Load_Booking_Report!AM:AM,
             MATCH(TRUE,
                     ISNUMBER(FIND(SUBSTITUTE(C330," ",""),
                                    Load_Booking_Report!AL:AL)),
                     0)
      )
   ),
   ""
)</f>
        <v/>
      </c>
      <c r="V330" s="21">
        <f t="array" ref="V330">IFERROR(
   IF(
      INDEX(Load_Booking_Report!AR:AR,
             MATCH(TRUE,
                     ISNUMBER(FIND(SUBSTITUTE(C330," ",""),
                                    Load_Booking_Report!AL:AL)),
                     0)
      )=0,
      "",
      INDEX(Load_Booking_Report!AR:AR,
             MATCH(TRUE,
                     ISNUMBER(FIND(SUBSTITUTE(C330," ",""),
                                    Load_Booking_Report!AL:AL)),
                     0)
      )
   ),
   ""
)</f>
        <v/>
      </c>
      <c r="W330" s="21">
        <f t="array" ref="W330">IFERROR(INDEX(Load_Booking_Report!F:F, MATCH(TRUE, ISNUMBER(FIND(SUBSTITUTE(C330," ",""), Load_Booking_Report!AL:AL)), 0)), "Not Found")</f>
        <v/>
      </c>
      <c r="X330" s="21">
        <f t="array" ref="X330">IFERROR(INDEX(Load_Booking_Report!N:N, MATCH(TRUE, ISNUMBER(FIND(SUBSTITUTE(C330," ",""), Load_Booking_Report!AL:AL)), 0)), "Not Found")</f>
        <v/>
      </c>
      <c r="Y330" s="21">
        <f t="array" ref="Y330">IFERROR(INDEX(Load_Booking_Report!V:V, MATCH(TRUE, ISNUMBER(FIND(SUBSTITUTE(C330," ",""), Load_Booking_Report!AL:AL)), 0)), "Not Found")</f>
        <v/>
      </c>
      <c r="Z330" s="41">
        <f t="array" ref="Z330">IFERROR(INDEX(Load_Booking_Report!BC:BC, MATCH(TRUE, ISNUMBER(FIND(SUBSTITUTE(C330," ",""), Load_Booking_Report!AL:AL)), 0)), "Not Found")</f>
        <v/>
      </c>
    </row>
    <row r="331">
      <c r="A331" t="n">
        <v>10</v>
      </c>
      <c r="B331" t="n">
        <v>100086</v>
      </c>
      <c r="C331" t="inlineStr">
        <is>
          <t>ANON0000000</t>
        </is>
      </c>
      <c r="D331" t="n">
        <v>40</v>
      </c>
      <c r="E331" t="inlineStr">
        <is>
          <t>USNFK</t>
        </is>
      </c>
      <c r="F331" t="inlineStr">
        <is>
          <t>RULED</t>
        </is>
      </c>
      <c r="G331" t="n">
        <v>16054</v>
      </c>
      <c r="H331" t="inlineStr">
        <is>
          <t>ART</t>
        </is>
      </c>
      <c r="I331" t="inlineStr">
        <is>
          <t>45R1</t>
        </is>
      </c>
      <c r="J331" t="n">
        <v>8</v>
      </c>
      <c r="K331" t="inlineStr">
        <is>
          <t>4.0:CEL</t>
        </is>
      </c>
      <c r="L331" t="inlineStr">
        <is>
          <t>9'6</t>
        </is>
      </c>
      <c r="M331" t="inlineStr">
        <is>
          <t>Full</t>
        </is>
      </c>
      <c r="N331" t="inlineStr">
        <is>
          <t>RULED</t>
        </is>
      </c>
      <c r="P331" s="21">
        <f>C331</f>
        <v/>
      </c>
      <c r="Q331" s="21">
        <f t="array" ref="Q331">IFERROR(INDEX(Load_Booking_Report!AC:AC, MATCH(TRUE, ISNUMBER(FIND(SUBSTITUTE(C331," ",""), Load_Booking_Report!AL:AL)), 0)), "Not Found")</f>
        <v/>
      </c>
      <c r="R331" s="21">
        <f t="array" ref="R331">IFERROR(INDEX(Load_Booking_Report!C:C, MATCH(TRUE, ISNUMBER(FIND(SUBSTITUTE(C331," ",""), Load_Booking_Report!AL:AL)), 0)), "Not Found")</f>
        <v/>
      </c>
      <c r="S331" s="21">
        <f t="array" ref="S331">IFERROR(INDEX(Load_Booking_Report!AG:AG, MATCH(TRUE, ISNUMBER(FIND(SUBSTITUTE(C331," ",""), Load_Booking_Report!AL:AL)), 0)), "Not Found")</f>
        <v/>
      </c>
      <c r="T331" s="21">
        <f>G331</f>
        <v/>
      </c>
      <c r="U331" s="33">
        <f t="array" ref="U331">IFERROR(
   IF(
      INDEX(Load_Booking_Report!AM:AM,
             MATCH(TRUE,
                     ISNUMBER(FIND(SUBSTITUTE(C331," ",""),
                                    Load_Booking_Report!AL:AL)),
                     0)
      )=0,
      "",
      INDEX(Load_Booking_Report!AM:AM,
             MATCH(TRUE,
                     ISNUMBER(FIND(SUBSTITUTE(C331," ",""),
                                    Load_Booking_Report!AL:AL)),
                     0)
      )
   ),
   ""
)</f>
        <v/>
      </c>
      <c r="V331" s="21">
        <f t="array" ref="V331">IFERROR(
   IF(
      INDEX(Load_Booking_Report!AR:AR,
             MATCH(TRUE,
                     ISNUMBER(FIND(SUBSTITUTE(C331," ",""),
                                    Load_Booking_Report!AL:AL)),
                     0)
      )=0,
      "",
      INDEX(Load_Booking_Report!AR:AR,
             MATCH(TRUE,
                     ISNUMBER(FIND(SUBSTITUTE(C331," ",""),
                                    Load_Booking_Report!AL:AL)),
                     0)
      )
   ),
   ""
)</f>
        <v/>
      </c>
      <c r="W331" s="21">
        <f t="array" ref="W331">IFERROR(INDEX(Load_Booking_Report!F:F, MATCH(TRUE, ISNUMBER(FIND(SUBSTITUTE(C331," ",""), Load_Booking_Report!AL:AL)), 0)), "Not Found")</f>
        <v/>
      </c>
      <c r="X331" s="21">
        <f t="array" ref="X331">IFERROR(INDEX(Load_Booking_Report!N:N, MATCH(TRUE, ISNUMBER(FIND(SUBSTITUTE(C331," ",""), Load_Booking_Report!AL:AL)), 0)), "Not Found")</f>
        <v/>
      </c>
      <c r="Y331" s="21">
        <f t="array" ref="Y331">IFERROR(INDEX(Load_Booking_Report!V:V, MATCH(TRUE, ISNUMBER(FIND(SUBSTITUTE(C331," ",""), Load_Booking_Report!AL:AL)), 0)), "Not Found")</f>
        <v/>
      </c>
      <c r="Z331" s="41">
        <f t="array" ref="Z331">IFERROR(INDEX(Load_Booking_Report!BC:BC, MATCH(TRUE, ISNUMBER(FIND(SUBSTITUTE(C331," ",""), Load_Booking_Report!AL:AL)), 0)), "Not Found")</f>
        <v/>
      </c>
    </row>
    <row r="332">
      <c r="A332" t="n">
        <v>22</v>
      </c>
      <c r="B332" t="n">
        <v>220086</v>
      </c>
      <c r="C332" t="inlineStr">
        <is>
          <t>ANON0000000</t>
        </is>
      </c>
      <c r="D332" t="n">
        <v>40</v>
      </c>
      <c r="E332" t="inlineStr">
        <is>
          <t>USNFK</t>
        </is>
      </c>
      <c r="F332" t="inlineStr">
        <is>
          <t>RULED</t>
        </is>
      </c>
      <c r="G332" t="n">
        <v>22753</v>
      </c>
      <c r="H332" t="inlineStr">
        <is>
          <t>ART</t>
        </is>
      </c>
      <c r="I332" t="n">
        <v>4532</v>
      </c>
      <c r="K332" t="inlineStr">
        <is>
          <t>-18.0:CEL</t>
        </is>
      </c>
      <c r="L332" t="inlineStr">
        <is>
          <t>9'6</t>
        </is>
      </c>
      <c r="M332" t="inlineStr">
        <is>
          <t>Full</t>
        </is>
      </c>
      <c r="N332" t="inlineStr">
        <is>
          <t>RULED</t>
        </is>
      </c>
      <c r="P332" s="21">
        <f>C332</f>
        <v/>
      </c>
      <c r="Q332" s="21">
        <f t="array" ref="Q332">IFERROR(INDEX(Load_Booking_Report!AC:AC, MATCH(TRUE, ISNUMBER(FIND(SUBSTITUTE(C332," ",""), Load_Booking_Report!AL:AL)), 0)), "Not Found")</f>
        <v/>
      </c>
      <c r="R332" s="21">
        <f t="array" ref="R332">IFERROR(INDEX(Load_Booking_Report!C:C, MATCH(TRUE, ISNUMBER(FIND(SUBSTITUTE(C332," ",""), Load_Booking_Report!AL:AL)), 0)), "Not Found")</f>
        <v/>
      </c>
      <c r="S332" s="21">
        <f t="array" ref="S332">IFERROR(INDEX(Load_Booking_Report!AG:AG, MATCH(TRUE, ISNUMBER(FIND(SUBSTITUTE(C332," ",""), Load_Booking_Report!AL:AL)), 0)), "Not Found")</f>
        <v/>
      </c>
      <c r="T332" s="21">
        <f>G332</f>
        <v/>
      </c>
      <c r="U332" s="33">
        <f t="array" ref="U332">IFERROR(
   IF(
      INDEX(Load_Booking_Report!AM:AM,
             MATCH(TRUE,
                     ISNUMBER(FIND(SUBSTITUTE(C332," ",""),
                                    Load_Booking_Report!AL:AL)),
                     0)
      )=0,
      "",
      INDEX(Load_Booking_Report!AM:AM,
             MATCH(TRUE,
                     ISNUMBER(FIND(SUBSTITUTE(C332," ",""),
                                    Load_Booking_Report!AL:AL)),
                     0)
      )
   ),
   ""
)</f>
        <v/>
      </c>
      <c r="V332" s="21">
        <f t="array" ref="V332">IFERROR(
   IF(
      INDEX(Load_Booking_Report!AR:AR,
             MATCH(TRUE,
                     ISNUMBER(FIND(SUBSTITUTE(C332," ",""),
                                    Load_Booking_Report!AL:AL)),
                     0)
      )=0,
      "",
      INDEX(Load_Booking_Report!AR:AR,
             MATCH(TRUE,
                     ISNUMBER(FIND(SUBSTITUTE(C332," ",""),
                                    Load_Booking_Report!AL:AL)),
                     0)
      )
   ),
   ""
)</f>
        <v/>
      </c>
      <c r="W332" s="21">
        <f t="array" ref="W332">IFERROR(INDEX(Load_Booking_Report!F:F, MATCH(TRUE, ISNUMBER(FIND(SUBSTITUTE(C332," ",""), Load_Booking_Report!AL:AL)), 0)), "Not Found")</f>
        <v/>
      </c>
      <c r="X332" s="21">
        <f t="array" ref="X332">IFERROR(INDEX(Load_Booking_Report!N:N, MATCH(TRUE, ISNUMBER(FIND(SUBSTITUTE(C332," ",""), Load_Booking_Report!AL:AL)), 0)), "Not Found")</f>
        <v/>
      </c>
      <c r="Y332" s="21">
        <f t="array" ref="Y332">IFERROR(INDEX(Load_Booking_Report!V:V, MATCH(TRUE, ISNUMBER(FIND(SUBSTITUTE(C332," ",""), Load_Booking_Report!AL:AL)), 0)), "Not Found")</f>
        <v/>
      </c>
      <c r="Z332" s="41">
        <f t="array" ref="Z332">IFERROR(INDEX(Load_Booking_Report!BC:BC, MATCH(TRUE, ISNUMBER(FIND(SUBSTITUTE(C332," ",""), Load_Booking_Report!AL:AL)), 0)), "Not Found")</f>
        <v/>
      </c>
    </row>
    <row r="333">
      <c r="A333" t="n">
        <v>22</v>
      </c>
      <c r="B333" t="n">
        <v>220084</v>
      </c>
      <c r="C333" t="inlineStr">
        <is>
          <t>ANON0000000</t>
        </is>
      </c>
      <c r="D333" t="n">
        <v>40</v>
      </c>
      <c r="E333" t="inlineStr">
        <is>
          <t>USNFK</t>
        </is>
      </c>
      <c r="F333" t="inlineStr">
        <is>
          <t>RULED</t>
        </is>
      </c>
      <c r="G333" t="n">
        <v>33546</v>
      </c>
      <c r="H333" t="inlineStr">
        <is>
          <t>ART</t>
        </is>
      </c>
      <c r="I333" t="n">
        <v>4532</v>
      </c>
      <c r="K333" t="inlineStr">
        <is>
          <t>-18.0:CEL</t>
        </is>
      </c>
      <c r="L333" t="inlineStr">
        <is>
          <t>9'6</t>
        </is>
      </c>
      <c r="M333" t="inlineStr">
        <is>
          <t>Full</t>
        </is>
      </c>
      <c r="N333" t="inlineStr">
        <is>
          <t>RULED</t>
        </is>
      </c>
      <c r="P333" s="21">
        <f>C333</f>
        <v/>
      </c>
      <c r="Q333" s="21">
        <f t="array" ref="Q333">IFERROR(INDEX(Load_Booking_Report!AC:AC, MATCH(TRUE, ISNUMBER(FIND(SUBSTITUTE(C333," ",""), Load_Booking_Report!AL:AL)), 0)), "Not Found")</f>
        <v/>
      </c>
      <c r="R333" s="21">
        <f t="array" ref="R333">IFERROR(INDEX(Load_Booking_Report!C:C, MATCH(TRUE, ISNUMBER(FIND(SUBSTITUTE(C333," ",""), Load_Booking_Report!AL:AL)), 0)), "Not Found")</f>
        <v/>
      </c>
      <c r="S333" s="21">
        <f t="array" ref="S333">IFERROR(INDEX(Load_Booking_Report!AG:AG, MATCH(TRUE, ISNUMBER(FIND(SUBSTITUTE(C333," ",""), Load_Booking_Report!AL:AL)), 0)), "Not Found")</f>
        <v/>
      </c>
      <c r="T333" s="21">
        <f>G333</f>
        <v/>
      </c>
      <c r="U333" s="33">
        <f t="array" ref="U333">IFERROR(
   IF(
      INDEX(Load_Booking_Report!AM:AM,
             MATCH(TRUE,
                     ISNUMBER(FIND(SUBSTITUTE(C333," ",""),
                                    Load_Booking_Report!AL:AL)),
                     0)
      )=0,
      "",
      INDEX(Load_Booking_Report!AM:AM,
             MATCH(TRUE,
                     ISNUMBER(FIND(SUBSTITUTE(C333," ",""),
                                    Load_Booking_Report!AL:AL)),
                     0)
      )
   ),
   ""
)</f>
        <v/>
      </c>
      <c r="V333" s="21">
        <f t="array" ref="V333">IFERROR(
   IF(
      INDEX(Load_Booking_Report!AR:AR,
             MATCH(TRUE,
                     ISNUMBER(FIND(SUBSTITUTE(C333," ",""),
                                    Load_Booking_Report!AL:AL)),
                     0)
      )=0,
      "",
      INDEX(Load_Booking_Report!AR:AR,
             MATCH(TRUE,
                     ISNUMBER(FIND(SUBSTITUTE(C333," ",""),
                                    Load_Booking_Report!AL:AL)),
                     0)
      )
   ),
   ""
)</f>
        <v/>
      </c>
      <c r="W333" s="21">
        <f t="array" ref="W333">IFERROR(INDEX(Load_Booking_Report!F:F, MATCH(TRUE, ISNUMBER(FIND(SUBSTITUTE(C333," ",""), Load_Booking_Report!AL:AL)), 0)), "Not Found")</f>
        <v/>
      </c>
      <c r="X333" s="21">
        <f t="array" ref="X333">IFERROR(INDEX(Load_Booking_Report!N:N, MATCH(TRUE, ISNUMBER(FIND(SUBSTITUTE(C333," ",""), Load_Booking_Report!AL:AL)), 0)), "Not Found")</f>
        <v/>
      </c>
      <c r="Y333" s="21">
        <f t="array" ref="Y333">IFERROR(INDEX(Load_Booking_Report!V:V, MATCH(TRUE, ISNUMBER(FIND(SUBSTITUTE(C333," ",""), Load_Booking_Report!AL:AL)), 0)), "Not Found")</f>
        <v/>
      </c>
      <c r="Z333" s="41">
        <f t="array" ref="Z333">IFERROR(INDEX(Load_Booking_Report!BC:BC, MATCH(TRUE, ISNUMBER(FIND(SUBSTITUTE(C333," ",""), Load_Booking_Report!AL:AL)), 0)), "Not Found")</f>
        <v/>
      </c>
    </row>
    <row r="334">
      <c r="A334" t="n">
        <v>6</v>
      </c>
      <c r="B334" t="n">
        <v>60106</v>
      </c>
      <c r="C334" t="inlineStr">
        <is>
          <t>ANON0000000</t>
        </is>
      </c>
      <c r="D334" t="n">
        <v>40</v>
      </c>
      <c r="E334" t="inlineStr">
        <is>
          <t>USNFK</t>
        </is>
      </c>
      <c r="F334" t="inlineStr">
        <is>
          <t>RULED</t>
        </is>
      </c>
      <c r="G334" t="n">
        <v>31265</v>
      </c>
      <c r="H334" t="inlineStr">
        <is>
          <t>ART</t>
        </is>
      </c>
      <c r="I334" t="inlineStr">
        <is>
          <t>45G1</t>
        </is>
      </c>
      <c r="L334" t="inlineStr">
        <is>
          <t>9'6</t>
        </is>
      </c>
      <c r="M334" t="inlineStr">
        <is>
          <t>Full</t>
        </is>
      </c>
      <c r="N334" t="inlineStr">
        <is>
          <t>RULED</t>
        </is>
      </c>
      <c r="P334" s="21">
        <f>C334</f>
        <v/>
      </c>
      <c r="Q334" s="21">
        <f t="array" ref="Q334">IFERROR(INDEX(Load_Booking_Report!AC:AC, MATCH(TRUE, ISNUMBER(FIND(SUBSTITUTE(C334," ",""), Load_Booking_Report!AL:AL)), 0)), "Not Found")</f>
        <v/>
      </c>
      <c r="R334" s="21">
        <f t="array" ref="R334">IFERROR(INDEX(Load_Booking_Report!C:C, MATCH(TRUE, ISNUMBER(FIND(SUBSTITUTE(C334," ",""), Load_Booking_Report!AL:AL)), 0)), "Not Found")</f>
        <v/>
      </c>
      <c r="S334" s="21">
        <f t="array" ref="S334">IFERROR(INDEX(Load_Booking_Report!AG:AG, MATCH(TRUE, ISNUMBER(FIND(SUBSTITUTE(C334," ",""), Load_Booking_Report!AL:AL)), 0)), "Not Found")</f>
        <v/>
      </c>
      <c r="T334" s="21">
        <f>G334</f>
        <v/>
      </c>
      <c r="U334" s="33">
        <f t="array" ref="U334">IFERROR(
   IF(
      INDEX(Load_Booking_Report!AM:AM,
             MATCH(TRUE,
                     ISNUMBER(FIND(SUBSTITUTE(C334," ",""),
                                    Load_Booking_Report!AL:AL)),
                     0)
      )=0,
      "",
      INDEX(Load_Booking_Report!AM:AM,
             MATCH(TRUE,
                     ISNUMBER(FIND(SUBSTITUTE(C334," ",""),
                                    Load_Booking_Report!AL:AL)),
                     0)
      )
   ),
   ""
)</f>
        <v/>
      </c>
      <c r="V334" s="21">
        <f t="array" ref="V334">IFERROR(
   IF(
      INDEX(Load_Booking_Report!AR:AR,
             MATCH(TRUE,
                     ISNUMBER(FIND(SUBSTITUTE(C334," ",""),
                                    Load_Booking_Report!AL:AL)),
                     0)
      )=0,
      "",
      INDEX(Load_Booking_Report!AR:AR,
             MATCH(TRUE,
                     ISNUMBER(FIND(SUBSTITUTE(C334," ",""),
                                    Load_Booking_Report!AL:AL)),
                     0)
      )
   ),
   ""
)</f>
        <v/>
      </c>
      <c r="W334" s="21">
        <f t="array" ref="W334">IFERROR(INDEX(Load_Booking_Report!F:F, MATCH(TRUE, ISNUMBER(FIND(SUBSTITUTE(C334," ",""), Load_Booking_Report!AL:AL)), 0)), "Not Found")</f>
        <v/>
      </c>
      <c r="X334" s="21">
        <f t="array" ref="X334">IFERROR(INDEX(Load_Booking_Report!N:N, MATCH(TRUE, ISNUMBER(FIND(SUBSTITUTE(C334," ",""), Load_Booking_Report!AL:AL)), 0)), "Not Found")</f>
        <v/>
      </c>
      <c r="Y334" s="21">
        <f t="array" ref="Y334">IFERROR(INDEX(Load_Booking_Report!V:V, MATCH(TRUE, ISNUMBER(FIND(SUBSTITUTE(C334," ",""), Load_Booking_Report!AL:AL)), 0)), "Not Found")</f>
        <v/>
      </c>
      <c r="Z334" s="41">
        <f t="array" ref="Z334">IFERROR(INDEX(Load_Booking_Report!BC:BC, MATCH(TRUE, ISNUMBER(FIND(SUBSTITUTE(C334," ",""), Load_Booking_Report!AL:AL)), 0)), "Not Found")</f>
        <v/>
      </c>
    </row>
    <row r="335">
      <c r="A335" t="n">
        <v>22</v>
      </c>
      <c r="B335" t="n">
        <v>220184</v>
      </c>
      <c r="C335" t="inlineStr">
        <is>
          <t>ANON0000000</t>
        </is>
      </c>
      <c r="D335" t="n">
        <v>40</v>
      </c>
      <c r="E335" t="inlineStr">
        <is>
          <t>USNFK</t>
        </is>
      </c>
      <c r="F335" t="inlineStr">
        <is>
          <t>RULED</t>
        </is>
      </c>
      <c r="G335" t="n">
        <v>33400</v>
      </c>
      <c r="H335" t="inlineStr">
        <is>
          <t>ART</t>
        </is>
      </c>
      <c r="I335" t="inlineStr">
        <is>
          <t>45R1</t>
        </is>
      </c>
      <c r="K335" t="inlineStr">
        <is>
          <t>-18.0:CEL</t>
        </is>
      </c>
      <c r="L335" t="inlineStr">
        <is>
          <t>9'6</t>
        </is>
      </c>
      <c r="M335" t="inlineStr">
        <is>
          <t>Full</t>
        </is>
      </c>
      <c r="N335" t="inlineStr">
        <is>
          <t>RULED</t>
        </is>
      </c>
      <c r="P335" s="21">
        <f>C335</f>
        <v/>
      </c>
      <c r="Q335" s="21">
        <f t="array" ref="Q335">IFERROR(INDEX(Load_Booking_Report!AC:AC, MATCH(TRUE, ISNUMBER(FIND(SUBSTITUTE(C335," ",""), Load_Booking_Report!AL:AL)), 0)), "Not Found")</f>
        <v/>
      </c>
      <c r="R335" s="21">
        <f t="array" ref="R335">IFERROR(INDEX(Load_Booking_Report!C:C, MATCH(TRUE, ISNUMBER(FIND(SUBSTITUTE(C335," ",""), Load_Booking_Report!AL:AL)), 0)), "Not Found")</f>
        <v/>
      </c>
      <c r="S335" s="21">
        <f t="array" ref="S335">IFERROR(INDEX(Load_Booking_Report!AG:AG, MATCH(TRUE, ISNUMBER(FIND(SUBSTITUTE(C335," ",""), Load_Booking_Report!AL:AL)), 0)), "Not Found")</f>
        <v/>
      </c>
      <c r="T335" s="21">
        <f>G335</f>
        <v/>
      </c>
      <c r="U335" s="33">
        <f t="array" ref="U335">IFERROR(
   IF(
      INDEX(Load_Booking_Report!AM:AM,
             MATCH(TRUE,
                     ISNUMBER(FIND(SUBSTITUTE(C335," ",""),
                                    Load_Booking_Report!AL:AL)),
                     0)
      )=0,
      "",
      INDEX(Load_Booking_Report!AM:AM,
             MATCH(TRUE,
                     ISNUMBER(FIND(SUBSTITUTE(C335," ",""),
                                    Load_Booking_Report!AL:AL)),
                     0)
      )
   ),
   ""
)</f>
        <v/>
      </c>
      <c r="V335" s="21">
        <f t="array" ref="V335">IFERROR(
   IF(
      INDEX(Load_Booking_Report!AR:AR,
             MATCH(TRUE,
                     ISNUMBER(FIND(SUBSTITUTE(C335," ",""),
                                    Load_Booking_Report!AL:AL)),
                     0)
      )=0,
      "",
      INDEX(Load_Booking_Report!AR:AR,
             MATCH(TRUE,
                     ISNUMBER(FIND(SUBSTITUTE(C335," ",""),
                                    Load_Booking_Report!AL:AL)),
                     0)
      )
   ),
   ""
)</f>
        <v/>
      </c>
      <c r="W335" s="21">
        <f t="array" ref="W335">IFERROR(INDEX(Load_Booking_Report!F:F, MATCH(TRUE, ISNUMBER(FIND(SUBSTITUTE(C335," ",""), Load_Booking_Report!AL:AL)), 0)), "Not Found")</f>
        <v/>
      </c>
      <c r="X335" s="21">
        <f t="array" ref="X335">IFERROR(INDEX(Load_Booking_Report!N:N, MATCH(TRUE, ISNUMBER(FIND(SUBSTITUTE(C335," ",""), Load_Booking_Report!AL:AL)), 0)), "Not Found")</f>
        <v/>
      </c>
      <c r="Y335" s="21">
        <f t="array" ref="Y335">IFERROR(INDEX(Load_Booking_Report!V:V, MATCH(TRUE, ISNUMBER(FIND(SUBSTITUTE(C335," ",""), Load_Booking_Report!AL:AL)), 0)), "Not Found")</f>
        <v/>
      </c>
      <c r="Z335" s="41">
        <f t="array" ref="Z335">IFERROR(INDEX(Load_Booking_Report!BC:BC, MATCH(TRUE, ISNUMBER(FIND(SUBSTITUTE(C335," ",""), Load_Booking_Report!AL:AL)), 0)), "Not Found")</f>
        <v/>
      </c>
    </row>
    <row r="336">
      <c r="A336" t="n">
        <v>22</v>
      </c>
      <c r="B336" t="n">
        <v>220284</v>
      </c>
      <c r="C336" t="inlineStr">
        <is>
          <t>ANON0000000</t>
        </is>
      </c>
      <c r="D336" t="n">
        <v>40</v>
      </c>
      <c r="E336" t="inlineStr">
        <is>
          <t>USNFK</t>
        </is>
      </c>
      <c r="F336" t="inlineStr">
        <is>
          <t>RULED</t>
        </is>
      </c>
      <c r="G336" t="n">
        <v>32706</v>
      </c>
      <c r="H336" t="inlineStr">
        <is>
          <t>ART</t>
        </is>
      </c>
      <c r="I336" t="inlineStr">
        <is>
          <t>45R1</t>
        </is>
      </c>
      <c r="K336" t="inlineStr">
        <is>
          <t>-18.0:CEL</t>
        </is>
      </c>
      <c r="L336" t="inlineStr">
        <is>
          <t>9'6</t>
        </is>
      </c>
      <c r="M336" t="inlineStr">
        <is>
          <t>Full</t>
        </is>
      </c>
      <c r="N336" t="inlineStr">
        <is>
          <t>RULED</t>
        </is>
      </c>
      <c r="P336" s="21">
        <f>C336</f>
        <v/>
      </c>
      <c r="Q336" s="21">
        <f t="array" ref="Q336">IFERROR(INDEX(Load_Booking_Report!AC:AC, MATCH(TRUE, ISNUMBER(FIND(SUBSTITUTE(C336," ",""), Load_Booking_Report!AL:AL)), 0)), "Not Found")</f>
        <v/>
      </c>
      <c r="R336" s="21">
        <f t="array" ref="R336">IFERROR(INDEX(Load_Booking_Report!C:C, MATCH(TRUE, ISNUMBER(FIND(SUBSTITUTE(C336," ",""), Load_Booking_Report!AL:AL)), 0)), "Not Found")</f>
        <v/>
      </c>
      <c r="S336" s="21">
        <f t="array" ref="S336">IFERROR(INDEX(Load_Booking_Report!AG:AG, MATCH(TRUE, ISNUMBER(FIND(SUBSTITUTE(C336," ",""), Load_Booking_Report!AL:AL)), 0)), "Not Found")</f>
        <v/>
      </c>
      <c r="T336" s="21">
        <f>G336</f>
        <v/>
      </c>
      <c r="U336" s="33">
        <f t="array" ref="U336">IFERROR(
   IF(
      INDEX(Load_Booking_Report!AM:AM,
             MATCH(TRUE,
                     ISNUMBER(FIND(SUBSTITUTE(C336," ",""),
                                    Load_Booking_Report!AL:AL)),
                     0)
      )=0,
      "",
      INDEX(Load_Booking_Report!AM:AM,
             MATCH(TRUE,
                     ISNUMBER(FIND(SUBSTITUTE(C336," ",""),
                                    Load_Booking_Report!AL:AL)),
                     0)
      )
   ),
   ""
)</f>
        <v/>
      </c>
      <c r="V336" s="21">
        <f t="array" ref="V336">IFERROR(
   IF(
      INDEX(Load_Booking_Report!AR:AR,
             MATCH(TRUE,
                     ISNUMBER(FIND(SUBSTITUTE(C336," ",""),
                                    Load_Booking_Report!AL:AL)),
                     0)
      )=0,
      "",
      INDEX(Load_Booking_Report!AR:AR,
             MATCH(TRUE,
                     ISNUMBER(FIND(SUBSTITUTE(C336," ",""),
                                    Load_Booking_Report!AL:AL)),
                     0)
      )
   ),
   ""
)</f>
        <v/>
      </c>
      <c r="W336" s="21">
        <f t="array" ref="W336">IFERROR(INDEX(Load_Booking_Report!F:F, MATCH(TRUE, ISNUMBER(FIND(SUBSTITUTE(C336," ",""), Load_Booking_Report!AL:AL)), 0)), "Not Found")</f>
        <v/>
      </c>
      <c r="X336" s="21">
        <f t="array" ref="X336">IFERROR(INDEX(Load_Booking_Report!N:N, MATCH(TRUE, ISNUMBER(FIND(SUBSTITUTE(C336," ",""), Load_Booking_Report!AL:AL)), 0)), "Not Found")</f>
        <v/>
      </c>
      <c r="Y336" s="21">
        <f t="array" ref="Y336">IFERROR(INDEX(Load_Booking_Report!V:V, MATCH(TRUE, ISNUMBER(FIND(SUBSTITUTE(C336," ",""), Load_Booking_Report!AL:AL)), 0)), "Not Found")</f>
        <v/>
      </c>
      <c r="Z336" s="41">
        <f t="array" ref="Z336">IFERROR(INDEX(Load_Booking_Report!BC:BC, MATCH(TRUE, ISNUMBER(FIND(SUBSTITUTE(C336," ",""), Load_Booking_Report!AL:AL)), 0)), "Not Found")</f>
        <v/>
      </c>
    </row>
    <row r="337">
      <c r="A337" t="n">
        <v>22</v>
      </c>
      <c r="B337" t="n">
        <v>220484</v>
      </c>
      <c r="C337" t="inlineStr">
        <is>
          <t>ANON0000000</t>
        </is>
      </c>
      <c r="D337" t="n">
        <v>40</v>
      </c>
      <c r="E337" t="inlineStr">
        <is>
          <t>USNFK</t>
        </is>
      </c>
      <c r="F337" t="inlineStr">
        <is>
          <t>RULED</t>
        </is>
      </c>
      <c r="G337" t="n">
        <v>33622</v>
      </c>
      <c r="H337" t="inlineStr">
        <is>
          <t>ART</t>
        </is>
      </c>
      <c r="I337" t="inlineStr">
        <is>
          <t>45R1</t>
        </is>
      </c>
      <c r="K337" t="inlineStr">
        <is>
          <t>-18.0:CEL</t>
        </is>
      </c>
      <c r="L337" t="inlineStr">
        <is>
          <t>9'6</t>
        </is>
      </c>
      <c r="M337" t="inlineStr">
        <is>
          <t>Full</t>
        </is>
      </c>
      <c r="N337" t="inlineStr">
        <is>
          <t>RULED</t>
        </is>
      </c>
      <c r="P337" s="21">
        <f>C337</f>
        <v/>
      </c>
      <c r="Q337" s="21">
        <f t="array" ref="Q337">IFERROR(INDEX(Load_Booking_Report!AC:AC, MATCH(TRUE, ISNUMBER(FIND(SUBSTITUTE(C337," ",""), Load_Booking_Report!AL:AL)), 0)), "Not Found")</f>
        <v/>
      </c>
      <c r="R337" s="21">
        <f t="array" ref="R337">IFERROR(INDEX(Load_Booking_Report!C:C, MATCH(TRUE, ISNUMBER(FIND(SUBSTITUTE(C337," ",""), Load_Booking_Report!AL:AL)), 0)), "Not Found")</f>
        <v/>
      </c>
      <c r="S337" s="21">
        <f t="array" ref="S337">IFERROR(INDEX(Load_Booking_Report!AG:AG, MATCH(TRUE, ISNUMBER(FIND(SUBSTITUTE(C337," ",""), Load_Booking_Report!AL:AL)), 0)), "Not Found")</f>
        <v/>
      </c>
      <c r="T337" s="21">
        <f>G337</f>
        <v/>
      </c>
      <c r="U337" s="33">
        <f t="array" ref="U337">IFERROR(
   IF(
      INDEX(Load_Booking_Report!AM:AM,
             MATCH(TRUE,
                     ISNUMBER(FIND(SUBSTITUTE(C337," ",""),
                                    Load_Booking_Report!AL:AL)),
                     0)
      )=0,
      "",
      INDEX(Load_Booking_Report!AM:AM,
             MATCH(TRUE,
                     ISNUMBER(FIND(SUBSTITUTE(C337," ",""),
                                    Load_Booking_Report!AL:AL)),
                     0)
      )
   ),
   ""
)</f>
        <v/>
      </c>
      <c r="V337" s="21">
        <f t="array" ref="V337">IFERROR(
   IF(
      INDEX(Load_Booking_Report!AR:AR,
             MATCH(TRUE,
                     ISNUMBER(FIND(SUBSTITUTE(C337," ",""),
                                    Load_Booking_Report!AL:AL)),
                     0)
      )=0,
      "",
      INDEX(Load_Booking_Report!AR:AR,
             MATCH(TRUE,
                     ISNUMBER(FIND(SUBSTITUTE(C337," ",""),
                                    Load_Booking_Report!AL:AL)),
                     0)
      )
   ),
   ""
)</f>
        <v/>
      </c>
      <c r="W337" s="21">
        <f t="array" ref="W337">IFERROR(INDEX(Load_Booking_Report!F:F, MATCH(TRUE, ISNUMBER(FIND(SUBSTITUTE(C337," ",""), Load_Booking_Report!AL:AL)), 0)), "Not Found")</f>
        <v/>
      </c>
      <c r="X337" s="21">
        <f t="array" ref="X337">IFERROR(INDEX(Load_Booking_Report!N:N, MATCH(TRUE, ISNUMBER(FIND(SUBSTITUTE(C337," ",""), Load_Booking_Report!AL:AL)), 0)), "Not Found")</f>
        <v/>
      </c>
      <c r="Y337" s="21">
        <f t="array" ref="Y337">IFERROR(INDEX(Load_Booking_Report!V:V, MATCH(TRUE, ISNUMBER(FIND(SUBSTITUTE(C337," ",""), Load_Booking_Report!AL:AL)), 0)), "Not Found")</f>
        <v/>
      </c>
      <c r="Z337" s="41">
        <f t="array" ref="Z337">IFERROR(INDEX(Load_Booking_Report!BC:BC, MATCH(TRUE, ISNUMBER(FIND(SUBSTITUTE(C337," ",""), Load_Booking_Report!AL:AL)), 0)), "Not Found")</f>
        <v/>
      </c>
    </row>
    <row r="338">
      <c r="A338" t="n">
        <v>6</v>
      </c>
      <c r="B338" t="n">
        <v>60086</v>
      </c>
      <c r="C338" t="inlineStr">
        <is>
          <t>ANON0000000</t>
        </is>
      </c>
      <c r="D338" t="n">
        <v>40</v>
      </c>
      <c r="E338" t="inlineStr">
        <is>
          <t>USNFK</t>
        </is>
      </c>
      <c r="F338" t="inlineStr">
        <is>
          <t>RULED</t>
        </is>
      </c>
      <c r="G338" t="n">
        <v>29622</v>
      </c>
      <c r="H338" t="inlineStr">
        <is>
          <t>ART</t>
        </is>
      </c>
      <c r="I338" t="inlineStr">
        <is>
          <t>45G1</t>
        </is>
      </c>
      <c r="J338" t="n">
        <v>8</v>
      </c>
      <c r="L338" t="inlineStr">
        <is>
          <t>9'6</t>
        </is>
      </c>
      <c r="M338" t="inlineStr">
        <is>
          <t>Full</t>
        </is>
      </c>
      <c r="N338" t="inlineStr">
        <is>
          <t>RULED</t>
        </is>
      </c>
      <c r="P338" s="21">
        <f>C338</f>
        <v/>
      </c>
      <c r="Q338" s="21">
        <f t="array" ref="Q338">IFERROR(INDEX(Load_Booking_Report!AC:AC, MATCH(TRUE, ISNUMBER(FIND(SUBSTITUTE(C338," ",""), Load_Booking_Report!AL:AL)), 0)), "Not Found")</f>
        <v/>
      </c>
      <c r="R338" s="21">
        <f t="array" ref="R338">IFERROR(INDEX(Load_Booking_Report!C:C, MATCH(TRUE, ISNUMBER(FIND(SUBSTITUTE(C338," ",""), Load_Booking_Report!AL:AL)), 0)), "Not Found")</f>
        <v/>
      </c>
      <c r="S338" s="21">
        <f t="array" ref="S338">IFERROR(INDEX(Load_Booking_Report!AG:AG, MATCH(TRUE, ISNUMBER(FIND(SUBSTITUTE(C338," ",""), Load_Booking_Report!AL:AL)), 0)), "Not Found")</f>
        <v/>
      </c>
      <c r="T338" s="21">
        <f>G338</f>
        <v/>
      </c>
      <c r="U338" s="33">
        <f t="array" ref="U338">IFERROR(
   IF(
      INDEX(Load_Booking_Report!AM:AM,
             MATCH(TRUE,
                     ISNUMBER(FIND(SUBSTITUTE(C338," ",""),
                                    Load_Booking_Report!AL:AL)),
                     0)
      )=0,
      "",
      INDEX(Load_Booking_Report!AM:AM,
             MATCH(TRUE,
                     ISNUMBER(FIND(SUBSTITUTE(C338," ",""),
                                    Load_Booking_Report!AL:AL)),
                     0)
      )
   ),
   ""
)</f>
        <v/>
      </c>
      <c r="V338" s="21">
        <f t="array" ref="V338">IFERROR(
   IF(
      INDEX(Load_Booking_Report!AR:AR,
             MATCH(TRUE,
                     ISNUMBER(FIND(SUBSTITUTE(C338," ",""),
                                    Load_Booking_Report!AL:AL)),
                     0)
      )=0,
      "",
      INDEX(Load_Booking_Report!AR:AR,
             MATCH(TRUE,
                     ISNUMBER(FIND(SUBSTITUTE(C338," ",""),
                                    Load_Booking_Report!AL:AL)),
                     0)
      )
   ),
   ""
)</f>
        <v/>
      </c>
      <c r="W338" s="21">
        <f t="array" ref="W338">IFERROR(INDEX(Load_Booking_Report!F:F, MATCH(TRUE, ISNUMBER(FIND(SUBSTITUTE(C338," ",""), Load_Booking_Report!AL:AL)), 0)), "Not Found")</f>
        <v/>
      </c>
      <c r="X338" s="21">
        <f t="array" ref="X338">IFERROR(INDEX(Load_Booking_Report!N:N, MATCH(TRUE, ISNUMBER(FIND(SUBSTITUTE(C338," ",""), Load_Booking_Report!AL:AL)), 0)), "Not Found")</f>
        <v/>
      </c>
      <c r="Y338" s="21">
        <f t="array" ref="Y338">IFERROR(INDEX(Load_Booking_Report!V:V, MATCH(TRUE, ISNUMBER(FIND(SUBSTITUTE(C338," ",""), Load_Booking_Report!AL:AL)), 0)), "Not Found")</f>
        <v/>
      </c>
      <c r="Z338" s="41">
        <f t="array" ref="Z338">IFERROR(INDEX(Load_Booking_Report!BC:BC, MATCH(TRUE, ISNUMBER(FIND(SUBSTITUTE(C338," ",""), Load_Booking_Report!AL:AL)), 0)), "Not Found")</f>
        <v/>
      </c>
    </row>
    <row r="339">
      <c r="A339" t="n">
        <v>6</v>
      </c>
      <c r="B339" t="n">
        <v>60286</v>
      </c>
      <c r="C339" t="inlineStr">
        <is>
          <t>ANON0000000</t>
        </is>
      </c>
      <c r="D339" t="n">
        <v>40</v>
      </c>
      <c r="E339" t="inlineStr">
        <is>
          <t>USNFK</t>
        </is>
      </c>
      <c r="F339" t="inlineStr">
        <is>
          <t>RULED</t>
        </is>
      </c>
      <c r="G339" t="n">
        <v>28802</v>
      </c>
      <c r="H339" t="inlineStr">
        <is>
          <t>ART</t>
        </is>
      </c>
      <c r="I339" t="inlineStr">
        <is>
          <t>45G1</t>
        </is>
      </c>
      <c r="J339" t="n">
        <v>8</v>
      </c>
      <c r="L339" t="inlineStr">
        <is>
          <t>9'6</t>
        </is>
      </c>
      <c r="M339" t="inlineStr">
        <is>
          <t>Full</t>
        </is>
      </c>
      <c r="N339" t="inlineStr">
        <is>
          <t>RULED</t>
        </is>
      </c>
      <c r="P339" s="21">
        <f>C339</f>
        <v/>
      </c>
      <c r="Q339" s="21">
        <f t="array" ref="Q339">IFERROR(INDEX(Load_Booking_Report!AC:AC, MATCH(TRUE, ISNUMBER(FIND(SUBSTITUTE(C339," ",""), Load_Booking_Report!AL:AL)), 0)), "Not Found")</f>
        <v/>
      </c>
      <c r="R339" s="21">
        <f t="array" ref="R339">IFERROR(INDEX(Load_Booking_Report!C:C, MATCH(TRUE, ISNUMBER(FIND(SUBSTITUTE(C339," ",""), Load_Booking_Report!AL:AL)), 0)), "Not Found")</f>
        <v/>
      </c>
      <c r="S339" s="21">
        <f t="array" ref="S339">IFERROR(INDEX(Load_Booking_Report!AG:AG, MATCH(TRUE, ISNUMBER(FIND(SUBSTITUTE(C339," ",""), Load_Booking_Report!AL:AL)), 0)), "Not Found")</f>
        <v/>
      </c>
      <c r="T339" s="21">
        <f>G339</f>
        <v/>
      </c>
      <c r="U339" s="33">
        <f t="array" ref="U339">IFERROR(
   IF(
      INDEX(Load_Booking_Report!AM:AM,
             MATCH(TRUE,
                     ISNUMBER(FIND(SUBSTITUTE(C339," ",""),
                                    Load_Booking_Report!AL:AL)),
                     0)
      )=0,
      "",
      INDEX(Load_Booking_Report!AM:AM,
             MATCH(TRUE,
                     ISNUMBER(FIND(SUBSTITUTE(C339," ",""),
                                    Load_Booking_Report!AL:AL)),
                     0)
      )
   ),
   ""
)</f>
        <v/>
      </c>
      <c r="V339" s="21">
        <f t="array" ref="V339">IFERROR(
   IF(
      INDEX(Load_Booking_Report!AR:AR,
             MATCH(TRUE,
                     ISNUMBER(FIND(SUBSTITUTE(C339," ",""),
                                    Load_Booking_Report!AL:AL)),
                     0)
      )=0,
      "",
      INDEX(Load_Booking_Report!AR:AR,
             MATCH(TRUE,
                     ISNUMBER(FIND(SUBSTITUTE(C339," ",""),
                                    Load_Booking_Report!AL:AL)),
                     0)
      )
   ),
   ""
)</f>
        <v/>
      </c>
      <c r="W339" s="21">
        <f t="array" ref="W339">IFERROR(INDEX(Load_Booking_Report!F:F, MATCH(TRUE, ISNUMBER(FIND(SUBSTITUTE(C339," ",""), Load_Booking_Report!AL:AL)), 0)), "Not Found")</f>
        <v/>
      </c>
      <c r="X339" s="21">
        <f t="array" ref="X339">IFERROR(INDEX(Load_Booking_Report!N:N, MATCH(TRUE, ISNUMBER(FIND(SUBSTITUTE(C339," ",""), Load_Booking_Report!AL:AL)), 0)), "Not Found")</f>
        <v/>
      </c>
      <c r="Y339" s="21">
        <f t="array" ref="Y339">IFERROR(INDEX(Load_Booking_Report!V:V, MATCH(TRUE, ISNUMBER(FIND(SUBSTITUTE(C339," ",""), Load_Booking_Report!AL:AL)), 0)), "Not Found")</f>
        <v/>
      </c>
      <c r="Z339" s="41">
        <f t="array" ref="Z339">IFERROR(INDEX(Load_Booking_Report!BC:BC, MATCH(TRUE, ISNUMBER(FIND(SUBSTITUTE(C339," ",""), Load_Booking_Report!AL:AL)), 0)), "Not Found")</f>
        <v/>
      </c>
    </row>
    <row r="340">
      <c r="A340" t="n">
        <v>40</v>
      </c>
      <c r="B340" t="n">
        <v>400284</v>
      </c>
      <c r="C340" t="inlineStr">
        <is>
          <t>ANON0000000</t>
        </is>
      </c>
      <c r="D340" t="n">
        <v>40</v>
      </c>
      <c r="E340" t="inlineStr">
        <is>
          <t>USNFK</t>
        </is>
      </c>
      <c r="F340" t="inlineStr">
        <is>
          <t>RULED</t>
        </is>
      </c>
      <c r="G340" t="n">
        <v>33388</v>
      </c>
      <c r="H340" t="inlineStr">
        <is>
          <t>ART</t>
        </is>
      </c>
      <c r="I340" t="inlineStr">
        <is>
          <t>45R1</t>
        </is>
      </c>
      <c r="K340" t="inlineStr">
        <is>
          <t>-18.0:CEL</t>
        </is>
      </c>
      <c r="L340" t="inlineStr">
        <is>
          <t>9'6</t>
        </is>
      </c>
      <c r="M340" t="inlineStr">
        <is>
          <t>Full</t>
        </is>
      </c>
      <c r="N340" t="inlineStr">
        <is>
          <t>RULED</t>
        </is>
      </c>
      <c r="P340" s="21">
        <f>C340</f>
        <v/>
      </c>
      <c r="Q340" s="21">
        <f t="array" ref="Q340">IFERROR(INDEX(Load_Booking_Report!AC:AC, MATCH(TRUE, ISNUMBER(FIND(SUBSTITUTE(C340," ",""), Load_Booking_Report!AL:AL)), 0)), "Not Found")</f>
        <v/>
      </c>
      <c r="R340" s="21">
        <f t="array" ref="R340">IFERROR(INDEX(Load_Booking_Report!C:C, MATCH(TRUE, ISNUMBER(FIND(SUBSTITUTE(C340," ",""), Load_Booking_Report!AL:AL)), 0)), "Not Found")</f>
        <v/>
      </c>
      <c r="S340" s="21">
        <f t="array" ref="S340">IFERROR(INDEX(Load_Booking_Report!AG:AG, MATCH(TRUE, ISNUMBER(FIND(SUBSTITUTE(C340," ",""), Load_Booking_Report!AL:AL)), 0)), "Not Found")</f>
        <v/>
      </c>
      <c r="T340" s="21">
        <f>G340</f>
        <v/>
      </c>
      <c r="U340" s="33">
        <f t="array" ref="U340">IFERROR(
   IF(
      INDEX(Load_Booking_Report!AM:AM,
             MATCH(TRUE,
                     ISNUMBER(FIND(SUBSTITUTE(C340," ",""),
                                    Load_Booking_Report!AL:AL)),
                     0)
      )=0,
      "",
      INDEX(Load_Booking_Report!AM:AM,
             MATCH(TRUE,
                     ISNUMBER(FIND(SUBSTITUTE(C340," ",""),
                                    Load_Booking_Report!AL:AL)),
                     0)
      )
   ),
   ""
)</f>
        <v/>
      </c>
      <c r="V340" s="21">
        <f t="array" ref="V340">IFERROR(
   IF(
      INDEX(Load_Booking_Report!AR:AR,
             MATCH(TRUE,
                     ISNUMBER(FIND(SUBSTITUTE(C340," ",""),
                                    Load_Booking_Report!AL:AL)),
                     0)
      )=0,
      "",
      INDEX(Load_Booking_Report!AR:AR,
             MATCH(TRUE,
                     ISNUMBER(FIND(SUBSTITUTE(C340," ",""),
                                    Load_Booking_Report!AL:AL)),
                     0)
      )
   ),
   ""
)</f>
        <v/>
      </c>
      <c r="W340" s="21">
        <f t="array" ref="W340">IFERROR(INDEX(Load_Booking_Report!F:F, MATCH(TRUE, ISNUMBER(FIND(SUBSTITUTE(C340," ",""), Load_Booking_Report!AL:AL)), 0)), "Not Found")</f>
        <v/>
      </c>
      <c r="X340" s="21">
        <f t="array" ref="X340">IFERROR(INDEX(Load_Booking_Report!N:N, MATCH(TRUE, ISNUMBER(FIND(SUBSTITUTE(C340," ",""), Load_Booking_Report!AL:AL)), 0)), "Not Found")</f>
        <v/>
      </c>
      <c r="Y340" s="21">
        <f t="array" ref="Y340">IFERROR(INDEX(Load_Booking_Report!V:V, MATCH(TRUE, ISNUMBER(FIND(SUBSTITUTE(C340," ",""), Load_Booking_Report!AL:AL)), 0)), "Not Found")</f>
        <v/>
      </c>
      <c r="Z340" s="41">
        <f t="array" ref="Z340">IFERROR(INDEX(Load_Booking_Report!BC:BC, MATCH(TRUE, ISNUMBER(FIND(SUBSTITUTE(C340," ",""), Load_Booking_Report!AL:AL)), 0)), "Not Found")</f>
        <v/>
      </c>
    </row>
    <row r="341">
      <c r="A341" t="n">
        <v>40</v>
      </c>
      <c r="B341" t="n">
        <v>400484</v>
      </c>
      <c r="C341" t="inlineStr">
        <is>
          <t>ANON0000000</t>
        </is>
      </c>
      <c r="D341" t="n">
        <v>40</v>
      </c>
      <c r="E341" t="inlineStr">
        <is>
          <t>USNFK</t>
        </is>
      </c>
      <c r="F341" t="inlineStr">
        <is>
          <t>RULED</t>
        </is>
      </c>
      <c r="G341" t="n">
        <v>32951</v>
      </c>
      <c r="H341" t="inlineStr">
        <is>
          <t>ART</t>
        </is>
      </c>
      <c r="I341" t="inlineStr">
        <is>
          <t>45R1</t>
        </is>
      </c>
      <c r="K341" t="inlineStr">
        <is>
          <t>-18.0:CEL</t>
        </is>
      </c>
      <c r="L341" t="inlineStr">
        <is>
          <t>9'6</t>
        </is>
      </c>
      <c r="M341" t="inlineStr">
        <is>
          <t>Full</t>
        </is>
      </c>
      <c r="N341" t="inlineStr">
        <is>
          <t>RULED</t>
        </is>
      </c>
      <c r="P341" s="21">
        <f>C341</f>
        <v/>
      </c>
      <c r="Q341" s="21">
        <f t="array" ref="Q341">IFERROR(INDEX(Load_Booking_Report!AC:AC, MATCH(TRUE, ISNUMBER(FIND(SUBSTITUTE(C341," ",""), Load_Booking_Report!AL:AL)), 0)), "Not Found")</f>
        <v/>
      </c>
      <c r="R341" s="21">
        <f t="array" ref="R341">IFERROR(INDEX(Load_Booking_Report!C:C, MATCH(TRUE, ISNUMBER(FIND(SUBSTITUTE(C341," ",""), Load_Booking_Report!AL:AL)), 0)), "Not Found")</f>
        <v/>
      </c>
      <c r="S341" s="21">
        <f t="array" ref="S341">IFERROR(INDEX(Load_Booking_Report!AG:AG, MATCH(TRUE, ISNUMBER(FIND(SUBSTITUTE(C341," ",""), Load_Booking_Report!AL:AL)), 0)), "Not Found")</f>
        <v/>
      </c>
      <c r="T341" s="21">
        <f>G341</f>
        <v/>
      </c>
      <c r="U341" s="33">
        <f t="array" ref="U341">IFERROR(
   IF(
      INDEX(Load_Booking_Report!AM:AM,
             MATCH(TRUE,
                     ISNUMBER(FIND(SUBSTITUTE(C341," ",""),
                                    Load_Booking_Report!AL:AL)),
                     0)
      )=0,
      "",
      INDEX(Load_Booking_Report!AM:AM,
             MATCH(TRUE,
                     ISNUMBER(FIND(SUBSTITUTE(C341," ",""),
                                    Load_Booking_Report!AL:AL)),
                     0)
      )
   ),
   ""
)</f>
        <v/>
      </c>
      <c r="V341" s="21">
        <f t="array" ref="V341">IFERROR(
   IF(
      INDEX(Load_Booking_Report!AR:AR,
             MATCH(TRUE,
                     ISNUMBER(FIND(SUBSTITUTE(C341," ",""),
                                    Load_Booking_Report!AL:AL)),
                     0)
      )=0,
      "",
      INDEX(Load_Booking_Report!AR:AR,
             MATCH(TRUE,
                     ISNUMBER(FIND(SUBSTITUTE(C341," ",""),
                                    Load_Booking_Report!AL:AL)),
                     0)
      )
   ),
   ""
)</f>
        <v/>
      </c>
      <c r="W341" s="21">
        <f t="array" ref="W341">IFERROR(INDEX(Load_Booking_Report!F:F, MATCH(TRUE, ISNUMBER(FIND(SUBSTITUTE(C341," ",""), Load_Booking_Report!AL:AL)), 0)), "Not Found")</f>
        <v/>
      </c>
      <c r="X341" s="21">
        <f t="array" ref="X341">IFERROR(INDEX(Load_Booking_Report!N:N, MATCH(TRUE, ISNUMBER(FIND(SUBSTITUTE(C341," ",""), Load_Booking_Report!AL:AL)), 0)), "Not Found")</f>
        <v/>
      </c>
      <c r="Y341" s="21">
        <f t="array" ref="Y341">IFERROR(INDEX(Load_Booking_Report!V:V, MATCH(TRUE, ISNUMBER(FIND(SUBSTITUTE(C341," ",""), Load_Booking_Report!AL:AL)), 0)), "Not Found")</f>
        <v/>
      </c>
      <c r="Z341" s="41">
        <f t="array" ref="Z341">IFERROR(INDEX(Load_Booking_Report!BC:BC, MATCH(TRUE, ISNUMBER(FIND(SUBSTITUTE(C341," ",""), Load_Booking_Report!AL:AL)), 0)), "Not Found")</f>
        <v/>
      </c>
    </row>
    <row r="342">
      <c r="A342" t="n">
        <v>18</v>
      </c>
      <c r="B342" t="n">
        <v>180182</v>
      </c>
      <c r="C342" t="inlineStr">
        <is>
          <t>ANON0000000</t>
        </is>
      </c>
      <c r="D342" t="n">
        <v>40</v>
      </c>
      <c r="E342" t="inlineStr">
        <is>
          <t>USNFK</t>
        </is>
      </c>
      <c r="F342" t="inlineStr">
        <is>
          <t>RULED</t>
        </is>
      </c>
      <c r="G342" t="n">
        <v>32668</v>
      </c>
      <c r="H342" t="inlineStr">
        <is>
          <t>ART</t>
        </is>
      </c>
      <c r="I342" t="inlineStr">
        <is>
          <t>45R1</t>
        </is>
      </c>
      <c r="K342" t="inlineStr">
        <is>
          <t>-18.0:CEL</t>
        </is>
      </c>
      <c r="L342" t="inlineStr">
        <is>
          <t>9'6</t>
        </is>
      </c>
      <c r="M342" t="inlineStr">
        <is>
          <t>Full</t>
        </is>
      </c>
      <c r="N342" t="inlineStr">
        <is>
          <t>RULED</t>
        </is>
      </c>
      <c r="P342" s="21">
        <f>C342</f>
        <v/>
      </c>
      <c r="Q342" s="21">
        <f t="array" ref="Q342">IFERROR(INDEX(Load_Booking_Report!AC:AC, MATCH(TRUE, ISNUMBER(FIND(SUBSTITUTE(C342," ",""), Load_Booking_Report!AL:AL)), 0)), "Not Found")</f>
        <v/>
      </c>
      <c r="R342" s="21">
        <f t="array" ref="R342">IFERROR(INDEX(Load_Booking_Report!C:C, MATCH(TRUE, ISNUMBER(FIND(SUBSTITUTE(C342," ",""), Load_Booking_Report!AL:AL)), 0)), "Not Found")</f>
        <v/>
      </c>
      <c r="S342" s="21">
        <f t="array" ref="S342">IFERROR(INDEX(Load_Booking_Report!AG:AG, MATCH(TRUE, ISNUMBER(FIND(SUBSTITUTE(C342," ",""), Load_Booking_Report!AL:AL)), 0)), "Not Found")</f>
        <v/>
      </c>
      <c r="T342" s="21">
        <f>G342</f>
        <v/>
      </c>
      <c r="U342" s="33">
        <f t="array" ref="U342">IFERROR(
   IF(
      INDEX(Load_Booking_Report!AM:AM,
             MATCH(TRUE,
                     ISNUMBER(FIND(SUBSTITUTE(C342," ",""),
                                    Load_Booking_Report!AL:AL)),
                     0)
      )=0,
      "",
      INDEX(Load_Booking_Report!AM:AM,
             MATCH(TRUE,
                     ISNUMBER(FIND(SUBSTITUTE(C342," ",""),
                                    Load_Booking_Report!AL:AL)),
                     0)
      )
   ),
   ""
)</f>
        <v/>
      </c>
      <c r="V342" s="21">
        <f t="array" ref="V342">IFERROR(
   IF(
      INDEX(Load_Booking_Report!AR:AR,
             MATCH(TRUE,
                     ISNUMBER(FIND(SUBSTITUTE(C342," ",""),
                                    Load_Booking_Report!AL:AL)),
                     0)
      )=0,
      "",
      INDEX(Load_Booking_Report!AR:AR,
             MATCH(TRUE,
                     ISNUMBER(FIND(SUBSTITUTE(C342," ",""),
                                    Load_Booking_Report!AL:AL)),
                     0)
      )
   ),
   ""
)</f>
        <v/>
      </c>
      <c r="W342" s="21">
        <f t="array" ref="W342">IFERROR(INDEX(Load_Booking_Report!F:F, MATCH(TRUE, ISNUMBER(FIND(SUBSTITUTE(C342," ",""), Load_Booking_Report!AL:AL)), 0)), "Not Found")</f>
        <v/>
      </c>
      <c r="X342" s="21">
        <f t="array" ref="X342">IFERROR(INDEX(Load_Booking_Report!N:N, MATCH(TRUE, ISNUMBER(FIND(SUBSTITUTE(C342," ",""), Load_Booking_Report!AL:AL)), 0)), "Not Found")</f>
        <v/>
      </c>
      <c r="Y342" s="21">
        <f t="array" ref="Y342">IFERROR(INDEX(Load_Booking_Report!V:V, MATCH(TRUE, ISNUMBER(FIND(SUBSTITUTE(C342," ",""), Load_Booking_Report!AL:AL)), 0)), "Not Found")</f>
        <v/>
      </c>
      <c r="Z342" s="41">
        <f t="array" ref="Z342">IFERROR(INDEX(Load_Booking_Report!BC:BC, MATCH(TRUE, ISNUMBER(FIND(SUBSTITUTE(C342," ",""), Load_Booking_Report!AL:AL)), 0)), "Not Found")</f>
        <v/>
      </c>
    </row>
    <row r="343">
      <c r="A343" t="n">
        <v>18</v>
      </c>
      <c r="B343" t="n">
        <v>181086</v>
      </c>
      <c r="C343" t="inlineStr">
        <is>
          <t>ANON0000000</t>
        </is>
      </c>
      <c r="D343" t="n">
        <v>40</v>
      </c>
      <c r="E343" t="inlineStr">
        <is>
          <t>USNFK</t>
        </is>
      </c>
      <c r="F343" t="inlineStr">
        <is>
          <t>RULED</t>
        </is>
      </c>
      <c r="G343" t="n">
        <v>27889</v>
      </c>
      <c r="H343" t="inlineStr">
        <is>
          <t>ART</t>
        </is>
      </c>
      <c r="I343" t="inlineStr">
        <is>
          <t>45R1</t>
        </is>
      </c>
      <c r="K343" t="inlineStr">
        <is>
          <t>-18.0:CEL</t>
        </is>
      </c>
      <c r="L343" t="inlineStr">
        <is>
          <t>9'6</t>
        </is>
      </c>
      <c r="M343" t="inlineStr">
        <is>
          <t>Full</t>
        </is>
      </c>
      <c r="N343" t="inlineStr">
        <is>
          <t>RULED</t>
        </is>
      </c>
      <c r="P343" s="21">
        <f>C343</f>
        <v/>
      </c>
      <c r="Q343" s="21">
        <f t="array" ref="Q343">IFERROR(INDEX(Load_Booking_Report!AC:AC, MATCH(TRUE, ISNUMBER(FIND(SUBSTITUTE(C343," ",""), Load_Booking_Report!AL:AL)), 0)), "Not Found")</f>
        <v/>
      </c>
      <c r="R343" s="21">
        <f t="array" ref="R343">IFERROR(INDEX(Load_Booking_Report!C:C, MATCH(TRUE, ISNUMBER(FIND(SUBSTITUTE(C343," ",""), Load_Booking_Report!AL:AL)), 0)), "Not Found")</f>
        <v/>
      </c>
      <c r="S343" s="21">
        <f t="array" ref="S343">IFERROR(INDEX(Load_Booking_Report!AG:AG, MATCH(TRUE, ISNUMBER(FIND(SUBSTITUTE(C343," ",""), Load_Booking_Report!AL:AL)), 0)), "Not Found")</f>
        <v/>
      </c>
      <c r="T343" s="21">
        <f>G343</f>
        <v/>
      </c>
      <c r="U343" s="33">
        <f t="array" ref="U343">IFERROR(
   IF(
      INDEX(Load_Booking_Report!AM:AM,
             MATCH(TRUE,
                     ISNUMBER(FIND(SUBSTITUTE(C343," ",""),
                                    Load_Booking_Report!AL:AL)),
                     0)
      )=0,
      "",
      INDEX(Load_Booking_Report!AM:AM,
             MATCH(TRUE,
                     ISNUMBER(FIND(SUBSTITUTE(C343," ",""),
                                    Load_Booking_Report!AL:AL)),
                     0)
      )
   ),
   ""
)</f>
        <v/>
      </c>
      <c r="V343" s="21">
        <f t="array" ref="V343">IFERROR(
   IF(
      INDEX(Load_Booking_Report!AR:AR,
             MATCH(TRUE,
                     ISNUMBER(FIND(SUBSTITUTE(C343," ",""),
                                    Load_Booking_Report!AL:AL)),
                     0)
      )=0,
      "",
      INDEX(Load_Booking_Report!AR:AR,
             MATCH(TRUE,
                     ISNUMBER(FIND(SUBSTITUTE(C343," ",""),
                                    Load_Booking_Report!AL:AL)),
                     0)
      )
   ),
   ""
)</f>
        <v/>
      </c>
      <c r="W343" s="21">
        <f t="array" ref="W343">IFERROR(INDEX(Load_Booking_Report!F:F, MATCH(TRUE, ISNUMBER(FIND(SUBSTITUTE(C343," ",""), Load_Booking_Report!AL:AL)), 0)), "Not Found")</f>
        <v/>
      </c>
      <c r="X343" s="21">
        <f t="array" ref="X343">IFERROR(INDEX(Load_Booking_Report!N:N, MATCH(TRUE, ISNUMBER(FIND(SUBSTITUTE(C343," ",""), Load_Booking_Report!AL:AL)), 0)), "Not Found")</f>
        <v/>
      </c>
      <c r="Y343" s="21">
        <f t="array" ref="Y343">IFERROR(INDEX(Load_Booking_Report!V:V, MATCH(TRUE, ISNUMBER(FIND(SUBSTITUTE(C343," ",""), Load_Booking_Report!AL:AL)), 0)), "Not Found")</f>
        <v/>
      </c>
      <c r="Z343" s="41">
        <f t="array" ref="Z343">IFERROR(INDEX(Load_Booking_Report!BC:BC, MATCH(TRUE, ISNUMBER(FIND(SUBSTITUTE(C343," ",""), Load_Booking_Report!AL:AL)), 0)), "Not Found")</f>
        <v/>
      </c>
    </row>
    <row r="344">
      <c r="A344" t="n">
        <v>18</v>
      </c>
      <c r="B344" t="n">
        <v>180886</v>
      </c>
      <c r="C344" t="inlineStr">
        <is>
          <t>ANON0000000</t>
        </is>
      </c>
      <c r="D344" t="n">
        <v>40</v>
      </c>
      <c r="E344" t="inlineStr">
        <is>
          <t>USNFK</t>
        </is>
      </c>
      <c r="F344" t="inlineStr">
        <is>
          <t>RULED</t>
        </is>
      </c>
      <c r="G344" t="n">
        <v>33587</v>
      </c>
      <c r="H344" t="inlineStr">
        <is>
          <t>ART</t>
        </is>
      </c>
      <c r="I344" t="inlineStr">
        <is>
          <t>45R1</t>
        </is>
      </c>
      <c r="K344" t="inlineStr">
        <is>
          <t>-18.0:CEL</t>
        </is>
      </c>
      <c r="L344" t="inlineStr">
        <is>
          <t>9'6</t>
        </is>
      </c>
      <c r="M344" t="inlineStr">
        <is>
          <t>Full</t>
        </is>
      </c>
      <c r="N344" t="inlineStr">
        <is>
          <t>RULED</t>
        </is>
      </c>
      <c r="P344" s="21">
        <f>C344</f>
        <v/>
      </c>
      <c r="Q344" s="21">
        <f t="array" ref="Q344">IFERROR(INDEX(Load_Booking_Report!AC:AC, MATCH(TRUE, ISNUMBER(FIND(SUBSTITUTE(C344," ",""), Load_Booking_Report!AL:AL)), 0)), "Not Found")</f>
        <v/>
      </c>
      <c r="R344" s="21">
        <f t="array" ref="R344">IFERROR(INDEX(Load_Booking_Report!C:C, MATCH(TRUE, ISNUMBER(FIND(SUBSTITUTE(C344," ",""), Load_Booking_Report!AL:AL)), 0)), "Not Found")</f>
        <v/>
      </c>
      <c r="S344" s="21">
        <f t="array" ref="S344">IFERROR(INDEX(Load_Booking_Report!AG:AG, MATCH(TRUE, ISNUMBER(FIND(SUBSTITUTE(C344," ",""), Load_Booking_Report!AL:AL)), 0)), "Not Found")</f>
        <v/>
      </c>
      <c r="T344" s="21">
        <f>G344</f>
        <v/>
      </c>
      <c r="U344" s="33">
        <f t="array" ref="U344">IFERROR(
   IF(
      INDEX(Load_Booking_Report!AM:AM,
             MATCH(TRUE,
                     ISNUMBER(FIND(SUBSTITUTE(C344," ",""),
                                    Load_Booking_Report!AL:AL)),
                     0)
      )=0,
      "",
      INDEX(Load_Booking_Report!AM:AM,
             MATCH(TRUE,
                     ISNUMBER(FIND(SUBSTITUTE(C344," ",""),
                                    Load_Booking_Report!AL:AL)),
                     0)
      )
   ),
   ""
)</f>
        <v/>
      </c>
      <c r="V344" s="21">
        <f t="array" ref="V344">IFERROR(
   IF(
      INDEX(Load_Booking_Report!AR:AR,
             MATCH(TRUE,
                     ISNUMBER(FIND(SUBSTITUTE(C344," ",""),
                                    Load_Booking_Report!AL:AL)),
                     0)
      )=0,
      "",
      INDEX(Load_Booking_Report!AR:AR,
             MATCH(TRUE,
                     ISNUMBER(FIND(SUBSTITUTE(C344," ",""),
                                    Load_Booking_Report!AL:AL)),
                     0)
      )
   ),
   ""
)</f>
        <v/>
      </c>
      <c r="W344" s="21">
        <f t="array" ref="W344">IFERROR(INDEX(Load_Booking_Report!F:F, MATCH(TRUE, ISNUMBER(FIND(SUBSTITUTE(C344," ",""), Load_Booking_Report!AL:AL)), 0)), "Not Found")</f>
        <v/>
      </c>
      <c r="X344" s="21">
        <f t="array" ref="X344">IFERROR(INDEX(Load_Booking_Report!N:N, MATCH(TRUE, ISNUMBER(FIND(SUBSTITUTE(C344," ",""), Load_Booking_Report!AL:AL)), 0)), "Not Found")</f>
        <v/>
      </c>
      <c r="Y344" s="21">
        <f t="array" ref="Y344">IFERROR(INDEX(Load_Booking_Report!V:V, MATCH(TRUE, ISNUMBER(FIND(SUBSTITUTE(C344," ",""), Load_Booking_Report!AL:AL)), 0)), "Not Found")</f>
        <v/>
      </c>
      <c r="Z344" s="41">
        <f t="array" ref="Z344">IFERROR(INDEX(Load_Booking_Report!BC:BC, MATCH(TRUE, ISNUMBER(FIND(SUBSTITUTE(C344," ",""), Load_Booking_Report!AL:AL)), 0)), "Not Found")</f>
        <v/>
      </c>
    </row>
    <row r="345">
      <c r="A345" t="n">
        <v>21</v>
      </c>
      <c r="B345" t="n">
        <v>210306</v>
      </c>
      <c r="C345" t="inlineStr">
        <is>
          <t>ANON0000000</t>
        </is>
      </c>
      <c r="D345" t="n">
        <v>20</v>
      </c>
      <c r="E345" t="inlineStr">
        <is>
          <t>USNFK</t>
        </is>
      </c>
      <c r="F345" t="inlineStr">
        <is>
          <t>RULED</t>
        </is>
      </c>
      <c r="G345" t="n">
        <v>5340</v>
      </c>
      <c r="H345" t="inlineStr">
        <is>
          <t>ART</t>
        </is>
      </c>
      <c r="I345" t="inlineStr">
        <is>
          <t>22G1</t>
        </is>
      </c>
      <c r="L345" t="inlineStr">
        <is>
          <t>8'6</t>
        </is>
      </c>
      <c r="M345" t="inlineStr">
        <is>
          <t>Full</t>
        </is>
      </c>
      <c r="N345" t="inlineStr">
        <is>
          <t>RULED</t>
        </is>
      </c>
      <c r="P345" s="21">
        <f>C345</f>
        <v/>
      </c>
      <c r="Q345" s="21">
        <f t="array" ref="Q345">IFERROR(INDEX(Load_Booking_Report!AC:AC, MATCH(TRUE, ISNUMBER(FIND(SUBSTITUTE(C345," ",""), Load_Booking_Report!AL:AL)), 0)), "Not Found")</f>
        <v/>
      </c>
      <c r="R345" s="21">
        <f t="array" ref="R345">IFERROR(INDEX(Load_Booking_Report!C:C, MATCH(TRUE, ISNUMBER(FIND(SUBSTITUTE(C345," ",""), Load_Booking_Report!AL:AL)), 0)), "Not Found")</f>
        <v/>
      </c>
      <c r="S345" s="21">
        <f t="array" ref="S345">IFERROR(INDEX(Load_Booking_Report!AG:AG, MATCH(TRUE, ISNUMBER(FIND(SUBSTITUTE(C345," ",""), Load_Booking_Report!AL:AL)), 0)), "Not Found")</f>
        <v/>
      </c>
      <c r="T345" s="21">
        <f>G345</f>
        <v/>
      </c>
      <c r="U345" s="33">
        <f t="array" ref="U345">IFERROR(
   IF(
      INDEX(Load_Booking_Report!AM:AM,
             MATCH(TRUE,
                     ISNUMBER(FIND(SUBSTITUTE(C345," ",""),
                                    Load_Booking_Report!AL:AL)),
                     0)
      )=0,
      "",
      INDEX(Load_Booking_Report!AM:AM,
             MATCH(TRUE,
                     ISNUMBER(FIND(SUBSTITUTE(C345," ",""),
                                    Load_Booking_Report!AL:AL)),
                     0)
      )
   ),
   ""
)</f>
        <v/>
      </c>
      <c r="V345" s="21">
        <f t="array" ref="V345">IFERROR(
   IF(
      INDEX(Load_Booking_Report!AR:AR,
             MATCH(TRUE,
                     ISNUMBER(FIND(SUBSTITUTE(C345," ",""),
                                    Load_Booking_Report!AL:AL)),
                     0)
      )=0,
      "",
      INDEX(Load_Booking_Report!AR:AR,
             MATCH(TRUE,
                     ISNUMBER(FIND(SUBSTITUTE(C345," ",""),
                                    Load_Booking_Report!AL:AL)),
                     0)
      )
   ),
   ""
)</f>
        <v/>
      </c>
      <c r="W345" s="21">
        <f t="array" ref="W345">IFERROR(INDEX(Load_Booking_Report!F:F, MATCH(TRUE, ISNUMBER(FIND(SUBSTITUTE(C345," ",""), Load_Booking_Report!AL:AL)), 0)), "Not Found")</f>
        <v/>
      </c>
      <c r="X345" s="21">
        <f t="array" ref="X345">IFERROR(INDEX(Load_Booking_Report!N:N, MATCH(TRUE, ISNUMBER(FIND(SUBSTITUTE(C345," ",""), Load_Booking_Report!AL:AL)), 0)), "Not Found")</f>
        <v/>
      </c>
      <c r="Y345" s="21">
        <f t="array" ref="Y345">IFERROR(INDEX(Load_Booking_Report!V:V, MATCH(TRUE, ISNUMBER(FIND(SUBSTITUTE(C345," ",""), Load_Booking_Report!AL:AL)), 0)), "Not Found")</f>
        <v/>
      </c>
      <c r="Z345" s="41">
        <f t="array" ref="Z345">IFERROR(INDEX(Load_Booking_Report!BC:BC, MATCH(TRUE, ISNUMBER(FIND(SUBSTITUTE(C345," ",""), Load_Booking_Report!AL:AL)), 0)), "Not Found")</f>
        <v/>
      </c>
    </row>
    <row r="346">
      <c r="A346" t="n">
        <v>21</v>
      </c>
      <c r="B346" t="n">
        <v>210302</v>
      </c>
      <c r="C346" t="inlineStr">
        <is>
          <t>ANON0000000</t>
        </is>
      </c>
      <c r="D346" t="n">
        <v>20</v>
      </c>
      <c r="E346" t="inlineStr">
        <is>
          <t>USNFK</t>
        </is>
      </c>
      <c r="F346" t="inlineStr">
        <is>
          <t>RULED</t>
        </is>
      </c>
      <c r="G346" t="n">
        <v>23440</v>
      </c>
      <c r="H346" t="inlineStr">
        <is>
          <t>ART</t>
        </is>
      </c>
      <c r="I346" t="inlineStr">
        <is>
          <t>22G1</t>
        </is>
      </c>
      <c r="L346" t="inlineStr">
        <is>
          <t>8'6</t>
        </is>
      </c>
      <c r="M346" t="inlineStr">
        <is>
          <t>Full</t>
        </is>
      </c>
      <c r="N346" t="inlineStr">
        <is>
          <t>RULED</t>
        </is>
      </c>
      <c r="P346" s="21">
        <f>C346</f>
        <v/>
      </c>
      <c r="Q346" s="21">
        <f t="array" ref="Q346">IFERROR(INDEX(Load_Booking_Report!AC:AC, MATCH(TRUE, ISNUMBER(FIND(SUBSTITUTE(C346," ",""), Load_Booking_Report!AL:AL)), 0)), "Not Found")</f>
        <v/>
      </c>
      <c r="R346" s="21">
        <f t="array" ref="R346">IFERROR(INDEX(Load_Booking_Report!C:C, MATCH(TRUE, ISNUMBER(FIND(SUBSTITUTE(C346," ",""), Load_Booking_Report!AL:AL)), 0)), "Not Found")</f>
        <v/>
      </c>
      <c r="S346" s="21">
        <f t="array" ref="S346">IFERROR(INDEX(Load_Booking_Report!AG:AG, MATCH(TRUE, ISNUMBER(FIND(SUBSTITUTE(C346," ",""), Load_Booking_Report!AL:AL)), 0)), "Not Found")</f>
        <v/>
      </c>
      <c r="T346" s="21">
        <f>G346</f>
        <v/>
      </c>
      <c r="U346" s="33">
        <f t="array" ref="U346">IFERROR(
   IF(
      INDEX(Load_Booking_Report!AM:AM,
             MATCH(TRUE,
                     ISNUMBER(FIND(SUBSTITUTE(C346," ",""),
                                    Load_Booking_Report!AL:AL)),
                     0)
      )=0,
      "",
      INDEX(Load_Booking_Report!AM:AM,
             MATCH(TRUE,
                     ISNUMBER(FIND(SUBSTITUTE(C346," ",""),
                                    Load_Booking_Report!AL:AL)),
                     0)
      )
   ),
   ""
)</f>
        <v/>
      </c>
      <c r="V346" s="21">
        <f t="array" ref="V346">IFERROR(
   IF(
      INDEX(Load_Booking_Report!AR:AR,
             MATCH(TRUE,
                     ISNUMBER(FIND(SUBSTITUTE(C346," ",""),
                                    Load_Booking_Report!AL:AL)),
                     0)
      )=0,
      "",
      INDEX(Load_Booking_Report!AR:AR,
             MATCH(TRUE,
                     ISNUMBER(FIND(SUBSTITUTE(C346," ",""),
                                    Load_Booking_Report!AL:AL)),
                     0)
      )
   ),
   ""
)</f>
        <v/>
      </c>
      <c r="W346" s="21">
        <f t="array" ref="W346">IFERROR(INDEX(Load_Booking_Report!F:F, MATCH(TRUE, ISNUMBER(FIND(SUBSTITUTE(C346," ",""), Load_Booking_Report!AL:AL)), 0)), "Not Found")</f>
        <v/>
      </c>
      <c r="X346" s="21">
        <f t="array" ref="X346">IFERROR(INDEX(Load_Booking_Report!N:N, MATCH(TRUE, ISNUMBER(FIND(SUBSTITUTE(C346," ",""), Load_Booking_Report!AL:AL)), 0)), "Not Found")</f>
        <v/>
      </c>
      <c r="Y346" s="21">
        <f t="array" ref="Y346">IFERROR(INDEX(Load_Booking_Report!V:V, MATCH(TRUE, ISNUMBER(FIND(SUBSTITUTE(C346," ",""), Load_Booking_Report!AL:AL)), 0)), "Not Found")</f>
        <v/>
      </c>
      <c r="Z346" s="41">
        <f t="array" ref="Z346">IFERROR(INDEX(Load_Booking_Report!BC:BC, MATCH(TRUE, ISNUMBER(FIND(SUBSTITUTE(C346," ",""), Load_Booking_Report!AL:AL)), 0)), "Not Found")</f>
        <v/>
      </c>
    </row>
    <row r="347">
      <c r="A347" t="n">
        <v>21</v>
      </c>
      <c r="B347" t="n">
        <v>210102</v>
      </c>
      <c r="C347" t="inlineStr">
        <is>
          <t>ANON0000000</t>
        </is>
      </c>
      <c r="D347" t="n">
        <v>20</v>
      </c>
      <c r="E347" t="inlineStr">
        <is>
          <t>USNFK</t>
        </is>
      </c>
      <c r="F347" t="inlineStr">
        <is>
          <t>RULED</t>
        </is>
      </c>
      <c r="G347" t="n">
        <v>23560</v>
      </c>
      <c r="H347" t="inlineStr">
        <is>
          <t>ART</t>
        </is>
      </c>
      <c r="I347" t="inlineStr">
        <is>
          <t>22G1</t>
        </is>
      </c>
      <c r="L347" t="inlineStr">
        <is>
          <t>8'6</t>
        </is>
      </c>
      <c r="M347" t="inlineStr">
        <is>
          <t>Full</t>
        </is>
      </c>
      <c r="N347" t="inlineStr">
        <is>
          <t>RULED</t>
        </is>
      </c>
      <c r="P347" s="21">
        <f>C347</f>
        <v/>
      </c>
      <c r="Q347" s="21">
        <f t="array" ref="Q347">IFERROR(INDEX(Load_Booking_Report!AC:AC, MATCH(TRUE, ISNUMBER(FIND(SUBSTITUTE(C347," ",""), Load_Booking_Report!AL:AL)), 0)), "Not Found")</f>
        <v/>
      </c>
      <c r="R347" s="21">
        <f t="array" ref="R347">IFERROR(INDEX(Load_Booking_Report!C:C, MATCH(TRUE, ISNUMBER(FIND(SUBSTITUTE(C347," ",""), Load_Booking_Report!AL:AL)), 0)), "Not Found")</f>
        <v/>
      </c>
      <c r="S347" s="21">
        <f t="array" ref="S347">IFERROR(INDEX(Load_Booking_Report!AG:AG, MATCH(TRUE, ISNUMBER(FIND(SUBSTITUTE(C347," ",""), Load_Booking_Report!AL:AL)), 0)), "Not Found")</f>
        <v/>
      </c>
      <c r="T347" s="21">
        <f>G347</f>
        <v/>
      </c>
      <c r="U347" s="33">
        <f t="array" ref="U347">IFERROR(
   IF(
      INDEX(Load_Booking_Report!AM:AM,
             MATCH(TRUE,
                     ISNUMBER(FIND(SUBSTITUTE(C347," ",""),
                                    Load_Booking_Report!AL:AL)),
                     0)
      )=0,
      "",
      INDEX(Load_Booking_Report!AM:AM,
             MATCH(TRUE,
                     ISNUMBER(FIND(SUBSTITUTE(C347," ",""),
                                    Load_Booking_Report!AL:AL)),
                     0)
      )
   ),
   ""
)</f>
        <v/>
      </c>
      <c r="V347" s="21">
        <f t="array" ref="V347">IFERROR(
   IF(
      INDEX(Load_Booking_Report!AR:AR,
             MATCH(TRUE,
                     ISNUMBER(FIND(SUBSTITUTE(C347," ",""),
                                    Load_Booking_Report!AL:AL)),
                     0)
      )=0,
      "",
      INDEX(Load_Booking_Report!AR:AR,
             MATCH(TRUE,
                     ISNUMBER(FIND(SUBSTITUTE(C347," ",""),
                                    Load_Booking_Report!AL:AL)),
                     0)
      )
   ),
   ""
)</f>
        <v/>
      </c>
      <c r="W347" s="21">
        <f t="array" ref="W347">IFERROR(INDEX(Load_Booking_Report!F:F, MATCH(TRUE, ISNUMBER(FIND(SUBSTITUTE(C347," ",""), Load_Booking_Report!AL:AL)), 0)), "Not Found")</f>
        <v/>
      </c>
      <c r="X347" s="21">
        <f t="array" ref="X347">IFERROR(INDEX(Load_Booking_Report!N:N, MATCH(TRUE, ISNUMBER(FIND(SUBSTITUTE(C347," ",""), Load_Booking_Report!AL:AL)), 0)), "Not Found")</f>
        <v/>
      </c>
      <c r="Y347" s="21">
        <f t="array" ref="Y347">IFERROR(INDEX(Load_Booking_Report!V:V, MATCH(TRUE, ISNUMBER(FIND(SUBSTITUTE(C347," ",""), Load_Booking_Report!AL:AL)), 0)), "Not Found")</f>
        <v/>
      </c>
      <c r="Z347" s="41">
        <f t="array" ref="Z347">IFERROR(INDEX(Load_Booking_Report!BC:BC, MATCH(TRUE, ISNUMBER(FIND(SUBSTITUTE(C347," ",""), Load_Booking_Report!AL:AL)), 0)), "Not Found")</f>
        <v/>
      </c>
    </row>
    <row r="348">
      <c r="A348" t="n">
        <v>23</v>
      </c>
      <c r="B348" t="n">
        <v>230102</v>
      </c>
      <c r="C348" t="inlineStr">
        <is>
          <t>ANON0000000</t>
        </is>
      </c>
      <c r="D348" t="n">
        <v>20</v>
      </c>
      <c r="E348" t="inlineStr">
        <is>
          <t>USNFK</t>
        </is>
      </c>
      <c r="F348" t="inlineStr">
        <is>
          <t>RULED</t>
        </is>
      </c>
      <c r="G348" t="n">
        <v>18540</v>
      </c>
      <c r="H348" t="inlineStr">
        <is>
          <t>ART</t>
        </is>
      </c>
      <c r="I348" t="inlineStr">
        <is>
          <t>22G1</t>
        </is>
      </c>
      <c r="L348" t="inlineStr">
        <is>
          <t>8'6</t>
        </is>
      </c>
      <c r="M348" t="inlineStr">
        <is>
          <t>Full</t>
        </is>
      </c>
      <c r="N348" t="inlineStr">
        <is>
          <t>RULED</t>
        </is>
      </c>
      <c r="P348" s="21">
        <f>C348</f>
        <v/>
      </c>
      <c r="Q348" s="21">
        <f t="array" ref="Q348">IFERROR(INDEX(Load_Booking_Report!AC:AC, MATCH(TRUE, ISNUMBER(FIND(SUBSTITUTE(C348," ",""), Load_Booking_Report!AL:AL)), 0)), "Not Found")</f>
        <v/>
      </c>
      <c r="R348" s="21">
        <f t="array" ref="R348">IFERROR(INDEX(Load_Booking_Report!C:C, MATCH(TRUE, ISNUMBER(FIND(SUBSTITUTE(C348," ",""), Load_Booking_Report!AL:AL)), 0)), "Not Found")</f>
        <v/>
      </c>
      <c r="S348" s="21">
        <f t="array" ref="S348">IFERROR(INDEX(Load_Booking_Report!AG:AG, MATCH(TRUE, ISNUMBER(FIND(SUBSTITUTE(C348," ",""), Load_Booking_Report!AL:AL)), 0)), "Not Found")</f>
        <v/>
      </c>
      <c r="T348" s="21">
        <f>G348</f>
        <v/>
      </c>
      <c r="U348" s="33">
        <f t="array" ref="U348">IFERROR(
   IF(
      INDEX(Load_Booking_Report!AM:AM,
             MATCH(TRUE,
                     ISNUMBER(FIND(SUBSTITUTE(C348," ",""),
                                    Load_Booking_Report!AL:AL)),
                     0)
      )=0,
      "",
      INDEX(Load_Booking_Report!AM:AM,
             MATCH(TRUE,
                     ISNUMBER(FIND(SUBSTITUTE(C348," ",""),
                                    Load_Booking_Report!AL:AL)),
                     0)
      )
   ),
   ""
)</f>
        <v/>
      </c>
      <c r="V348" s="21">
        <f t="array" ref="V348">IFERROR(
   IF(
      INDEX(Load_Booking_Report!AR:AR,
             MATCH(TRUE,
                     ISNUMBER(FIND(SUBSTITUTE(C348," ",""),
                                    Load_Booking_Report!AL:AL)),
                     0)
      )=0,
      "",
      INDEX(Load_Booking_Report!AR:AR,
             MATCH(TRUE,
                     ISNUMBER(FIND(SUBSTITUTE(C348," ",""),
                                    Load_Booking_Report!AL:AL)),
                     0)
      )
   ),
   ""
)</f>
        <v/>
      </c>
      <c r="W348" s="21">
        <f t="array" ref="W348">IFERROR(INDEX(Load_Booking_Report!F:F, MATCH(TRUE, ISNUMBER(FIND(SUBSTITUTE(C348," ",""), Load_Booking_Report!AL:AL)), 0)), "Not Found")</f>
        <v/>
      </c>
      <c r="X348" s="21">
        <f t="array" ref="X348">IFERROR(INDEX(Load_Booking_Report!N:N, MATCH(TRUE, ISNUMBER(FIND(SUBSTITUTE(C348," ",""), Load_Booking_Report!AL:AL)), 0)), "Not Found")</f>
        <v/>
      </c>
      <c r="Y348" s="21">
        <f t="array" ref="Y348">IFERROR(INDEX(Load_Booking_Report!V:V, MATCH(TRUE, ISNUMBER(FIND(SUBSTITUTE(C348," ",""), Load_Booking_Report!AL:AL)), 0)), "Not Found")</f>
        <v/>
      </c>
      <c r="Z348" s="41">
        <f t="array" ref="Z348">IFERROR(INDEX(Load_Booking_Report!BC:BC, MATCH(TRUE, ISNUMBER(FIND(SUBSTITUTE(C348," ",""), Load_Booking_Report!AL:AL)), 0)), "Not Found")</f>
        <v/>
      </c>
    </row>
    <row r="349">
      <c r="A349" t="n">
        <v>21</v>
      </c>
      <c r="B349" t="n">
        <v>210304</v>
      </c>
      <c r="C349" t="inlineStr">
        <is>
          <t>ANON0000000</t>
        </is>
      </c>
      <c r="D349" t="n">
        <v>20</v>
      </c>
      <c r="E349" t="inlineStr">
        <is>
          <t>USNFK</t>
        </is>
      </c>
      <c r="F349" t="inlineStr">
        <is>
          <t>RULED</t>
        </is>
      </c>
      <c r="G349" t="n">
        <v>23820</v>
      </c>
      <c r="H349" t="inlineStr">
        <is>
          <t>ART</t>
        </is>
      </c>
      <c r="I349" t="inlineStr">
        <is>
          <t>22G1</t>
        </is>
      </c>
      <c r="L349" t="inlineStr">
        <is>
          <t>8'6</t>
        </is>
      </c>
      <c r="M349" t="inlineStr">
        <is>
          <t>Full</t>
        </is>
      </c>
      <c r="N349" t="inlineStr">
        <is>
          <t>RULED</t>
        </is>
      </c>
      <c r="P349" s="21">
        <f>C349</f>
        <v/>
      </c>
      <c r="Q349" s="21">
        <f t="array" ref="Q349">IFERROR(INDEX(Load_Booking_Report!AC:AC, MATCH(TRUE, ISNUMBER(FIND(SUBSTITUTE(C349," ",""), Load_Booking_Report!AL:AL)), 0)), "Not Found")</f>
        <v/>
      </c>
      <c r="R349" s="21">
        <f t="array" ref="R349">IFERROR(INDEX(Load_Booking_Report!C:C, MATCH(TRUE, ISNUMBER(FIND(SUBSTITUTE(C349," ",""), Load_Booking_Report!AL:AL)), 0)), "Not Found")</f>
        <v/>
      </c>
      <c r="S349" s="21">
        <f t="array" ref="S349">IFERROR(INDEX(Load_Booking_Report!AG:AG, MATCH(TRUE, ISNUMBER(FIND(SUBSTITUTE(C349," ",""), Load_Booking_Report!AL:AL)), 0)), "Not Found")</f>
        <v/>
      </c>
      <c r="T349" s="21">
        <f>G349</f>
        <v/>
      </c>
      <c r="U349" s="33">
        <f t="array" ref="U349">IFERROR(
   IF(
      INDEX(Load_Booking_Report!AM:AM,
             MATCH(TRUE,
                     ISNUMBER(FIND(SUBSTITUTE(C349," ",""),
                                    Load_Booking_Report!AL:AL)),
                     0)
      )=0,
      "",
      INDEX(Load_Booking_Report!AM:AM,
             MATCH(TRUE,
                     ISNUMBER(FIND(SUBSTITUTE(C349," ",""),
                                    Load_Booking_Report!AL:AL)),
                     0)
      )
   ),
   ""
)</f>
        <v/>
      </c>
      <c r="V349" s="21">
        <f t="array" ref="V349">IFERROR(
   IF(
      INDEX(Load_Booking_Report!AR:AR,
             MATCH(TRUE,
                     ISNUMBER(FIND(SUBSTITUTE(C349," ",""),
                                    Load_Booking_Report!AL:AL)),
                     0)
      )=0,
      "",
      INDEX(Load_Booking_Report!AR:AR,
             MATCH(TRUE,
                     ISNUMBER(FIND(SUBSTITUTE(C349," ",""),
                                    Load_Booking_Report!AL:AL)),
                     0)
      )
   ),
   ""
)</f>
        <v/>
      </c>
      <c r="W349" s="21">
        <f t="array" ref="W349">IFERROR(INDEX(Load_Booking_Report!F:F, MATCH(TRUE, ISNUMBER(FIND(SUBSTITUTE(C349," ",""), Load_Booking_Report!AL:AL)), 0)), "Not Found")</f>
        <v/>
      </c>
      <c r="X349" s="21">
        <f t="array" ref="X349">IFERROR(INDEX(Load_Booking_Report!N:N, MATCH(TRUE, ISNUMBER(FIND(SUBSTITUTE(C349," ",""), Load_Booking_Report!AL:AL)), 0)), "Not Found")</f>
        <v/>
      </c>
      <c r="Y349" s="21">
        <f t="array" ref="Y349">IFERROR(INDEX(Load_Booking_Report!V:V, MATCH(TRUE, ISNUMBER(FIND(SUBSTITUTE(C349," ",""), Load_Booking_Report!AL:AL)), 0)), "Not Found")</f>
        <v/>
      </c>
      <c r="Z349" s="41">
        <f t="array" ref="Z349">IFERROR(INDEX(Load_Booking_Report!BC:BC, MATCH(TRUE, ISNUMBER(FIND(SUBSTITUTE(C349," ",""), Load_Booking_Report!AL:AL)), 0)), "Not Found")</f>
        <v/>
      </c>
    </row>
    <row r="350">
      <c r="A350" t="n">
        <v>6</v>
      </c>
      <c r="B350" t="n">
        <v>60784</v>
      </c>
      <c r="C350" t="inlineStr">
        <is>
          <t>ANON0000000</t>
        </is>
      </c>
      <c r="D350" t="n">
        <v>40</v>
      </c>
      <c r="E350" t="inlineStr">
        <is>
          <t>USNFK</t>
        </is>
      </c>
      <c r="F350" t="inlineStr">
        <is>
          <t>RULED</t>
        </is>
      </c>
      <c r="G350" t="n">
        <v>32580</v>
      </c>
      <c r="H350" t="inlineStr">
        <is>
          <t>ART</t>
        </is>
      </c>
      <c r="I350" t="inlineStr">
        <is>
          <t>45R1</t>
        </is>
      </c>
      <c r="K350" t="inlineStr">
        <is>
          <t>-18.0:CEL</t>
        </is>
      </c>
      <c r="L350" t="inlineStr">
        <is>
          <t>9'6</t>
        </is>
      </c>
      <c r="M350" t="inlineStr">
        <is>
          <t>Full</t>
        </is>
      </c>
      <c r="N350" t="inlineStr">
        <is>
          <t>RULED</t>
        </is>
      </c>
      <c r="P350" s="21">
        <f>C350</f>
        <v/>
      </c>
      <c r="Q350" s="21">
        <f t="array" ref="Q350">IFERROR(INDEX(Load_Booking_Report!AC:AC, MATCH(TRUE, ISNUMBER(FIND(SUBSTITUTE(C350," ",""), Load_Booking_Report!AL:AL)), 0)), "Not Found")</f>
        <v/>
      </c>
      <c r="R350" s="21">
        <f t="array" ref="R350">IFERROR(INDEX(Load_Booking_Report!C:C, MATCH(TRUE, ISNUMBER(FIND(SUBSTITUTE(C350," ",""), Load_Booking_Report!AL:AL)), 0)), "Not Found")</f>
        <v/>
      </c>
      <c r="S350" s="21">
        <f t="array" ref="S350">IFERROR(INDEX(Load_Booking_Report!AG:AG, MATCH(TRUE, ISNUMBER(FIND(SUBSTITUTE(C350," ",""), Load_Booking_Report!AL:AL)), 0)), "Not Found")</f>
        <v/>
      </c>
      <c r="T350" s="21">
        <f>G350</f>
        <v/>
      </c>
      <c r="U350" s="33">
        <f t="array" ref="U350">IFERROR(
   IF(
      INDEX(Load_Booking_Report!AM:AM,
             MATCH(TRUE,
                     ISNUMBER(FIND(SUBSTITUTE(C350," ",""),
                                    Load_Booking_Report!AL:AL)),
                     0)
      )=0,
      "",
      INDEX(Load_Booking_Report!AM:AM,
             MATCH(TRUE,
                     ISNUMBER(FIND(SUBSTITUTE(C350," ",""),
                                    Load_Booking_Report!AL:AL)),
                     0)
      )
   ),
   ""
)</f>
        <v/>
      </c>
      <c r="V350" s="21">
        <f t="array" ref="V350">IFERROR(
   IF(
      INDEX(Load_Booking_Report!AR:AR,
             MATCH(TRUE,
                     ISNUMBER(FIND(SUBSTITUTE(C350," ",""),
                                    Load_Booking_Report!AL:AL)),
                     0)
      )=0,
      "",
      INDEX(Load_Booking_Report!AR:AR,
             MATCH(TRUE,
                     ISNUMBER(FIND(SUBSTITUTE(C350," ",""),
                                    Load_Booking_Report!AL:AL)),
                     0)
      )
   ),
   ""
)</f>
        <v/>
      </c>
      <c r="W350" s="21">
        <f t="array" ref="W350">IFERROR(INDEX(Load_Booking_Report!F:F, MATCH(TRUE, ISNUMBER(FIND(SUBSTITUTE(C350," ",""), Load_Booking_Report!AL:AL)), 0)), "Not Found")</f>
        <v/>
      </c>
      <c r="X350" s="21">
        <f t="array" ref="X350">IFERROR(INDEX(Load_Booking_Report!N:N, MATCH(TRUE, ISNUMBER(FIND(SUBSTITUTE(C350," ",""), Load_Booking_Report!AL:AL)), 0)), "Not Found")</f>
        <v/>
      </c>
      <c r="Y350" s="21">
        <f t="array" ref="Y350">IFERROR(INDEX(Load_Booking_Report!V:V, MATCH(TRUE, ISNUMBER(FIND(SUBSTITUTE(C350," ",""), Load_Booking_Report!AL:AL)), 0)), "Not Found")</f>
        <v/>
      </c>
      <c r="Z350" s="41">
        <f t="array" ref="Z350">IFERROR(INDEX(Load_Booking_Report!BC:BC, MATCH(TRUE, ISNUMBER(FIND(SUBSTITUTE(C350," ",""), Load_Booking_Report!AL:AL)), 0)), "Not Found")</f>
        <v/>
      </c>
    </row>
    <row r="351">
      <c r="A351" t="n">
        <v>2</v>
      </c>
      <c r="B351" t="n">
        <v>20084</v>
      </c>
      <c r="C351" t="inlineStr">
        <is>
          <t>ANON0000000</t>
        </is>
      </c>
      <c r="D351" t="n">
        <v>40</v>
      </c>
      <c r="E351" t="inlineStr">
        <is>
          <t>USNFK</t>
        </is>
      </c>
      <c r="F351" t="inlineStr">
        <is>
          <t>RULED</t>
        </is>
      </c>
      <c r="G351" t="n">
        <v>32220</v>
      </c>
      <c r="H351" t="inlineStr">
        <is>
          <t>ART</t>
        </is>
      </c>
      <c r="I351" t="inlineStr">
        <is>
          <t>45R1</t>
        </is>
      </c>
      <c r="K351" t="inlineStr">
        <is>
          <t>-18.0:CEL</t>
        </is>
      </c>
      <c r="L351" t="inlineStr">
        <is>
          <t>9'6</t>
        </is>
      </c>
      <c r="M351" t="inlineStr">
        <is>
          <t>Full</t>
        </is>
      </c>
      <c r="N351" t="inlineStr">
        <is>
          <t>RULED</t>
        </is>
      </c>
      <c r="P351" s="21">
        <f>C351</f>
        <v/>
      </c>
      <c r="Q351" s="21">
        <f t="array" ref="Q351">IFERROR(INDEX(Load_Booking_Report!AC:AC, MATCH(TRUE, ISNUMBER(FIND(SUBSTITUTE(C351," ",""), Load_Booking_Report!AL:AL)), 0)), "Not Found")</f>
        <v/>
      </c>
      <c r="R351" s="21">
        <f t="array" ref="R351">IFERROR(INDEX(Load_Booking_Report!C:C, MATCH(TRUE, ISNUMBER(FIND(SUBSTITUTE(C351," ",""), Load_Booking_Report!AL:AL)), 0)), "Not Found")</f>
        <v/>
      </c>
      <c r="S351" s="21">
        <f t="array" ref="S351">IFERROR(INDEX(Load_Booking_Report!AG:AG, MATCH(TRUE, ISNUMBER(FIND(SUBSTITUTE(C351," ",""), Load_Booking_Report!AL:AL)), 0)), "Not Found")</f>
        <v/>
      </c>
      <c r="T351" s="21">
        <f>G351</f>
        <v/>
      </c>
      <c r="U351" s="33">
        <f t="array" ref="U351">IFERROR(
   IF(
      INDEX(Load_Booking_Report!AM:AM,
             MATCH(TRUE,
                     ISNUMBER(FIND(SUBSTITUTE(C351," ",""),
                                    Load_Booking_Report!AL:AL)),
                     0)
      )=0,
      "",
      INDEX(Load_Booking_Report!AM:AM,
             MATCH(TRUE,
                     ISNUMBER(FIND(SUBSTITUTE(C351," ",""),
                                    Load_Booking_Report!AL:AL)),
                     0)
      )
   ),
   ""
)</f>
        <v/>
      </c>
      <c r="V351" s="21">
        <f t="array" ref="V351">IFERROR(
   IF(
      INDEX(Load_Booking_Report!AR:AR,
             MATCH(TRUE,
                     ISNUMBER(FIND(SUBSTITUTE(C351," ",""),
                                    Load_Booking_Report!AL:AL)),
                     0)
      )=0,
      "",
      INDEX(Load_Booking_Report!AR:AR,
             MATCH(TRUE,
                     ISNUMBER(FIND(SUBSTITUTE(C351," ",""),
                                    Load_Booking_Report!AL:AL)),
                     0)
      )
   ),
   ""
)</f>
        <v/>
      </c>
      <c r="W351" s="21">
        <f t="array" ref="W351">IFERROR(INDEX(Load_Booking_Report!F:F, MATCH(TRUE, ISNUMBER(FIND(SUBSTITUTE(C351," ",""), Load_Booking_Report!AL:AL)), 0)), "Not Found")</f>
        <v/>
      </c>
      <c r="X351" s="21">
        <f t="array" ref="X351">IFERROR(INDEX(Load_Booking_Report!N:N, MATCH(TRUE, ISNUMBER(FIND(SUBSTITUTE(C351," ",""), Load_Booking_Report!AL:AL)), 0)), "Not Found")</f>
        <v/>
      </c>
      <c r="Y351" s="21">
        <f t="array" ref="Y351">IFERROR(INDEX(Load_Booking_Report!V:V, MATCH(TRUE, ISNUMBER(FIND(SUBSTITUTE(C351," ",""), Load_Booking_Report!AL:AL)), 0)), "Not Found")</f>
        <v/>
      </c>
      <c r="Z351" s="41">
        <f t="array" ref="Z351">IFERROR(INDEX(Load_Booking_Report!BC:BC, MATCH(TRUE, ISNUMBER(FIND(SUBSTITUTE(C351," ",""), Load_Booking_Report!AL:AL)), 0)), "Not Found")</f>
        <v/>
      </c>
    </row>
    <row r="352">
      <c r="A352" t="n">
        <v>22</v>
      </c>
      <c r="B352" t="n">
        <v>220482</v>
      </c>
      <c r="C352" t="inlineStr">
        <is>
          <t>ANON0000000</t>
        </is>
      </c>
      <c r="D352" t="n">
        <v>40</v>
      </c>
      <c r="E352" t="inlineStr">
        <is>
          <t>USNFK</t>
        </is>
      </c>
      <c r="F352" t="inlineStr">
        <is>
          <t>RULED</t>
        </is>
      </c>
      <c r="G352" t="n">
        <v>32760</v>
      </c>
      <c r="H352" t="inlineStr">
        <is>
          <t>ART</t>
        </is>
      </c>
      <c r="I352" t="inlineStr">
        <is>
          <t>45R1</t>
        </is>
      </c>
      <c r="K352" t="inlineStr">
        <is>
          <t>-18.0:CEL</t>
        </is>
      </c>
      <c r="L352" t="inlineStr">
        <is>
          <t>9'6</t>
        </is>
      </c>
      <c r="M352" t="inlineStr">
        <is>
          <t>Full</t>
        </is>
      </c>
      <c r="N352" t="inlineStr">
        <is>
          <t>RULED</t>
        </is>
      </c>
      <c r="P352" s="21">
        <f>C352</f>
        <v/>
      </c>
      <c r="Q352" s="21">
        <f t="array" ref="Q352">IFERROR(INDEX(Load_Booking_Report!AC:AC, MATCH(TRUE, ISNUMBER(FIND(SUBSTITUTE(C352," ",""), Load_Booking_Report!AL:AL)), 0)), "Not Found")</f>
        <v/>
      </c>
      <c r="R352" s="21">
        <f t="array" ref="R352">IFERROR(INDEX(Load_Booking_Report!C:C, MATCH(TRUE, ISNUMBER(FIND(SUBSTITUTE(C352," ",""), Load_Booking_Report!AL:AL)), 0)), "Not Found")</f>
        <v/>
      </c>
      <c r="S352" s="21">
        <f t="array" ref="S352">IFERROR(INDEX(Load_Booking_Report!AG:AG, MATCH(TRUE, ISNUMBER(FIND(SUBSTITUTE(C352," ",""), Load_Booking_Report!AL:AL)), 0)), "Not Found")</f>
        <v/>
      </c>
      <c r="T352" s="21">
        <f>G352</f>
        <v/>
      </c>
      <c r="U352" s="33">
        <f t="array" ref="U352">IFERROR(
   IF(
      INDEX(Load_Booking_Report!AM:AM,
             MATCH(TRUE,
                     ISNUMBER(FIND(SUBSTITUTE(C352," ",""),
                                    Load_Booking_Report!AL:AL)),
                     0)
      )=0,
      "",
      INDEX(Load_Booking_Report!AM:AM,
             MATCH(TRUE,
                     ISNUMBER(FIND(SUBSTITUTE(C352," ",""),
                                    Load_Booking_Report!AL:AL)),
                     0)
      )
   ),
   ""
)</f>
        <v/>
      </c>
      <c r="V352" s="21">
        <f t="array" ref="V352">IFERROR(
   IF(
      INDEX(Load_Booking_Report!AR:AR,
             MATCH(TRUE,
                     ISNUMBER(FIND(SUBSTITUTE(C352," ",""),
                                    Load_Booking_Report!AL:AL)),
                     0)
      )=0,
      "",
      INDEX(Load_Booking_Report!AR:AR,
             MATCH(TRUE,
                     ISNUMBER(FIND(SUBSTITUTE(C352," ",""),
                                    Load_Booking_Report!AL:AL)),
                     0)
      )
   ),
   ""
)</f>
        <v/>
      </c>
      <c r="W352" s="21">
        <f t="array" ref="W352">IFERROR(INDEX(Load_Booking_Report!F:F, MATCH(TRUE, ISNUMBER(FIND(SUBSTITUTE(C352," ",""), Load_Booking_Report!AL:AL)), 0)), "Not Found")</f>
        <v/>
      </c>
      <c r="X352" s="21">
        <f t="array" ref="X352">IFERROR(INDEX(Load_Booking_Report!N:N, MATCH(TRUE, ISNUMBER(FIND(SUBSTITUTE(C352," ",""), Load_Booking_Report!AL:AL)), 0)), "Not Found")</f>
        <v/>
      </c>
      <c r="Y352" s="21">
        <f t="array" ref="Y352">IFERROR(INDEX(Load_Booking_Report!V:V, MATCH(TRUE, ISNUMBER(FIND(SUBSTITUTE(C352," ",""), Load_Booking_Report!AL:AL)), 0)), "Not Found")</f>
        <v/>
      </c>
      <c r="Z352" s="41">
        <f t="array" ref="Z352">IFERROR(INDEX(Load_Booking_Report!BC:BC, MATCH(TRUE, ISNUMBER(FIND(SUBSTITUTE(C352," ",""), Load_Booking_Report!AL:AL)), 0)), "Not Found")</f>
        <v/>
      </c>
    </row>
    <row r="353">
      <c r="A353" t="n">
        <v>6</v>
      </c>
      <c r="B353" t="n">
        <v>60484</v>
      </c>
      <c r="C353" t="inlineStr">
        <is>
          <t>ANON0000000</t>
        </is>
      </c>
      <c r="D353" t="n">
        <v>40</v>
      </c>
      <c r="E353" t="inlineStr">
        <is>
          <t>USNFK</t>
        </is>
      </c>
      <c r="F353" t="inlineStr">
        <is>
          <t>RULED</t>
        </is>
      </c>
      <c r="G353" t="n">
        <v>32620</v>
      </c>
      <c r="H353" t="inlineStr">
        <is>
          <t>ART</t>
        </is>
      </c>
      <c r="I353" t="inlineStr">
        <is>
          <t>45R1</t>
        </is>
      </c>
      <c r="K353" t="inlineStr">
        <is>
          <t>-18.0:CEL</t>
        </is>
      </c>
      <c r="L353" t="inlineStr">
        <is>
          <t>9'6</t>
        </is>
      </c>
      <c r="M353" t="inlineStr">
        <is>
          <t>Full</t>
        </is>
      </c>
      <c r="N353" t="inlineStr">
        <is>
          <t>RULED</t>
        </is>
      </c>
      <c r="P353" s="21">
        <f>C353</f>
        <v/>
      </c>
      <c r="Q353" s="21">
        <f t="array" ref="Q353">IFERROR(INDEX(Load_Booking_Report!AC:AC, MATCH(TRUE, ISNUMBER(FIND(SUBSTITUTE(C353," ",""), Load_Booking_Report!AL:AL)), 0)), "Not Found")</f>
        <v/>
      </c>
      <c r="R353" s="21">
        <f t="array" ref="R353">IFERROR(INDEX(Load_Booking_Report!C:C, MATCH(TRUE, ISNUMBER(FIND(SUBSTITUTE(C353," ",""), Load_Booking_Report!AL:AL)), 0)), "Not Found")</f>
        <v/>
      </c>
      <c r="S353" s="21">
        <f t="array" ref="S353">IFERROR(INDEX(Load_Booking_Report!AG:AG, MATCH(TRUE, ISNUMBER(FIND(SUBSTITUTE(C353," ",""), Load_Booking_Report!AL:AL)), 0)), "Not Found")</f>
        <v/>
      </c>
      <c r="T353" s="21">
        <f>G353</f>
        <v/>
      </c>
      <c r="U353" s="33">
        <f t="array" ref="U353">IFERROR(
   IF(
      INDEX(Load_Booking_Report!AM:AM,
             MATCH(TRUE,
                     ISNUMBER(FIND(SUBSTITUTE(C353," ",""),
                                    Load_Booking_Report!AL:AL)),
                     0)
      )=0,
      "",
      INDEX(Load_Booking_Report!AM:AM,
             MATCH(TRUE,
                     ISNUMBER(FIND(SUBSTITUTE(C353," ",""),
                                    Load_Booking_Report!AL:AL)),
                     0)
      )
   ),
   ""
)</f>
        <v/>
      </c>
      <c r="V353" s="21">
        <f t="array" ref="V353">IFERROR(
   IF(
      INDEX(Load_Booking_Report!AR:AR,
             MATCH(TRUE,
                     ISNUMBER(FIND(SUBSTITUTE(C353," ",""),
                                    Load_Booking_Report!AL:AL)),
                     0)
      )=0,
      "",
      INDEX(Load_Booking_Report!AR:AR,
             MATCH(TRUE,
                     ISNUMBER(FIND(SUBSTITUTE(C353," ",""),
                                    Load_Booking_Report!AL:AL)),
                     0)
      )
   ),
   ""
)</f>
        <v/>
      </c>
      <c r="W353" s="21">
        <f t="array" ref="W353">IFERROR(INDEX(Load_Booking_Report!F:F, MATCH(TRUE, ISNUMBER(FIND(SUBSTITUTE(C353," ",""), Load_Booking_Report!AL:AL)), 0)), "Not Found")</f>
        <v/>
      </c>
      <c r="X353" s="21">
        <f t="array" ref="X353">IFERROR(INDEX(Load_Booking_Report!N:N, MATCH(TRUE, ISNUMBER(FIND(SUBSTITUTE(C353," ",""), Load_Booking_Report!AL:AL)), 0)), "Not Found")</f>
        <v/>
      </c>
      <c r="Y353" s="21">
        <f t="array" ref="Y353">IFERROR(INDEX(Load_Booking_Report!V:V, MATCH(TRUE, ISNUMBER(FIND(SUBSTITUTE(C353," ",""), Load_Booking_Report!AL:AL)), 0)), "Not Found")</f>
        <v/>
      </c>
      <c r="Z353" s="41">
        <f t="array" ref="Z353">IFERROR(INDEX(Load_Booking_Report!BC:BC, MATCH(TRUE, ISNUMBER(FIND(SUBSTITUTE(C353," ",""), Load_Booking_Report!AL:AL)), 0)), "Not Found")</f>
        <v/>
      </c>
    </row>
    <row r="354">
      <c r="A354" t="n">
        <v>2</v>
      </c>
      <c r="B354" t="n">
        <v>20082</v>
      </c>
      <c r="C354" t="inlineStr">
        <is>
          <t>ANON0000000</t>
        </is>
      </c>
      <c r="D354" t="n">
        <v>40</v>
      </c>
      <c r="E354" t="inlineStr">
        <is>
          <t>USNFK</t>
        </is>
      </c>
      <c r="F354" t="inlineStr">
        <is>
          <t>RULED</t>
        </is>
      </c>
      <c r="G354" t="n">
        <v>32560</v>
      </c>
      <c r="H354" t="inlineStr">
        <is>
          <t>ART</t>
        </is>
      </c>
      <c r="I354" t="inlineStr">
        <is>
          <t>45R1</t>
        </is>
      </c>
      <c r="K354" t="inlineStr">
        <is>
          <t>-18.0:CEL</t>
        </is>
      </c>
      <c r="L354" t="inlineStr">
        <is>
          <t>9'6</t>
        </is>
      </c>
      <c r="M354" t="inlineStr">
        <is>
          <t>Full</t>
        </is>
      </c>
      <c r="N354" t="inlineStr">
        <is>
          <t>RULED</t>
        </is>
      </c>
      <c r="P354" s="21">
        <f>C354</f>
        <v/>
      </c>
      <c r="Q354" s="21">
        <f t="array" ref="Q354">IFERROR(INDEX(Load_Booking_Report!AC:AC, MATCH(TRUE, ISNUMBER(FIND(SUBSTITUTE(C354," ",""), Load_Booking_Report!AL:AL)), 0)), "Not Found")</f>
        <v/>
      </c>
      <c r="R354" s="21">
        <f t="array" ref="R354">IFERROR(INDEX(Load_Booking_Report!C:C, MATCH(TRUE, ISNUMBER(FIND(SUBSTITUTE(C354," ",""), Load_Booking_Report!AL:AL)), 0)), "Not Found")</f>
        <v/>
      </c>
      <c r="S354" s="21">
        <f t="array" ref="S354">IFERROR(INDEX(Load_Booking_Report!AG:AG, MATCH(TRUE, ISNUMBER(FIND(SUBSTITUTE(C354," ",""), Load_Booking_Report!AL:AL)), 0)), "Not Found")</f>
        <v/>
      </c>
      <c r="T354" s="21">
        <f>G354</f>
        <v/>
      </c>
      <c r="U354" s="33">
        <f t="array" ref="U354">IFERROR(
   IF(
      INDEX(Load_Booking_Report!AM:AM,
             MATCH(TRUE,
                     ISNUMBER(FIND(SUBSTITUTE(C354," ",""),
                                    Load_Booking_Report!AL:AL)),
                     0)
      )=0,
      "",
      INDEX(Load_Booking_Report!AM:AM,
             MATCH(TRUE,
                     ISNUMBER(FIND(SUBSTITUTE(C354," ",""),
                                    Load_Booking_Report!AL:AL)),
                     0)
      )
   ),
   ""
)</f>
        <v/>
      </c>
      <c r="V354" s="21">
        <f t="array" ref="V354">IFERROR(
   IF(
      INDEX(Load_Booking_Report!AR:AR,
             MATCH(TRUE,
                     ISNUMBER(FIND(SUBSTITUTE(C354," ",""),
                                    Load_Booking_Report!AL:AL)),
                     0)
      )=0,
      "",
      INDEX(Load_Booking_Report!AR:AR,
             MATCH(TRUE,
                     ISNUMBER(FIND(SUBSTITUTE(C354," ",""),
                                    Load_Booking_Report!AL:AL)),
                     0)
      )
   ),
   ""
)</f>
        <v/>
      </c>
      <c r="W354" s="21">
        <f t="array" ref="W354">IFERROR(INDEX(Load_Booking_Report!F:F, MATCH(TRUE, ISNUMBER(FIND(SUBSTITUTE(C354," ",""), Load_Booking_Report!AL:AL)), 0)), "Not Found")</f>
        <v/>
      </c>
      <c r="X354" s="21">
        <f t="array" ref="X354">IFERROR(INDEX(Load_Booking_Report!N:N, MATCH(TRUE, ISNUMBER(FIND(SUBSTITUTE(C354," ",""), Load_Booking_Report!AL:AL)), 0)), "Not Found")</f>
        <v/>
      </c>
      <c r="Y354" s="21">
        <f t="array" ref="Y354">IFERROR(INDEX(Load_Booking_Report!V:V, MATCH(TRUE, ISNUMBER(FIND(SUBSTITUTE(C354," ",""), Load_Booking_Report!AL:AL)), 0)), "Not Found")</f>
        <v/>
      </c>
      <c r="Z354" s="41">
        <f t="array" ref="Z354">IFERROR(INDEX(Load_Booking_Report!BC:BC, MATCH(TRUE, ISNUMBER(FIND(SUBSTITUTE(C354," ",""), Load_Booking_Report!AL:AL)), 0)), "Not Found")</f>
        <v/>
      </c>
    </row>
    <row r="355">
      <c r="A355" t="n">
        <v>6</v>
      </c>
      <c r="B355" t="n">
        <v>60684</v>
      </c>
      <c r="C355" t="inlineStr">
        <is>
          <t>ANON0000000</t>
        </is>
      </c>
      <c r="D355" t="n">
        <v>40</v>
      </c>
      <c r="E355" t="inlineStr">
        <is>
          <t>USNFK</t>
        </is>
      </c>
      <c r="F355" t="inlineStr">
        <is>
          <t>RULED</t>
        </is>
      </c>
      <c r="G355" t="n">
        <v>32580</v>
      </c>
      <c r="H355" t="inlineStr">
        <is>
          <t>ART</t>
        </is>
      </c>
      <c r="I355" t="inlineStr">
        <is>
          <t>45R1</t>
        </is>
      </c>
      <c r="K355" t="inlineStr">
        <is>
          <t>-18.0:CEL</t>
        </is>
      </c>
      <c r="L355" t="inlineStr">
        <is>
          <t>9'6</t>
        </is>
      </c>
      <c r="M355" t="inlineStr">
        <is>
          <t>Full</t>
        </is>
      </c>
      <c r="N355" t="inlineStr">
        <is>
          <t>RULED</t>
        </is>
      </c>
      <c r="P355" s="21">
        <f>C355</f>
        <v/>
      </c>
      <c r="Q355" s="21">
        <f t="array" ref="Q355">IFERROR(INDEX(Load_Booking_Report!AC:AC, MATCH(TRUE, ISNUMBER(FIND(SUBSTITUTE(C355," ",""), Load_Booking_Report!AL:AL)), 0)), "Not Found")</f>
        <v/>
      </c>
      <c r="R355" s="21">
        <f t="array" ref="R355">IFERROR(INDEX(Load_Booking_Report!C:C, MATCH(TRUE, ISNUMBER(FIND(SUBSTITUTE(C355," ",""), Load_Booking_Report!AL:AL)), 0)), "Not Found")</f>
        <v/>
      </c>
      <c r="S355" s="21">
        <f t="array" ref="S355">IFERROR(INDEX(Load_Booking_Report!AG:AG, MATCH(TRUE, ISNUMBER(FIND(SUBSTITUTE(C355," ",""), Load_Booking_Report!AL:AL)), 0)), "Not Found")</f>
        <v/>
      </c>
      <c r="T355" s="21">
        <f>G355</f>
        <v/>
      </c>
      <c r="U355" s="33">
        <f t="array" ref="U355">IFERROR(
   IF(
      INDEX(Load_Booking_Report!AM:AM,
             MATCH(TRUE,
                     ISNUMBER(FIND(SUBSTITUTE(C355," ",""),
                                    Load_Booking_Report!AL:AL)),
                     0)
      )=0,
      "",
      INDEX(Load_Booking_Report!AM:AM,
             MATCH(TRUE,
                     ISNUMBER(FIND(SUBSTITUTE(C355," ",""),
                                    Load_Booking_Report!AL:AL)),
                     0)
      )
   ),
   ""
)</f>
        <v/>
      </c>
      <c r="V355" s="21">
        <f t="array" ref="V355">IFERROR(
   IF(
      INDEX(Load_Booking_Report!AR:AR,
             MATCH(TRUE,
                     ISNUMBER(FIND(SUBSTITUTE(C355," ",""),
                                    Load_Booking_Report!AL:AL)),
                     0)
      )=0,
      "",
      INDEX(Load_Booking_Report!AR:AR,
             MATCH(TRUE,
                     ISNUMBER(FIND(SUBSTITUTE(C355," ",""),
                                    Load_Booking_Report!AL:AL)),
                     0)
      )
   ),
   ""
)</f>
        <v/>
      </c>
      <c r="W355" s="21">
        <f t="array" ref="W355">IFERROR(INDEX(Load_Booking_Report!F:F, MATCH(TRUE, ISNUMBER(FIND(SUBSTITUTE(C355," ",""), Load_Booking_Report!AL:AL)), 0)), "Not Found")</f>
        <v/>
      </c>
      <c r="X355" s="21">
        <f t="array" ref="X355">IFERROR(INDEX(Load_Booking_Report!N:N, MATCH(TRUE, ISNUMBER(FIND(SUBSTITUTE(C355," ",""), Load_Booking_Report!AL:AL)), 0)), "Not Found")</f>
        <v/>
      </c>
      <c r="Y355" s="21">
        <f t="array" ref="Y355">IFERROR(INDEX(Load_Booking_Report!V:V, MATCH(TRUE, ISNUMBER(FIND(SUBSTITUTE(C355," ",""), Load_Booking_Report!AL:AL)), 0)), "Not Found")</f>
        <v/>
      </c>
      <c r="Z355" s="41">
        <f t="array" ref="Z355">IFERROR(INDEX(Load_Booking_Report!BC:BC, MATCH(TRUE, ISNUMBER(FIND(SUBSTITUTE(C355," ",""), Load_Booking_Report!AL:AL)), 0)), "Not Found")</f>
        <v/>
      </c>
    </row>
    <row r="356">
      <c r="A356" t="n">
        <v>18</v>
      </c>
      <c r="B356" t="n">
        <v>180686</v>
      </c>
      <c r="C356" t="inlineStr">
        <is>
          <t>ANON0000000</t>
        </is>
      </c>
      <c r="D356" t="n">
        <v>40</v>
      </c>
      <c r="E356" t="inlineStr">
        <is>
          <t>USNFK</t>
        </is>
      </c>
      <c r="F356" t="inlineStr">
        <is>
          <t>RULED</t>
        </is>
      </c>
      <c r="G356" t="n">
        <v>32780</v>
      </c>
      <c r="H356" t="inlineStr">
        <is>
          <t>ART</t>
        </is>
      </c>
      <c r="I356" t="inlineStr">
        <is>
          <t>45R1</t>
        </is>
      </c>
      <c r="K356" t="inlineStr">
        <is>
          <t>-18.0:CEL</t>
        </is>
      </c>
      <c r="L356" t="inlineStr">
        <is>
          <t>9'6</t>
        </is>
      </c>
      <c r="M356" t="inlineStr">
        <is>
          <t>Full</t>
        </is>
      </c>
      <c r="N356" t="inlineStr">
        <is>
          <t>RULED</t>
        </is>
      </c>
      <c r="P356" s="21">
        <f>C356</f>
        <v/>
      </c>
      <c r="Q356" s="21">
        <f t="array" ref="Q356">IFERROR(INDEX(Load_Booking_Report!AC:AC, MATCH(TRUE, ISNUMBER(FIND(SUBSTITUTE(C356," ",""), Load_Booking_Report!AL:AL)), 0)), "Not Found")</f>
        <v/>
      </c>
      <c r="R356" s="21">
        <f t="array" ref="R356">IFERROR(INDEX(Load_Booking_Report!C:C, MATCH(TRUE, ISNUMBER(FIND(SUBSTITUTE(C356," ",""), Load_Booking_Report!AL:AL)), 0)), "Not Found")</f>
        <v/>
      </c>
      <c r="S356" s="21">
        <f t="array" ref="S356">IFERROR(INDEX(Load_Booking_Report!AG:AG, MATCH(TRUE, ISNUMBER(FIND(SUBSTITUTE(C356," ",""), Load_Booking_Report!AL:AL)), 0)), "Not Found")</f>
        <v/>
      </c>
      <c r="T356" s="21">
        <f>G356</f>
        <v/>
      </c>
      <c r="U356" s="33">
        <f t="array" ref="U356">IFERROR(
   IF(
      INDEX(Load_Booking_Report!AM:AM,
             MATCH(TRUE,
                     ISNUMBER(FIND(SUBSTITUTE(C356," ",""),
                                    Load_Booking_Report!AL:AL)),
                     0)
      )=0,
      "",
      INDEX(Load_Booking_Report!AM:AM,
             MATCH(TRUE,
                     ISNUMBER(FIND(SUBSTITUTE(C356," ",""),
                                    Load_Booking_Report!AL:AL)),
                     0)
      )
   ),
   ""
)</f>
        <v/>
      </c>
      <c r="V356" s="21">
        <f t="array" ref="V356">IFERROR(
   IF(
      INDEX(Load_Booking_Report!AR:AR,
             MATCH(TRUE,
                     ISNUMBER(FIND(SUBSTITUTE(C356," ",""),
                                    Load_Booking_Report!AL:AL)),
                     0)
      )=0,
      "",
      INDEX(Load_Booking_Report!AR:AR,
             MATCH(TRUE,
                     ISNUMBER(FIND(SUBSTITUTE(C356," ",""),
                                    Load_Booking_Report!AL:AL)),
                     0)
      )
   ),
   ""
)</f>
        <v/>
      </c>
      <c r="W356" s="21">
        <f t="array" ref="W356">IFERROR(INDEX(Load_Booking_Report!F:F, MATCH(TRUE, ISNUMBER(FIND(SUBSTITUTE(C356," ",""), Load_Booking_Report!AL:AL)), 0)), "Not Found")</f>
        <v/>
      </c>
      <c r="X356" s="21">
        <f t="array" ref="X356">IFERROR(INDEX(Load_Booking_Report!N:N, MATCH(TRUE, ISNUMBER(FIND(SUBSTITUTE(C356," ",""), Load_Booking_Report!AL:AL)), 0)), "Not Found")</f>
        <v/>
      </c>
      <c r="Y356" s="21">
        <f t="array" ref="Y356">IFERROR(INDEX(Load_Booking_Report!V:V, MATCH(TRUE, ISNUMBER(FIND(SUBSTITUTE(C356," ",""), Load_Booking_Report!AL:AL)), 0)), "Not Found")</f>
        <v/>
      </c>
      <c r="Z356" s="41">
        <f t="array" ref="Z356">IFERROR(INDEX(Load_Booking_Report!BC:BC, MATCH(TRUE, ISNUMBER(FIND(SUBSTITUTE(C356," ",""), Load_Booking_Report!AL:AL)), 0)), "Not Found")</f>
        <v/>
      </c>
    </row>
    <row r="357">
      <c r="A357" t="n">
        <v>22</v>
      </c>
      <c r="B357" t="n">
        <v>220182</v>
      </c>
      <c r="C357" t="inlineStr">
        <is>
          <t>ANON0000000</t>
        </is>
      </c>
      <c r="D357" t="n">
        <v>40</v>
      </c>
      <c r="E357" t="inlineStr">
        <is>
          <t>USNFK</t>
        </is>
      </c>
      <c r="F357" t="inlineStr">
        <is>
          <t>RULED</t>
        </is>
      </c>
      <c r="G357" t="n">
        <v>32720</v>
      </c>
      <c r="H357" t="inlineStr">
        <is>
          <t>ART</t>
        </is>
      </c>
      <c r="I357" t="inlineStr">
        <is>
          <t>45R1</t>
        </is>
      </c>
      <c r="K357" t="inlineStr">
        <is>
          <t>-18.0:CEL</t>
        </is>
      </c>
      <c r="L357" t="inlineStr">
        <is>
          <t>9'6</t>
        </is>
      </c>
      <c r="M357" t="inlineStr">
        <is>
          <t>Full</t>
        </is>
      </c>
      <c r="N357" t="inlineStr">
        <is>
          <t>RULED</t>
        </is>
      </c>
      <c r="P357" s="21">
        <f>C357</f>
        <v/>
      </c>
      <c r="Q357" s="21">
        <f t="array" ref="Q357">IFERROR(INDEX(Load_Booking_Report!AC:AC, MATCH(TRUE, ISNUMBER(FIND(SUBSTITUTE(C357," ",""), Load_Booking_Report!AL:AL)), 0)), "Not Found")</f>
        <v/>
      </c>
      <c r="R357" s="21">
        <f t="array" ref="R357">IFERROR(INDEX(Load_Booking_Report!C:C, MATCH(TRUE, ISNUMBER(FIND(SUBSTITUTE(C357," ",""), Load_Booking_Report!AL:AL)), 0)), "Not Found")</f>
        <v/>
      </c>
      <c r="S357" s="21">
        <f t="array" ref="S357">IFERROR(INDEX(Load_Booking_Report!AG:AG, MATCH(TRUE, ISNUMBER(FIND(SUBSTITUTE(C357," ",""), Load_Booking_Report!AL:AL)), 0)), "Not Found")</f>
        <v/>
      </c>
      <c r="T357" s="21">
        <f>G357</f>
        <v/>
      </c>
      <c r="U357" s="33">
        <f t="array" ref="U357">IFERROR(
   IF(
      INDEX(Load_Booking_Report!AM:AM,
             MATCH(TRUE,
                     ISNUMBER(FIND(SUBSTITUTE(C357," ",""),
                                    Load_Booking_Report!AL:AL)),
                     0)
      )=0,
      "",
      INDEX(Load_Booking_Report!AM:AM,
             MATCH(TRUE,
                     ISNUMBER(FIND(SUBSTITUTE(C357," ",""),
                                    Load_Booking_Report!AL:AL)),
                     0)
      )
   ),
   ""
)</f>
        <v/>
      </c>
      <c r="V357" s="21">
        <f t="array" ref="V357">IFERROR(
   IF(
      INDEX(Load_Booking_Report!AR:AR,
             MATCH(TRUE,
                     ISNUMBER(FIND(SUBSTITUTE(C357," ",""),
                                    Load_Booking_Report!AL:AL)),
                     0)
      )=0,
      "",
      INDEX(Load_Booking_Report!AR:AR,
             MATCH(TRUE,
                     ISNUMBER(FIND(SUBSTITUTE(C357," ",""),
                                    Load_Booking_Report!AL:AL)),
                     0)
      )
   ),
   ""
)</f>
        <v/>
      </c>
      <c r="W357" s="21">
        <f t="array" ref="W357">IFERROR(INDEX(Load_Booking_Report!F:F, MATCH(TRUE, ISNUMBER(FIND(SUBSTITUTE(C357," ",""), Load_Booking_Report!AL:AL)), 0)), "Not Found")</f>
        <v/>
      </c>
      <c r="X357" s="21">
        <f t="array" ref="X357">IFERROR(INDEX(Load_Booking_Report!N:N, MATCH(TRUE, ISNUMBER(FIND(SUBSTITUTE(C357," ",""), Load_Booking_Report!AL:AL)), 0)), "Not Found")</f>
        <v/>
      </c>
      <c r="Y357" s="21">
        <f t="array" ref="Y357">IFERROR(INDEX(Load_Booking_Report!V:V, MATCH(TRUE, ISNUMBER(FIND(SUBSTITUTE(C357," ",""), Load_Booking_Report!AL:AL)), 0)), "Not Found")</f>
        <v/>
      </c>
      <c r="Z357" s="41">
        <f t="array" ref="Z357">IFERROR(INDEX(Load_Booking_Report!BC:BC, MATCH(TRUE, ISNUMBER(FIND(SUBSTITUTE(C357," ",""), Load_Booking_Report!AL:AL)), 0)), "Not Found")</f>
        <v/>
      </c>
    </row>
    <row r="358">
      <c r="A358" t="n">
        <v>22</v>
      </c>
      <c r="B358" t="n">
        <v>220682</v>
      </c>
      <c r="C358" t="inlineStr">
        <is>
          <t>ANON0000000</t>
        </is>
      </c>
      <c r="D358" t="n">
        <v>40</v>
      </c>
      <c r="E358" t="inlineStr">
        <is>
          <t>USNFK</t>
        </is>
      </c>
      <c r="F358" t="inlineStr">
        <is>
          <t>RULED</t>
        </is>
      </c>
      <c r="G358" t="n">
        <v>32740</v>
      </c>
      <c r="H358" t="inlineStr">
        <is>
          <t>ART</t>
        </is>
      </c>
      <c r="I358" t="inlineStr">
        <is>
          <t>45R1</t>
        </is>
      </c>
      <c r="K358" t="inlineStr">
        <is>
          <t>-18.0:CEL</t>
        </is>
      </c>
      <c r="L358" t="inlineStr">
        <is>
          <t>9'6</t>
        </is>
      </c>
      <c r="M358" t="inlineStr">
        <is>
          <t>Full</t>
        </is>
      </c>
      <c r="N358" t="inlineStr">
        <is>
          <t>RULED</t>
        </is>
      </c>
      <c r="P358" s="21">
        <f>C358</f>
        <v/>
      </c>
      <c r="Q358" s="21">
        <f t="array" ref="Q358">IFERROR(INDEX(Load_Booking_Report!AC:AC, MATCH(TRUE, ISNUMBER(FIND(SUBSTITUTE(C358," ",""), Load_Booking_Report!AL:AL)), 0)), "Not Found")</f>
        <v/>
      </c>
      <c r="R358" s="21">
        <f t="array" ref="R358">IFERROR(INDEX(Load_Booking_Report!C:C, MATCH(TRUE, ISNUMBER(FIND(SUBSTITUTE(C358," ",""), Load_Booking_Report!AL:AL)), 0)), "Not Found")</f>
        <v/>
      </c>
      <c r="S358" s="21">
        <f t="array" ref="S358">IFERROR(INDEX(Load_Booking_Report!AG:AG, MATCH(TRUE, ISNUMBER(FIND(SUBSTITUTE(C358," ",""), Load_Booking_Report!AL:AL)), 0)), "Not Found")</f>
        <v/>
      </c>
      <c r="T358" s="21">
        <f>G358</f>
        <v/>
      </c>
      <c r="U358" s="33">
        <f t="array" ref="U358">IFERROR(
   IF(
      INDEX(Load_Booking_Report!AM:AM,
             MATCH(TRUE,
                     ISNUMBER(FIND(SUBSTITUTE(C358," ",""),
                                    Load_Booking_Report!AL:AL)),
                     0)
      )=0,
      "",
      INDEX(Load_Booking_Report!AM:AM,
             MATCH(TRUE,
                     ISNUMBER(FIND(SUBSTITUTE(C358," ",""),
                                    Load_Booking_Report!AL:AL)),
                     0)
      )
   ),
   ""
)</f>
        <v/>
      </c>
      <c r="V358" s="21">
        <f t="array" ref="V358">IFERROR(
   IF(
      INDEX(Load_Booking_Report!AR:AR,
             MATCH(TRUE,
                     ISNUMBER(FIND(SUBSTITUTE(C358," ",""),
                                    Load_Booking_Report!AL:AL)),
                     0)
      )=0,
      "",
      INDEX(Load_Booking_Report!AR:AR,
             MATCH(TRUE,
                     ISNUMBER(FIND(SUBSTITUTE(C358," ",""),
                                    Load_Booking_Report!AL:AL)),
                     0)
      )
   ),
   ""
)</f>
        <v/>
      </c>
      <c r="W358" s="21">
        <f t="array" ref="W358">IFERROR(INDEX(Load_Booking_Report!F:F, MATCH(TRUE, ISNUMBER(FIND(SUBSTITUTE(C358," ",""), Load_Booking_Report!AL:AL)), 0)), "Not Found")</f>
        <v/>
      </c>
      <c r="X358" s="21">
        <f t="array" ref="X358">IFERROR(INDEX(Load_Booking_Report!N:N, MATCH(TRUE, ISNUMBER(FIND(SUBSTITUTE(C358," ",""), Load_Booking_Report!AL:AL)), 0)), "Not Found")</f>
        <v/>
      </c>
      <c r="Y358" s="21">
        <f t="array" ref="Y358">IFERROR(INDEX(Load_Booking_Report!V:V, MATCH(TRUE, ISNUMBER(FIND(SUBSTITUTE(C358," ",""), Load_Booking_Report!AL:AL)), 0)), "Not Found")</f>
        <v/>
      </c>
      <c r="Z358" s="41">
        <f t="array" ref="Z358">IFERROR(INDEX(Load_Booking_Report!BC:BC, MATCH(TRUE, ISNUMBER(FIND(SUBSTITUTE(C358," ",""), Load_Booking_Report!AL:AL)), 0)), "Not Found")</f>
        <v/>
      </c>
    </row>
    <row r="359">
      <c r="A359" t="n">
        <v>10</v>
      </c>
      <c r="B359" t="n">
        <v>100182</v>
      </c>
      <c r="C359" t="inlineStr">
        <is>
          <t>ANON0000000</t>
        </is>
      </c>
      <c r="D359" t="n">
        <v>40</v>
      </c>
      <c r="E359" t="inlineStr">
        <is>
          <t>USNFK</t>
        </is>
      </c>
      <c r="F359" t="inlineStr">
        <is>
          <t>RULED</t>
        </is>
      </c>
      <c r="G359" t="n">
        <v>32960</v>
      </c>
      <c r="H359" t="inlineStr">
        <is>
          <t>ART</t>
        </is>
      </c>
      <c r="I359" t="inlineStr">
        <is>
          <t>45R1</t>
        </is>
      </c>
      <c r="K359" t="inlineStr">
        <is>
          <t>-18.0:CEL</t>
        </is>
      </c>
      <c r="L359" t="inlineStr">
        <is>
          <t>9'6</t>
        </is>
      </c>
      <c r="M359" t="inlineStr">
        <is>
          <t>Full</t>
        </is>
      </c>
      <c r="N359" t="inlineStr">
        <is>
          <t>RULED</t>
        </is>
      </c>
      <c r="P359" s="21">
        <f>C359</f>
        <v/>
      </c>
      <c r="Q359" s="21">
        <f t="array" ref="Q359">IFERROR(INDEX(Load_Booking_Report!AC:AC, MATCH(TRUE, ISNUMBER(FIND(SUBSTITUTE(C359," ",""), Load_Booking_Report!AL:AL)), 0)), "Not Found")</f>
        <v/>
      </c>
      <c r="R359" s="21">
        <f t="array" ref="R359">IFERROR(INDEX(Load_Booking_Report!C:C, MATCH(TRUE, ISNUMBER(FIND(SUBSTITUTE(C359," ",""), Load_Booking_Report!AL:AL)), 0)), "Not Found")</f>
        <v/>
      </c>
      <c r="S359" s="21">
        <f t="array" ref="S359">IFERROR(INDEX(Load_Booking_Report!AG:AG, MATCH(TRUE, ISNUMBER(FIND(SUBSTITUTE(C359," ",""), Load_Booking_Report!AL:AL)), 0)), "Not Found")</f>
        <v/>
      </c>
      <c r="T359" s="21">
        <f>G359</f>
        <v/>
      </c>
      <c r="U359" s="33">
        <f t="array" ref="U359">IFERROR(
   IF(
      INDEX(Load_Booking_Report!AM:AM,
             MATCH(TRUE,
                     ISNUMBER(FIND(SUBSTITUTE(C359," ",""),
                                    Load_Booking_Report!AL:AL)),
                     0)
      )=0,
      "",
      INDEX(Load_Booking_Report!AM:AM,
             MATCH(TRUE,
                     ISNUMBER(FIND(SUBSTITUTE(C359," ",""),
                                    Load_Booking_Report!AL:AL)),
                     0)
      )
   ),
   ""
)</f>
        <v/>
      </c>
      <c r="V359" s="21">
        <f t="array" ref="V359">IFERROR(
   IF(
      INDEX(Load_Booking_Report!AR:AR,
             MATCH(TRUE,
                     ISNUMBER(FIND(SUBSTITUTE(C359," ",""),
                                    Load_Booking_Report!AL:AL)),
                     0)
      )=0,
      "",
      INDEX(Load_Booking_Report!AR:AR,
             MATCH(TRUE,
                     ISNUMBER(FIND(SUBSTITUTE(C359," ",""),
                                    Load_Booking_Report!AL:AL)),
                     0)
      )
   ),
   ""
)</f>
        <v/>
      </c>
      <c r="W359" s="21">
        <f t="array" ref="W359">IFERROR(INDEX(Load_Booking_Report!F:F, MATCH(TRUE, ISNUMBER(FIND(SUBSTITUTE(C359," ",""), Load_Booking_Report!AL:AL)), 0)), "Not Found")</f>
        <v/>
      </c>
      <c r="X359" s="21">
        <f t="array" ref="X359">IFERROR(INDEX(Load_Booking_Report!N:N, MATCH(TRUE, ISNUMBER(FIND(SUBSTITUTE(C359," ",""), Load_Booking_Report!AL:AL)), 0)), "Not Found")</f>
        <v/>
      </c>
      <c r="Y359" s="21">
        <f t="array" ref="Y359">IFERROR(INDEX(Load_Booking_Report!V:V, MATCH(TRUE, ISNUMBER(FIND(SUBSTITUTE(C359," ",""), Load_Booking_Report!AL:AL)), 0)), "Not Found")</f>
        <v/>
      </c>
      <c r="Z359" s="41">
        <f t="array" ref="Z359">IFERROR(INDEX(Load_Booking_Report!BC:BC, MATCH(TRUE, ISNUMBER(FIND(SUBSTITUTE(C359," ",""), Load_Booking_Report!AL:AL)), 0)), "Not Found")</f>
        <v/>
      </c>
    </row>
    <row r="360">
      <c r="A360" t="n">
        <v>22</v>
      </c>
      <c r="B360" t="n">
        <v>221082</v>
      </c>
      <c r="C360" t="inlineStr">
        <is>
          <t>ANON0000000</t>
        </is>
      </c>
      <c r="D360" t="n">
        <v>40</v>
      </c>
      <c r="E360" t="inlineStr">
        <is>
          <t>USNFK</t>
        </is>
      </c>
      <c r="F360" t="inlineStr">
        <is>
          <t>RULED</t>
        </is>
      </c>
      <c r="G360" t="n">
        <v>32640</v>
      </c>
      <c r="H360" t="inlineStr">
        <is>
          <t>ART</t>
        </is>
      </c>
      <c r="I360" t="inlineStr">
        <is>
          <t>45R1</t>
        </is>
      </c>
      <c r="K360" t="inlineStr">
        <is>
          <t>-18.0:CEL</t>
        </is>
      </c>
      <c r="L360" t="inlineStr">
        <is>
          <t>9'6</t>
        </is>
      </c>
      <c r="M360" t="inlineStr">
        <is>
          <t>Full</t>
        </is>
      </c>
      <c r="N360" t="inlineStr">
        <is>
          <t>RULED</t>
        </is>
      </c>
      <c r="P360" s="21">
        <f>C360</f>
        <v/>
      </c>
      <c r="Q360" s="21">
        <f t="array" ref="Q360">IFERROR(INDEX(Load_Booking_Report!AC:AC, MATCH(TRUE, ISNUMBER(FIND(SUBSTITUTE(C360," ",""), Load_Booking_Report!AL:AL)), 0)), "Not Found")</f>
        <v/>
      </c>
      <c r="R360" s="21">
        <f t="array" ref="R360">IFERROR(INDEX(Load_Booking_Report!C:C, MATCH(TRUE, ISNUMBER(FIND(SUBSTITUTE(C360," ",""), Load_Booking_Report!AL:AL)), 0)), "Not Found")</f>
        <v/>
      </c>
      <c r="S360" s="21">
        <f t="array" ref="S360">IFERROR(INDEX(Load_Booking_Report!AG:AG, MATCH(TRUE, ISNUMBER(FIND(SUBSTITUTE(C360," ",""), Load_Booking_Report!AL:AL)), 0)), "Not Found")</f>
        <v/>
      </c>
      <c r="T360" s="21">
        <f>G360</f>
        <v/>
      </c>
      <c r="U360" s="33">
        <f t="array" ref="U360">IFERROR(
   IF(
      INDEX(Load_Booking_Report!AM:AM,
             MATCH(TRUE,
                     ISNUMBER(FIND(SUBSTITUTE(C360," ",""),
                                    Load_Booking_Report!AL:AL)),
                     0)
      )=0,
      "",
      INDEX(Load_Booking_Report!AM:AM,
             MATCH(TRUE,
                     ISNUMBER(FIND(SUBSTITUTE(C360," ",""),
                                    Load_Booking_Report!AL:AL)),
                     0)
      )
   ),
   ""
)</f>
        <v/>
      </c>
      <c r="V360" s="21">
        <f t="array" ref="V360">IFERROR(
   IF(
      INDEX(Load_Booking_Report!AR:AR,
             MATCH(TRUE,
                     ISNUMBER(FIND(SUBSTITUTE(C360," ",""),
                                    Load_Booking_Report!AL:AL)),
                     0)
      )=0,
      "",
      INDEX(Load_Booking_Report!AR:AR,
             MATCH(TRUE,
                     ISNUMBER(FIND(SUBSTITUTE(C360," ",""),
                                    Load_Booking_Report!AL:AL)),
                     0)
      )
   ),
   ""
)</f>
        <v/>
      </c>
      <c r="W360" s="21">
        <f t="array" ref="W360">IFERROR(INDEX(Load_Booking_Report!F:F, MATCH(TRUE, ISNUMBER(FIND(SUBSTITUTE(C360," ",""), Load_Booking_Report!AL:AL)), 0)), "Not Found")</f>
        <v/>
      </c>
      <c r="X360" s="21">
        <f t="array" ref="X360">IFERROR(INDEX(Load_Booking_Report!N:N, MATCH(TRUE, ISNUMBER(FIND(SUBSTITUTE(C360," ",""), Load_Booking_Report!AL:AL)), 0)), "Not Found")</f>
        <v/>
      </c>
      <c r="Y360" s="21">
        <f t="array" ref="Y360">IFERROR(INDEX(Load_Booking_Report!V:V, MATCH(TRUE, ISNUMBER(FIND(SUBSTITUTE(C360," ",""), Load_Booking_Report!AL:AL)), 0)), "Not Found")</f>
        <v/>
      </c>
      <c r="Z360" s="41">
        <f t="array" ref="Z360">IFERROR(INDEX(Load_Booking_Report!BC:BC, MATCH(TRUE, ISNUMBER(FIND(SUBSTITUTE(C360," ",""), Load_Booking_Report!AL:AL)), 0)), "Not Found")</f>
        <v/>
      </c>
    </row>
    <row r="361">
      <c r="A361" t="n">
        <v>10</v>
      </c>
      <c r="B361" t="n">
        <v>100582</v>
      </c>
      <c r="C361" t="inlineStr">
        <is>
          <t>ANON0000000</t>
        </is>
      </c>
      <c r="D361" t="n">
        <v>40</v>
      </c>
      <c r="E361" t="inlineStr">
        <is>
          <t>USNFK</t>
        </is>
      </c>
      <c r="F361" t="inlineStr">
        <is>
          <t>RULED</t>
        </is>
      </c>
      <c r="G361" t="n">
        <v>32720</v>
      </c>
      <c r="H361" t="inlineStr">
        <is>
          <t>ART</t>
        </is>
      </c>
      <c r="I361" t="inlineStr">
        <is>
          <t>45R1</t>
        </is>
      </c>
      <c r="K361" t="inlineStr">
        <is>
          <t>-18.0:CEL</t>
        </is>
      </c>
      <c r="L361" t="inlineStr">
        <is>
          <t>9'6</t>
        </is>
      </c>
      <c r="M361" t="inlineStr">
        <is>
          <t>Full</t>
        </is>
      </c>
      <c r="N361" t="inlineStr">
        <is>
          <t>RULED</t>
        </is>
      </c>
      <c r="P361" s="21">
        <f>C361</f>
        <v/>
      </c>
      <c r="Q361" s="21">
        <f t="array" ref="Q361">IFERROR(INDEX(Load_Booking_Report!AC:AC, MATCH(TRUE, ISNUMBER(FIND(SUBSTITUTE(C361," ",""), Load_Booking_Report!AL:AL)), 0)), "Not Found")</f>
        <v/>
      </c>
      <c r="R361" s="21">
        <f t="array" ref="R361">IFERROR(INDEX(Load_Booking_Report!C:C, MATCH(TRUE, ISNUMBER(FIND(SUBSTITUTE(C361," ",""), Load_Booking_Report!AL:AL)), 0)), "Not Found")</f>
        <v/>
      </c>
      <c r="S361" s="21">
        <f t="array" ref="S361">IFERROR(INDEX(Load_Booking_Report!AG:AG, MATCH(TRUE, ISNUMBER(FIND(SUBSTITUTE(C361," ",""), Load_Booking_Report!AL:AL)), 0)), "Not Found")</f>
        <v/>
      </c>
      <c r="T361" s="21">
        <f>G361</f>
        <v/>
      </c>
      <c r="U361" s="33">
        <f t="array" ref="U361">IFERROR(
   IF(
      INDEX(Load_Booking_Report!AM:AM,
             MATCH(TRUE,
                     ISNUMBER(FIND(SUBSTITUTE(C361," ",""),
                                    Load_Booking_Report!AL:AL)),
                     0)
      )=0,
      "",
      INDEX(Load_Booking_Report!AM:AM,
             MATCH(TRUE,
                     ISNUMBER(FIND(SUBSTITUTE(C361," ",""),
                                    Load_Booking_Report!AL:AL)),
                     0)
      )
   ),
   ""
)</f>
        <v/>
      </c>
      <c r="V361" s="21">
        <f t="array" ref="V361">IFERROR(
   IF(
      INDEX(Load_Booking_Report!AR:AR,
             MATCH(TRUE,
                     ISNUMBER(FIND(SUBSTITUTE(C361," ",""),
                                    Load_Booking_Report!AL:AL)),
                     0)
      )=0,
      "",
      INDEX(Load_Booking_Report!AR:AR,
             MATCH(TRUE,
                     ISNUMBER(FIND(SUBSTITUTE(C361," ",""),
                                    Load_Booking_Report!AL:AL)),
                     0)
      )
   ),
   ""
)</f>
        <v/>
      </c>
      <c r="W361" s="21">
        <f t="array" ref="W361">IFERROR(INDEX(Load_Booking_Report!F:F, MATCH(TRUE, ISNUMBER(FIND(SUBSTITUTE(C361," ",""), Load_Booking_Report!AL:AL)), 0)), "Not Found")</f>
        <v/>
      </c>
      <c r="X361" s="21">
        <f t="array" ref="X361">IFERROR(INDEX(Load_Booking_Report!N:N, MATCH(TRUE, ISNUMBER(FIND(SUBSTITUTE(C361," ",""), Load_Booking_Report!AL:AL)), 0)), "Not Found")</f>
        <v/>
      </c>
      <c r="Y361" s="21">
        <f t="array" ref="Y361">IFERROR(INDEX(Load_Booking_Report!V:V, MATCH(TRUE, ISNUMBER(FIND(SUBSTITUTE(C361," ",""), Load_Booking_Report!AL:AL)), 0)), "Not Found")</f>
        <v/>
      </c>
      <c r="Z361" s="41">
        <f t="array" ref="Z361">IFERROR(INDEX(Load_Booking_Report!BC:BC, MATCH(TRUE, ISNUMBER(FIND(SUBSTITUTE(C361," ",""), Load_Booking_Report!AL:AL)), 0)), "Not Found")</f>
        <v/>
      </c>
    </row>
    <row r="362">
      <c r="A362" t="n">
        <v>22</v>
      </c>
      <c r="B362" t="n">
        <v>220282</v>
      </c>
      <c r="C362" t="inlineStr">
        <is>
          <t>ANON0000000</t>
        </is>
      </c>
      <c r="D362" t="n">
        <v>40</v>
      </c>
      <c r="E362" t="inlineStr">
        <is>
          <t>USNFK</t>
        </is>
      </c>
      <c r="F362" t="inlineStr">
        <is>
          <t>RULED</t>
        </is>
      </c>
      <c r="G362" t="n">
        <v>33000</v>
      </c>
      <c r="H362" t="inlineStr">
        <is>
          <t>ART</t>
        </is>
      </c>
      <c r="I362" t="inlineStr">
        <is>
          <t>45R1</t>
        </is>
      </c>
      <c r="K362" t="inlineStr">
        <is>
          <t>-18.0:CEL</t>
        </is>
      </c>
      <c r="L362" t="inlineStr">
        <is>
          <t>9'6</t>
        </is>
      </c>
      <c r="M362" t="inlineStr">
        <is>
          <t>Full</t>
        </is>
      </c>
      <c r="N362" t="inlineStr">
        <is>
          <t>RULED</t>
        </is>
      </c>
      <c r="P362" s="21">
        <f>C362</f>
        <v/>
      </c>
      <c r="Q362" s="21">
        <f t="array" ref="Q362">IFERROR(INDEX(Load_Booking_Report!AC:AC, MATCH(TRUE, ISNUMBER(FIND(SUBSTITUTE(C362," ",""), Load_Booking_Report!AL:AL)), 0)), "Not Found")</f>
        <v/>
      </c>
      <c r="R362" s="21">
        <f t="array" ref="R362">IFERROR(INDEX(Load_Booking_Report!C:C, MATCH(TRUE, ISNUMBER(FIND(SUBSTITUTE(C362," ",""), Load_Booking_Report!AL:AL)), 0)), "Not Found")</f>
        <v/>
      </c>
      <c r="S362" s="21">
        <f t="array" ref="S362">IFERROR(INDEX(Load_Booking_Report!AG:AG, MATCH(TRUE, ISNUMBER(FIND(SUBSTITUTE(C362," ",""), Load_Booking_Report!AL:AL)), 0)), "Not Found")</f>
        <v/>
      </c>
      <c r="T362" s="21">
        <f>G362</f>
        <v/>
      </c>
      <c r="U362" s="33">
        <f t="array" ref="U362">IFERROR(
   IF(
      INDEX(Load_Booking_Report!AM:AM,
             MATCH(TRUE,
                     ISNUMBER(FIND(SUBSTITUTE(C362," ",""),
                                    Load_Booking_Report!AL:AL)),
                     0)
      )=0,
      "",
      INDEX(Load_Booking_Report!AM:AM,
             MATCH(TRUE,
                     ISNUMBER(FIND(SUBSTITUTE(C362," ",""),
                                    Load_Booking_Report!AL:AL)),
                     0)
      )
   ),
   ""
)</f>
        <v/>
      </c>
      <c r="V362" s="21">
        <f t="array" ref="V362">IFERROR(
   IF(
      INDEX(Load_Booking_Report!AR:AR,
             MATCH(TRUE,
                     ISNUMBER(FIND(SUBSTITUTE(C362," ",""),
                                    Load_Booking_Report!AL:AL)),
                     0)
      )=0,
      "",
      INDEX(Load_Booking_Report!AR:AR,
             MATCH(TRUE,
                     ISNUMBER(FIND(SUBSTITUTE(C362," ",""),
                                    Load_Booking_Report!AL:AL)),
                     0)
      )
   ),
   ""
)</f>
        <v/>
      </c>
      <c r="W362" s="21">
        <f t="array" ref="W362">IFERROR(INDEX(Load_Booking_Report!F:F, MATCH(TRUE, ISNUMBER(FIND(SUBSTITUTE(C362," ",""), Load_Booking_Report!AL:AL)), 0)), "Not Found")</f>
        <v/>
      </c>
      <c r="X362" s="21">
        <f t="array" ref="X362">IFERROR(INDEX(Load_Booking_Report!N:N, MATCH(TRUE, ISNUMBER(FIND(SUBSTITUTE(C362," ",""), Load_Booking_Report!AL:AL)), 0)), "Not Found")</f>
        <v/>
      </c>
      <c r="Y362" s="21">
        <f t="array" ref="Y362">IFERROR(INDEX(Load_Booking_Report!V:V, MATCH(TRUE, ISNUMBER(FIND(SUBSTITUTE(C362," ",""), Load_Booking_Report!AL:AL)), 0)), "Not Found")</f>
        <v/>
      </c>
      <c r="Z362" s="41">
        <f t="array" ref="Z362">IFERROR(INDEX(Load_Booking_Report!BC:BC, MATCH(TRUE, ISNUMBER(FIND(SUBSTITUTE(C362," ",""), Load_Booking_Report!AL:AL)), 0)), "Not Found")</f>
        <v/>
      </c>
    </row>
    <row r="363">
      <c r="A363" t="n">
        <v>18</v>
      </c>
      <c r="B363" t="n">
        <v>180486</v>
      </c>
      <c r="C363" t="inlineStr">
        <is>
          <t>ANON0000000</t>
        </is>
      </c>
      <c r="D363" t="n">
        <v>40</v>
      </c>
      <c r="E363" t="inlineStr">
        <is>
          <t>USNFK</t>
        </is>
      </c>
      <c r="F363" t="inlineStr">
        <is>
          <t>RULED</t>
        </is>
      </c>
      <c r="G363" t="n">
        <v>32820</v>
      </c>
      <c r="H363" t="inlineStr">
        <is>
          <t>ART</t>
        </is>
      </c>
      <c r="I363" t="inlineStr">
        <is>
          <t>45R1</t>
        </is>
      </c>
      <c r="K363" t="inlineStr">
        <is>
          <t>-18.0:CEL</t>
        </is>
      </c>
      <c r="L363" t="inlineStr">
        <is>
          <t>9'6</t>
        </is>
      </c>
      <c r="M363" t="inlineStr">
        <is>
          <t>Full</t>
        </is>
      </c>
      <c r="N363" t="inlineStr">
        <is>
          <t>RULED</t>
        </is>
      </c>
      <c r="P363" s="21">
        <f>C363</f>
        <v/>
      </c>
      <c r="Q363" s="21">
        <f t="array" ref="Q363">IFERROR(INDEX(Load_Booking_Report!AC:AC, MATCH(TRUE, ISNUMBER(FIND(SUBSTITUTE(C363," ",""), Load_Booking_Report!AL:AL)), 0)), "Not Found")</f>
        <v/>
      </c>
      <c r="R363" s="21">
        <f t="array" ref="R363">IFERROR(INDEX(Load_Booking_Report!C:C, MATCH(TRUE, ISNUMBER(FIND(SUBSTITUTE(C363," ",""), Load_Booking_Report!AL:AL)), 0)), "Not Found")</f>
        <v/>
      </c>
      <c r="S363" s="21">
        <f t="array" ref="S363">IFERROR(INDEX(Load_Booking_Report!AG:AG, MATCH(TRUE, ISNUMBER(FIND(SUBSTITUTE(C363," ",""), Load_Booking_Report!AL:AL)), 0)), "Not Found")</f>
        <v/>
      </c>
      <c r="T363" s="21">
        <f>G363</f>
        <v/>
      </c>
      <c r="U363" s="33">
        <f t="array" ref="U363">IFERROR(
   IF(
      INDEX(Load_Booking_Report!AM:AM,
             MATCH(TRUE,
                     ISNUMBER(FIND(SUBSTITUTE(C363," ",""),
                                    Load_Booking_Report!AL:AL)),
                     0)
      )=0,
      "",
      INDEX(Load_Booking_Report!AM:AM,
             MATCH(TRUE,
                     ISNUMBER(FIND(SUBSTITUTE(C363," ",""),
                                    Load_Booking_Report!AL:AL)),
                     0)
      )
   ),
   ""
)</f>
        <v/>
      </c>
      <c r="V363" s="21">
        <f t="array" ref="V363">IFERROR(
   IF(
      INDEX(Load_Booking_Report!AR:AR,
             MATCH(TRUE,
                     ISNUMBER(FIND(SUBSTITUTE(C363," ",""),
                                    Load_Booking_Report!AL:AL)),
                     0)
      )=0,
      "",
      INDEX(Load_Booking_Report!AR:AR,
             MATCH(TRUE,
                     ISNUMBER(FIND(SUBSTITUTE(C363," ",""),
                                    Load_Booking_Report!AL:AL)),
                     0)
      )
   ),
   ""
)</f>
        <v/>
      </c>
      <c r="W363" s="21">
        <f t="array" ref="W363">IFERROR(INDEX(Load_Booking_Report!F:F, MATCH(TRUE, ISNUMBER(FIND(SUBSTITUTE(C363," ",""), Load_Booking_Report!AL:AL)), 0)), "Not Found")</f>
        <v/>
      </c>
      <c r="X363" s="21">
        <f t="array" ref="X363">IFERROR(INDEX(Load_Booking_Report!N:N, MATCH(TRUE, ISNUMBER(FIND(SUBSTITUTE(C363," ",""), Load_Booking_Report!AL:AL)), 0)), "Not Found")</f>
        <v/>
      </c>
      <c r="Y363" s="21">
        <f t="array" ref="Y363">IFERROR(INDEX(Load_Booking_Report!V:V, MATCH(TRUE, ISNUMBER(FIND(SUBSTITUTE(C363," ",""), Load_Booking_Report!AL:AL)), 0)), "Not Found")</f>
        <v/>
      </c>
      <c r="Z363" s="41">
        <f t="array" ref="Z363">IFERROR(INDEX(Load_Booking_Report!BC:BC, MATCH(TRUE, ISNUMBER(FIND(SUBSTITUTE(C363," ",""), Load_Booking_Report!AL:AL)), 0)), "Not Found")</f>
        <v/>
      </c>
    </row>
    <row r="364">
      <c r="A364" t="n">
        <v>6</v>
      </c>
      <c r="B364" t="n">
        <v>60884</v>
      </c>
      <c r="C364" t="inlineStr">
        <is>
          <t>ANON0000000</t>
        </is>
      </c>
      <c r="D364" t="n">
        <v>40</v>
      </c>
      <c r="E364" t="inlineStr">
        <is>
          <t>USNFK</t>
        </is>
      </c>
      <c r="F364" t="inlineStr">
        <is>
          <t>RULED</t>
        </is>
      </c>
      <c r="G364" t="n">
        <v>32800</v>
      </c>
      <c r="H364" t="inlineStr">
        <is>
          <t>ART</t>
        </is>
      </c>
      <c r="I364" t="inlineStr">
        <is>
          <t>45R1</t>
        </is>
      </c>
      <c r="K364" t="inlineStr">
        <is>
          <t>-18.0:CEL</t>
        </is>
      </c>
      <c r="L364" t="inlineStr">
        <is>
          <t>9'6</t>
        </is>
      </c>
      <c r="M364" t="inlineStr">
        <is>
          <t>Full</t>
        </is>
      </c>
      <c r="N364" t="inlineStr">
        <is>
          <t>RULED</t>
        </is>
      </c>
      <c r="P364" s="21">
        <f>C364</f>
        <v/>
      </c>
      <c r="Q364" s="21">
        <f t="array" ref="Q364">IFERROR(INDEX(Load_Booking_Report!AC:AC, MATCH(TRUE, ISNUMBER(FIND(SUBSTITUTE(C364," ",""), Load_Booking_Report!AL:AL)), 0)), "Not Found")</f>
        <v/>
      </c>
      <c r="R364" s="21">
        <f t="array" ref="R364">IFERROR(INDEX(Load_Booking_Report!C:C, MATCH(TRUE, ISNUMBER(FIND(SUBSTITUTE(C364," ",""), Load_Booking_Report!AL:AL)), 0)), "Not Found")</f>
        <v/>
      </c>
      <c r="S364" s="21">
        <f t="array" ref="S364">IFERROR(INDEX(Load_Booking_Report!AG:AG, MATCH(TRUE, ISNUMBER(FIND(SUBSTITUTE(C364," ",""), Load_Booking_Report!AL:AL)), 0)), "Not Found")</f>
        <v/>
      </c>
      <c r="T364" s="21">
        <f>G364</f>
        <v/>
      </c>
      <c r="U364" s="33">
        <f t="array" ref="U364">IFERROR(
   IF(
      INDEX(Load_Booking_Report!AM:AM,
             MATCH(TRUE,
                     ISNUMBER(FIND(SUBSTITUTE(C364," ",""),
                                    Load_Booking_Report!AL:AL)),
                     0)
      )=0,
      "",
      INDEX(Load_Booking_Report!AM:AM,
             MATCH(TRUE,
                     ISNUMBER(FIND(SUBSTITUTE(C364," ",""),
                                    Load_Booking_Report!AL:AL)),
                     0)
      )
   ),
   ""
)</f>
        <v/>
      </c>
      <c r="V364" s="21">
        <f t="array" ref="V364">IFERROR(
   IF(
      INDEX(Load_Booking_Report!AR:AR,
             MATCH(TRUE,
                     ISNUMBER(FIND(SUBSTITUTE(C364," ",""),
                                    Load_Booking_Report!AL:AL)),
                     0)
      )=0,
      "",
      INDEX(Load_Booking_Report!AR:AR,
             MATCH(TRUE,
                     ISNUMBER(FIND(SUBSTITUTE(C364," ",""),
                                    Load_Booking_Report!AL:AL)),
                     0)
      )
   ),
   ""
)</f>
        <v/>
      </c>
      <c r="W364" s="21">
        <f t="array" ref="W364">IFERROR(INDEX(Load_Booking_Report!F:F, MATCH(TRUE, ISNUMBER(FIND(SUBSTITUTE(C364," ",""), Load_Booking_Report!AL:AL)), 0)), "Not Found")</f>
        <v/>
      </c>
      <c r="X364" s="21">
        <f t="array" ref="X364">IFERROR(INDEX(Load_Booking_Report!N:N, MATCH(TRUE, ISNUMBER(FIND(SUBSTITUTE(C364," ",""), Load_Booking_Report!AL:AL)), 0)), "Not Found")</f>
        <v/>
      </c>
      <c r="Y364" s="21">
        <f t="array" ref="Y364">IFERROR(INDEX(Load_Booking_Report!V:V, MATCH(TRUE, ISNUMBER(FIND(SUBSTITUTE(C364," ",""), Load_Booking_Report!AL:AL)), 0)), "Not Found")</f>
        <v/>
      </c>
      <c r="Z364" s="41">
        <f t="array" ref="Z364">IFERROR(INDEX(Load_Booking_Report!BC:BC, MATCH(TRUE, ISNUMBER(FIND(SUBSTITUTE(C364," ",""), Load_Booking_Report!AL:AL)), 0)), "Not Found")</f>
        <v/>
      </c>
    </row>
    <row r="365">
      <c r="A365" t="n">
        <v>2</v>
      </c>
      <c r="B365" t="n">
        <v>20382</v>
      </c>
      <c r="C365" t="inlineStr">
        <is>
          <t>ANON0000000</t>
        </is>
      </c>
      <c r="D365" t="n">
        <v>40</v>
      </c>
      <c r="E365" t="inlineStr">
        <is>
          <t>USNFK</t>
        </is>
      </c>
      <c r="F365" t="inlineStr">
        <is>
          <t>RULED</t>
        </is>
      </c>
      <c r="G365" t="n">
        <v>32780</v>
      </c>
      <c r="H365" t="inlineStr">
        <is>
          <t>ART</t>
        </is>
      </c>
      <c r="I365" t="inlineStr">
        <is>
          <t>45R1</t>
        </is>
      </c>
      <c r="K365" t="inlineStr">
        <is>
          <t>-18.0:CEL</t>
        </is>
      </c>
      <c r="L365" t="inlineStr">
        <is>
          <t>9'6</t>
        </is>
      </c>
      <c r="M365" t="inlineStr">
        <is>
          <t>Full</t>
        </is>
      </c>
      <c r="N365" t="inlineStr">
        <is>
          <t>RULED</t>
        </is>
      </c>
      <c r="P365" s="21">
        <f>C365</f>
        <v/>
      </c>
      <c r="Q365" s="21">
        <f t="array" ref="Q365">IFERROR(INDEX(Load_Booking_Report!AC:AC, MATCH(TRUE, ISNUMBER(FIND(SUBSTITUTE(C365," ",""), Load_Booking_Report!AL:AL)), 0)), "Not Found")</f>
        <v/>
      </c>
      <c r="R365" s="21">
        <f t="array" ref="R365">IFERROR(INDEX(Load_Booking_Report!C:C, MATCH(TRUE, ISNUMBER(FIND(SUBSTITUTE(C365," ",""), Load_Booking_Report!AL:AL)), 0)), "Not Found")</f>
        <v/>
      </c>
      <c r="S365" s="21">
        <f t="array" ref="S365">IFERROR(INDEX(Load_Booking_Report!AG:AG, MATCH(TRUE, ISNUMBER(FIND(SUBSTITUTE(C365," ",""), Load_Booking_Report!AL:AL)), 0)), "Not Found")</f>
        <v/>
      </c>
      <c r="T365" s="21">
        <f>G365</f>
        <v/>
      </c>
      <c r="U365" s="33">
        <f t="array" ref="U365">IFERROR(
   IF(
      INDEX(Load_Booking_Report!AM:AM,
             MATCH(TRUE,
                     ISNUMBER(FIND(SUBSTITUTE(C365," ",""),
                                    Load_Booking_Report!AL:AL)),
                     0)
      )=0,
      "",
      INDEX(Load_Booking_Report!AM:AM,
             MATCH(TRUE,
                     ISNUMBER(FIND(SUBSTITUTE(C365," ",""),
                                    Load_Booking_Report!AL:AL)),
                     0)
      )
   ),
   ""
)</f>
        <v/>
      </c>
      <c r="V365" s="21">
        <f t="array" ref="V365">IFERROR(
   IF(
      INDEX(Load_Booking_Report!AR:AR,
             MATCH(TRUE,
                     ISNUMBER(FIND(SUBSTITUTE(C365," ",""),
                                    Load_Booking_Report!AL:AL)),
                     0)
      )=0,
      "",
      INDEX(Load_Booking_Report!AR:AR,
             MATCH(TRUE,
                     ISNUMBER(FIND(SUBSTITUTE(C365," ",""),
                                    Load_Booking_Report!AL:AL)),
                     0)
      )
   ),
   ""
)</f>
        <v/>
      </c>
      <c r="W365" s="21">
        <f t="array" ref="W365">IFERROR(INDEX(Load_Booking_Report!F:F, MATCH(TRUE, ISNUMBER(FIND(SUBSTITUTE(C365," ",""), Load_Booking_Report!AL:AL)), 0)), "Not Found")</f>
        <v/>
      </c>
      <c r="X365" s="21">
        <f t="array" ref="X365">IFERROR(INDEX(Load_Booking_Report!N:N, MATCH(TRUE, ISNUMBER(FIND(SUBSTITUTE(C365," ",""), Load_Booking_Report!AL:AL)), 0)), "Not Found")</f>
        <v/>
      </c>
      <c r="Y365" s="21">
        <f t="array" ref="Y365">IFERROR(INDEX(Load_Booking_Report!V:V, MATCH(TRUE, ISNUMBER(FIND(SUBSTITUTE(C365," ",""), Load_Booking_Report!AL:AL)), 0)), "Not Found")</f>
        <v/>
      </c>
      <c r="Z365" s="41">
        <f t="array" ref="Z365">IFERROR(INDEX(Load_Booking_Report!BC:BC, MATCH(TRUE, ISNUMBER(FIND(SUBSTITUTE(C365," ",""), Load_Booking_Report!AL:AL)), 0)), "Not Found")</f>
        <v/>
      </c>
    </row>
    <row r="366">
      <c r="A366" t="n">
        <v>10</v>
      </c>
      <c r="B366" t="n">
        <v>100982</v>
      </c>
      <c r="C366" t="inlineStr">
        <is>
          <t>ANON0000000</t>
        </is>
      </c>
      <c r="D366" t="n">
        <v>40</v>
      </c>
      <c r="E366" t="inlineStr">
        <is>
          <t>USNFK</t>
        </is>
      </c>
      <c r="F366" t="inlineStr">
        <is>
          <t>RULED</t>
        </is>
      </c>
      <c r="G366" t="n">
        <v>32740</v>
      </c>
      <c r="H366" t="inlineStr">
        <is>
          <t>ART</t>
        </is>
      </c>
      <c r="I366" t="inlineStr">
        <is>
          <t>45R1</t>
        </is>
      </c>
      <c r="K366" t="inlineStr">
        <is>
          <t>-18.0:CEL</t>
        </is>
      </c>
      <c r="L366" t="inlineStr">
        <is>
          <t>9'6</t>
        </is>
      </c>
      <c r="M366" t="inlineStr">
        <is>
          <t>Full</t>
        </is>
      </c>
      <c r="N366" t="inlineStr">
        <is>
          <t>RULED</t>
        </is>
      </c>
      <c r="P366" s="21">
        <f>C366</f>
        <v/>
      </c>
      <c r="Q366" s="21">
        <f t="array" ref="Q366">IFERROR(INDEX(Load_Booking_Report!AC:AC, MATCH(TRUE, ISNUMBER(FIND(SUBSTITUTE(C366," ",""), Load_Booking_Report!AL:AL)), 0)), "Not Found")</f>
        <v/>
      </c>
      <c r="R366" s="21">
        <f t="array" ref="R366">IFERROR(INDEX(Load_Booking_Report!C:C, MATCH(TRUE, ISNUMBER(FIND(SUBSTITUTE(C366," ",""), Load_Booking_Report!AL:AL)), 0)), "Not Found")</f>
        <v/>
      </c>
      <c r="S366" s="21">
        <f t="array" ref="S366">IFERROR(INDEX(Load_Booking_Report!AG:AG, MATCH(TRUE, ISNUMBER(FIND(SUBSTITUTE(C366," ",""), Load_Booking_Report!AL:AL)), 0)), "Not Found")</f>
        <v/>
      </c>
      <c r="T366" s="21">
        <f>G366</f>
        <v/>
      </c>
      <c r="U366" s="33">
        <f t="array" ref="U366">IFERROR(
   IF(
      INDEX(Load_Booking_Report!AM:AM,
             MATCH(TRUE,
                     ISNUMBER(FIND(SUBSTITUTE(C366," ",""),
                                    Load_Booking_Report!AL:AL)),
                     0)
      )=0,
      "",
      INDEX(Load_Booking_Report!AM:AM,
             MATCH(TRUE,
                     ISNUMBER(FIND(SUBSTITUTE(C366," ",""),
                                    Load_Booking_Report!AL:AL)),
                     0)
      )
   ),
   ""
)</f>
        <v/>
      </c>
      <c r="V366" s="21">
        <f t="array" ref="V366">IFERROR(
   IF(
      INDEX(Load_Booking_Report!AR:AR,
             MATCH(TRUE,
                     ISNUMBER(FIND(SUBSTITUTE(C366," ",""),
                                    Load_Booking_Report!AL:AL)),
                     0)
      )=0,
      "",
      INDEX(Load_Booking_Report!AR:AR,
             MATCH(TRUE,
                     ISNUMBER(FIND(SUBSTITUTE(C366," ",""),
                                    Load_Booking_Report!AL:AL)),
                     0)
      )
   ),
   ""
)</f>
        <v/>
      </c>
      <c r="W366" s="21">
        <f t="array" ref="W366">IFERROR(INDEX(Load_Booking_Report!F:F, MATCH(TRUE, ISNUMBER(FIND(SUBSTITUTE(C366," ",""), Load_Booking_Report!AL:AL)), 0)), "Not Found")</f>
        <v/>
      </c>
      <c r="X366" s="21">
        <f t="array" ref="X366">IFERROR(INDEX(Load_Booking_Report!N:N, MATCH(TRUE, ISNUMBER(FIND(SUBSTITUTE(C366," ",""), Load_Booking_Report!AL:AL)), 0)), "Not Found")</f>
        <v/>
      </c>
      <c r="Y366" s="21">
        <f t="array" ref="Y366">IFERROR(INDEX(Load_Booking_Report!V:V, MATCH(TRUE, ISNUMBER(FIND(SUBSTITUTE(C366," ",""), Load_Booking_Report!AL:AL)), 0)), "Not Found")</f>
        <v/>
      </c>
      <c r="Z366" s="41">
        <f t="array" ref="Z366">IFERROR(INDEX(Load_Booking_Report!BC:BC, MATCH(TRUE, ISNUMBER(FIND(SUBSTITUTE(C366," ",""), Load_Booking_Report!AL:AL)), 0)), "Not Found")</f>
        <v/>
      </c>
    </row>
    <row r="367">
      <c r="A367" t="n">
        <v>2</v>
      </c>
      <c r="B367" t="n">
        <v>20682</v>
      </c>
      <c r="C367" t="inlineStr">
        <is>
          <t>ANON0000000</t>
        </is>
      </c>
      <c r="D367" t="n">
        <v>40</v>
      </c>
      <c r="E367" t="inlineStr">
        <is>
          <t>USNFK</t>
        </is>
      </c>
      <c r="F367" t="inlineStr">
        <is>
          <t>RULED</t>
        </is>
      </c>
      <c r="G367" t="n">
        <v>32500</v>
      </c>
      <c r="H367" t="inlineStr">
        <is>
          <t>ART</t>
        </is>
      </c>
      <c r="I367" t="inlineStr">
        <is>
          <t>45R1</t>
        </is>
      </c>
      <c r="K367" t="inlineStr">
        <is>
          <t>-18.0:CEL</t>
        </is>
      </c>
      <c r="L367" t="inlineStr">
        <is>
          <t>9'6</t>
        </is>
      </c>
      <c r="M367" t="inlineStr">
        <is>
          <t>Full</t>
        </is>
      </c>
      <c r="N367" t="inlineStr">
        <is>
          <t>RULED</t>
        </is>
      </c>
      <c r="P367" s="21">
        <f>C367</f>
        <v/>
      </c>
      <c r="Q367" s="21">
        <f t="array" ref="Q367">IFERROR(INDEX(Load_Booking_Report!AC:AC, MATCH(TRUE, ISNUMBER(FIND(SUBSTITUTE(C367," ",""), Load_Booking_Report!AL:AL)), 0)), "Not Found")</f>
        <v/>
      </c>
      <c r="R367" s="21">
        <f t="array" ref="R367">IFERROR(INDEX(Load_Booking_Report!C:C, MATCH(TRUE, ISNUMBER(FIND(SUBSTITUTE(C367," ",""), Load_Booking_Report!AL:AL)), 0)), "Not Found")</f>
        <v/>
      </c>
      <c r="S367" s="21">
        <f t="array" ref="S367">IFERROR(INDEX(Load_Booking_Report!AG:AG, MATCH(TRUE, ISNUMBER(FIND(SUBSTITUTE(C367," ",""), Load_Booking_Report!AL:AL)), 0)), "Not Found")</f>
        <v/>
      </c>
      <c r="T367" s="21">
        <f>G367</f>
        <v/>
      </c>
      <c r="U367" s="33">
        <f t="array" ref="U367">IFERROR(
   IF(
      INDEX(Load_Booking_Report!AM:AM,
             MATCH(TRUE,
                     ISNUMBER(FIND(SUBSTITUTE(C367," ",""),
                                    Load_Booking_Report!AL:AL)),
                     0)
      )=0,
      "",
      INDEX(Load_Booking_Report!AM:AM,
             MATCH(TRUE,
                     ISNUMBER(FIND(SUBSTITUTE(C367," ",""),
                                    Load_Booking_Report!AL:AL)),
                     0)
      )
   ),
   ""
)</f>
        <v/>
      </c>
      <c r="V367" s="21">
        <f t="array" ref="V367">IFERROR(
   IF(
      INDEX(Load_Booking_Report!AR:AR,
             MATCH(TRUE,
                     ISNUMBER(FIND(SUBSTITUTE(C367," ",""),
                                    Load_Booking_Report!AL:AL)),
                     0)
      )=0,
      "",
      INDEX(Load_Booking_Report!AR:AR,
             MATCH(TRUE,
                     ISNUMBER(FIND(SUBSTITUTE(C367," ",""),
                                    Load_Booking_Report!AL:AL)),
                     0)
      )
   ),
   ""
)</f>
        <v/>
      </c>
      <c r="W367" s="21">
        <f t="array" ref="W367">IFERROR(INDEX(Load_Booking_Report!F:F, MATCH(TRUE, ISNUMBER(FIND(SUBSTITUTE(C367," ",""), Load_Booking_Report!AL:AL)), 0)), "Not Found")</f>
        <v/>
      </c>
      <c r="X367" s="21">
        <f t="array" ref="X367">IFERROR(INDEX(Load_Booking_Report!N:N, MATCH(TRUE, ISNUMBER(FIND(SUBSTITUTE(C367," ",""), Load_Booking_Report!AL:AL)), 0)), "Not Found")</f>
        <v/>
      </c>
      <c r="Y367" s="21">
        <f t="array" ref="Y367">IFERROR(INDEX(Load_Booking_Report!V:V, MATCH(TRUE, ISNUMBER(FIND(SUBSTITUTE(C367," ",""), Load_Booking_Report!AL:AL)), 0)), "Not Found")</f>
        <v/>
      </c>
      <c r="Z367" s="41">
        <f t="array" ref="Z367">IFERROR(INDEX(Load_Booking_Report!BC:BC, MATCH(TRUE, ISNUMBER(FIND(SUBSTITUTE(C367," ",""), Load_Booking_Report!AL:AL)), 0)), "Not Found")</f>
        <v/>
      </c>
    </row>
    <row r="368">
      <c r="A368" t="n">
        <v>22</v>
      </c>
      <c r="B368" t="n">
        <v>220984</v>
      </c>
      <c r="C368" t="inlineStr">
        <is>
          <t>ANON0000000</t>
        </is>
      </c>
      <c r="D368" t="n">
        <v>40</v>
      </c>
      <c r="E368" t="inlineStr">
        <is>
          <t>USNFK</t>
        </is>
      </c>
      <c r="F368" t="inlineStr">
        <is>
          <t>RULED</t>
        </is>
      </c>
      <c r="G368" t="n">
        <v>32620</v>
      </c>
      <c r="H368" t="inlineStr">
        <is>
          <t>ART</t>
        </is>
      </c>
      <c r="I368" t="inlineStr">
        <is>
          <t>45R1</t>
        </is>
      </c>
      <c r="K368" t="inlineStr">
        <is>
          <t>-18.0:CEL</t>
        </is>
      </c>
      <c r="L368" t="inlineStr">
        <is>
          <t>9'6</t>
        </is>
      </c>
      <c r="M368" t="inlineStr">
        <is>
          <t>Full</t>
        </is>
      </c>
      <c r="N368" t="inlineStr">
        <is>
          <t>RULED</t>
        </is>
      </c>
      <c r="P368" s="21">
        <f>C368</f>
        <v/>
      </c>
      <c r="Q368" s="21">
        <f t="array" ref="Q368">IFERROR(INDEX(Load_Booking_Report!AC:AC, MATCH(TRUE, ISNUMBER(FIND(SUBSTITUTE(C368," ",""), Load_Booking_Report!AL:AL)), 0)), "Not Found")</f>
        <v/>
      </c>
      <c r="R368" s="21">
        <f t="array" ref="R368">IFERROR(INDEX(Load_Booking_Report!C:C, MATCH(TRUE, ISNUMBER(FIND(SUBSTITUTE(C368," ",""), Load_Booking_Report!AL:AL)), 0)), "Not Found")</f>
        <v/>
      </c>
      <c r="S368" s="21">
        <f t="array" ref="S368">IFERROR(INDEX(Load_Booking_Report!AG:AG, MATCH(TRUE, ISNUMBER(FIND(SUBSTITUTE(C368," ",""), Load_Booking_Report!AL:AL)), 0)), "Not Found")</f>
        <v/>
      </c>
      <c r="T368" s="21">
        <f>G368</f>
        <v/>
      </c>
      <c r="U368" s="33">
        <f t="array" ref="U368">IFERROR(
   IF(
      INDEX(Load_Booking_Report!AM:AM,
             MATCH(TRUE,
                     ISNUMBER(FIND(SUBSTITUTE(C368," ",""),
                                    Load_Booking_Report!AL:AL)),
                     0)
      )=0,
      "",
      INDEX(Load_Booking_Report!AM:AM,
             MATCH(TRUE,
                     ISNUMBER(FIND(SUBSTITUTE(C368," ",""),
                                    Load_Booking_Report!AL:AL)),
                     0)
      )
   ),
   ""
)</f>
        <v/>
      </c>
      <c r="V368" s="21">
        <f t="array" ref="V368">IFERROR(
   IF(
      INDEX(Load_Booking_Report!AR:AR,
             MATCH(TRUE,
                     ISNUMBER(FIND(SUBSTITUTE(C368," ",""),
                                    Load_Booking_Report!AL:AL)),
                     0)
      )=0,
      "",
      INDEX(Load_Booking_Report!AR:AR,
             MATCH(TRUE,
                     ISNUMBER(FIND(SUBSTITUTE(C368," ",""),
                                    Load_Booking_Report!AL:AL)),
                     0)
      )
   ),
   ""
)</f>
        <v/>
      </c>
      <c r="W368" s="21">
        <f t="array" ref="W368">IFERROR(INDEX(Load_Booking_Report!F:F, MATCH(TRUE, ISNUMBER(FIND(SUBSTITUTE(C368," ",""), Load_Booking_Report!AL:AL)), 0)), "Not Found")</f>
        <v/>
      </c>
      <c r="X368" s="21">
        <f t="array" ref="X368">IFERROR(INDEX(Load_Booking_Report!N:N, MATCH(TRUE, ISNUMBER(FIND(SUBSTITUTE(C368," ",""), Load_Booking_Report!AL:AL)), 0)), "Not Found")</f>
        <v/>
      </c>
      <c r="Y368" s="21">
        <f t="array" ref="Y368">IFERROR(INDEX(Load_Booking_Report!V:V, MATCH(TRUE, ISNUMBER(FIND(SUBSTITUTE(C368," ",""), Load_Booking_Report!AL:AL)), 0)), "Not Found")</f>
        <v/>
      </c>
      <c r="Z368" s="41">
        <f t="array" ref="Z368">IFERROR(INDEX(Load_Booking_Report!BC:BC, MATCH(TRUE, ISNUMBER(FIND(SUBSTITUTE(C368," ",""), Load_Booking_Report!AL:AL)), 0)), "Not Found")</f>
        <v/>
      </c>
    </row>
    <row r="369">
      <c r="A369" t="n">
        <v>10</v>
      </c>
      <c r="B369" t="n">
        <v>100786</v>
      </c>
      <c r="C369" t="inlineStr">
        <is>
          <t>ANON0000000</t>
        </is>
      </c>
      <c r="D369" t="n">
        <v>40</v>
      </c>
      <c r="E369" t="inlineStr">
        <is>
          <t>USNFK</t>
        </is>
      </c>
      <c r="F369" t="inlineStr">
        <is>
          <t>RULED</t>
        </is>
      </c>
      <c r="G369" t="n">
        <v>32540</v>
      </c>
      <c r="H369" t="inlineStr">
        <is>
          <t>ART</t>
        </is>
      </c>
      <c r="I369" t="inlineStr">
        <is>
          <t>45R1</t>
        </is>
      </c>
      <c r="K369" t="inlineStr">
        <is>
          <t>-18.0:CEL</t>
        </is>
      </c>
      <c r="L369" t="inlineStr">
        <is>
          <t>9'6</t>
        </is>
      </c>
      <c r="M369" t="inlineStr">
        <is>
          <t>Full</t>
        </is>
      </c>
      <c r="N369" t="inlineStr">
        <is>
          <t>RULED</t>
        </is>
      </c>
      <c r="P369" s="21">
        <f>C369</f>
        <v/>
      </c>
      <c r="Q369" s="21">
        <f t="array" ref="Q369">IFERROR(INDEX(Load_Booking_Report!AC:AC, MATCH(TRUE, ISNUMBER(FIND(SUBSTITUTE(C369," ",""), Load_Booking_Report!AL:AL)), 0)), "Not Found")</f>
        <v/>
      </c>
      <c r="R369" s="21">
        <f t="array" ref="R369">IFERROR(INDEX(Load_Booking_Report!C:C, MATCH(TRUE, ISNUMBER(FIND(SUBSTITUTE(C369," ",""), Load_Booking_Report!AL:AL)), 0)), "Not Found")</f>
        <v/>
      </c>
      <c r="S369" s="21">
        <f t="array" ref="S369">IFERROR(INDEX(Load_Booking_Report!AG:AG, MATCH(TRUE, ISNUMBER(FIND(SUBSTITUTE(C369," ",""), Load_Booking_Report!AL:AL)), 0)), "Not Found")</f>
        <v/>
      </c>
      <c r="T369" s="21">
        <f>G369</f>
        <v/>
      </c>
      <c r="U369" s="33">
        <f t="array" ref="U369">IFERROR(
   IF(
      INDEX(Load_Booking_Report!AM:AM,
             MATCH(TRUE,
                     ISNUMBER(FIND(SUBSTITUTE(C369," ",""),
                                    Load_Booking_Report!AL:AL)),
                     0)
      )=0,
      "",
      INDEX(Load_Booking_Report!AM:AM,
             MATCH(TRUE,
                     ISNUMBER(FIND(SUBSTITUTE(C369," ",""),
                                    Load_Booking_Report!AL:AL)),
                     0)
      )
   ),
   ""
)</f>
        <v/>
      </c>
      <c r="V369" s="21">
        <f t="array" ref="V369">IFERROR(
   IF(
      INDEX(Load_Booking_Report!AR:AR,
             MATCH(TRUE,
                     ISNUMBER(FIND(SUBSTITUTE(C369," ",""),
                                    Load_Booking_Report!AL:AL)),
                     0)
      )=0,
      "",
      INDEX(Load_Booking_Report!AR:AR,
             MATCH(TRUE,
                     ISNUMBER(FIND(SUBSTITUTE(C369," ",""),
                                    Load_Booking_Report!AL:AL)),
                     0)
      )
   ),
   ""
)</f>
        <v/>
      </c>
      <c r="W369" s="21">
        <f t="array" ref="W369">IFERROR(INDEX(Load_Booking_Report!F:F, MATCH(TRUE, ISNUMBER(FIND(SUBSTITUTE(C369," ",""), Load_Booking_Report!AL:AL)), 0)), "Not Found")</f>
        <v/>
      </c>
      <c r="X369" s="21">
        <f t="array" ref="X369">IFERROR(INDEX(Load_Booking_Report!N:N, MATCH(TRUE, ISNUMBER(FIND(SUBSTITUTE(C369," ",""), Load_Booking_Report!AL:AL)), 0)), "Not Found")</f>
        <v/>
      </c>
      <c r="Y369" s="21">
        <f t="array" ref="Y369">IFERROR(INDEX(Load_Booking_Report!V:V, MATCH(TRUE, ISNUMBER(FIND(SUBSTITUTE(C369," ",""), Load_Booking_Report!AL:AL)), 0)), "Not Found")</f>
        <v/>
      </c>
      <c r="Z369" s="41">
        <f t="array" ref="Z369">IFERROR(INDEX(Load_Booking_Report!BC:BC, MATCH(TRUE, ISNUMBER(FIND(SUBSTITUTE(C369," ",""), Load_Booking_Report!AL:AL)), 0)), "Not Found")</f>
        <v/>
      </c>
    </row>
    <row r="370">
      <c r="A370" t="n">
        <v>10</v>
      </c>
      <c r="B370" t="n">
        <v>100084</v>
      </c>
      <c r="C370" t="inlineStr">
        <is>
          <t>ANON0000000</t>
        </is>
      </c>
      <c r="D370" t="n">
        <v>40</v>
      </c>
      <c r="E370" t="inlineStr">
        <is>
          <t>USNFK</t>
        </is>
      </c>
      <c r="F370" t="inlineStr">
        <is>
          <t>RULED</t>
        </is>
      </c>
      <c r="G370" t="n">
        <v>32700</v>
      </c>
      <c r="H370" t="inlineStr">
        <is>
          <t>ART</t>
        </is>
      </c>
      <c r="I370" t="inlineStr">
        <is>
          <t>45R1</t>
        </is>
      </c>
      <c r="K370" t="inlineStr">
        <is>
          <t>-18.0:CEL</t>
        </is>
      </c>
      <c r="L370" t="inlineStr">
        <is>
          <t>9'6</t>
        </is>
      </c>
      <c r="M370" t="inlineStr">
        <is>
          <t>Full</t>
        </is>
      </c>
      <c r="N370" t="inlineStr">
        <is>
          <t>RULED</t>
        </is>
      </c>
      <c r="P370" s="21">
        <f>C370</f>
        <v/>
      </c>
      <c r="Q370" s="21">
        <f t="array" ref="Q370">IFERROR(INDEX(Load_Booking_Report!AC:AC, MATCH(TRUE, ISNUMBER(FIND(SUBSTITUTE(C370," ",""), Load_Booking_Report!AL:AL)), 0)), "Not Found")</f>
        <v/>
      </c>
      <c r="R370" s="21">
        <f t="array" ref="R370">IFERROR(INDEX(Load_Booking_Report!C:C, MATCH(TRUE, ISNUMBER(FIND(SUBSTITUTE(C370," ",""), Load_Booking_Report!AL:AL)), 0)), "Not Found")</f>
        <v/>
      </c>
      <c r="S370" s="21">
        <f t="array" ref="S370">IFERROR(INDEX(Load_Booking_Report!AG:AG, MATCH(TRUE, ISNUMBER(FIND(SUBSTITUTE(C370," ",""), Load_Booking_Report!AL:AL)), 0)), "Not Found")</f>
        <v/>
      </c>
      <c r="T370" s="21">
        <f>G370</f>
        <v/>
      </c>
      <c r="U370" s="33">
        <f t="array" ref="U370">IFERROR(
   IF(
      INDEX(Load_Booking_Report!AM:AM,
             MATCH(TRUE,
                     ISNUMBER(FIND(SUBSTITUTE(C370," ",""),
                                    Load_Booking_Report!AL:AL)),
                     0)
      )=0,
      "",
      INDEX(Load_Booking_Report!AM:AM,
             MATCH(TRUE,
                     ISNUMBER(FIND(SUBSTITUTE(C370," ",""),
                                    Load_Booking_Report!AL:AL)),
                     0)
      )
   ),
   ""
)</f>
        <v/>
      </c>
      <c r="V370" s="21">
        <f t="array" ref="V370">IFERROR(
   IF(
      INDEX(Load_Booking_Report!AR:AR,
             MATCH(TRUE,
                     ISNUMBER(FIND(SUBSTITUTE(C370," ",""),
                                    Load_Booking_Report!AL:AL)),
                     0)
      )=0,
      "",
      INDEX(Load_Booking_Report!AR:AR,
             MATCH(TRUE,
                     ISNUMBER(FIND(SUBSTITUTE(C370," ",""),
                                    Load_Booking_Report!AL:AL)),
                     0)
      )
   ),
   ""
)</f>
        <v/>
      </c>
      <c r="W370" s="21">
        <f t="array" ref="W370">IFERROR(INDEX(Load_Booking_Report!F:F, MATCH(TRUE, ISNUMBER(FIND(SUBSTITUTE(C370," ",""), Load_Booking_Report!AL:AL)), 0)), "Not Found")</f>
        <v/>
      </c>
      <c r="X370" s="21">
        <f t="array" ref="X370">IFERROR(INDEX(Load_Booking_Report!N:N, MATCH(TRUE, ISNUMBER(FIND(SUBSTITUTE(C370," ",""), Load_Booking_Report!AL:AL)), 0)), "Not Found")</f>
        <v/>
      </c>
      <c r="Y370" s="21">
        <f t="array" ref="Y370">IFERROR(INDEX(Load_Booking_Report!V:V, MATCH(TRUE, ISNUMBER(FIND(SUBSTITUTE(C370," ",""), Load_Booking_Report!AL:AL)), 0)), "Not Found")</f>
        <v/>
      </c>
      <c r="Z370" s="41">
        <f t="array" ref="Z370">IFERROR(INDEX(Load_Booking_Report!BC:BC, MATCH(TRUE, ISNUMBER(FIND(SUBSTITUTE(C370," ",""), Load_Booking_Report!AL:AL)), 0)), "Not Found")</f>
        <v/>
      </c>
    </row>
    <row r="371">
      <c r="A371" t="n">
        <v>22</v>
      </c>
      <c r="B371" t="n">
        <v>220882</v>
      </c>
      <c r="C371" t="inlineStr">
        <is>
          <t>ANON0000000</t>
        </is>
      </c>
      <c r="D371" t="n">
        <v>40</v>
      </c>
      <c r="E371" t="inlineStr">
        <is>
          <t>USNFK</t>
        </is>
      </c>
      <c r="F371" t="inlineStr">
        <is>
          <t>RULED</t>
        </is>
      </c>
      <c r="G371" t="n">
        <v>32560</v>
      </c>
      <c r="H371" t="inlineStr">
        <is>
          <t>ART</t>
        </is>
      </c>
      <c r="I371" t="inlineStr">
        <is>
          <t>45R1</t>
        </is>
      </c>
      <c r="K371" t="inlineStr">
        <is>
          <t>-18.0:CEL</t>
        </is>
      </c>
      <c r="L371" t="inlineStr">
        <is>
          <t>9'6</t>
        </is>
      </c>
      <c r="M371" t="inlineStr">
        <is>
          <t>Full</t>
        </is>
      </c>
      <c r="N371" t="inlineStr">
        <is>
          <t>RULED</t>
        </is>
      </c>
      <c r="P371" s="21">
        <f>C371</f>
        <v/>
      </c>
      <c r="Q371" s="21">
        <f t="array" ref="Q371">IFERROR(INDEX(Load_Booking_Report!AC:AC, MATCH(TRUE, ISNUMBER(FIND(SUBSTITUTE(C371," ",""), Load_Booking_Report!AL:AL)), 0)), "Not Found")</f>
        <v/>
      </c>
      <c r="R371" s="21">
        <f t="array" ref="R371">IFERROR(INDEX(Load_Booking_Report!C:C, MATCH(TRUE, ISNUMBER(FIND(SUBSTITUTE(C371," ",""), Load_Booking_Report!AL:AL)), 0)), "Not Found")</f>
        <v/>
      </c>
      <c r="S371" s="21">
        <f t="array" ref="S371">IFERROR(INDEX(Load_Booking_Report!AG:AG, MATCH(TRUE, ISNUMBER(FIND(SUBSTITUTE(C371," ",""), Load_Booking_Report!AL:AL)), 0)), "Not Found")</f>
        <v/>
      </c>
      <c r="T371" s="21">
        <f>G371</f>
        <v/>
      </c>
      <c r="U371" s="33">
        <f t="array" ref="U371">IFERROR(
   IF(
      INDEX(Load_Booking_Report!AM:AM,
             MATCH(TRUE,
                     ISNUMBER(FIND(SUBSTITUTE(C371," ",""),
                                    Load_Booking_Report!AL:AL)),
                     0)
      )=0,
      "",
      INDEX(Load_Booking_Report!AM:AM,
             MATCH(TRUE,
                     ISNUMBER(FIND(SUBSTITUTE(C371," ",""),
                                    Load_Booking_Report!AL:AL)),
                     0)
      )
   ),
   ""
)</f>
        <v/>
      </c>
      <c r="V371" s="21">
        <f t="array" ref="V371">IFERROR(
   IF(
      INDEX(Load_Booking_Report!AR:AR,
             MATCH(TRUE,
                     ISNUMBER(FIND(SUBSTITUTE(C371," ",""),
                                    Load_Booking_Report!AL:AL)),
                     0)
      )=0,
      "",
      INDEX(Load_Booking_Report!AR:AR,
             MATCH(TRUE,
                     ISNUMBER(FIND(SUBSTITUTE(C371," ",""),
                                    Load_Booking_Report!AL:AL)),
                     0)
      )
   ),
   ""
)</f>
        <v/>
      </c>
      <c r="W371" s="21">
        <f t="array" ref="W371">IFERROR(INDEX(Load_Booking_Report!F:F, MATCH(TRUE, ISNUMBER(FIND(SUBSTITUTE(C371," ",""), Load_Booking_Report!AL:AL)), 0)), "Not Found")</f>
        <v/>
      </c>
      <c r="X371" s="21">
        <f t="array" ref="X371">IFERROR(INDEX(Load_Booking_Report!N:N, MATCH(TRUE, ISNUMBER(FIND(SUBSTITUTE(C371," ",""), Load_Booking_Report!AL:AL)), 0)), "Not Found")</f>
        <v/>
      </c>
      <c r="Y371" s="21">
        <f t="array" ref="Y371">IFERROR(INDEX(Load_Booking_Report!V:V, MATCH(TRUE, ISNUMBER(FIND(SUBSTITUTE(C371," ",""), Load_Booking_Report!AL:AL)), 0)), "Not Found")</f>
        <v/>
      </c>
      <c r="Z371" s="41">
        <f t="array" ref="Z371">IFERROR(INDEX(Load_Booking_Report!BC:BC, MATCH(TRUE, ISNUMBER(FIND(SUBSTITUTE(C371," ",""), Load_Booking_Report!AL:AL)), 0)), "Not Found")</f>
        <v/>
      </c>
    </row>
    <row r="372">
      <c r="A372" t="n">
        <v>22</v>
      </c>
      <c r="B372" t="n">
        <v>220082</v>
      </c>
      <c r="C372" t="inlineStr">
        <is>
          <t>ANON0000000</t>
        </is>
      </c>
      <c r="D372" t="n">
        <v>40</v>
      </c>
      <c r="E372" t="inlineStr">
        <is>
          <t>USNFK</t>
        </is>
      </c>
      <c r="F372" t="inlineStr">
        <is>
          <t>RULED</t>
        </is>
      </c>
      <c r="G372" t="n">
        <v>32980</v>
      </c>
      <c r="H372" t="inlineStr">
        <is>
          <t>ART</t>
        </is>
      </c>
      <c r="I372" t="inlineStr">
        <is>
          <t>45R1</t>
        </is>
      </c>
      <c r="K372" t="inlineStr">
        <is>
          <t>-18.0:CEL</t>
        </is>
      </c>
      <c r="L372" t="inlineStr">
        <is>
          <t>9'6</t>
        </is>
      </c>
      <c r="M372" t="inlineStr">
        <is>
          <t>Full</t>
        </is>
      </c>
      <c r="N372" t="inlineStr">
        <is>
          <t>RULED</t>
        </is>
      </c>
      <c r="P372" s="21">
        <f>C372</f>
        <v/>
      </c>
      <c r="Q372" s="21">
        <f t="array" ref="Q372">IFERROR(INDEX(Load_Booking_Report!AC:AC, MATCH(TRUE, ISNUMBER(FIND(SUBSTITUTE(C372," ",""), Load_Booking_Report!AL:AL)), 0)), "Not Found")</f>
        <v/>
      </c>
      <c r="R372" s="21">
        <f t="array" ref="R372">IFERROR(INDEX(Load_Booking_Report!C:C, MATCH(TRUE, ISNUMBER(FIND(SUBSTITUTE(C372," ",""), Load_Booking_Report!AL:AL)), 0)), "Not Found")</f>
        <v/>
      </c>
      <c r="S372" s="21">
        <f t="array" ref="S372">IFERROR(INDEX(Load_Booking_Report!AG:AG, MATCH(TRUE, ISNUMBER(FIND(SUBSTITUTE(C372," ",""), Load_Booking_Report!AL:AL)), 0)), "Not Found")</f>
        <v/>
      </c>
      <c r="T372" s="21">
        <f>G372</f>
        <v/>
      </c>
      <c r="U372" s="33">
        <f t="array" ref="U372">IFERROR(
   IF(
      INDEX(Load_Booking_Report!AM:AM,
             MATCH(TRUE,
                     ISNUMBER(FIND(SUBSTITUTE(C372," ",""),
                                    Load_Booking_Report!AL:AL)),
                     0)
      )=0,
      "",
      INDEX(Load_Booking_Report!AM:AM,
             MATCH(TRUE,
                     ISNUMBER(FIND(SUBSTITUTE(C372," ",""),
                                    Load_Booking_Report!AL:AL)),
                     0)
      )
   ),
   ""
)</f>
        <v/>
      </c>
      <c r="V372" s="21">
        <f t="array" ref="V372">IFERROR(
   IF(
      INDEX(Load_Booking_Report!AR:AR,
             MATCH(TRUE,
                     ISNUMBER(FIND(SUBSTITUTE(C372," ",""),
                                    Load_Booking_Report!AL:AL)),
                     0)
      )=0,
      "",
      INDEX(Load_Booking_Report!AR:AR,
             MATCH(TRUE,
                     ISNUMBER(FIND(SUBSTITUTE(C372," ",""),
                                    Load_Booking_Report!AL:AL)),
                     0)
      )
   ),
   ""
)</f>
        <v/>
      </c>
      <c r="W372" s="21">
        <f t="array" ref="W372">IFERROR(INDEX(Load_Booking_Report!F:F, MATCH(TRUE, ISNUMBER(FIND(SUBSTITUTE(C372," ",""), Load_Booking_Report!AL:AL)), 0)), "Not Found")</f>
        <v/>
      </c>
      <c r="X372" s="21">
        <f t="array" ref="X372">IFERROR(INDEX(Load_Booking_Report!N:N, MATCH(TRUE, ISNUMBER(FIND(SUBSTITUTE(C372," ",""), Load_Booking_Report!AL:AL)), 0)), "Not Found")</f>
        <v/>
      </c>
      <c r="Y372" s="21">
        <f t="array" ref="Y372">IFERROR(INDEX(Load_Booking_Report!V:V, MATCH(TRUE, ISNUMBER(FIND(SUBSTITUTE(C372," ",""), Load_Booking_Report!AL:AL)), 0)), "Not Found")</f>
        <v/>
      </c>
      <c r="Z372" s="41">
        <f t="array" ref="Z372">IFERROR(INDEX(Load_Booking_Report!BC:BC, MATCH(TRUE, ISNUMBER(FIND(SUBSTITUTE(C372," ",""), Load_Booking_Report!AL:AL)), 0)), "Not Found")</f>
        <v/>
      </c>
    </row>
    <row r="373">
      <c r="A373" t="n">
        <v>22</v>
      </c>
      <c r="B373" t="n">
        <v>220784</v>
      </c>
      <c r="C373" t="inlineStr">
        <is>
          <t>ANON0000000</t>
        </is>
      </c>
      <c r="D373" t="n">
        <v>40</v>
      </c>
      <c r="E373" t="inlineStr">
        <is>
          <t>USNFK</t>
        </is>
      </c>
      <c r="F373" t="inlineStr">
        <is>
          <t>RULED</t>
        </is>
      </c>
      <c r="G373" t="n">
        <v>33160</v>
      </c>
      <c r="H373" t="inlineStr">
        <is>
          <t>ART</t>
        </is>
      </c>
      <c r="I373" t="inlineStr">
        <is>
          <t>45R1</t>
        </is>
      </c>
      <c r="K373" t="inlineStr">
        <is>
          <t>-18.0:CEL</t>
        </is>
      </c>
      <c r="L373" t="inlineStr">
        <is>
          <t>9'6</t>
        </is>
      </c>
      <c r="M373" t="inlineStr">
        <is>
          <t>Full</t>
        </is>
      </c>
      <c r="N373" t="inlineStr">
        <is>
          <t>RULED</t>
        </is>
      </c>
      <c r="P373" s="21">
        <f>C373</f>
        <v/>
      </c>
      <c r="Q373" s="21">
        <f t="array" ref="Q373">IFERROR(INDEX(Load_Booking_Report!AC:AC, MATCH(TRUE, ISNUMBER(FIND(SUBSTITUTE(C373," ",""), Load_Booking_Report!AL:AL)), 0)), "Not Found")</f>
        <v/>
      </c>
      <c r="R373" s="21">
        <f t="array" ref="R373">IFERROR(INDEX(Load_Booking_Report!C:C, MATCH(TRUE, ISNUMBER(FIND(SUBSTITUTE(C373," ",""), Load_Booking_Report!AL:AL)), 0)), "Not Found")</f>
        <v/>
      </c>
      <c r="S373" s="21">
        <f t="array" ref="S373">IFERROR(INDEX(Load_Booking_Report!AG:AG, MATCH(TRUE, ISNUMBER(FIND(SUBSTITUTE(C373," ",""), Load_Booking_Report!AL:AL)), 0)), "Not Found")</f>
        <v/>
      </c>
      <c r="T373" s="21">
        <f>G373</f>
        <v/>
      </c>
      <c r="U373" s="33">
        <f t="array" ref="U373">IFERROR(
   IF(
      INDEX(Load_Booking_Report!AM:AM,
             MATCH(TRUE,
                     ISNUMBER(FIND(SUBSTITUTE(C373," ",""),
                                    Load_Booking_Report!AL:AL)),
                     0)
      )=0,
      "",
      INDEX(Load_Booking_Report!AM:AM,
             MATCH(TRUE,
                     ISNUMBER(FIND(SUBSTITUTE(C373," ",""),
                                    Load_Booking_Report!AL:AL)),
                     0)
      )
   ),
   ""
)</f>
        <v/>
      </c>
      <c r="V373" s="21">
        <f t="array" ref="V373">IFERROR(
   IF(
      INDEX(Load_Booking_Report!AR:AR,
             MATCH(TRUE,
                     ISNUMBER(FIND(SUBSTITUTE(C373," ",""),
                                    Load_Booking_Report!AL:AL)),
                     0)
      )=0,
      "",
      INDEX(Load_Booking_Report!AR:AR,
             MATCH(TRUE,
                     ISNUMBER(FIND(SUBSTITUTE(C373," ",""),
                                    Load_Booking_Report!AL:AL)),
                     0)
      )
   ),
   ""
)</f>
        <v/>
      </c>
      <c r="W373" s="21">
        <f t="array" ref="W373">IFERROR(INDEX(Load_Booking_Report!F:F, MATCH(TRUE, ISNUMBER(FIND(SUBSTITUTE(C373," ",""), Load_Booking_Report!AL:AL)), 0)), "Not Found")</f>
        <v/>
      </c>
      <c r="X373" s="21">
        <f t="array" ref="X373">IFERROR(INDEX(Load_Booking_Report!N:N, MATCH(TRUE, ISNUMBER(FIND(SUBSTITUTE(C373," ",""), Load_Booking_Report!AL:AL)), 0)), "Not Found")</f>
        <v/>
      </c>
      <c r="Y373" s="21">
        <f t="array" ref="Y373">IFERROR(INDEX(Load_Booking_Report!V:V, MATCH(TRUE, ISNUMBER(FIND(SUBSTITUTE(C373," ",""), Load_Booking_Report!AL:AL)), 0)), "Not Found")</f>
        <v/>
      </c>
      <c r="Z373" s="41">
        <f t="array" ref="Z373">IFERROR(INDEX(Load_Booking_Report!BC:BC, MATCH(TRUE, ISNUMBER(FIND(SUBSTITUTE(C373," ",""), Load_Booking_Report!AL:AL)), 0)), "Not Found")</f>
        <v/>
      </c>
    </row>
    <row r="374">
      <c r="A374" t="n">
        <v>22</v>
      </c>
      <c r="B374" t="n">
        <v>220382</v>
      </c>
      <c r="C374" t="inlineStr">
        <is>
          <t>ANON0000000</t>
        </is>
      </c>
      <c r="D374" t="n">
        <v>40</v>
      </c>
      <c r="E374" t="inlineStr">
        <is>
          <t>USNFK</t>
        </is>
      </c>
      <c r="F374" t="inlineStr">
        <is>
          <t>RULED</t>
        </is>
      </c>
      <c r="G374" t="n">
        <v>30980</v>
      </c>
      <c r="H374" t="inlineStr">
        <is>
          <t>ART</t>
        </is>
      </c>
      <c r="I374" t="inlineStr">
        <is>
          <t>45R1</t>
        </is>
      </c>
      <c r="K374" t="inlineStr">
        <is>
          <t>4.0:CEL</t>
        </is>
      </c>
      <c r="L374" t="inlineStr">
        <is>
          <t>9'6</t>
        </is>
      </c>
      <c r="M374" t="inlineStr">
        <is>
          <t>Full</t>
        </is>
      </c>
      <c r="N374" t="inlineStr">
        <is>
          <t>RULED</t>
        </is>
      </c>
      <c r="P374" s="21">
        <f>C374</f>
        <v/>
      </c>
      <c r="Q374" s="21">
        <f t="array" ref="Q374">IFERROR(INDEX(Load_Booking_Report!AC:AC, MATCH(TRUE, ISNUMBER(FIND(SUBSTITUTE(C374," ",""), Load_Booking_Report!AL:AL)), 0)), "Not Found")</f>
        <v/>
      </c>
      <c r="R374" s="21">
        <f t="array" ref="R374">IFERROR(INDEX(Load_Booking_Report!C:C, MATCH(TRUE, ISNUMBER(FIND(SUBSTITUTE(C374," ",""), Load_Booking_Report!AL:AL)), 0)), "Not Found")</f>
        <v/>
      </c>
      <c r="S374" s="21">
        <f t="array" ref="S374">IFERROR(INDEX(Load_Booking_Report!AG:AG, MATCH(TRUE, ISNUMBER(FIND(SUBSTITUTE(C374," ",""), Load_Booking_Report!AL:AL)), 0)), "Not Found")</f>
        <v/>
      </c>
      <c r="T374" s="21">
        <f>G374</f>
        <v/>
      </c>
      <c r="U374" s="33">
        <f t="array" ref="U374">IFERROR(
   IF(
      INDEX(Load_Booking_Report!AM:AM,
             MATCH(TRUE,
                     ISNUMBER(FIND(SUBSTITUTE(C374," ",""),
                                    Load_Booking_Report!AL:AL)),
                     0)
      )=0,
      "",
      INDEX(Load_Booking_Report!AM:AM,
             MATCH(TRUE,
                     ISNUMBER(FIND(SUBSTITUTE(C374," ",""),
                                    Load_Booking_Report!AL:AL)),
                     0)
      )
   ),
   ""
)</f>
        <v/>
      </c>
      <c r="V374" s="21">
        <f t="array" ref="V374">IFERROR(
   IF(
      INDEX(Load_Booking_Report!AR:AR,
             MATCH(TRUE,
                     ISNUMBER(FIND(SUBSTITUTE(C374," ",""),
                                    Load_Booking_Report!AL:AL)),
                     0)
      )=0,
      "",
      INDEX(Load_Booking_Report!AR:AR,
             MATCH(TRUE,
                     ISNUMBER(FIND(SUBSTITUTE(C374," ",""),
                                    Load_Booking_Report!AL:AL)),
                     0)
      )
   ),
   ""
)</f>
        <v/>
      </c>
      <c r="W374" s="21">
        <f t="array" ref="W374">IFERROR(INDEX(Load_Booking_Report!F:F, MATCH(TRUE, ISNUMBER(FIND(SUBSTITUTE(C374," ",""), Load_Booking_Report!AL:AL)), 0)), "Not Found")</f>
        <v/>
      </c>
      <c r="X374" s="21">
        <f t="array" ref="X374">IFERROR(INDEX(Load_Booking_Report!N:N, MATCH(TRUE, ISNUMBER(FIND(SUBSTITUTE(C374," ",""), Load_Booking_Report!AL:AL)), 0)), "Not Found")</f>
        <v/>
      </c>
      <c r="Y374" s="21">
        <f t="array" ref="Y374">IFERROR(INDEX(Load_Booking_Report!V:V, MATCH(TRUE, ISNUMBER(FIND(SUBSTITUTE(C374," ",""), Load_Booking_Report!AL:AL)), 0)), "Not Found")</f>
        <v/>
      </c>
      <c r="Z374" s="41">
        <f t="array" ref="Z374">IFERROR(INDEX(Load_Booking_Report!BC:BC, MATCH(TRUE, ISNUMBER(FIND(SUBSTITUTE(C374," ",""), Load_Booking_Report!AL:AL)), 0)), "Not Found")</f>
        <v/>
      </c>
    </row>
    <row r="375">
      <c r="A375" t="n">
        <v>10</v>
      </c>
      <c r="B375" t="n">
        <v>100284</v>
      </c>
      <c r="C375" t="inlineStr">
        <is>
          <t>ANON0000000</t>
        </is>
      </c>
      <c r="D375" t="n">
        <v>40</v>
      </c>
      <c r="E375" t="inlineStr">
        <is>
          <t>USNFK</t>
        </is>
      </c>
      <c r="F375" t="inlineStr">
        <is>
          <t>RULED</t>
        </is>
      </c>
      <c r="G375" t="n">
        <v>32780</v>
      </c>
      <c r="H375" t="inlineStr">
        <is>
          <t>ART</t>
        </is>
      </c>
      <c r="I375" t="inlineStr">
        <is>
          <t>45R1</t>
        </is>
      </c>
      <c r="K375" t="inlineStr">
        <is>
          <t>-18.0:CEL</t>
        </is>
      </c>
      <c r="L375" t="inlineStr">
        <is>
          <t>9'6</t>
        </is>
      </c>
      <c r="M375" t="inlineStr">
        <is>
          <t>Full</t>
        </is>
      </c>
      <c r="N375" t="inlineStr">
        <is>
          <t>RULED</t>
        </is>
      </c>
      <c r="P375" s="21">
        <f>C375</f>
        <v/>
      </c>
      <c r="Q375" s="21">
        <f t="array" ref="Q375">IFERROR(INDEX(Load_Booking_Report!AC:AC, MATCH(TRUE, ISNUMBER(FIND(SUBSTITUTE(C375," ",""), Load_Booking_Report!AL:AL)), 0)), "Not Found")</f>
        <v/>
      </c>
      <c r="R375" s="21">
        <f t="array" ref="R375">IFERROR(INDEX(Load_Booking_Report!C:C, MATCH(TRUE, ISNUMBER(FIND(SUBSTITUTE(C375," ",""), Load_Booking_Report!AL:AL)), 0)), "Not Found")</f>
        <v/>
      </c>
      <c r="S375" s="21">
        <f t="array" ref="S375">IFERROR(INDEX(Load_Booking_Report!AG:AG, MATCH(TRUE, ISNUMBER(FIND(SUBSTITUTE(C375," ",""), Load_Booking_Report!AL:AL)), 0)), "Not Found")</f>
        <v/>
      </c>
      <c r="T375" s="21">
        <f>G375</f>
        <v/>
      </c>
      <c r="U375" s="33">
        <f t="array" ref="U375">IFERROR(
   IF(
      INDEX(Load_Booking_Report!AM:AM,
             MATCH(TRUE,
                     ISNUMBER(FIND(SUBSTITUTE(C375," ",""),
                                    Load_Booking_Report!AL:AL)),
                     0)
      )=0,
      "",
      INDEX(Load_Booking_Report!AM:AM,
             MATCH(TRUE,
                     ISNUMBER(FIND(SUBSTITUTE(C375," ",""),
                                    Load_Booking_Report!AL:AL)),
                     0)
      )
   ),
   ""
)</f>
        <v/>
      </c>
      <c r="V375" s="21">
        <f t="array" ref="V375">IFERROR(
   IF(
      INDEX(Load_Booking_Report!AR:AR,
             MATCH(TRUE,
                     ISNUMBER(FIND(SUBSTITUTE(C375," ",""),
                                    Load_Booking_Report!AL:AL)),
                     0)
      )=0,
      "",
      INDEX(Load_Booking_Report!AR:AR,
             MATCH(TRUE,
                     ISNUMBER(FIND(SUBSTITUTE(C375," ",""),
                                    Load_Booking_Report!AL:AL)),
                     0)
      )
   ),
   ""
)</f>
        <v/>
      </c>
      <c r="W375" s="21">
        <f t="array" ref="W375">IFERROR(INDEX(Load_Booking_Report!F:F, MATCH(TRUE, ISNUMBER(FIND(SUBSTITUTE(C375," ",""), Load_Booking_Report!AL:AL)), 0)), "Not Found")</f>
        <v/>
      </c>
      <c r="X375" s="21">
        <f t="array" ref="X375">IFERROR(INDEX(Load_Booking_Report!N:N, MATCH(TRUE, ISNUMBER(FIND(SUBSTITUTE(C375," ",""), Load_Booking_Report!AL:AL)), 0)), "Not Found")</f>
        <v/>
      </c>
      <c r="Y375" s="21">
        <f t="array" ref="Y375">IFERROR(INDEX(Load_Booking_Report!V:V, MATCH(TRUE, ISNUMBER(FIND(SUBSTITUTE(C375," ",""), Load_Booking_Report!AL:AL)), 0)), "Not Found")</f>
        <v/>
      </c>
      <c r="Z375" s="41">
        <f t="array" ref="Z375">IFERROR(INDEX(Load_Booking_Report!BC:BC, MATCH(TRUE, ISNUMBER(FIND(SUBSTITUTE(C375," ",""), Load_Booking_Report!AL:AL)), 0)), "Not Found")</f>
        <v/>
      </c>
    </row>
    <row r="376">
      <c r="A376" t="n">
        <v>2</v>
      </c>
      <c r="B376" t="n">
        <v>20384</v>
      </c>
      <c r="C376" t="inlineStr">
        <is>
          <t>ANON0000000</t>
        </is>
      </c>
      <c r="D376" t="n">
        <v>40</v>
      </c>
      <c r="E376" t="inlineStr">
        <is>
          <t>USNFK</t>
        </is>
      </c>
      <c r="F376" t="inlineStr">
        <is>
          <t>RULED</t>
        </is>
      </c>
      <c r="G376" t="n">
        <v>32840</v>
      </c>
      <c r="H376" t="inlineStr">
        <is>
          <t>ART</t>
        </is>
      </c>
      <c r="I376" t="inlineStr">
        <is>
          <t>45R1</t>
        </is>
      </c>
      <c r="K376" t="inlineStr">
        <is>
          <t>-18.0:CEL</t>
        </is>
      </c>
      <c r="L376" t="inlineStr">
        <is>
          <t>9'6</t>
        </is>
      </c>
      <c r="M376" t="inlineStr">
        <is>
          <t>Full</t>
        </is>
      </c>
      <c r="N376" t="inlineStr">
        <is>
          <t>RULED</t>
        </is>
      </c>
      <c r="P376" s="21">
        <f>C376</f>
        <v/>
      </c>
      <c r="Q376" s="21">
        <f t="array" ref="Q376">IFERROR(INDEX(Load_Booking_Report!AC:AC, MATCH(TRUE, ISNUMBER(FIND(SUBSTITUTE(C376," ",""), Load_Booking_Report!AL:AL)), 0)), "Not Found")</f>
        <v/>
      </c>
      <c r="R376" s="21">
        <f t="array" ref="R376">IFERROR(INDEX(Load_Booking_Report!C:C, MATCH(TRUE, ISNUMBER(FIND(SUBSTITUTE(C376," ",""), Load_Booking_Report!AL:AL)), 0)), "Not Found")</f>
        <v/>
      </c>
      <c r="S376" s="21">
        <f t="array" ref="S376">IFERROR(INDEX(Load_Booking_Report!AG:AG, MATCH(TRUE, ISNUMBER(FIND(SUBSTITUTE(C376," ",""), Load_Booking_Report!AL:AL)), 0)), "Not Found")</f>
        <v/>
      </c>
      <c r="T376" s="21">
        <f>G376</f>
        <v/>
      </c>
      <c r="U376" s="33">
        <f t="array" ref="U376">IFERROR(
   IF(
      INDEX(Load_Booking_Report!AM:AM,
             MATCH(TRUE,
                     ISNUMBER(FIND(SUBSTITUTE(C376," ",""),
                                    Load_Booking_Report!AL:AL)),
                     0)
      )=0,
      "",
      INDEX(Load_Booking_Report!AM:AM,
             MATCH(TRUE,
                     ISNUMBER(FIND(SUBSTITUTE(C376," ",""),
                                    Load_Booking_Report!AL:AL)),
                     0)
      )
   ),
   ""
)</f>
        <v/>
      </c>
      <c r="V376" s="21">
        <f t="array" ref="V376">IFERROR(
   IF(
      INDEX(Load_Booking_Report!AR:AR,
             MATCH(TRUE,
                     ISNUMBER(FIND(SUBSTITUTE(C376," ",""),
                                    Load_Booking_Report!AL:AL)),
                     0)
      )=0,
      "",
      INDEX(Load_Booking_Report!AR:AR,
             MATCH(TRUE,
                     ISNUMBER(FIND(SUBSTITUTE(C376," ",""),
                                    Load_Booking_Report!AL:AL)),
                     0)
      )
   ),
   ""
)</f>
        <v/>
      </c>
      <c r="W376" s="21">
        <f t="array" ref="W376">IFERROR(INDEX(Load_Booking_Report!F:F, MATCH(TRUE, ISNUMBER(FIND(SUBSTITUTE(C376," ",""), Load_Booking_Report!AL:AL)), 0)), "Not Found")</f>
        <v/>
      </c>
      <c r="X376" s="21">
        <f t="array" ref="X376">IFERROR(INDEX(Load_Booking_Report!N:N, MATCH(TRUE, ISNUMBER(FIND(SUBSTITUTE(C376," ",""), Load_Booking_Report!AL:AL)), 0)), "Not Found")</f>
        <v/>
      </c>
      <c r="Y376" s="21">
        <f t="array" ref="Y376">IFERROR(INDEX(Load_Booking_Report!V:V, MATCH(TRUE, ISNUMBER(FIND(SUBSTITUTE(C376," ",""), Load_Booking_Report!AL:AL)), 0)), "Not Found")</f>
        <v/>
      </c>
      <c r="Z376" s="41">
        <f t="array" ref="Z376">IFERROR(INDEX(Load_Booking_Report!BC:BC, MATCH(TRUE, ISNUMBER(FIND(SUBSTITUTE(C376," ",""), Load_Booking_Report!AL:AL)), 0)), "Not Found")</f>
        <v/>
      </c>
    </row>
    <row r="377">
      <c r="A377" t="n">
        <v>21</v>
      </c>
      <c r="B377" t="n">
        <v>210104</v>
      </c>
      <c r="C377" t="inlineStr">
        <is>
          <t>ANON0000000</t>
        </is>
      </c>
      <c r="D377" t="n">
        <v>20</v>
      </c>
      <c r="E377" t="inlineStr">
        <is>
          <t>USNFK</t>
        </is>
      </c>
      <c r="F377" t="inlineStr">
        <is>
          <t>RULED</t>
        </is>
      </c>
      <c r="G377" t="n">
        <v>23280</v>
      </c>
      <c r="H377" t="inlineStr">
        <is>
          <t>ART</t>
        </is>
      </c>
      <c r="I377" t="n">
        <v>2210</v>
      </c>
      <c r="L377" t="inlineStr">
        <is>
          <t>8'6</t>
        </is>
      </c>
      <c r="M377" t="inlineStr">
        <is>
          <t>Full</t>
        </is>
      </c>
      <c r="N377" t="inlineStr">
        <is>
          <t>RULED</t>
        </is>
      </c>
      <c r="P377" s="21">
        <f>C377</f>
        <v/>
      </c>
      <c r="Q377" s="21">
        <f t="array" ref="Q377">IFERROR(INDEX(Load_Booking_Report!AC:AC, MATCH(TRUE, ISNUMBER(FIND(SUBSTITUTE(C377," ",""), Load_Booking_Report!AL:AL)), 0)), "Not Found")</f>
        <v/>
      </c>
      <c r="R377" s="21">
        <f t="array" ref="R377">IFERROR(INDEX(Load_Booking_Report!C:C, MATCH(TRUE, ISNUMBER(FIND(SUBSTITUTE(C377," ",""), Load_Booking_Report!AL:AL)), 0)), "Not Found")</f>
        <v/>
      </c>
      <c r="S377" s="21">
        <f t="array" ref="S377">IFERROR(INDEX(Load_Booking_Report!AG:AG, MATCH(TRUE, ISNUMBER(FIND(SUBSTITUTE(C377," ",""), Load_Booking_Report!AL:AL)), 0)), "Not Found")</f>
        <v/>
      </c>
      <c r="T377" s="21">
        <f>G377</f>
        <v/>
      </c>
      <c r="U377" s="33">
        <f t="array" ref="U377">IFERROR(
   IF(
      INDEX(Load_Booking_Report!AM:AM,
             MATCH(TRUE,
                     ISNUMBER(FIND(SUBSTITUTE(C377," ",""),
                                    Load_Booking_Report!AL:AL)),
                     0)
      )=0,
      "",
      INDEX(Load_Booking_Report!AM:AM,
             MATCH(TRUE,
                     ISNUMBER(FIND(SUBSTITUTE(C377," ",""),
                                    Load_Booking_Report!AL:AL)),
                     0)
      )
   ),
   ""
)</f>
        <v/>
      </c>
      <c r="V377" s="21">
        <f t="array" ref="V377">IFERROR(
   IF(
      INDEX(Load_Booking_Report!AR:AR,
             MATCH(TRUE,
                     ISNUMBER(FIND(SUBSTITUTE(C377," ",""),
                                    Load_Booking_Report!AL:AL)),
                     0)
      )=0,
      "",
      INDEX(Load_Booking_Report!AR:AR,
             MATCH(TRUE,
                     ISNUMBER(FIND(SUBSTITUTE(C377," ",""),
                                    Load_Booking_Report!AL:AL)),
                     0)
      )
   ),
   ""
)</f>
        <v/>
      </c>
      <c r="W377" s="21">
        <f t="array" ref="W377">IFERROR(INDEX(Load_Booking_Report!F:F, MATCH(TRUE, ISNUMBER(FIND(SUBSTITUTE(C377," ",""), Load_Booking_Report!AL:AL)), 0)), "Not Found")</f>
        <v/>
      </c>
      <c r="X377" s="21">
        <f t="array" ref="X377">IFERROR(INDEX(Load_Booking_Report!N:N, MATCH(TRUE, ISNUMBER(FIND(SUBSTITUTE(C377," ",""), Load_Booking_Report!AL:AL)), 0)), "Not Found")</f>
        <v/>
      </c>
      <c r="Y377" s="21">
        <f t="array" ref="Y377">IFERROR(INDEX(Load_Booking_Report!V:V, MATCH(TRUE, ISNUMBER(FIND(SUBSTITUTE(C377," ",""), Load_Booking_Report!AL:AL)), 0)), "Not Found")</f>
        <v/>
      </c>
      <c r="Z377" s="41">
        <f t="array" ref="Z377">IFERROR(INDEX(Load_Booking_Report!BC:BC, MATCH(TRUE, ISNUMBER(FIND(SUBSTITUTE(C377," ",""), Load_Booking_Report!AL:AL)), 0)), "Not Found")</f>
        <v/>
      </c>
    </row>
    <row r="378">
      <c r="A378" t="n">
        <v>21</v>
      </c>
      <c r="B378" t="n">
        <v>210106</v>
      </c>
      <c r="C378" t="inlineStr">
        <is>
          <t>ANON0000000</t>
        </is>
      </c>
      <c r="D378" t="n">
        <v>20</v>
      </c>
      <c r="E378" t="inlineStr">
        <is>
          <t>USNFK</t>
        </is>
      </c>
      <c r="F378" t="inlineStr">
        <is>
          <t>RULED</t>
        </is>
      </c>
      <c r="G378" t="n">
        <v>23380</v>
      </c>
      <c r="H378" t="inlineStr">
        <is>
          <t>ART</t>
        </is>
      </c>
      <c r="I378" t="n">
        <v>2210</v>
      </c>
      <c r="L378" t="inlineStr">
        <is>
          <t>8'6</t>
        </is>
      </c>
      <c r="M378" t="inlineStr">
        <is>
          <t>Full</t>
        </is>
      </c>
      <c r="N378" t="inlineStr">
        <is>
          <t>RULED</t>
        </is>
      </c>
      <c r="P378" s="21">
        <f>C378</f>
        <v/>
      </c>
      <c r="Q378" s="21">
        <f t="array" ref="Q378">IFERROR(INDEX(Load_Booking_Report!AC:AC, MATCH(TRUE, ISNUMBER(FIND(SUBSTITUTE(C378," ",""), Load_Booking_Report!AL:AL)), 0)), "Not Found")</f>
        <v/>
      </c>
      <c r="R378" s="21">
        <f t="array" ref="R378">IFERROR(INDEX(Load_Booking_Report!C:C, MATCH(TRUE, ISNUMBER(FIND(SUBSTITUTE(C378," ",""), Load_Booking_Report!AL:AL)), 0)), "Not Found")</f>
        <v/>
      </c>
      <c r="S378" s="21">
        <f t="array" ref="S378">IFERROR(INDEX(Load_Booking_Report!AG:AG, MATCH(TRUE, ISNUMBER(FIND(SUBSTITUTE(C378," ",""), Load_Booking_Report!AL:AL)), 0)), "Not Found")</f>
        <v/>
      </c>
      <c r="T378" s="21">
        <f>G378</f>
        <v/>
      </c>
      <c r="U378" s="33">
        <f t="array" ref="U378">IFERROR(
   IF(
      INDEX(Load_Booking_Report!AM:AM,
             MATCH(TRUE,
                     ISNUMBER(FIND(SUBSTITUTE(C378," ",""),
                                    Load_Booking_Report!AL:AL)),
                     0)
      )=0,
      "",
      INDEX(Load_Booking_Report!AM:AM,
             MATCH(TRUE,
                     ISNUMBER(FIND(SUBSTITUTE(C378," ",""),
                                    Load_Booking_Report!AL:AL)),
                     0)
      )
   ),
   ""
)</f>
        <v/>
      </c>
      <c r="V378" s="21">
        <f t="array" ref="V378">IFERROR(
   IF(
      INDEX(Load_Booking_Report!AR:AR,
             MATCH(TRUE,
                     ISNUMBER(FIND(SUBSTITUTE(C378," ",""),
                                    Load_Booking_Report!AL:AL)),
                     0)
      )=0,
      "",
      INDEX(Load_Booking_Report!AR:AR,
             MATCH(TRUE,
                     ISNUMBER(FIND(SUBSTITUTE(C378," ",""),
                                    Load_Booking_Report!AL:AL)),
                     0)
      )
   ),
   ""
)</f>
        <v/>
      </c>
      <c r="W378" s="21">
        <f t="array" ref="W378">IFERROR(INDEX(Load_Booking_Report!F:F, MATCH(TRUE, ISNUMBER(FIND(SUBSTITUTE(C378," ",""), Load_Booking_Report!AL:AL)), 0)), "Not Found")</f>
        <v/>
      </c>
      <c r="X378" s="21">
        <f t="array" ref="X378">IFERROR(INDEX(Load_Booking_Report!N:N, MATCH(TRUE, ISNUMBER(FIND(SUBSTITUTE(C378," ",""), Load_Booking_Report!AL:AL)), 0)), "Not Found")</f>
        <v/>
      </c>
      <c r="Y378" s="21">
        <f t="array" ref="Y378">IFERROR(INDEX(Load_Booking_Report!V:V, MATCH(TRUE, ISNUMBER(FIND(SUBSTITUTE(C378," ",""), Load_Booking_Report!AL:AL)), 0)), "Not Found")</f>
        <v/>
      </c>
      <c r="Z378" s="41">
        <f t="array" ref="Z378">IFERROR(INDEX(Load_Booking_Report!BC:BC, MATCH(TRUE, ISNUMBER(FIND(SUBSTITUTE(C378," ",""), Load_Booking_Report!AL:AL)), 0)), "Not Found")</f>
        <v/>
      </c>
    </row>
    <row r="379">
      <c r="A379" t="n">
        <v>6</v>
      </c>
      <c r="B379" t="n">
        <v>60206</v>
      </c>
      <c r="C379" t="inlineStr">
        <is>
          <t>ANON0000000</t>
        </is>
      </c>
      <c r="D379" t="n">
        <v>40</v>
      </c>
      <c r="E379" t="inlineStr">
        <is>
          <t>USNFK</t>
        </is>
      </c>
      <c r="F379" t="inlineStr">
        <is>
          <t>RULED</t>
        </is>
      </c>
      <c r="G379" t="n">
        <v>28780</v>
      </c>
      <c r="H379" t="inlineStr">
        <is>
          <t>ART</t>
        </is>
      </c>
      <c r="I379" t="inlineStr">
        <is>
          <t>45G1</t>
        </is>
      </c>
      <c r="L379" t="inlineStr">
        <is>
          <t>9'6</t>
        </is>
      </c>
      <c r="M379" t="inlineStr">
        <is>
          <t>Full</t>
        </is>
      </c>
      <c r="N379" t="inlineStr">
        <is>
          <t>RULED</t>
        </is>
      </c>
      <c r="P379" s="21">
        <f>C379</f>
        <v/>
      </c>
      <c r="Q379" s="21">
        <f t="array" ref="Q379">IFERROR(INDEX(Load_Booking_Report!AC:AC, MATCH(TRUE, ISNUMBER(FIND(SUBSTITUTE(C379," ",""), Load_Booking_Report!AL:AL)), 0)), "Not Found")</f>
        <v/>
      </c>
      <c r="R379" s="21">
        <f t="array" ref="R379">IFERROR(INDEX(Load_Booking_Report!C:C, MATCH(TRUE, ISNUMBER(FIND(SUBSTITUTE(C379," ",""), Load_Booking_Report!AL:AL)), 0)), "Not Found")</f>
        <v/>
      </c>
      <c r="S379" s="21">
        <f t="array" ref="S379">IFERROR(INDEX(Load_Booking_Report!AG:AG, MATCH(TRUE, ISNUMBER(FIND(SUBSTITUTE(C379," ",""), Load_Booking_Report!AL:AL)), 0)), "Not Found")</f>
        <v/>
      </c>
      <c r="T379" s="21">
        <f>G379</f>
        <v/>
      </c>
      <c r="U379" s="33">
        <f t="array" ref="U379">IFERROR(
   IF(
      INDEX(Load_Booking_Report!AM:AM,
             MATCH(TRUE,
                     ISNUMBER(FIND(SUBSTITUTE(C379," ",""),
                                    Load_Booking_Report!AL:AL)),
                     0)
      )=0,
      "",
      INDEX(Load_Booking_Report!AM:AM,
             MATCH(TRUE,
                     ISNUMBER(FIND(SUBSTITUTE(C379," ",""),
                                    Load_Booking_Report!AL:AL)),
                     0)
      )
   ),
   ""
)</f>
        <v/>
      </c>
      <c r="V379" s="21">
        <f t="array" ref="V379">IFERROR(
   IF(
      INDEX(Load_Booking_Report!AR:AR,
             MATCH(TRUE,
                     ISNUMBER(FIND(SUBSTITUTE(C379," ",""),
                                    Load_Booking_Report!AL:AL)),
                     0)
      )=0,
      "",
      INDEX(Load_Booking_Report!AR:AR,
             MATCH(TRUE,
                     ISNUMBER(FIND(SUBSTITUTE(C379," ",""),
                                    Load_Booking_Report!AL:AL)),
                     0)
      )
   ),
   ""
)</f>
        <v/>
      </c>
      <c r="W379" s="21">
        <f t="array" ref="W379">IFERROR(INDEX(Load_Booking_Report!F:F, MATCH(TRUE, ISNUMBER(FIND(SUBSTITUTE(C379," ",""), Load_Booking_Report!AL:AL)), 0)), "Not Found")</f>
        <v/>
      </c>
      <c r="X379" s="21">
        <f t="array" ref="X379">IFERROR(INDEX(Load_Booking_Report!N:N, MATCH(TRUE, ISNUMBER(FIND(SUBSTITUTE(C379," ",""), Load_Booking_Report!AL:AL)), 0)), "Not Found")</f>
        <v/>
      </c>
      <c r="Y379" s="21">
        <f t="array" ref="Y379">IFERROR(INDEX(Load_Booking_Report!V:V, MATCH(TRUE, ISNUMBER(FIND(SUBSTITUTE(C379," ",""), Load_Booking_Report!AL:AL)), 0)), "Not Found")</f>
        <v/>
      </c>
      <c r="Z379" s="41">
        <f t="array" ref="Z379">IFERROR(INDEX(Load_Booking_Report!BC:BC, MATCH(TRUE, ISNUMBER(FIND(SUBSTITUTE(C379," ",""), Load_Booking_Report!AL:AL)), 0)), "Not Found")</f>
        <v/>
      </c>
    </row>
    <row r="380">
      <c r="A380" t="n">
        <v>10</v>
      </c>
      <c r="B380" t="n">
        <v>100406</v>
      </c>
      <c r="C380" t="inlineStr">
        <is>
          <t>ANON0000000</t>
        </is>
      </c>
      <c r="D380" t="n">
        <v>40</v>
      </c>
      <c r="E380" t="inlineStr">
        <is>
          <t>USNFK</t>
        </is>
      </c>
      <c r="F380" t="inlineStr">
        <is>
          <t>RULED</t>
        </is>
      </c>
      <c r="G380" t="n">
        <v>28560</v>
      </c>
      <c r="H380" t="inlineStr">
        <is>
          <t>ART</t>
        </is>
      </c>
      <c r="I380" t="inlineStr">
        <is>
          <t>45G1</t>
        </is>
      </c>
      <c r="L380" t="inlineStr">
        <is>
          <t>9'6</t>
        </is>
      </c>
      <c r="M380" t="inlineStr">
        <is>
          <t>Full</t>
        </is>
      </c>
      <c r="N380" t="inlineStr">
        <is>
          <t>RULED</t>
        </is>
      </c>
      <c r="P380" s="21">
        <f>C380</f>
        <v/>
      </c>
      <c r="Q380" s="21">
        <f t="array" ref="Q380">IFERROR(INDEX(Load_Booking_Report!AC:AC, MATCH(TRUE, ISNUMBER(FIND(SUBSTITUTE(C380," ",""), Load_Booking_Report!AL:AL)), 0)), "Not Found")</f>
        <v/>
      </c>
      <c r="R380" s="21">
        <f t="array" ref="R380">IFERROR(INDEX(Load_Booking_Report!C:C, MATCH(TRUE, ISNUMBER(FIND(SUBSTITUTE(C380," ",""), Load_Booking_Report!AL:AL)), 0)), "Not Found")</f>
        <v/>
      </c>
      <c r="S380" s="21">
        <f t="array" ref="S380">IFERROR(INDEX(Load_Booking_Report!AG:AG, MATCH(TRUE, ISNUMBER(FIND(SUBSTITUTE(C380," ",""), Load_Booking_Report!AL:AL)), 0)), "Not Found")</f>
        <v/>
      </c>
      <c r="T380" s="21">
        <f>G380</f>
        <v/>
      </c>
      <c r="U380" s="33">
        <f t="array" ref="U380">IFERROR(
   IF(
      INDEX(Load_Booking_Report!AM:AM,
             MATCH(TRUE,
                     ISNUMBER(FIND(SUBSTITUTE(C380," ",""),
                                    Load_Booking_Report!AL:AL)),
                     0)
      )=0,
      "",
      INDEX(Load_Booking_Report!AM:AM,
             MATCH(TRUE,
                     ISNUMBER(FIND(SUBSTITUTE(C380," ",""),
                                    Load_Booking_Report!AL:AL)),
                     0)
      )
   ),
   ""
)</f>
        <v/>
      </c>
      <c r="V380" s="21">
        <f t="array" ref="V380">IFERROR(
   IF(
      INDEX(Load_Booking_Report!AR:AR,
             MATCH(TRUE,
                     ISNUMBER(FIND(SUBSTITUTE(C380," ",""),
                                    Load_Booking_Report!AL:AL)),
                     0)
      )=0,
      "",
      INDEX(Load_Booking_Report!AR:AR,
             MATCH(TRUE,
                     ISNUMBER(FIND(SUBSTITUTE(C380," ",""),
                                    Load_Booking_Report!AL:AL)),
                     0)
      )
   ),
   ""
)</f>
        <v/>
      </c>
      <c r="W380" s="21">
        <f t="array" ref="W380">IFERROR(INDEX(Load_Booking_Report!F:F, MATCH(TRUE, ISNUMBER(FIND(SUBSTITUTE(C380," ",""), Load_Booking_Report!AL:AL)), 0)), "Not Found")</f>
        <v/>
      </c>
      <c r="X380" s="21">
        <f t="array" ref="X380">IFERROR(INDEX(Load_Booking_Report!N:N, MATCH(TRUE, ISNUMBER(FIND(SUBSTITUTE(C380," ",""), Load_Booking_Report!AL:AL)), 0)), "Not Found")</f>
        <v/>
      </c>
      <c r="Y380" s="21">
        <f t="array" ref="Y380">IFERROR(INDEX(Load_Booking_Report!V:V, MATCH(TRUE, ISNUMBER(FIND(SUBSTITUTE(C380," ",""), Load_Booking_Report!AL:AL)), 0)), "Not Found")</f>
        <v/>
      </c>
      <c r="Z380" s="41">
        <f t="array" ref="Z380">IFERROR(INDEX(Load_Booking_Report!BC:BC, MATCH(TRUE, ISNUMBER(FIND(SUBSTITUTE(C380," ",""), Load_Booking_Report!AL:AL)), 0)), "Not Found")</f>
        <v/>
      </c>
    </row>
    <row r="381">
      <c r="A381" t="n">
        <v>6</v>
      </c>
      <c r="B381" t="n">
        <v>60306</v>
      </c>
      <c r="C381" t="inlineStr">
        <is>
          <t>ANON0000000</t>
        </is>
      </c>
      <c r="D381" t="n">
        <v>40</v>
      </c>
      <c r="E381" t="inlineStr">
        <is>
          <t>USNFK</t>
        </is>
      </c>
      <c r="F381" t="inlineStr">
        <is>
          <t>RULED</t>
        </is>
      </c>
      <c r="G381" t="n">
        <v>28500</v>
      </c>
      <c r="H381" t="inlineStr">
        <is>
          <t>ART</t>
        </is>
      </c>
      <c r="I381" t="inlineStr">
        <is>
          <t>45G1</t>
        </is>
      </c>
      <c r="L381" t="inlineStr">
        <is>
          <t>9'6</t>
        </is>
      </c>
      <c r="M381" t="inlineStr">
        <is>
          <t>Full</t>
        </is>
      </c>
      <c r="N381" t="inlineStr">
        <is>
          <t>RULED</t>
        </is>
      </c>
      <c r="P381" s="21">
        <f>C381</f>
        <v/>
      </c>
      <c r="Q381" s="21">
        <f t="array" ref="Q381">IFERROR(INDEX(Load_Booking_Report!AC:AC, MATCH(TRUE, ISNUMBER(FIND(SUBSTITUTE(C381," ",""), Load_Booking_Report!AL:AL)), 0)), "Not Found")</f>
        <v/>
      </c>
      <c r="R381" s="21">
        <f t="array" ref="R381">IFERROR(INDEX(Load_Booking_Report!C:C, MATCH(TRUE, ISNUMBER(FIND(SUBSTITUTE(C381," ",""), Load_Booking_Report!AL:AL)), 0)), "Not Found")</f>
        <v/>
      </c>
      <c r="S381" s="21">
        <f t="array" ref="S381">IFERROR(INDEX(Load_Booking_Report!AG:AG, MATCH(TRUE, ISNUMBER(FIND(SUBSTITUTE(C381," ",""), Load_Booking_Report!AL:AL)), 0)), "Not Found")</f>
        <v/>
      </c>
      <c r="T381" s="21">
        <f>G381</f>
        <v/>
      </c>
      <c r="U381" s="33">
        <f t="array" ref="U381">IFERROR(
   IF(
      INDEX(Load_Booking_Report!AM:AM,
             MATCH(TRUE,
                     ISNUMBER(FIND(SUBSTITUTE(C381," ",""),
                                    Load_Booking_Report!AL:AL)),
                     0)
      )=0,
      "",
      INDEX(Load_Booking_Report!AM:AM,
             MATCH(TRUE,
                     ISNUMBER(FIND(SUBSTITUTE(C381," ",""),
                                    Load_Booking_Report!AL:AL)),
                     0)
      )
   ),
   ""
)</f>
        <v/>
      </c>
      <c r="V381" s="21">
        <f t="array" ref="V381">IFERROR(
   IF(
      INDEX(Load_Booking_Report!AR:AR,
             MATCH(TRUE,
                     ISNUMBER(FIND(SUBSTITUTE(C381," ",""),
                                    Load_Booking_Report!AL:AL)),
                     0)
      )=0,
      "",
      INDEX(Load_Booking_Report!AR:AR,
             MATCH(TRUE,
                     ISNUMBER(FIND(SUBSTITUTE(C381," ",""),
                                    Load_Booking_Report!AL:AL)),
                     0)
      )
   ),
   ""
)</f>
        <v/>
      </c>
      <c r="W381" s="21">
        <f t="array" ref="W381">IFERROR(INDEX(Load_Booking_Report!F:F, MATCH(TRUE, ISNUMBER(FIND(SUBSTITUTE(C381," ",""), Load_Booking_Report!AL:AL)), 0)), "Not Found")</f>
        <v/>
      </c>
      <c r="X381" s="21">
        <f t="array" ref="X381">IFERROR(INDEX(Load_Booking_Report!N:N, MATCH(TRUE, ISNUMBER(FIND(SUBSTITUTE(C381," ",""), Load_Booking_Report!AL:AL)), 0)), "Not Found")</f>
        <v/>
      </c>
      <c r="Y381" s="21">
        <f t="array" ref="Y381">IFERROR(INDEX(Load_Booking_Report!V:V, MATCH(TRUE, ISNUMBER(FIND(SUBSTITUTE(C381," ",""), Load_Booking_Report!AL:AL)), 0)), "Not Found")</f>
        <v/>
      </c>
      <c r="Z381" s="41">
        <f t="array" ref="Z381">IFERROR(INDEX(Load_Booking_Report!BC:BC, MATCH(TRUE, ISNUMBER(FIND(SUBSTITUTE(C381," ",""), Load_Booking_Report!AL:AL)), 0)), "Not Found")</f>
        <v/>
      </c>
    </row>
    <row r="382">
      <c r="A382" t="n">
        <v>10</v>
      </c>
      <c r="B382" t="n">
        <v>100108</v>
      </c>
      <c r="C382" t="inlineStr">
        <is>
          <t>ANON0000000</t>
        </is>
      </c>
      <c r="D382" t="n">
        <v>40</v>
      </c>
      <c r="E382" t="inlineStr">
        <is>
          <t>USNFK</t>
        </is>
      </c>
      <c r="F382" t="inlineStr">
        <is>
          <t>RULED</t>
        </is>
      </c>
      <c r="G382" t="n">
        <v>28600</v>
      </c>
      <c r="H382" t="inlineStr">
        <is>
          <t>ART</t>
        </is>
      </c>
      <c r="I382" t="inlineStr">
        <is>
          <t>45G1</t>
        </is>
      </c>
      <c r="L382" t="inlineStr">
        <is>
          <t>9'6</t>
        </is>
      </c>
      <c r="M382" t="inlineStr">
        <is>
          <t>Full</t>
        </is>
      </c>
      <c r="N382" t="inlineStr">
        <is>
          <t>RULED</t>
        </is>
      </c>
      <c r="P382" s="21">
        <f>C382</f>
        <v/>
      </c>
      <c r="Q382" s="21">
        <f t="array" ref="Q382">IFERROR(INDEX(Load_Booking_Report!AC:AC, MATCH(TRUE, ISNUMBER(FIND(SUBSTITUTE(C382," ",""), Load_Booking_Report!AL:AL)), 0)), "Not Found")</f>
        <v/>
      </c>
      <c r="R382" s="21">
        <f t="array" ref="R382">IFERROR(INDEX(Load_Booking_Report!C:C, MATCH(TRUE, ISNUMBER(FIND(SUBSTITUTE(C382," ",""), Load_Booking_Report!AL:AL)), 0)), "Not Found")</f>
        <v/>
      </c>
      <c r="S382" s="21">
        <f t="array" ref="S382">IFERROR(INDEX(Load_Booking_Report!AG:AG, MATCH(TRUE, ISNUMBER(FIND(SUBSTITUTE(C382," ",""), Load_Booking_Report!AL:AL)), 0)), "Not Found")</f>
        <v/>
      </c>
      <c r="T382" s="21">
        <f>G382</f>
        <v/>
      </c>
      <c r="U382" s="33">
        <f t="array" ref="U382">IFERROR(
   IF(
      INDEX(Load_Booking_Report!AM:AM,
             MATCH(TRUE,
                     ISNUMBER(FIND(SUBSTITUTE(C382," ",""),
                                    Load_Booking_Report!AL:AL)),
                     0)
      )=0,
      "",
      INDEX(Load_Booking_Report!AM:AM,
             MATCH(TRUE,
                     ISNUMBER(FIND(SUBSTITUTE(C382," ",""),
                                    Load_Booking_Report!AL:AL)),
                     0)
      )
   ),
   ""
)</f>
        <v/>
      </c>
      <c r="V382" s="21">
        <f t="array" ref="V382">IFERROR(
   IF(
      INDEX(Load_Booking_Report!AR:AR,
             MATCH(TRUE,
                     ISNUMBER(FIND(SUBSTITUTE(C382," ",""),
                                    Load_Booking_Report!AL:AL)),
                     0)
      )=0,
      "",
      INDEX(Load_Booking_Report!AR:AR,
             MATCH(TRUE,
                     ISNUMBER(FIND(SUBSTITUTE(C382," ",""),
                                    Load_Booking_Report!AL:AL)),
                     0)
      )
   ),
   ""
)</f>
        <v/>
      </c>
      <c r="W382" s="21">
        <f t="array" ref="W382">IFERROR(INDEX(Load_Booking_Report!F:F, MATCH(TRUE, ISNUMBER(FIND(SUBSTITUTE(C382," ",""), Load_Booking_Report!AL:AL)), 0)), "Not Found")</f>
        <v/>
      </c>
      <c r="X382" s="21">
        <f t="array" ref="X382">IFERROR(INDEX(Load_Booking_Report!N:N, MATCH(TRUE, ISNUMBER(FIND(SUBSTITUTE(C382," ",""), Load_Booking_Report!AL:AL)), 0)), "Not Found")</f>
        <v/>
      </c>
      <c r="Y382" s="21">
        <f t="array" ref="Y382">IFERROR(INDEX(Load_Booking_Report!V:V, MATCH(TRUE, ISNUMBER(FIND(SUBSTITUTE(C382," ",""), Load_Booking_Report!AL:AL)), 0)), "Not Found")</f>
        <v/>
      </c>
      <c r="Z382" s="41">
        <f t="array" ref="Z382">IFERROR(INDEX(Load_Booking_Report!BC:BC, MATCH(TRUE, ISNUMBER(FIND(SUBSTITUTE(C382," ",""), Load_Booking_Report!AL:AL)), 0)), "Not Found")</f>
        <v/>
      </c>
    </row>
    <row r="383">
      <c r="A383" t="n">
        <v>6</v>
      </c>
      <c r="B383" t="n">
        <v>60408</v>
      </c>
      <c r="C383" t="inlineStr">
        <is>
          <t>ANON0000000</t>
        </is>
      </c>
      <c r="D383" t="n">
        <v>40</v>
      </c>
      <c r="E383" t="inlineStr">
        <is>
          <t>USNFK</t>
        </is>
      </c>
      <c r="F383" t="inlineStr">
        <is>
          <t>RULED</t>
        </is>
      </c>
      <c r="G383" t="n">
        <v>28660</v>
      </c>
      <c r="H383" t="inlineStr">
        <is>
          <t>ART</t>
        </is>
      </c>
      <c r="I383" t="inlineStr">
        <is>
          <t>45G1</t>
        </is>
      </c>
      <c r="L383" t="inlineStr">
        <is>
          <t>9'6</t>
        </is>
      </c>
      <c r="M383" t="inlineStr">
        <is>
          <t>Full</t>
        </is>
      </c>
      <c r="N383" t="inlineStr">
        <is>
          <t>RULED</t>
        </is>
      </c>
      <c r="P383" s="21">
        <f>C383</f>
        <v/>
      </c>
      <c r="Q383" s="21">
        <f t="array" ref="Q383">IFERROR(INDEX(Load_Booking_Report!AC:AC, MATCH(TRUE, ISNUMBER(FIND(SUBSTITUTE(C383," ",""), Load_Booking_Report!AL:AL)), 0)), "Not Found")</f>
        <v/>
      </c>
      <c r="R383" s="21">
        <f t="array" ref="R383">IFERROR(INDEX(Load_Booking_Report!C:C, MATCH(TRUE, ISNUMBER(FIND(SUBSTITUTE(C383," ",""), Load_Booking_Report!AL:AL)), 0)), "Not Found")</f>
        <v/>
      </c>
      <c r="S383" s="21">
        <f t="array" ref="S383">IFERROR(INDEX(Load_Booking_Report!AG:AG, MATCH(TRUE, ISNUMBER(FIND(SUBSTITUTE(C383," ",""), Load_Booking_Report!AL:AL)), 0)), "Not Found")</f>
        <v/>
      </c>
      <c r="T383" s="21">
        <f>G383</f>
        <v/>
      </c>
      <c r="U383" s="33">
        <f t="array" ref="U383">IFERROR(
   IF(
      INDEX(Load_Booking_Report!AM:AM,
             MATCH(TRUE,
                     ISNUMBER(FIND(SUBSTITUTE(C383," ",""),
                                    Load_Booking_Report!AL:AL)),
                     0)
      )=0,
      "",
      INDEX(Load_Booking_Report!AM:AM,
             MATCH(TRUE,
                     ISNUMBER(FIND(SUBSTITUTE(C383," ",""),
                                    Load_Booking_Report!AL:AL)),
                     0)
      )
   ),
   ""
)</f>
        <v/>
      </c>
      <c r="V383" s="21">
        <f t="array" ref="V383">IFERROR(
   IF(
      INDEX(Load_Booking_Report!AR:AR,
             MATCH(TRUE,
                     ISNUMBER(FIND(SUBSTITUTE(C383," ",""),
                                    Load_Booking_Report!AL:AL)),
                     0)
      )=0,
      "",
      INDEX(Load_Booking_Report!AR:AR,
             MATCH(TRUE,
                     ISNUMBER(FIND(SUBSTITUTE(C383," ",""),
                                    Load_Booking_Report!AL:AL)),
                     0)
      )
   ),
   ""
)</f>
        <v/>
      </c>
      <c r="W383" s="21">
        <f t="array" ref="W383">IFERROR(INDEX(Load_Booking_Report!F:F, MATCH(TRUE, ISNUMBER(FIND(SUBSTITUTE(C383," ",""), Load_Booking_Report!AL:AL)), 0)), "Not Found")</f>
        <v/>
      </c>
      <c r="X383" s="21">
        <f t="array" ref="X383">IFERROR(INDEX(Load_Booking_Report!N:N, MATCH(TRUE, ISNUMBER(FIND(SUBSTITUTE(C383," ",""), Load_Booking_Report!AL:AL)), 0)), "Not Found")</f>
        <v/>
      </c>
      <c r="Y383" s="21">
        <f t="array" ref="Y383">IFERROR(INDEX(Load_Booking_Report!V:V, MATCH(TRUE, ISNUMBER(FIND(SUBSTITUTE(C383," ",""), Load_Booking_Report!AL:AL)), 0)), "Not Found")</f>
        <v/>
      </c>
      <c r="Z383" s="41">
        <f t="array" ref="Z383">IFERROR(INDEX(Load_Booking_Report!BC:BC, MATCH(TRUE, ISNUMBER(FIND(SUBSTITUTE(C383," ",""), Load_Booking_Report!AL:AL)), 0)), "Not Found")</f>
        <v/>
      </c>
    </row>
    <row r="384">
      <c r="A384" t="n">
        <v>10</v>
      </c>
      <c r="B384" t="n">
        <v>100306</v>
      </c>
      <c r="C384" t="inlineStr">
        <is>
          <t>ANON0000000</t>
        </is>
      </c>
      <c r="D384" t="n">
        <v>40</v>
      </c>
      <c r="E384" t="inlineStr">
        <is>
          <t>USNFK</t>
        </is>
      </c>
      <c r="F384" t="inlineStr">
        <is>
          <t>RULED</t>
        </is>
      </c>
      <c r="G384" t="n">
        <v>28740</v>
      </c>
      <c r="H384" t="inlineStr">
        <is>
          <t>ART</t>
        </is>
      </c>
      <c r="I384" t="inlineStr">
        <is>
          <t>45G1</t>
        </is>
      </c>
      <c r="L384" t="inlineStr">
        <is>
          <t>9'6</t>
        </is>
      </c>
      <c r="M384" t="inlineStr">
        <is>
          <t>Full</t>
        </is>
      </c>
      <c r="N384" t="inlineStr">
        <is>
          <t>RULED</t>
        </is>
      </c>
      <c r="P384" s="21">
        <f>C384</f>
        <v/>
      </c>
      <c r="Q384" s="21">
        <f t="array" ref="Q384">IFERROR(INDEX(Load_Booking_Report!AC:AC, MATCH(TRUE, ISNUMBER(FIND(SUBSTITUTE(C384," ",""), Load_Booking_Report!AL:AL)), 0)), "Not Found")</f>
        <v/>
      </c>
      <c r="R384" s="21">
        <f t="array" ref="R384">IFERROR(INDEX(Load_Booking_Report!C:C, MATCH(TRUE, ISNUMBER(FIND(SUBSTITUTE(C384," ",""), Load_Booking_Report!AL:AL)), 0)), "Not Found")</f>
        <v/>
      </c>
      <c r="S384" s="21">
        <f t="array" ref="S384">IFERROR(INDEX(Load_Booking_Report!AG:AG, MATCH(TRUE, ISNUMBER(FIND(SUBSTITUTE(C384," ",""), Load_Booking_Report!AL:AL)), 0)), "Not Found")</f>
        <v/>
      </c>
      <c r="T384" s="21">
        <f>G384</f>
        <v/>
      </c>
      <c r="U384" s="33">
        <f t="array" ref="U384">IFERROR(
   IF(
      INDEX(Load_Booking_Report!AM:AM,
             MATCH(TRUE,
                     ISNUMBER(FIND(SUBSTITUTE(C384," ",""),
                                    Load_Booking_Report!AL:AL)),
                     0)
      )=0,
      "",
      INDEX(Load_Booking_Report!AM:AM,
             MATCH(TRUE,
                     ISNUMBER(FIND(SUBSTITUTE(C384," ",""),
                                    Load_Booking_Report!AL:AL)),
                     0)
      )
   ),
   ""
)</f>
        <v/>
      </c>
      <c r="V384" s="21">
        <f t="array" ref="V384">IFERROR(
   IF(
      INDEX(Load_Booking_Report!AR:AR,
             MATCH(TRUE,
                     ISNUMBER(FIND(SUBSTITUTE(C384," ",""),
                                    Load_Booking_Report!AL:AL)),
                     0)
      )=0,
      "",
      INDEX(Load_Booking_Report!AR:AR,
             MATCH(TRUE,
                     ISNUMBER(FIND(SUBSTITUTE(C384," ",""),
                                    Load_Booking_Report!AL:AL)),
                     0)
      )
   ),
   ""
)</f>
        <v/>
      </c>
      <c r="W384" s="21">
        <f t="array" ref="W384">IFERROR(INDEX(Load_Booking_Report!F:F, MATCH(TRUE, ISNUMBER(FIND(SUBSTITUTE(C384," ",""), Load_Booking_Report!AL:AL)), 0)), "Not Found")</f>
        <v/>
      </c>
      <c r="X384" s="21">
        <f t="array" ref="X384">IFERROR(INDEX(Load_Booking_Report!N:N, MATCH(TRUE, ISNUMBER(FIND(SUBSTITUTE(C384," ",""), Load_Booking_Report!AL:AL)), 0)), "Not Found")</f>
        <v/>
      </c>
      <c r="Y384" s="21">
        <f t="array" ref="Y384">IFERROR(INDEX(Load_Booking_Report!V:V, MATCH(TRUE, ISNUMBER(FIND(SUBSTITUTE(C384," ",""), Load_Booking_Report!AL:AL)), 0)), "Not Found")</f>
        <v/>
      </c>
      <c r="Z384" s="41">
        <f t="array" ref="Z384">IFERROR(INDEX(Load_Booking_Report!BC:BC, MATCH(TRUE, ISNUMBER(FIND(SUBSTITUTE(C384," ",""), Load_Booking_Report!AL:AL)), 0)), "Not Found")</f>
        <v/>
      </c>
    </row>
    <row r="385">
      <c r="A385" t="n">
        <v>18</v>
      </c>
      <c r="B385" t="n">
        <v>180086</v>
      </c>
      <c r="C385" t="inlineStr">
        <is>
          <t>ANON0000000</t>
        </is>
      </c>
      <c r="D385" t="n">
        <v>40</v>
      </c>
      <c r="E385" t="inlineStr">
        <is>
          <t>USNFK</t>
        </is>
      </c>
      <c r="F385" t="inlineStr">
        <is>
          <t>RULED</t>
        </is>
      </c>
      <c r="G385" t="n">
        <v>32440</v>
      </c>
      <c r="H385" t="inlineStr">
        <is>
          <t>ART</t>
        </is>
      </c>
      <c r="I385" t="inlineStr">
        <is>
          <t>45R1</t>
        </is>
      </c>
      <c r="K385" t="inlineStr">
        <is>
          <t>-18.0:CEL</t>
        </is>
      </c>
      <c r="L385" t="inlineStr">
        <is>
          <t>9'6</t>
        </is>
      </c>
      <c r="M385" t="inlineStr">
        <is>
          <t>Full</t>
        </is>
      </c>
      <c r="N385" t="inlineStr">
        <is>
          <t>RULED</t>
        </is>
      </c>
      <c r="P385" s="21">
        <f>C385</f>
        <v/>
      </c>
      <c r="Q385" s="21">
        <f t="array" ref="Q385">IFERROR(INDEX(Load_Booking_Report!AC:AC, MATCH(TRUE, ISNUMBER(FIND(SUBSTITUTE(C385," ",""), Load_Booking_Report!AL:AL)), 0)), "Not Found")</f>
        <v/>
      </c>
      <c r="R385" s="21">
        <f t="array" ref="R385">IFERROR(INDEX(Load_Booking_Report!C:C, MATCH(TRUE, ISNUMBER(FIND(SUBSTITUTE(C385," ",""), Load_Booking_Report!AL:AL)), 0)), "Not Found")</f>
        <v/>
      </c>
      <c r="S385" s="21">
        <f t="array" ref="S385">IFERROR(INDEX(Load_Booking_Report!AG:AG, MATCH(TRUE, ISNUMBER(FIND(SUBSTITUTE(C385," ",""), Load_Booking_Report!AL:AL)), 0)), "Not Found")</f>
        <v/>
      </c>
      <c r="T385" s="21">
        <f>G385</f>
        <v/>
      </c>
      <c r="U385" s="33">
        <f t="array" ref="U385">IFERROR(
   IF(
      INDEX(Load_Booking_Report!AM:AM,
             MATCH(TRUE,
                     ISNUMBER(FIND(SUBSTITUTE(C385," ",""),
                                    Load_Booking_Report!AL:AL)),
                     0)
      )=0,
      "",
      INDEX(Load_Booking_Report!AM:AM,
             MATCH(TRUE,
                     ISNUMBER(FIND(SUBSTITUTE(C385," ",""),
                                    Load_Booking_Report!AL:AL)),
                     0)
      )
   ),
   ""
)</f>
        <v/>
      </c>
      <c r="V385" s="21">
        <f t="array" ref="V385">IFERROR(
   IF(
      INDEX(Load_Booking_Report!AR:AR,
             MATCH(TRUE,
                     ISNUMBER(FIND(SUBSTITUTE(C385," ",""),
                                    Load_Booking_Report!AL:AL)),
                     0)
      )=0,
      "",
      INDEX(Load_Booking_Report!AR:AR,
             MATCH(TRUE,
                     ISNUMBER(FIND(SUBSTITUTE(C385," ",""),
                                    Load_Booking_Report!AL:AL)),
                     0)
      )
   ),
   ""
)</f>
        <v/>
      </c>
      <c r="W385" s="21">
        <f t="array" ref="W385">IFERROR(INDEX(Load_Booking_Report!F:F, MATCH(TRUE, ISNUMBER(FIND(SUBSTITUTE(C385," ",""), Load_Booking_Report!AL:AL)), 0)), "Not Found")</f>
        <v/>
      </c>
      <c r="X385" s="21">
        <f t="array" ref="X385">IFERROR(INDEX(Load_Booking_Report!N:N, MATCH(TRUE, ISNUMBER(FIND(SUBSTITUTE(C385," ",""), Load_Booking_Report!AL:AL)), 0)), "Not Found")</f>
        <v/>
      </c>
      <c r="Y385" s="21">
        <f t="array" ref="Y385">IFERROR(INDEX(Load_Booking_Report!V:V, MATCH(TRUE, ISNUMBER(FIND(SUBSTITUTE(C385," ",""), Load_Booking_Report!AL:AL)), 0)), "Not Found")</f>
        <v/>
      </c>
      <c r="Z385" s="41">
        <f t="array" ref="Z385">IFERROR(INDEX(Load_Booking_Report!BC:BC, MATCH(TRUE, ISNUMBER(FIND(SUBSTITUTE(C385," ",""), Load_Booking_Report!AL:AL)), 0)), "Not Found")</f>
        <v/>
      </c>
    </row>
    <row r="386">
      <c r="A386" t="n">
        <v>18</v>
      </c>
      <c r="B386" t="n">
        <v>180286</v>
      </c>
      <c r="C386" t="inlineStr">
        <is>
          <t>ANON0000000</t>
        </is>
      </c>
      <c r="D386" t="n">
        <v>40</v>
      </c>
      <c r="E386" t="inlineStr">
        <is>
          <t>USNFK</t>
        </is>
      </c>
      <c r="F386" t="inlineStr">
        <is>
          <t>RULED</t>
        </is>
      </c>
      <c r="G386" t="n">
        <v>32480</v>
      </c>
      <c r="H386" t="inlineStr">
        <is>
          <t>ART</t>
        </is>
      </c>
      <c r="I386" t="inlineStr">
        <is>
          <t>45R1</t>
        </is>
      </c>
      <c r="K386" t="inlineStr">
        <is>
          <t>-18.0:CEL</t>
        </is>
      </c>
      <c r="L386" t="inlineStr">
        <is>
          <t>9'6</t>
        </is>
      </c>
      <c r="M386" t="inlineStr">
        <is>
          <t>Full</t>
        </is>
      </c>
      <c r="N386" t="inlineStr">
        <is>
          <t>RULED</t>
        </is>
      </c>
      <c r="P386" s="21">
        <f>C386</f>
        <v/>
      </c>
      <c r="Q386" s="21">
        <f t="array" ref="Q386">IFERROR(INDEX(Load_Booking_Report!AC:AC, MATCH(TRUE, ISNUMBER(FIND(SUBSTITUTE(C386," ",""), Load_Booking_Report!AL:AL)), 0)), "Not Found")</f>
        <v/>
      </c>
      <c r="R386" s="21">
        <f t="array" ref="R386">IFERROR(INDEX(Load_Booking_Report!C:C, MATCH(TRUE, ISNUMBER(FIND(SUBSTITUTE(C386," ",""), Load_Booking_Report!AL:AL)), 0)), "Not Found")</f>
        <v/>
      </c>
      <c r="S386" s="21">
        <f t="array" ref="S386">IFERROR(INDEX(Load_Booking_Report!AG:AG, MATCH(TRUE, ISNUMBER(FIND(SUBSTITUTE(C386," ",""), Load_Booking_Report!AL:AL)), 0)), "Not Found")</f>
        <v/>
      </c>
      <c r="T386" s="21">
        <f>G386</f>
        <v/>
      </c>
      <c r="U386" s="33">
        <f t="array" ref="U386">IFERROR(
   IF(
      INDEX(Load_Booking_Report!AM:AM,
             MATCH(TRUE,
                     ISNUMBER(FIND(SUBSTITUTE(C386," ",""),
                                    Load_Booking_Report!AL:AL)),
                     0)
      )=0,
      "",
      INDEX(Load_Booking_Report!AM:AM,
             MATCH(TRUE,
                     ISNUMBER(FIND(SUBSTITUTE(C386," ",""),
                                    Load_Booking_Report!AL:AL)),
                     0)
      )
   ),
   ""
)</f>
        <v/>
      </c>
      <c r="V386" s="21">
        <f t="array" ref="V386">IFERROR(
   IF(
      INDEX(Load_Booking_Report!AR:AR,
             MATCH(TRUE,
                     ISNUMBER(FIND(SUBSTITUTE(C386," ",""),
                                    Load_Booking_Report!AL:AL)),
                     0)
      )=0,
      "",
      INDEX(Load_Booking_Report!AR:AR,
             MATCH(TRUE,
                     ISNUMBER(FIND(SUBSTITUTE(C386," ",""),
                                    Load_Booking_Report!AL:AL)),
                     0)
      )
   ),
   ""
)</f>
        <v/>
      </c>
      <c r="W386" s="21">
        <f t="array" ref="W386">IFERROR(INDEX(Load_Booking_Report!F:F, MATCH(TRUE, ISNUMBER(FIND(SUBSTITUTE(C386," ",""), Load_Booking_Report!AL:AL)), 0)), "Not Found")</f>
        <v/>
      </c>
      <c r="X386" s="21">
        <f t="array" ref="X386">IFERROR(INDEX(Load_Booking_Report!N:N, MATCH(TRUE, ISNUMBER(FIND(SUBSTITUTE(C386," ",""), Load_Booking_Report!AL:AL)), 0)), "Not Found")</f>
        <v/>
      </c>
      <c r="Y386" s="21">
        <f t="array" ref="Y386">IFERROR(INDEX(Load_Booking_Report!V:V, MATCH(TRUE, ISNUMBER(FIND(SUBSTITUTE(C386," ",""), Load_Booking_Report!AL:AL)), 0)), "Not Found")</f>
        <v/>
      </c>
      <c r="Z386" s="41">
        <f t="array" ref="Z386">IFERROR(INDEX(Load_Booking_Report!BC:BC, MATCH(TRUE, ISNUMBER(FIND(SUBSTITUTE(C386," ",""), Load_Booking_Report!AL:AL)), 0)), "Not Found")</f>
        <v/>
      </c>
    </row>
    <row r="387">
      <c r="A387" t="n">
        <v>18</v>
      </c>
      <c r="B387" t="n">
        <v>180386</v>
      </c>
      <c r="C387" t="inlineStr">
        <is>
          <t>ANON0000000</t>
        </is>
      </c>
      <c r="D387" t="n">
        <v>40</v>
      </c>
      <c r="E387" t="inlineStr">
        <is>
          <t>USNFK</t>
        </is>
      </c>
      <c r="F387" t="inlineStr">
        <is>
          <t>RULED</t>
        </is>
      </c>
      <c r="G387" t="n">
        <v>32620</v>
      </c>
      <c r="H387" t="inlineStr">
        <is>
          <t>ART</t>
        </is>
      </c>
      <c r="I387" t="inlineStr">
        <is>
          <t>45R1</t>
        </is>
      </c>
      <c r="K387" t="inlineStr">
        <is>
          <t>-18.0:CEL</t>
        </is>
      </c>
      <c r="L387" t="inlineStr">
        <is>
          <t>9'6</t>
        </is>
      </c>
      <c r="M387" t="inlineStr">
        <is>
          <t>Full</t>
        </is>
      </c>
      <c r="N387" t="inlineStr">
        <is>
          <t>RULED</t>
        </is>
      </c>
      <c r="P387" s="21">
        <f>C387</f>
        <v/>
      </c>
      <c r="Q387" s="21">
        <f t="array" ref="Q387">IFERROR(INDEX(Load_Booking_Report!AC:AC, MATCH(TRUE, ISNUMBER(FIND(SUBSTITUTE(C387," ",""), Load_Booking_Report!AL:AL)), 0)), "Not Found")</f>
        <v/>
      </c>
      <c r="R387" s="21">
        <f t="array" ref="R387">IFERROR(INDEX(Load_Booking_Report!C:C, MATCH(TRUE, ISNUMBER(FIND(SUBSTITUTE(C387," ",""), Load_Booking_Report!AL:AL)), 0)), "Not Found")</f>
        <v/>
      </c>
      <c r="S387" s="21">
        <f t="array" ref="S387">IFERROR(INDEX(Load_Booking_Report!AG:AG, MATCH(TRUE, ISNUMBER(FIND(SUBSTITUTE(C387," ",""), Load_Booking_Report!AL:AL)), 0)), "Not Found")</f>
        <v/>
      </c>
      <c r="T387" s="21">
        <f>G387</f>
        <v/>
      </c>
      <c r="U387" s="33">
        <f t="array" ref="U387">IFERROR(
   IF(
      INDEX(Load_Booking_Report!AM:AM,
             MATCH(TRUE,
                     ISNUMBER(FIND(SUBSTITUTE(C387," ",""),
                                    Load_Booking_Report!AL:AL)),
                     0)
      )=0,
      "",
      INDEX(Load_Booking_Report!AM:AM,
             MATCH(TRUE,
                     ISNUMBER(FIND(SUBSTITUTE(C387," ",""),
                                    Load_Booking_Report!AL:AL)),
                     0)
      )
   ),
   ""
)</f>
        <v/>
      </c>
      <c r="V387" s="21">
        <f t="array" ref="V387">IFERROR(
   IF(
      INDEX(Load_Booking_Report!AR:AR,
             MATCH(TRUE,
                     ISNUMBER(FIND(SUBSTITUTE(C387," ",""),
                                    Load_Booking_Report!AL:AL)),
                     0)
      )=0,
      "",
      INDEX(Load_Booking_Report!AR:AR,
             MATCH(TRUE,
                     ISNUMBER(FIND(SUBSTITUTE(C387," ",""),
                                    Load_Booking_Report!AL:AL)),
                     0)
      )
   ),
   ""
)</f>
        <v/>
      </c>
      <c r="W387" s="21">
        <f t="array" ref="W387">IFERROR(INDEX(Load_Booking_Report!F:F, MATCH(TRUE, ISNUMBER(FIND(SUBSTITUTE(C387," ",""), Load_Booking_Report!AL:AL)), 0)), "Not Found")</f>
        <v/>
      </c>
      <c r="X387" s="21">
        <f t="array" ref="X387">IFERROR(INDEX(Load_Booking_Report!N:N, MATCH(TRUE, ISNUMBER(FIND(SUBSTITUTE(C387," ",""), Load_Booking_Report!AL:AL)), 0)), "Not Found")</f>
        <v/>
      </c>
      <c r="Y387" s="21">
        <f t="array" ref="Y387">IFERROR(INDEX(Load_Booking_Report!V:V, MATCH(TRUE, ISNUMBER(FIND(SUBSTITUTE(C387," ",""), Load_Booking_Report!AL:AL)), 0)), "Not Found")</f>
        <v/>
      </c>
      <c r="Z387" s="41">
        <f t="array" ref="Z387">IFERROR(INDEX(Load_Booking_Report!BC:BC, MATCH(TRUE, ISNUMBER(FIND(SUBSTITUTE(C387," ",""), Load_Booking_Report!AL:AL)), 0)), "Not Found")</f>
        <v/>
      </c>
    </row>
    <row r="388">
      <c r="A388" t="n">
        <v>18</v>
      </c>
      <c r="B388" t="n">
        <v>180186</v>
      </c>
      <c r="C388" t="inlineStr">
        <is>
          <t>ANON0000000</t>
        </is>
      </c>
      <c r="D388" t="n">
        <v>40</v>
      </c>
      <c r="E388" t="inlineStr">
        <is>
          <t>USNFK</t>
        </is>
      </c>
      <c r="F388" t="inlineStr">
        <is>
          <t>RULED</t>
        </is>
      </c>
      <c r="G388" t="n">
        <v>32580</v>
      </c>
      <c r="H388" t="inlineStr">
        <is>
          <t>ART</t>
        </is>
      </c>
      <c r="I388" t="inlineStr">
        <is>
          <t>45R1</t>
        </is>
      </c>
      <c r="K388" t="inlineStr">
        <is>
          <t>-18.0:CEL</t>
        </is>
      </c>
      <c r="L388" t="inlineStr">
        <is>
          <t>9'6</t>
        </is>
      </c>
      <c r="M388" t="inlineStr">
        <is>
          <t>Full</t>
        </is>
      </c>
      <c r="N388" t="inlineStr">
        <is>
          <t>RULED</t>
        </is>
      </c>
      <c r="P388" s="21">
        <f>C388</f>
        <v/>
      </c>
      <c r="Q388" s="21">
        <f t="array" ref="Q388">IFERROR(INDEX(Load_Booking_Report!AC:AC, MATCH(TRUE, ISNUMBER(FIND(SUBSTITUTE(C388," ",""), Load_Booking_Report!AL:AL)), 0)), "Not Found")</f>
        <v/>
      </c>
      <c r="R388" s="21">
        <f t="array" ref="R388">IFERROR(INDEX(Load_Booking_Report!C:C, MATCH(TRUE, ISNUMBER(FIND(SUBSTITUTE(C388," ",""), Load_Booking_Report!AL:AL)), 0)), "Not Found")</f>
        <v/>
      </c>
      <c r="S388" s="21">
        <f t="array" ref="S388">IFERROR(INDEX(Load_Booking_Report!AG:AG, MATCH(TRUE, ISNUMBER(FIND(SUBSTITUTE(C388," ",""), Load_Booking_Report!AL:AL)), 0)), "Not Found")</f>
        <v/>
      </c>
      <c r="T388" s="21">
        <f>G388</f>
        <v/>
      </c>
      <c r="U388" s="33">
        <f t="array" ref="U388">IFERROR(
   IF(
      INDEX(Load_Booking_Report!AM:AM,
             MATCH(TRUE,
                     ISNUMBER(FIND(SUBSTITUTE(C388," ",""),
                                    Load_Booking_Report!AL:AL)),
                     0)
      )=0,
      "",
      INDEX(Load_Booking_Report!AM:AM,
             MATCH(TRUE,
                     ISNUMBER(FIND(SUBSTITUTE(C388," ",""),
                                    Load_Booking_Report!AL:AL)),
                     0)
      )
   ),
   ""
)</f>
        <v/>
      </c>
      <c r="V388" s="21">
        <f t="array" ref="V388">IFERROR(
   IF(
      INDEX(Load_Booking_Report!AR:AR,
             MATCH(TRUE,
                     ISNUMBER(FIND(SUBSTITUTE(C388," ",""),
                                    Load_Booking_Report!AL:AL)),
                     0)
      )=0,
      "",
      INDEX(Load_Booking_Report!AR:AR,
             MATCH(TRUE,
                     ISNUMBER(FIND(SUBSTITUTE(C388," ",""),
                                    Load_Booking_Report!AL:AL)),
                     0)
      )
   ),
   ""
)</f>
        <v/>
      </c>
      <c r="W388" s="21">
        <f t="array" ref="W388">IFERROR(INDEX(Load_Booking_Report!F:F, MATCH(TRUE, ISNUMBER(FIND(SUBSTITUTE(C388," ",""), Load_Booking_Report!AL:AL)), 0)), "Not Found")</f>
        <v/>
      </c>
      <c r="X388" s="21">
        <f t="array" ref="X388">IFERROR(INDEX(Load_Booking_Report!N:N, MATCH(TRUE, ISNUMBER(FIND(SUBSTITUTE(C388," ",""), Load_Booking_Report!AL:AL)), 0)), "Not Found")</f>
        <v/>
      </c>
      <c r="Y388" s="21">
        <f t="array" ref="Y388">IFERROR(INDEX(Load_Booking_Report!V:V, MATCH(TRUE, ISNUMBER(FIND(SUBSTITUTE(C388," ",""), Load_Booking_Report!AL:AL)), 0)), "Not Found")</f>
        <v/>
      </c>
      <c r="Z388" s="41">
        <f t="array" ref="Z388">IFERROR(INDEX(Load_Booking_Report!BC:BC, MATCH(TRUE, ISNUMBER(FIND(SUBSTITUTE(C388," ",""), Load_Booking_Report!AL:AL)), 0)), "Not Found")</f>
        <v/>
      </c>
    </row>
    <row r="389">
      <c r="A389" t="n">
        <v>18</v>
      </c>
      <c r="B389" t="n">
        <v>180782</v>
      </c>
      <c r="C389" t="inlineStr">
        <is>
          <t>ANON0000000</t>
        </is>
      </c>
      <c r="D389" t="n">
        <v>40</v>
      </c>
      <c r="E389" t="inlineStr">
        <is>
          <t>USNFK</t>
        </is>
      </c>
      <c r="F389" t="inlineStr">
        <is>
          <t>RULED</t>
        </is>
      </c>
      <c r="G389" t="n">
        <v>32660</v>
      </c>
      <c r="H389" t="inlineStr">
        <is>
          <t>ART</t>
        </is>
      </c>
      <c r="I389" t="inlineStr">
        <is>
          <t>45R1</t>
        </is>
      </c>
      <c r="K389" t="inlineStr">
        <is>
          <t>-18.0:CEL</t>
        </is>
      </c>
      <c r="L389" t="inlineStr">
        <is>
          <t>9'6</t>
        </is>
      </c>
      <c r="M389" t="inlineStr">
        <is>
          <t>Full</t>
        </is>
      </c>
      <c r="N389" t="inlineStr">
        <is>
          <t>RULED</t>
        </is>
      </c>
      <c r="P389" s="21">
        <f>C389</f>
        <v/>
      </c>
      <c r="Q389" s="21">
        <f t="array" ref="Q389">IFERROR(INDEX(Load_Booking_Report!AC:AC, MATCH(TRUE, ISNUMBER(FIND(SUBSTITUTE(C389," ",""), Load_Booking_Report!AL:AL)), 0)), "Not Found")</f>
        <v/>
      </c>
      <c r="R389" s="21">
        <f t="array" ref="R389">IFERROR(INDEX(Load_Booking_Report!C:C, MATCH(TRUE, ISNUMBER(FIND(SUBSTITUTE(C389," ",""), Load_Booking_Report!AL:AL)), 0)), "Not Found")</f>
        <v/>
      </c>
      <c r="S389" s="21">
        <f t="array" ref="S389">IFERROR(INDEX(Load_Booking_Report!AG:AG, MATCH(TRUE, ISNUMBER(FIND(SUBSTITUTE(C389," ",""), Load_Booking_Report!AL:AL)), 0)), "Not Found")</f>
        <v/>
      </c>
      <c r="T389" s="21">
        <f>G389</f>
        <v/>
      </c>
      <c r="U389" s="33">
        <f t="array" ref="U389">IFERROR(
   IF(
      INDEX(Load_Booking_Report!AM:AM,
             MATCH(TRUE,
                     ISNUMBER(FIND(SUBSTITUTE(C389," ",""),
                                    Load_Booking_Report!AL:AL)),
                     0)
      )=0,
      "",
      INDEX(Load_Booking_Report!AM:AM,
             MATCH(TRUE,
                     ISNUMBER(FIND(SUBSTITUTE(C389," ",""),
                                    Load_Booking_Report!AL:AL)),
                     0)
      )
   ),
   ""
)</f>
        <v/>
      </c>
      <c r="V389" s="21">
        <f t="array" ref="V389">IFERROR(
   IF(
      INDEX(Load_Booking_Report!AR:AR,
             MATCH(TRUE,
                     ISNUMBER(FIND(SUBSTITUTE(C389," ",""),
                                    Load_Booking_Report!AL:AL)),
                     0)
      )=0,
      "",
      INDEX(Load_Booking_Report!AR:AR,
             MATCH(TRUE,
                     ISNUMBER(FIND(SUBSTITUTE(C389," ",""),
                                    Load_Booking_Report!AL:AL)),
                     0)
      )
   ),
   ""
)</f>
        <v/>
      </c>
      <c r="W389" s="21">
        <f t="array" ref="W389">IFERROR(INDEX(Load_Booking_Report!F:F, MATCH(TRUE, ISNUMBER(FIND(SUBSTITUTE(C389," ",""), Load_Booking_Report!AL:AL)), 0)), "Not Found")</f>
        <v/>
      </c>
      <c r="X389" s="21">
        <f t="array" ref="X389">IFERROR(INDEX(Load_Booking_Report!N:N, MATCH(TRUE, ISNUMBER(FIND(SUBSTITUTE(C389," ",""), Load_Booking_Report!AL:AL)), 0)), "Not Found")</f>
        <v/>
      </c>
      <c r="Y389" s="21">
        <f t="array" ref="Y389">IFERROR(INDEX(Load_Booking_Report!V:V, MATCH(TRUE, ISNUMBER(FIND(SUBSTITUTE(C389," ",""), Load_Booking_Report!AL:AL)), 0)), "Not Found")</f>
        <v/>
      </c>
      <c r="Z389" s="41">
        <f t="array" ref="Z389">IFERROR(INDEX(Load_Booking_Report!BC:BC, MATCH(TRUE, ISNUMBER(FIND(SUBSTITUTE(C389," ",""), Load_Booking_Report!AL:AL)), 0)), "Not Found")</f>
        <v/>
      </c>
    </row>
    <row r="390">
      <c r="A390" t="n">
        <v>10</v>
      </c>
      <c r="B390" t="n">
        <v>100682</v>
      </c>
      <c r="C390" t="inlineStr">
        <is>
          <t>ANON0000000</t>
        </is>
      </c>
      <c r="D390" t="n">
        <v>40</v>
      </c>
      <c r="E390" t="inlineStr">
        <is>
          <t>USNFK</t>
        </is>
      </c>
      <c r="F390" t="inlineStr">
        <is>
          <t>RULED</t>
        </is>
      </c>
      <c r="G390" t="n">
        <v>32820</v>
      </c>
      <c r="H390" t="inlineStr">
        <is>
          <t>ART</t>
        </is>
      </c>
      <c r="I390" t="inlineStr">
        <is>
          <t>45R1</t>
        </is>
      </c>
      <c r="K390" t="inlineStr">
        <is>
          <t>-18.0:CEL</t>
        </is>
      </c>
      <c r="L390" t="inlineStr">
        <is>
          <t>9'6</t>
        </is>
      </c>
      <c r="M390" t="inlineStr">
        <is>
          <t>Full</t>
        </is>
      </c>
      <c r="N390" t="inlineStr">
        <is>
          <t>RULED</t>
        </is>
      </c>
      <c r="P390" s="21">
        <f>C390</f>
        <v/>
      </c>
      <c r="Q390" s="21">
        <f t="array" ref="Q390">IFERROR(INDEX(Load_Booking_Report!AC:AC, MATCH(TRUE, ISNUMBER(FIND(SUBSTITUTE(C390," ",""), Load_Booking_Report!AL:AL)), 0)), "Not Found")</f>
        <v/>
      </c>
      <c r="R390" s="21">
        <f t="array" ref="R390">IFERROR(INDEX(Load_Booking_Report!C:C, MATCH(TRUE, ISNUMBER(FIND(SUBSTITUTE(C390," ",""), Load_Booking_Report!AL:AL)), 0)), "Not Found")</f>
        <v/>
      </c>
      <c r="S390" s="21">
        <f t="array" ref="S390">IFERROR(INDEX(Load_Booking_Report!AG:AG, MATCH(TRUE, ISNUMBER(FIND(SUBSTITUTE(C390," ",""), Load_Booking_Report!AL:AL)), 0)), "Not Found")</f>
        <v/>
      </c>
      <c r="T390" s="21">
        <f>G390</f>
        <v/>
      </c>
      <c r="U390" s="33">
        <f t="array" ref="U390">IFERROR(
   IF(
      INDEX(Load_Booking_Report!AM:AM,
             MATCH(TRUE,
                     ISNUMBER(FIND(SUBSTITUTE(C390," ",""),
                                    Load_Booking_Report!AL:AL)),
                     0)
      )=0,
      "",
      INDEX(Load_Booking_Report!AM:AM,
             MATCH(TRUE,
                     ISNUMBER(FIND(SUBSTITUTE(C390," ",""),
                                    Load_Booking_Report!AL:AL)),
                     0)
      )
   ),
   ""
)</f>
        <v/>
      </c>
      <c r="V390" s="21">
        <f t="array" ref="V390">IFERROR(
   IF(
      INDEX(Load_Booking_Report!AR:AR,
             MATCH(TRUE,
                     ISNUMBER(FIND(SUBSTITUTE(C390," ",""),
                                    Load_Booking_Report!AL:AL)),
                     0)
      )=0,
      "",
      INDEX(Load_Booking_Report!AR:AR,
             MATCH(TRUE,
                     ISNUMBER(FIND(SUBSTITUTE(C390," ",""),
                                    Load_Booking_Report!AL:AL)),
                     0)
      )
   ),
   ""
)</f>
        <v/>
      </c>
      <c r="W390" s="21">
        <f t="array" ref="W390">IFERROR(INDEX(Load_Booking_Report!F:F, MATCH(TRUE, ISNUMBER(FIND(SUBSTITUTE(C390," ",""), Load_Booking_Report!AL:AL)), 0)), "Not Found")</f>
        <v/>
      </c>
      <c r="X390" s="21">
        <f t="array" ref="X390">IFERROR(INDEX(Load_Booking_Report!N:N, MATCH(TRUE, ISNUMBER(FIND(SUBSTITUTE(C390," ",""), Load_Booking_Report!AL:AL)), 0)), "Not Found")</f>
        <v/>
      </c>
      <c r="Y390" s="21">
        <f t="array" ref="Y390">IFERROR(INDEX(Load_Booking_Report!V:V, MATCH(TRUE, ISNUMBER(FIND(SUBSTITUTE(C390," ",""), Load_Booking_Report!AL:AL)), 0)), "Not Found")</f>
        <v/>
      </c>
      <c r="Z390" s="41">
        <f t="array" ref="Z390">IFERROR(INDEX(Load_Booking_Report!BC:BC, MATCH(TRUE, ISNUMBER(FIND(SUBSTITUTE(C390," ",""), Load_Booking_Report!AL:AL)), 0)), "Not Found")</f>
        <v/>
      </c>
    </row>
    <row r="391">
      <c r="A391" t="n">
        <v>18</v>
      </c>
      <c r="B391" t="n">
        <v>180382</v>
      </c>
      <c r="C391" t="inlineStr">
        <is>
          <t>ANON0000000</t>
        </is>
      </c>
      <c r="D391" t="n">
        <v>40</v>
      </c>
      <c r="E391" t="inlineStr">
        <is>
          <t>USNFK</t>
        </is>
      </c>
      <c r="F391" t="inlineStr">
        <is>
          <t>RULED</t>
        </is>
      </c>
      <c r="G391" t="n">
        <v>32720</v>
      </c>
      <c r="H391" t="inlineStr">
        <is>
          <t>ART</t>
        </is>
      </c>
      <c r="I391" t="inlineStr">
        <is>
          <t>45R1</t>
        </is>
      </c>
      <c r="K391" t="inlineStr">
        <is>
          <t>-18.0:CEL</t>
        </is>
      </c>
      <c r="L391" t="inlineStr">
        <is>
          <t>9'6</t>
        </is>
      </c>
      <c r="M391" t="inlineStr">
        <is>
          <t>Full</t>
        </is>
      </c>
      <c r="N391" t="inlineStr">
        <is>
          <t>RULED</t>
        </is>
      </c>
      <c r="P391" s="21">
        <f>C391</f>
        <v/>
      </c>
      <c r="Q391" s="21">
        <f t="array" ref="Q391">IFERROR(INDEX(Load_Booking_Report!AC:AC, MATCH(TRUE, ISNUMBER(FIND(SUBSTITUTE(C391," ",""), Load_Booking_Report!AL:AL)), 0)), "Not Found")</f>
        <v/>
      </c>
      <c r="R391" s="21">
        <f t="array" ref="R391">IFERROR(INDEX(Load_Booking_Report!C:C, MATCH(TRUE, ISNUMBER(FIND(SUBSTITUTE(C391," ",""), Load_Booking_Report!AL:AL)), 0)), "Not Found")</f>
        <v/>
      </c>
      <c r="S391" s="21">
        <f t="array" ref="S391">IFERROR(INDEX(Load_Booking_Report!AG:AG, MATCH(TRUE, ISNUMBER(FIND(SUBSTITUTE(C391," ",""), Load_Booking_Report!AL:AL)), 0)), "Not Found")</f>
        <v/>
      </c>
      <c r="T391" s="21">
        <f>G391</f>
        <v/>
      </c>
      <c r="U391" s="33">
        <f t="array" ref="U391">IFERROR(
   IF(
      INDEX(Load_Booking_Report!AM:AM,
             MATCH(TRUE,
                     ISNUMBER(FIND(SUBSTITUTE(C391," ",""),
                                    Load_Booking_Report!AL:AL)),
                     0)
      )=0,
      "",
      INDEX(Load_Booking_Report!AM:AM,
             MATCH(TRUE,
                     ISNUMBER(FIND(SUBSTITUTE(C391," ",""),
                                    Load_Booking_Report!AL:AL)),
                     0)
      )
   ),
   ""
)</f>
        <v/>
      </c>
      <c r="V391" s="21">
        <f t="array" ref="V391">IFERROR(
   IF(
      INDEX(Load_Booking_Report!AR:AR,
             MATCH(TRUE,
                     ISNUMBER(FIND(SUBSTITUTE(C391," ",""),
                                    Load_Booking_Report!AL:AL)),
                     0)
      )=0,
      "",
      INDEX(Load_Booking_Report!AR:AR,
             MATCH(TRUE,
                     ISNUMBER(FIND(SUBSTITUTE(C391," ",""),
                                    Load_Booking_Report!AL:AL)),
                     0)
      )
   ),
   ""
)</f>
        <v/>
      </c>
      <c r="W391" s="21">
        <f t="array" ref="W391">IFERROR(INDEX(Load_Booking_Report!F:F, MATCH(TRUE, ISNUMBER(FIND(SUBSTITUTE(C391," ",""), Load_Booking_Report!AL:AL)), 0)), "Not Found")</f>
        <v/>
      </c>
      <c r="X391" s="21">
        <f t="array" ref="X391">IFERROR(INDEX(Load_Booking_Report!N:N, MATCH(TRUE, ISNUMBER(FIND(SUBSTITUTE(C391," ",""), Load_Booking_Report!AL:AL)), 0)), "Not Found")</f>
        <v/>
      </c>
      <c r="Y391" s="21">
        <f t="array" ref="Y391">IFERROR(INDEX(Load_Booking_Report!V:V, MATCH(TRUE, ISNUMBER(FIND(SUBSTITUTE(C391," ",""), Load_Booking_Report!AL:AL)), 0)), "Not Found")</f>
        <v/>
      </c>
      <c r="Z391" s="41">
        <f t="array" ref="Z391">IFERROR(INDEX(Load_Booking_Report!BC:BC, MATCH(TRUE, ISNUMBER(FIND(SUBSTITUTE(C391," ",""), Load_Booking_Report!AL:AL)), 0)), "Not Found")</f>
        <v/>
      </c>
    </row>
    <row r="392" ht="15" customHeight="1" thickBot="1">
      <c r="A392" s="36" t="n">
        <v>18</v>
      </c>
      <c r="B392" s="36" t="n">
        <v>180482</v>
      </c>
      <c r="C392" s="36" t="inlineStr">
        <is>
          <t>ANON0000000</t>
        </is>
      </c>
      <c r="D392" s="36" t="n">
        <v>40</v>
      </c>
      <c r="E392" s="36" t="inlineStr">
        <is>
          <t>USNFK</t>
        </is>
      </c>
      <c r="F392" s="36" t="inlineStr">
        <is>
          <t>RULED</t>
        </is>
      </c>
      <c r="G392" s="36" t="n">
        <v>32720</v>
      </c>
      <c r="H392" s="36" t="inlineStr">
        <is>
          <t>ART</t>
        </is>
      </c>
      <c r="I392" s="36" t="inlineStr">
        <is>
          <t>45R1</t>
        </is>
      </c>
      <c r="J392" s="36" t="n"/>
      <c r="K392" s="36" t="inlineStr">
        <is>
          <t>-18.0:CEL</t>
        </is>
      </c>
      <c r="L392" s="36" t="inlineStr">
        <is>
          <t>9'6</t>
        </is>
      </c>
      <c r="M392" s="36" t="inlineStr">
        <is>
          <t>Full</t>
        </is>
      </c>
      <c r="N392" s="36" t="inlineStr">
        <is>
          <t>RULED</t>
        </is>
      </c>
      <c r="O392" s="36" t="n"/>
      <c r="P392" s="21">
        <f>C392</f>
        <v/>
      </c>
      <c r="Q392" s="21">
        <f t="array" ref="Q392">IFERROR(INDEX(Load_Booking_Report!AC:AC, MATCH(TRUE, ISNUMBER(FIND(SUBSTITUTE(C392," ",""), Load_Booking_Report!AL:AL)), 0)), "Not Found")</f>
        <v/>
      </c>
      <c r="R392" s="21">
        <f t="array" ref="R392">IFERROR(INDEX(Load_Booking_Report!C:C, MATCH(TRUE, ISNUMBER(FIND(SUBSTITUTE(C392," ",""), Load_Booking_Report!AL:AL)), 0)), "Not Found")</f>
        <v/>
      </c>
      <c r="S392" s="21">
        <f t="array" ref="S392">IFERROR(INDEX(Load_Booking_Report!AG:AG, MATCH(TRUE, ISNUMBER(FIND(SUBSTITUTE(C392," ",""), Load_Booking_Report!AL:AL)), 0)), "Not Found")</f>
        <v/>
      </c>
      <c r="T392" s="21">
        <f>G392</f>
        <v/>
      </c>
      <c r="U392" s="33">
        <f t="array" ref="U392">IFERROR(
   IF(
      INDEX(Load_Booking_Report!AM:AM,
             MATCH(TRUE,
                     ISNUMBER(FIND(SUBSTITUTE(C392," ",""),
                                    Load_Booking_Report!AL:AL)),
                     0)
      )=0,
      "",
      INDEX(Load_Booking_Report!AM:AM,
             MATCH(TRUE,
                     ISNUMBER(FIND(SUBSTITUTE(C392," ",""),
                                    Load_Booking_Report!AL:AL)),
                     0)
      )
   ),
   ""
)</f>
        <v/>
      </c>
      <c r="V392" s="21">
        <f t="array" ref="V392">IFERROR(
   IF(
      INDEX(Load_Booking_Report!AR:AR,
             MATCH(TRUE,
                     ISNUMBER(FIND(SUBSTITUTE(C392," ",""),
                                    Load_Booking_Report!AL:AL)),
                     0)
      )=0,
      "",
      INDEX(Load_Booking_Report!AR:AR,
             MATCH(TRUE,
                     ISNUMBER(FIND(SUBSTITUTE(C392," ",""),
                                    Load_Booking_Report!AL:AL)),
                     0)
      )
   ),
   ""
)</f>
        <v/>
      </c>
      <c r="W392" s="21">
        <f t="array" ref="W392">IFERROR(INDEX(Load_Booking_Report!F:F, MATCH(TRUE, ISNUMBER(FIND(SUBSTITUTE(C392," ",""), Load_Booking_Report!AL:AL)), 0)), "Not Found")</f>
        <v/>
      </c>
      <c r="X392" s="21">
        <f t="array" ref="X392">IFERROR(INDEX(Load_Booking_Report!N:N, MATCH(TRUE, ISNUMBER(FIND(SUBSTITUTE(C392," ",""), Load_Booking_Report!AL:AL)), 0)), "Not Found")</f>
        <v/>
      </c>
      <c r="Y392" s="21">
        <f t="array" ref="Y392">IFERROR(INDEX(Load_Booking_Report!V:V, MATCH(TRUE, ISNUMBER(FIND(SUBSTITUTE(C392," ",""), Load_Booking_Report!AL:AL)), 0)), "Not Found")</f>
        <v/>
      </c>
      <c r="Z392" s="41">
        <f t="array" ref="Z392">IFERROR(INDEX(Load_Booking_Report!BC:BC, MATCH(TRUE, ISNUMBER(FIND(SUBSTITUTE(C392," ",""), Load_Booking_Report!AL:AL)), 0)), "Not Found")</f>
        <v/>
      </c>
    </row>
    <row r="393">
      <c r="A393" t="n">
        <v>10</v>
      </c>
      <c r="B393" t="n">
        <v>100384</v>
      </c>
      <c r="C393" t="inlineStr">
        <is>
          <t>ANON0000000</t>
        </is>
      </c>
      <c r="D393" t="n">
        <v>40</v>
      </c>
      <c r="E393" t="inlineStr">
        <is>
          <t>USNFK</t>
        </is>
      </c>
      <c r="F393" t="inlineStr">
        <is>
          <t>RULED</t>
        </is>
      </c>
      <c r="G393" t="n">
        <v>32800</v>
      </c>
      <c r="H393" t="inlineStr">
        <is>
          <t>ART</t>
        </is>
      </c>
      <c r="I393" t="inlineStr">
        <is>
          <t>45R1</t>
        </is>
      </c>
      <c r="K393" t="inlineStr">
        <is>
          <t>-18.0:CEL</t>
        </is>
      </c>
      <c r="L393" t="inlineStr">
        <is>
          <t>9'6</t>
        </is>
      </c>
      <c r="M393" t="inlineStr">
        <is>
          <t>Full</t>
        </is>
      </c>
      <c r="N393" t="inlineStr">
        <is>
          <t>RULED</t>
        </is>
      </c>
      <c r="P393" s="21">
        <f>C393</f>
        <v/>
      </c>
      <c r="Q393" s="21">
        <f t="array" ref="Q393">IFERROR(INDEX(Load_Booking_Report!AC:AC, MATCH(TRUE, ISNUMBER(FIND(SUBSTITUTE(C393," ",""), Load_Booking_Report!AL:AL)), 0)), "Not Found")</f>
        <v/>
      </c>
      <c r="R393" s="21">
        <f t="array" ref="R393">IFERROR(INDEX(Load_Booking_Report!C:C, MATCH(TRUE, ISNUMBER(FIND(SUBSTITUTE(C393," ",""), Load_Booking_Report!AL:AL)), 0)), "Not Found")</f>
        <v/>
      </c>
      <c r="S393" s="21">
        <f t="array" ref="S393">IFERROR(INDEX(Load_Booking_Report!AG:AG, MATCH(TRUE, ISNUMBER(FIND(SUBSTITUTE(C393," ",""), Load_Booking_Report!AL:AL)), 0)), "Not Found")</f>
        <v/>
      </c>
      <c r="T393" s="21">
        <f>G393</f>
        <v/>
      </c>
      <c r="U393" s="33">
        <f t="array" ref="U393">IFERROR(
   IF(
      INDEX(Load_Booking_Report!AM:AM,
             MATCH(TRUE,
                     ISNUMBER(FIND(SUBSTITUTE(C393," ",""),
                                    Load_Booking_Report!AL:AL)),
                     0)
      )=0,
      "",
      INDEX(Load_Booking_Report!AM:AM,
             MATCH(TRUE,
                     ISNUMBER(FIND(SUBSTITUTE(C393," ",""),
                                    Load_Booking_Report!AL:AL)),
                     0)
      )
   ),
   ""
)</f>
        <v/>
      </c>
      <c r="V393" s="21">
        <f t="array" ref="V393">IFERROR(
   IF(
      INDEX(Load_Booking_Report!AR:AR,
             MATCH(TRUE,
                     ISNUMBER(FIND(SUBSTITUTE(C393," ",""),
                                    Load_Booking_Report!AL:AL)),
                     0)
      )=0,
      "",
      INDEX(Load_Booking_Report!AR:AR,
             MATCH(TRUE,
                     ISNUMBER(FIND(SUBSTITUTE(C393," ",""),
                                    Load_Booking_Report!AL:AL)),
                     0)
      )
   ),
   ""
)</f>
        <v/>
      </c>
      <c r="W393" s="21">
        <f t="array" ref="W393">IFERROR(INDEX(Load_Booking_Report!F:F, MATCH(TRUE, ISNUMBER(FIND(SUBSTITUTE(C393," ",""), Load_Booking_Report!AL:AL)), 0)), "Not Found")</f>
        <v/>
      </c>
      <c r="X393" s="21">
        <f t="array" ref="X393">IFERROR(INDEX(Load_Booking_Report!N:N, MATCH(TRUE, ISNUMBER(FIND(SUBSTITUTE(C393," ",""), Load_Booking_Report!AL:AL)), 0)), "Not Found")</f>
        <v/>
      </c>
      <c r="Y393" s="21">
        <f t="array" ref="Y393">IFERROR(INDEX(Load_Booking_Report!V:V, MATCH(TRUE, ISNUMBER(FIND(SUBSTITUTE(C393," ",""), Load_Booking_Report!AL:AL)), 0)), "Not Found")</f>
        <v/>
      </c>
      <c r="Z393" s="41">
        <f t="array" ref="Z393">IFERROR(INDEX(Load_Booking_Report!BC:BC, MATCH(TRUE, ISNUMBER(FIND(SUBSTITUTE(C393," ",""), Load_Booking_Report!AL:AL)), 0)), "Not Found")</f>
        <v/>
      </c>
    </row>
    <row r="394">
      <c r="A394" t="n">
        <v>10</v>
      </c>
      <c r="B394" t="n">
        <v>101084</v>
      </c>
      <c r="C394" t="inlineStr">
        <is>
          <t>ANON0000000</t>
        </is>
      </c>
      <c r="D394" t="n">
        <v>40</v>
      </c>
      <c r="E394" t="inlineStr">
        <is>
          <t>USNFK</t>
        </is>
      </c>
      <c r="F394" t="inlineStr">
        <is>
          <t>RULED</t>
        </is>
      </c>
      <c r="G394" t="n">
        <v>32780</v>
      </c>
      <c r="H394" t="inlineStr">
        <is>
          <t>ART</t>
        </is>
      </c>
      <c r="I394" t="inlineStr">
        <is>
          <t>45R1</t>
        </is>
      </c>
      <c r="K394" t="inlineStr">
        <is>
          <t>-18.0:CEL</t>
        </is>
      </c>
      <c r="L394" t="inlineStr">
        <is>
          <t>9'6</t>
        </is>
      </c>
      <c r="M394" t="inlineStr">
        <is>
          <t>Full</t>
        </is>
      </c>
      <c r="N394" t="inlineStr">
        <is>
          <t>RULED</t>
        </is>
      </c>
      <c r="P394" s="21">
        <f>C394</f>
        <v/>
      </c>
      <c r="Q394" s="21">
        <f t="array" ref="Q394">IFERROR(INDEX(Load_Booking_Report!AC:AC, MATCH(TRUE, ISNUMBER(FIND(SUBSTITUTE(C394," ",""), Load_Booking_Report!AL:AL)), 0)), "Not Found")</f>
        <v/>
      </c>
      <c r="R394" s="21">
        <f t="array" ref="R394">IFERROR(INDEX(Load_Booking_Report!C:C, MATCH(TRUE, ISNUMBER(FIND(SUBSTITUTE(C394," ",""), Load_Booking_Report!AL:AL)), 0)), "Not Found")</f>
        <v/>
      </c>
      <c r="S394" s="21">
        <f t="array" ref="S394">IFERROR(INDEX(Load_Booking_Report!AG:AG, MATCH(TRUE, ISNUMBER(FIND(SUBSTITUTE(C394," ",""), Load_Booking_Report!AL:AL)), 0)), "Not Found")</f>
        <v/>
      </c>
      <c r="T394" s="21">
        <f>G394</f>
        <v/>
      </c>
      <c r="U394" s="33">
        <f t="array" ref="U394">IFERROR(
   IF(
      INDEX(Load_Booking_Report!AM:AM,
             MATCH(TRUE,
                     ISNUMBER(FIND(SUBSTITUTE(C394," ",""),
                                    Load_Booking_Report!AL:AL)),
                     0)
      )=0,
      "",
      INDEX(Load_Booking_Report!AM:AM,
             MATCH(TRUE,
                     ISNUMBER(FIND(SUBSTITUTE(C394," ",""),
                                    Load_Booking_Report!AL:AL)),
                     0)
      )
   ),
   ""
)</f>
        <v/>
      </c>
      <c r="V394" s="21">
        <f t="array" ref="V394">IFERROR(
   IF(
      INDEX(Load_Booking_Report!AR:AR,
             MATCH(TRUE,
                     ISNUMBER(FIND(SUBSTITUTE(C394," ",""),
                                    Load_Booking_Report!AL:AL)),
                     0)
      )=0,
      "",
      INDEX(Load_Booking_Report!AR:AR,
             MATCH(TRUE,
                     ISNUMBER(FIND(SUBSTITUTE(C394," ",""),
                                    Load_Booking_Report!AL:AL)),
                     0)
      )
   ),
   ""
)</f>
        <v/>
      </c>
      <c r="W394" s="21">
        <f t="array" ref="W394">IFERROR(INDEX(Load_Booking_Report!F:F, MATCH(TRUE, ISNUMBER(FIND(SUBSTITUTE(C394," ",""), Load_Booking_Report!AL:AL)), 0)), "Not Found")</f>
        <v/>
      </c>
      <c r="X394" s="21">
        <f t="array" ref="X394">IFERROR(INDEX(Load_Booking_Report!N:N, MATCH(TRUE, ISNUMBER(FIND(SUBSTITUTE(C394," ",""), Load_Booking_Report!AL:AL)), 0)), "Not Found")</f>
        <v/>
      </c>
      <c r="Y394" s="21">
        <f t="array" ref="Y394">IFERROR(INDEX(Load_Booking_Report!V:V, MATCH(TRUE, ISNUMBER(FIND(SUBSTITUTE(C394," ",""), Load_Booking_Report!AL:AL)), 0)), "Not Found")</f>
        <v/>
      </c>
      <c r="Z394" s="41">
        <f t="array" ref="Z394">IFERROR(INDEX(Load_Booking_Report!BC:BC, MATCH(TRUE, ISNUMBER(FIND(SUBSTITUTE(C394," ",""), Load_Booking_Report!AL:AL)), 0)), "Not Found")</f>
        <v/>
      </c>
    </row>
    <row r="395">
      <c r="A395" t="n">
        <v>18</v>
      </c>
      <c r="B395" t="n">
        <v>180082</v>
      </c>
      <c r="C395" t="inlineStr">
        <is>
          <t>ANON0000000</t>
        </is>
      </c>
      <c r="D395" t="n">
        <v>40</v>
      </c>
      <c r="E395" t="inlineStr">
        <is>
          <t>USNFK</t>
        </is>
      </c>
      <c r="F395" t="inlineStr">
        <is>
          <t>RULED</t>
        </is>
      </c>
      <c r="G395" t="n">
        <v>32580</v>
      </c>
      <c r="H395" t="inlineStr">
        <is>
          <t>ART</t>
        </is>
      </c>
      <c r="I395" t="inlineStr">
        <is>
          <t>45R1</t>
        </is>
      </c>
      <c r="K395" t="inlineStr">
        <is>
          <t>-18.0:CEL</t>
        </is>
      </c>
      <c r="L395" t="inlineStr">
        <is>
          <t>9'6</t>
        </is>
      </c>
      <c r="M395" t="inlineStr">
        <is>
          <t>Full</t>
        </is>
      </c>
      <c r="N395" t="inlineStr">
        <is>
          <t>RULED</t>
        </is>
      </c>
      <c r="P395" s="21">
        <f>C395</f>
        <v/>
      </c>
      <c r="Q395" s="21">
        <f t="array" ref="Q395">IFERROR(INDEX(Load_Booking_Report!AC:AC, MATCH(TRUE, ISNUMBER(FIND(SUBSTITUTE(C395," ",""), Load_Booking_Report!AL:AL)), 0)), "Not Found")</f>
        <v/>
      </c>
      <c r="R395" s="21">
        <f t="array" ref="R395">IFERROR(INDEX(Load_Booking_Report!C:C, MATCH(TRUE, ISNUMBER(FIND(SUBSTITUTE(C395," ",""), Load_Booking_Report!AL:AL)), 0)), "Not Found")</f>
        <v/>
      </c>
      <c r="S395" s="21">
        <f t="array" ref="S395">IFERROR(INDEX(Load_Booking_Report!AG:AG, MATCH(TRUE, ISNUMBER(FIND(SUBSTITUTE(C395," ",""), Load_Booking_Report!AL:AL)), 0)), "Not Found")</f>
        <v/>
      </c>
      <c r="T395" s="21">
        <f>G395</f>
        <v/>
      </c>
      <c r="U395" s="33">
        <f t="array" ref="U395">IFERROR(
   IF(
      INDEX(Load_Booking_Report!AM:AM,
             MATCH(TRUE,
                     ISNUMBER(FIND(SUBSTITUTE(C395," ",""),
                                    Load_Booking_Report!AL:AL)),
                     0)
      )=0,
      "",
      INDEX(Load_Booking_Report!AM:AM,
             MATCH(TRUE,
                     ISNUMBER(FIND(SUBSTITUTE(C395," ",""),
                                    Load_Booking_Report!AL:AL)),
                     0)
      )
   ),
   ""
)</f>
        <v/>
      </c>
      <c r="V395" s="21">
        <f t="array" ref="V395">IFERROR(
   IF(
      INDEX(Load_Booking_Report!AR:AR,
             MATCH(TRUE,
                     ISNUMBER(FIND(SUBSTITUTE(C395," ",""),
                                    Load_Booking_Report!AL:AL)),
                     0)
      )=0,
      "",
      INDEX(Load_Booking_Report!AR:AR,
             MATCH(TRUE,
                     ISNUMBER(FIND(SUBSTITUTE(C395," ",""),
                                    Load_Booking_Report!AL:AL)),
                     0)
      )
   ),
   ""
)</f>
        <v/>
      </c>
      <c r="W395" s="21">
        <f t="array" ref="W395">IFERROR(INDEX(Load_Booking_Report!F:F, MATCH(TRUE, ISNUMBER(FIND(SUBSTITUTE(C395," ",""), Load_Booking_Report!AL:AL)), 0)), "Not Found")</f>
        <v/>
      </c>
      <c r="X395" s="21">
        <f t="array" ref="X395">IFERROR(INDEX(Load_Booking_Report!N:N, MATCH(TRUE, ISNUMBER(FIND(SUBSTITUTE(C395," ",""), Load_Booking_Report!AL:AL)), 0)), "Not Found")</f>
        <v/>
      </c>
      <c r="Y395" s="21">
        <f t="array" ref="Y395">IFERROR(INDEX(Load_Booking_Report!V:V, MATCH(TRUE, ISNUMBER(FIND(SUBSTITUTE(C395," ",""), Load_Booking_Report!AL:AL)), 0)), "Not Found")</f>
        <v/>
      </c>
      <c r="Z395" s="41">
        <f t="array" ref="Z395">IFERROR(INDEX(Load_Booking_Report!BC:BC, MATCH(TRUE, ISNUMBER(FIND(SUBSTITUTE(C395," ",""), Load_Booking_Report!AL:AL)), 0)), "Not Found")</f>
        <v/>
      </c>
    </row>
    <row r="396">
      <c r="A396" t="n">
        <v>10</v>
      </c>
      <c r="B396" t="n">
        <v>100282</v>
      </c>
      <c r="C396" t="inlineStr">
        <is>
          <t>ANON0000000</t>
        </is>
      </c>
      <c r="D396" t="n">
        <v>40</v>
      </c>
      <c r="E396" t="inlineStr">
        <is>
          <t>USNFK</t>
        </is>
      </c>
      <c r="F396" t="inlineStr">
        <is>
          <t>RULED</t>
        </is>
      </c>
      <c r="G396" t="n">
        <v>33582</v>
      </c>
      <c r="H396" t="inlineStr">
        <is>
          <t>ART</t>
        </is>
      </c>
      <c r="I396" t="inlineStr">
        <is>
          <t>45R1</t>
        </is>
      </c>
      <c r="K396" t="inlineStr">
        <is>
          <t>-18.0:CEL</t>
        </is>
      </c>
      <c r="L396" t="inlineStr">
        <is>
          <t>9'6</t>
        </is>
      </c>
      <c r="M396" t="inlineStr">
        <is>
          <t>Full</t>
        </is>
      </c>
      <c r="N396" t="inlineStr">
        <is>
          <t>RULED</t>
        </is>
      </c>
      <c r="P396" s="21">
        <f>C396</f>
        <v/>
      </c>
      <c r="Q396" s="21">
        <f t="array" ref="Q396">IFERROR(INDEX(Load_Booking_Report!AC:AC, MATCH(TRUE, ISNUMBER(FIND(SUBSTITUTE(C396," ",""), Load_Booking_Report!AL:AL)), 0)), "Not Found")</f>
        <v/>
      </c>
      <c r="R396" s="21">
        <f t="array" ref="R396">IFERROR(INDEX(Load_Booking_Report!C:C, MATCH(TRUE, ISNUMBER(FIND(SUBSTITUTE(C396," ",""), Load_Booking_Report!AL:AL)), 0)), "Not Found")</f>
        <v/>
      </c>
      <c r="S396" s="21">
        <f t="array" ref="S396">IFERROR(INDEX(Load_Booking_Report!AG:AG, MATCH(TRUE, ISNUMBER(FIND(SUBSTITUTE(C396," ",""), Load_Booking_Report!AL:AL)), 0)), "Not Found")</f>
        <v/>
      </c>
      <c r="T396" s="21">
        <f>G396</f>
        <v/>
      </c>
      <c r="U396" s="33">
        <f t="array" ref="U396">IFERROR(
   IF(
      INDEX(Load_Booking_Report!AM:AM,
             MATCH(TRUE,
                     ISNUMBER(FIND(SUBSTITUTE(C396," ",""),
                                    Load_Booking_Report!AL:AL)),
                     0)
      )=0,
      "",
      INDEX(Load_Booking_Report!AM:AM,
             MATCH(TRUE,
                     ISNUMBER(FIND(SUBSTITUTE(C396," ",""),
                                    Load_Booking_Report!AL:AL)),
                     0)
      )
   ),
   ""
)</f>
        <v/>
      </c>
      <c r="V396" s="21">
        <f t="array" ref="V396">IFERROR(
   IF(
      INDEX(Load_Booking_Report!AR:AR,
             MATCH(TRUE,
                     ISNUMBER(FIND(SUBSTITUTE(C396," ",""),
                                    Load_Booking_Report!AL:AL)),
                     0)
      )=0,
      "",
      INDEX(Load_Booking_Report!AR:AR,
             MATCH(TRUE,
                     ISNUMBER(FIND(SUBSTITUTE(C396," ",""),
                                    Load_Booking_Report!AL:AL)),
                     0)
      )
   ),
   ""
)</f>
        <v/>
      </c>
      <c r="W396" s="21">
        <f t="array" ref="W396">IFERROR(INDEX(Load_Booking_Report!F:F, MATCH(TRUE, ISNUMBER(FIND(SUBSTITUTE(C396," ",""), Load_Booking_Report!AL:AL)), 0)), "Not Found")</f>
        <v/>
      </c>
      <c r="X396" s="21">
        <f t="array" ref="X396">IFERROR(INDEX(Load_Booking_Report!N:N, MATCH(TRUE, ISNUMBER(FIND(SUBSTITUTE(C396," ",""), Load_Booking_Report!AL:AL)), 0)), "Not Found")</f>
        <v/>
      </c>
      <c r="Y396" s="21">
        <f t="array" ref="Y396">IFERROR(INDEX(Load_Booking_Report!V:V, MATCH(TRUE, ISNUMBER(FIND(SUBSTITUTE(C396," ",""), Load_Booking_Report!AL:AL)), 0)), "Not Found")</f>
        <v/>
      </c>
      <c r="Z396" s="41">
        <f t="array" ref="Z396">IFERROR(INDEX(Load_Booking_Report!BC:BC, MATCH(TRUE, ISNUMBER(FIND(SUBSTITUTE(C396," ",""), Load_Booking_Report!AL:AL)), 0)), "Not Found")</f>
        <v/>
      </c>
    </row>
    <row r="397">
      <c r="A397" t="n">
        <v>18</v>
      </c>
      <c r="B397" t="n">
        <v>180984</v>
      </c>
      <c r="C397" t="inlineStr">
        <is>
          <t>ANON0000000</t>
        </is>
      </c>
      <c r="D397" t="n">
        <v>40</v>
      </c>
      <c r="E397" t="inlineStr">
        <is>
          <t>USNFK</t>
        </is>
      </c>
      <c r="F397" t="inlineStr">
        <is>
          <t>RULED</t>
        </is>
      </c>
      <c r="G397" t="n">
        <v>32960</v>
      </c>
      <c r="H397" t="inlineStr">
        <is>
          <t>ART</t>
        </is>
      </c>
      <c r="I397" t="inlineStr">
        <is>
          <t>45R1</t>
        </is>
      </c>
      <c r="K397" t="inlineStr">
        <is>
          <t>-18.0:CEL</t>
        </is>
      </c>
      <c r="L397" t="inlineStr">
        <is>
          <t>9'6</t>
        </is>
      </c>
      <c r="M397" t="inlineStr">
        <is>
          <t>Full</t>
        </is>
      </c>
      <c r="N397" t="inlineStr">
        <is>
          <t>RULED</t>
        </is>
      </c>
      <c r="P397" s="21">
        <f>C397</f>
        <v/>
      </c>
      <c r="Q397" s="21">
        <f t="array" ref="Q397">IFERROR(INDEX(Load_Booking_Report!AC:AC, MATCH(TRUE, ISNUMBER(FIND(SUBSTITUTE(C397," ",""), Load_Booking_Report!AL:AL)), 0)), "Not Found")</f>
        <v/>
      </c>
      <c r="R397" s="21">
        <f t="array" ref="R397">IFERROR(INDEX(Load_Booking_Report!C:C, MATCH(TRUE, ISNUMBER(FIND(SUBSTITUTE(C397," ",""), Load_Booking_Report!AL:AL)), 0)), "Not Found")</f>
        <v/>
      </c>
      <c r="S397" s="21">
        <f t="array" ref="S397">IFERROR(INDEX(Load_Booking_Report!AG:AG, MATCH(TRUE, ISNUMBER(FIND(SUBSTITUTE(C397," ",""), Load_Booking_Report!AL:AL)), 0)), "Not Found")</f>
        <v/>
      </c>
      <c r="T397" s="21">
        <f>G397</f>
        <v/>
      </c>
      <c r="U397" s="33">
        <f t="array" ref="U397">IFERROR(
   IF(
      INDEX(Load_Booking_Report!AM:AM,
             MATCH(TRUE,
                     ISNUMBER(FIND(SUBSTITUTE(C397," ",""),
                                    Load_Booking_Report!AL:AL)),
                     0)
      )=0,
      "",
      INDEX(Load_Booking_Report!AM:AM,
             MATCH(TRUE,
                     ISNUMBER(FIND(SUBSTITUTE(C397," ",""),
                                    Load_Booking_Report!AL:AL)),
                     0)
      )
   ),
   ""
)</f>
        <v/>
      </c>
      <c r="V397" s="21">
        <f t="array" ref="V397">IFERROR(
   IF(
      INDEX(Load_Booking_Report!AR:AR,
             MATCH(TRUE,
                     ISNUMBER(FIND(SUBSTITUTE(C397," ",""),
                                    Load_Booking_Report!AL:AL)),
                     0)
      )=0,
      "",
      INDEX(Load_Booking_Report!AR:AR,
             MATCH(TRUE,
                     ISNUMBER(FIND(SUBSTITUTE(C397," ",""),
                                    Load_Booking_Report!AL:AL)),
                     0)
      )
   ),
   ""
)</f>
        <v/>
      </c>
      <c r="W397" s="21">
        <f t="array" ref="W397">IFERROR(INDEX(Load_Booking_Report!F:F, MATCH(TRUE, ISNUMBER(FIND(SUBSTITUTE(C397," ",""), Load_Booking_Report!AL:AL)), 0)), "Not Found")</f>
        <v/>
      </c>
      <c r="X397" s="21">
        <f t="array" ref="X397">IFERROR(INDEX(Load_Booking_Report!N:N, MATCH(TRUE, ISNUMBER(FIND(SUBSTITUTE(C397," ",""), Load_Booking_Report!AL:AL)), 0)), "Not Found")</f>
        <v/>
      </c>
      <c r="Y397" s="21">
        <f t="array" ref="Y397">IFERROR(INDEX(Load_Booking_Report!V:V, MATCH(TRUE, ISNUMBER(FIND(SUBSTITUTE(C397," ",""), Load_Booking_Report!AL:AL)), 0)), "Not Found")</f>
        <v/>
      </c>
      <c r="Z397" s="41">
        <f t="array" ref="Z397">IFERROR(INDEX(Load_Booking_Report!BC:BC, MATCH(TRUE, ISNUMBER(FIND(SUBSTITUTE(C397," ",""), Load_Booking_Report!AL:AL)), 0)), "Not Found")</f>
        <v/>
      </c>
    </row>
    <row r="398">
      <c r="A398" t="n">
        <v>18</v>
      </c>
      <c r="B398" t="n">
        <v>180184</v>
      </c>
      <c r="C398" t="inlineStr">
        <is>
          <t>ANON0000000</t>
        </is>
      </c>
      <c r="D398" t="n">
        <v>40</v>
      </c>
      <c r="E398" t="inlineStr">
        <is>
          <t>USNFK</t>
        </is>
      </c>
      <c r="F398" t="inlineStr">
        <is>
          <t>RULED</t>
        </is>
      </c>
      <c r="G398" t="n">
        <v>32860</v>
      </c>
      <c r="H398" t="inlineStr">
        <is>
          <t>ART</t>
        </is>
      </c>
      <c r="I398" t="inlineStr">
        <is>
          <t>45R1</t>
        </is>
      </c>
      <c r="K398" t="inlineStr">
        <is>
          <t>-18.0:CEL</t>
        </is>
      </c>
      <c r="L398" t="inlineStr">
        <is>
          <t>9'6</t>
        </is>
      </c>
      <c r="M398" t="inlineStr">
        <is>
          <t>Full</t>
        </is>
      </c>
      <c r="N398" t="inlineStr">
        <is>
          <t>RULED</t>
        </is>
      </c>
      <c r="P398" s="21">
        <f>C398</f>
        <v/>
      </c>
      <c r="Q398" s="21">
        <f t="array" ref="Q398">IFERROR(INDEX(Load_Booking_Report!AC:AC, MATCH(TRUE, ISNUMBER(FIND(SUBSTITUTE(C398," ",""), Load_Booking_Report!AL:AL)), 0)), "Not Found")</f>
        <v/>
      </c>
      <c r="R398" s="21">
        <f t="array" ref="R398">IFERROR(INDEX(Load_Booking_Report!C:C, MATCH(TRUE, ISNUMBER(FIND(SUBSTITUTE(C398," ",""), Load_Booking_Report!AL:AL)), 0)), "Not Found")</f>
        <v/>
      </c>
      <c r="S398" s="21">
        <f t="array" ref="S398">IFERROR(INDEX(Load_Booking_Report!AG:AG, MATCH(TRUE, ISNUMBER(FIND(SUBSTITUTE(C398," ",""), Load_Booking_Report!AL:AL)), 0)), "Not Found")</f>
        <v/>
      </c>
      <c r="T398" s="21">
        <f>G398</f>
        <v/>
      </c>
      <c r="U398" s="33">
        <f t="array" ref="U398">IFERROR(
   IF(
      INDEX(Load_Booking_Report!AM:AM,
             MATCH(TRUE,
                     ISNUMBER(FIND(SUBSTITUTE(C398," ",""),
                                    Load_Booking_Report!AL:AL)),
                     0)
      )=0,
      "",
      INDEX(Load_Booking_Report!AM:AM,
             MATCH(TRUE,
                     ISNUMBER(FIND(SUBSTITUTE(C398," ",""),
                                    Load_Booking_Report!AL:AL)),
                     0)
      )
   ),
   ""
)</f>
        <v/>
      </c>
      <c r="V398" s="21">
        <f t="array" ref="V398">IFERROR(
   IF(
      INDEX(Load_Booking_Report!AR:AR,
             MATCH(TRUE,
                     ISNUMBER(FIND(SUBSTITUTE(C398," ",""),
                                    Load_Booking_Report!AL:AL)),
                     0)
      )=0,
      "",
      INDEX(Load_Booking_Report!AR:AR,
             MATCH(TRUE,
                     ISNUMBER(FIND(SUBSTITUTE(C398," ",""),
                                    Load_Booking_Report!AL:AL)),
                     0)
      )
   ),
   ""
)</f>
        <v/>
      </c>
      <c r="W398" s="21">
        <f t="array" ref="W398">IFERROR(INDEX(Load_Booking_Report!F:F, MATCH(TRUE, ISNUMBER(FIND(SUBSTITUTE(C398," ",""), Load_Booking_Report!AL:AL)), 0)), "Not Found")</f>
        <v/>
      </c>
      <c r="X398" s="21">
        <f t="array" ref="X398">IFERROR(INDEX(Load_Booking_Report!N:N, MATCH(TRUE, ISNUMBER(FIND(SUBSTITUTE(C398," ",""), Load_Booking_Report!AL:AL)), 0)), "Not Found")</f>
        <v/>
      </c>
      <c r="Y398" s="21">
        <f t="array" ref="Y398">IFERROR(INDEX(Load_Booking_Report!V:V, MATCH(TRUE, ISNUMBER(FIND(SUBSTITUTE(C398," ",""), Load_Booking_Report!AL:AL)), 0)), "Not Found")</f>
        <v/>
      </c>
      <c r="Z398" s="41">
        <f t="array" ref="Z398">IFERROR(INDEX(Load_Booking_Report!BC:BC, MATCH(TRUE, ISNUMBER(FIND(SUBSTITUTE(C398," ",""), Load_Booking_Report!AL:AL)), 0)), "Not Found")</f>
        <v/>
      </c>
    </row>
    <row r="399">
      <c r="A399" t="n">
        <v>10</v>
      </c>
      <c r="B399" t="n">
        <v>100984</v>
      </c>
      <c r="C399" t="inlineStr">
        <is>
          <t>ANON0000000</t>
        </is>
      </c>
      <c r="D399" t="n">
        <v>40</v>
      </c>
      <c r="E399" t="inlineStr">
        <is>
          <t>USNFK</t>
        </is>
      </c>
      <c r="F399" t="inlineStr">
        <is>
          <t>RULED</t>
        </is>
      </c>
      <c r="G399" t="n">
        <v>32800</v>
      </c>
      <c r="H399" t="inlineStr">
        <is>
          <t>ART</t>
        </is>
      </c>
      <c r="I399" t="inlineStr">
        <is>
          <t>45R1</t>
        </is>
      </c>
      <c r="K399" t="inlineStr">
        <is>
          <t>-18.0:CEL</t>
        </is>
      </c>
      <c r="L399" t="inlineStr">
        <is>
          <t>9'6</t>
        </is>
      </c>
      <c r="M399" t="inlineStr">
        <is>
          <t>Full</t>
        </is>
      </c>
      <c r="N399" t="inlineStr">
        <is>
          <t>RULED</t>
        </is>
      </c>
      <c r="P399" s="21">
        <f>C399</f>
        <v/>
      </c>
      <c r="Q399" s="21">
        <f t="array" ref="Q399">IFERROR(INDEX(Load_Booking_Report!AC:AC, MATCH(TRUE, ISNUMBER(FIND(SUBSTITUTE(C399," ",""), Load_Booking_Report!AL:AL)), 0)), "Not Found")</f>
        <v/>
      </c>
      <c r="R399" s="21">
        <f t="array" ref="R399">IFERROR(INDEX(Load_Booking_Report!C:C, MATCH(TRUE, ISNUMBER(FIND(SUBSTITUTE(C399," ",""), Load_Booking_Report!AL:AL)), 0)), "Not Found")</f>
        <v/>
      </c>
      <c r="S399" s="21">
        <f t="array" ref="S399">IFERROR(INDEX(Load_Booking_Report!AG:AG, MATCH(TRUE, ISNUMBER(FIND(SUBSTITUTE(C399," ",""), Load_Booking_Report!AL:AL)), 0)), "Not Found")</f>
        <v/>
      </c>
      <c r="T399" s="21">
        <f>G399</f>
        <v/>
      </c>
      <c r="U399" s="33">
        <f t="array" ref="U399">IFERROR(
   IF(
      INDEX(Load_Booking_Report!AM:AM,
             MATCH(TRUE,
                     ISNUMBER(FIND(SUBSTITUTE(C399," ",""),
                                    Load_Booking_Report!AL:AL)),
                     0)
      )=0,
      "",
      INDEX(Load_Booking_Report!AM:AM,
             MATCH(TRUE,
                     ISNUMBER(FIND(SUBSTITUTE(C399," ",""),
                                    Load_Booking_Report!AL:AL)),
                     0)
      )
   ),
   ""
)</f>
        <v/>
      </c>
      <c r="V399" s="21">
        <f t="array" ref="V399">IFERROR(
   IF(
      INDEX(Load_Booking_Report!AR:AR,
             MATCH(TRUE,
                     ISNUMBER(FIND(SUBSTITUTE(C399," ",""),
                                    Load_Booking_Report!AL:AL)),
                     0)
      )=0,
      "",
      INDEX(Load_Booking_Report!AR:AR,
             MATCH(TRUE,
                     ISNUMBER(FIND(SUBSTITUTE(C399," ",""),
                                    Load_Booking_Report!AL:AL)),
                     0)
      )
   ),
   ""
)</f>
        <v/>
      </c>
      <c r="W399" s="21">
        <f t="array" ref="W399">IFERROR(INDEX(Load_Booking_Report!F:F, MATCH(TRUE, ISNUMBER(FIND(SUBSTITUTE(C399," ",""), Load_Booking_Report!AL:AL)), 0)), "Not Found")</f>
        <v/>
      </c>
      <c r="X399" s="21">
        <f t="array" ref="X399">IFERROR(INDEX(Load_Booking_Report!N:N, MATCH(TRUE, ISNUMBER(FIND(SUBSTITUTE(C399," ",""), Load_Booking_Report!AL:AL)), 0)), "Not Found")</f>
        <v/>
      </c>
      <c r="Y399" s="21">
        <f t="array" ref="Y399">IFERROR(INDEX(Load_Booking_Report!V:V, MATCH(TRUE, ISNUMBER(FIND(SUBSTITUTE(C399," ",""), Load_Booking_Report!AL:AL)), 0)), "Not Found")</f>
        <v/>
      </c>
      <c r="Z399" s="41">
        <f t="array" ref="Z399">IFERROR(INDEX(Load_Booking_Report!BC:BC, MATCH(TRUE, ISNUMBER(FIND(SUBSTITUTE(C399," ",""), Load_Booking_Report!AL:AL)), 0)), "Not Found")</f>
        <v/>
      </c>
    </row>
    <row r="400">
      <c r="A400" t="n">
        <v>18</v>
      </c>
      <c r="B400" t="n">
        <v>180584</v>
      </c>
      <c r="C400" t="inlineStr">
        <is>
          <t>ANON0000000</t>
        </is>
      </c>
      <c r="D400" t="n">
        <v>40</v>
      </c>
      <c r="E400" t="inlineStr">
        <is>
          <t>USNFK</t>
        </is>
      </c>
      <c r="F400" t="inlineStr">
        <is>
          <t>RULED</t>
        </is>
      </c>
      <c r="G400" t="n">
        <v>33020</v>
      </c>
      <c r="H400" t="inlineStr">
        <is>
          <t>ART</t>
        </is>
      </c>
      <c r="I400" t="inlineStr">
        <is>
          <t>45R1</t>
        </is>
      </c>
      <c r="K400" t="inlineStr">
        <is>
          <t>-18.0:CEL</t>
        </is>
      </c>
      <c r="L400" t="inlineStr">
        <is>
          <t>9'6</t>
        </is>
      </c>
      <c r="M400" t="inlineStr">
        <is>
          <t>Full</t>
        </is>
      </c>
      <c r="N400" t="inlineStr">
        <is>
          <t>RULED</t>
        </is>
      </c>
      <c r="P400" s="21">
        <f>C400</f>
        <v/>
      </c>
      <c r="Q400" s="21">
        <f t="array" ref="Q400">IFERROR(INDEX(Load_Booking_Report!AC:AC, MATCH(TRUE, ISNUMBER(FIND(SUBSTITUTE(C400," ",""), Load_Booking_Report!AL:AL)), 0)), "Not Found")</f>
        <v/>
      </c>
      <c r="R400" s="21">
        <f t="array" ref="R400">IFERROR(INDEX(Load_Booking_Report!C:C, MATCH(TRUE, ISNUMBER(FIND(SUBSTITUTE(C400," ",""), Load_Booking_Report!AL:AL)), 0)), "Not Found")</f>
        <v/>
      </c>
      <c r="S400" s="21">
        <f t="array" ref="S400">IFERROR(INDEX(Load_Booking_Report!AG:AG, MATCH(TRUE, ISNUMBER(FIND(SUBSTITUTE(C400," ",""), Load_Booking_Report!AL:AL)), 0)), "Not Found")</f>
        <v/>
      </c>
      <c r="T400" s="21">
        <f>G400</f>
        <v/>
      </c>
      <c r="U400" s="33">
        <f t="array" ref="U400">IFERROR(
   IF(
      INDEX(Load_Booking_Report!AM:AM,
             MATCH(TRUE,
                     ISNUMBER(FIND(SUBSTITUTE(C400," ",""),
                                    Load_Booking_Report!AL:AL)),
                     0)
      )=0,
      "",
      INDEX(Load_Booking_Report!AM:AM,
             MATCH(TRUE,
                     ISNUMBER(FIND(SUBSTITUTE(C400," ",""),
                                    Load_Booking_Report!AL:AL)),
                     0)
      )
   ),
   ""
)</f>
        <v/>
      </c>
      <c r="V400" s="21">
        <f t="array" ref="V400">IFERROR(
   IF(
      INDEX(Load_Booking_Report!AR:AR,
             MATCH(TRUE,
                     ISNUMBER(FIND(SUBSTITUTE(C400," ",""),
                                    Load_Booking_Report!AL:AL)),
                     0)
      )=0,
      "",
      INDEX(Load_Booking_Report!AR:AR,
             MATCH(TRUE,
                     ISNUMBER(FIND(SUBSTITUTE(C400," ",""),
                                    Load_Booking_Report!AL:AL)),
                     0)
      )
   ),
   ""
)</f>
        <v/>
      </c>
      <c r="W400" s="21">
        <f t="array" ref="W400">IFERROR(INDEX(Load_Booking_Report!F:F, MATCH(TRUE, ISNUMBER(FIND(SUBSTITUTE(C400," ",""), Load_Booking_Report!AL:AL)), 0)), "Not Found")</f>
        <v/>
      </c>
      <c r="X400" s="21">
        <f t="array" ref="X400">IFERROR(INDEX(Load_Booking_Report!N:N, MATCH(TRUE, ISNUMBER(FIND(SUBSTITUTE(C400," ",""), Load_Booking_Report!AL:AL)), 0)), "Not Found")</f>
        <v/>
      </c>
      <c r="Y400" s="21">
        <f t="array" ref="Y400">IFERROR(INDEX(Load_Booking_Report!V:V, MATCH(TRUE, ISNUMBER(FIND(SUBSTITUTE(C400," ",""), Load_Booking_Report!AL:AL)), 0)), "Not Found")</f>
        <v/>
      </c>
      <c r="Z400" s="41">
        <f t="array" ref="Z400">IFERROR(INDEX(Load_Booking_Report!BC:BC, MATCH(TRUE, ISNUMBER(FIND(SUBSTITUTE(C400," ",""), Load_Booking_Report!AL:AL)), 0)), "Not Found")</f>
        <v/>
      </c>
    </row>
    <row r="401">
      <c r="A401" t="n">
        <v>18</v>
      </c>
      <c r="B401" t="n">
        <v>180586</v>
      </c>
      <c r="C401" t="inlineStr">
        <is>
          <t>ANON0000000</t>
        </is>
      </c>
      <c r="D401" t="n">
        <v>40</v>
      </c>
      <c r="E401" t="inlineStr">
        <is>
          <t>USNFK</t>
        </is>
      </c>
      <c r="F401" t="inlineStr">
        <is>
          <t>RULED</t>
        </is>
      </c>
      <c r="G401" t="n">
        <v>32230</v>
      </c>
      <c r="H401" t="inlineStr">
        <is>
          <t>ART</t>
        </is>
      </c>
      <c r="I401" t="inlineStr">
        <is>
          <t>45R1</t>
        </is>
      </c>
      <c r="K401" t="inlineStr">
        <is>
          <t>-18.0:CEL</t>
        </is>
      </c>
      <c r="L401" t="inlineStr">
        <is>
          <t>9'6</t>
        </is>
      </c>
      <c r="M401" t="inlineStr">
        <is>
          <t>Full</t>
        </is>
      </c>
      <c r="N401" t="inlineStr">
        <is>
          <t>RULED</t>
        </is>
      </c>
      <c r="P401" s="21">
        <f>C401</f>
        <v/>
      </c>
      <c r="Q401" s="21">
        <f t="array" ref="Q401">IFERROR(INDEX(Load_Booking_Report!AC:AC, MATCH(TRUE, ISNUMBER(FIND(SUBSTITUTE(C401," ",""), Load_Booking_Report!AL:AL)), 0)), "Not Found")</f>
        <v/>
      </c>
      <c r="R401" s="21">
        <f t="array" ref="R401">IFERROR(INDEX(Load_Booking_Report!C:C, MATCH(TRUE, ISNUMBER(FIND(SUBSTITUTE(C401," ",""), Load_Booking_Report!AL:AL)), 0)), "Not Found")</f>
        <v/>
      </c>
      <c r="S401" s="21">
        <f t="array" ref="S401">IFERROR(INDEX(Load_Booking_Report!AG:AG, MATCH(TRUE, ISNUMBER(FIND(SUBSTITUTE(C401," ",""), Load_Booking_Report!AL:AL)), 0)), "Not Found")</f>
        <v/>
      </c>
      <c r="T401" s="21">
        <f>G401</f>
        <v/>
      </c>
      <c r="U401" s="33">
        <f t="array" ref="U401">IFERROR(
   IF(
      INDEX(Load_Booking_Report!AM:AM,
             MATCH(TRUE,
                     ISNUMBER(FIND(SUBSTITUTE(C401," ",""),
                                    Load_Booking_Report!AL:AL)),
                     0)
      )=0,
      "",
      INDEX(Load_Booking_Report!AM:AM,
             MATCH(TRUE,
                     ISNUMBER(FIND(SUBSTITUTE(C401," ",""),
                                    Load_Booking_Report!AL:AL)),
                     0)
      )
   ),
   ""
)</f>
        <v/>
      </c>
      <c r="V401" s="21">
        <f t="array" ref="V401">IFERROR(
   IF(
      INDEX(Load_Booking_Report!AR:AR,
             MATCH(TRUE,
                     ISNUMBER(FIND(SUBSTITUTE(C401," ",""),
                                    Load_Booking_Report!AL:AL)),
                     0)
      )=0,
      "",
      INDEX(Load_Booking_Report!AR:AR,
             MATCH(TRUE,
                     ISNUMBER(FIND(SUBSTITUTE(C401," ",""),
                                    Load_Booking_Report!AL:AL)),
                     0)
      )
   ),
   ""
)</f>
        <v/>
      </c>
      <c r="W401" s="21">
        <f t="array" ref="W401">IFERROR(INDEX(Load_Booking_Report!F:F, MATCH(TRUE, ISNUMBER(FIND(SUBSTITUTE(C401," ",""), Load_Booking_Report!AL:AL)), 0)), "Not Found")</f>
        <v/>
      </c>
      <c r="X401" s="21">
        <f t="array" ref="X401">IFERROR(INDEX(Load_Booking_Report!N:N, MATCH(TRUE, ISNUMBER(FIND(SUBSTITUTE(C401," ",""), Load_Booking_Report!AL:AL)), 0)), "Not Found")</f>
        <v/>
      </c>
      <c r="Y401" s="21">
        <f t="array" ref="Y401">IFERROR(INDEX(Load_Booking_Report!V:V, MATCH(TRUE, ISNUMBER(FIND(SUBSTITUTE(C401," ",""), Load_Booking_Report!AL:AL)), 0)), "Not Found")</f>
        <v/>
      </c>
      <c r="Z401" s="41">
        <f t="array" ref="Z401">IFERROR(INDEX(Load_Booking_Report!BC:BC, MATCH(TRUE, ISNUMBER(FIND(SUBSTITUTE(C401," ",""), Load_Booking_Report!AL:AL)), 0)), "Not Found")</f>
        <v/>
      </c>
    </row>
    <row r="402">
      <c r="A402" t="n">
        <v>10</v>
      </c>
      <c r="B402" t="n">
        <v>100482</v>
      </c>
      <c r="C402" t="inlineStr">
        <is>
          <t>ANON0000000</t>
        </is>
      </c>
      <c r="D402" t="n">
        <v>40</v>
      </c>
      <c r="E402" t="inlineStr">
        <is>
          <t>USNFK</t>
        </is>
      </c>
      <c r="F402" t="inlineStr">
        <is>
          <t>RULED</t>
        </is>
      </c>
      <c r="G402" t="n">
        <v>32860</v>
      </c>
      <c r="H402" t="inlineStr">
        <is>
          <t>ART</t>
        </is>
      </c>
      <c r="I402" t="inlineStr">
        <is>
          <t>45R1</t>
        </is>
      </c>
      <c r="K402" t="inlineStr">
        <is>
          <t>-18.0:CEL</t>
        </is>
      </c>
      <c r="L402" t="inlineStr">
        <is>
          <t>9'6</t>
        </is>
      </c>
      <c r="M402" t="inlineStr">
        <is>
          <t>Full</t>
        </is>
      </c>
      <c r="N402" t="inlineStr">
        <is>
          <t>RULED</t>
        </is>
      </c>
      <c r="P402" s="21">
        <f>C402</f>
        <v/>
      </c>
      <c r="Q402" s="21">
        <f t="array" ref="Q402">IFERROR(INDEX(Load_Booking_Report!AC:AC, MATCH(TRUE, ISNUMBER(FIND(SUBSTITUTE(C402," ",""), Load_Booking_Report!AL:AL)), 0)), "Not Found")</f>
        <v/>
      </c>
      <c r="R402" s="21">
        <f t="array" ref="R402">IFERROR(INDEX(Load_Booking_Report!C:C, MATCH(TRUE, ISNUMBER(FIND(SUBSTITUTE(C402," ",""), Load_Booking_Report!AL:AL)), 0)), "Not Found")</f>
        <v/>
      </c>
      <c r="S402" s="21">
        <f t="array" ref="S402">IFERROR(INDEX(Load_Booking_Report!AG:AG, MATCH(TRUE, ISNUMBER(FIND(SUBSTITUTE(C402," ",""), Load_Booking_Report!AL:AL)), 0)), "Not Found")</f>
        <v/>
      </c>
      <c r="T402" s="21">
        <f>G402</f>
        <v/>
      </c>
      <c r="U402" s="33">
        <f t="array" ref="U402">IFERROR(
   IF(
      INDEX(Load_Booking_Report!AM:AM,
             MATCH(TRUE,
                     ISNUMBER(FIND(SUBSTITUTE(C402," ",""),
                                    Load_Booking_Report!AL:AL)),
                     0)
      )=0,
      "",
      INDEX(Load_Booking_Report!AM:AM,
             MATCH(TRUE,
                     ISNUMBER(FIND(SUBSTITUTE(C402," ",""),
                                    Load_Booking_Report!AL:AL)),
                     0)
      )
   ),
   ""
)</f>
        <v/>
      </c>
      <c r="V402" s="21">
        <f t="array" ref="V402">IFERROR(
   IF(
      INDEX(Load_Booking_Report!AR:AR,
             MATCH(TRUE,
                     ISNUMBER(FIND(SUBSTITUTE(C402," ",""),
                                    Load_Booking_Report!AL:AL)),
                     0)
      )=0,
      "",
      INDEX(Load_Booking_Report!AR:AR,
             MATCH(TRUE,
                     ISNUMBER(FIND(SUBSTITUTE(C402," ",""),
                                    Load_Booking_Report!AL:AL)),
                     0)
      )
   ),
   ""
)</f>
        <v/>
      </c>
      <c r="W402" s="21">
        <f t="array" ref="W402">IFERROR(INDEX(Load_Booking_Report!F:F, MATCH(TRUE, ISNUMBER(FIND(SUBSTITUTE(C402," ",""), Load_Booking_Report!AL:AL)), 0)), "Not Found")</f>
        <v/>
      </c>
      <c r="X402" s="21">
        <f t="array" ref="X402">IFERROR(INDEX(Load_Booking_Report!N:N, MATCH(TRUE, ISNUMBER(FIND(SUBSTITUTE(C402," ",""), Load_Booking_Report!AL:AL)), 0)), "Not Found")</f>
        <v/>
      </c>
      <c r="Y402" s="21">
        <f t="array" ref="Y402">IFERROR(INDEX(Load_Booking_Report!V:V, MATCH(TRUE, ISNUMBER(FIND(SUBSTITUTE(C402," ",""), Load_Booking_Report!AL:AL)), 0)), "Not Found")</f>
        <v/>
      </c>
      <c r="Z402" s="41">
        <f t="array" ref="Z402">IFERROR(INDEX(Load_Booking_Report!BC:BC, MATCH(TRUE, ISNUMBER(FIND(SUBSTITUTE(C402," ",""), Load_Booking_Report!AL:AL)), 0)), "Not Found")</f>
        <v/>
      </c>
    </row>
    <row r="403">
      <c r="A403" t="n">
        <v>18</v>
      </c>
      <c r="B403" t="n">
        <v>180882</v>
      </c>
      <c r="C403" t="inlineStr">
        <is>
          <t>ANON0000000</t>
        </is>
      </c>
      <c r="D403" t="n">
        <v>40</v>
      </c>
      <c r="E403" t="inlineStr">
        <is>
          <t>USNFK</t>
        </is>
      </c>
      <c r="F403" t="inlineStr">
        <is>
          <t>RULED</t>
        </is>
      </c>
      <c r="G403" t="n">
        <v>32920</v>
      </c>
      <c r="H403" t="inlineStr">
        <is>
          <t>ART</t>
        </is>
      </c>
      <c r="I403" t="inlineStr">
        <is>
          <t>45R1</t>
        </is>
      </c>
      <c r="K403" t="inlineStr">
        <is>
          <t>-18.0:CEL</t>
        </is>
      </c>
      <c r="L403" t="inlineStr">
        <is>
          <t>9'6</t>
        </is>
      </c>
      <c r="M403" t="inlineStr">
        <is>
          <t>Full</t>
        </is>
      </c>
      <c r="N403" t="inlineStr">
        <is>
          <t>RULED</t>
        </is>
      </c>
      <c r="P403" s="21">
        <f>C403</f>
        <v/>
      </c>
      <c r="Q403" s="21">
        <f t="array" ref="Q403">IFERROR(INDEX(Load_Booking_Report!AC:AC, MATCH(TRUE, ISNUMBER(FIND(SUBSTITUTE(C403," ",""), Load_Booking_Report!AL:AL)), 0)), "Not Found")</f>
        <v/>
      </c>
      <c r="R403" s="21">
        <f t="array" ref="R403">IFERROR(INDEX(Load_Booking_Report!C:C, MATCH(TRUE, ISNUMBER(FIND(SUBSTITUTE(C403," ",""), Load_Booking_Report!AL:AL)), 0)), "Not Found")</f>
        <v/>
      </c>
      <c r="S403" s="21">
        <f t="array" ref="S403">IFERROR(INDEX(Load_Booking_Report!AG:AG, MATCH(TRUE, ISNUMBER(FIND(SUBSTITUTE(C403," ",""), Load_Booking_Report!AL:AL)), 0)), "Not Found")</f>
        <v/>
      </c>
      <c r="T403" s="21">
        <f>G403</f>
        <v/>
      </c>
      <c r="U403" s="33">
        <f t="array" ref="U403">IFERROR(
   IF(
      INDEX(Load_Booking_Report!AM:AM,
             MATCH(TRUE,
                     ISNUMBER(FIND(SUBSTITUTE(C403," ",""),
                                    Load_Booking_Report!AL:AL)),
                     0)
      )=0,
      "",
      INDEX(Load_Booking_Report!AM:AM,
             MATCH(TRUE,
                     ISNUMBER(FIND(SUBSTITUTE(C403," ",""),
                                    Load_Booking_Report!AL:AL)),
                     0)
      )
   ),
   ""
)</f>
        <v/>
      </c>
      <c r="V403" s="21">
        <f t="array" ref="V403">IFERROR(
   IF(
      INDEX(Load_Booking_Report!AR:AR,
             MATCH(TRUE,
                     ISNUMBER(FIND(SUBSTITUTE(C403," ",""),
                                    Load_Booking_Report!AL:AL)),
                     0)
      )=0,
      "",
      INDEX(Load_Booking_Report!AR:AR,
             MATCH(TRUE,
                     ISNUMBER(FIND(SUBSTITUTE(C403," ",""),
                                    Load_Booking_Report!AL:AL)),
                     0)
      )
   ),
   ""
)</f>
        <v/>
      </c>
      <c r="W403" s="21">
        <f t="array" ref="W403">IFERROR(INDEX(Load_Booking_Report!F:F, MATCH(TRUE, ISNUMBER(FIND(SUBSTITUTE(C403," ",""), Load_Booking_Report!AL:AL)), 0)), "Not Found")</f>
        <v/>
      </c>
      <c r="X403" s="21">
        <f t="array" ref="X403">IFERROR(INDEX(Load_Booking_Report!N:N, MATCH(TRUE, ISNUMBER(FIND(SUBSTITUTE(C403," ",""), Load_Booking_Report!AL:AL)), 0)), "Not Found")</f>
        <v/>
      </c>
      <c r="Y403" s="21">
        <f t="array" ref="Y403">IFERROR(INDEX(Load_Booking_Report!V:V, MATCH(TRUE, ISNUMBER(FIND(SUBSTITUTE(C403," ",""), Load_Booking_Report!AL:AL)), 0)), "Not Found")</f>
        <v/>
      </c>
      <c r="Z403" s="41">
        <f t="array" ref="Z403">IFERROR(INDEX(Load_Booking_Report!BC:BC, MATCH(TRUE, ISNUMBER(FIND(SUBSTITUTE(C403," ",""), Load_Booking_Report!AL:AL)), 0)), "Not Found")</f>
        <v/>
      </c>
    </row>
    <row r="404">
      <c r="A404" t="n">
        <v>10</v>
      </c>
      <c r="B404" t="n">
        <v>100784</v>
      </c>
      <c r="C404" t="inlineStr">
        <is>
          <t>ANON0000000</t>
        </is>
      </c>
      <c r="D404" t="n">
        <v>40</v>
      </c>
      <c r="E404" t="inlineStr">
        <is>
          <t>USNFK</t>
        </is>
      </c>
      <c r="F404" t="inlineStr">
        <is>
          <t>RULED</t>
        </is>
      </c>
      <c r="G404" t="n">
        <v>32840</v>
      </c>
      <c r="H404" t="inlineStr">
        <is>
          <t>ART</t>
        </is>
      </c>
      <c r="I404" t="inlineStr">
        <is>
          <t>45R1</t>
        </is>
      </c>
      <c r="K404" t="inlineStr">
        <is>
          <t>-18.0:CEL</t>
        </is>
      </c>
      <c r="L404" t="inlineStr">
        <is>
          <t>9'6</t>
        </is>
      </c>
      <c r="M404" t="inlineStr">
        <is>
          <t>Full</t>
        </is>
      </c>
      <c r="N404" t="inlineStr">
        <is>
          <t>RULED</t>
        </is>
      </c>
      <c r="P404" s="21">
        <f>C404</f>
        <v/>
      </c>
      <c r="Q404" s="21">
        <f t="array" ref="Q404">IFERROR(INDEX(Load_Booking_Report!AC:AC, MATCH(TRUE, ISNUMBER(FIND(SUBSTITUTE(C404," ",""), Load_Booking_Report!AL:AL)), 0)), "Not Found")</f>
        <v/>
      </c>
      <c r="R404" s="21">
        <f t="array" ref="R404">IFERROR(INDEX(Load_Booking_Report!C:C, MATCH(TRUE, ISNUMBER(FIND(SUBSTITUTE(C404," ",""), Load_Booking_Report!AL:AL)), 0)), "Not Found")</f>
        <v/>
      </c>
      <c r="S404" s="21">
        <f t="array" ref="S404">IFERROR(INDEX(Load_Booking_Report!AG:AG, MATCH(TRUE, ISNUMBER(FIND(SUBSTITUTE(C404," ",""), Load_Booking_Report!AL:AL)), 0)), "Not Found")</f>
        <v/>
      </c>
      <c r="T404" s="21">
        <f>G404</f>
        <v/>
      </c>
      <c r="U404" s="33">
        <f t="array" ref="U404">IFERROR(
   IF(
      INDEX(Load_Booking_Report!AM:AM,
             MATCH(TRUE,
                     ISNUMBER(FIND(SUBSTITUTE(C404," ",""),
                                    Load_Booking_Report!AL:AL)),
                     0)
      )=0,
      "",
      INDEX(Load_Booking_Report!AM:AM,
             MATCH(TRUE,
                     ISNUMBER(FIND(SUBSTITUTE(C404," ",""),
                                    Load_Booking_Report!AL:AL)),
                     0)
      )
   ),
   ""
)</f>
        <v/>
      </c>
      <c r="V404" s="21">
        <f t="array" ref="V404">IFERROR(
   IF(
      INDEX(Load_Booking_Report!AR:AR,
             MATCH(TRUE,
                     ISNUMBER(FIND(SUBSTITUTE(C404," ",""),
                                    Load_Booking_Report!AL:AL)),
                     0)
      )=0,
      "",
      INDEX(Load_Booking_Report!AR:AR,
             MATCH(TRUE,
                     ISNUMBER(FIND(SUBSTITUTE(C404," ",""),
                                    Load_Booking_Report!AL:AL)),
                     0)
      )
   ),
   ""
)</f>
        <v/>
      </c>
      <c r="W404" s="21">
        <f t="array" ref="W404">IFERROR(INDEX(Load_Booking_Report!F:F, MATCH(TRUE, ISNUMBER(FIND(SUBSTITUTE(C404," ",""), Load_Booking_Report!AL:AL)), 0)), "Not Found")</f>
        <v/>
      </c>
      <c r="X404" s="21">
        <f t="array" ref="X404">IFERROR(INDEX(Load_Booking_Report!N:N, MATCH(TRUE, ISNUMBER(FIND(SUBSTITUTE(C404," ",""), Load_Booking_Report!AL:AL)), 0)), "Not Found")</f>
        <v/>
      </c>
      <c r="Y404" s="21">
        <f t="array" ref="Y404">IFERROR(INDEX(Load_Booking_Report!V:V, MATCH(TRUE, ISNUMBER(FIND(SUBSTITUTE(C404," ",""), Load_Booking_Report!AL:AL)), 0)), "Not Found")</f>
        <v/>
      </c>
      <c r="Z404" s="41">
        <f t="array" ref="Z404">IFERROR(INDEX(Load_Booking_Report!BC:BC, MATCH(TRUE, ISNUMBER(FIND(SUBSTITUTE(C404," ",""), Load_Booking_Report!AL:AL)), 0)), "Not Found")</f>
        <v/>
      </c>
    </row>
    <row r="405">
      <c r="A405" t="n">
        <v>21</v>
      </c>
      <c r="B405" t="n">
        <v>210204</v>
      </c>
      <c r="C405" t="inlineStr">
        <is>
          <t>ANON0000000</t>
        </is>
      </c>
      <c r="D405" t="n">
        <v>20</v>
      </c>
      <c r="E405" t="inlineStr">
        <is>
          <t>USNFK</t>
        </is>
      </c>
      <c r="F405" t="inlineStr">
        <is>
          <t>RULED</t>
        </is>
      </c>
      <c r="G405" t="n">
        <v>23000</v>
      </c>
      <c r="H405" t="inlineStr">
        <is>
          <t>ART</t>
        </is>
      </c>
      <c r="I405" t="inlineStr">
        <is>
          <t>22G1</t>
        </is>
      </c>
      <c r="L405" t="inlineStr">
        <is>
          <t>8'6</t>
        </is>
      </c>
      <c r="M405" t="inlineStr">
        <is>
          <t>Full</t>
        </is>
      </c>
      <c r="N405" t="inlineStr">
        <is>
          <t>RULED</t>
        </is>
      </c>
      <c r="P405" s="21">
        <f>C405</f>
        <v/>
      </c>
      <c r="Q405" s="21">
        <f t="array" ref="Q405">IFERROR(INDEX(Load_Booking_Report!AC:AC, MATCH(TRUE, ISNUMBER(FIND(SUBSTITUTE(C405," ",""), Load_Booking_Report!AL:AL)), 0)), "Not Found")</f>
        <v/>
      </c>
      <c r="R405" s="21">
        <f t="array" ref="R405">IFERROR(INDEX(Load_Booking_Report!C:C, MATCH(TRUE, ISNUMBER(FIND(SUBSTITUTE(C405," ",""), Load_Booking_Report!AL:AL)), 0)), "Not Found")</f>
        <v/>
      </c>
      <c r="S405" s="21">
        <f t="array" ref="S405">IFERROR(INDEX(Load_Booking_Report!AG:AG, MATCH(TRUE, ISNUMBER(FIND(SUBSTITUTE(C405," ",""), Load_Booking_Report!AL:AL)), 0)), "Not Found")</f>
        <v/>
      </c>
      <c r="T405" s="21">
        <f>G405</f>
        <v/>
      </c>
      <c r="U405" s="33">
        <f t="array" ref="U405">IFERROR(
   IF(
      INDEX(Load_Booking_Report!AM:AM,
             MATCH(TRUE,
                     ISNUMBER(FIND(SUBSTITUTE(C405," ",""),
                                    Load_Booking_Report!AL:AL)),
                     0)
      )=0,
      "",
      INDEX(Load_Booking_Report!AM:AM,
             MATCH(TRUE,
                     ISNUMBER(FIND(SUBSTITUTE(C405," ",""),
                                    Load_Booking_Report!AL:AL)),
                     0)
      )
   ),
   ""
)</f>
        <v/>
      </c>
      <c r="V405" s="21">
        <f t="array" ref="V405">IFERROR(
   IF(
      INDEX(Load_Booking_Report!AR:AR,
             MATCH(TRUE,
                     ISNUMBER(FIND(SUBSTITUTE(C405," ",""),
                                    Load_Booking_Report!AL:AL)),
                     0)
      )=0,
      "",
      INDEX(Load_Booking_Report!AR:AR,
             MATCH(TRUE,
                     ISNUMBER(FIND(SUBSTITUTE(C405," ",""),
                                    Load_Booking_Report!AL:AL)),
                     0)
      )
   ),
   ""
)</f>
        <v/>
      </c>
      <c r="W405" s="21">
        <f t="array" ref="W405">IFERROR(INDEX(Load_Booking_Report!F:F, MATCH(TRUE, ISNUMBER(FIND(SUBSTITUTE(C405," ",""), Load_Booking_Report!AL:AL)), 0)), "Not Found")</f>
        <v/>
      </c>
      <c r="X405" s="21">
        <f t="array" ref="X405">IFERROR(INDEX(Load_Booking_Report!N:N, MATCH(TRUE, ISNUMBER(FIND(SUBSTITUTE(C405," ",""), Load_Booking_Report!AL:AL)), 0)), "Not Found")</f>
        <v/>
      </c>
      <c r="Y405" s="21">
        <f t="array" ref="Y405">IFERROR(INDEX(Load_Booking_Report!V:V, MATCH(TRUE, ISNUMBER(FIND(SUBSTITUTE(C405," ",""), Load_Booking_Report!AL:AL)), 0)), "Not Found")</f>
        <v/>
      </c>
      <c r="Z405" s="41">
        <f t="array" ref="Z405">IFERROR(INDEX(Load_Booking_Report!BC:BC, MATCH(TRUE, ISNUMBER(FIND(SUBSTITUTE(C405," ",""), Load_Booking_Report!AL:AL)), 0)), "Not Found")</f>
        <v/>
      </c>
    </row>
    <row r="406">
      <c r="A406" t="n">
        <v>21</v>
      </c>
      <c r="B406" t="n">
        <v>210404</v>
      </c>
      <c r="C406" t="inlineStr">
        <is>
          <t>ANON0000000</t>
        </is>
      </c>
      <c r="D406" t="n">
        <v>20</v>
      </c>
      <c r="E406" t="inlineStr">
        <is>
          <t>USNFK</t>
        </is>
      </c>
      <c r="F406" t="inlineStr">
        <is>
          <t>RULED</t>
        </is>
      </c>
      <c r="G406" t="n">
        <v>23540</v>
      </c>
      <c r="H406" t="inlineStr">
        <is>
          <t>ART</t>
        </is>
      </c>
      <c r="I406" t="inlineStr">
        <is>
          <t>22G1</t>
        </is>
      </c>
      <c r="L406" t="inlineStr">
        <is>
          <t>8'6</t>
        </is>
      </c>
      <c r="M406" t="inlineStr">
        <is>
          <t>Full</t>
        </is>
      </c>
      <c r="N406" t="inlineStr">
        <is>
          <t>RULED</t>
        </is>
      </c>
      <c r="P406" s="21">
        <f>C406</f>
        <v/>
      </c>
      <c r="Q406" s="21">
        <f t="array" ref="Q406">IFERROR(INDEX(Load_Booking_Report!AC:AC, MATCH(TRUE, ISNUMBER(FIND(SUBSTITUTE(C406," ",""), Load_Booking_Report!AL:AL)), 0)), "Not Found")</f>
        <v/>
      </c>
      <c r="R406" s="21">
        <f t="array" ref="R406">IFERROR(INDEX(Load_Booking_Report!C:C, MATCH(TRUE, ISNUMBER(FIND(SUBSTITUTE(C406," ",""), Load_Booking_Report!AL:AL)), 0)), "Not Found")</f>
        <v/>
      </c>
      <c r="S406" s="21">
        <f t="array" ref="S406">IFERROR(INDEX(Load_Booking_Report!AG:AG, MATCH(TRUE, ISNUMBER(FIND(SUBSTITUTE(C406," ",""), Load_Booking_Report!AL:AL)), 0)), "Not Found")</f>
        <v/>
      </c>
      <c r="T406" s="21">
        <f>G406</f>
        <v/>
      </c>
      <c r="U406" s="33">
        <f t="array" ref="U406">IFERROR(
   IF(
      INDEX(Load_Booking_Report!AM:AM,
             MATCH(TRUE,
                     ISNUMBER(FIND(SUBSTITUTE(C406," ",""),
                                    Load_Booking_Report!AL:AL)),
                     0)
      )=0,
      "",
      INDEX(Load_Booking_Report!AM:AM,
             MATCH(TRUE,
                     ISNUMBER(FIND(SUBSTITUTE(C406," ",""),
                                    Load_Booking_Report!AL:AL)),
                     0)
      )
   ),
   ""
)</f>
        <v/>
      </c>
      <c r="V406" s="21">
        <f t="array" ref="V406">IFERROR(
   IF(
      INDEX(Load_Booking_Report!AR:AR,
             MATCH(TRUE,
                     ISNUMBER(FIND(SUBSTITUTE(C406," ",""),
                                    Load_Booking_Report!AL:AL)),
                     0)
      )=0,
      "",
      INDEX(Load_Booking_Report!AR:AR,
             MATCH(TRUE,
                     ISNUMBER(FIND(SUBSTITUTE(C406," ",""),
                                    Load_Booking_Report!AL:AL)),
                     0)
      )
   ),
   ""
)</f>
        <v/>
      </c>
      <c r="W406" s="21">
        <f t="array" ref="W406">IFERROR(INDEX(Load_Booking_Report!F:F, MATCH(TRUE, ISNUMBER(FIND(SUBSTITUTE(C406," ",""), Load_Booking_Report!AL:AL)), 0)), "Not Found")</f>
        <v/>
      </c>
      <c r="X406" s="21">
        <f t="array" ref="X406">IFERROR(INDEX(Load_Booking_Report!N:N, MATCH(TRUE, ISNUMBER(FIND(SUBSTITUTE(C406," ",""), Load_Booking_Report!AL:AL)), 0)), "Not Found")</f>
        <v/>
      </c>
      <c r="Y406" s="21">
        <f t="array" ref="Y406">IFERROR(INDEX(Load_Booking_Report!V:V, MATCH(TRUE, ISNUMBER(FIND(SUBSTITUTE(C406," ",""), Load_Booking_Report!AL:AL)), 0)), "Not Found")</f>
        <v/>
      </c>
      <c r="Z406" s="41">
        <f t="array" ref="Z406">IFERROR(INDEX(Load_Booking_Report!BC:BC, MATCH(TRUE, ISNUMBER(FIND(SUBSTITUTE(C406," ",""), Load_Booking_Report!AL:AL)), 0)), "Not Found")</f>
        <v/>
      </c>
    </row>
    <row r="407">
      <c r="A407" t="n">
        <v>6</v>
      </c>
      <c r="B407" t="n">
        <v>60184</v>
      </c>
      <c r="C407" t="inlineStr">
        <is>
          <t>ANON0000000</t>
        </is>
      </c>
      <c r="D407" t="n">
        <v>40</v>
      </c>
      <c r="E407" t="inlineStr">
        <is>
          <t>USNFK</t>
        </is>
      </c>
      <c r="F407" t="inlineStr">
        <is>
          <t>RULED</t>
        </is>
      </c>
      <c r="G407" t="n">
        <v>32440</v>
      </c>
      <c r="H407" t="inlineStr">
        <is>
          <t>ART</t>
        </is>
      </c>
      <c r="I407" t="inlineStr">
        <is>
          <t>45R1</t>
        </is>
      </c>
      <c r="K407" t="inlineStr">
        <is>
          <t>-18.0:CEL</t>
        </is>
      </c>
      <c r="L407" t="inlineStr">
        <is>
          <t>9'6</t>
        </is>
      </c>
      <c r="M407" t="inlineStr">
        <is>
          <t>Full</t>
        </is>
      </c>
      <c r="N407" t="inlineStr">
        <is>
          <t>RULED</t>
        </is>
      </c>
      <c r="P407" s="21">
        <f>C407</f>
        <v/>
      </c>
      <c r="Q407" s="21">
        <f t="array" ref="Q407">IFERROR(INDEX(Load_Booking_Report!AC:AC, MATCH(TRUE, ISNUMBER(FIND(SUBSTITUTE(C407," ",""), Load_Booking_Report!AL:AL)), 0)), "Not Found")</f>
        <v/>
      </c>
      <c r="R407" s="21">
        <f t="array" ref="R407">IFERROR(INDEX(Load_Booking_Report!C:C, MATCH(TRUE, ISNUMBER(FIND(SUBSTITUTE(C407," ",""), Load_Booking_Report!AL:AL)), 0)), "Not Found")</f>
        <v/>
      </c>
      <c r="S407" s="21">
        <f t="array" ref="S407">IFERROR(INDEX(Load_Booking_Report!AG:AG, MATCH(TRUE, ISNUMBER(FIND(SUBSTITUTE(C407," ",""), Load_Booking_Report!AL:AL)), 0)), "Not Found")</f>
        <v/>
      </c>
      <c r="T407" s="21">
        <f>G407</f>
        <v/>
      </c>
      <c r="U407" s="33">
        <f t="array" ref="U407">IFERROR(
   IF(
      INDEX(Load_Booking_Report!AM:AM,
             MATCH(TRUE,
                     ISNUMBER(FIND(SUBSTITUTE(C407," ",""),
                                    Load_Booking_Report!AL:AL)),
                     0)
      )=0,
      "",
      INDEX(Load_Booking_Report!AM:AM,
             MATCH(TRUE,
                     ISNUMBER(FIND(SUBSTITUTE(C407," ",""),
                                    Load_Booking_Report!AL:AL)),
                     0)
      )
   ),
   ""
)</f>
        <v/>
      </c>
      <c r="V407" s="21">
        <f t="array" ref="V407">IFERROR(
   IF(
      INDEX(Load_Booking_Report!AR:AR,
             MATCH(TRUE,
                     ISNUMBER(FIND(SUBSTITUTE(C407," ",""),
                                    Load_Booking_Report!AL:AL)),
                     0)
      )=0,
      "",
      INDEX(Load_Booking_Report!AR:AR,
             MATCH(TRUE,
                     ISNUMBER(FIND(SUBSTITUTE(C407," ",""),
                                    Load_Booking_Report!AL:AL)),
                     0)
      )
   ),
   ""
)</f>
        <v/>
      </c>
      <c r="W407" s="21">
        <f t="array" ref="W407">IFERROR(INDEX(Load_Booking_Report!F:F, MATCH(TRUE, ISNUMBER(FIND(SUBSTITUTE(C407," ",""), Load_Booking_Report!AL:AL)), 0)), "Not Found")</f>
        <v/>
      </c>
      <c r="X407" s="21">
        <f t="array" ref="X407">IFERROR(INDEX(Load_Booking_Report!N:N, MATCH(TRUE, ISNUMBER(FIND(SUBSTITUTE(C407," ",""), Load_Booking_Report!AL:AL)), 0)), "Not Found")</f>
        <v/>
      </c>
      <c r="Y407" s="21">
        <f t="array" ref="Y407">IFERROR(INDEX(Load_Booking_Report!V:V, MATCH(TRUE, ISNUMBER(FIND(SUBSTITUTE(C407," ",""), Load_Booking_Report!AL:AL)), 0)), "Not Found")</f>
        <v/>
      </c>
      <c r="Z407" s="41">
        <f t="array" ref="Z407">IFERROR(INDEX(Load_Booking_Report!BC:BC, MATCH(TRUE, ISNUMBER(FIND(SUBSTITUTE(C407," ",""), Load_Booking_Report!AL:AL)), 0)), "Not Found")</f>
        <v/>
      </c>
    </row>
    <row r="408">
      <c r="A408" t="n">
        <v>14</v>
      </c>
      <c r="B408" t="n">
        <v>140784</v>
      </c>
      <c r="C408" t="inlineStr">
        <is>
          <t>ANON0000000</t>
        </is>
      </c>
      <c r="D408" t="n">
        <v>40</v>
      </c>
      <c r="E408" t="inlineStr">
        <is>
          <t>USNFK</t>
        </is>
      </c>
      <c r="F408" t="inlineStr">
        <is>
          <t>RULED</t>
        </is>
      </c>
      <c r="G408" t="n">
        <v>32620</v>
      </c>
      <c r="H408" t="inlineStr">
        <is>
          <t>ART</t>
        </is>
      </c>
      <c r="I408" t="inlineStr">
        <is>
          <t>45R1</t>
        </is>
      </c>
      <c r="K408" t="inlineStr">
        <is>
          <t>-18.0:CEL</t>
        </is>
      </c>
      <c r="L408" t="inlineStr">
        <is>
          <t>9'6</t>
        </is>
      </c>
      <c r="M408" t="inlineStr">
        <is>
          <t>Full</t>
        </is>
      </c>
      <c r="N408" t="inlineStr">
        <is>
          <t>RULED</t>
        </is>
      </c>
      <c r="P408" s="21">
        <f>C408</f>
        <v/>
      </c>
      <c r="Q408" s="21">
        <f t="array" ref="Q408">IFERROR(INDEX(Load_Booking_Report!AC:AC, MATCH(TRUE, ISNUMBER(FIND(SUBSTITUTE(C408," ",""), Load_Booking_Report!AL:AL)), 0)), "Not Found")</f>
        <v/>
      </c>
      <c r="R408" s="21">
        <f t="array" ref="R408">IFERROR(INDEX(Load_Booking_Report!C:C, MATCH(TRUE, ISNUMBER(FIND(SUBSTITUTE(C408," ",""), Load_Booking_Report!AL:AL)), 0)), "Not Found")</f>
        <v/>
      </c>
      <c r="S408" s="21">
        <f t="array" ref="S408">IFERROR(INDEX(Load_Booking_Report!AG:AG, MATCH(TRUE, ISNUMBER(FIND(SUBSTITUTE(C408," ",""), Load_Booking_Report!AL:AL)), 0)), "Not Found")</f>
        <v/>
      </c>
      <c r="T408" s="21">
        <f>G408</f>
        <v/>
      </c>
      <c r="U408" s="33">
        <f t="array" ref="U408">IFERROR(
   IF(
      INDEX(Load_Booking_Report!AM:AM,
             MATCH(TRUE,
                     ISNUMBER(FIND(SUBSTITUTE(C408," ",""),
                                    Load_Booking_Report!AL:AL)),
                     0)
      )=0,
      "",
      INDEX(Load_Booking_Report!AM:AM,
             MATCH(TRUE,
                     ISNUMBER(FIND(SUBSTITUTE(C408," ",""),
                                    Load_Booking_Report!AL:AL)),
                     0)
      )
   ),
   ""
)</f>
        <v/>
      </c>
      <c r="V408" s="21">
        <f t="array" ref="V408">IFERROR(
   IF(
      INDEX(Load_Booking_Report!AR:AR,
             MATCH(TRUE,
                     ISNUMBER(FIND(SUBSTITUTE(C408," ",""),
                                    Load_Booking_Report!AL:AL)),
                     0)
      )=0,
      "",
      INDEX(Load_Booking_Report!AR:AR,
             MATCH(TRUE,
                     ISNUMBER(FIND(SUBSTITUTE(C408," ",""),
                                    Load_Booking_Report!AL:AL)),
                     0)
      )
   ),
   ""
)</f>
        <v/>
      </c>
      <c r="W408" s="21">
        <f t="array" ref="W408">IFERROR(INDEX(Load_Booking_Report!F:F, MATCH(TRUE, ISNUMBER(FIND(SUBSTITUTE(C408," ",""), Load_Booking_Report!AL:AL)), 0)), "Not Found")</f>
        <v/>
      </c>
      <c r="X408" s="21">
        <f t="array" ref="X408">IFERROR(INDEX(Load_Booking_Report!N:N, MATCH(TRUE, ISNUMBER(FIND(SUBSTITUTE(C408," ",""), Load_Booking_Report!AL:AL)), 0)), "Not Found")</f>
        <v/>
      </c>
      <c r="Y408" s="21">
        <f t="array" ref="Y408">IFERROR(INDEX(Load_Booking_Report!V:V, MATCH(TRUE, ISNUMBER(FIND(SUBSTITUTE(C408," ",""), Load_Booking_Report!AL:AL)), 0)), "Not Found")</f>
        <v/>
      </c>
      <c r="Z408" s="41">
        <f t="array" ref="Z408">IFERROR(INDEX(Load_Booking_Report!BC:BC, MATCH(TRUE, ISNUMBER(FIND(SUBSTITUTE(C408," ",""), Load_Booking_Report!AL:AL)), 0)), "Not Found")</f>
        <v/>
      </c>
    </row>
    <row r="409">
      <c r="A409" t="n">
        <v>40</v>
      </c>
      <c r="B409" t="n">
        <v>400082</v>
      </c>
      <c r="C409" t="inlineStr">
        <is>
          <t>ANON0000000</t>
        </is>
      </c>
      <c r="D409" t="n">
        <v>40</v>
      </c>
      <c r="E409" t="inlineStr">
        <is>
          <t>USNFK</t>
        </is>
      </c>
      <c r="F409" t="inlineStr">
        <is>
          <t>RULED</t>
        </is>
      </c>
      <c r="G409" t="n">
        <v>32620</v>
      </c>
      <c r="H409" t="inlineStr">
        <is>
          <t>ART</t>
        </is>
      </c>
      <c r="I409" t="inlineStr">
        <is>
          <t>45R1</t>
        </is>
      </c>
      <c r="K409" t="inlineStr">
        <is>
          <t>-18.0:CEL</t>
        </is>
      </c>
      <c r="L409" t="inlineStr">
        <is>
          <t>9'6</t>
        </is>
      </c>
      <c r="M409" t="inlineStr">
        <is>
          <t>Full</t>
        </is>
      </c>
      <c r="N409" t="inlineStr">
        <is>
          <t>RULED</t>
        </is>
      </c>
      <c r="P409" s="21">
        <f>C409</f>
        <v/>
      </c>
      <c r="Q409" s="21">
        <f t="array" ref="Q409">IFERROR(INDEX(Load_Booking_Report!AC:AC, MATCH(TRUE, ISNUMBER(FIND(SUBSTITUTE(C409," ",""), Load_Booking_Report!AL:AL)), 0)), "Not Found")</f>
        <v/>
      </c>
      <c r="R409" s="21">
        <f t="array" ref="R409">IFERROR(INDEX(Load_Booking_Report!C:C, MATCH(TRUE, ISNUMBER(FIND(SUBSTITUTE(C409," ",""), Load_Booking_Report!AL:AL)), 0)), "Not Found")</f>
        <v/>
      </c>
      <c r="S409" s="21">
        <f t="array" ref="S409">IFERROR(INDEX(Load_Booking_Report!AG:AG, MATCH(TRUE, ISNUMBER(FIND(SUBSTITUTE(C409," ",""), Load_Booking_Report!AL:AL)), 0)), "Not Found")</f>
        <v/>
      </c>
      <c r="T409" s="21">
        <f>G409</f>
        <v/>
      </c>
      <c r="U409" s="33">
        <f t="array" ref="U409">IFERROR(
   IF(
      INDEX(Load_Booking_Report!AM:AM,
             MATCH(TRUE,
                     ISNUMBER(FIND(SUBSTITUTE(C409," ",""),
                                    Load_Booking_Report!AL:AL)),
                     0)
      )=0,
      "",
      INDEX(Load_Booking_Report!AM:AM,
             MATCH(TRUE,
                     ISNUMBER(FIND(SUBSTITUTE(C409," ",""),
                                    Load_Booking_Report!AL:AL)),
                     0)
      )
   ),
   ""
)</f>
        <v/>
      </c>
      <c r="V409" s="21">
        <f t="array" ref="V409">IFERROR(
   IF(
      INDEX(Load_Booking_Report!AR:AR,
             MATCH(TRUE,
                     ISNUMBER(FIND(SUBSTITUTE(C409," ",""),
                                    Load_Booking_Report!AL:AL)),
                     0)
      )=0,
      "",
      INDEX(Load_Booking_Report!AR:AR,
             MATCH(TRUE,
                     ISNUMBER(FIND(SUBSTITUTE(C409," ",""),
                                    Load_Booking_Report!AL:AL)),
                     0)
      )
   ),
   ""
)</f>
        <v/>
      </c>
      <c r="W409" s="21">
        <f t="array" ref="W409">IFERROR(INDEX(Load_Booking_Report!F:F, MATCH(TRUE, ISNUMBER(FIND(SUBSTITUTE(C409," ",""), Load_Booking_Report!AL:AL)), 0)), "Not Found")</f>
        <v/>
      </c>
      <c r="X409" s="21">
        <f t="array" ref="X409">IFERROR(INDEX(Load_Booking_Report!N:N, MATCH(TRUE, ISNUMBER(FIND(SUBSTITUTE(C409," ",""), Load_Booking_Report!AL:AL)), 0)), "Not Found")</f>
        <v/>
      </c>
      <c r="Y409" s="21">
        <f t="array" ref="Y409">IFERROR(INDEX(Load_Booking_Report!V:V, MATCH(TRUE, ISNUMBER(FIND(SUBSTITUTE(C409," ",""), Load_Booking_Report!AL:AL)), 0)), "Not Found")</f>
        <v/>
      </c>
      <c r="Z409" s="41">
        <f t="array" ref="Z409">IFERROR(INDEX(Load_Booking_Report!BC:BC, MATCH(TRUE, ISNUMBER(FIND(SUBSTITUTE(C409," ",""), Load_Booking_Report!AL:AL)), 0)), "Not Found")</f>
        <v/>
      </c>
    </row>
    <row r="410">
      <c r="A410" t="n">
        <v>14</v>
      </c>
      <c r="B410" t="n">
        <v>141082</v>
      </c>
      <c r="C410" t="inlineStr">
        <is>
          <t>ANON0000000</t>
        </is>
      </c>
      <c r="D410" t="n">
        <v>40</v>
      </c>
      <c r="E410" t="inlineStr">
        <is>
          <t>USNFK</t>
        </is>
      </c>
      <c r="F410" t="inlineStr">
        <is>
          <t>RULED</t>
        </is>
      </c>
      <c r="G410" t="n">
        <v>32860</v>
      </c>
      <c r="H410" t="inlineStr">
        <is>
          <t>ART</t>
        </is>
      </c>
      <c r="I410" t="inlineStr">
        <is>
          <t>45R1</t>
        </is>
      </c>
      <c r="K410" t="inlineStr">
        <is>
          <t>-18.0:CEL</t>
        </is>
      </c>
      <c r="L410" t="inlineStr">
        <is>
          <t>9'6</t>
        </is>
      </c>
      <c r="M410" t="inlineStr">
        <is>
          <t>Full</t>
        </is>
      </c>
      <c r="N410" t="inlineStr">
        <is>
          <t>RULED</t>
        </is>
      </c>
      <c r="P410" s="21">
        <f>C410</f>
        <v/>
      </c>
      <c r="Q410" s="21">
        <f t="array" ref="Q410">IFERROR(INDEX(Load_Booking_Report!AC:AC, MATCH(TRUE, ISNUMBER(FIND(SUBSTITUTE(C410," ",""), Load_Booking_Report!AL:AL)), 0)), "Not Found")</f>
        <v/>
      </c>
      <c r="R410" s="21">
        <f t="array" ref="R410">IFERROR(INDEX(Load_Booking_Report!C:C, MATCH(TRUE, ISNUMBER(FIND(SUBSTITUTE(C410," ",""), Load_Booking_Report!AL:AL)), 0)), "Not Found")</f>
        <v/>
      </c>
      <c r="S410" s="21">
        <f t="array" ref="S410">IFERROR(INDEX(Load_Booking_Report!AG:AG, MATCH(TRUE, ISNUMBER(FIND(SUBSTITUTE(C410," ",""), Load_Booking_Report!AL:AL)), 0)), "Not Found")</f>
        <v/>
      </c>
      <c r="T410" s="21">
        <f>G410</f>
        <v/>
      </c>
      <c r="U410" s="33">
        <f t="array" ref="U410">IFERROR(
   IF(
      INDEX(Load_Booking_Report!AM:AM,
             MATCH(TRUE,
                     ISNUMBER(FIND(SUBSTITUTE(C410," ",""),
                                    Load_Booking_Report!AL:AL)),
                     0)
      )=0,
      "",
      INDEX(Load_Booking_Report!AM:AM,
             MATCH(TRUE,
                     ISNUMBER(FIND(SUBSTITUTE(C410," ",""),
                                    Load_Booking_Report!AL:AL)),
                     0)
      )
   ),
   ""
)</f>
        <v/>
      </c>
      <c r="V410" s="21">
        <f t="array" ref="V410">IFERROR(
   IF(
      INDEX(Load_Booking_Report!AR:AR,
             MATCH(TRUE,
                     ISNUMBER(FIND(SUBSTITUTE(C410," ",""),
                                    Load_Booking_Report!AL:AL)),
                     0)
      )=0,
      "",
      INDEX(Load_Booking_Report!AR:AR,
             MATCH(TRUE,
                     ISNUMBER(FIND(SUBSTITUTE(C410," ",""),
                                    Load_Booking_Report!AL:AL)),
                     0)
      )
   ),
   ""
)</f>
        <v/>
      </c>
      <c r="W410" s="21">
        <f t="array" ref="W410">IFERROR(INDEX(Load_Booking_Report!F:F, MATCH(TRUE, ISNUMBER(FIND(SUBSTITUTE(C410," ",""), Load_Booking_Report!AL:AL)), 0)), "Not Found")</f>
        <v/>
      </c>
      <c r="X410" s="21">
        <f t="array" ref="X410">IFERROR(INDEX(Load_Booking_Report!N:N, MATCH(TRUE, ISNUMBER(FIND(SUBSTITUTE(C410," ",""), Load_Booking_Report!AL:AL)), 0)), "Not Found")</f>
        <v/>
      </c>
      <c r="Y410" s="21">
        <f t="array" ref="Y410">IFERROR(INDEX(Load_Booking_Report!V:V, MATCH(TRUE, ISNUMBER(FIND(SUBSTITUTE(C410," ",""), Load_Booking_Report!AL:AL)), 0)), "Not Found")</f>
        <v/>
      </c>
      <c r="Z410" s="41">
        <f t="array" ref="Z410">IFERROR(INDEX(Load_Booking_Report!BC:BC, MATCH(TRUE, ISNUMBER(FIND(SUBSTITUTE(C410," ",""), Load_Booking_Report!AL:AL)), 0)), "Not Found")</f>
        <v/>
      </c>
    </row>
    <row r="411">
      <c r="A411" t="n">
        <v>14</v>
      </c>
      <c r="B411" t="n">
        <v>141084</v>
      </c>
      <c r="C411" t="inlineStr">
        <is>
          <t>ANON0000000</t>
        </is>
      </c>
      <c r="D411" t="n">
        <v>40</v>
      </c>
      <c r="E411" t="inlineStr">
        <is>
          <t>USNFK</t>
        </is>
      </c>
      <c r="F411" t="inlineStr">
        <is>
          <t>RULED</t>
        </is>
      </c>
      <c r="G411" t="n">
        <v>32260</v>
      </c>
      <c r="H411" t="inlineStr">
        <is>
          <t>ART</t>
        </is>
      </c>
      <c r="I411" t="inlineStr">
        <is>
          <t>45R1</t>
        </is>
      </c>
      <c r="K411" t="inlineStr">
        <is>
          <t>-18.0:CEL</t>
        </is>
      </c>
      <c r="L411" t="inlineStr">
        <is>
          <t>9'6</t>
        </is>
      </c>
      <c r="M411" t="inlineStr">
        <is>
          <t>Full</t>
        </is>
      </c>
      <c r="N411" t="inlineStr">
        <is>
          <t>RULED</t>
        </is>
      </c>
      <c r="P411" s="21">
        <f>C411</f>
        <v/>
      </c>
      <c r="Q411" s="21">
        <f t="array" ref="Q411">IFERROR(INDEX(Load_Booking_Report!AC:AC, MATCH(TRUE, ISNUMBER(FIND(SUBSTITUTE(C411," ",""), Load_Booking_Report!AL:AL)), 0)), "Not Found")</f>
        <v/>
      </c>
      <c r="R411" s="21">
        <f t="array" ref="R411">IFERROR(INDEX(Load_Booking_Report!C:C, MATCH(TRUE, ISNUMBER(FIND(SUBSTITUTE(C411," ",""), Load_Booking_Report!AL:AL)), 0)), "Not Found")</f>
        <v/>
      </c>
      <c r="S411" s="21">
        <f t="array" ref="S411">IFERROR(INDEX(Load_Booking_Report!AG:AG, MATCH(TRUE, ISNUMBER(FIND(SUBSTITUTE(C411," ",""), Load_Booking_Report!AL:AL)), 0)), "Not Found")</f>
        <v/>
      </c>
      <c r="T411" s="21">
        <f>G411</f>
        <v/>
      </c>
      <c r="U411" s="33">
        <f t="array" ref="U411">IFERROR(
   IF(
      INDEX(Load_Booking_Report!AM:AM,
             MATCH(TRUE,
                     ISNUMBER(FIND(SUBSTITUTE(C411," ",""),
                                    Load_Booking_Report!AL:AL)),
                     0)
      )=0,
      "",
      INDEX(Load_Booking_Report!AM:AM,
             MATCH(TRUE,
                     ISNUMBER(FIND(SUBSTITUTE(C411," ",""),
                                    Load_Booking_Report!AL:AL)),
                     0)
      )
   ),
   ""
)</f>
        <v/>
      </c>
      <c r="V411" s="21">
        <f t="array" ref="V411">IFERROR(
   IF(
      INDEX(Load_Booking_Report!AR:AR,
             MATCH(TRUE,
                     ISNUMBER(FIND(SUBSTITUTE(C411," ",""),
                                    Load_Booking_Report!AL:AL)),
                     0)
      )=0,
      "",
      INDEX(Load_Booking_Report!AR:AR,
             MATCH(TRUE,
                     ISNUMBER(FIND(SUBSTITUTE(C411," ",""),
                                    Load_Booking_Report!AL:AL)),
                     0)
      )
   ),
   ""
)</f>
        <v/>
      </c>
      <c r="W411" s="21">
        <f t="array" ref="W411">IFERROR(INDEX(Load_Booking_Report!F:F, MATCH(TRUE, ISNUMBER(FIND(SUBSTITUTE(C411," ",""), Load_Booking_Report!AL:AL)), 0)), "Not Found")</f>
        <v/>
      </c>
      <c r="X411" s="21">
        <f t="array" ref="X411">IFERROR(INDEX(Load_Booking_Report!N:N, MATCH(TRUE, ISNUMBER(FIND(SUBSTITUTE(C411," ",""), Load_Booking_Report!AL:AL)), 0)), "Not Found")</f>
        <v/>
      </c>
      <c r="Y411" s="21">
        <f t="array" ref="Y411">IFERROR(INDEX(Load_Booking_Report!V:V, MATCH(TRUE, ISNUMBER(FIND(SUBSTITUTE(C411," ",""), Load_Booking_Report!AL:AL)), 0)), "Not Found")</f>
        <v/>
      </c>
      <c r="Z411" s="41">
        <f t="array" ref="Z411">IFERROR(INDEX(Load_Booking_Report!BC:BC, MATCH(TRUE, ISNUMBER(FIND(SUBSTITUTE(C411," ",""), Load_Booking_Report!AL:AL)), 0)), "Not Found")</f>
        <v/>
      </c>
    </row>
    <row r="412">
      <c r="A412" t="n">
        <v>22</v>
      </c>
      <c r="B412" t="n">
        <v>220884</v>
      </c>
      <c r="C412" t="inlineStr">
        <is>
          <t>ANON0000000</t>
        </is>
      </c>
      <c r="D412" t="n">
        <v>40</v>
      </c>
      <c r="E412" t="inlineStr">
        <is>
          <t>USNFK</t>
        </is>
      </c>
      <c r="F412" t="inlineStr">
        <is>
          <t>RULED</t>
        </is>
      </c>
      <c r="G412" t="n">
        <v>32340</v>
      </c>
      <c r="H412" t="inlineStr">
        <is>
          <t>ART</t>
        </is>
      </c>
      <c r="I412" t="inlineStr">
        <is>
          <t>45R1</t>
        </is>
      </c>
      <c r="K412" t="inlineStr">
        <is>
          <t>-18.0:CEL</t>
        </is>
      </c>
      <c r="L412" t="inlineStr">
        <is>
          <t>9'6</t>
        </is>
      </c>
      <c r="M412" t="inlineStr">
        <is>
          <t>Full</t>
        </is>
      </c>
      <c r="N412" t="inlineStr">
        <is>
          <t>RULED</t>
        </is>
      </c>
      <c r="P412" s="21">
        <f>C412</f>
        <v/>
      </c>
      <c r="Q412" s="21">
        <f t="array" ref="Q412">IFERROR(INDEX(Load_Booking_Report!AC:AC, MATCH(TRUE, ISNUMBER(FIND(SUBSTITUTE(C412," ",""), Load_Booking_Report!AL:AL)), 0)), "Not Found")</f>
        <v/>
      </c>
      <c r="R412" s="21">
        <f t="array" ref="R412">IFERROR(INDEX(Load_Booking_Report!C:C, MATCH(TRUE, ISNUMBER(FIND(SUBSTITUTE(C412," ",""), Load_Booking_Report!AL:AL)), 0)), "Not Found")</f>
        <v/>
      </c>
      <c r="S412" s="21">
        <f t="array" ref="S412">IFERROR(INDEX(Load_Booking_Report!AG:AG, MATCH(TRUE, ISNUMBER(FIND(SUBSTITUTE(C412," ",""), Load_Booking_Report!AL:AL)), 0)), "Not Found")</f>
        <v/>
      </c>
      <c r="T412" s="21">
        <f>G412</f>
        <v/>
      </c>
      <c r="U412" s="33">
        <f t="array" ref="U412">IFERROR(
   IF(
      INDEX(Load_Booking_Report!AM:AM,
             MATCH(TRUE,
                     ISNUMBER(FIND(SUBSTITUTE(C412," ",""),
                                    Load_Booking_Report!AL:AL)),
                     0)
      )=0,
      "",
      INDEX(Load_Booking_Report!AM:AM,
             MATCH(TRUE,
                     ISNUMBER(FIND(SUBSTITUTE(C412," ",""),
                                    Load_Booking_Report!AL:AL)),
                     0)
      )
   ),
   ""
)</f>
        <v/>
      </c>
      <c r="V412" s="21">
        <f t="array" ref="V412">IFERROR(
   IF(
      INDEX(Load_Booking_Report!AR:AR,
             MATCH(TRUE,
                     ISNUMBER(FIND(SUBSTITUTE(C412," ",""),
                                    Load_Booking_Report!AL:AL)),
                     0)
      )=0,
      "",
      INDEX(Load_Booking_Report!AR:AR,
             MATCH(TRUE,
                     ISNUMBER(FIND(SUBSTITUTE(C412," ",""),
                                    Load_Booking_Report!AL:AL)),
                     0)
      )
   ),
   ""
)</f>
        <v/>
      </c>
      <c r="W412" s="21">
        <f t="array" ref="W412">IFERROR(INDEX(Load_Booking_Report!F:F, MATCH(TRUE, ISNUMBER(FIND(SUBSTITUTE(C412," ",""), Load_Booking_Report!AL:AL)), 0)), "Not Found")</f>
        <v/>
      </c>
      <c r="X412" s="21">
        <f t="array" ref="X412">IFERROR(INDEX(Load_Booking_Report!N:N, MATCH(TRUE, ISNUMBER(FIND(SUBSTITUTE(C412," ",""), Load_Booking_Report!AL:AL)), 0)), "Not Found")</f>
        <v/>
      </c>
      <c r="Y412" s="21">
        <f t="array" ref="Y412">IFERROR(INDEX(Load_Booking_Report!V:V, MATCH(TRUE, ISNUMBER(FIND(SUBSTITUTE(C412," ",""), Load_Booking_Report!AL:AL)), 0)), "Not Found")</f>
        <v/>
      </c>
      <c r="Z412" s="41">
        <f t="array" ref="Z412">IFERROR(INDEX(Load_Booking_Report!BC:BC, MATCH(TRUE, ISNUMBER(FIND(SUBSTITUTE(C412," ",""), Load_Booking_Report!AL:AL)), 0)), "Not Found")</f>
        <v/>
      </c>
    </row>
    <row r="413">
      <c r="A413" t="n">
        <v>2</v>
      </c>
      <c r="B413" t="n">
        <v>20484</v>
      </c>
      <c r="C413" t="inlineStr">
        <is>
          <t>ANON0000000</t>
        </is>
      </c>
      <c r="D413" t="n">
        <v>40</v>
      </c>
      <c r="E413" t="inlineStr">
        <is>
          <t>USNFK</t>
        </is>
      </c>
      <c r="F413" t="inlineStr">
        <is>
          <t>RULED</t>
        </is>
      </c>
      <c r="G413" t="n">
        <v>33020</v>
      </c>
      <c r="H413" t="inlineStr">
        <is>
          <t>ART</t>
        </is>
      </c>
      <c r="I413" t="inlineStr">
        <is>
          <t>45R1</t>
        </is>
      </c>
      <c r="K413" t="inlineStr">
        <is>
          <t>-18.0:CEL</t>
        </is>
      </c>
      <c r="L413" t="inlineStr">
        <is>
          <t>9'6</t>
        </is>
      </c>
      <c r="M413" t="inlineStr">
        <is>
          <t>Full</t>
        </is>
      </c>
      <c r="N413" t="inlineStr">
        <is>
          <t>RULED</t>
        </is>
      </c>
      <c r="P413" s="21">
        <f>C413</f>
        <v/>
      </c>
      <c r="Q413" s="21">
        <f t="array" ref="Q413">IFERROR(INDEX(Load_Booking_Report!AC:AC, MATCH(TRUE, ISNUMBER(FIND(SUBSTITUTE(C413," ",""), Load_Booking_Report!AL:AL)), 0)), "Not Found")</f>
        <v/>
      </c>
      <c r="R413" s="21">
        <f t="array" ref="R413">IFERROR(INDEX(Load_Booking_Report!C:C, MATCH(TRUE, ISNUMBER(FIND(SUBSTITUTE(C413," ",""), Load_Booking_Report!AL:AL)), 0)), "Not Found")</f>
        <v/>
      </c>
      <c r="S413" s="21">
        <f t="array" ref="S413">IFERROR(INDEX(Load_Booking_Report!AG:AG, MATCH(TRUE, ISNUMBER(FIND(SUBSTITUTE(C413," ",""), Load_Booking_Report!AL:AL)), 0)), "Not Found")</f>
        <v/>
      </c>
      <c r="T413" s="21">
        <f>G413</f>
        <v/>
      </c>
      <c r="U413" s="33">
        <f t="array" ref="U413">IFERROR(
   IF(
      INDEX(Load_Booking_Report!AM:AM,
             MATCH(TRUE,
                     ISNUMBER(FIND(SUBSTITUTE(C413," ",""),
                                    Load_Booking_Report!AL:AL)),
                     0)
      )=0,
      "",
      INDEX(Load_Booking_Report!AM:AM,
             MATCH(TRUE,
                     ISNUMBER(FIND(SUBSTITUTE(C413," ",""),
                                    Load_Booking_Report!AL:AL)),
                     0)
      )
   ),
   ""
)</f>
        <v/>
      </c>
      <c r="V413" s="21">
        <f t="array" ref="V413">IFERROR(
   IF(
      INDEX(Load_Booking_Report!AR:AR,
             MATCH(TRUE,
                     ISNUMBER(FIND(SUBSTITUTE(C413," ",""),
                                    Load_Booking_Report!AL:AL)),
                     0)
      )=0,
      "",
      INDEX(Load_Booking_Report!AR:AR,
             MATCH(TRUE,
                     ISNUMBER(FIND(SUBSTITUTE(C413," ",""),
                                    Load_Booking_Report!AL:AL)),
                     0)
      )
   ),
   ""
)</f>
        <v/>
      </c>
      <c r="W413" s="21">
        <f t="array" ref="W413">IFERROR(INDEX(Load_Booking_Report!F:F, MATCH(TRUE, ISNUMBER(FIND(SUBSTITUTE(C413," ",""), Load_Booking_Report!AL:AL)), 0)), "Not Found")</f>
        <v/>
      </c>
      <c r="X413" s="21">
        <f t="array" ref="X413">IFERROR(INDEX(Load_Booking_Report!N:N, MATCH(TRUE, ISNUMBER(FIND(SUBSTITUTE(C413," ",""), Load_Booking_Report!AL:AL)), 0)), "Not Found")</f>
        <v/>
      </c>
      <c r="Y413" s="21">
        <f t="array" ref="Y413">IFERROR(INDEX(Load_Booking_Report!V:V, MATCH(TRUE, ISNUMBER(FIND(SUBSTITUTE(C413," ",""), Load_Booking_Report!AL:AL)), 0)), "Not Found")</f>
        <v/>
      </c>
      <c r="Z413" s="41">
        <f t="array" ref="Z413">IFERROR(INDEX(Load_Booking_Report!BC:BC, MATCH(TRUE, ISNUMBER(FIND(SUBSTITUTE(C413," ",""), Load_Booking_Report!AL:AL)), 0)), "Not Found")</f>
        <v/>
      </c>
    </row>
    <row r="414">
      <c r="A414" t="n">
        <v>14</v>
      </c>
      <c r="B414" t="n">
        <v>140884</v>
      </c>
      <c r="C414" t="inlineStr">
        <is>
          <t>ANON0000000</t>
        </is>
      </c>
      <c r="D414" t="n">
        <v>40</v>
      </c>
      <c r="E414" t="inlineStr">
        <is>
          <t>USNFK</t>
        </is>
      </c>
      <c r="F414" t="inlineStr">
        <is>
          <t>RULED</t>
        </is>
      </c>
      <c r="G414" t="n">
        <v>32120</v>
      </c>
      <c r="H414" t="inlineStr">
        <is>
          <t>ART</t>
        </is>
      </c>
      <c r="I414" t="inlineStr">
        <is>
          <t>45R1</t>
        </is>
      </c>
      <c r="K414" t="inlineStr">
        <is>
          <t>-18.0:CEL</t>
        </is>
      </c>
      <c r="L414" t="inlineStr">
        <is>
          <t>9'6</t>
        </is>
      </c>
      <c r="M414" t="inlineStr">
        <is>
          <t>Full</t>
        </is>
      </c>
      <c r="N414" t="inlineStr">
        <is>
          <t>RULED</t>
        </is>
      </c>
      <c r="P414" s="21">
        <f>C414</f>
        <v/>
      </c>
      <c r="Q414" s="21">
        <f t="array" ref="Q414">IFERROR(INDEX(Load_Booking_Report!AC:AC, MATCH(TRUE, ISNUMBER(FIND(SUBSTITUTE(C414," ",""), Load_Booking_Report!AL:AL)), 0)), "Not Found")</f>
        <v/>
      </c>
      <c r="R414" s="21">
        <f t="array" ref="R414">IFERROR(INDEX(Load_Booking_Report!C:C, MATCH(TRUE, ISNUMBER(FIND(SUBSTITUTE(C414," ",""), Load_Booking_Report!AL:AL)), 0)), "Not Found")</f>
        <v/>
      </c>
      <c r="S414" s="21">
        <f t="array" ref="S414">IFERROR(INDEX(Load_Booking_Report!AG:AG, MATCH(TRUE, ISNUMBER(FIND(SUBSTITUTE(C414," ",""), Load_Booking_Report!AL:AL)), 0)), "Not Found")</f>
        <v/>
      </c>
      <c r="T414" s="21">
        <f>G414</f>
        <v/>
      </c>
      <c r="U414" s="33">
        <f t="array" ref="U414">IFERROR(
   IF(
      INDEX(Load_Booking_Report!AM:AM,
             MATCH(TRUE,
                     ISNUMBER(FIND(SUBSTITUTE(C414," ",""),
                                    Load_Booking_Report!AL:AL)),
                     0)
      )=0,
      "",
      INDEX(Load_Booking_Report!AM:AM,
             MATCH(TRUE,
                     ISNUMBER(FIND(SUBSTITUTE(C414," ",""),
                                    Load_Booking_Report!AL:AL)),
                     0)
      )
   ),
   ""
)</f>
        <v/>
      </c>
      <c r="V414" s="21">
        <f t="array" ref="V414">IFERROR(
   IF(
      INDEX(Load_Booking_Report!AR:AR,
             MATCH(TRUE,
                     ISNUMBER(FIND(SUBSTITUTE(C414," ",""),
                                    Load_Booking_Report!AL:AL)),
                     0)
      )=0,
      "",
      INDEX(Load_Booking_Report!AR:AR,
             MATCH(TRUE,
                     ISNUMBER(FIND(SUBSTITUTE(C414," ",""),
                                    Load_Booking_Report!AL:AL)),
                     0)
      )
   ),
   ""
)</f>
        <v/>
      </c>
      <c r="W414" s="21">
        <f t="array" ref="W414">IFERROR(INDEX(Load_Booking_Report!F:F, MATCH(TRUE, ISNUMBER(FIND(SUBSTITUTE(C414," ",""), Load_Booking_Report!AL:AL)), 0)), "Not Found")</f>
        <v/>
      </c>
      <c r="X414" s="21">
        <f t="array" ref="X414">IFERROR(INDEX(Load_Booking_Report!N:N, MATCH(TRUE, ISNUMBER(FIND(SUBSTITUTE(C414," ",""), Load_Booking_Report!AL:AL)), 0)), "Not Found")</f>
        <v/>
      </c>
      <c r="Y414" s="21">
        <f t="array" ref="Y414">IFERROR(INDEX(Load_Booking_Report!V:V, MATCH(TRUE, ISNUMBER(FIND(SUBSTITUTE(C414," ",""), Load_Booking_Report!AL:AL)), 0)), "Not Found")</f>
        <v/>
      </c>
      <c r="Z414" s="41">
        <f t="array" ref="Z414">IFERROR(INDEX(Load_Booking_Report!BC:BC, MATCH(TRUE, ISNUMBER(FIND(SUBSTITUTE(C414," ",""), Load_Booking_Report!AL:AL)), 0)), "Not Found")</f>
        <v/>
      </c>
    </row>
    <row r="415">
      <c r="A415" t="n">
        <v>6</v>
      </c>
      <c r="B415" t="n">
        <v>60584</v>
      </c>
      <c r="C415" t="inlineStr">
        <is>
          <t>ANON0000000</t>
        </is>
      </c>
      <c r="D415" t="n">
        <v>40</v>
      </c>
      <c r="E415" t="inlineStr">
        <is>
          <t>USNFK</t>
        </is>
      </c>
      <c r="F415" t="inlineStr">
        <is>
          <t>RULED</t>
        </is>
      </c>
      <c r="G415" t="n">
        <v>32760</v>
      </c>
      <c r="H415" t="inlineStr">
        <is>
          <t>ART</t>
        </is>
      </c>
      <c r="I415" t="inlineStr">
        <is>
          <t>45R1</t>
        </is>
      </c>
      <c r="K415" t="inlineStr">
        <is>
          <t>-18.0:CEL</t>
        </is>
      </c>
      <c r="L415" t="inlineStr">
        <is>
          <t>9'6</t>
        </is>
      </c>
      <c r="M415" t="inlineStr">
        <is>
          <t>Full</t>
        </is>
      </c>
      <c r="N415" t="inlineStr">
        <is>
          <t>RULED</t>
        </is>
      </c>
      <c r="P415" s="21">
        <f>C415</f>
        <v/>
      </c>
      <c r="Q415" s="21">
        <f t="array" ref="Q415">IFERROR(INDEX(Load_Booking_Report!AC:AC, MATCH(TRUE, ISNUMBER(FIND(SUBSTITUTE(C415," ",""), Load_Booking_Report!AL:AL)), 0)), "Not Found")</f>
        <v/>
      </c>
      <c r="R415" s="21">
        <f t="array" ref="R415">IFERROR(INDEX(Load_Booking_Report!C:C, MATCH(TRUE, ISNUMBER(FIND(SUBSTITUTE(C415," ",""), Load_Booking_Report!AL:AL)), 0)), "Not Found")</f>
        <v/>
      </c>
      <c r="S415" s="21">
        <f t="array" ref="S415">IFERROR(INDEX(Load_Booking_Report!AG:AG, MATCH(TRUE, ISNUMBER(FIND(SUBSTITUTE(C415," ",""), Load_Booking_Report!AL:AL)), 0)), "Not Found")</f>
        <v/>
      </c>
      <c r="T415" s="21">
        <f>G415</f>
        <v/>
      </c>
      <c r="U415" s="33">
        <f t="array" ref="U415">IFERROR(
   IF(
      INDEX(Load_Booking_Report!AM:AM,
             MATCH(TRUE,
                     ISNUMBER(FIND(SUBSTITUTE(C415," ",""),
                                    Load_Booking_Report!AL:AL)),
                     0)
      )=0,
      "",
      INDEX(Load_Booking_Report!AM:AM,
             MATCH(TRUE,
                     ISNUMBER(FIND(SUBSTITUTE(C415," ",""),
                                    Load_Booking_Report!AL:AL)),
                     0)
      )
   ),
   ""
)</f>
        <v/>
      </c>
      <c r="V415" s="21">
        <f t="array" ref="V415">IFERROR(
   IF(
      INDEX(Load_Booking_Report!AR:AR,
             MATCH(TRUE,
                     ISNUMBER(FIND(SUBSTITUTE(C415," ",""),
                                    Load_Booking_Report!AL:AL)),
                     0)
      )=0,
      "",
      INDEX(Load_Booking_Report!AR:AR,
             MATCH(TRUE,
                     ISNUMBER(FIND(SUBSTITUTE(C415," ",""),
                                    Load_Booking_Report!AL:AL)),
                     0)
      )
   ),
   ""
)</f>
        <v/>
      </c>
      <c r="W415" s="21">
        <f t="array" ref="W415">IFERROR(INDEX(Load_Booking_Report!F:F, MATCH(TRUE, ISNUMBER(FIND(SUBSTITUTE(C415," ",""), Load_Booking_Report!AL:AL)), 0)), "Not Found")</f>
        <v/>
      </c>
      <c r="X415" s="21">
        <f t="array" ref="X415">IFERROR(INDEX(Load_Booking_Report!N:N, MATCH(TRUE, ISNUMBER(FIND(SUBSTITUTE(C415," ",""), Load_Booking_Report!AL:AL)), 0)), "Not Found")</f>
        <v/>
      </c>
      <c r="Y415" s="21">
        <f t="array" ref="Y415">IFERROR(INDEX(Load_Booking_Report!V:V, MATCH(TRUE, ISNUMBER(FIND(SUBSTITUTE(C415," ",""), Load_Booking_Report!AL:AL)), 0)), "Not Found")</f>
        <v/>
      </c>
      <c r="Z415" s="41">
        <f t="array" ref="Z415">IFERROR(INDEX(Load_Booking_Report!BC:BC, MATCH(TRUE, ISNUMBER(FIND(SUBSTITUTE(C415," ",""), Load_Booking_Report!AL:AL)), 0)), "Not Found")</f>
        <v/>
      </c>
    </row>
    <row r="416">
      <c r="A416" t="n">
        <v>40</v>
      </c>
      <c r="B416" t="n">
        <v>400182</v>
      </c>
      <c r="C416" t="inlineStr">
        <is>
          <t>ANON0000000</t>
        </is>
      </c>
      <c r="D416" t="n">
        <v>40</v>
      </c>
      <c r="E416" t="inlineStr">
        <is>
          <t>USNFK</t>
        </is>
      </c>
      <c r="F416" t="inlineStr">
        <is>
          <t>RULED</t>
        </is>
      </c>
      <c r="G416" t="n">
        <v>32740</v>
      </c>
      <c r="H416" t="inlineStr">
        <is>
          <t>ART</t>
        </is>
      </c>
      <c r="I416" t="inlineStr">
        <is>
          <t>45R1</t>
        </is>
      </c>
      <c r="K416" t="inlineStr">
        <is>
          <t>-18.0:CEL</t>
        </is>
      </c>
      <c r="L416" t="inlineStr">
        <is>
          <t>9'6</t>
        </is>
      </c>
      <c r="M416" t="inlineStr">
        <is>
          <t>Full</t>
        </is>
      </c>
      <c r="N416" t="inlineStr">
        <is>
          <t>RULED</t>
        </is>
      </c>
      <c r="P416" s="21">
        <f>C416</f>
        <v/>
      </c>
      <c r="Q416" s="21">
        <f t="array" ref="Q416">IFERROR(INDEX(Load_Booking_Report!AC:AC, MATCH(TRUE, ISNUMBER(FIND(SUBSTITUTE(C416," ",""), Load_Booking_Report!AL:AL)), 0)), "Not Found")</f>
        <v/>
      </c>
      <c r="R416" s="21">
        <f t="array" ref="R416">IFERROR(INDEX(Load_Booking_Report!C:C, MATCH(TRUE, ISNUMBER(FIND(SUBSTITUTE(C416," ",""), Load_Booking_Report!AL:AL)), 0)), "Not Found")</f>
        <v/>
      </c>
      <c r="S416" s="21">
        <f t="array" ref="S416">IFERROR(INDEX(Load_Booking_Report!AG:AG, MATCH(TRUE, ISNUMBER(FIND(SUBSTITUTE(C416," ",""), Load_Booking_Report!AL:AL)), 0)), "Not Found")</f>
        <v/>
      </c>
      <c r="T416" s="21">
        <f>G416</f>
        <v/>
      </c>
      <c r="U416" s="33">
        <f t="array" ref="U416">IFERROR(
   IF(
      INDEX(Load_Booking_Report!AM:AM,
             MATCH(TRUE,
                     ISNUMBER(FIND(SUBSTITUTE(C416," ",""),
                                    Load_Booking_Report!AL:AL)),
                     0)
      )=0,
      "",
      INDEX(Load_Booking_Report!AM:AM,
             MATCH(TRUE,
                     ISNUMBER(FIND(SUBSTITUTE(C416," ",""),
                                    Load_Booking_Report!AL:AL)),
                     0)
      )
   ),
   ""
)</f>
        <v/>
      </c>
      <c r="V416" s="21">
        <f t="array" ref="V416">IFERROR(
   IF(
      INDEX(Load_Booking_Report!AR:AR,
             MATCH(TRUE,
                     ISNUMBER(FIND(SUBSTITUTE(C416," ",""),
                                    Load_Booking_Report!AL:AL)),
                     0)
      )=0,
      "",
      INDEX(Load_Booking_Report!AR:AR,
             MATCH(TRUE,
                     ISNUMBER(FIND(SUBSTITUTE(C416," ",""),
                                    Load_Booking_Report!AL:AL)),
                     0)
      )
   ),
   ""
)</f>
        <v/>
      </c>
      <c r="W416" s="21">
        <f t="array" ref="W416">IFERROR(INDEX(Load_Booking_Report!F:F, MATCH(TRUE, ISNUMBER(FIND(SUBSTITUTE(C416," ",""), Load_Booking_Report!AL:AL)), 0)), "Not Found")</f>
        <v/>
      </c>
      <c r="X416" s="21">
        <f t="array" ref="X416">IFERROR(INDEX(Load_Booking_Report!N:N, MATCH(TRUE, ISNUMBER(FIND(SUBSTITUTE(C416," ",""), Load_Booking_Report!AL:AL)), 0)), "Not Found")</f>
        <v/>
      </c>
      <c r="Y416" s="21">
        <f t="array" ref="Y416">IFERROR(INDEX(Load_Booking_Report!V:V, MATCH(TRUE, ISNUMBER(FIND(SUBSTITUTE(C416," ",""), Load_Booking_Report!AL:AL)), 0)), "Not Found")</f>
        <v/>
      </c>
      <c r="Z416" s="41">
        <f t="array" ref="Z416">IFERROR(INDEX(Load_Booking_Report!BC:BC, MATCH(TRUE, ISNUMBER(FIND(SUBSTITUTE(C416," ",""), Load_Booking_Report!AL:AL)), 0)), "Not Found")</f>
        <v/>
      </c>
    </row>
    <row r="417">
      <c r="A417" t="n">
        <v>2</v>
      </c>
      <c r="B417" t="n">
        <v>20684</v>
      </c>
      <c r="C417" t="inlineStr">
        <is>
          <t>ANON0000000</t>
        </is>
      </c>
      <c r="D417" t="n">
        <v>40</v>
      </c>
      <c r="E417" t="inlineStr">
        <is>
          <t>USNFK</t>
        </is>
      </c>
      <c r="F417" t="inlineStr">
        <is>
          <t>RULED</t>
        </is>
      </c>
      <c r="G417" t="n">
        <v>31180</v>
      </c>
      <c r="H417" t="inlineStr">
        <is>
          <t>ART</t>
        </is>
      </c>
      <c r="I417" t="inlineStr">
        <is>
          <t>45R1</t>
        </is>
      </c>
      <c r="K417" t="inlineStr">
        <is>
          <t>-24.0:CEL</t>
        </is>
      </c>
      <c r="L417" t="inlineStr">
        <is>
          <t>9'6</t>
        </is>
      </c>
      <c r="M417" t="inlineStr">
        <is>
          <t>Full</t>
        </is>
      </c>
      <c r="N417" t="inlineStr">
        <is>
          <t>RULED</t>
        </is>
      </c>
      <c r="P417" s="21">
        <f>C417</f>
        <v/>
      </c>
      <c r="Q417" s="21">
        <f t="array" ref="Q417">IFERROR(INDEX(Load_Booking_Report!AC:AC, MATCH(TRUE, ISNUMBER(FIND(SUBSTITUTE(C417," ",""), Load_Booking_Report!AL:AL)), 0)), "Not Found")</f>
        <v/>
      </c>
      <c r="R417" s="21">
        <f t="array" ref="R417">IFERROR(INDEX(Load_Booking_Report!C:C, MATCH(TRUE, ISNUMBER(FIND(SUBSTITUTE(C417," ",""), Load_Booking_Report!AL:AL)), 0)), "Not Found")</f>
        <v/>
      </c>
      <c r="S417" s="21">
        <f t="array" ref="S417">IFERROR(INDEX(Load_Booking_Report!AG:AG, MATCH(TRUE, ISNUMBER(FIND(SUBSTITUTE(C417," ",""), Load_Booking_Report!AL:AL)), 0)), "Not Found")</f>
        <v/>
      </c>
      <c r="T417" s="21">
        <f>G417</f>
        <v/>
      </c>
      <c r="U417" s="33">
        <f t="array" ref="U417">IFERROR(
   IF(
      INDEX(Load_Booking_Report!AM:AM,
             MATCH(TRUE,
                     ISNUMBER(FIND(SUBSTITUTE(C417," ",""),
                                    Load_Booking_Report!AL:AL)),
                     0)
      )=0,
      "",
      INDEX(Load_Booking_Report!AM:AM,
             MATCH(TRUE,
                     ISNUMBER(FIND(SUBSTITUTE(C417," ",""),
                                    Load_Booking_Report!AL:AL)),
                     0)
      )
   ),
   ""
)</f>
        <v/>
      </c>
      <c r="V417" s="21">
        <f t="array" ref="V417">IFERROR(
   IF(
      INDEX(Load_Booking_Report!AR:AR,
             MATCH(TRUE,
                     ISNUMBER(FIND(SUBSTITUTE(C417," ",""),
                                    Load_Booking_Report!AL:AL)),
                     0)
      )=0,
      "",
      INDEX(Load_Booking_Report!AR:AR,
             MATCH(TRUE,
                     ISNUMBER(FIND(SUBSTITUTE(C417," ",""),
                                    Load_Booking_Report!AL:AL)),
                     0)
      )
   ),
   ""
)</f>
        <v/>
      </c>
      <c r="W417" s="21">
        <f t="array" ref="W417">IFERROR(INDEX(Load_Booking_Report!F:F, MATCH(TRUE, ISNUMBER(FIND(SUBSTITUTE(C417," ",""), Load_Booking_Report!AL:AL)), 0)), "Not Found")</f>
        <v/>
      </c>
      <c r="X417" s="21">
        <f t="array" ref="X417">IFERROR(INDEX(Load_Booking_Report!N:N, MATCH(TRUE, ISNUMBER(FIND(SUBSTITUTE(C417," ",""), Load_Booking_Report!AL:AL)), 0)), "Not Found")</f>
        <v/>
      </c>
      <c r="Y417" s="21">
        <f t="array" ref="Y417">IFERROR(INDEX(Load_Booking_Report!V:V, MATCH(TRUE, ISNUMBER(FIND(SUBSTITUTE(C417," ",""), Load_Booking_Report!AL:AL)), 0)), "Not Found")</f>
        <v/>
      </c>
      <c r="Z417" s="41">
        <f t="array" ref="Z417">IFERROR(INDEX(Load_Booking_Report!BC:BC, MATCH(TRUE, ISNUMBER(FIND(SUBSTITUTE(C417," ",""), Load_Booking_Report!AL:AL)), 0)), "Not Found")</f>
        <v/>
      </c>
    </row>
    <row r="418">
      <c r="A418" t="n">
        <v>22</v>
      </c>
      <c r="B418" t="n">
        <v>221084</v>
      </c>
      <c r="C418" t="inlineStr">
        <is>
          <t>ANON0000000</t>
        </is>
      </c>
      <c r="D418" t="n">
        <v>40</v>
      </c>
      <c r="E418" t="inlineStr">
        <is>
          <t>USNFK</t>
        </is>
      </c>
      <c r="F418" t="inlineStr">
        <is>
          <t>RULED</t>
        </is>
      </c>
      <c r="G418" t="n">
        <v>32780</v>
      </c>
      <c r="H418" t="inlineStr">
        <is>
          <t>ART</t>
        </is>
      </c>
      <c r="I418" t="inlineStr">
        <is>
          <t>45R1</t>
        </is>
      </c>
      <c r="K418" t="inlineStr">
        <is>
          <t>-18.0:CEL</t>
        </is>
      </c>
      <c r="L418" t="inlineStr">
        <is>
          <t>9'6</t>
        </is>
      </c>
      <c r="M418" t="inlineStr">
        <is>
          <t>Full</t>
        </is>
      </c>
      <c r="N418" t="inlineStr">
        <is>
          <t>RULED</t>
        </is>
      </c>
      <c r="P418" s="21">
        <f>C418</f>
        <v/>
      </c>
      <c r="Q418" s="21">
        <f t="array" ref="Q418">IFERROR(INDEX(Load_Booking_Report!AC:AC, MATCH(TRUE, ISNUMBER(FIND(SUBSTITUTE(C418," ",""), Load_Booking_Report!AL:AL)), 0)), "Not Found")</f>
        <v/>
      </c>
      <c r="R418" s="21">
        <f t="array" ref="R418">IFERROR(INDEX(Load_Booking_Report!C:C, MATCH(TRUE, ISNUMBER(FIND(SUBSTITUTE(C418," ",""), Load_Booking_Report!AL:AL)), 0)), "Not Found")</f>
        <v/>
      </c>
      <c r="S418" s="21">
        <f t="array" ref="S418">IFERROR(INDEX(Load_Booking_Report!AG:AG, MATCH(TRUE, ISNUMBER(FIND(SUBSTITUTE(C418," ",""), Load_Booking_Report!AL:AL)), 0)), "Not Found")</f>
        <v/>
      </c>
      <c r="T418" s="21">
        <f>G418</f>
        <v/>
      </c>
      <c r="U418" s="33">
        <f t="array" ref="U418">IFERROR(
   IF(
      INDEX(Load_Booking_Report!AM:AM,
             MATCH(TRUE,
                     ISNUMBER(FIND(SUBSTITUTE(C418," ",""),
                                    Load_Booking_Report!AL:AL)),
                     0)
      )=0,
      "",
      INDEX(Load_Booking_Report!AM:AM,
             MATCH(TRUE,
                     ISNUMBER(FIND(SUBSTITUTE(C418," ",""),
                                    Load_Booking_Report!AL:AL)),
                     0)
      )
   ),
   ""
)</f>
        <v/>
      </c>
      <c r="V418" s="21">
        <f t="array" ref="V418">IFERROR(
   IF(
      INDEX(Load_Booking_Report!AR:AR,
             MATCH(TRUE,
                     ISNUMBER(FIND(SUBSTITUTE(C418," ",""),
                                    Load_Booking_Report!AL:AL)),
                     0)
      )=0,
      "",
      INDEX(Load_Booking_Report!AR:AR,
             MATCH(TRUE,
                     ISNUMBER(FIND(SUBSTITUTE(C418," ",""),
                                    Load_Booking_Report!AL:AL)),
                     0)
      )
   ),
   ""
)</f>
        <v/>
      </c>
      <c r="W418" s="21">
        <f t="array" ref="W418">IFERROR(INDEX(Load_Booking_Report!F:F, MATCH(TRUE, ISNUMBER(FIND(SUBSTITUTE(C418," ",""), Load_Booking_Report!AL:AL)), 0)), "Not Found")</f>
        <v/>
      </c>
      <c r="X418" s="21">
        <f t="array" ref="X418">IFERROR(INDEX(Load_Booking_Report!N:N, MATCH(TRUE, ISNUMBER(FIND(SUBSTITUTE(C418," ",""), Load_Booking_Report!AL:AL)), 0)), "Not Found")</f>
        <v/>
      </c>
      <c r="Y418" s="21">
        <f t="array" ref="Y418">IFERROR(INDEX(Load_Booking_Report!V:V, MATCH(TRUE, ISNUMBER(FIND(SUBSTITUTE(C418," ",""), Load_Booking_Report!AL:AL)), 0)), "Not Found")</f>
        <v/>
      </c>
      <c r="Z418" s="41">
        <f t="array" ref="Z418">IFERROR(INDEX(Load_Booking_Report!BC:BC, MATCH(TRUE, ISNUMBER(FIND(SUBSTITUTE(C418," ",""), Load_Booking_Report!AL:AL)), 0)), "Not Found")</f>
        <v/>
      </c>
    </row>
    <row r="419">
      <c r="A419" t="n">
        <v>6</v>
      </c>
      <c r="B419" t="n">
        <v>60284</v>
      </c>
      <c r="C419" t="inlineStr">
        <is>
          <t>ANON0000000</t>
        </is>
      </c>
      <c r="D419" t="n">
        <v>40</v>
      </c>
      <c r="E419" t="inlineStr">
        <is>
          <t>USNFK</t>
        </is>
      </c>
      <c r="F419" t="inlineStr">
        <is>
          <t>RULED</t>
        </is>
      </c>
      <c r="G419" t="n">
        <v>33100</v>
      </c>
      <c r="H419" t="inlineStr">
        <is>
          <t>ART</t>
        </is>
      </c>
      <c r="I419" t="inlineStr">
        <is>
          <t>45R1</t>
        </is>
      </c>
      <c r="K419" t="inlineStr">
        <is>
          <t>-18.0:CEL</t>
        </is>
      </c>
      <c r="L419" t="inlineStr">
        <is>
          <t>9'6</t>
        </is>
      </c>
      <c r="M419" t="inlineStr">
        <is>
          <t>Full</t>
        </is>
      </c>
      <c r="N419" t="inlineStr">
        <is>
          <t>RULED</t>
        </is>
      </c>
      <c r="P419" s="21">
        <f>C419</f>
        <v/>
      </c>
      <c r="Q419" s="21">
        <f t="array" ref="Q419">IFERROR(INDEX(Load_Booking_Report!AC:AC, MATCH(TRUE, ISNUMBER(FIND(SUBSTITUTE(C419," ",""), Load_Booking_Report!AL:AL)), 0)), "Not Found")</f>
        <v/>
      </c>
      <c r="R419" s="21">
        <f t="array" ref="R419">IFERROR(INDEX(Load_Booking_Report!C:C, MATCH(TRUE, ISNUMBER(FIND(SUBSTITUTE(C419," ",""), Load_Booking_Report!AL:AL)), 0)), "Not Found")</f>
        <v/>
      </c>
      <c r="S419" s="21">
        <f t="array" ref="S419">IFERROR(INDEX(Load_Booking_Report!AG:AG, MATCH(TRUE, ISNUMBER(FIND(SUBSTITUTE(C419," ",""), Load_Booking_Report!AL:AL)), 0)), "Not Found")</f>
        <v/>
      </c>
      <c r="T419" s="21">
        <f>G419</f>
        <v/>
      </c>
      <c r="U419" s="33">
        <f t="array" ref="U419">IFERROR(
   IF(
      INDEX(Load_Booking_Report!AM:AM,
             MATCH(TRUE,
                     ISNUMBER(FIND(SUBSTITUTE(C419," ",""),
                                    Load_Booking_Report!AL:AL)),
                     0)
      )=0,
      "",
      INDEX(Load_Booking_Report!AM:AM,
             MATCH(TRUE,
                     ISNUMBER(FIND(SUBSTITUTE(C419," ",""),
                                    Load_Booking_Report!AL:AL)),
                     0)
      )
   ),
   ""
)</f>
        <v/>
      </c>
      <c r="V419" s="21">
        <f t="array" ref="V419">IFERROR(
   IF(
      INDEX(Load_Booking_Report!AR:AR,
             MATCH(TRUE,
                     ISNUMBER(FIND(SUBSTITUTE(C419," ",""),
                                    Load_Booking_Report!AL:AL)),
                     0)
      )=0,
      "",
      INDEX(Load_Booking_Report!AR:AR,
             MATCH(TRUE,
                     ISNUMBER(FIND(SUBSTITUTE(C419," ",""),
                                    Load_Booking_Report!AL:AL)),
                     0)
      )
   ),
   ""
)</f>
        <v/>
      </c>
      <c r="W419" s="21">
        <f t="array" ref="W419">IFERROR(INDEX(Load_Booking_Report!F:F, MATCH(TRUE, ISNUMBER(FIND(SUBSTITUTE(C419," ",""), Load_Booking_Report!AL:AL)), 0)), "Not Found")</f>
        <v/>
      </c>
      <c r="X419" s="21">
        <f t="array" ref="X419">IFERROR(INDEX(Load_Booking_Report!N:N, MATCH(TRUE, ISNUMBER(FIND(SUBSTITUTE(C419," ",""), Load_Booking_Report!AL:AL)), 0)), "Not Found")</f>
        <v/>
      </c>
      <c r="Y419" s="21">
        <f t="array" ref="Y419">IFERROR(INDEX(Load_Booking_Report!V:V, MATCH(TRUE, ISNUMBER(FIND(SUBSTITUTE(C419," ",""), Load_Booking_Report!AL:AL)), 0)), "Not Found")</f>
        <v/>
      </c>
      <c r="Z419" s="41">
        <f t="array" ref="Z419">IFERROR(INDEX(Load_Booking_Report!BC:BC, MATCH(TRUE, ISNUMBER(FIND(SUBSTITUTE(C419," ",""), Load_Booking_Report!AL:AL)), 0)), "Not Found")</f>
        <v/>
      </c>
    </row>
    <row r="420">
      <c r="A420" t="n">
        <v>2</v>
      </c>
      <c r="B420" t="n">
        <v>20184</v>
      </c>
      <c r="C420" t="inlineStr">
        <is>
          <t>ANON0000000</t>
        </is>
      </c>
      <c r="D420" t="n">
        <v>40</v>
      </c>
      <c r="E420" t="inlineStr">
        <is>
          <t>USNFK</t>
        </is>
      </c>
      <c r="F420" t="inlineStr">
        <is>
          <t>RULED</t>
        </is>
      </c>
      <c r="G420" t="n">
        <v>32980</v>
      </c>
      <c r="H420" t="inlineStr">
        <is>
          <t>ART</t>
        </is>
      </c>
      <c r="I420" t="inlineStr">
        <is>
          <t>45R1</t>
        </is>
      </c>
      <c r="K420" t="inlineStr">
        <is>
          <t>-18.0:CEL</t>
        </is>
      </c>
      <c r="L420" t="inlineStr">
        <is>
          <t>9'6</t>
        </is>
      </c>
      <c r="M420" t="inlineStr">
        <is>
          <t>Full</t>
        </is>
      </c>
      <c r="N420" t="inlineStr">
        <is>
          <t>RULED</t>
        </is>
      </c>
      <c r="P420" s="21">
        <f>C420</f>
        <v/>
      </c>
      <c r="Q420" s="21">
        <f t="array" ref="Q420">IFERROR(INDEX(Load_Booking_Report!AC:AC, MATCH(TRUE, ISNUMBER(FIND(SUBSTITUTE(C420," ",""), Load_Booking_Report!AL:AL)), 0)), "Not Found")</f>
        <v/>
      </c>
      <c r="R420" s="21">
        <f t="array" ref="R420">IFERROR(INDEX(Load_Booking_Report!C:C, MATCH(TRUE, ISNUMBER(FIND(SUBSTITUTE(C420," ",""), Load_Booking_Report!AL:AL)), 0)), "Not Found")</f>
        <v/>
      </c>
      <c r="S420" s="21">
        <f t="array" ref="S420">IFERROR(INDEX(Load_Booking_Report!AG:AG, MATCH(TRUE, ISNUMBER(FIND(SUBSTITUTE(C420," ",""), Load_Booking_Report!AL:AL)), 0)), "Not Found")</f>
        <v/>
      </c>
      <c r="T420" s="21">
        <f>G420</f>
        <v/>
      </c>
      <c r="U420" s="33">
        <f t="array" ref="U420">IFERROR(
   IF(
      INDEX(Load_Booking_Report!AM:AM,
             MATCH(TRUE,
                     ISNUMBER(FIND(SUBSTITUTE(C420," ",""),
                                    Load_Booking_Report!AL:AL)),
                     0)
      )=0,
      "",
      INDEX(Load_Booking_Report!AM:AM,
             MATCH(TRUE,
                     ISNUMBER(FIND(SUBSTITUTE(C420," ",""),
                                    Load_Booking_Report!AL:AL)),
                     0)
      )
   ),
   ""
)</f>
        <v/>
      </c>
      <c r="V420" s="21">
        <f t="array" ref="V420">IFERROR(
   IF(
      INDEX(Load_Booking_Report!AR:AR,
             MATCH(TRUE,
                     ISNUMBER(FIND(SUBSTITUTE(C420," ",""),
                                    Load_Booking_Report!AL:AL)),
                     0)
      )=0,
      "",
      INDEX(Load_Booking_Report!AR:AR,
             MATCH(TRUE,
                     ISNUMBER(FIND(SUBSTITUTE(C420," ",""),
                                    Load_Booking_Report!AL:AL)),
                     0)
      )
   ),
   ""
)</f>
        <v/>
      </c>
      <c r="W420" s="21">
        <f t="array" ref="W420">IFERROR(INDEX(Load_Booking_Report!F:F, MATCH(TRUE, ISNUMBER(FIND(SUBSTITUTE(C420," ",""), Load_Booking_Report!AL:AL)), 0)), "Not Found")</f>
        <v/>
      </c>
      <c r="X420" s="21">
        <f t="array" ref="X420">IFERROR(INDEX(Load_Booking_Report!N:N, MATCH(TRUE, ISNUMBER(FIND(SUBSTITUTE(C420," ",""), Load_Booking_Report!AL:AL)), 0)), "Not Found")</f>
        <v/>
      </c>
      <c r="Y420" s="21">
        <f t="array" ref="Y420">IFERROR(INDEX(Load_Booking_Report!V:V, MATCH(TRUE, ISNUMBER(FIND(SUBSTITUTE(C420," ",""), Load_Booking_Report!AL:AL)), 0)), "Not Found")</f>
        <v/>
      </c>
      <c r="Z420" s="41">
        <f t="array" ref="Z420">IFERROR(INDEX(Load_Booking_Report!BC:BC, MATCH(TRUE, ISNUMBER(FIND(SUBSTITUTE(C420," ",""), Load_Booking_Report!AL:AL)), 0)), "Not Found")</f>
        <v/>
      </c>
    </row>
    <row r="421">
      <c r="A421" t="n">
        <v>2</v>
      </c>
      <c r="B421" t="n">
        <v>20584</v>
      </c>
      <c r="C421" t="inlineStr">
        <is>
          <t>ANON0000000</t>
        </is>
      </c>
      <c r="D421" t="n">
        <v>40</v>
      </c>
      <c r="E421" t="inlineStr">
        <is>
          <t>USNFK</t>
        </is>
      </c>
      <c r="F421" t="inlineStr">
        <is>
          <t>RULED</t>
        </is>
      </c>
      <c r="G421" t="n">
        <v>33140</v>
      </c>
      <c r="H421" t="inlineStr">
        <is>
          <t>ART</t>
        </is>
      </c>
      <c r="I421" t="inlineStr">
        <is>
          <t>45R1</t>
        </is>
      </c>
      <c r="K421" t="inlineStr">
        <is>
          <t>-18.0:CEL</t>
        </is>
      </c>
      <c r="L421" t="inlineStr">
        <is>
          <t>9'6</t>
        </is>
      </c>
      <c r="M421" t="inlineStr">
        <is>
          <t>Full</t>
        </is>
      </c>
      <c r="N421" t="inlineStr">
        <is>
          <t>RULED</t>
        </is>
      </c>
      <c r="P421" s="21">
        <f>C421</f>
        <v/>
      </c>
      <c r="Q421" s="21">
        <f t="array" ref="Q421">IFERROR(INDEX(Load_Booking_Report!AC:AC, MATCH(TRUE, ISNUMBER(FIND(SUBSTITUTE(C421," ",""), Load_Booking_Report!AL:AL)), 0)), "Not Found")</f>
        <v/>
      </c>
      <c r="R421" s="21">
        <f t="array" ref="R421">IFERROR(INDEX(Load_Booking_Report!C:C, MATCH(TRUE, ISNUMBER(FIND(SUBSTITUTE(C421," ",""), Load_Booking_Report!AL:AL)), 0)), "Not Found")</f>
        <v/>
      </c>
      <c r="S421" s="21">
        <f t="array" ref="S421">IFERROR(INDEX(Load_Booking_Report!AG:AG, MATCH(TRUE, ISNUMBER(FIND(SUBSTITUTE(C421," ",""), Load_Booking_Report!AL:AL)), 0)), "Not Found")</f>
        <v/>
      </c>
      <c r="T421" s="21">
        <f>G421</f>
        <v/>
      </c>
      <c r="U421" s="33">
        <f t="array" ref="U421">IFERROR(
   IF(
      INDEX(Load_Booking_Report!AM:AM,
             MATCH(TRUE,
                     ISNUMBER(FIND(SUBSTITUTE(C421," ",""),
                                    Load_Booking_Report!AL:AL)),
                     0)
      )=0,
      "",
      INDEX(Load_Booking_Report!AM:AM,
             MATCH(TRUE,
                     ISNUMBER(FIND(SUBSTITUTE(C421," ",""),
                                    Load_Booking_Report!AL:AL)),
                     0)
      )
   ),
   ""
)</f>
        <v/>
      </c>
      <c r="V421" s="21">
        <f t="array" ref="V421">IFERROR(
   IF(
      INDEX(Load_Booking_Report!AR:AR,
             MATCH(TRUE,
                     ISNUMBER(FIND(SUBSTITUTE(C421," ",""),
                                    Load_Booking_Report!AL:AL)),
                     0)
      )=0,
      "",
      INDEX(Load_Booking_Report!AR:AR,
             MATCH(TRUE,
                     ISNUMBER(FIND(SUBSTITUTE(C421," ",""),
                                    Load_Booking_Report!AL:AL)),
                     0)
      )
   ),
   ""
)</f>
        <v/>
      </c>
      <c r="W421" s="21">
        <f t="array" ref="W421">IFERROR(INDEX(Load_Booking_Report!F:F, MATCH(TRUE, ISNUMBER(FIND(SUBSTITUTE(C421," ",""), Load_Booking_Report!AL:AL)), 0)), "Not Found")</f>
        <v/>
      </c>
      <c r="X421" s="21">
        <f t="array" ref="X421">IFERROR(INDEX(Load_Booking_Report!N:N, MATCH(TRUE, ISNUMBER(FIND(SUBSTITUTE(C421," ",""), Load_Booking_Report!AL:AL)), 0)), "Not Found")</f>
        <v/>
      </c>
      <c r="Y421" s="21">
        <f t="array" ref="Y421">IFERROR(INDEX(Load_Booking_Report!V:V, MATCH(TRUE, ISNUMBER(FIND(SUBSTITUTE(C421," ",""), Load_Booking_Report!AL:AL)), 0)), "Not Found")</f>
        <v/>
      </c>
      <c r="Z421" s="41">
        <f t="array" ref="Z421">IFERROR(INDEX(Load_Booking_Report!BC:BC, MATCH(TRUE, ISNUMBER(FIND(SUBSTITUTE(C421," ",""), Load_Booking_Report!AL:AL)), 0)), "Not Found")</f>
        <v/>
      </c>
    </row>
    <row r="422">
      <c r="A422" t="n">
        <v>40</v>
      </c>
      <c r="B422" t="n">
        <v>400482</v>
      </c>
      <c r="C422" t="inlineStr">
        <is>
          <t>ANON0000000</t>
        </is>
      </c>
      <c r="D422" t="n">
        <v>40</v>
      </c>
      <c r="E422" t="inlineStr">
        <is>
          <t>USNFK</t>
        </is>
      </c>
      <c r="F422" t="inlineStr">
        <is>
          <t>RULED</t>
        </is>
      </c>
      <c r="G422" t="n">
        <v>32800</v>
      </c>
      <c r="H422" t="inlineStr">
        <is>
          <t>ART</t>
        </is>
      </c>
      <c r="I422" t="inlineStr">
        <is>
          <t>45R1</t>
        </is>
      </c>
      <c r="K422" t="inlineStr">
        <is>
          <t>-18.0:CEL</t>
        </is>
      </c>
      <c r="L422" t="inlineStr">
        <is>
          <t>9'6</t>
        </is>
      </c>
      <c r="M422" t="inlineStr">
        <is>
          <t>Full</t>
        </is>
      </c>
      <c r="N422" t="inlineStr">
        <is>
          <t>RULED</t>
        </is>
      </c>
      <c r="P422" s="21">
        <f>C422</f>
        <v/>
      </c>
      <c r="Q422" s="21">
        <f t="array" ref="Q422">IFERROR(INDEX(Load_Booking_Report!AC:AC, MATCH(TRUE, ISNUMBER(FIND(SUBSTITUTE(C422," ",""), Load_Booking_Report!AL:AL)), 0)), "Not Found")</f>
        <v/>
      </c>
      <c r="R422" s="21">
        <f t="array" ref="R422">IFERROR(INDEX(Load_Booking_Report!C:C, MATCH(TRUE, ISNUMBER(FIND(SUBSTITUTE(C422," ",""), Load_Booking_Report!AL:AL)), 0)), "Not Found")</f>
        <v/>
      </c>
      <c r="S422" s="21">
        <f t="array" ref="S422">IFERROR(INDEX(Load_Booking_Report!AG:AG, MATCH(TRUE, ISNUMBER(FIND(SUBSTITUTE(C422," ",""), Load_Booking_Report!AL:AL)), 0)), "Not Found")</f>
        <v/>
      </c>
      <c r="T422" s="21">
        <f>G422</f>
        <v/>
      </c>
      <c r="U422" s="33">
        <f t="array" ref="U422">IFERROR(
   IF(
      INDEX(Load_Booking_Report!AM:AM,
             MATCH(TRUE,
                     ISNUMBER(FIND(SUBSTITUTE(C422," ",""),
                                    Load_Booking_Report!AL:AL)),
                     0)
      )=0,
      "",
      INDEX(Load_Booking_Report!AM:AM,
             MATCH(TRUE,
                     ISNUMBER(FIND(SUBSTITUTE(C422," ",""),
                                    Load_Booking_Report!AL:AL)),
                     0)
      )
   ),
   ""
)</f>
        <v/>
      </c>
      <c r="V422" s="21">
        <f t="array" ref="V422">IFERROR(
   IF(
      INDEX(Load_Booking_Report!AR:AR,
             MATCH(TRUE,
                     ISNUMBER(FIND(SUBSTITUTE(C422," ",""),
                                    Load_Booking_Report!AL:AL)),
                     0)
      )=0,
      "",
      INDEX(Load_Booking_Report!AR:AR,
             MATCH(TRUE,
                     ISNUMBER(FIND(SUBSTITUTE(C422," ",""),
                                    Load_Booking_Report!AL:AL)),
                     0)
      )
   ),
   ""
)</f>
        <v/>
      </c>
      <c r="W422" s="21">
        <f t="array" ref="W422">IFERROR(INDEX(Load_Booking_Report!F:F, MATCH(TRUE, ISNUMBER(FIND(SUBSTITUTE(C422," ",""), Load_Booking_Report!AL:AL)), 0)), "Not Found")</f>
        <v/>
      </c>
      <c r="X422" s="21">
        <f t="array" ref="X422">IFERROR(INDEX(Load_Booking_Report!N:N, MATCH(TRUE, ISNUMBER(FIND(SUBSTITUTE(C422," ",""), Load_Booking_Report!AL:AL)), 0)), "Not Found")</f>
        <v/>
      </c>
      <c r="Y422" s="21">
        <f t="array" ref="Y422">IFERROR(INDEX(Load_Booking_Report!V:V, MATCH(TRUE, ISNUMBER(FIND(SUBSTITUTE(C422," ",""), Load_Booking_Report!AL:AL)), 0)), "Not Found")</f>
        <v/>
      </c>
      <c r="Z422" s="41">
        <f t="array" ref="Z422">IFERROR(INDEX(Load_Booking_Report!BC:BC, MATCH(TRUE, ISNUMBER(FIND(SUBSTITUTE(C422," ",""), Load_Booking_Report!AL:AL)), 0)), "Not Found")</f>
        <v/>
      </c>
    </row>
    <row r="423">
      <c r="A423" t="n">
        <v>2</v>
      </c>
      <c r="B423" t="n">
        <v>20284</v>
      </c>
      <c r="C423" t="inlineStr">
        <is>
          <t>ANON0000000</t>
        </is>
      </c>
      <c r="D423" t="n">
        <v>40</v>
      </c>
      <c r="E423" t="inlineStr">
        <is>
          <t>USNFK</t>
        </is>
      </c>
      <c r="F423" t="inlineStr">
        <is>
          <t>RULED</t>
        </is>
      </c>
      <c r="G423" t="n">
        <v>32820</v>
      </c>
      <c r="H423" t="inlineStr">
        <is>
          <t>ART</t>
        </is>
      </c>
      <c r="I423" t="inlineStr">
        <is>
          <t>45R1</t>
        </is>
      </c>
      <c r="K423" t="inlineStr">
        <is>
          <t>-18.0:CEL</t>
        </is>
      </c>
      <c r="L423" t="inlineStr">
        <is>
          <t>9'6</t>
        </is>
      </c>
      <c r="M423" t="inlineStr">
        <is>
          <t>Full</t>
        </is>
      </c>
      <c r="N423" t="inlineStr">
        <is>
          <t>RULED</t>
        </is>
      </c>
      <c r="P423" s="21">
        <f>C423</f>
        <v/>
      </c>
      <c r="Q423" s="21">
        <f t="array" ref="Q423">IFERROR(INDEX(Load_Booking_Report!AC:AC, MATCH(TRUE, ISNUMBER(FIND(SUBSTITUTE(C423," ",""), Load_Booking_Report!AL:AL)), 0)), "Not Found")</f>
        <v/>
      </c>
      <c r="R423" s="21">
        <f t="array" ref="R423">IFERROR(INDEX(Load_Booking_Report!C:C, MATCH(TRUE, ISNUMBER(FIND(SUBSTITUTE(C423," ",""), Load_Booking_Report!AL:AL)), 0)), "Not Found")</f>
        <v/>
      </c>
      <c r="S423" s="21">
        <f t="array" ref="S423">IFERROR(INDEX(Load_Booking_Report!AG:AG, MATCH(TRUE, ISNUMBER(FIND(SUBSTITUTE(C423," ",""), Load_Booking_Report!AL:AL)), 0)), "Not Found")</f>
        <v/>
      </c>
      <c r="T423" s="21">
        <f>G423</f>
        <v/>
      </c>
      <c r="U423" s="33">
        <f t="array" ref="U423">IFERROR(
   IF(
      INDEX(Load_Booking_Report!AM:AM,
             MATCH(TRUE,
                     ISNUMBER(FIND(SUBSTITUTE(C423," ",""),
                                    Load_Booking_Report!AL:AL)),
                     0)
      )=0,
      "",
      INDEX(Load_Booking_Report!AM:AM,
             MATCH(TRUE,
                     ISNUMBER(FIND(SUBSTITUTE(C423," ",""),
                                    Load_Booking_Report!AL:AL)),
                     0)
      )
   ),
   ""
)</f>
        <v/>
      </c>
      <c r="V423" s="21">
        <f t="array" ref="V423">IFERROR(
   IF(
      INDEX(Load_Booking_Report!AR:AR,
             MATCH(TRUE,
                     ISNUMBER(FIND(SUBSTITUTE(C423," ",""),
                                    Load_Booking_Report!AL:AL)),
                     0)
      )=0,
      "",
      INDEX(Load_Booking_Report!AR:AR,
             MATCH(TRUE,
                     ISNUMBER(FIND(SUBSTITUTE(C423," ",""),
                                    Load_Booking_Report!AL:AL)),
                     0)
      )
   ),
   ""
)</f>
        <v/>
      </c>
      <c r="W423" s="21">
        <f t="array" ref="W423">IFERROR(INDEX(Load_Booking_Report!F:F, MATCH(TRUE, ISNUMBER(FIND(SUBSTITUTE(C423," ",""), Load_Booking_Report!AL:AL)), 0)), "Not Found")</f>
        <v/>
      </c>
      <c r="X423" s="21">
        <f t="array" ref="X423">IFERROR(INDEX(Load_Booking_Report!N:N, MATCH(TRUE, ISNUMBER(FIND(SUBSTITUTE(C423," ",""), Load_Booking_Report!AL:AL)), 0)), "Not Found")</f>
        <v/>
      </c>
      <c r="Y423" s="21">
        <f t="array" ref="Y423">IFERROR(INDEX(Load_Booking_Report!V:V, MATCH(TRUE, ISNUMBER(FIND(SUBSTITUTE(C423," ",""), Load_Booking_Report!AL:AL)), 0)), "Not Found")</f>
        <v/>
      </c>
      <c r="Z423" s="41">
        <f t="array" ref="Z423">IFERROR(INDEX(Load_Booking_Report!BC:BC, MATCH(TRUE, ISNUMBER(FIND(SUBSTITUTE(C423," ",""), Load_Booking_Report!AL:AL)), 0)), "Not Found")</f>
        <v/>
      </c>
    </row>
    <row r="424">
      <c r="A424" t="n">
        <v>22</v>
      </c>
      <c r="B424" t="n">
        <v>220684</v>
      </c>
      <c r="C424" t="inlineStr">
        <is>
          <t>ANON0000000</t>
        </is>
      </c>
      <c r="D424" t="n">
        <v>40</v>
      </c>
      <c r="E424" t="inlineStr">
        <is>
          <t>USNFK</t>
        </is>
      </c>
      <c r="F424" t="inlineStr">
        <is>
          <t>RULED</t>
        </is>
      </c>
      <c r="G424" t="n">
        <v>32880</v>
      </c>
      <c r="H424" t="inlineStr">
        <is>
          <t>ART</t>
        </is>
      </c>
      <c r="I424" t="inlineStr">
        <is>
          <t>45R1</t>
        </is>
      </c>
      <c r="K424" t="inlineStr">
        <is>
          <t>-18.0:CEL</t>
        </is>
      </c>
      <c r="L424" t="inlineStr">
        <is>
          <t>9'6</t>
        </is>
      </c>
      <c r="M424" t="inlineStr">
        <is>
          <t>Full</t>
        </is>
      </c>
      <c r="N424" t="inlineStr">
        <is>
          <t>RULED</t>
        </is>
      </c>
      <c r="P424" s="21">
        <f>C424</f>
        <v/>
      </c>
      <c r="Q424" s="21">
        <f t="array" ref="Q424">IFERROR(INDEX(Load_Booking_Report!AC:AC, MATCH(TRUE, ISNUMBER(FIND(SUBSTITUTE(C424," ",""), Load_Booking_Report!AL:AL)), 0)), "Not Found")</f>
        <v/>
      </c>
      <c r="R424" s="21">
        <f t="array" ref="R424">IFERROR(INDEX(Load_Booking_Report!C:C, MATCH(TRUE, ISNUMBER(FIND(SUBSTITUTE(C424," ",""), Load_Booking_Report!AL:AL)), 0)), "Not Found")</f>
        <v/>
      </c>
      <c r="S424" s="21">
        <f t="array" ref="S424">IFERROR(INDEX(Load_Booking_Report!AG:AG, MATCH(TRUE, ISNUMBER(FIND(SUBSTITUTE(C424," ",""), Load_Booking_Report!AL:AL)), 0)), "Not Found")</f>
        <v/>
      </c>
      <c r="T424" s="21">
        <f>G424</f>
        <v/>
      </c>
      <c r="U424" s="33">
        <f t="array" ref="U424">IFERROR(
   IF(
      INDEX(Load_Booking_Report!AM:AM,
             MATCH(TRUE,
                     ISNUMBER(FIND(SUBSTITUTE(C424," ",""),
                                    Load_Booking_Report!AL:AL)),
                     0)
      )=0,
      "",
      INDEX(Load_Booking_Report!AM:AM,
             MATCH(TRUE,
                     ISNUMBER(FIND(SUBSTITUTE(C424," ",""),
                                    Load_Booking_Report!AL:AL)),
                     0)
      )
   ),
   ""
)</f>
        <v/>
      </c>
      <c r="V424" s="21">
        <f t="array" ref="V424">IFERROR(
   IF(
      INDEX(Load_Booking_Report!AR:AR,
             MATCH(TRUE,
                     ISNUMBER(FIND(SUBSTITUTE(C424," ",""),
                                    Load_Booking_Report!AL:AL)),
                     0)
      )=0,
      "",
      INDEX(Load_Booking_Report!AR:AR,
             MATCH(TRUE,
                     ISNUMBER(FIND(SUBSTITUTE(C424," ",""),
                                    Load_Booking_Report!AL:AL)),
                     0)
      )
   ),
   ""
)</f>
        <v/>
      </c>
      <c r="W424" s="21">
        <f t="array" ref="W424">IFERROR(INDEX(Load_Booking_Report!F:F, MATCH(TRUE, ISNUMBER(FIND(SUBSTITUTE(C424," ",""), Load_Booking_Report!AL:AL)), 0)), "Not Found")</f>
        <v/>
      </c>
      <c r="X424" s="21">
        <f t="array" ref="X424">IFERROR(INDEX(Load_Booking_Report!N:N, MATCH(TRUE, ISNUMBER(FIND(SUBSTITUTE(C424," ",""), Load_Booking_Report!AL:AL)), 0)), "Not Found")</f>
        <v/>
      </c>
      <c r="Y424" s="21">
        <f t="array" ref="Y424">IFERROR(INDEX(Load_Booking_Report!V:V, MATCH(TRUE, ISNUMBER(FIND(SUBSTITUTE(C424," ",""), Load_Booking_Report!AL:AL)), 0)), "Not Found")</f>
        <v/>
      </c>
      <c r="Z424" s="41">
        <f t="array" ref="Z424">IFERROR(INDEX(Load_Booking_Report!BC:BC, MATCH(TRUE, ISNUMBER(FIND(SUBSTITUTE(C424," ",""), Load_Booking_Report!AL:AL)), 0)), "Not Found")</f>
        <v/>
      </c>
    </row>
    <row r="425">
      <c r="A425" t="n">
        <v>40</v>
      </c>
      <c r="B425" t="n">
        <v>400184</v>
      </c>
      <c r="C425" t="inlineStr">
        <is>
          <t>ANON0000000</t>
        </is>
      </c>
      <c r="D425" t="n">
        <v>40</v>
      </c>
      <c r="E425" t="inlineStr">
        <is>
          <t>USNFK</t>
        </is>
      </c>
      <c r="F425" t="inlineStr">
        <is>
          <t>RULED</t>
        </is>
      </c>
      <c r="G425" t="n">
        <v>32780</v>
      </c>
      <c r="H425" t="inlineStr">
        <is>
          <t>ART</t>
        </is>
      </c>
      <c r="I425" t="inlineStr">
        <is>
          <t>45R1</t>
        </is>
      </c>
      <c r="K425" t="inlineStr">
        <is>
          <t>-18.0:CEL</t>
        </is>
      </c>
      <c r="L425" t="inlineStr">
        <is>
          <t>9'6</t>
        </is>
      </c>
      <c r="M425" t="inlineStr">
        <is>
          <t>Full</t>
        </is>
      </c>
      <c r="N425" t="inlineStr">
        <is>
          <t>RULED</t>
        </is>
      </c>
      <c r="P425" s="21">
        <f>C425</f>
        <v/>
      </c>
      <c r="Q425" s="21">
        <f t="array" ref="Q425">IFERROR(INDEX(Load_Booking_Report!AC:AC, MATCH(TRUE, ISNUMBER(FIND(SUBSTITUTE(C425," ",""), Load_Booking_Report!AL:AL)), 0)), "Not Found")</f>
        <v/>
      </c>
      <c r="R425" s="21">
        <f t="array" ref="R425">IFERROR(INDEX(Load_Booking_Report!C:C, MATCH(TRUE, ISNUMBER(FIND(SUBSTITUTE(C425," ",""), Load_Booking_Report!AL:AL)), 0)), "Not Found")</f>
        <v/>
      </c>
      <c r="S425" s="21">
        <f t="array" ref="S425">IFERROR(INDEX(Load_Booking_Report!AG:AG, MATCH(TRUE, ISNUMBER(FIND(SUBSTITUTE(C425," ",""), Load_Booking_Report!AL:AL)), 0)), "Not Found")</f>
        <v/>
      </c>
      <c r="T425" s="21">
        <f>G425</f>
        <v/>
      </c>
      <c r="U425" s="33">
        <f t="array" ref="U425">IFERROR(
   IF(
      INDEX(Load_Booking_Report!AM:AM,
             MATCH(TRUE,
                     ISNUMBER(FIND(SUBSTITUTE(C425," ",""),
                                    Load_Booking_Report!AL:AL)),
                     0)
      )=0,
      "",
      INDEX(Load_Booking_Report!AM:AM,
             MATCH(TRUE,
                     ISNUMBER(FIND(SUBSTITUTE(C425," ",""),
                                    Load_Booking_Report!AL:AL)),
                     0)
      )
   ),
   ""
)</f>
        <v/>
      </c>
      <c r="V425" s="21">
        <f t="array" ref="V425">IFERROR(
   IF(
      INDEX(Load_Booking_Report!AR:AR,
             MATCH(TRUE,
                     ISNUMBER(FIND(SUBSTITUTE(C425," ",""),
                                    Load_Booking_Report!AL:AL)),
                     0)
      )=0,
      "",
      INDEX(Load_Booking_Report!AR:AR,
             MATCH(TRUE,
                     ISNUMBER(FIND(SUBSTITUTE(C425," ",""),
                                    Load_Booking_Report!AL:AL)),
                     0)
      )
   ),
   ""
)</f>
        <v/>
      </c>
      <c r="W425" s="21">
        <f t="array" ref="W425">IFERROR(INDEX(Load_Booking_Report!F:F, MATCH(TRUE, ISNUMBER(FIND(SUBSTITUTE(C425," ",""), Load_Booking_Report!AL:AL)), 0)), "Not Found")</f>
        <v/>
      </c>
      <c r="X425" s="21">
        <f t="array" ref="X425">IFERROR(INDEX(Load_Booking_Report!N:N, MATCH(TRUE, ISNUMBER(FIND(SUBSTITUTE(C425," ",""), Load_Booking_Report!AL:AL)), 0)), "Not Found")</f>
        <v/>
      </c>
      <c r="Y425" s="21">
        <f t="array" ref="Y425">IFERROR(INDEX(Load_Booking_Report!V:V, MATCH(TRUE, ISNUMBER(FIND(SUBSTITUTE(C425," ",""), Load_Booking_Report!AL:AL)), 0)), "Not Found")</f>
        <v/>
      </c>
      <c r="Z425" s="41">
        <f t="array" ref="Z425">IFERROR(INDEX(Load_Booking_Report!BC:BC, MATCH(TRUE, ISNUMBER(FIND(SUBSTITUTE(C425," ",""), Load_Booking_Report!AL:AL)), 0)), "Not Found")</f>
        <v/>
      </c>
    </row>
    <row r="426">
      <c r="A426" t="n">
        <v>14</v>
      </c>
      <c r="B426" t="n">
        <v>140984</v>
      </c>
      <c r="C426" t="inlineStr">
        <is>
          <t>ANON0000000</t>
        </is>
      </c>
      <c r="D426" t="n">
        <v>40</v>
      </c>
      <c r="E426" t="inlineStr">
        <is>
          <t>USNFK</t>
        </is>
      </c>
      <c r="F426" t="inlineStr">
        <is>
          <t>RULED</t>
        </is>
      </c>
      <c r="G426" t="n">
        <v>32520</v>
      </c>
      <c r="H426" t="inlineStr">
        <is>
          <t>ART</t>
        </is>
      </c>
      <c r="I426" t="inlineStr">
        <is>
          <t>45R1</t>
        </is>
      </c>
      <c r="K426" t="inlineStr">
        <is>
          <t>-18.0:CEL</t>
        </is>
      </c>
      <c r="L426" t="inlineStr">
        <is>
          <t>9'6</t>
        </is>
      </c>
      <c r="M426" t="inlineStr">
        <is>
          <t>Full</t>
        </is>
      </c>
      <c r="N426" t="inlineStr">
        <is>
          <t>RULED</t>
        </is>
      </c>
      <c r="P426" s="21">
        <f>C426</f>
        <v/>
      </c>
      <c r="Q426" s="21">
        <f t="array" ref="Q426">IFERROR(INDEX(Load_Booking_Report!AC:AC, MATCH(TRUE, ISNUMBER(FIND(SUBSTITUTE(C426," ",""), Load_Booking_Report!AL:AL)), 0)), "Not Found")</f>
        <v/>
      </c>
      <c r="R426" s="21">
        <f t="array" ref="R426">IFERROR(INDEX(Load_Booking_Report!C:C, MATCH(TRUE, ISNUMBER(FIND(SUBSTITUTE(C426," ",""), Load_Booking_Report!AL:AL)), 0)), "Not Found")</f>
        <v/>
      </c>
      <c r="S426" s="21">
        <f t="array" ref="S426">IFERROR(INDEX(Load_Booking_Report!AG:AG, MATCH(TRUE, ISNUMBER(FIND(SUBSTITUTE(C426," ",""), Load_Booking_Report!AL:AL)), 0)), "Not Found")</f>
        <v/>
      </c>
      <c r="T426" s="21">
        <f>G426</f>
        <v/>
      </c>
      <c r="U426" s="33">
        <f t="array" ref="U426">IFERROR(
   IF(
      INDEX(Load_Booking_Report!AM:AM,
             MATCH(TRUE,
                     ISNUMBER(FIND(SUBSTITUTE(C426," ",""),
                                    Load_Booking_Report!AL:AL)),
                     0)
      )=0,
      "",
      INDEX(Load_Booking_Report!AM:AM,
             MATCH(TRUE,
                     ISNUMBER(FIND(SUBSTITUTE(C426," ",""),
                                    Load_Booking_Report!AL:AL)),
                     0)
      )
   ),
   ""
)</f>
        <v/>
      </c>
      <c r="V426" s="21">
        <f t="array" ref="V426">IFERROR(
   IF(
      INDEX(Load_Booking_Report!AR:AR,
             MATCH(TRUE,
                     ISNUMBER(FIND(SUBSTITUTE(C426," ",""),
                                    Load_Booking_Report!AL:AL)),
                     0)
      )=0,
      "",
      INDEX(Load_Booking_Report!AR:AR,
             MATCH(TRUE,
                     ISNUMBER(FIND(SUBSTITUTE(C426," ",""),
                                    Load_Booking_Report!AL:AL)),
                     0)
      )
   ),
   ""
)</f>
        <v/>
      </c>
      <c r="W426" s="21">
        <f t="array" ref="W426">IFERROR(INDEX(Load_Booking_Report!F:F, MATCH(TRUE, ISNUMBER(FIND(SUBSTITUTE(C426," ",""), Load_Booking_Report!AL:AL)), 0)), "Not Found")</f>
        <v/>
      </c>
      <c r="X426" s="21">
        <f t="array" ref="X426">IFERROR(INDEX(Load_Booking_Report!N:N, MATCH(TRUE, ISNUMBER(FIND(SUBSTITUTE(C426," ",""), Load_Booking_Report!AL:AL)), 0)), "Not Found")</f>
        <v/>
      </c>
      <c r="Y426" s="21">
        <f t="array" ref="Y426">IFERROR(INDEX(Load_Booking_Report!V:V, MATCH(TRUE, ISNUMBER(FIND(SUBSTITUTE(C426," ",""), Load_Booking_Report!AL:AL)), 0)), "Not Found")</f>
        <v/>
      </c>
      <c r="Z426" s="41">
        <f t="array" ref="Z426">IFERROR(INDEX(Load_Booking_Report!BC:BC, MATCH(TRUE, ISNUMBER(FIND(SUBSTITUTE(C426," ",""), Load_Booking_Report!AL:AL)), 0)), "Not Found")</f>
        <v/>
      </c>
    </row>
    <row r="427">
      <c r="A427" t="n">
        <v>18</v>
      </c>
      <c r="B427" t="n">
        <v>180582</v>
      </c>
      <c r="C427" t="inlineStr">
        <is>
          <t>ANON0000000</t>
        </is>
      </c>
      <c r="D427" t="n">
        <v>40</v>
      </c>
      <c r="E427" t="inlineStr">
        <is>
          <t>USNFK</t>
        </is>
      </c>
      <c r="F427" t="inlineStr">
        <is>
          <t>RULED</t>
        </is>
      </c>
      <c r="G427" t="n">
        <v>32500</v>
      </c>
      <c r="H427" t="inlineStr">
        <is>
          <t>ART</t>
        </is>
      </c>
      <c r="I427" t="n">
        <v>4532</v>
      </c>
      <c r="K427" t="inlineStr">
        <is>
          <t>-18.0:CEL</t>
        </is>
      </c>
      <c r="L427" t="inlineStr">
        <is>
          <t>9'6</t>
        </is>
      </c>
      <c r="M427" t="inlineStr">
        <is>
          <t>Full</t>
        </is>
      </c>
      <c r="N427" t="inlineStr">
        <is>
          <t>RULED</t>
        </is>
      </c>
      <c r="P427" s="21">
        <f>C427</f>
        <v/>
      </c>
      <c r="Q427" s="21">
        <f t="array" ref="Q427">IFERROR(INDEX(Load_Booking_Report!AC:AC, MATCH(TRUE, ISNUMBER(FIND(SUBSTITUTE(C427," ",""), Load_Booking_Report!AL:AL)), 0)), "Not Found")</f>
        <v/>
      </c>
      <c r="R427" s="21">
        <f t="array" ref="R427">IFERROR(INDEX(Load_Booking_Report!C:C, MATCH(TRUE, ISNUMBER(FIND(SUBSTITUTE(C427," ",""), Load_Booking_Report!AL:AL)), 0)), "Not Found")</f>
        <v/>
      </c>
      <c r="S427" s="21">
        <f t="array" ref="S427">IFERROR(INDEX(Load_Booking_Report!AG:AG, MATCH(TRUE, ISNUMBER(FIND(SUBSTITUTE(C427," ",""), Load_Booking_Report!AL:AL)), 0)), "Not Found")</f>
        <v/>
      </c>
      <c r="T427" s="21">
        <f>G427</f>
        <v/>
      </c>
      <c r="U427" s="33">
        <f t="array" ref="U427">IFERROR(
   IF(
      INDEX(Load_Booking_Report!AM:AM,
             MATCH(TRUE,
                     ISNUMBER(FIND(SUBSTITUTE(C427," ",""),
                                    Load_Booking_Report!AL:AL)),
                     0)
      )=0,
      "",
      INDEX(Load_Booking_Report!AM:AM,
             MATCH(TRUE,
                     ISNUMBER(FIND(SUBSTITUTE(C427," ",""),
                                    Load_Booking_Report!AL:AL)),
                     0)
      )
   ),
   ""
)</f>
        <v/>
      </c>
      <c r="V427" s="21">
        <f t="array" ref="V427">IFERROR(
   IF(
      INDEX(Load_Booking_Report!AR:AR,
             MATCH(TRUE,
                     ISNUMBER(FIND(SUBSTITUTE(C427," ",""),
                                    Load_Booking_Report!AL:AL)),
                     0)
      )=0,
      "",
      INDEX(Load_Booking_Report!AR:AR,
             MATCH(TRUE,
                     ISNUMBER(FIND(SUBSTITUTE(C427," ",""),
                                    Load_Booking_Report!AL:AL)),
                     0)
      )
   ),
   ""
)</f>
        <v/>
      </c>
      <c r="W427" s="21">
        <f t="array" ref="W427">IFERROR(INDEX(Load_Booking_Report!F:F, MATCH(TRUE, ISNUMBER(FIND(SUBSTITUTE(C427," ",""), Load_Booking_Report!AL:AL)), 0)), "Not Found")</f>
        <v/>
      </c>
      <c r="X427" s="21">
        <f t="array" ref="X427">IFERROR(INDEX(Load_Booking_Report!N:N, MATCH(TRUE, ISNUMBER(FIND(SUBSTITUTE(C427," ",""), Load_Booking_Report!AL:AL)), 0)), "Not Found")</f>
        <v/>
      </c>
      <c r="Y427" s="21">
        <f t="array" ref="Y427">IFERROR(INDEX(Load_Booking_Report!V:V, MATCH(TRUE, ISNUMBER(FIND(SUBSTITUTE(C427," ",""), Load_Booking_Report!AL:AL)), 0)), "Not Found")</f>
        <v/>
      </c>
      <c r="Z427" s="41">
        <f t="array" ref="Z427">IFERROR(INDEX(Load_Booking_Report!BC:BC, MATCH(TRUE, ISNUMBER(FIND(SUBSTITUTE(C427," ",""), Load_Booking_Report!AL:AL)), 0)), "Not Found")</f>
        <v/>
      </c>
    </row>
    <row r="428">
      <c r="A428" t="n">
        <v>40</v>
      </c>
      <c r="B428" t="n">
        <v>400382</v>
      </c>
      <c r="C428" t="inlineStr">
        <is>
          <t>ANON0000000</t>
        </is>
      </c>
      <c r="D428" t="n">
        <v>40</v>
      </c>
      <c r="E428" t="inlineStr">
        <is>
          <t>USNFK</t>
        </is>
      </c>
      <c r="F428" t="inlineStr">
        <is>
          <t>RULED</t>
        </is>
      </c>
      <c r="G428" t="n">
        <v>32980</v>
      </c>
      <c r="H428" t="inlineStr">
        <is>
          <t>ART</t>
        </is>
      </c>
      <c r="I428" t="n">
        <v>4532</v>
      </c>
      <c r="K428" t="inlineStr">
        <is>
          <t>-18.0:CEL</t>
        </is>
      </c>
      <c r="L428" t="inlineStr">
        <is>
          <t>9'6</t>
        </is>
      </c>
      <c r="M428" t="inlineStr">
        <is>
          <t>Full</t>
        </is>
      </c>
      <c r="N428" t="inlineStr">
        <is>
          <t>RULED</t>
        </is>
      </c>
      <c r="P428" s="21">
        <f>C428</f>
        <v/>
      </c>
      <c r="Q428" s="21">
        <f t="array" ref="Q428">IFERROR(INDEX(Load_Booking_Report!AC:AC, MATCH(TRUE, ISNUMBER(FIND(SUBSTITUTE(C428," ",""), Load_Booking_Report!AL:AL)), 0)), "Not Found")</f>
        <v/>
      </c>
      <c r="R428" s="21">
        <f t="array" ref="R428">IFERROR(INDEX(Load_Booking_Report!C:C, MATCH(TRUE, ISNUMBER(FIND(SUBSTITUTE(C428," ",""), Load_Booking_Report!AL:AL)), 0)), "Not Found")</f>
        <v/>
      </c>
      <c r="S428" s="21">
        <f t="array" ref="S428">IFERROR(INDEX(Load_Booking_Report!AG:AG, MATCH(TRUE, ISNUMBER(FIND(SUBSTITUTE(C428," ",""), Load_Booking_Report!AL:AL)), 0)), "Not Found")</f>
        <v/>
      </c>
      <c r="T428" s="21">
        <f>G428</f>
        <v/>
      </c>
      <c r="U428" s="33">
        <f t="array" ref="U428">IFERROR(
   IF(
      INDEX(Load_Booking_Report!AM:AM,
             MATCH(TRUE,
                     ISNUMBER(FIND(SUBSTITUTE(C428," ",""),
                                    Load_Booking_Report!AL:AL)),
                     0)
      )=0,
      "",
      INDEX(Load_Booking_Report!AM:AM,
             MATCH(TRUE,
                     ISNUMBER(FIND(SUBSTITUTE(C428," ",""),
                                    Load_Booking_Report!AL:AL)),
                     0)
      )
   ),
   ""
)</f>
        <v/>
      </c>
      <c r="V428" s="21">
        <f t="array" ref="V428">IFERROR(
   IF(
      INDEX(Load_Booking_Report!AR:AR,
             MATCH(TRUE,
                     ISNUMBER(FIND(SUBSTITUTE(C428," ",""),
                                    Load_Booking_Report!AL:AL)),
                     0)
      )=0,
      "",
      INDEX(Load_Booking_Report!AR:AR,
             MATCH(TRUE,
                     ISNUMBER(FIND(SUBSTITUTE(C428," ",""),
                                    Load_Booking_Report!AL:AL)),
                     0)
      )
   ),
   ""
)</f>
        <v/>
      </c>
      <c r="W428" s="21">
        <f t="array" ref="W428">IFERROR(INDEX(Load_Booking_Report!F:F, MATCH(TRUE, ISNUMBER(FIND(SUBSTITUTE(C428," ",""), Load_Booking_Report!AL:AL)), 0)), "Not Found")</f>
        <v/>
      </c>
      <c r="X428" s="21">
        <f t="array" ref="X428">IFERROR(INDEX(Load_Booking_Report!N:N, MATCH(TRUE, ISNUMBER(FIND(SUBSTITUTE(C428," ",""), Load_Booking_Report!AL:AL)), 0)), "Not Found")</f>
        <v/>
      </c>
      <c r="Y428" s="21">
        <f t="array" ref="Y428">IFERROR(INDEX(Load_Booking_Report!V:V, MATCH(TRUE, ISNUMBER(FIND(SUBSTITUTE(C428," ",""), Load_Booking_Report!AL:AL)), 0)), "Not Found")</f>
        <v/>
      </c>
      <c r="Z428" s="41">
        <f t="array" ref="Z428">IFERROR(INDEX(Load_Booking_Report!BC:BC, MATCH(TRUE, ISNUMBER(FIND(SUBSTITUTE(C428," ",""), Load_Booking_Report!AL:AL)), 0)), "Not Found")</f>
        <v/>
      </c>
    </row>
    <row r="429">
      <c r="A429" t="n">
        <v>18</v>
      </c>
      <c r="B429" t="n">
        <v>180982</v>
      </c>
      <c r="C429" t="inlineStr">
        <is>
          <t>ANON0000000</t>
        </is>
      </c>
      <c r="D429" t="n">
        <v>40</v>
      </c>
      <c r="E429" t="inlineStr">
        <is>
          <t>USNFK</t>
        </is>
      </c>
      <c r="F429" t="inlineStr">
        <is>
          <t>RULED</t>
        </is>
      </c>
      <c r="G429" t="n">
        <v>32460</v>
      </c>
      <c r="H429" t="inlineStr">
        <is>
          <t>ART</t>
        </is>
      </c>
      <c r="I429" t="n">
        <v>4532</v>
      </c>
      <c r="K429" t="inlineStr">
        <is>
          <t>-18.0:CEL</t>
        </is>
      </c>
      <c r="L429" t="inlineStr">
        <is>
          <t>9'6</t>
        </is>
      </c>
      <c r="M429" t="inlineStr">
        <is>
          <t>Full</t>
        </is>
      </c>
      <c r="N429" t="inlineStr">
        <is>
          <t>RULED</t>
        </is>
      </c>
      <c r="P429" s="21">
        <f>C429</f>
        <v/>
      </c>
      <c r="Q429" s="21">
        <f t="array" ref="Q429">IFERROR(INDEX(Load_Booking_Report!AC:AC, MATCH(TRUE, ISNUMBER(FIND(SUBSTITUTE(C429," ",""), Load_Booking_Report!AL:AL)), 0)), "Not Found")</f>
        <v/>
      </c>
      <c r="R429" s="21">
        <f t="array" ref="R429">IFERROR(INDEX(Load_Booking_Report!C:C, MATCH(TRUE, ISNUMBER(FIND(SUBSTITUTE(C429," ",""), Load_Booking_Report!AL:AL)), 0)), "Not Found")</f>
        <v/>
      </c>
      <c r="S429" s="21">
        <f t="array" ref="S429">IFERROR(INDEX(Load_Booking_Report!AG:AG, MATCH(TRUE, ISNUMBER(FIND(SUBSTITUTE(C429," ",""), Load_Booking_Report!AL:AL)), 0)), "Not Found")</f>
        <v/>
      </c>
      <c r="T429" s="21">
        <f>G429</f>
        <v/>
      </c>
      <c r="U429" s="33">
        <f t="array" ref="U429">IFERROR(
   IF(
      INDEX(Load_Booking_Report!AM:AM,
             MATCH(TRUE,
                     ISNUMBER(FIND(SUBSTITUTE(C429," ",""),
                                    Load_Booking_Report!AL:AL)),
                     0)
      )=0,
      "",
      INDEX(Load_Booking_Report!AM:AM,
             MATCH(TRUE,
                     ISNUMBER(FIND(SUBSTITUTE(C429," ",""),
                                    Load_Booking_Report!AL:AL)),
                     0)
      )
   ),
   ""
)</f>
        <v/>
      </c>
      <c r="V429" s="21">
        <f t="array" ref="V429">IFERROR(
   IF(
      INDEX(Load_Booking_Report!AR:AR,
             MATCH(TRUE,
                     ISNUMBER(FIND(SUBSTITUTE(C429," ",""),
                                    Load_Booking_Report!AL:AL)),
                     0)
      )=0,
      "",
      INDEX(Load_Booking_Report!AR:AR,
             MATCH(TRUE,
                     ISNUMBER(FIND(SUBSTITUTE(C429," ",""),
                                    Load_Booking_Report!AL:AL)),
                     0)
      )
   ),
   ""
)</f>
        <v/>
      </c>
      <c r="W429" s="21">
        <f t="array" ref="W429">IFERROR(INDEX(Load_Booking_Report!F:F, MATCH(TRUE, ISNUMBER(FIND(SUBSTITUTE(C429," ",""), Load_Booking_Report!AL:AL)), 0)), "Not Found")</f>
        <v/>
      </c>
      <c r="X429" s="21">
        <f t="array" ref="X429">IFERROR(INDEX(Load_Booking_Report!N:N, MATCH(TRUE, ISNUMBER(FIND(SUBSTITUTE(C429," ",""), Load_Booking_Report!AL:AL)), 0)), "Not Found")</f>
        <v/>
      </c>
      <c r="Y429" s="21">
        <f t="array" ref="Y429">IFERROR(INDEX(Load_Booking_Report!V:V, MATCH(TRUE, ISNUMBER(FIND(SUBSTITUTE(C429," ",""), Load_Booking_Report!AL:AL)), 0)), "Not Found")</f>
        <v/>
      </c>
      <c r="Z429" s="41">
        <f t="array" ref="Z429">IFERROR(INDEX(Load_Booking_Report!BC:BC, MATCH(TRUE, ISNUMBER(FIND(SUBSTITUTE(C429," ",""), Load_Booking_Report!AL:AL)), 0)), "Not Found")</f>
        <v/>
      </c>
    </row>
    <row r="430">
      <c r="A430" t="n">
        <v>40</v>
      </c>
      <c r="B430" t="n">
        <v>400282</v>
      </c>
      <c r="C430" t="inlineStr">
        <is>
          <t>ANON0000000</t>
        </is>
      </c>
      <c r="D430" t="n">
        <v>40</v>
      </c>
      <c r="E430" t="inlineStr">
        <is>
          <t>USNFK</t>
        </is>
      </c>
      <c r="F430" t="inlineStr">
        <is>
          <t>RULED</t>
        </is>
      </c>
      <c r="G430" t="n">
        <v>32760</v>
      </c>
      <c r="H430" t="inlineStr">
        <is>
          <t>ART</t>
        </is>
      </c>
      <c r="I430" t="n">
        <v>4532</v>
      </c>
      <c r="K430" t="inlineStr">
        <is>
          <t>-18.0:CEL</t>
        </is>
      </c>
      <c r="L430" t="inlineStr">
        <is>
          <t>9'6</t>
        </is>
      </c>
      <c r="M430" t="inlineStr">
        <is>
          <t>Full</t>
        </is>
      </c>
      <c r="N430" t="inlineStr">
        <is>
          <t>RULED</t>
        </is>
      </c>
      <c r="P430" s="21">
        <f>C430</f>
        <v/>
      </c>
      <c r="Q430" s="21">
        <f t="array" ref="Q430">IFERROR(INDEX(Load_Booking_Report!AC:AC, MATCH(TRUE, ISNUMBER(FIND(SUBSTITUTE(C430," ",""), Load_Booking_Report!AL:AL)), 0)), "Not Found")</f>
        <v/>
      </c>
      <c r="R430" s="21">
        <f t="array" ref="R430">IFERROR(INDEX(Load_Booking_Report!C:C, MATCH(TRUE, ISNUMBER(FIND(SUBSTITUTE(C430," ",""), Load_Booking_Report!AL:AL)), 0)), "Not Found")</f>
        <v/>
      </c>
      <c r="S430" s="21">
        <f t="array" ref="S430">IFERROR(INDEX(Load_Booking_Report!AG:AG, MATCH(TRUE, ISNUMBER(FIND(SUBSTITUTE(C430," ",""), Load_Booking_Report!AL:AL)), 0)), "Not Found")</f>
        <v/>
      </c>
      <c r="T430" s="21">
        <f>G430</f>
        <v/>
      </c>
      <c r="U430" s="33">
        <f t="array" ref="U430">IFERROR(
   IF(
      INDEX(Load_Booking_Report!AM:AM,
             MATCH(TRUE,
                     ISNUMBER(FIND(SUBSTITUTE(C430," ",""),
                                    Load_Booking_Report!AL:AL)),
                     0)
      )=0,
      "",
      INDEX(Load_Booking_Report!AM:AM,
             MATCH(TRUE,
                     ISNUMBER(FIND(SUBSTITUTE(C430," ",""),
                                    Load_Booking_Report!AL:AL)),
                     0)
      )
   ),
   ""
)</f>
        <v/>
      </c>
      <c r="V430" s="21">
        <f t="array" ref="V430">IFERROR(
   IF(
      INDEX(Load_Booking_Report!AR:AR,
             MATCH(TRUE,
                     ISNUMBER(FIND(SUBSTITUTE(C430," ",""),
                                    Load_Booking_Report!AL:AL)),
                     0)
      )=0,
      "",
      INDEX(Load_Booking_Report!AR:AR,
             MATCH(TRUE,
                     ISNUMBER(FIND(SUBSTITUTE(C430," ",""),
                                    Load_Booking_Report!AL:AL)),
                     0)
      )
   ),
   ""
)</f>
        <v/>
      </c>
      <c r="W430" s="21">
        <f t="array" ref="W430">IFERROR(INDEX(Load_Booking_Report!F:F, MATCH(TRUE, ISNUMBER(FIND(SUBSTITUTE(C430," ",""), Load_Booking_Report!AL:AL)), 0)), "Not Found")</f>
        <v/>
      </c>
      <c r="X430" s="21">
        <f t="array" ref="X430">IFERROR(INDEX(Load_Booking_Report!N:N, MATCH(TRUE, ISNUMBER(FIND(SUBSTITUTE(C430," ",""), Load_Booking_Report!AL:AL)), 0)), "Not Found")</f>
        <v/>
      </c>
      <c r="Y430" s="21">
        <f t="array" ref="Y430">IFERROR(INDEX(Load_Booking_Report!V:V, MATCH(TRUE, ISNUMBER(FIND(SUBSTITUTE(C430," ",""), Load_Booking_Report!AL:AL)), 0)), "Not Found")</f>
        <v/>
      </c>
      <c r="Z430" s="41">
        <f t="array" ref="Z430">IFERROR(INDEX(Load_Booking_Report!BC:BC, MATCH(TRUE, ISNUMBER(FIND(SUBSTITUTE(C430," ",""), Load_Booking_Report!AL:AL)), 0)), "Not Found")</f>
        <v/>
      </c>
    </row>
    <row r="431">
      <c r="A431" t="n">
        <v>40</v>
      </c>
      <c r="B431" t="n">
        <v>400384</v>
      </c>
      <c r="C431" t="inlineStr">
        <is>
          <t>ANON0000000</t>
        </is>
      </c>
      <c r="D431" t="n">
        <v>40</v>
      </c>
      <c r="E431" t="inlineStr">
        <is>
          <t>USNFK</t>
        </is>
      </c>
      <c r="F431" t="inlineStr">
        <is>
          <t>RULED</t>
        </is>
      </c>
      <c r="G431" t="n">
        <v>32800</v>
      </c>
      <c r="H431" t="inlineStr">
        <is>
          <t>ART</t>
        </is>
      </c>
      <c r="I431" t="n">
        <v>4532</v>
      </c>
      <c r="K431" t="inlineStr">
        <is>
          <t>-18.0:CEL</t>
        </is>
      </c>
      <c r="L431" t="inlineStr">
        <is>
          <t>9'6</t>
        </is>
      </c>
      <c r="M431" t="inlineStr">
        <is>
          <t>Full</t>
        </is>
      </c>
      <c r="N431" t="inlineStr">
        <is>
          <t>RULED</t>
        </is>
      </c>
      <c r="P431" s="21">
        <f>C431</f>
        <v/>
      </c>
      <c r="Q431" s="21">
        <f t="array" ref="Q431">IFERROR(INDEX(Load_Booking_Report!AC:AC, MATCH(TRUE, ISNUMBER(FIND(SUBSTITUTE(C431," ",""), Load_Booking_Report!AL:AL)), 0)), "Not Found")</f>
        <v/>
      </c>
      <c r="R431" s="21">
        <f t="array" ref="R431">IFERROR(INDEX(Load_Booking_Report!C:C, MATCH(TRUE, ISNUMBER(FIND(SUBSTITUTE(C431," ",""), Load_Booking_Report!AL:AL)), 0)), "Not Found")</f>
        <v/>
      </c>
      <c r="S431" s="21">
        <f t="array" ref="S431">IFERROR(INDEX(Load_Booking_Report!AG:AG, MATCH(TRUE, ISNUMBER(FIND(SUBSTITUTE(C431," ",""), Load_Booking_Report!AL:AL)), 0)), "Not Found")</f>
        <v/>
      </c>
      <c r="T431" s="21">
        <f>G431</f>
        <v/>
      </c>
      <c r="U431" s="33">
        <f t="array" ref="U431">IFERROR(
   IF(
      INDEX(Load_Booking_Report!AM:AM,
             MATCH(TRUE,
                     ISNUMBER(FIND(SUBSTITUTE(C431," ",""),
                                    Load_Booking_Report!AL:AL)),
                     0)
      )=0,
      "",
      INDEX(Load_Booking_Report!AM:AM,
             MATCH(TRUE,
                     ISNUMBER(FIND(SUBSTITUTE(C431," ",""),
                                    Load_Booking_Report!AL:AL)),
                     0)
      )
   ),
   ""
)</f>
        <v/>
      </c>
      <c r="V431" s="21">
        <f t="array" ref="V431">IFERROR(
   IF(
      INDEX(Load_Booking_Report!AR:AR,
             MATCH(TRUE,
                     ISNUMBER(FIND(SUBSTITUTE(C431," ",""),
                                    Load_Booking_Report!AL:AL)),
                     0)
      )=0,
      "",
      INDEX(Load_Booking_Report!AR:AR,
             MATCH(TRUE,
                     ISNUMBER(FIND(SUBSTITUTE(C431," ",""),
                                    Load_Booking_Report!AL:AL)),
                     0)
      )
   ),
   ""
)</f>
        <v/>
      </c>
      <c r="W431" s="21">
        <f t="array" ref="W431">IFERROR(INDEX(Load_Booking_Report!F:F, MATCH(TRUE, ISNUMBER(FIND(SUBSTITUTE(C431," ",""), Load_Booking_Report!AL:AL)), 0)), "Not Found")</f>
        <v/>
      </c>
      <c r="X431" s="21">
        <f t="array" ref="X431">IFERROR(INDEX(Load_Booking_Report!N:N, MATCH(TRUE, ISNUMBER(FIND(SUBSTITUTE(C431," ",""), Load_Booking_Report!AL:AL)), 0)), "Not Found")</f>
        <v/>
      </c>
      <c r="Y431" s="21">
        <f t="array" ref="Y431">IFERROR(INDEX(Load_Booking_Report!V:V, MATCH(TRUE, ISNUMBER(FIND(SUBSTITUTE(C431," ",""), Load_Booking_Report!AL:AL)), 0)), "Not Found")</f>
        <v/>
      </c>
      <c r="Z431" s="41">
        <f t="array" ref="Z431">IFERROR(INDEX(Load_Booking_Report!BC:BC, MATCH(TRUE, ISNUMBER(FIND(SUBSTITUTE(C431," ",""), Load_Booking_Report!AL:AL)), 0)), "Not Found")</f>
        <v/>
      </c>
    </row>
    <row r="432">
      <c r="A432" t="n">
        <v>23</v>
      </c>
      <c r="B432" t="n">
        <v>230204</v>
      </c>
      <c r="C432" t="inlineStr">
        <is>
          <t>ANON0000000</t>
        </is>
      </c>
      <c r="D432" t="n">
        <v>20</v>
      </c>
      <c r="E432" t="inlineStr">
        <is>
          <t>USNFK</t>
        </is>
      </c>
      <c r="F432" t="inlineStr">
        <is>
          <t>RULED</t>
        </is>
      </c>
      <c r="G432" t="n">
        <v>23360</v>
      </c>
      <c r="H432" t="inlineStr">
        <is>
          <t>ART</t>
        </is>
      </c>
      <c r="I432" t="inlineStr">
        <is>
          <t>22G1</t>
        </is>
      </c>
      <c r="L432" t="inlineStr">
        <is>
          <t>8'6</t>
        </is>
      </c>
      <c r="M432" t="inlineStr">
        <is>
          <t>Full</t>
        </is>
      </c>
      <c r="N432" t="inlineStr">
        <is>
          <t>RULED</t>
        </is>
      </c>
      <c r="P432" s="21">
        <f>C432</f>
        <v/>
      </c>
      <c r="Q432" s="21">
        <f t="array" ref="Q432">IFERROR(INDEX(Load_Booking_Report!AC:AC, MATCH(TRUE, ISNUMBER(FIND(SUBSTITUTE(C432," ",""), Load_Booking_Report!AL:AL)), 0)), "Not Found")</f>
        <v/>
      </c>
      <c r="R432" s="21">
        <f t="array" ref="R432">IFERROR(INDEX(Load_Booking_Report!C:C, MATCH(TRUE, ISNUMBER(FIND(SUBSTITUTE(C432," ",""), Load_Booking_Report!AL:AL)), 0)), "Not Found")</f>
        <v/>
      </c>
      <c r="S432" s="21">
        <f t="array" ref="S432">IFERROR(INDEX(Load_Booking_Report!AG:AG, MATCH(TRUE, ISNUMBER(FIND(SUBSTITUTE(C432," ",""), Load_Booking_Report!AL:AL)), 0)), "Not Found")</f>
        <v/>
      </c>
      <c r="T432" s="21">
        <f>G432</f>
        <v/>
      </c>
      <c r="U432" s="33">
        <f t="array" ref="U432">IFERROR(
   IF(
      INDEX(Load_Booking_Report!AM:AM,
             MATCH(TRUE,
                     ISNUMBER(FIND(SUBSTITUTE(C432," ",""),
                                    Load_Booking_Report!AL:AL)),
                     0)
      )=0,
      "",
      INDEX(Load_Booking_Report!AM:AM,
             MATCH(TRUE,
                     ISNUMBER(FIND(SUBSTITUTE(C432," ",""),
                                    Load_Booking_Report!AL:AL)),
                     0)
      )
   ),
   ""
)</f>
        <v/>
      </c>
      <c r="V432" s="21">
        <f t="array" ref="V432">IFERROR(
   IF(
      INDEX(Load_Booking_Report!AR:AR,
             MATCH(TRUE,
                     ISNUMBER(FIND(SUBSTITUTE(C432," ",""),
                                    Load_Booking_Report!AL:AL)),
                     0)
      )=0,
      "",
      INDEX(Load_Booking_Report!AR:AR,
             MATCH(TRUE,
                     ISNUMBER(FIND(SUBSTITUTE(C432," ",""),
                                    Load_Booking_Report!AL:AL)),
                     0)
      )
   ),
   ""
)</f>
        <v/>
      </c>
      <c r="W432" s="21">
        <f t="array" ref="W432">IFERROR(INDEX(Load_Booking_Report!F:F, MATCH(TRUE, ISNUMBER(FIND(SUBSTITUTE(C432," ",""), Load_Booking_Report!AL:AL)), 0)), "Not Found")</f>
        <v/>
      </c>
      <c r="X432" s="21">
        <f t="array" ref="X432">IFERROR(INDEX(Load_Booking_Report!N:N, MATCH(TRUE, ISNUMBER(FIND(SUBSTITUTE(C432," ",""), Load_Booking_Report!AL:AL)), 0)), "Not Found")</f>
        <v/>
      </c>
      <c r="Y432" s="21">
        <f t="array" ref="Y432">IFERROR(INDEX(Load_Booking_Report!V:V, MATCH(TRUE, ISNUMBER(FIND(SUBSTITUTE(C432," ",""), Load_Booking_Report!AL:AL)), 0)), "Not Found")</f>
        <v/>
      </c>
      <c r="Z432" s="41">
        <f t="array" ref="Z432">IFERROR(INDEX(Load_Booking_Report!BC:BC, MATCH(TRUE, ISNUMBER(FIND(SUBSTITUTE(C432," ",""), Load_Booking_Report!AL:AL)), 0)), "Not Found")</f>
        <v/>
      </c>
    </row>
    <row r="433">
      <c r="A433" t="n">
        <v>23</v>
      </c>
      <c r="B433" t="n">
        <v>230202</v>
      </c>
      <c r="C433" t="inlineStr">
        <is>
          <t>ANON0000000</t>
        </is>
      </c>
      <c r="D433" t="n">
        <v>20</v>
      </c>
      <c r="E433" t="inlineStr">
        <is>
          <t>USNFK</t>
        </is>
      </c>
      <c r="F433" t="inlineStr">
        <is>
          <t>RULED</t>
        </is>
      </c>
      <c r="G433" t="n">
        <v>25660</v>
      </c>
      <c r="H433" t="inlineStr">
        <is>
          <t>ART</t>
        </is>
      </c>
      <c r="I433" t="inlineStr">
        <is>
          <t>22G1</t>
        </is>
      </c>
      <c r="L433" t="inlineStr">
        <is>
          <t>8'6</t>
        </is>
      </c>
      <c r="M433" t="inlineStr">
        <is>
          <t>Full</t>
        </is>
      </c>
      <c r="N433" t="inlineStr">
        <is>
          <t>RULED</t>
        </is>
      </c>
      <c r="P433" s="21">
        <f>C433</f>
        <v/>
      </c>
      <c r="Q433" s="21">
        <f t="array" ref="Q433">IFERROR(INDEX(Load_Booking_Report!AC:AC, MATCH(TRUE, ISNUMBER(FIND(SUBSTITUTE(C433," ",""), Load_Booking_Report!AL:AL)), 0)), "Not Found")</f>
        <v/>
      </c>
      <c r="R433" s="21">
        <f t="array" ref="R433">IFERROR(INDEX(Load_Booking_Report!C:C, MATCH(TRUE, ISNUMBER(FIND(SUBSTITUTE(C433," ",""), Load_Booking_Report!AL:AL)), 0)), "Not Found")</f>
        <v/>
      </c>
      <c r="S433" s="21">
        <f t="array" ref="S433">IFERROR(INDEX(Load_Booking_Report!AG:AG, MATCH(TRUE, ISNUMBER(FIND(SUBSTITUTE(C433," ",""), Load_Booking_Report!AL:AL)), 0)), "Not Found")</f>
        <v/>
      </c>
      <c r="T433" s="21">
        <f>G433</f>
        <v/>
      </c>
      <c r="U433" s="33">
        <f t="array" ref="U433">IFERROR(
   IF(
      INDEX(Load_Booking_Report!AM:AM,
             MATCH(TRUE,
                     ISNUMBER(FIND(SUBSTITUTE(C433," ",""),
                                    Load_Booking_Report!AL:AL)),
                     0)
      )=0,
      "",
      INDEX(Load_Booking_Report!AM:AM,
             MATCH(TRUE,
                     ISNUMBER(FIND(SUBSTITUTE(C433," ",""),
                                    Load_Booking_Report!AL:AL)),
                     0)
      )
   ),
   ""
)</f>
        <v/>
      </c>
      <c r="V433" s="21">
        <f t="array" ref="V433">IFERROR(
   IF(
      INDEX(Load_Booking_Report!AR:AR,
             MATCH(TRUE,
                     ISNUMBER(FIND(SUBSTITUTE(C433," ",""),
                                    Load_Booking_Report!AL:AL)),
                     0)
      )=0,
      "",
      INDEX(Load_Booking_Report!AR:AR,
             MATCH(TRUE,
                     ISNUMBER(FIND(SUBSTITUTE(C433," ",""),
                                    Load_Booking_Report!AL:AL)),
                     0)
      )
   ),
   ""
)</f>
        <v/>
      </c>
      <c r="W433" s="21">
        <f t="array" ref="W433">IFERROR(INDEX(Load_Booking_Report!F:F, MATCH(TRUE, ISNUMBER(FIND(SUBSTITUTE(C433," ",""), Load_Booking_Report!AL:AL)), 0)), "Not Found")</f>
        <v/>
      </c>
      <c r="X433" s="21">
        <f t="array" ref="X433">IFERROR(INDEX(Load_Booking_Report!N:N, MATCH(TRUE, ISNUMBER(FIND(SUBSTITUTE(C433," ",""), Load_Booking_Report!AL:AL)), 0)), "Not Found")</f>
        <v/>
      </c>
      <c r="Y433" s="21">
        <f t="array" ref="Y433">IFERROR(INDEX(Load_Booking_Report!V:V, MATCH(TRUE, ISNUMBER(FIND(SUBSTITUTE(C433," ",""), Load_Booking_Report!AL:AL)), 0)), "Not Found")</f>
        <v/>
      </c>
      <c r="Z433" s="41">
        <f t="array" ref="Z433">IFERROR(INDEX(Load_Booking_Report!BC:BC, MATCH(TRUE, ISNUMBER(FIND(SUBSTITUTE(C433," ",""), Load_Booking_Report!AL:AL)), 0)), "Not Found")</f>
        <v/>
      </c>
    </row>
    <row r="434">
      <c r="A434" t="n">
        <v>23</v>
      </c>
      <c r="B434" t="n">
        <v>230304</v>
      </c>
      <c r="C434" t="inlineStr">
        <is>
          <t>ANON0000000</t>
        </is>
      </c>
      <c r="D434" t="n">
        <v>20</v>
      </c>
      <c r="E434" t="inlineStr">
        <is>
          <t>USNFK</t>
        </is>
      </c>
      <c r="F434" t="inlineStr">
        <is>
          <t>RULED</t>
        </is>
      </c>
      <c r="G434" t="n">
        <v>23480</v>
      </c>
      <c r="H434" t="inlineStr">
        <is>
          <t>ART</t>
        </is>
      </c>
      <c r="I434" t="inlineStr">
        <is>
          <t>22G1</t>
        </is>
      </c>
      <c r="L434" t="inlineStr">
        <is>
          <t>8'6</t>
        </is>
      </c>
      <c r="M434" t="inlineStr">
        <is>
          <t>Full</t>
        </is>
      </c>
      <c r="N434" t="inlineStr">
        <is>
          <t>RULED</t>
        </is>
      </c>
      <c r="P434" s="21">
        <f>C434</f>
        <v/>
      </c>
      <c r="Q434" s="21">
        <f t="array" ref="Q434">IFERROR(INDEX(Load_Booking_Report!AC:AC, MATCH(TRUE, ISNUMBER(FIND(SUBSTITUTE(C434," ",""), Load_Booking_Report!AL:AL)), 0)), "Not Found")</f>
        <v/>
      </c>
      <c r="R434" s="21">
        <f t="array" ref="R434">IFERROR(INDEX(Load_Booking_Report!C:C, MATCH(TRUE, ISNUMBER(FIND(SUBSTITUTE(C434," ",""), Load_Booking_Report!AL:AL)), 0)), "Not Found")</f>
        <v/>
      </c>
      <c r="S434" s="21">
        <f t="array" ref="S434">IFERROR(INDEX(Load_Booking_Report!AG:AG, MATCH(TRUE, ISNUMBER(FIND(SUBSTITUTE(C434," ",""), Load_Booking_Report!AL:AL)), 0)), "Not Found")</f>
        <v/>
      </c>
      <c r="T434" s="21">
        <f>G434</f>
        <v/>
      </c>
      <c r="U434" s="33">
        <f t="array" ref="U434">IFERROR(
   IF(
      INDEX(Load_Booking_Report!AM:AM,
             MATCH(TRUE,
                     ISNUMBER(FIND(SUBSTITUTE(C434," ",""),
                                    Load_Booking_Report!AL:AL)),
                     0)
      )=0,
      "",
      INDEX(Load_Booking_Report!AM:AM,
             MATCH(TRUE,
                     ISNUMBER(FIND(SUBSTITUTE(C434," ",""),
                                    Load_Booking_Report!AL:AL)),
                     0)
      )
   ),
   ""
)</f>
        <v/>
      </c>
      <c r="V434" s="21">
        <f t="array" ref="V434">IFERROR(
   IF(
      INDEX(Load_Booking_Report!AR:AR,
             MATCH(TRUE,
                     ISNUMBER(FIND(SUBSTITUTE(C434," ",""),
                                    Load_Booking_Report!AL:AL)),
                     0)
      )=0,
      "",
      INDEX(Load_Booking_Report!AR:AR,
             MATCH(TRUE,
                     ISNUMBER(FIND(SUBSTITUTE(C434," ",""),
                                    Load_Booking_Report!AL:AL)),
                     0)
      )
   ),
   ""
)</f>
        <v/>
      </c>
      <c r="W434" s="21">
        <f t="array" ref="W434">IFERROR(INDEX(Load_Booking_Report!F:F, MATCH(TRUE, ISNUMBER(FIND(SUBSTITUTE(C434," ",""), Load_Booking_Report!AL:AL)), 0)), "Not Found")</f>
        <v/>
      </c>
      <c r="X434" s="21">
        <f t="array" ref="X434">IFERROR(INDEX(Load_Booking_Report!N:N, MATCH(TRUE, ISNUMBER(FIND(SUBSTITUTE(C434," ",""), Load_Booking_Report!AL:AL)), 0)), "Not Found")</f>
        <v/>
      </c>
      <c r="Y434" s="21">
        <f t="array" ref="Y434">IFERROR(INDEX(Load_Booking_Report!V:V, MATCH(TRUE, ISNUMBER(FIND(SUBSTITUTE(C434," ",""), Load_Booking_Report!AL:AL)), 0)), "Not Found")</f>
        <v/>
      </c>
      <c r="Z434" s="41">
        <f t="array" ref="Z434">IFERROR(INDEX(Load_Booking_Report!BC:BC, MATCH(TRUE, ISNUMBER(FIND(SUBSTITUTE(C434," ",""), Load_Booking_Report!AL:AL)), 0)), "Not Found")</f>
        <v/>
      </c>
    </row>
    <row r="435">
      <c r="A435" t="n">
        <v>10</v>
      </c>
      <c r="B435" t="n">
        <v>100184</v>
      </c>
      <c r="C435" t="inlineStr">
        <is>
          <t>ANON0000000</t>
        </is>
      </c>
      <c r="D435" t="n">
        <v>40</v>
      </c>
      <c r="E435" t="inlineStr">
        <is>
          <t>USNFK</t>
        </is>
      </c>
      <c r="F435" t="inlineStr">
        <is>
          <t>RULED</t>
        </is>
      </c>
      <c r="G435" t="n">
        <v>32400</v>
      </c>
      <c r="H435" t="inlineStr">
        <is>
          <t>ART</t>
        </is>
      </c>
      <c r="I435" t="inlineStr">
        <is>
          <t>45R1</t>
        </is>
      </c>
      <c r="K435" t="inlineStr">
        <is>
          <t>-18.0:CEL</t>
        </is>
      </c>
      <c r="L435" t="inlineStr">
        <is>
          <t>9'6</t>
        </is>
      </c>
      <c r="M435" t="inlineStr">
        <is>
          <t>Full</t>
        </is>
      </c>
      <c r="N435" t="inlineStr">
        <is>
          <t>RULED</t>
        </is>
      </c>
      <c r="P435" s="21">
        <f>C435</f>
        <v/>
      </c>
      <c r="Q435" s="21">
        <f t="array" ref="Q435">IFERROR(INDEX(Load_Booking_Report!AC:AC, MATCH(TRUE, ISNUMBER(FIND(SUBSTITUTE(C435," ",""), Load_Booking_Report!AL:AL)), 0)), "Not Found")</f>
        <v/>
      </c>
      <c r="R435" s="21">
        <f t="array" ref="R435">IFERROR(INDEX(Load_Booking_Report!C:C, MATCH(TRUE, ISNUMBER(FIND(SUBSTITUTE(C435," ",""), Load_Booking_Report!AL:AL)), 0)), "Not Found")</f>
        <v/>
      </c>
      <c r="S435" s="21">
        <f t="array" ref="S435">IFERROR(INDEX(Load_Booking_Report!AG:AG, MATCH(TRUE, ISNUMBER(FIND(SUBSTITUTE(C435," ",""), Load_Booking_Report!AL:AL)), 0)), "Not Found")</f>
        <v/>
      </c>
      <c r="T435" s="21">
        <f>G435</f>
        <v/>
      </c>
      <c r="U435" s="33">
        <f t="array" ref="U435">IFERROR(
   IF(
      INDEX(Load_Booking_Report!AM:AM,
             MATCH(TRUE,
                     ISNUMBER(FIND(SUBSTITUTE(C435," ",""),
                                    Load_Booking_Report!AL:AL)),
                     0)
      )=0,
      "",
      INDEX(Load_Booking_Report!AM:AM,
             MATCH(TRUE,
                     ISNUMBER(FIND(SUBSTITUTE(C435," ",""),
                                    Load_Booking_Report!AL:AL)),
                     0)
      )
   ),
   ""
)</f>
        <v/>
      </c>
      <c r="V435" s="21">
        <f t="array" ref="V435">IFERROR(
   IF(
      INDEX(Load_Booking_Report!AR:AR,
             MATCH(TRUE,
                     ISNUMBER(FIND(SUBSTITUTE(C435," ",""),
                                    Load_Booking_Report!AL:AL)),
                     0)
      )=0,
      "",
      INDEX(Load_Booking_Report!AR:AR,
             MATCH(TRUE,
                     ISNUMBER(FIND(SUBSTITUTE(C435," ",""),
                                    Load_Booking_Report!AL:AL)),
                     0)
      )
   ),
   ""
)</f>
        <v/>
      </c>
      <c r="W435" s="21">
        <f t="array" ref="W435">IFERROR(INDEX(Load_Booking_Report!F:F, MATCH(TRUE, ISNUMBER(FIND(SUBSTITUTE(C435," ",""), Load_Booking_Report!AL:AL)), 0)), "Not Found")</f>
        <v/>
      </c>
      <c r="X435" s="21">
        <f t="array" ref="X435">IFERROR(INDEX(Load_Booking_Report!N:N, MATCH(TRUE, ISNUMBER(FIND(SUBSTITUTE(C435," ",""), Load_Booking_Report!AL:AL)), 0)), "Not Found")</f>
        <v/>
      </c>
      <c r="Y435" s="21">
        <f t="array" ref="Y435">IFERROR(INDEX(Load_Booking_Report!V:V, MATCH(TRUE, ISNUMBER(FIND(SUBSTITUTE(C435," ",""), Load_Booking_Report!AL:AL)), 0)), "Not Found")</f>
        <v/>
      </c>
      <c r="Z435" s="41">
        <f t="array" ref="Z435">IFERROR(INDEX(Load_Booking_Report!BC:BC, MATCH(TRUE, ISNUMBER(FIND(SUBSTITUTE(C435," ",""), Load_Booking_Report!AL:AL)), 0)), "Not Found")</f>
        <v/>
      </c>
    </row>
    <row r="436">
      <c r="A436" t="n">
        <v>10</v>
      </c>
      <c r="B436" t="n">
        <v>100884</v>
      </c>
      <c r="C436" t="inlineStr">
        <is>
          <t>ANON0000000</t>
        </is>
      </c>
      <c r="D436" t="n">
        <v>40</v>
      </c>
      <c r="E436" t="inlineStr">
        <is>
          <t>USNFK</t>
        </is>
      </c>
      <c r="F436" t="inlineStr">
        <is>
          <t>RULED</t>
        </is>
      </c>
      <c r="G436" t="n">
        <v>32800</v>
      </c>
      <c r="H436" t="inlineStr">
        <is>
          <t>ART</t>
        </is>
      </c>
      <c r="I436" t="inlineStr">
        <is>
          <t>45R1</t>
        </is>
      </c>
      <c r="K436" t="inlineStr">
        <is>
          <t>-18.0:CEL</t>
        </is>
      </c>
      <c r="L436" t="inlineStr">
        <is>
          <t>9'6</t>
        </is>
      </c>
      <c r="M436" t="inlineStr">
        <is>
          <t>Full</t>
        </is>
      </c>
      <c r="N436" t="inlineStr">
        <is>
          <t>RULED</t>
        </is>
      </c>
      <c r="P436" s="21">
        <f>C436</f>
        <v/>
      </c>
      <c r="Q436" s="21">
        <f t="array" ref="Q436">IFERROR(INDEX(Load_Booking_Report!AC:AC, MATCH(TRUE, ISNUMBER(FIND(SUBSTITUTE(C436," ",""), Load_Booking_Report!AL:AL)), 0)), "Not Found")</f>
        <v/>
      </c>
      <c r="R436" s="21">
        <f t="array" ref="R436">IFERROR(INDEX(Load_Booking_Report!C:C, MATCH(TRUE, ISNUMBER(FIND(SUBSTITUTE(C436," ",""), Load_Booking_Report!AL:AL)), 0)), "Not Found")</f>
        <v/>
      </c>
      <c r="S436" s="21">
        <f t="array" ref="S436">IFERROR(INDEX(Load_Booking_Report!AG:AG, MATCH(TRUE, ISNUMBER(FIND(SUBSTITUTE(C436," ",""), Load_Booking_Report!AL:AL)), 0)), "Not Found")</f>
        <v/>
      </c>
      <c r="T436" s="21">
        <f>G436</f>
        <v/>
      </c>
      <c r="U436" s="33">
        <f t="array" ref="U436">IFERROR(
   IF(
      INDEX(Load_Booking_Report!AM:AM,
             MATCH(TRUE,
                     ISNUMBER(FIND(SUBSTITUTE(C436," ",""),
                                    Load_Booking_Report!AL:AL)),
                     0)
      )=0,
      "",
      INDEX(Load_Booking_Report!AM:AM,
             MATCH(TRUE,
                     ISNUMBER(FIND(SUBSTITUTE(C436," ",""),
                                    Load_Booking_Report!AL:AL)),
                     0)
      )
   ),
   ""
)</f>
        <v/>
      </c>
      <c r="V436" s="21">
        <f t="array" ref="V436">IFERROR(
   IF(
      INDEX(Load_Booking_Report!AR:AR,
             MATCH(TRUE,
                     ISNUMBER(FIND(SUBSTITUTE(C436," ",""),
                                    Load_Booking_Report!AL:AL)),
                     0)
      )=0,
      "",
      INDEX(Load_Booking_Report!AR:AR,
             MATCH(TRUE,
                     ISNUMBER(FIND(SUBSTITUTE(C436," ",""),
                                    Load_Booking_Report!AL:AL)),
                     0)
      )
   ),
   ""
)</f>
        <v/>
      </c>
      <c r="W436" s="21">
        <f t="array" ref="W436">IFERROR(INDEX(Load_Booking_Report!F:F, MATCH(TRUE, ISNUMBER(FIND(SUBSTITUTE(C436," ",""), Load_Booking_Report!AL:AL)), 0)), "Not Found")</f>
        <v/>
      </c>
      <c r="X436" s="21">
        <f t="array" ref="X436">IFERROR(INDEX(Load_Booking_Report!N:N, MATCH(TRUE, ISNUMBER(FIND(SUBSTITUTE(C436," ",""), Load_Booking_Report!AL:AL)), 0)), "Not Found")</f>
        <v/>
      </c>
      <c r="Y436" s="21">
        <f t="array" ref="Y436">IFERROR(INDEX(Load_Booking_Report!V:V, MATCH(TRUE, ISNUMBER(FIND(SUBSTITUTE(C436," ",""), Load_Booking_Report!AL:AL)), 0)), "Not Found")</f>
        <v/>
      </c>
      <c r="Z436" s="41">
        <f t="array" ref="Z436">IFERROR(INDEX(Load_Booking_Report!BC:BC, MATCH(TRUE, ISNUMBER(FIND(SUBSTITUTE(C436," ",""), Load_Booking_Report!AL:AL)), 0)), "Not Found")</f>
        <v/>
      </c>
    </row>
    <row r="437">
      <c r="A437" t="n">
        <v>10</v>
      </c>
      <c r="B437" t="n">
        <v>100684</v>
      </c>
      <c r="C437" t="inlineStr">
        <is>
          <t>ANON0000000</t>
        </is>
      </c>
      <c r="D437" t="n">
        <v>40</v>
      </c>
      <c r="E437" t="inlineStr">
        <is>
          <t>USNFK</t>
        </is>
      </c>
      <c r="F437" t="inlineStr">
        <is>
          <t>RULED</t>
        </is>
      </c>
      <c r="G437" t="n">
        <v>32720</v>
      </c>
      <c r="H437" t="inlineStr">
        <is>
          <t>ART</t>
        </is>
      </c>
      <c r="I437" t="inlineStr">
        <is>
          <t>45R1</t>
        </is>
      </c>
      <c r="K437" t="inlineStr">
        <is>
          <t>-18.0:CEL</t>
        </is>
      </c>
      <c r="L437" t="inlineStr">
        <is>
          <t>9'6</t>
        </is>
      </c>
      <c r="M437" t="inlineStr">
        <is>
          <t>Full</t>
        </is>
      </c>
      <c r="N437" t="inlineStr">
        <is>
          <t>RULED</t>
        </is>
      </c>
      <c r="P437" s="21">
        <f>C437</f>
        <v/>
      </c>
      <c r="Q437" s="21">
        <f t="array" ref="Q437">IFERROR(INDEX(Load_Booking_Report!AC:AC, MATCH(TRUE, ISNUMBER(FIND(SUBSTITUTE(C437," ",""), Load_Booking_Report!AL:AL)), 0)), "Not Found")</f>
        <v/>
      </c>
      <c r="R437" s="21">
        <f t="array" ref="R437">IFERROR(INDEX(Load_Booking_Report!C:C, MATCH(TRUE, ISNUMBER(FIND(SUBSTITUTE(C437," ",""), Load_Booking_Report!AL:AL)), 0)), "Not Found")</f>
        <v/>
      </c>
      <c r="S437" s="21">
        <f t="array" ref="S437">IFERROR(INDEX(Load_Booking_Report!AG:AG, MATCH(TRUE, ISNUMBER(FIND(SUBSTITUTE(C437," ",""), Load_Booking_Report!AL:AL)), 0)), "Not Found")</f>
        <v/>
      </c>
      <c r="T437" s="21">
        <f>G437</f>
        <v/>
      </c>
      <c r="U437" s="33">
        <f t="array" ref="U437">IFERROR(
   IF(
      INDEX(Load_Booking_Report!AM:AM,
             MATCH(TRUE,
                     ISNUMBER(FIND(SUBSTITUTE(C437," ",""),
                                    Load_Booking_Report!AL:AL)),
                     0)
      )=0,
      "",
      INDEX(Load_Booking_Report!AM:AM,
             MATCH(TRUE,
                     ISNUMBER(FIND(SUBSTITUTE(C437," ",""),
                                    Load_Booking_Report!AL:AL)),
                     0)
      )
   ),
   ""
)</f>
        <v/>
      </c>
      <c r="V437" s="21">
        <f t="array" ref="V437">IFERROR(
   IF(
      INDEX(Load_Booking_Report!AR:AR,
             MATCH(TRUE,
                     ISNUMBER(FIND(SUBSTITUTE(C437," ",""),
                                    Load_Booking_Report!AL:AL)),
                     0)
      )=0,
      "",
      INDEX(Load_Booking_Report!AR:AR,
             MATCH(TRUE,
                     ISNUMBER(FIND(SUBSTITUTE(C437," ",""),
                                    Load_Booking_Report!AL:AL)),
                     0)
      )
   ),
   ""
)</f>
        <v/>
      </c>
      <c r="W437" s="21">
        <f t="array" ref="W437">IFERROR(INDEX(Load_Booking_Report!F:F, MATCH(TRUE, ISNUMBER(FIND(SUBSTITUTE(C437," ",""), Load_Booking_Report!AL:AL)), 0)), "Not Found")</f>
        <v/>
      </c>
      <c r="X437" s="21">
        <f t="array" ref="X437">IFERROR(INDEX(Load_Booking_Report!N:N, MATCH(TRUE, ISNUMBER(FIND(SUBSTITUTE(C437," ",""), Load_Booking_Report!AL:AL)), 0)), "Not Found")</f>
        <v/>
      </c>
      <c r="Y437" s="21">
        <f t="array" ref="Y437">IFERROR(INDEX(Load_Booking_Report!V:V, MATCH(TRUE, ISNUMBER(FIND(SUBSTITUTE(C437," ",""), Load_Booking_Report!AL:AL)), 0)), "Not Found")</f>
        <v/>
      </c>
      <c r="Z437" s="41">
        <f t="array" ref="Z437">IFERROR(INDEX(Load_Booking_Report!BC:BC, MATCH(TRUE, ISNUMBER(FIND(SUBSTITUTE(C437," ",""), Load_Booking_Report!AL:AL)), 0)), "Not Found")</f>
        <v/>
      </c>
    </row>
    <row r="438">
      <c r="A438" t="n">
        <v>14</v>
      </c>
      <c r="B438" t="n">
        <v>140982</v>
      </c>
      <c r="C438" t="inlineStr">
        <is>
          <t>ANON0000000</t>
        </is>
      </c>
      <c r="D438" t="n">
        <v>40</v>
      </c>
      <c r="E438" t="inlineStr">
        <is>
          <t>USNFK</t>
        </is>
      </c>
      <c r="F438" t="inlineStr">
        <is>
          <t>RULED</t>
        </is>
      </c>
      <c r="G438" t="n">
        <v>33000</v>
      </c>
      <c r="H438" t="inlineStr">
        <is>
          <t>ART</t>
        </is>
      </c>
      <c r="I438" t="inlineStr">
        <is>
          <t>45R1</t>
        </is>
      </c>
      <c r="K438" t="inlineStr">
        <is>
          <t>-18.0:CEL</t>
        </is>
      </c>
      <c r="L438" t="inlineStr">
        <is>
          <t>9'6</t>
        </is>
      </c>
      <c r="M438" t="inlineStr">
        <is>
          <t>Full</t>
        </is>
      </c>
      <c r="N438" t="inlineStr">
        <is>
          <t>RULED</t>
        </is>
      </c>
      <c r="P438" s="21">
        <f>C438</f>
        <v/>
      </c>
      <c r="Q438" s="21">
        <f t="array" ref="Q438">IFERROR(INDEX(Load_Booking_Report!AC:AC, MATCH(TRUE, ISNUMBER(FIND(SUBSTITUTE(C438," ",""), Load_Booking_Report!AL:AL)), 0)), "Not Found")</f>
        <v/>
      </c>
      <c r="R438" s="21">
        <f t="array" ref="R438">IFERROR(INDEX(Load_Booking_Report!C:C, MATCH(TRUE, ISNUMBER(FIND(SUBSTITUTE(C438," ",""), Load_Booking_Report!AL:AL)), 0)), "Not Found")</f>
        <v/>
      </c>
      <c r="S438" s="21">
        <f t="array" ref="S438">IFERROR(INDEX(Load_Booking_Report!AG:AG, MATCH(TRUE, ISNUMBER(FIND(SUBSTITUTE(C438," ",""), Load_Booking_Report!AL:AL)), 0)), "Not Found")</f>
        <v/>
      </c>
      <c r="T438" s="21">
        <f>G438</f>
        <v/>
      </c>
      <c r="U438" s="33">
        <f t="array" ref="U438">IFERROR(
   IF(
      INDEX(Load_Booking_Report!AM:AM,
             MATCH(TRUE,
                     ISNUMBER(FIND(SUBSTITUTE(C438," ",""),
                                    Load_Booking_Report!AL:AL)),
                     0)
      )=0,
      "",
      INDEX(Load_Booking_Report!AM:AM,
             MATCH(TRUE,
                     ISNUMBER(FIND(SUBSTITUTE(C438," ",""),
                                    Load_Booking_Report!AL:AL)),
                     0)
      )
   ),
   ""
)</f>
        <v/>
      </c>
      <c r="V438" s="21">
        <f t="array" ref="V438">IFERROR(
   IF(
      INDEX(Load_Booking_Report!AR:AR,
             MATCH(TRUE,
                     ISNUMBER(FIND(SUBSTITUTE(C438," ",""),
                                    Load_Booking_Report!AL:AL)),
                     0)
      )=0,
      "",
      INDEX(Load_Booking_Report!AR:AR,
             MATCH(TRUE,
                     ISNUMBER(FIND(SUBSTITUTE(C438," ",""),
                                    Load_Booking_Report!AL:AL)),
                     0)
      )
   ),
   ""
)</f>
        <v/>
      </c>
      <c r="W438" s="21">
        <f t="array" ref="W438">IFERROR(INDEX(Load_Booking_Report!F:F, MATCH(TRUE, ISNUMBER(FIND(SUBSTITUTE(C438," ",""), Load_Booking_Report!AL:AL)), 0)), "Not Found")</f>
        <v/>
      </c>
      <c r="X438" s="21">
        <f t="array" ref="X438">IFERROR(INDEX(Load_Booking_Report!N:N, MATCH(TRUE, ISNUMBER(FIND(SUBSTITUTE(C438," ",""), Load_Booking_Report!AL:AL)), 0)), "Not Found")</f>
        <v/>
      </c>
      <c r="Y438" s="21">
        <f t="array" ref="Y438">IFERROR(INDEX(Load_Booking_Report!V:V, MATCH(TRUE, ISNUMBER(FIND(SUBSTITUTE(C438," ",""), Load_Booking_Report!AL:AL)), 0)), "Not Found")</f>
        <v/>
      </c>
      <c r="Z438" s="41">
        <f t="array" ref="Z438">IFERROR(INDEX(Load_Booking_Report!BC:BC, MATCH(TRUE, ISNUMBER(FIND(SUBSTITUTE(C438," ",""), Load_Booking_Report!AL:AL)), 0)), "Not Found")</f>
        <v/>
      </c>
    </row>
    <row r="439">
      <c r="A439" t="n">
        <v>10</v>
      </c>
      <c r="B439" t="n">
        <v>100484</v>
      </c>
      <c r="C439" t="inlineStr">
        <is>
          <t>ANON0000000</t>
        </is>
      </c>
      <c r="D439" t="n">
        <v>40</v>
      </c>
      <c r="E439" t="inlineStr">
        <is>
          <t>USNFK</t>
        </is>
      </c>
      <c r="F439" t="inlineStr">
        <is>
          <t>RULED</t>
        </is>
      </c>
      <c r="G439" t="n">
        <v>32720</v>
      </c>
      <c r="H439" t="inlineStr">
        <is>
          <t>ART</t>
        </is>
      </c>
      <c r="I439" t="inlineStr">
        <is>
          <t>45R1</t>
        </is>
      </c>
      <c r="K439" t="inlineStr">
        <is>
          <t>-18.0:CEL</t>
        </is>
      </c>
      <c r="L439" t="inlineStr">
        <is>
          <t>9'6</t>
        </is>
      </c>
      <c r="M439" t="inlineStr">
        <is>
          <t>Full</t>
        </is>
      </c>
      <c r="N439" t="inlineStr">
        <is>
          <t>RULED</t>
        </is>
      </c>
      <c r="P439" s="21">
        <f>C439</f>
        <v/>
      </c>
      <c r="Q439" s="21">
        <f t="array" ref="Q439">IFERROR(INDEX(Load_Booking_Report!AC:AC, MATCH(TRUE, ISNUMBER(FIND(SUBSTITUTE(C439," ",""), Load_Booking_Report!AL:AL)), 0)), "Not Found")</f>
        <v/>
      </c>
      <c r="R439" s="21">
        <f t="array" ref="R439">IFERROR(INDEX(Load_Booking_Report!C:C, MATCH(TRUE, ISNUMBER(FIND(SUBSTITUTE(C439," ",""), Load_Booking_Report!AL:AL)), 0)), "Not Found")</f>
        <v/>
      </c>
      <c r="S439" s="21">
        <f t="array" ref="S439">IFERROR(INDEX(Load_Booking_Report!AG:AG, MATCH(TRUE, ISNUMBER(FIND(SUBSTITUTE(C439," ",""), Load_Booking_Report!AL:AL)), 0)), "Not Found")</f>
        <v/>
      </c>
      <c r="T439" s="21">
        <f>G439</f>
        <v/>
      </c>
      <c r="U439" s="33">
        <f t="array" ref="U439">IFERROR(
   IF(
      INDEX(Load_Booking_Report!AM:AM,
             MATCH(TRUE,
                     ISNUMBER(FIND(SUBSTITUTE(C439," ",""),
                                    Load_Booking_Report!AL:AL)),
                     0)
      )=0,
      "",
      INDEX(Load_Booking_Report!AM:AM,
             MATCH(TRUE,
                     ISNUMBER(FIND(SUBSTITUTE(C439," ",""),
                                    Load_Booking_Report!AL:AL)),
                     0)
      )
   ),
   ""
)</f>
        <v/>
      </c>
      <c r="V439" s="21">
        <f t="array" ref="V439">IFERROR(
   IF(
      INDEX(Load_Booking_Report!AR:AR,
             MATCH(TRUE,
                     ISNUMBER(FIND(SUBSTITUTE(C439," ",""),
                                    Load_Booking_Report!AL:AL)),
                     0)
      )=0,
      "",
      INDEX(Load_Booking_Report!AR:AR,
             MATCH(TRUE,
                     ISNUMBER(FIND(SUBSTITUTE(C439," ",""),
                                    Load_Booking_Report!AL:AL)),
                     0)
      )
   ),
   ""
)</f>
        <v/>
      </c>
      <c r="W439" s="21">
        <f t="array" ref="W439">IFERROR(INDEX(Load_Booking_Report!F:F, MATCH(TRUE, ISNUMBER(FIND(SUBSTITUTE(C439," ",""), Load_Booking_Report!AL:AL)), 0)), "Not Found")</f>
        <v/>
      </c>
      <c r="X439" s="21">
        <f t="array" ref="X439">IFERROR(INDEX(Load_Booking_Report!N:N, MATCH(TRUE, ISNUMBER(FIND(SUBSTITUTE(C439," ",""), Load_Booking_Report!AL:AL)), 0)), "Not Found")</f>
        <v/>
      </c>
      <c r="Y439" s="21">
        <f t="array" ref="Y439">IFERROR(INDEX(Load_Booking_Report!V:V, MATCH(TRUE, ISNUMBER(FIND(SUBSTITUTE(C439," ",""), Load_Booking_Report!AL:AL)), 0)), "Not Found")</f>
        <v/>
      </c>
      <c r="Z439" s="41">
        <f t="array" ref="Z439">IFERROR(INDEX(Load_Booking_Report!BC:BC, MATCH(TRUE, ISNUMBER(FIND(SUBSTITUTE(C439," ",""), Load_Booking_Report!AL:AL)), 0)), "Not Found")</f>
        <v/>
      </c>
    </row>
    <row r="440">
      <c r="A440" t="n">
        <v>10</v>
      </c>
      <c r="B440" t="n">
        <v>101082</v>
      </c>
      <c r="C440" t="inlineStr">
        <is>
          <t>ANON0000000</t>
        </is>
      </c>
      <c r="D440" t="n">
        <v>40</v>
      </c>
      <c r="E440" t="inlineStr">
        <is>
          <t>USNFK</t>
        </is>
      </c>
      <c r="F440" t="inlineStr">
        <is>
          <t>RULED</t>
        </is>
      </c>
      <c r="G440" t="n">
        <v>32760</v>
      </c>
      <c r="H440" t="inlineStr">
        <is>
          <t>ART</t>
        </is>
      </c>
      <c r="I440" t="inlineStr">
        <is>
          <t>45R1</t>
        </is>
      </c>
      <c r="K440" t="inlineStr">
        <is>
          <t>-18.0:CEL</t>
        </is>
      </c>
      <c r="L440" t="inlineStr">
        <is>
          <t>9'6</t>
        </is>
      </c>
      <c r="M440" t="inlineStr">
        <is>
          <t>Full</t>
        </is>
      </c>
      <c r="N440" t="inlineStr">
        <is>
          <t>RULED</t>
        </is>
      </c>
      <c r="P440" s="21">
        <f>C440</f>
        <v/>
      </c>
      <c r="Q440" s="21">
        <f t="array" ref="Q440">IFERROR(INDEX(Load_Booking_Report!AC:AC, MATCH(TRUE, ISNUMBER(FIND(SUBSTITUTE(C440," ",""), Load_Booking_Report!AL:AL)), 0)), "Not Found")</f>
        <v/>
      </c>
      <c r="R440" s="21">
        <f t="array" ref="R440">IFERROR(INDEX(Load_Booking_Report!C:C, MATCH(TRUE, ISNUMBER(FIND(SUBSTITUTE(C440," ",""), Load_Booking_Report!AL:AL)), 0)), "Not Found")</f>
        <v/>
      </c>
      <c r="S440" s="21">
        <f t="array" ref="S440">IFERROR(INDEX(Load_Booking_Report!AG:AG, MATCH(TRUE, ISNUMBER(FIND(SUBSTITUTE(C440," ",""), Load_Booking_Report!AL:AL)), 0)), "Not Found")</f>
        <v/>
      </c>
      <c r="T440" s="21">
        <f>G440</f>
        <v/>
      </c>
      <c r="U440" s="33">
        <f t="array" ref="U440">IFERROR(
   IF(
      INDEX(Load_Booking_Report!AM:AM,
             MATCH(TRUE,
                     ISNUMBER(FIND(SUBSTITUTE(C440," ",""),
                                    Load_Booking_Report!AL:AL)),
                     0)
      )=0,
      "",
      INDEX(Load_Booking_Report!AM:AM,
             MATCH(TRUE,
                     ISNUMBER(FIND(SUBSTITUTE(C440," ",""),
                                    Load_Booking_Report!AL:AL)),
                     0)
      )
   ),
   ""
)</f>
        <v/>
      </c>
      <c r="V440" s="21">
        <f t="array" ref="V440">IFERROR(
   IF(
      INDEX(Load_Booking_Report!AR:AR,
             MATCH(TRUE,
                     ISNUMBER(FIND(SUBSTITUTE(C440," ",""),
                                    Load_Booking_Report!AL:AL)),
                     0)
      )=0,
      "",
      INDEX(Load_Booking_Report!AR:AR,
             MATCH(TRUE,
                     ISNUMBER(FIND(SUBSTITUTE(C440," ",""),
                                    Load_Booking_Report!AL:AL)),
                     0)
      )
   ),
   ""
)</f>
        <v/>
      </c>
      <c r="W440" s="21">
        <f t="array" ref="W440">IFERROR(INDEX(Load_Booking_Report!F:F, MATCH(TRUE, ISNUMBER(FIND(SUBSTITUTE(C440," ",""), Load_Booking_Report!AL:AL)), 0)), "Not Found")</f>
        <v/>
      </c>
      <c r="X440" s="21">
        <f t="array" ref="X440">IFERROR(INDEX(Load_Booking_Report!N:N, MATCH(TRUE, ISNUMBER(FIND(SUBSTITUTE(C440," ",""), Load_Booking_Report!AL:AL)), 0)), "Not Found")</f>
        <v/>
      </c>
      <c r="Y440" s="21">
        <f t="array" ref="Y440">IFERROR(INDEX(Load_Booking_Report!V:V, MATCH(TRUE, ISNUMBER(FIND(SUBSTITUTE(C440," ",""), Load_Booking_Report!AL:AL)), 0)), "Not Found")</f>
        <v/>
      </c>
      <c r="Z440" s="41">
        <f t="array" ref="Z440">IFERROR(INDEX(Load_Booking_Report!BC:BC, MATCH(TRUE, ISNUMBER(FIND(SUBSTITUTE(C440," ",""), Load_Booking_Report!AL:AL)), 0)), "Not Found")</f>
        <v/>
      </c>
    </row>
    <row r="441">
      <c r="A441" t="n">
        <v>10</v>
      </c>
      <c r="B441" t="n">
        <v>100382</v>
      </c>
      <c r="C441" t="inlineStr">
        <is>
          <t>ANON0000000</t>
        </is>
      </c>
      <c r="D441" t="n">
        <v>40</v>
      </c>
      <c r="E441" t="inlineStr">
        <is>
          <t>USNFK</t>
        </is>
      </c>
      <c r="F441" t="inlineStr">
        <is>
          <t>RULED</t>
        </is>
      </c>
      <c r="G441" t="n">
        <v>32760</v>
      </c>
      <c r="H441" t="inlineStr">
        <is>
          <t>ART</t>
        </is>
      </c>
      <c r="I441" t="inlineStr">
        <is>
          <t>45R1</t>
        </is>
      </c>
      <c r="K441" t="inlineStr">
        <is>
          <t>-18.0:CEL</t>
        </is>
      </c>
      <c r="L441" t="inlineStr">
        <is>
          <t>9'6</t>
        </is>
      </c>
      <c r="M441" t="inlineStr">
        <is>
          <t>Full</t>
        </is>
      </c>
      <c r="N441" t="inlineStr">
        <is>
          <t>RULED</t>
        </is>
      </c>
      <c r="P441" s="21">
        <f>C441</f>
        <v/>
      </c>
      <c r="Q441" s="21">
        <f t="array" ref="Q441">IFERROR(INDEX(Load_Booking_Report!AC:AC, MATCH(TRUE, ISNUMBER(FIND(SUBSTITUTE(C441," ",""), Load_Booking_Report!AL:AL)), 0)), "Not Found")</f>
        <v/>
      </c>
      <c r="R441" s="21">
        <f t="array" ref="R441">IFERROR(INDEX(Load_Booking_Report!C:C, MATCH(TRUE, ISNUMBER(FIND(SUBSTITUTE(C441," ",""), Load_Booking_Report!AL:AL)), 0)), "Not Found")</f>
        <v/>
      </c>
      <c r="S441" s="21">
        <f t="array" ref="S441">IFERROR(INDEX(Load_Booking_Report!AG:AG, MATCH(TRUE, ISNUMBER(FIND(SUBSTITUTE(C441," ",""), Load_Booking_Report!AL:AL)), 0)), "Not Found")</f>
        <v/>
      </c>
      <c r="T441" s="21">
        <f>G441</f>
        <v/>
      </c>
      <c r="U441" s="33">
        <f t="array" ref="U441">IFERROR(
   IF(
      INDEX(Load_Booking_Report!AM:AM,
             MATCH(TRUE,
                     ISNUMBER(FIND(SUBSTITUTE(C441," ",""),
                                    Load_Booking_Report!AL:AL)),
                     0)
      )=0,
      "",
      INDEX(Load_Booking_Report!AM:AM,
             MATCH(TRUE,
                     ISNUMBER(FIND(SUBSTITUTE(C441," ",""),
                                    Load_Booking_Report!AL:AL)),
                     0)
      )
   ),
   ""
)</f>
        <v/>
      </c>
      <c r="V441" s="21">
        <f t="array" ref="V441">IFERROR(
   IF(
      INDEX(Load_Booking_Report!AR:AR,
             MATCH(TRUE,
                     ISNUMBER(FIND(SUBSTITUTE(C441," ",""),
                                    Load_Booking_Report!AL:AL)),
                     0)
      )=0,
      "",
      INDEX(Load_Booking_Report!AR:AR,
             MATCH(TRUE,
                     ISNUMBER(FIND(SUBSTITUTE(C441," ",""),
                                    Load_Booking_Report!AL:AL)),
                     0)
      )
   ),
   ""
)</f>
        <v/>
      </c>
      <c r="W441" s="21">
        <f t="array" ref="W441">IFERROR(INDEX(Load_Booking_Report!F:F, MATCH(TRUE, ISNUMBER(FIND(SUBSTITUTE(C441," ",""), Load_Booking_Report!AL:AL)), 0)), "Not Found")</f>
        <v/>
      </c>
      <c r="X441" s="21">
        <f t="array" ref="X441">IFERROR(INDEX(Load_Booking_Report!N:N, MATCH(TRUE, ISNUMBER(FIND(SUBSTITUTE(C441," ",""), Load_Booking_Report!AL:AL)), 0)), "Not Found")</f>
        <v/>
      </c>
      <c r="Y441" s="21">
        <f t="array" ref="Y441">IFERROR(INDEX(Load_Booking_Report!V:V, MATCH(TRUE, ISNUMBER(FIND(SUBSTITUTE(C441," ",""), Load_Booking_Report!AL:AL)), 0)), "Not Found")</f>
        <v/>
      </c>
      <c r="Z441" s="41">
        <f t="array" ref="Z441">IFERROR(INDEX(Load_Booking_Report!BC:BC, MATCH(TRUE, ISNUMBER(FIND(SUBSTITUTE(C441," ",""), Load_Booking_Report!AL:AL)), 0)), "Not Found")</f>
        <v/>
      </c>
    </row>
    <row r="442">
      <c r="A442" t="n">
        <v>18</v>
      </c>
      <c r="B442" t="n">
        <v>180282</v>
      </c>
      <c r="C442" t="inlineStr">
        <is>
          <t>ANON0000000</t>
        </is>
      </c>
      <c r="D442" t="n">
        <v>40</v>
      </c>
      <c r="E442" t="inlineStr">
        <is>
          <t>USNFK</t>
        </is>
      </c>
      <c r="F442" t="inlineStr">
        <is>
          <t>RULED</t>
        </is>
      </c>
      <c r="G442" t="n">
        <v>32860</v>
      </c>
      <c r="H442" t="inlineStr">
        <is>
          <t>ART</t>
        </is>
      </c>
      <c r="I442" t="inlineStr">
        <is>
          <t>45R1</t>
        </is>
      </c>
      <c r="K442" t="inlineStr">
        <is>
          <t>-18.0:CEL</t>
        </is>
      </c>
      <c r="L442" t="inlineStr">
        <is>
          <t>9'6</t>
        </is>
      </c>
      <c r="M442" t="inlineStr">
        <is>
          <t>Full</t>
        </is>
      </c>
      <c r="N442" t="inlineStr">
        <is>
          <t>RULED</t>
        </is>
      </c>
      <c r="P442" s="21">
        <f>C442</f>
        <v/>
      </c>
      <c r="Q442" s="21">
        <f t="array" ref="Q442">IFERROR(INDEX(Load_Booking_Report!AC:AC, MATCH(TRUE, ISNUMBER(FIND(SUBSTITUTE(C442," ",""), Load_Booking_Report!AL:AL)), 0)), "Not Found")</f>
        <v/>
      </c>
      <c r="R442" s="21">
        <f t="array" ref="R442">IFERROR(INDEX(Load_Booking_Report!C:C, MATCH(TRUE, ISNUMBER(FIND(SUBSTITUTE(C442," ",""), Load_Booking_Report!AL:AL)), 0)), "Not Found")</f>
        <v/>
      </c>
      <c r="S442" s="21">
        <f t="array" ref="S442">IFERROR(INDEX(Load_Booking_Report!AG:AG, MATCH(TRUE, ISNUMBER(FIND(SUBSTITUTE(C442," ",""), Load_Booking_Report!AL:AL)), 0)), "Not Found")</f>
        <v/>
      </c>
      <c r="T442" s="21">
        <f>G442</f>
        <v/>
      </c>
      <c r="U442" s="33">
        <f t="array" ref="U442">IFERROR(
   IF(
      INDEX(Load_Booking_Report!AM:AM,
             MATCH(TRUE,
                     ISNUMBER(FIND(SUBSTITUTE(C442," ",""),
                                    Load_Booking_Report!AL:AL)),
                     0)
      )=0,
      "",
      INDEX(Load_Booking_Report!AM:AM,
             MATCH(TRUE,
                     ISNUMBER(FIND(SUBSTITUTE(C442," ",""),
                                    Load_Booking_Report!AL:AL)),
                     0)
      )
   ),
   ""
)</f>
        <v/>
      </c>
      <c r="V442" s="21">
        <f t="array" ref="V442">IFERROR(
   IF(
      INDEX(Load_Booking_Report!AR:AR,
             MATCH(TRUE,
                     ISNUMBER(FIND(SUBSTITUTE(C442," ",""),
                                    Load_Booking_Report!AL:AL)),
                     0)
      )=0,
      "",
      INDEX(Load_Booking_Report!AR:AR,
             MATCH(TRUE,
                     ISNUMBER(FIND(SUBSTITUTE(C442," ",""),
                                    Load_Booking_Report!AL:AL)),
                     0)
      )
   ),
   ""
)</f>
        <v/>
      </c>
      <c r="W442" s="21">
        <f t="array" ref="W442">IFERROR(INDEX(Load_Booking_Report!F:F, MATCH(TRUE, ISNUMBER(FIND(SUBSTITUTE(C442," ",""), Load_Booking_Report!AL:AL)), 0)), "Not Found")</f>
        <v/>
      </c>
      <c r="X442" s="21">
        <f t="array" ref="X442">IFERROR(INDEX(Load_Booking_Report!N:N, MATCH(TRUE, ISNUMBER(FIND(SUBSTITUTE(C442," ",""), Load_Booking_Report!AL:AL)), 0)), "Not Found")</f>
        <v/>
      </c>
      <c r="Y442" s="21">
        <f t="array" ref="Y442">IFERROR(INDEX(Load_Booking_Report!V:V, MATCH(TRUE, ISNUMBER(FIND(SUBSTITUTE(C442," ",""), Load_Booking_Report!AL:AL)), 0)), "Not Found")</f>
        <v/>
      </c>
      <c r="Z442" s="41">
        <f t="array" ref="Z442">IFERROR(INDEX(Load_Booking_Report!BC:BC, MATCH(TRUE, ISNUMBER(FIND(SUBSTITUTE(C442," ",""), Load_Booking_Report!AL:AL)), 0)), "Not Found")</f>
        <v/>
      </c>
    </row>
    <row r="443">
      <c r="A443" t="n">
        <v>40</v>
      </c>
      <c r="B443" t="n">
        <v>400584</v>
      </c>
      <c r="C443" t="inlineStr">
        <is>
          <t>ANON0000000</t>
        </is>
      </c>
      <c r="D443" t="n">
        <v>40</v>
      </c>
      <c r="E443" t="inlineStr">
        <is>
          <t>USNFK</t>
        </is>
      </c>
      <c r="F443" t="inlineStr">
        <is>
          <t>RUBLT</t>
        </is>
      </c>
      <c r="G443" t="n">
        <v>32340</v>
      </c>
      <c r="H443" t="inlineStr">
        <is>
          <t>ART</t>
        </is>
      </c>
      <c r="I443" t="inlineStr">
        <is>
          <t>45R1</t>
        </is>
      </c>
      <c r="K443" t="inlineStr">
        <is>
          <t>-18.0:CEL</t>
        </is>
      </c>
      <c r="L443" t="inlineStr">
        <is>
          <t>9'6</t>
        </is>
      </c>
      <c r="M443" t="inlineStr">
        <is>
          <t>Full</t>
        </is>
      </c>
      <c r="N443" t="inlineStr">
        <is>
          <t>RUBLT</t>
        </is>
      </c>
      <c r="P443" s="21">
        <f>C443</f>
        <v/>
      </c>
      <c r="Q443" s="21">
        <f t="array" ref="Q443">IFERROR(INDEX(Load_Booking_Report!AC:AC, MATCH(TRUE, ISNUMBER(FIND(SUBSTITUTE(C443," ",""), Load_Booking_Report!AL:AL)), 0)), "Not Found")</f>
        <v/>
      </c>
      <c r="R443" s="21">
        <f t="array" ref="R443">IFERROR(INDEX(Load_Booking_Report!C:C, MATCH(TRUE, ISNUMBER(FIND(SUBSTITUTE(C443," ",""), Load_Booking_Report!AL:AL)), 0)), "Not Found")</f>
        <v/>
      </c>
      <c r="S443" s="21">
        <f t="array" ref="S443">IFERROR(INDEX(Load_Booking_Report!AG:AG, MATCH(TRUE, ISNUMBER(FIND(SUBSTITUTE(C443," ",""), Load_Booking_Report!AL:AL)), 0)), "Not Found")</f>
        <v/>
      </c>
      <c r="T443" s="21">
        <f>G443</f>
        <v/>
      </c>
      <c r="U443" s="33">
        <f t="array" ref="U443">IFERROR(
   IF(
      INDEX(Load_Booking_Report!AM:AM,
             MATCH(TRUE,
                     ISNUMBER(FIND(SUBSTITUTE(C443," ",""),
                                    Load_Booking_Report!AL:AL)),
                     0)
      )=0,
      "",
      INDEX(Load_Booking_Report!AM:AM,
             MATCH(TRUE,
                     ISNUMBER(FIND(SUBSTITUTE(C443," ",""),
                                    Load_Booking_Report!AL:AL)),
                     0)
      )
   ),
   ""
)</f>
        <v/>
      </c>
      <c r="V443" s="21">
        <f t="array" ref="V443">IFERROR(
   IF(
      INDEX(Load_Booking_Report!AR:AR,
             MATCH(TRUE,
                     ISNUMBER(FIND(SUBSTITUTE(C443," ",""),
                                    Load_Booking_Report!AL:AL)),
                     0)
      )=0,
      "",
      INDEX(Load_Booking_Report!AR:AR,
             MATCH(TRUE,
                     ISNUMBER(FIND(SUBSTITUTE(C443," ",""),
                                    Load_Booking_Report!AL:AL)),
                     0)
      )
   ),
   ""
)</f>
        <v/>
      </c>
      <c r="W443" s="21">
        <f t="array" ref="W443">IFERROR(INDEX(Load_Booking_Report!F:F, MATCH(TRUE, ISNUMBER(FIND(SUBSTITUTE(C443," ",""), Load_Booking_Report!AL:AL)), 0)), "Not Found")</f>
        <v/>
      </c>
      <c r="X443" s="21">
        <f t="array" ref="X443">IFERROR(INDEX(Load_Booking_Report!N:N, MATCH(TRUE, ISNUMBER(FIND(SUBSTITUTE(C443," ",""), Load_Booking_Report!AL:AL)), 0)), "Not Found")</f>
        <v/>
      </c>
      <c r="Y443" s="21">
        <f t="array" ref="Y443">IFERROR(INDEX(Load_Booking_Report!V:V, MATCH(TRUE, ISNUMBER(FIND(SUBSTITUTE(C443," ",""), Load_Booking_Report!AL:AL)), 0)), "Not Found")</f>
        <v/>
      </c>
      <c r="Z443" s="41">
        <f t="array" ref="Z443">IFERROR(INDEX(Load_Booking_Report!BC:BC, MATCH(TRUE, ISNUMBER(FIND(SUBSTITUTE(C443," ",""), Load_Booking_Report!AL:AL)), 0)), "Not Found")</f>
        <v/>
      </c>
    </row>
    <row r="444">
      <c r="A444" t="n">
        <v>10</v>
      </c>
      <c r="B444" t="n">
        <v>100782</v>
      </c>
      <c r="C444" t="inlineStr">
        <is>
          <t>ANON0000000</t>
        </is>
      </c>
      <c r="D444" t="n">
        <v>40</v>
      </c>
      <c r="E444" t="inlineStr">
        <is>
          <t>USNFK</t>
        </is>
      </c>
      <c r="F444" t="inlineStr">
        <is>
          <t>RULED</t>
        </is>
      </c>
      <c r="G444" t="n">
        <v>32900</v>
      </c>
      <c r="H444" t="inlineStr">
        <is>
          <t>ART</t>
        </is>
      </c>
      <c r="I444" t="inlineStr">
        <is>
          <t>45R1</t>
        </is>
      </c>
      <c r="K444" t="inlineStr">
        <is>
          <t>-18.0:CEL</t>
        </is>
      </c>
      <c r="L444" t="inlineStr">
        <is>
          <t>9'6</t>
        </is>
      </c>
      <c r="M444" t="inlineStr">
        <is>
          <t>Full</t>
        </is>
      </c>
      <c r="N444" t="inlineStr">
        <is>
          <t>RULED</t>
        </is>
      </c>
      <c r="P444" s="21">
        <f>C444</f>
        <v/>
      </c>
      <c r="Q444" s="21">
        <f t="array" ref="Q444">IFERROR(INDEX(Load_Booking_Report!AC:AC, MATCH(TRUE, ISNUMBER(FIND(SUBSTITUTE(C444," ",""), Load_Booking_Report!AL:AL)), 0)), "Not Found")</f>
        <v/>
      </c>
      <c r="R444" s="21">
        <f t="array" ref="R444">IFERROR(INDEX(Load_Booking_Report!C:C, MATCH(TRUE, ISNUMBER(FIND(SUBSTITUTE(C444," ",""), Load_Booking_Report!AL:AL)), 0)), "Not Found")</f>
        <v/>
      </c>
      <c r="S444" s="21">
        <f t="array" ref="S444">IFERROR(INDEX(Load_Booking_Report!AG:AG, MATCH(TRUE, ISNUMBER(FIND(SUBSTITUTE(C444," ",""), Load_Booking_Report!AL:AL)), 0)), "Not Found")</f>
        <v/>
      </c>
      <c r="T444" s="21">
        <f>G444</f>
        <v/>
      </c>
      <c r="U444" s="33">
        <f t="array" ref="U444">IFERROR(
   IF(
      INDEX(Load_Booking_Report!AM:AM,
             MATCH(TRUE,
                     ISNUMBER(FIND(SUBSTITUTE(C444," ",""),
                                    Load_Booking_Report!AL:AL)),
                     0)
      )=0,
      "",
      INDEX(Load_Booking_Report!AM:AM,
             MATCH(TRUE,
                     ISNUMBER(FIND(SUBSTITUTE(C444," ",""),
                                    Load_Booking_Report!AL:AL)),
                     0)
      )
   ),
   ""
)</f>
        <v/>
      </c>
      <c r="V444" s="21">
        <f t="array" ref="V444">IFERROR(
   IF(
      INDEX(Load_Booking_Report!AR:AR,
             MATCH(TRUE,
                     ISNUMBER(FIND(SUBSTITUTE(C444," ",""),
                                    Load_Booking_Report!AL:AL)),
                     0)
      )=0,
      "",
      INDEX(Load_Booking_Report!AR:AR,
             MATCH(TRUE,
                     ISNUMBER(FIND(SUBSTITUTE(C444," ",""),
                                    Load_Booking_Report!AL:AL)),
                     0)
      )
   ),
   ""
)</f>
        <v/>
      </c>
      <c r="W444" s="21">
        <f t="array" ref="W444">IFERROR(INDEX(Load_Booking_Report!F:F, MATCH(TRUE, ISNUMBER(FIND(SUBSTITUTE(C444," ",""), Load_Booking_Report!AL:AL)), 0)), "Not Found")</f>
        <v/>
      </c>
      <c r="X444" s="21">
        <f t="array" ref="X444">IFERROR(INDEX(Load_Booking_Report!N:N, MATCH(TRUE, ISNUMBER(FIND(SUBSTITUTE(C444," ",""), Load_Booking_Report!AL:AL)), 0)), "Not Found")</f>
        <v/>
      </c>
      <c r="Y444" s="21">
        <f t="array" ref="Y444">IFERROR(INDEX(Load_Booking_Report!V:V, MATCH(TRUE, ISNUMBER(FIND(SUBSTITUTE(C444," ",""), Load_Booking_Report!AL:AL)), 0)), "Not Found")</f>
        <v/>
      </c>
      <c r="Z444" s="41">
        <f t="array" ref="Z444">IFERROR(INDEX(Load_Booking_Report!BC:BC, MATCH(TRUE, ISNUMBER(FIND(SUBSTITUTE(C444," ",""), Load_Booking_Report!AL:AL)), 0)), "Not Found")</f>
        <v/>
      </c>
    </row>
    <row r="445">
      <c r="A445" t="n">
        <v>10</v>
      </c>
      <c r="B445" t="n">
        <v>100082</v>
      </c>
      <c r="C445" t="inlineStr">
        <is>
          <t>ANON0000000</t>
        </is>
      </c>
      <c r="D445" t="n">
        <v>40</v>
      </c>
      <c r="E445" t="inlineStr">
        <is>
          <t>USNFK</t>
        </is>
      </c>
      <c r="F445" t="inlineStr">
        <is>
          <t>RULED</t>
        </is>
      </c>
      <c r="G445" t="n">
        <v>32940</v>
      </c>
      <c r="H445" t="inlineStr">
        <is>
          <t>ART</t>
        </is>
      </c>
      <c r="I445" t="inlineStr">
        <is>
          <t>45R1</t>
        </is>
      </c>
      <c r="K445" t="inlineStr">
        <is>
          <t>-18.0:CEL</t>
        </is>
      </c>
      <c r="L445" t="inlineStr">
        <is>
          <t>9'6</t>
        </is>
      </c>
      <c r="M445" t="inlineStr">
        <is>
          <t>Full</t>
        </is>
      </c>
      <c r="N445" t="inlineStr">
        <is>
          <t>RULED</t>
        </is>
      </c>
      <c r="P445" s="21">
        <f>C445</f>
        <v/>
      </c>
      <c r="Q445" s="21">
        <f t="array" ref="Q445">IFERROR(INDEX(Load_Booking_Report!AC:AC, MATCH(TRUE, ISNUMBER(FIND(SUBSTITUTE(C445," ",""), Load_Booking_Report!AL:AL)), 0)), "Not Found")</f>
        <v/>
      </c>
      <c r="R445" s="21">
        <f t="array" ref="R445">IFERROR(INDEX(Load_Booking_Report!C:C, MATCH(TRUE, ISNUMBER(FIND(SUBSTITUTE(C445," ",""), Load_Booking_Report!AL:AL)), 0)), "Not Found")</f>
        <v/>
      </c>
      <c r="S445" s="21">
        <f t="array" ref="S445">IFERROR(INDEX(Load_Booking_Report!AG:AG, MATCH(TRUE, ISNUMBER(FIND(SUBSTITUTE(C445," ",""), Load_Booking_Report!AL:AL)), 0)), "Not Found")</f>
        <v/>
      </c>
      <c r="T445" s="21">
        <f>G445</f>
        <v/>
      </c>
      <c r="U445" s="33">
        <f t="array" ref="U445">IFERROR(
   IF(
      INDEX(Load_Booking_Report!AM:AM,
             MATCH(TRUE,
                     ISNUMBER(FIND(SUBSTITUTE(C445," ",""),
                                    Load_Booking_Report!AL:AL)),
                     0)
      )=0,
      "",
      INDEX(Load_Booking_Report!AM:AM,
             MATCH(TRUE,
                     ISNUMBER(FIND(SUBSTITUTE(C445," ",""),
                                    Load_Booking_Report!AL:AL)),
                     0)
      )
   ),
   ""
)</f>
        <v/>
      </c>
      <c r="V445" s="21">
        <f t="array" ref="V445">IFERROR(
   IF(
      INDEX(Load_Booking_Report!AR:AR,
             MATCH(TRUE,
                     ISNUMBER(FIND(SUBSTITUTE(C445," ",""),
                                    Load_Booking_Report!AL:AL)),
                     0)
      )=0,
      "",
      INDEX(Load_Booking_Report!AR:AR,
             MATCH(TRUE,
                     ISNUMBER(FIND(SUBSTITUTE(C445," ",""),
                                    Load_Booking_Report!AL:AL)),
                     0)
      )
   ),
   ""
)</f>
        <v/>
      </c>
      <c r="W445" s="21">
        <f t="array" ref="W445">IFERROR(INDEX(Load_Booking_Report!F:F, MATCH(TRUE, ISNUMBER(FIND(SUBSTITUTE(C445," ",""), Load_Booking_Report!AL:AL)), 0)), "Not Found")</f>
        <v/>
      </c>
      <c r="X445" s="21">
        <f t="array" ref="X445">IFERROR(INDEX(Load_Booking_Report!N:N, MATCH(TRUE, ISNUMBER(FIND(SUBSTITUTE(C445," ",""), Load_Booking_Report!AL:AL)), 0)), "Not Found")</f>
        <v/>
      </c>
      <c r="Y445" s="21">
        <f t="array" ref="Y445">IFERROR(INDEX(Load_Booking_Report!V:V, MATCH(TRUE, ISNUMBER(FIND(SUBSTITUTE(C445," ",""), Load_Booking_Report!AL:AL)), 0)), "Not Found")</f>
        <v/>
      </c>
      <c r="Z445" s="41">
        <f t="array" ref="Z445">IFERROR(INDEX(Load_Booking_Report!BC:BC, MATCH(TRUE, ISNUMBER(FIND(SUBSTITUTE(C445," ",""), Load_Booking_Report!AL:AL)), 0)), "Not Found")</f>
        <v/>
      </c>
    </row>
    <row r="446">
      <c r="A446" t="n">
        <v>10</v>
      </c>
      <c r="B446" t="n">
        <v>100882</v>
      </c>
      <c r="C446" t="inlineStr">
        <is>
          <t>ANON0000000</t>
        </is>
      </c>
      <c r="D446" t="n">
        <v>40</v>
      </c>
      <c r="E446" t="inlineStr">
        <is>
          <t>USNFK</t>
        </is>
      </c>
      <c r="F446" t="inlineStr">
        <is>
          <t>RULED</t>
        </is>
      </c>
      <c r="G446" t="n">
        <v>32880</v>
      </c>
      <c r="H446" t="inlineStr">
        <is>
          <t>ART</t>
        </is>
      </c>
      <c r="I446" t="inlineStr">
        <is>
          <t>45R1</t>
        </is>
      </c>
      <c r="K446" t="inlineStr">
        <is>
          <t>-18.0:CEL</t>
        </is>
      </c>
      <c r="L446" t="inlineStr">
        <is>
          <t>9'6</t>
        </is>
      </c>
      <c r="M446" t="inlineStr">
        <is>
          <t>Full</t>
        </is>
      </c>
      <c r="N446" t="inlineStr">
        <is>
          <t>RULED</t>
        </is>
      </c>
      <c r="P446" s="21">
        <f>C446</f>
        <v/>
      </c>
      <c r="Q446" s="21">
        <f t="array" ref="Q446">IFERROR(INDEX(Load_Booking_Report!AC:AC, MATCH(TRUE, ISNUMBER(FIND(SUBSTITUTE(C446," ",""), Load_Booking_Report!AL:AL)), 0)), "Not Found")</f>
        <v/>
      </c>
      <c r="R446" s="21">
        <f t="array" ref="R446">IFERROR(INDEX(Load_Booking_Report!C:C, MATCH(TRUE, ISNUMBER(FIND(SUBSTITUTE(C446," ",""), Load_Booking_Report!AL:AL)), 0)), "Not Found")</f>
        <v/>
      </c>
      <c r="S446" s="21">
        <f t="array" ref="S446">IFERROR(INDEX(Load_Booking_Report!AG:AG, MATCH(TRUE, ISNUMBER(FIND(SUBSTITUTE(C446," ",""), Load_Booking_Report!AL:AL)), 0)), "Not Found")</f>
        <v/>
      </c>
      <c r="T446" s="21">
        <f>G446</f>
        <v/>
      </c>
      <c r="U446" s="33">
        <f t="array" ref="U446">IFERROR(
   IF(
      INDEX(Load_Booking_Report!AM:AM,
             MATCH(TRUE,
                     ISNUMBER(FIND(SUBSTITUTE(C446," ",""),
                                    Load_Booking_Report!AL:AL)),
                     0)
      )=0,
      "",
      INDEX(Load_Booking_Report!AM:AM,
             MATCH(TRUE,
                     ISNUMBER(FIND(SUBSTITUTE(C446," ",""),
                                    Load_Booking_Report!AL:AL)),
                     0)
      )
   ),
   ""
)</f>
        <v/>
      </c>
      <c r="V446" s="21">
        <f t="array" ref="V446">IFERROR(
   IF(
      INDEX(Load_Booking_Report!AR:AR,
             MATCH(TRUE,
                     ISNUMBER(FIND(SUBSTITUTE(C446," ",""),
                                    Load_Booking_Report!AL:AL)),
                     0)
      )=0,
      "",
      INDEX(Load_Booking_Report!AR:AR,
             MATCH(TRUE,
                     ISNUMBER(FIND(SUBSTITUTE(C446," ",""),
                                    Load_Booking_Report!AL:AL)),
                     0)
      )
   ),
   ""
)</f>
        <v/>
      </c>
      <c r="W446" s="21">
        <f t="array" ref="W446">IFERROR(INDEX(Load_Booking_Report!F:F, MATCH(TRUE, ISNUMBER(FIND(SUBSTITUTE(C446," ",""), Load_Booking_Report!AL:AL)), 0)), "Not Found")</f>
        <v/>
      </c>
      <c r="X446" s="21">
        <f t="array" ref="X446">IFERROR(INDEX(Load_Booking_Report!N:N, MATCH(TRUE, ISNUMBER(FIND(SUBSTITUTE(C446," ",""), Load_Booking_Report!AL:AL)), 0)), "Not Found")</f>
        <v/>
      </c>
      <c r="Y446" s="21">
        <f t="array" ref="Y446">IFERROR(INDEX(Load_Booking_Report!V:V, MATCH(TRUE, ISNUMBER(FIND(SUBSTITUTE(C446," ",""), Load_Booking_Report!AL:AL)), 0)), "Not Found")</f>
        <v/>
      </c>
      <c r="Z446" s="41">
        <f t="array" ref="Z446">IFERROR(INDEX(Load_Booking_Report!BC:BC, MATCH(TRUE, ISNUMBER(FIND(SUBSTITUTE(C446," ",""), Load_Booking_Report!AL:AL)), 0)), "Not Found")</f>
        <v/>
      </c>
    </row>
    <row r="447">
      <c r="A447" t="n">
        <v>18</v>
      </c>
      <c r="B447" t="n">
        <v>180682</v>
      </c>
      <c r="C447" t="inlineStr">
        <is>
          <t>ANON0000000</t>
        </is>
      </c>
      <c r="D447" t="n">
        <v>40</v>
      </c>
      <c r="E447" t="inlineStr">
        <is>
          <t>USNFK</t>
        </is>
      </c>
      <c r="F447" t="inlineStr">
        <is>
          <t>RULED</t>
        </is>
      </c>
      <c r="G447" t="n">
        <v>31660</v>
      </c>
      <c r="H447" t="inlineStr">
        <is>
          <t>ART</t>
        </is>
      </c>
      <c r="I447" t="inlineStr">
        <is>
          <t>45R1</t>
        </is>
      </c>
      <c r="K447" t="inlineStr">
        <is>
          <t>-18.0:CEL</t>
        </is>
      </c>
      <c r="L447" t="inlineStr">
        <is>
          <t>9'6</t>
        </is>
      </c>
      <c r="M447" t="inlineStr">
        <is>
          <t>Full</t>
        </is>
      </c>
      <c r="N447" t="inlineStr">
        <is>
          <t>RULED</t>
        </is>
      </c>
      <c r="P447" s="21">
        <f>C447</f>
        <v/>
      </c>
      <c r="Q447" s="21">
        <f t="array" ref="Q447">IFERROR(INDEX(Load_Booking_Report!AC:AC, MATCH(TRUE, ISNUMBER(FIND(SUBSTITUTE(C447," ",""), Load_Booking_Report!AL:AL)), 0)), "Not Found")</f>
        <v/>
      </c>
      <c r="R447" s="21">
        <f t="array" ref="R447">IFERROR(INDEX(Load_Booking_Report!C:C, MATCH(TRUE, ISNUMBER(FIND(SUBSTITUTE(C447," ",""), Load_Booking_Report!AL:AL)), 0)), "Not Found")</f>
        <v/>
      </c>
      <c r="S447" s="21">
        <f t="array" ref="S447">IFERROR(INDEX(Load_Booking_Report!AG:AG, MATCH(TRUE, ISNUMBER(FIND(SUBSTITUTE(C447," ",""), Load_Booking_Report!AL:AL)), 0)), "Not Found")</f>
        <v/>
      </c>
      <c r="T447" s="21">
        <f>G447</f>
        <v/>
      </c>
      <c r="U447" s="33">
        <f t="array" ref="U447">IFERROR(
   IF(
      INDEX(Load_Booking_Report!AM:AM,
             MATCH(TRUE,
                     ISNUMBER(FIND(SUBSTITUTE(C447," ",""),
                                    Load_Booking_Report!AL:AL)),
                     0)
      )=0,
      "",
      INDEX(Load_Booking_Report!AM:AM,
             MATCH(TRUE,
                     ISNUMBER(FIND(SUBSTITUTE(C447," ",""),
                                    Load_Booking_Report!AL:AL)),
                     0)
      )
   ),
   ""
)</f>
        <v/>
      </c>
      <c r="V447" s="21">
        <f t="array" ref="V447">IFERROR(
   IF(
      INDEX(Load_Booking_Report!AR:AR,
             MATCH(TRUE,
                     ISNUMBER(FIND(SUBSTITUTE(C447," ",""),
                                    Load_Booking_Report!AL:AL)),
                     0)
      )=0,
      "",
      INDEX(Load_Booking_Report!AR:AR,
             MATCH(TRUE,
                     ISNUMBER(FIND(SUBSTITUTE(C447," ",""),
                                    Load_Booking_Report!AL:AL)),
                     0)
      )
   ),
   ""
)</f>
        <v/>
      </c>
      <c r="W447" s="21">
        <f t="array" ref="W447">IFERROR(INDEX(Load_Booking_Report!F:F, MATCH(TRUE, ISNUMBER(FIND(SUBSTITUTE(C447," ",""), Load_Booking_Report!AL:AL)), 0)), "Not Found")</f>
        <v/>
      </c>
      <c r="X447" s="21">
        <f t="array" ref="X447">IFERROR(INDEX(Load_Booking_Report!N:N, MATCH(TRUE, ISNUMBER(FIND(SUBSTITUTE(C447," ",""), Load_Booking_Report!AL:AL)), 0)), "Not Found")</f>
        <v/>
      </c>
      <c r="Y447" s="21">
        <f t="array" ref="Y447">IFERROR(INDEX(Load_Booking_Report!V:V, MATCH(TRUE, ISNUMBER(FIND(SUBSTITUTE(C447," ",""), Load_Booking_Report!AL:AL)), 0)), "Not Found")</f>
        <v/>
      </c>
      <c r="Z447" s="41">
        <f t="array" ref="Z447">IFERROR(INDEX(Load_Booking_Report!BC:BC, MATCH(TRUE, ISNUMBER(FIND(SUBSTITUTE(C447," ",""), Load_Booking_Report!AL:AL)), 0)), "Not Found")</f>
        <v/>
      </c>
    </row>
    <row r="448">
      <c r="A448" t="n">
        <v>10</v>
      </c>
      <c r="B448" t="n">
        <v>100584</v>
      </c>
      <c r="C448" t="inlineStr">
        <is>
          <t>ANON0000000</t>
        </is>
      </c>
      <c r="D448" t="n">
        <v>40</v>
      </c>
      <c r="E448" t="inlineStr">
        <is>
          <t>USNFK</t>
        </is>
      </c>
      <c r="F448" t="inlineStr">
        <is>
          <t>RULED</t>
        </is>
      </c>
      <c r="G448" t="n">
        <v>32740</v>
      </c>
      <c r="H448" t="inlineStr">
        <is>
          <t>ART</t>
        </is>
      </c>
      <c r="I448" t="inlineStr">
        <is>
          <t>45R1</t>
        </is>
      </c>
      <c r="K448" t="inlineStr">
        <is>
          <t>-18.0:CEL</t>
        </is>
      </c>
      <c r="L448" t="inlineStr">
        <is>
          <t>9'6</t>
        </is>
      </c>
      <c r="M448" t="inlineStr">
        <is>
          <t>Full</t>
        </is>
      </c>
      <c r="N448" t="inlineStr">
        <is>
          <t>RULED</t>
        </is>
      </c>
      <c r="P448" s="21">
        <f>C448</f>
        <v/>
      </c>
      <c r="Q448" s="21">
        <f t="array" ref="Q448">IFERROR(INDEX(Load_Booking_Report!AC:AC, MATCH(TRUE, ISNUMBER(FIND(SUBSTITUTE(C448," ",""), Load_Booking_Report!AL:AL)), 0)), "Not Found")</f>
        <v/>
      </c>
      <c r="R448" s="21">
        <f t="array" ref="R448">IFERROR(INDEX(Load_Booking_Report!C:C, MATCH(TRUE, ISNUMBER(FIND(SUBSTITUTE(C448," ",""), Load_Booking_Report!AL:AL)), 0)), "Not Found")</f>
        <v/>
      </c>
      <c r="S448" s="21">
        <f t="array" ref="S448">IFERROR(INDEX(Load_Booking_Report!AG:AG, MATCH(TRUE, ISNUMBER(FIND(SUBSTITUTE(C448," ",""), Load_Booking_Report!AL:AL)), 0)), "Not Found")</f>
        <v/>
      </c>
      <c r="T448" s="21">
        <f>G448</f>
        <v/>
      </c>
      <c r="U448" s="33">
        <f t="array" ref="U448">IFERROR(
   IF(
      INDEX(Load_Booking_Report!AM:AM,
             MATCH(TRUE,
                     ISNUMBER(FIND(SUBSTITUTE(C448," ",""),
                                    Load_Booking_Report!AL:AL)),
                     0)
      )=0,
      "",
      INDEX(Load_Booking_Report!AM:AM,
             MATCH(TRUE,
                     ISNUMBER(FIND(SUBSTITUTE(C448," ",""),
                                    Load_Booking_Report!AL:AL)),
                     0)
      )
   ),
   ""
)</f>
        <v/>
      </c>
      <c r="V448" s="21">
        <f t="array" ref="V448">IFERROR(
   IF(
      INDEX(Load_Booking_Report!AR:AR,
             MATCH(TRUE,
                     ISNUMBER(FIND(SUBSTITUTE(C448," ",""),
                                    Load_Booking_Report!AL:AL)),
                     0)
      )=0,
      "",
      INDEX(Load_Booking_Report!AR:AR,
             MATCH(TRUE,
                     ISNUMBER(FIND(SUBSTITUTE(C448," ",""),
                                    Load_Booking_Report!AL:AL)),
                     0)
      )
   ),
   ""
)</f>
        <v/>
      </c>
      <c r="W448" s="21">
        <f t="array" ref="W448">IFERROR(INDEX(Load_Booking_Report!F:F, MATCH(TRUE, ISNUMBER(FIND(SUBSTITUTE(C448," ",""), Load_Booking_Report!AL:AL)), 0)), "Not Found")</f>
        <v/>
      </c>
      <c r="X448" s="21">
        <f t="array" ref="X448">IFERROR(INDEX(Load_Booking_Report!N:N, MATCH(TRUE, ISNUMBER(FIND(SUBSTITUTE(C448," ",""), Load_Booking_Report!AL:AL)), 0)), "Not Found")</f>
        <v/>
      </c>
      <c r="Y448" s="21">
        <f t="array" ref="Y448">IFERROR(INDEX(Load_Booking_Report!V:V, MATCH(TRUE, ISNUMBER(FIND(SUBSTITUTE(C448," ",""), Load_Booking_Report!AL:AL)), 0)), "Not Found")</f>
        <v/>
      </c>
      <c r="Z448" s="41">
        <f t="array" ref="Z448">IFERROR(INDEX(Load_Booking_Report!BC:BC, MATCH(TRUE, ISNUMBER(FIND(SUBSTITUTE(C448," ",""), Load_Booking_Report!AL:AL)), 0)), "Not Found")</f>
        <v/>
      </c>
    </row>
    <row r="449">
      <c r="A449" t="n">
        <v>10</v>
      </c>
      <c r="B449" t="n">
        <v>100408</v>
      </c>
      <c r="C449" t="inlineStr">
        <is>
          <t>ANON0000000</t>
        </is>
      </c>
      <c r="D449" t="n">
        <v>40</v>
      </c>
      <c r="E449" t="inlineStr">
        <is>
          <t>USNFK</t>
        </is>
      </c>
      <c r="F449" t="inlineStr">
        <is>
          <t>RULED</t>
        </is>
      </c>
      <c r="G449" t="n">
        <v>28040</v>
      </c>
      <c r="H449" t="inlineStr">
        <is>
          <t>ART</t>
        </is>
      </c>
      <c r="I449" t="inlineStr">
        <is>
          <t>45G1</t>
        </is>
      </c>
      <c r="L449" t="inlineStr">
        <is>
          <t>9'6</t>
        </is>
      </c>
      <c r="M449" t="inlineStr">
        <is>
          <t>Full</t>
        </is>
      </c>
      <c r="N449" t="inlineStr">
        <is>
          <t>RULED</t>
        </is>
      </c>
      <c r="P449" s="21">
        <f>C449</f>
        <v/>
      </c>
      <c r="Q449" s="21">
        <f t="array" ref="Q449">IFERROR(INDEX(Load_Booking_Report!AC:AC, MATCH(TRUE, ISNUMBER(FIND(SUBSTITUTE(C449," ",""), Load_Booking_Report!AL:AL)), 0)), "Not Found")</f>
        <v/>
      </c>
      <c r="R449" s="21">
        <f t="array" ref="R449">IFERROR(INDEX(Load_Booking_Report!C:C, MATCH(TRUE, ISNUMBER(FIND(SUBSTITUTE(C449," ",""), Load_Booking_Report!AL:AL)), 0)), "Not Found")</f>
        <v/>
      </c>
      <c r="S449" s="21">
        <f t="array" ref="S449">IFERROR(INDEX(Load_Booking_Report!AG:AG, MATCH(TRUE, ISNUMBER(FIND(SUBSTITUTE(C449," ",""), Load_Booking_Report!AL:AL)), 0)), "Not Found")</f>
        <v/>
      </c>
      <c r="T449" s="21">
        <f>G449</f>
        <v/>
      </c>
      <c r="U449" s="33">
        <f t="array" ref="U449">IFERROR(
   IF(
      INDEX(Load_Booking_Report!AM:AM,
             MATCH(TRUE,
                     ISNUMBER(FIND(SUBSTITUTE(C449," ",""),
                                    Load_Booking_Report!AL:AL)),
                     0)
      )=0,
      "",
      INDEX(Load_Booking_Report!AM:AM,
             MATCH(TRUE,
                     ISNUMBER(FIND(SUBSTITUTE(C449," ",""),
                                    Load_Booking_Report!AL:AL)),
                     0)
      )
   ),
   ""
)</f>
        <v/>
      </c>
      <c r="V449" s="21">
        <f t="array" ref="V449">IFERROR(
   IF(
      INDEX(Load_Booking_Report!AR:AR,
             MATCH(TRUE,
                     ISNUMBER(FIND(SUBSTITUTE(C449," ",""),
                                    Load_Booking_Report!AL:AL)),
                     0)
      )=0,
      "",
      INDEX(Load_Booking_Report!AR:AR,
             MATCH(TRUE,
                     ISNUMBER(FIND(SUBSTITUTE(C449," ",""),
                                    Load_Booking_Report!AL:AL)),
                     0)
      )
   ),
   ""
)</f>
        <v/>
      </c>
      <c r="W449" s="21">
        <f t="array" ref="W449">IFERROR(INDEX(Load_Booking_Report!F:F, MATCH(TRUE, ISNUMBER(FIND(SUBSTITUTE(C449," ",""), Load_Booking_Report!AL:AL)), 0)), "Not Found")</f>
        <v/>
      </c>
      <c r="X449" s="21">
        <f t="array" ref="X449">IFERROR(INDEX(Load_Booking_Report!N:N, MATCH(TRUE, ISNUMBER(FIND(SUBSTITUTE(C449," ",""), Load_Booking_Report!AL:AL)), 0)), "Not Found")</f>
        <v/>
      </c>
      <c r="Y449" s="21">
        <f t="array" ref="Y449">IFERROR(INDEX(Load_Booking_Report!V:V, MATCH(TRUE, ISNUMBER(FIND(SUBSTITUTE(C449," ",""), Load_Booking_Report!AL:AL)), 0)), "Not Found")</f>
        <v/>
      </c>
      <c r="Z449" s="41">
        <f t="array" ref="Z449">IFERROR(INDEX(Load_Booking_Report!BC:BC, MATCH(TRUE, ISNUMBER(FIND(SUBSTITUTE(C449," ",""), Load_Booking_Report!AL:AL)), 0)), "Not Found")</f>
        <v/>
      </c>
    </row>
    <row r="450">
      <c r="A450" t="n">
        <v>18</v>
      </c>
      <c r="B450" t="n">
        <v>180684</v>
      </c>
      <c r="C450" t="inlineStr">
        <is>
          <t>ANON0000000</t>
        </is>
      </c>
      <c r="D450" t="n">
        <v>40</v>
      </c>
      <c r="E450" t="inlineStr">
        <is>
          <t>USNFK</t>
        </is>
      </c>
      <c r="F450" t="inlineStr">
        <is>
          <t>RULED</t>
        </is>
      </c>
      <c r="G450" t="n">
        <v>32500</v>
      </c>
      <c r="H450" t="inlineStr">
        <is>
          <t>ART</t>
        </is>
      </c>
      <c r="I450" t="inlineStr">
        <is>
          <t>45R1</t>
        </is>
      </c>
      <c r="K450" t="inlineStr">
        <is>
          <t>-18.0:CEL</t>
        </is>
      </c>
      <c r="L450" t="inlineStr">
        <is>
          <t>9'6</t>
        </is>
      </c>
      <c r="M450" t="inlineStr">
        <is>
          <t>Full</t>
        </is>
      </c>
      <c r="N450" t="inlineStr">
        <is>
          <t>RULED</t>
        </is>
      </c>
      <c r="P450" s="21">
        <f>C450</f>
        <v/>
      </c>
      <c r="Q450" s="21">
        <f t="array" ref="Q450">IFERROR(INDEX(Load_Booking_Report!AC:AC, MATCH(TRUE, ISNUMBER(FIND(SUBSTITUTE(C450," ",""), Load_Booking_Report!AL:AL)), 0)), "Not Found")</f>
        <v/>
      </c>
      <c r="R450" s="21">
        <f t="array" ref="R450">IFERROR(INDEX(Load_Booking_Report!C:C, MATCH(TRUE, ISNUMBER(FIND(SUBSTITUTE(C450," ",""), Load_Booking_Report!AL:AL)), 0)), "Not Found")</f>
        <v/>
      </c>
      <c r="S450" s="21">
        <f t="array" ref="S450">IFERROR(INDEX(Load_Booking_Report!AG:AG, MATCH(TRUE, ISNUMBER(FIND(SUBSTITUTE(C450," ",""), Load_Booking_Report!AL:AL)), 0)), "Not Found")</f>
        <v/>
      </c>
      <c r="T450" s="21">
        <f>G450</f>
        <v/>
      </c>
      <c r="U450" s="33">
        <f t="array" ref="U450">IFERROR(
   IF(
      INDEX(Load_Booking_Report!AM:AM,
             MATCH(TRUE,
                     ISNUMBER(FIND(SUBSTITUTE(C450," ",""),
                                    Load_Booking_Report!AL:AL)),
                     0)
      )=0,
      "",
      INDEX(Load_Booking_Report!AM:AM,
             MATCH(TRUE,
                     ISNUMBER(FIND(SUBSTITUTE(C450," ",""),
                                    Load_Booking_Report!AL:AL)),
                     0)
      )
   ),
   ""
)</f>
        <v/>
      </c>
      <c r="V450" s="21">
        <f t="array" ref="V450">IFERROR(
   IF(
      INDEX(Load_Booking_Report!AR:AR,
             MATCH(TRUE,
                     ISNUMBER(FIND(SUBSTITUTE(C450," ",""),
                                    Load_Booking_Report!AL:AL)),
                     0)
      )=0,
      "",
      INDEX(Load_Booking_Report!AR:AR,
             MATCH(TRUE,
                     ISNUMBER(FIND(SUBSTITUTE(C450," ",""),
                                    Load_Booking_Report!AL:AL)),
                     0)
      )
   ),
   ""
)</f>
        <v/>
      </c>
      <c r="W450" s="21">
        <f t="array" ref="W450">IFERROR(INDEX(Load_Booking_Report!F:F, MATCH(TRUE, ISNUMBER(FIND(SUBSTITUTE(C450," ",""), Load_Booking_Report!AL:AL)), 0)), "Not Found")</f>
        <v/>
      </c>
      <c r="X450" s="21">
        <f t="array" ref="X450">IFERROR(INDEX(Load_Booking_Report!N:N, MATCH(TRUE, ISNUMBER(FIND(SUBSTITUTE(C450," ",""), Load_Booking_Report!AL:AL)), 0)), "Not Found")</f>
        <v/>
      </c>
      <c r="Y450" s="21">
        <f t="array" ref="Y450">IFERROR(INDEX(Load_Booking_Report!V:V, MATCH(TRUE, ISNUMBER(FIND(SUBSTITUTE(C450," ",""), Load_Booking_Report!AL:AL)), 0)), "Not Found")</f>
        <v/>
      </c>
      <c r="Z450" s="41">
        <f t="array" ref="Z450">IFERROR(INDEX(Load_Booking_Report!BC:BC, MATCH(TRUE, ISNUMBER(FIND(SUBSTITUTE(C450," ",""), Load_Booking_Report!AL:AL)), 0)), "Not Found")</f>
        <v/>
      </c>
    </row>
    <row r="451">
      <c r="A451" t="n">
        <v>6</v>
      </c>
      <c r="B451" t="n">
        <v>60384</v>
      </c>
      <c r="C451" t="inlineStr">
        <is>
          <t>ANON0000000</t>
        </is>
      </c>
      <c r="D451" t="n">
        <v>40</v>
      </c>
      <c r="E451" t="inlineStr">
        <is>
          <t>USNFK</t>
        </is>
      </c>
      <c r="F451" t="inlineStr">
        <is>
          <t>RULED</t>
        </is>
      </c>
      <c r="G451" t="n">
        <v>32580</v>
      </c>
      <c r="H451" t="inlineStr">
        <is>
          <t>ART</t>
        </is>
      </c>
      <c r="I451" t="inlineStr">
        <is>
          <t>45R1</t>
        </is>
      </c>
      <c r="K451" t="inlineStr">
        <is>
          <t>-18.0:CEL</t>
        </is>
      </c>
      <c r="L451" t="inlineStr">
        <is>
          <t>9'6</t>
        </is>
      </c>
      <c r="M451" t="inlineStr">
        <is>
          <t>Full</t>
        </is>
      </c>
      <c r="N451" t="inlineStr">
        <is>
          <t>RULED</t>
        </is>
      </c>
      <c r="P451" s="21">
        <f>C451</f>
        <v/>
      </c>
      <c r="Q451" s="21">
        <f t="array" ref="Q451">IFERROR(INDEX(Load_Booking_Report!AC:AC, MATCH(TRUE, ISNUMBER(FIND(SUBSTITUTE(C451," ",""), Load_Booking_Report!AL:AL)), 0)), "Not Found")</f>
        <v/>
      </c>
      <c r="R451" s="21">
        <f t="array" ref="R451">IFERROR(INDEX(Load_Booking_Report!C:C, MATCH(TRUE, ISNUMBER(FIND(SUBSTITUTE(C451," ",""), Load_Booking_Report!AL:AL)), 0)), "Not Found")</f>
        <v/>
      </c>
      <c r="S451" s="21">
        <f t="array" ref="S451">IFERROR(INDEX(Load_Booking_Report!AG:AG, MATCH(TRUE, ISNUMBER(FIND(SUBSTITUTE(C451," ",""), Load_Booking_Report!AL:AL)), 0)), "Not Found")</f>
        <v/>
      </c>
      <c r="T451" s="21">
        <f>G451</f>
        <v/>
      </c>
      <c r="U451" s="33">
        <f t="array" ref="U451">IFERROR(
   IF(
      INDEX(Load_Booking_Report!AM:AM,
             MATCH(TRUE,
                     ISNUMBER(FIND(SUBSTITUTE(C451," ",""),
                                    Load_Booking_Report!AL:AL)),
                     0)
      )=0,
      "",
      INDEX(Load_Booking_Report!AM:AM,
             MATCH(TRUE,
                     ISNUMBER(FIND(SUBSTITUTE(C451," ",""),
                                    Load_Booking_Report!AL:AL)),
                     0)
      )
   ),
   ""
)</f>
        <v/>
      </c>
      <c r="V451" s="21">
        <f t="array" ref="V451">IFERROR(
   IF(
      INDEX(Load_Booking_Report!AR:AR,
             MATCH(TRUE,
                     ISNUMBER(FIND(SUBSTITUTE(C451," ",""),
                                    Load_Booking_Report!AL:AL)),
                     0)
      )=0,
      "",
      INDEX(Load_Booking_Report!AR:AR,
             MATCH(TRUE,
                     ISNUMBER(FIND(SUBSTITUTE(C451," ",""),
                                    Load_Booking_Report!AL:AL)),
                     0)
      )
   ),
   ""
)</f>
        <v/>
      </c>
      <c r="W451" s="21">
        <f t="array" ref="W451">IFERROR(INDEX(Load_Booking_Report!F:F, MATCH(TRUE, ISNUMBER(FIND(SUBSTITUTE(C451," ",""), Load_Booking_Report!AL:AL)), 0)), "Not Found")</f>
        <v/>
      </c>
      <c r="X451" s="21">
        <f t="array" ref="X451">IFERROR(INDEX(Load_Booking_Report!N:N, MATCH(TRUE, ISNUMBER(FIND(SUBSTITUTE(C451," ",""), Load_Booking_Report!AL:AL)), 0)), "Not Found")</f>
        <v/>
      </c>
      <c r="Y451" s="21">
        <f t="array" ref="Y451">IFERROR(INDEX(Load_Booking_Report!V:V, MATCH(TRUE, ISNUMBER(FIND(SUBSTITUTE(C451," ",""), Load_Booking_Report!AL:AL)), 0)), "Not Found")</f>
        <v/>
      </c>
      <c r="Z451" s="41">
        <f t="array" ref="Z451">IFERROR(INDEX(Load_Booking_Report!BC:BC, MATCH(TRUE, ISNUMBER(FIND(SUBSTITUTE(C451," ",""), Load_Booking_Report!AL:AL)), 0)), "Not Found")</f>
        <v/>
      </c>
    </row>
    <row r="452">
      <c r="A452" t="n">
        <v>22</v>
      </c>
      <c r="B452" t="n">
        <v>220982</v>
      </c>
      <c r="C452" t="inlineStr">
        <is>
          <t>ANON0000000</t>
        </is>
      </c>
      <c r="D452" t="n">
        <v>40</v>
      </c>
      <c r="E452" t="inlineStr">
        <is>
          <t>USNFK</t>
        </is>
      </c>
      <c r="F452" t="inlineStr">
        <is>
          <t>RULED</t>
        </is>
      </c>
      <c r="G452" t="n">
        <v>32760</v>
      </c>
      <c r="H452" t="inlineStr">
        <is>
          <t>ART</t>
        </is>
      </c>
      <c r="I452" t="inlineStr">
        <is>
          <t>45R1</t>
        </is>
      </c>
      <c r="K452" t="inlineStr">
        <is>
          <t>-18.0:CEL</t>
        </is>
      </c>
      <c r="L452" t="inlineStr">
        <is>
          <t>9'6</t>
        </is>
      </c>
      <c r="M452" t="inlineStr">
        <is>
          <t>Full</t>
        </is>
      </c>
      <c r="N452" t="inlineStr">
        <is>
          <t>RULED</t>
        </is>
      </c>
      <c r="P452" s="21">
        <f>C452</f>
        <v/>
      </c>
      <c r="Q452" s="21">
        <f t="array" ref="Q452">IFERROR(INDEX(Load_Booking_Report!AC:AC, MATCH(TRUE, ISNUMBER(FIND(SUBSTITUTE(C452," ",""), Load_Booking_Report!AL:AL)), 0)), "Not Found")</f>
        <v/>
      </c>
      <c r="R452" s="21">
        <f t="array" ref="R452">IFERROR(INDEX(Load_Booking_Report!C:C, MATCH(TRUE, ISNUMBER(FIND(SUBSTITUTE(C452," ",""), Load_Booking_Report!AL:AL)), 0)), "Not Found")</f>
        <v/>
      </c>
      <c r="S452" s="21">
        <f t="array" ref="S452">IFERROR(INDEX(Load_Booking_Report!AG:AG, MATCH(TRUE, ISNUMBER(FIND(SUBSTITUTE(C452," ",""), Load_Booking_Report!AL:AL)), 0)), "Not Found")</f>
        <v/>
      </c>
      <c r="T452" s="21">
        <f>G452</f>
        <v/>
      </c>
      <c r="U452" s="33">
        <f t="array" ref="U452">IFERROR(
   IF(
      INDEX(Load_Booking_Report!AM:AM,
             MATCH(TRUE,
                     ISNUMBER(FIND(SUBSTITUTE(C452," ",""),
                                    Load_Booking_Report!AL:AL)),
                     0)
      )=0,
      "",
      INDEX(Load_Booking_Report!AM:AM,
             MATCH(TRUE,
                     ISNUMBER(FIND(SUBSTITUTE(C452," ",""),
                                    Load_Booking_Report!AL:AL)),
                     0)
      )
   ),
   ""
)</f>
        <v/>
      </c>
      <c r="V452" s="21">
        <f t="array" ref="V452">IFERROR(
   IF(
      INDEX(Load_Booking_Report!AR:AR,
             MATCH(TRUE,
                     ISNUMBER(FIND(SUBSTITUTE(C452," ",""),
                                    Load_Booking_Report!AL:AL)),
                     0)
      )=0,
      "",
      INDEX(Load_Booking_Report!AR:AR,
             MATCH(TRUE,
                     ISNUMBER(FIND(SUBSTITUTE(C452," ",""),
                                    Load_Booking_Report!AL:AL)),
                     0)
      )
   ),
   ""
)</f>
        <v/>
      </c>
      <c r="W452" s="21">
        <f t="array" ref="W452">IFERROR(INDEX(Load_Booking_Report!F:F, MATCH(TRUE, ISNUMBER(FIND(SUBSTITUTE(C452," ",""), Load_Booking_Report!AL:AL)), 0)), "Not Found")</f>
        <v/>
      </c>
      <c r="X452" s="21">
        <f t="array" ref="X452">IFERROR(INDEX(Load_Booking_Report!N:N, MATCH(TRUE, ISNUMBER(FIND(SUBSTITUTE(C452," ",""), Load_Booking_Report!AL:AL)), 0)), "Not Found")</f>
        <v/>
      </c>
      <c r="Y452" s="21">
        <f t="array" ref="Y452">IFERROR(INDEX(Load_Booking_Report!V:V, MATCH(TRUE, ISNUMBER(FIND(SUBSTITUTE(C452," ",""), Load_Booking_Report!AL:AL)), 0)), "Not Found")</f>
        <v/>
      </c>
      <c r="Z452" s="41">
        <f t="array" ref="Z452">IFERROR(INDEX(Load_Booking_Report!BC:BC, MATCH(TRUE, ISNUMBER(FIND(SUBSTITUTE(C452," ",""), Load_Booking_Report!AL:AL)), 0)), "Not Found")</f>
        <v/>
      </c>
    </row>
    <row r="453">
      <c r="A453" t="n">
        <v>18</v>
      </c>
      <c r="B453" t="n">
        <v>180084</v>
      </c>
      <c r="C453" t="inlineStr">
        <is>
          <t>ANON0000000</t>
        </is>
      </c>
      <c r="D453" t="n">
        <v>40</v>
      </c>
      <c r="E453" t="inlineStr">
        <is>
          <t>USNFK</t>
        </is>
      </c>
      <c r="F453" t="inlineStr">
        <is>
          <t>RULED</t>
        </is>
      </c>
      <c r="G453" t="n">
        <v>32540</v>
      </c>
      <c r="H453" t="inlineStr">
        <is>
          <t>ART</t>
        </is>
      </c>
      <c r="I453" t="inlineStr">
        <is>
          <t>45R1</t>
        </is>
      </c>
      <c r="K453" t="inlineStr">
        <is>
          <t>-18.0:CEL</t>
        </is>
      </c>
      <c r="L453" t="inlineStr">
        <is>
          <t>9'6</t>
        </is>
      </c>
      <c r="M453" t="inlineStr">
        <is>
          <t>Full</t>
        </is>
      </c>
      <c r="N453" t="inlineStr">
        <is>
          <t>RULED</t>
        </is>
      </c>
      <c r="P453" s="21">
        <f>C453</f>
        <v/>
      </c>
      <c r="Q453" s="21">
        <f t="array" ref="Q453">IFERROR(INDEX(Load_Booking_Report!AC:AC, MATCH(TRUE, ISNUMBER(FIND(SUBSTITUTE(C453," ",""), Load_Booking_Report!AL:AL)), 0)), "Not Found")</f>
        <v/>
      </c>
      <c r="R453" s="21">
        <f t="array" ref="R453">IFERROR(INDEX(Load_Booking_Report!C:C, MATCH(TRUE, ISNUMBER(FIND(SUBSTITUTE(C453," ",""), Load_Booking_Report!AL:AL)), 0)), "Not Found")</f>
        <v/>
      </c>
      <c r="S453" s="21">
        <f t="array" ref="S453">IFERROR(INDEX(Load_Booking_Report!AG:AG, MATCH(TRUE, ISNUMBER(FIND(SUBSTITUTE(C453," ",""), Load_Booking_Report!AL:AL)), 0)), "Not Found")</f>
        <v/>
      </c>
      <c r="T453" s="21">
        <f>G453</f>
        <v/>
      </c>
      <c r="U453" s="33">
        <f t="array" ref="U453">IFERROR(
   IF(
      INDEX(Load_Booking_Report!AM:AM,
             MATCH(TRUE,
                     ISNUMBER(FIND(SUBSTITUTE(C453," ",""),
                                    Load_Booking_Report!AL:AL)),
                     0)
      )=0,
      "",
      INDEX(Load_Booking_Report!AM:AM,
             MATCH(TRUE,
                     ISNUMBER(FIND(SUBSTITUTE(C453," ",""),
                                    Load_Booking_Report!AL:AL)),
                     0)
      )
   ),
   ""
)</f>
        <v/>
      </c>
      <c r="V453" s="21">
        <f t="array" ref="V453">IFERROR(
   IF(
      INDEX(Load_Booking_Report!AR:AR,
             MATCH(TRUE,
                     ISNUMBER(FIND(SUBSTITUTE(C453," ",""),
                                    Load_Booking_Report!AL:AL)),
                     0)
      )=0,
      "",
      INDEX(Load_Booking_Report!AR:AR,
             MATCH(TRUE,
                     ISNUMBER(FIND(SUBSTITUTE(C453," ",""),
                                    Load_Booking_Report!AL:AL)),
                     0)
      )
   ),
   ""
)</f>
        <v/>
      </c>
      <c r="W453" s="21">
        <f t="array" ref="W453">IFERROR(INDEX(Load_Booking_Report!F:F, MATCH(TRUE, ISNUMBER(FIND(SUBSTITUTE(C453," ",""), Load_Booking_Report!AL:AL)), 0)), "Not Found")</f>
        <v/>
      </c>
      <c r="X453" s="21">
        <f t="array" ref="X453">IFERROR(INDEX(Load_Booking_Report!N:N, MATCH(TRUE, ISNUMBER(FIND(SUBSTITUTE(C453," ",""), Load_Booking_Report!AL:AL)), 0)), "Not Found")</f>
        <v/>
      </c>
      <c r="Y453" s="21">
        <f t="array" ref="Y453">IFERROR(INDEX(Load_Booking_Report!V:V, MATCH(TRUE, ISNUMBER(FIND(SUBSTITUTE(C453," ",""), Load_Booking_Report!AL:AL)), 0)), "Not Found")</f>
        <v/>
      </c>
      <c r="Z453" s="41">
        <f t="array" ref="Z453">IFERROR(INDEX(Load_Booking_Report!BC:BC, MATCH(TRUE, ISNUMBER(FIND(SUBSTITUTE(C453," ",""), Load_Booking_Report!AL:AL)), 0)), "Not Found")</f>
        <v/>
      </c>
    </row>
    <row r="454">
      <c r="A454" t="n">
        <v>6</v>
      </c>
      <c r="B454" t="n">
        <v>60084</v>
      </c>
      <c r="C454" t="inlineStr">
        <is>
          <t>ANON0000000</t>
        </is>
      </c>
      <c r="D454" t="n">
        <v>40</v>
      </c>
      <c r="E454" t="inlineStr">
        <is>
          <t>USNFK</t>
        </is>
      </c>
      <c r="F454" t="inlineStr">
        <is>
          <t>RULED</t>
        </is>
      </c>
      <c r="G454" t="n">
        <v>32740</v>
      </c>
      <c r="H454" t="inlineStr">
        <is>
          <t>ART</t>
        </is>
      </c>
      <c r="I454" t="inlineStr">
        <is>
          <t>45R1</t>
        </is>
      </c>
      <c r="K454" t="inlineStr">
        <is>
          <t>-18.0:CEL</t>
        </is>
      </c>
      <c r="L454" t="inlineStr">
        <is>
          <t>9'6</t>
        </is>
      </c>
      <c r="M454" t="inlineStr">
        <is>
          <t>Full</t>
        </is>
      </c>
      <c r="N454" t="inlineStr">
        <is>
          <t>RULED</t>
        </is>
      </c>
      <c r="P454" s="21">
        <f>C454</f>
        <v/>
      </c>
      <c r="Q454" s="21">
        <f t="array" ref="Q454">IFERROR(INDEX(Load_Booking_Report!AC:AC, MATCH(TRUE, ISNUMBER(FIND(SUBSTITUTE(C454," ",""), Load_Booking_Report!AL:AL)), 0)), "Not Found")</f>
        <v/>
      </c>
      <c r="R454" s="21">
        <f t="array" ref="R454">IFERROR(INDEX(Load_Booking_Report!C:C, MATCH(TRUE, ISNUMBER(FIND(SUBSTITUTE(C454," ",""), Load_Booking_Report!AL:AL)), 0)), "Not Found")</f>
        <v/>
      </c>
      <c r="S454" s="21">
        <f t="array" ref="S454">IFERROR(INDEX(Load_Booking_Report!AG:AG, MATCH(TRUE, ISNUMBER(FIND(SUBSTITUTE(C454," ",""), Load_Booking_Report!AL:AL)), 0)), "Not Found")</f>
        <v/>
      </c>
      <c r="T454" s="21">
        <f>G454</f>
        <v/>
      </c>
      <c r="U454" s="33">
        <f t="array" ref="U454">IFERROR(
   IF(
      INDEX(Load_Booking_Report!AM:AM,
             MATCH(TRUE,
                     ISNUMBER(FIND(SUBSTITUTE(C454," ",""),
                                    Load_Booking_Report!AL:AL)),
                     0)
      )=0,
      "",
      INDEX(Load_Booking_Report!AM:AM,
             MATCH(TRUE,
                     ISNUMBER(FIND(SUBSTITUTE(C454," ",""),
                                    Load_Booking_Report!AL:AL)),
                     0)
      )
   ),
   ""
)</f>
        <v/>
      </c>
      <c r="V454" s="21">
        <f t="array" ref="V454">IFERROR(
   IF(
      INDEX(Load_Booking_Report!AR:AR,
             MATCH(TRUE,
                     ISNUMBER(FIND(SUBSTITUTE(C454," ",""),
                                    Load_Booking_Report!AL:AL)),
                     0)
      )=0,
      "",
      INDEX(Load_Booking_Report!AR:AR,
             MATCH(TRUE,
                     ISNUMBER(FIND(SUBSTITUTE(C454," ",""),
                                    Load_Booking_Report!AL:AL)),
                     0)
      )
   ),
   ""
)</f>
        <v/>
      </c>
      <c r="W454" s="21">
        <f t="array" ref="W454">IFERROR(INDEX(Load_Booking_Report!F:F, MATCH(TRUE, ISNUMBER(FIND(SUBSTITUTE(C454," ",""), Load_Booking_Report!AL:AL)), 0)), "Not Found")</f>
        <v/>
      </c>
      <c r="X454" s="21">
        <f t="array" ref="X454">IFERROR(INDEX(Load_Booking_Report!N:N, MATCH(TRUE, ISNUMBER(FIND(SUBSTITUTE(C454," ",""), Load_Booking_Report!AL:AL)), 0)), "Not Found")</f>
        <v/>
      </c>
      <c r="Y454" s="21">
        <f t="array" ref="Y454">IFERROR(INDEX(Load_Booking_Report!V:V, MATCH(TRUE, ISNUMBER(FIND(SUBSTITUTE(C454," ",""), Load_Booking_Report!AL:AL)), 0)), "Not Found")</f>
        <v/>
      </c>
      <c r="Z454" s="41">
        <f t="array" ref="Z454">IFERROR(INDEX(Load_Booking_Report!BC:BC, MATCH(TRUE, ISNUMBER(FIND(SUBSTITUTE(C454," ",""), Load_Booking_Report!AL:AL)), 0)), "Not Found")</f>
        <v/>
      </c>
    </row>
    <row r="455">
      <c r="A455" t="n">
        <v>22</v>
      </c>
      <c r="B455" t="n">
        <v>220384</v>
      </c>
      <c r="C455" t="inlineStr">
        <is>
          <t>ANON0000000</t>
        </is>
      </c>
      <c r="D455" t="n">
        <v>40</v>
      </c>
      <c r="E455" t="inlineStr">
        <is>
          <t>USNFK</t>
        </is>
      </c>
      <c r="F455" t="inlineStr">
        <is>
          <t>RULED</t>
        </is>
      </c>
      <c r="G455" t="n">
        <v>32600</v>
      </c>
      <c r="H455" t="inlineStr">
        <is>
          <t>ART</t>
        </is>
      </c>
      <c r="I455" t="inlineStr">
        <is>
          <t>45R1</t>
        </is>
      </c>
      <c r="K455" t="inlineStr">
        <is>
          <t>-18.0:CEL</t>
        </is>
      </c>
      <c r="L455" t="inlineStr">
        <is>
          <t>9'6</t>
        </is>
      </c>
      <c r="M455" t="inlineStr">
        <is>
          <t>Full</t>
        </is>
      </c>
      <c r="N455" t="inlineStr">
        <is>
          <t>RULED</t>
        </is>
      </c>
      <c r="P455" s="21">
        <f>C455</f>
        <v/>
      </c>
      <c r="Q455" s="21">
        <f t="array" ref="Q455">IFERROR(INDEX(Load_Booking_Report!AC:AC, MATCH(TRUE, ISNUMBER(FIND(SUBSTITUTE(C455," ",""), Load_Booking_Report!AL:AL)), 0)), "Not Found")</f>
        <v/>
      </c>
      <c r="R455" s="21">
        <f t="array" ref="R455">IFERROR(INDEX(Load_Booking_Report!C:C, MATCH(TRUE, ISNUMBER(FIND(SUBSTITUTE(C455," ",""), Load_Booking_Report!AL:AL)), 0)), "Not Found")</f>
        <v/>
      </c>
      <c r="S455" s="21">
        <f t="array" ref="S455">IFERROR(INDEX(Load_Booking_Report!AG:AG, MATCH(TRUE, ISNUMBER(FIND(SUBSTITUTE(C455," ",""), Load_Booking_Report!AL:AL)), 0)), "Not Found")</f>
        <v/>
      </c>
      <c r="T455" s="21">
        <f>G455</f>
        <v/>
      </c>
      <c r="U455" s="33">
        <f t="array" ref="U455">IFERROR(
   IF(
      INDEX(Load_Booking_Report!AM:AM,
             MATCH(TRUE,
                     ISNUMBER(FIND(SUBSTITUTE(C455," ",""),
                                    Load_Booking_Report!AL:AL)),
                     0)
      )=0,
      "",
      INDEX(Load_Booking_Report!AM:AM,
             MATCH(TRUE,
                     ISNUMBER(FIND(SUBSTITUTE(C455," ",""),
                                    Load_Booking_Report!AL:AL)),
                     0)
      )
   ),
   ""
)</f>
        <v/>
      </c>
      <c r="V455" s="21">
        <f t="array" ref="V455">IFERROR(
   IF(
      INDEX(Load_Booking_Report!AR:AR,
             MATCH(TRUE,
                     ISNUMBER(FIND(SUBSTITUTE(C455," ",""),
                                    Load_Booking_Report!AL:AL)),
                     0)
      )=0,
      "",
      INDEX(Load_Booking_Report!AR:AR,
             MATCH(TRUE,
                     ISNUMBER(FIND(SUBSTITUTE(C455," ",""),
                                    Load_Booking_Report!AL:AL)),
                     0)
      )
   ),
   ""
)</f>
        <v/>
      </c>
      <c r="W455" s="21">
        <f t="array" ref="W455">IFERROR(INDEX(Load_Booking_Report!F:F, MATCH(TRUE, ISNUMBER(FIND(SUBSTITUTE(C455," ",""), Load_Booking_Report!AL:AL)), 0)), "Not Found")</f>
        <v/>
      </c>
      <c r="X455" s="21">
        <f t="array" ref="X455">IFERROR(INDEX(Load_Booking_Report!N:N, MATCH(TRUE, ISNUMBER(FIND(SUBSTITUTE(C455," ",""), Load_Booking_Report!AL:AL)), 0)), "Not Found")</f>
        <v/>
      </c>
      <c r="Y455" s="21">
        <f t="array" ref="Y455">IFERROR(INDEX(Load_Booking_Report!V:V, MATCH(TRUE, ISNUMBER(FIND(SUBSTITUTE(C455," ",""), Load_Booking_Report!AL:AL)), 0)), "Not Found")</f>
        <v/>
      </c>
      <c r="Z455" s="41">
        <f t="array" ref="Z455">IFERROR(INDEX(Load_Booking_Report!BC:BC, MATCH(TRUE, ISNUMBER(FIND(SUBSTITUTE(C455," ",""), Load_Booking_Report!AL:AL)), 0)), "Not Found")</f>
        <v/>
      </c>
    </row>
    <row r="456">
      <c r="A456" t="n">
        <v>2</v>
      </c>
      <c r="B456" t="n">
        <v>20482</v>
      </c>
      <c r="C456" t="inlineStr">
        <is>
          <t>ANON0000000</t>
        </is>
      </c>
      <c r="D456" t="n">
        <v>40</v>
      </c>
      <c r="E456" t="inlineStr">
        <is>
          <t>USNFK</t>
        </is>
      </c>
      <c r="F456" t="inlineStr">
        <is>
          <t>RULED</t>
        </is>
      </c>
      <c r="G456" t="n">
        <v>32580</v>
      </c>
      <c r="H456" t="inlineStr">
        <is>
          <t>ART</t>
        </is>
      </c>
      <c r="I456" t="inlineStr">
        <is>
          <t>45R1</t>
        </is>
      </c>
      <c r="K456" t="inlineStr">
        <is>
          <t>-18.0:CEL</t>
        </is>
      </c>
      <c r="L456" t="inlineStr">
        <is>
          <t>9'6</t>
        </is>
      </c>
      <c r="M456" t="inlineStr">
        <is>
          <t>Full</t>
        </is>
      </c>
      <c r="N456" t="inlineStr">
        <is>
          <t>RULED</t>
        </is>
      </c>
      <c r="P456" s="21">
        <f>C456</f>
        <v/>
      </c>
      <c r="Q456" s="21">
        <f t="array" ref="Q456">IFERROR(INDEX(Load_Booking_Report!AC:AC, MATCH(TRUE, ISNUMBER(FIND(SUBSTITUTE(C456," ",""), Load_Booking_Report!AL:AL)), 0)), "Not Found")</f>
        <v/>
      </c>
      <c r="R456" s="21">
        <f t="array" ref="R456">IFERROR(INDEX(Load_Booking_Report!C:C, MATCH(TRUE, ISNUMBER(FIND(SUBSTITUTE(C456," ",""), Load_Booking_Report!AL:AL)), 0)), "Not Found")</f>
        <v/>
      </c>
      <c r="S456" s="21">
        <f t="array" ref="S456">IFERROR(INDEX(Load_Booking_Report!AG:AG, MATCH(TRUE, ISNUMBER(FIND(SUBSTITUTE(C456," ",""), Load_Booking_Report!AL:AL)), 0)), "Not Found")</f>
        <v/>
      </c>
      <c r="T456" s="21">
        <f>G456</f>
        <v/>
      </c>
      <c r="U456" s="33">
        <f t="array" ref="U456">IFERROR(
   IF(
      INDEX(Load_Booking_Report!AM:AM,
             MATCH(TRUE,
                     ISNUMBER(FIND(SUBSTITUTE(C456," ",""),
                                    Load_Booking_Report!AL:AL)),
                     0)
      )=0,
      "",
      INDEX(Load_Booking_Report!AM:AM,
             MATCH(TRUE,
                     ISNUMBER(FIND(SUBSTITUTE(C456," ",""),
                                    Load_Booking_Report!AL:AL)),
                     0)
      )
   ),
   ""
)</f>
        <v/>
      </c>
      <c r="V456" s="21">
        <f t="array" ref="V456">IFERROR(
   IF(
      INDEX(Load_Booking_Report!AR:AR,
             MATCH(TRUE,
                     ISNUMBER(FIND(SUBSTITUTE(C456," ",""),
                                    Load_Booking_Report!AL:AL)),
                     0)
      )=0,
      "",
      INDEX(Load_Booking_Report!AR:AR,
             MATCH(TRUE,
                     ISNUMBER(FIND(SUBSTITUTE(C456," ",""),
                                    Load_Booking_Report!AL:AL)),
                     0)
      )
   ),
   ""
)</f>
        <v/>
      </c>
      <c r="W456" s="21">
        <f t="array" ref="W456">IFERROR(INDEX(Load_Booking_Report!F:F, MATCH(TRUE, ISNUMBER(FIND(SUBSTITUTE(C456," ",""), Load_Booking_Report!AL:AL)), 0)), "Not Found")</f>
        <v/>
      </c>
      <c r="X456" s="21">
        <f t="array" ref="X456">IFERROR(INDEX(Load_Booking_Report!N:N, MATCH(TRUE, ISNUMBER(FIND(SUBSTITUTE(C456," ",""), Load_Booking_Report!AL:AL)), 0)), "Not Found")</f>
        <v/>
      </c>
      <c r="Y456" s="21">
        <f t="array" ref="Y456">IFERROR(INDEX(Load_Booking_Report!V:V, MATCH(TRUE, ISNUMBER(FIND(SUBSTITUTE(C456," ",""), Load_Booking_Report!AL:AL)), 0)), "Not Found")</f>
        <v/>
      </c>
      <c r="Z456" s="41">
        <f t="array" ref="Z456">IFERROR(INDEX(Load_Booking_Report!BC:BC, MATCH(TRUE, ISNUMBER(FIND(SUBSTITUTE(C456," ",""), Load_Booking_Report!AL:AL)), 0)), "Not Found")</f>
        <v/>
      </c>
    </row>
    <row r="457">
      <c r="A457" t="n">
        <v>18</v>
      </c>
      <c r="B457" t="n">
        <v>180884</v>
      </c>
      <c r="C457" t="inlineStr">
        <is>
          <t>ANON0000000</t>
        </is>
      </c>
      <c r="D457" t="n">
        <v>40</v>
      </c>
      <c r="E457" t="inlineStr">
        <is>
          <t>USNFK</t>
        </is>
      </c>
      <c r="F457" t="inlineStr">
        <is>
          <t>RULED</t>
        </is>
      </c>
      <c r="G457" t="n">
        <v>32860</v>
      </c>
      <c r="H457" t="inlineStr">
        <is>
          <t>ART</t>
        </is>
      </c>
      <c r="I457" t="inlineStr">
        <is>
          <t>45R1</t>
        </is>
      </c>
      <c r="K457" t="inlineStr">
        <is>
          <t>-18.0:CEL</t>
        </is>
      </c>
      <c r="L457" t="inlineStr">
        <is>
          <t>9'6</t>
        </is>
      </c>
      <c r="M457" t="inlineStr">
        <is>
          <t>Full</t>
        </is>
      </c>
      <c r="N457" t="inlineStr">
        <is>
          <t>RULED</t>
        </is>
      </c>
      <c r="P457" s="21">
        <f>C457</f>
        <v/>
      </c>
      <c r="Q457" s="21">
        <f t="array" ref="Q457">IFERROR(INDEX(Load_Booking_Report!AC:AC, MATCH(TRUE, ISNUMBER(FIND(SUBSTITUTE(C457," ",""), Load_Booking_Report!AL:AL)), 0)), "Not Found")</f>
        <v/>
      </c>
      <c r="R457" s="21">
        <f t="array" ref="R457">IFERROR(INDEX(Load_Booking_Report!C:C, MATCH(TRUE, ISNUMBER(FIND(SUBSTITUTE(C457," ",""), Load_Booking_Report!AL:AL)), 0)), "Not Found")</f>
        <v/>
      </c>
      <c r="S457" s="21">
        <f t="array" ref="S457">IFERROR(INDEX(Load_Booking_Report!AG:AG, MATCH(TRUE, ISNUMBER(FIND(SUBSTITUTE(C457," ",""), Load_Booking_Report!AL:AL)), 0)), "Not Found")</f>
        <v/>
      </c>
      <c r="T457" s="21">
        <f>G457</f>
        <v/>
      </c>
      <c r="U457" s="33">
        <f t="array" ref="U457">IFERROR(
   IF(
      INDEX(Load_Booking_Report!AM:AM,
             MATCH(TRUE,
                     ISNUMBER(FIND(SUBSTITUTE(C457," ",""),
                                    Load_Booking_Report!AL:AL)),
                     0)
      )=0,
      "",
      INDEX(Load_Booking_Report!AM:AM,
             MATCH(TRUE,
                     ISNUMBER(FIND(SUBSTITUTE(C457," ",""),
                                    Load_Booking_Report!AL:AL)),
                     0)
      )
   ),
   ""
)</f>
        <v/>
      </c>
      <c r="V457" s="21">
        <f t="array" ref="V457">IFERROR(
   IF(
      INDEX(Load_Booking_Report!AR:AR,
             MATCH(TRUE,
                     ISNUMBER(FIND(SUBSTITUTE(C457," ",""),
                                    Load_Booking_Report!AL:AL)),
                     0)
      )=0,
      "",
      INDEX(Load_Booking_Report!AR:AR,
             MATCH(TRUE,
                     ISNUMBER(FIND(SUBSTITUTE(C457," ",""),
                                    Load_Booking_Report!AL:AL)),
                     0)
      )
   ),
   ""
)</f>
        <v/>
      </c>
      <c r="W457" s="21">
        <f t="array" ref="W457">IFERROR(INDEX(Load_Booking_Report!F:F, MATCH(TRUE, ISNUMBER(FIND(SUBSTITUTE(C457," ",""), Load_Booking_Report!AL:AL)), 0)), "Not Found")</f>
        <v/>
      </c>
      <c r="X457" s="21">
        <f t="array" ref="X457">IFERROR(INDEX(Load_Booking_Report!N:N, MATCH(TRUE, ISNUMBER(FIND(SUBSTITUTE(C457," ",""), Load_Booking_Report!AL:AL)), 0)), "Not Found")</f>
        <v/>
      </c>
      <c r="Y457" s="21">
        <f t="array" ref="Y457">IFERROR(INDEX(Load_Booking_Report!V:V, MATCH(TRUE, ISNUMBER(FIND(SUBSTITUTE(C457," ",""), Load_Booking_Report!AL:AL)), 0)), "Not Found")</f>
        <v/>
      </c>
      <c r="Z457" s="41">
        <f t="array" ref="Z457">IFERROR(INDEX(Load_Booking_Report!BC:BC, MATCH(TRUE, ISNUMBER(FIND(SUBSTITUTE(C457," ",""), Load_Booking_Report!AL:AL)), 0)), "Not Found")</f>
        <v/>
      </c>
    </row>
    <row r="458">
      <c r="A458" t="n">
        <v>2</v>
      </c>
      <c r="B458" t="n">
        <v>20582</v>
      </c>
      <c r="C458" t="inlineStr">
        <is>
          <t>ANON0000000</t>
        </is>
      </c>
      <c r="D458" t="n">
        <v>40</v>
      </c>
      <c r="E458" t="inlineStr">
        <is>
          <t>USNFK</t>
        </is>
      </c>
      <c r="F458" t="inlineStr">
        <is>
          <t>RULED</t>
        </is>
      </c>
      <c r="G458" t="n">
        <v>32820</v>
      </c>
      <c r="H458" t="inlineStr">
        <is>
          <t>ART</t>
        </is>
      </c>
      <c r="I458" t="inlineStr">
        <is>
          <t>45R1</t>
        </is>
      </c>
      <c r="K458" t="inlineStr">
        <is>
          <t>-18.0:CEL</t>
        </is>
      </c>
      <c r="L458" t="inlineStr">
        <is>
          <t>9'6</t>
        </is>
      </c>
      <c r="M458" t="inlineStr">
        <is>
          <t>Full</t>
        </is>
      </c>
      <c r="N458" t="inlineStr">
        <is>
          <t>RULED</t>
        </is>
      </c>
      <c r="P458" s="21">
        <f>C458</f>
        <v/>
      </c>
      <c r="Q458" s="21">
        <f t="array" ref="Q458">IFERROR(INDEX(Load_Booking_Report!AC:AC, MATCH(TRUE, ISNUMBER(FIND(SUBSTITUTE(C458," ",""), Load_Booking_Report!AL:AL)), 0)), "Not Found")</f>
        <v/>
      </c>
      <c r="R458" s="21">
        <f t="array" ref="R458">IFERROR(INDEX(Load_Booking_Report!C:C, MATCH(TRUE, ISNUMBER(FIND(SUBSTITUTE(C458," ",""), Load_Booking_Report!AL:AL)), 0)), "Not Found")</f>
        <v/>
      </c>
      <c r="S458" s="21">
        <f t="array" ref="S458">IFERROR(INDEX(Load_Booking_Report!AG:AG, MATCH(TRUE, ISNUMBER(FIND(SUBSTITUTE(C458," ",""), Load_Booking_Report!AL:AL)), 0)), "Not Found")</f>
        <v/>
      </c>
      <c r="T458" s="21">
        <f>G458</f>
        <v/>
      </c>
      <c r="U458" s="33">
        <f t="array" ref="U458">IFERROR(
   IF(
      INDEX(Load_Booking_Report!AM:AM,
             MATCH(TRUE,
                     ISNUMBER(FIND(SUBSTITUTE(C458," ",""),
                                    Load_Booking_Report!AL:AL)),
                     0)
      )=0,
      "",
      INDEX(Load_Booking_Report!AM:AM,
             MATCH(TRUE,
                     ISNUMBER(FIND(SUBSTITUTE(C458," ",""),
                                    Load_Booking_Report!AL:AL)),
                     0)
      )
   ),
   ""
)</f>
        <v/>
      </c>
      <c r="V458" s="21">
        <f t="array" ref="V458">IFERROR(
   IF(
      INDEX(Load_Booking_Report!AR:AR,
             MATCH(TRUE,
                     ISNUMBER(FIND(SUBSTITUTE(C458," ",""),
                                    Load_Booking_Report!AL:AL)),
                     0)
      )=0,
      "",
      INDEX(Load_Booking_Report!AR:AR,
             MATCH(TRUE,
                     ISNUMBER(FIND(SUBSTITUTE(C458," ",""),
                                    Load_Booking_Report!AL:AL)),
                     0)
      )
   ),
   ""
)</f>
        <v/>
      </c>
      <c r="W458" s="21">
        <f t="array" ref="W458">IFERROR(INDEX(Load_Booking_Report!F:F, MATCH(TRUE, ISNUMBER(FIND(SUBSTITUTE(C458," ",""), Load_Booking_Report!AL:AL)), 0)), "Not Found")</f>
        <v/>
      </c>
      <c r="X458" s="21">
        <f t="array" ref="X458">IFERROR(INDEX(Load_Booking_Report!N:N, MATCH(TRUE, ISNUMBER(FIND(SUBSTITUTE(C458," ",""), Load_Booking_Report!AL:AL)), 0)), "Not Found")</f>
        <v/>
      </c>
      <c r="Y458" s="21">
        <f t="array" ref="Y458">IFERROR(INDEX(Load_Booking_Report!V:V, MATCH(TRUE, ISNUMBER(FIND(SUBSTITUTE(C458," ",""), Load_Booking_Report!AL:AL)), 0)), "Not Found")</f>
        <v/>
      </c>
      <c r="Z458" s="41">
        <f t="array" ref="Z458">IFERROR(INDEX(Load_Booking_Report!BC:BC, MATCH(TRUE, ISNUMBER(FIND(SUBSTITUTE(C458," ",""), Load_Booking_Report!AL:AL)), 0)), "Not Found")</f>
        <v/>
      </c>
    </row>
    <row r="459">
      <c r="A459" t="n">
        <v>18</v>
      </c>
      <c r="B459" t="n">
        <v>181084</v>
      </c>
      <c r="C459" t="inlineStr">
        <is>
          <t>ANON0000000</t>
        </is>
      </c>
      <c r="D459" t="n">
        <v>40</v>
      </c>
      <c r="E459" t="inlineStr">
        <is>
          <t>USNFK</t>
        </is>
      </c>
      <c r="F459" t="inlineStr">
        <is>
          <t>RULED</t>
        </is>
      </c>
      <c r="G459" t="n">
        <v>32520</v>
      </c>
      <c r="H459" t="inlineStr">
        <is>
          <t>ART</t>
        </is>
      </c>
      <c r="I459" t="inlineStr">
        <is>
          <t>45R1</t>
        </is>
      </c>
      <c r="K459" t="inlineStr">
        <is>
          <t>-18.0:CEL</t>
        </is>
      </c>
      <c r="L459" t="inlineStr">
        <is>
          <t>9'6</t>
        </is>
      </c>
      <c r="M459" t="inlineStr">
        <is>
          <t>Full</t>
        </is>
      </c>
      <c r="N459" t="inlineStr">
        <is>
          <t>RULED</t>
        </is>
      </c>
      <c r="P459" s="21">
        <f>C459</f>
        <v/>
      </c>
      <c r="Q459" s="21">
        <f t="array" ref="Q459">IFERROR(INDEX(Load_Booking_Report!AC:AC, MATCH(TRUE, ISNUMBER(FIND(SUBSTITUTE(C459," ",""), Load_Booking_Report!AL:AL)), 0)), "Not Found")</f>
        <v/>
      </c>
      <c r="R459" s="21">
        <f t="array" ref="R459">IFERROR(INDEX(Load_Booking_Report!C:C, MATCH(TRUE, ISNUMBER(FIND(SUBSTITUTE(C459," ",""), Load_Booking_Report!AL:AL)), 0)), "Not Found")</f>
        <v/>
      </c>
      <c r="S459" s="21">
        <f t="array" ref="S459">IFERROR(INDEX(Load_Booking_Report!AG:AG, MATCH(TRUE, ISNUMBER(FIND(SUBSTITUTE(C459," ",""), Load_Booking_Report!AL:AL)), 0)), "Not Found")</f>
        <v/>
      </c>
      <c r="T459" s="21">
        <f>G459</f>
        <v/>
      </c>
      <c r="U459" s="33">
        <f t="array" ref="U459">IFERROR(
   IF(
      INDEX(Load_Booking_Report!AM:AM,
             MATCH(TRUE,
                     ISNUMBER(FIND(SUBSTITUTE(C459," ",""),
                                    Load_Booking_Report!AL:AL)),
                     0)
      )=0,
      "",
      INDEX(Load_Booking_Report!AM:AM,
             MATCH(TRUE,
                     ISNUMBER(FIND(SUBSTITUTE(C459," ",""),
                                    Load_Booking_Report!AL:AL)),
                     0)
      )
   ),
   ""
)</f>
        <v/>
      </c>
      <c r="V459" s="21">
        <f t="array" ref="V459">IFERROR(
   IF(
      INDEX(Load_Booking_Report!AR:AR,
             MATCH(TRUE,
                     ISNUMBER(FIND(SUBSTITUTE(C459," ",""),
                                    Load_Booking_Report!AL:AL)),
                     0)
      )=0,
      "",
      INDEX(Load_Booking_Report!AR:AR,
             MATCH(TRUE,
                     ISNUMBER(FIND(SUBSTITUTE(C459," ",""),
                                    Load_Booking_Report!AL:AL)),
                     0)
      )
   ),
   ""
)</f>
        <v/>
      </c>
      <c r="W459" s="21">
        <f t="array" ref="W459">IFERROR(INDEX(Load_Booking_Report!F:F, MATCH(TRUE, ISNUMBER(FIND(SUBSTITUTE(C459," ",""), Load_Booking_Report!AL:AL)), 0)), "Not Found")</f>
        <v/>
      </c>
      <c r="X459" s="21">
        <f t="array" ref="X459">IFERROR(INDEX(Load_Booking_Report!N:N, MATCH(TRUE, ISNUMBER(FIND(SUBSTITUTE(C459," ",""), Load_Booking_Report!AL:AL)), 0)), "Not Found")</f>
        <v/>
      </c>
      <c r="Y459" s="21">
        <f t="array" ref="Y459">IFERROR(INDEX(Load_Booking_Report!V:V, MATCH(TRUE, ISNUMBER(FIND(SUBSTITUTE(C459," ",""), Load_Booking_Report!AL:AL)), 0)), "Not Found")</f>
        <v/>
      </c>
      <c r="Z459" s="41">
        <f t="array" ref="Z459">IFERROR(INDEX(Load_Booking_Report!BC:BC, MATCH(TRUE, ISNUMBER(FIND(SUBSTITUTE(C459," ",""), Load_Booking_Report!AL:AL)), 0)), "Not Found")</f>
        <v/>
      </c>
    </row>
    <row r="460">
      <c r="A460" t="n">
        <v>40</v>
      </c>
      <c r="B460" t="n">
        <v>400084</v>
      </c>
      <c r="C460" t="inlineStr">
        <is>
          <t>ANON0000000</t>
        </is>
      </c>
      <c r="D460" t="n">
        <v>40</v>
      </c>
      <c r="E460" t="inlineStr">
        <is>
          <t>USNFK</t>
        </is>
      </c>
      <c r="F460" t="inlineStr">
        <is>
          <t>RULED</t>
        </is>
      </c>
      <c r="G460" t="n">
        <v>32760</v>
      </c>
      <c r="H460" t="inlineStr">
        <is>
          <t>ART</t>
        </is>
      </c>
      <c r="I460" t="inlineStr">
        <is>
          <t>45R1</t>
        </is>
      </c>
      <c r="K460" t="inlineStr">
        <is>
          <t>-18.0:CEL</t>
        </is>
      </c>
      <c r="L460" t="inlineStr">
        <is>
          <t>9'6</t>
        </is>
      </c>
      <c r="M460" t="inlineStr">
        <is>
          <t>Full</t>
        </is>
      </c>
      <c r="N460" t="inlineStr">
        <is>
          <t>RULED</t>
        </is>
      </c>
      <c r="P460" s="21">
        <f>C460</f>
        <v/>
      </c>
      <c r="Q460" s="21">
        <f t="array" ref="Q460">IFERROR(INDEX(Load_Booking_Report!AC:AC, MATCH(TRUE, ISNUMBER(FIND(SUBSTITUTE(C460," ",""), Load_Booking_Report!AL:AL)), 0)), "Not Found")</f>
        <v/>
      </c>
      <c r="R460" s="21">
        <f t="array" ref="R460">IFERROR(INDEX(Load_Booking_Report!C:C, MATCH(TRUE, ISNUMBER(FIND(SUBSTITUTE(C460," ",""), Load_Booking_Report!AL:AL)), 0)), "Not Found")</f>
        <v/>
      </c>
      <c r="S460" s="21">
        <f t="array" ref="S460">IFERROR(INDEX(Load_Booking_Report!AG:AG, MATCH(TRUE, ISNUMBER(FIND(SUBSTITUTE(C460," ",""), Load_Booking_Report!AL:AL)), 0)), "Not Found")</f>
        <v/>
      </c>
      <c r="T460" s="21">
        <f>G460</f>
        <v/>
      </c>
      <c r="U460" s="33">
        <f t="array" ref="U460">IFERROR(
   IF(
      INDEX(Load_Booking_Report!AM:AM,
             MATCH(TRUE,
                     ISNUMBER(FIND(SUBSTITUTE(C460," ",""),
                                    Load_Booking_Report!AL:AL)),
                     0)
      )=0,
      "",
      INDEX(Load_Booking_Report!AM:AM,
             MATCH(TRUE,
                     ISNUMBER(FIND(SUBSTITUTE(C460," ",""),
                                    Load_Booking_Report!AL:AL)),
                     0)
      )
   ),
   ""
)</f>
        <v/>
      </c>
      <c r="V460" s="21">
        <f t="array" ref="V460">IFERROR(
   IF(
      INDEX(Load_Booking_Report!AR:AR,
             MATCH(TRUE,
                     ISNUMBER(FIND(SUBSTITUTE(C460," ",""),
                                    Load_Booking_Report!AL:AL)),
                     0)
      )=0,
      "",
      INDEX(Load_Booking_Report!AR:AR,
             MATCH(TRUE,
                     ISNUMBER(FIND(SUBSTITUTE(C460," ",""),
                                    Load_Booking_Report!AL:AL)),
                     0)
      )
   ),
   ""
)</f>
        <v/>
      </c>
      <c r="W460" s="21">
        <f t="array" ref="W460">IFERROR(INDEX(Load_Booking_Report!F:F, MATCH(TRUE, ISNUMBER(FIND(SUBSTITUTE(C460," ",""), Load_Booking_Report!AL:AL)), 0)), "Not Found")</f>
        <v/>
      </c>
      <c r="X460" s="21">
        <f t="array" ref="X460">IFERROR(INDEX(Load_Booking_Report!N:N, MATCH(TRUE, ISNUMBER(FIND(SUBSTITUTE(C460," ",""), Load_Booking_Report!AL:AL)), 0)), "Not Found")</f>
        <v/>
      </c>
      <c r="Y460" s="21">
        <f t="array" ref="Y460">IFERROR(INDEX(Load_Booking_Report!V:V, MATCH(TRUE, ISNUMBER(FIND(SUBSTITUTE(C460," ",""), Load_Booking_Report!AL:AL)), 0)), "Not Found")</f>
        <v/>
      </c>
      <c r="Z460" s="41">
        <f t="array" ref="Z460">IFERROR(INDEX(Load_Booking_Report!BC:BC, MATCH(TRUE, ISNUMBER(FIND(SUBSTITUTE(C460," ",""), Load_Booking_Report!AL:AL)), 0)), "Not Found")</f>
        <v/>
      </c>
    </row>
    <row r="461">
      <c r="A461" t="n">
        <v>2</v>
      </c>
      <c r="B461" t="n">
        <v>20282</v>
      </c>
      <c r="C461" t="inlineStr">
        <is>
          <t>ANON0000000</t>
        </is>
      </c>
      <c r="D461" t="n">
        <v>40</v>
      </c>
      <c r="E461" t="inlineStr">
        <is>
          <t>USNFK</t>
        </is>
      </c>
      <c r="F461" t="inlineStr">
        <is>
          <t>RULED</t>
        </is>
      </c>
      <c r="G461" t="n">
        <v>33420</v>
      </c>
      <c r="H461" t="inlineStr">
        <is>
          <t>ART</t>
        </is>
      </c>
      <c r="I461" t="inlineStr">
        <is>
          <t>45R1</t>
        </is>
      </c>
      <c r="K461" t="inlineStr">
        <is>
          <t>-22.0:CEL</t>
        </is>
      </c>
      <c r="L461" t="inlineStr">
        <is>
          <t>9'6</t>
        </is>
      </c>
      <c r="M461" t="inlineStr">
        <is>
          <t>Full</t>
        </is>
      </c>
      <c r="N461" t="inlineStr">
        <is>
          <t>RULED</t>
        </is>
      </c>
      <c r="P461" s="21">
        <f>C461</f>
        <v/>
      </c>
      <c r="Q461" s="21">
        <f t="array" ref="Q461">IFERROR(INDEX(Load_Booking_Report!AC:AC, MATCH(TRUE, ISNUMBER(FIND(SUBSTITUTE(C461," ",""), Load_Booking_Report!AL:AL)), 0)), "Not Found")</f>
        <v/>
      </c>
      <c r="R461" s="21">
        <f t="array" ref="R461">IFERROR(INDEX(Load_Booking_Report!C:C, MATCH(TRUE, ISNUMBER(FIND(SUBSTITUTE(C461," ",""), Load_Booking_Report!AL:AL)), 0)), "Not Found")</f>
        <v/>
      </c>
      <c r="S461" s="21">
        <f t="array" ref="S461">IFERROR(INDEX(Load_Booking_Report!AG:AG, MATCH(TRUE, ISNUMBER(FIND(SUBSTITUTE(C461," ",""), Load_Booking_Report!AL:AL)), 0)), "Not Found")</f>
        <v/>
      </c>
      <c r="T461" s="21">
        <f>G461</f>
        <v/>
      </c>
      <c r="U461" s="33">
        <f t="array" ref="U461">IFERROR(
   IF(
      INDEX(Load_Booking_Report!AM:AM,
             MATCH(TRUE,
                     ISNUMBER(FIND(SUBSTITUTE(C461," ",""),
                                    Load_Booking_Report!AL:AL)),
                     0)
      )=0,
      "",
      INDEX(Load_Booking_Report!AM:AM,
             MATCH(TRUE,
                     ISNUMBER(FIND(SUBSTITUTE(C461," ",""),
                                    Load_Booking_Report!AL:AL)),
                     0)
      )
   ),
   ""
)</f>
        <v/>
      </c>
      <c r="V461" s="21">
        <f t="array" ref="V461">IFERROR(
   IF(
      INDEX(Load_Booking_Report!AR:AR,
             MATCH(TRUE,
                     ISNUMBER(FIND(SUBSTITUTE(C461," ",""),
                                    Load_Booking_Report!AL:AL)),
                     0)
      )=0,
      "",
      INDEX(Load_Booking_Report!AR:AR,
             MATCH(TRUE,
                     ISNUMBER(FIND(SUBSTITUTE(C461," ",""),
                                    Load_Booking_Report!AL:AL)),
                     0)
      )
   ),
   ""
)</f>
        <v/>
      </c>
      <c r="W461" s="21">
        <f t="array" ref="W461">IFERROR(INDEX(Load_Booking_Report!F:F, MATCH(TRUE, ISNUMBER(FIND(SUBSTITUTE(C461," ",""), Load_Booking_Report!AL:AL)), 0)), "Not Found")</f>
        <v/>
      </c>
      <c r="X461" s="21">
        <f t="array" ref="X461">IFERROR(INDEX(Load_Booking_Report!N:N, MATCH(TRUE, ISNUMBER(FIND(SUBSTITUTE(C461," ",""), Load_Booking_Report!AL:AL)), 0)), "Not Found")</f>
        <v/>
      </c>
      <c r="Y461" s="21">
        <f t="array" ref="Y461">IFERROR(INDEX(Load_Booking_Report!V:V, MATCH(TRUE, ISNUMBER(FIND(SUBSTITUTE(C461," ",""), Load_Booking_Report!AL:AL)), 0)), "Not Found")</f>
        <v/>
      </c>
      <c r="Z461" s="41">
        <f t="array" ref="Z461">IFERROR(INDEX(Load_Booking_Report!BC:BC, MATCH(TRUE, ISNUMBER(FIND(SUBSTITUTE(C461," ",""), Load_Booking_Report!AL:AL)), 0)), "Not Found")</f>
        <v/>
      </c>
    </row>
    <row r="462">
      <c r="A462" t="n">
        <v>22</v>
      </c>
      <c r="B462" t="n">
        <v>220584</v>
      </c>
      <c r="C462" t="inlineStr">
        <is>
          <t>ANON0000000</t>
        </is>
      </c>
      <c r="D462" t="n">
        <v>40</v>
      </c>
      <c r="E462" t="inlineStr">
        <is>
          <t>USNFK</t>
        </is>
      </c>
      <c r="F462" t="inlineStr">
        <is>
          <t>RULED</t>
        </is>
      </c>
      <c r="G462" t="n">
        <v>32840</v>
      </c>
      <c r="H462" t="inlineStr">
        <is>
          <t>ART</t>
        </is>
      </c>
      <c r="I462" t="inlineStr">
        <is>
          <t>45R1</t>
        </is>
      </c>
      <c r="K462" t="inlineStr">
        <is>
          <t>-18.0:CEL</t>
        </is>
      </c>
      <c r="L462" t="inlineStr">
        <is>
          <t>9'6</t>
        </is>
      </c>
      <c r="M462" t="inlineStr">
        <is>
          <t>Full</t>
        </is>
      </c>
      <c r="N462" t="inlineStr">
        <is>
          <t>RULED</t>
        </is>
      </c>
      <c r="P462" s="21">
        <f>C462</f>
        <v/>
      </c>
      <c r="Q462" s="21">
        <f t="array" ref="Q462">IFERROR(INDEX(Load_Booking_Report!AC:AC, MATCH(TRUE, ISNUMBER(FIND(SUBSTITUTE(C462," ",""), Load_Booking_Report!AL:AL)), 0)), "Not Found")</f>
        <v/>
      </c>
      <c r="R462" s="21">
        <f t="array" ref="R462">IFERROR(INDEX(Load_Booking_Report!C:C, MATCH(TRUE, ISNUMBER(FIND(SUBSTITUTE(C462," ",""), Load_Booking_Report!AL:AL)), 0)), "Not Found")</f>
        <v/>
      </c>
      <c r="S462" s="21">
        <f t="array" ref="S462">IFERROR(INDEX(Load_Booking_Report!AG:AG, MATCH(TRUE, ISNUMBER(FIND(SUBSTITUTE(C462," ",""), Load_Booking_Report!AL:AL)), 0)), "Not Found")</f>
        <v/>
      </c>
      <c r="T462" s="21">
        <f>G462</f>
        <v/>
      </c>
      <c r="U462" s="33">
        <f t="array" ref="U462">IFERROR(
   IF(
      INDEX(Load_Booking_Report!AM:AM,
             MATCH(TRUE,
                     ISNUMBER(FIND(SUBSTITUTE(C462," ",""),
                                    Load_Booking_Report!AL:AL)),
                     0)
      )=0,
      "",
      INDEX(Load_Booking_Report!AM:AM,
             MATCH(TRUE,
                     ISNUMBER(FIND(SUBSTITUTE(C462," ",""),
                                    Load_Booking_Report!AL:AL)),
                     0)
      )
   ),
   ""
)</f>
        <v/>
      </c>
      <c r="V462" s="21">
        <f t="array" ref="V462">IFERROR(
   IF(
      INDEX(Load_Booking_Report!AR:AR,
             MATCH(TRUE,
                     ISNUMBER(FIND(SUBSTITUTE(C462," ",""),
                                    Load_Booking_Report!AL:AL)),
                     0)
      )=0,
      "",
      INDEX(Load_Booking_Report!AR:AR,
             MATCH(TRUE,
                     ISNUMBER(FIND(SUBSTITUTE(C462," ",""),
                                    Load_Booking_Report!AL:AL)),
                     0)
      )
   ),
   ""
)</f>
        <v/>
      </c>
      <c r="W462" s="21">
        <f t="array" ref="W462">IFERROR(INDEX(Load_Booking_Report!F:F, MATCH(TRUE, ISNUMBER(FIND(SUBSTITUTE(C462," ",""), Load_Booking_Report!AL:AL)), 0)), "Not Found")</f>
        <v/>
      </c>
      <c r="X462" s="21">
        <f t="array" ref="X462">IFERROR(INDEX(Load_Booking_Report!N:N, MATCH(TRUE, ISNUMBER(FIND(SUBSTITUTE(C462," ",""), Load_Booking_Report!AL:AL)), 0)), "Not Found")</f>
        <v/>
      </c>
      <c r="Y462" s="21">
        <f t="array" ref="Y462">IFERROR(INDEX(Load_Booking_Report!V:V, MATCH(TRUE, ISNUMBER(FIND(SUBSTITUTE(C462," ",""), Load_Booking_Report!AL:AL)), 0)), "Not Found")</f>
        <v/>
      </c>
      <c r="Z462" s="41">
        <f t="array" ref="Z462">IFERROR(INDEX(Load_Booking_Report!BC:BC, MATCH(TRUE, ISNUMBER(FIND(SUBSTITUTE(C462," ",""), Load_Booking_Report!AL:AL)), 0)), "Not Found")</f>
        <v/>
      </c>
    </row>
    <row r="463">
      <c r="A463" t="n">
        <v>2</v>
      </c>
      <c r="B463" t="n">
        <v>20182</v>
      </c>
      <c r="C463" t="inlineStr">
        <is>
          <t>ANON0000000</t>
        </is>
      </c>
      <c r="D463" t="n">
        <v>40</v>
      </c>
      <c r="E463" t="inlineStr">
        <is>
          <t>USNFK</t>
        </is>
      </c>
      <c r="F463" t="inlineStr">
        <is>
          <t>RULED</t>
        </is>
      </c>
      <c r="G463" t="n">
        <v>32940</v>
      </c>
      <c r="H463" t="inlineStr">
        <is>
          <t>ART</t>
        </is>
      </c>
      <c r="I463" t="inlineStr">
        <is>
          <t>45R1</t>
        </is>
      </c>
      <c r="K463" t="inlineStr">
        <is>
          <t>-18.0:CEL</t>
        </is>
      </c>
      <c r="L463" t="inlineStr">
        <is>
          <t>9'6</t>
        </is>
      </c>
      <c r="M463" t="inlineStr">
        <is>
          <t>Full</t>
        </is>
      </c>
      <c r="N463" t="inlineStr">
        <is>
          <t>RULED</t>
        </is>
      </c>
      <c r="P463" s="21">
        <f>C463</f>
        <v/>
      </c>
      <c r="Q463" s="21">
        <f t="array" ref="Q463">IFERROR(INDEX(Load_Booking_Report!AC:AC, MATCH(TRUE, ISNUMBER(FIND(SUBSTITUTE(C463," ",""), Load_Booking_Report!AL:AL)), 0)), "Not Found")</f>
        <v/>
      </c>
      <c r="R463" s="21">
        <f t="array" ref="R463">IFERROR(INDEX(Load_Booking_Report!C:C, MATCH(TRUE, ISNUMBER(FIND(SUBSTITUTE(C463," ",""), Load_Booking_Report!AL:AL)), 0)), "Not Found")</f>
        <v/>
      </c>
      <c r="S463" s="21">
        <f t="array" ref="S463">IFERROR(INDEX(Load_Booking_Report!AG:AG, MATCH(TRUE, ISNUMBER(FIND(SUBSTITUTE(C463," ",""), Load_Booking_Report!AL:AL)), 0)), "Not Found")</f>
        <v/>
      </c>
      <c r="T463" s="21">
        <f>G463</f>
        <v/>
      </c>
      <c r="U463" s="33">
        <f t="array" ref="U463">IFERROR(
   IF(
      INDEX(Load_Booking_Report!AM:AM,
             MATCH(TRUE,
                     ISNUMBER(FIND(SUBSTITUTE(C463," ",""),
                                    Load_Booking_Report!AL:AL)),
                     0)
      )=0,
      "",
      INDEX(Load_Booking_Report!AM:AM,
             MATCH(TRUE,
                     ISNUMBER(FIND(SUBSTITUTE(C463," ",""),
                                    Load_Booking_Report!AL:AL)),
                     0)
      )
   ),
   ""
)</f>
        <v/>
      </c>
      <c r="V463" s="21">
        <f t="array" ref="V463">IFERROR(
   IF(
      INDEX(Load_Booking_Report!AR:AR,
             MATCH(TRUE,
                     ISNUMBER(FIND(SUBSTITUTE(C463," ",""),
                                    Load_Booking_Report!AL:AL)),
                     0)
      )=0,
      "",
      INDEX(Load_Booking_Report!AR:AR,
             MATCH(TRUE,
                     ISNUMBER(FIND(SUBSTITUTE(C463," ",""),
                                    Load_Booking_Report!AL:AL)),
                     0)
      )
   ),
   ""
)</f>
        <v/>
      </c>
      <c r="W463" s="21">
        <f t="array" ref="W463">IFERROR(INDEX(Load_Booking_Report!F:F, MATCH(TRUE, ISNUMBER(FIND(SUBSTITUTE(C463," ",""), Load_Booking_Report!AL:AL)), 0)), "Not Found")</f>
        <v/>
      </c>
      <c r="X463" s="21">
        <f t="array" ref="X463">IFERROR(INDEX(Load_Booking_Report!N:N, MATCH(TRUE, ISNUMBER(FIND(SUBSTITUTE(C463," ",""), Load_Booking_Report!AL:AL)), 0)), "Not Found")</f>
        <v/>
      </c>
      <c r="Y463" s="21">
        <f t="array" ref="Y463">IFERROR(INDEX(Load_Booking_Report!V:V, MATCH(TRUE, ISNUMBER(FIND(SUBSTITUTE(C463," ",""), Load_Booking_Report!AL:AL)), 0)), "Not Found")</f>
        <v/>
      </c>
      <c r="Z463" s="41">
        <f t="array" ref="Z463">IFERROR(INDEX(Load_Booking_Report!BC:BC, MATCH(TRUE, ISNUMBER(FIND(SUBSTITUTE(C463," ",""), Load_Booking_Report!AL:AL)), 0)), "Not Found")</f>
        <v/>
      </c>
    </row>
    <row r="464">
      <c r="A464" t="n">
        <v>18</v>
      </c>
      <c r="B464" t="n">
        <v>180484</v>
      </c>
      <c r="C464" t="inlineStr">
        <is>
          <t>ANON0000000</t>
        </is>
      </c>
      <c r="D464" t="n">
        <v>40</v>
      </c>
      <c r="E464" t="inlineStr">
        <is>
          <t>USNFK</t>
        </is>
      </c>
      <c r="F464" t="inlineStr">
        <is>
          <t>RULED</t>
        </is>
      </c>
      <c r="G464" t="n">
        <v>33940</v>
      </c>
      <c r="H464" t="inlineStr">
        <is>
          <t>ART</t>
        </is>
      </c>
      <c r="I464" t="inlineStr">
        <is>
          <t>45R1</t>
        </is>
      </c>
      <c r="K464" t="inlineStr">
        <is>
          <t>-22.0:CEL</t>
        </is>
      </c>
      <c r="L464" t="inlineStr">
        <is>
          <t>9'6</t>
        </is>
      </c>
      <c r="M464" t="inlineStr">
        <is>
          <t>Full</t>
        </is>
      </c>
      <c r="N464" t="inlineStr">
        <is>
          <t>RULED</t>
        </is>
      </c>
      <c r="P464" s="21">
        <f>C464</f>
        <v/>
      </c>
      <c r="Q464" s="21">
        <f t="array" ref="Q464">IFERROR(INDEX(Load_Booking_Report!AC:AC, MATCH(TRUE, ISNUMBER(FIND(SUBSTITUTE(C464," ",""), Load_Booking_Report!AL:AL)), 0)), "Not Found")</f>
        <v/>
      </c>
      <c r="R464" s="21">
        <f t="array" ref="R464">IFERROR(INDEX(Load_Booking_Report!C:C, MATCH(TRUE, ISNUMBER(FIND(SUBSTITUTE(C464," ",""), Load_Booking_Report!AL:AL)), 0)), "Not Found")</f>
        <v/>
      </c>
      <c r="S464" s="21">
        <f t="array" ref="S464">IFERROR(INDEX(Load_Booking_Report!AG:AG, MATCH(TRUE, ISNUMBER(FIND(SUBSTITUTE(C464," ",""), Load_Booking_Report!AL:AL)), 0)), "Not Found")</f>
        <v/>
      </c>
      <c r="T464" s="21">
        <f>G464</f>
        <v/>
      </c>
      <c r="U464" s="33">
        <f t="array" ref="U464">IFERROR(
   IF(
      INDEX(Load_Booking_Report!AM:AM,
             MATCH(TRUE,
                     ISNUMBER(FIND(SUBSTITUTE(C464," ",""),
                                    Load_Booking_Report!AL:AL)),
                     0)
      )=0,
      "",
      INDEX(Load_Booking_Report!AM:AM,
             MATCH(TRUE,
                     ISNUMBER(FIND(SUBSTITUTE(C464," ",""),
                                    Load_Booking_Report!AL:AL)),
                     0)
      )
   ),
   ""
)</f>
        <v/>
      </c>
      <c r="V464" s="21">
        <f t="array" ref="V464">IFERROR(
   IF(
      INDEX(Load_Booking_Report!AR:AR,
             MATCH(TRUE,
                     ISNUMBER(FIND(SUBSTITUTE(C464," ",""),
                                    Load_Booking_Report!AL:AL)),
                     0)
      )=0,
      "",
      INDEX(Load_Booking_Report!AR:AR,
             MATCH(TRUE,
                     ISNUMBER(FIND(SUBSTITUTE(C464," ",""),
                                    Load_Booking_Report!AL:AL)),
                     0)
      )
   ),
   ""
)</f>
        <v/>
      </c>
      <c r="W464" s="21">
        <f t="array" ref="W464">IFERROR(INDEX(Load_Booking_Report!F:F, MATCH(TRUE, ISNUMBER(FIND(SUBSTITUTE(C464," ",""), Load_Booking_Report!AL:AL)), 0)), "Not Found")</f>
        <v/>
      </c>
      <c r="X464" s="21">
        <f t="array" ref="X464">IFERROR(INDEX(Load_Booking_Report!N:N, MATCH(TRUE, ISNUMBER(FIND(SUBSTITUTE(C464," ",""), Load_Booking_Report!AL:AL)), 0)), "Not Found")</f>
        <v/>
      </c>
      <c r="Y464" s="21">
        <f t="array" ref="Y464">IFERROR(INDEX(Load_Booking_Report!V:V, MATCH(TRUE, ISNUMBER(FIND(SUBSTITUTE(C464," ",""), Load_Booking_Report!AL:AL)), 0)), "Not Found")</f>
        <v/>
      </c>
      <c r="Z464" s="41">
        <f t="array" ref="Z464">IFERROR(INDEX(Load_Booking_Report!BC:BC, MATCH(TRUE, ISNUMBER(FIND(SUBSTITUTE(C464," ",""), Load_Booking_Report!AL:AL)), 0)), "Not Found")</f>
        <v/>
      </c>
    </row>
    <row r="465">
      <c r="A465" t="n">
        <v>6</v>
      </c>
      <c r="B465" t="n">
        <v>60382</v>
      </c>
      <c r="C465" t="inlineStr">
        <is>
          <t>ANON0000000</t>
        </is>
      </c>
      <c r="D465" t="n">
        <v>40</v>
      </c>
      <c r="E465" t="inlineStr">
        <is>
          <t>USNFK</t>
        </is>
      </c>
      <c r="F465" t="inlineStr">
        <is>
          <t>RULED</t>
        </is>
      </c>
      <c r="G465" t="n">
        <v>32620</v>
      </c>
      <c r="H465" t="inlineStr">
        <is>
          <t>ART</t>
        </is>
      </c>
      <c r="I465" t="inlineStr">
        <is>
          <t>45R1</t>
        </is>
      </c>
      <c r="K465" t="inlineStr">
        <is>
          <t>-18.0:CEL</t>
        </is>
      </c>
      <c r="L465" t="inlineStr">
        <is>
          <t>9'6</t>
        </is>
      </c>
      <c r="M465" t="inlineStr">
        <is>
          <t>Full</t>
        </is>
      </c>
      <c r="N465" t="inlineStr">
        <is>
          <t>RULED</t>
        </is>
      </c>
      <c r="P465" s="21">
        <f>C465</f>
        <v/>
      </c>
      <c r="Q465" s="21">
        <f t="array" ref="Q465">IFERROR(INDEX(Load_Booking_Report!AC:AC, MATCH(TRUE, ISNUMBER(FIND(SUBSTITUTE(C465," ",""), Load_Booking_Report!AL:AL)), 0)), "Not Found")</f>
        <v/>
      </c>
      <c r="R465" s="21">
        <f t="array" ref="R465">IFERROR(INDEX(Load_Booking_Report!C:C, MATCH(TRUE, ISNUMBER(FIND(SUBSTITUTE(C465," ",""), Load_Booking_Report!AL:AL)), 0)), "Not Found")</f>
        <v/>
      </c>
      <c r="S465" s="21">
        <f t="array" ref="S465">IFERROR(INDEX(Load_Booking_Report!AG:AG, MATCH(TRUE, ISNUMBER(FIND(SUBSTITUTE(C465," ",""), Load_Booking_Report!AL:AL)), 0)), "Not Found")</f>
        <v/>
      </c>
      <c r="T465" s="21">
        <f>G465</f>
        <v/>
      </c>
      <c r="U465" s="33">
        <f t="array" ref="U465">IFERROR(
   IF(
      INDEX(Load_Booking_Report!AM:AM,
             MATCH(TRUE,
                     ISNUMBER(FIND(SUBSTITUTE(C465," ",""),
                                    Load_Booking_Report!AL:AL)),
                     0)
      )=0,
      "",
      INDEX(Load_Booking_Report!AM:AM,
             MATCH(TRUE,
                     ISNUMBER(FIND(SUBSTITUTE(C465," ",""),
                                    Load_Booking_Report!AL:AL)),
                     0)
      )
   ),
   ""
)</f>
        <v/>
      </c>
      <c r="V465" s="21">
        <f t="array" ref="V465">IFERROR(
   IF(
      INDEX(Load_Booking_Report!AR:AR,
             MATCH(TRUE,
                     ISNUMBER(FIND(SUBSTITUTE(C465," ",""),
                                    Load_Booking_Report!AL:AL)),
                     0)
      )=0,
      "",
      INDEX(Load_Booking_Report!AR:AR,
             MATCH(TRUE,
                     ISNUMBER(FIND(SUBSTITUTE(C465," ",""),
                                    Load_Booking_Report!AL:AL)),
                     0)
      )
   ),
   ""
)</f>
        <v/>
      </c>
      <c r="W465" s="21">
        <f t="array" ref="W465">IFERROR(INDEX(Load_Booking_Report!F:F, MATCH(TRUE, ISNUMBER(FIND(SUBSTITUTE(C465," ",""), Load_Booking_Report!AL:AL)), 0)), "Not Found")</f>
        <v/>
      </c>
      <c r="X465" s="21">
        <f t="array" ref="X465">IFERROR(INDEX(Load_Booking_Report!N:N, MATCH(TRUE, ISNUMBER(FIND(SUBSTITUTE(C465," ",""), Load_Booking_Report!AL:AL)), 0)), "Not Found")</f>
        <v/>
      </c>
      <c r="Y465" s="21">
        <f t="array" ref="Y465">IFERROR(INDEX(Load_Booking_Report!V:V, MATCH(TRUE, ISNUMBER(FIND(SUBSTITUTE(C465," ",""), Load_Booking_Report!AL:AL)), 0)), "Not Found")</f>
        <v/>
      </c>
      <c r="Z465" s="41">
        <f t="array" ref="Z465">IFERROR(INDEX(Load_Booking_Report!BC:BC, MATCH(TRUE, ISNUMBER(FIND(SUBSTITUTE(C465," ",""), Load_Booking_Report!AL:AL)), 0)), "Not Found")</f>
        <v/>
      </c>
    </row>
    <row r="466">
      <c r="A466" t="n">
        <v>6</v>
      </c>
      <c r="B466" t="n">
        <v>60782</v>
      </c>
      <c r="C466" t="inlineStr">
        <is>
          <t>ANON0000000</t>
        </is>
      </c>
      <c r="D466" t="n">
        <v>40</v>
      </c>
      <c r="E466" t="inlineStr">
        <is>
          <t>USNFK</t>
        </is>
      </c>
      <c r="F466" t="inlineStr">
        <is>
          <t>RULED</t>
        </is>
      </c>
      <c r="G466" t="n">
        <v>32120</v>
      </c>
      <c r="H466" t="inlineStr">
        <is>
          <t>ART</t>
        </is>
      </c>
      <c r="I466" t="inlineStr">
        <is>
          <t>45R1</t>
        </is>
      </c>
      <c r="K466" t="inlineStr">
        <is>
          <t>-18.0:CEL</t>
        </is>
      </c>
      <c r="L466" t="inlineStr">
        <is>
          <t>9'6</t>
        </is>
      </c>
      <c r="M466" t="inlineStr">
        <is>
          <t>Full</t>
        </is>
      </c>
      <c r="N466" t="inlineStr">
        <is>
          <t>RULED</t>
        </is>
      </c>
      <c r="P466" s="21">
        <f>C466</f>
        <v/>
      </c>
      <c r="Q466" s="21">
        <f t="array" ref="Q466">IFERROR(INDEX(Load_Booking_Report!AC:AC, MATCH(TRUE, ISNUMBER(FIND(SUBSTITUTE(C466," ",""), Load_Booking_Report!AL:AL)), 0)), "Not Found")</f>
        <v/>
      </c>
      <c r="R466" s="21">
        <f t="array" ref="R466">IFERROR(INDEX(Load_Booking_Report!C:C, MATCH(TRUE, ISNUMBER(FIND(SUBSTITUTE(C466," ",""), Load_Booking_Report!AL:AL)), 0)), "Not Found")</f>
        <v/>
      </c>
      <c r="S466" s="21">
        <f t="array" ref="S466">IFERROR(INDEX(Load_Booking_Report!AG:AG, MATCH(TRUE, ISNUMBER(FIND(SUBSTITUTE(C466," ",""), Load_Booking_Report!AL:AL)), 0)), "Not Found")</f>
        <v/>
      </c>
      <c r="T466" s="21">
        <f>G466</f>
        <v/>
      </c>
      <c r="U466" s="33">
        <f t="array" ref="U466">IFERROR(
   IF(
      INDEX(Load_Booking_Report!AM:AM,
             MATCH(TRUE,
                     ISNUMBER(FIND(SUBSTITUTE(C466," ",""),
                                    Load_Booking_Report!AL:AL)),
                     0)
      )=0,
      "",
      INDEX(Load_Booking_Report!AM:AM,
             MATCH(TRUE,
                     ISNUMBER(FIND(SUBSTITUTE(C466," ",""),
                                    Load_Booking_Report!AL:AL)),
                     0)
      )
   ),
   ""
)</f>
        <v/>
      </c>
      <c r="V466" s="21">
        <f t="array" ref="V466">IFERROR(
   IF(
      INDEX(Load_Booking_Report!AR:AR,
             MATCH(TRUE,
                     ISNUMBER(FIND(SUBSTITUTE(C466," ",""),
                                    Load_Booking_Report!AL:AL)),
                     0)
      )=0,
      "",
      INDEX(Load_Booking_Report!AR:AR,
             MATCH(TRUE,
                     ISNUMBER(FIND(SUBSTITUTE(C466," ",""),
                                    Load_Booking_Report!AL:AL)),
                     0)
      )
   ),
   ""
)</f>
        <v/>
      </c>
      <c r="W466" s="21">
        <f t="array" ref="W466">IFERROR(INDEX(Load_Booking_Report!F:F, MATCH(TRUE, ISNUMBER(FIND(SUBSTITUTE(C466," ",""), Load_Booking_Report!AL:AL)), 0)), "Not Found")</f>
        <v/>
      </c>
      <c r="X466" s="21">
        <f t="array" ref="X466">IFERROR(INDEX(Load_Booking_Report!N:N, MATCH(TRUE, ISNUMBER(FIND(SUBSTITUTE(C466," ",""), Load_Booking_Report!AL:AL)), 0)), "Not Found")</f>
        <v/>
      </c>
      <c r="Y466" s="21">
        <f t="array" ref="Y466">IFERROR(INDEX(Load_Booking_Report!V:V, MATCH(TRUE, ISNUMBER(FIND(SUBSTITUTE(C466," ",""), Load_Booking_Report!AL:AL)), 0)), "Not Found")</f>
        <v/>
      </c>
      <c r="Z466" s="41">
        <f t="array" ref="Z466">IFERROR(INDEX(Load_Booking_Report!BC:BC, MATCH(TRUE, ISNUMBER(FIND(SUBSTITUTE(C466," ",""), Load_Booking_Report!AL:AL)), 0)), "Not Found")</f>
        <v/>
      </c>
    </row>
    <row r="467">
      <c r="A467" t="n">
        <v>6</v>
      </c>
      <c r="B467" t="n">
        <v>60082</v>
      </c>
      <c r="C467" t="inlineStr">
        <is>
          <t>ANON0000000</t>
        </is>
      </c>
      <c r="D467" t="n">
        <v>40</v>
      </c>
      <c r="E467" t="inlineStr">
        <is>
          <t>USNFK</t>
        </is>
      </c>
      <c r="F467" t="inlineStr">
        <is>
          <t>RULED</t>
        </is>
      </c>
      <c r="G467" t="n">
        <v>32600</v>
      </c>
      <c r="H467" t="inlineStr">
        <is>
          <t>ART</t>
        </is>
      </c>
      <c r="I467" t="inlineStr">
        <is>
          <t>45R1</t>
        </is>
      </c>
      <c r="K467" t="inlineStr">
        <is>
          <t>-18.0:CEL</t>
        </is>
      </c>
      <c r="L467" t="inlineStr">
        <is>
          <t>9'6</t>
        </is>
      </c>
      <c r="M467" t="inlineStr">
        <is>
          <t>Full</t>
        </is>
      </c>
      <c r="N467" t="inlineStr">
        <is>
          <t>RULED</t>
        </is>
      </c>
      <c r="P467" s="21">
        <f>C467</f>
        <v/>
      </c>
      <c r="Q467" s="21">
        <f t="array" ref="Q467">IFERROR(INDEX(Load_Booking_Report!AC:AC, MATCH(TRUE, ISNUMBER(FIND(SUBSTITUTE(C467," ",""), Load_Booking_Report!AL:AL)), 0)), "Not Found")</f>
        <v/>
      </c>
      <c r="R467" s="21">
        <f t="array" ref="R467">IFERROR(INDEX(Load_Booking_Report!C:C, MATCH(TRUE, ISNUMBER(FIND(SUBSTITUTE(C467," ",""), Load_Booking_Report!AL:AL)), 0)), "Not Found")</f>
        <v/>
      </c>
      <c r="S467" s="21">
        <f t="array" ref="S467">IFERROR(INDEX(Load_Booking_Report!AG:AG, MATCH(TRUE, ISNUMBER(FIND(SUBSTITUTE(C467," ",""), Load_Booking_Report!AL:AL)), 0)), "Not Found")</f>
        <v/>
      </c>
      <c r="T467" s="21">
        <f>G467</f>
        <v/>
      </c>
      <c r="U467" s="33">
        <f t="array" ref="U467">IFERROR(
   IF(
      INDEX(Load_Booking_Report!AM:AM,
             MATCH(TRUE,
                     ISNUMBER(FIND(SUBSTITUTE(C467," ",""),
                                    Load_Booking_Report!AL:AL)),
                     0)
      )=0,
      "",
      INDEX(Load_Booking_Report!AM:AM,
             MATCH(TRUE,
                     ISNUMBER(FIND(SUBSTITUTE(C467," ",""),
                                    Load_Booking_Report!AL:AL)),
                     0)
      )
   ),
   ""
)</f>
        <v/>
      </c>
      <c r="V467" s="21">
        <f t="array" ref="V467">IFERROR(
   IF(
      INDEX(Load_Booking_Report!AR:AR,
             MATCH(TRUE,
                     ISNUMBER(FIND(SUBSTITUTE(C467," ",""),
                                    Load_Booking_Report!AL:AL)),
                     0)
      )=0,
      "",
      INDEX(Load_Booking_Report!AR:AR,
             MATCH(TRUE,
                     ISNUMBER(FIND(SUBSTITUTE(C467," ",""),
                                    Load_Booking_Report!AL:AL)),
                     0)
      )
   ),
   ""
)</f>
        <v/>
      </c>
      <c r="W467" s="21">
        <f t="array" ref="W467">IFERROR(INDEX(Load_Booking_Report!F:F, MATCH(TRUE, ISNUMBER(FIND(SUBSTITUTE(C467," ",""), Load_Booking_Report!AL:AL)), 0)), "Not Found")</f>
        <v/>
      </c>
      <c r="X467" s="21">
        <f t="array" ref="X467">IFERROR(INDEX(Load_Booking_Report!N:N, MATCH(TRUE, ISNUMBER(FIND(SUBSTITUTE(C467," ",""), Load_Booking_Report!AL:AL)), 0)), "Not Found")</f>
        <v/>
      </c>
      <c r="Y467" s="21">
        <f t="array" ref="Y467">IFERROR(INDEX(Load_Booking_Report!V:V, MATCH(TRUE, ISNUMBER(FIND(SUBSTITUTE(C467," ",""), Load_Booking_Report!AL:AL)), 0)), "Not Found")</f>
        <v/>
      </c>
      <c r="Z467" s="41">
        <f t="array" ref="Z467">IFERROR(INDEX(Load_Booking_Report!BC:BC, MATCH(TRUE, ISNUMBER(FIND(SUBSTITUTE(C467," ",""), Load_Booking_Report!AL:AL)), 0)), "Not Found")</f>
        <v/>
      </c>
    </row>
    <row r="468">
      <c r="A468" t="n">
        <v>18</v>
      </c>
      <c r="B468" t="n">
        <v>180384</v>
      </c>
      <c r="C468" t="inlineStr">
        <is>
          <t>ANON0000000</t>
        </is>
      </c>
      <c r="D468" t="n">
        <v>40</v>
      </c>
      <c r="E468" t="inlineStr">
        <is>
          <t>USNFK</t>
        </is>
      </c>
      <c r="F468" t="inlineStr">
        <is>
          <t>RULED</t>
        </is>
      </c>
      <c r="G468" t="n">
        <v>32780</v>
      </c>
      <c r="H468" t="inlineStr">
        <is>
          <t>ART</t>
        </is>
      </c>
      <c r="I468" t="inlineStr">
        <is>
          <t>45R1</t>
        </is>
      </c>
      <c r="K468" t="inlineStr">
        <is>
          <t>-18.0:CEL</t>
        </is>
      </c>
      <c r="L468" t="inlineStr">
        <is>
          <t>9'6</t>
        </is>
      </c>
      <c r="M468" t="inlineStr">
        <is>
          <t>Full</t>
        </is>
      </c>
      <c r="N468" t="inlineStr">
        <is>
          <t>RULED</t>
        </is>
      </c>
      <c r="P468" s="21">
        <f>C468</f>
        <v/>
      </c>
      <c r="Q468" s="21">
        <f t="array" ref="Q468">IFERROR(INDEX(Load_Booking_Report!AC:AC, MATCH(TRUE, ISNUMBER(FIND(SUBSTITUTE(C468," ",""), Load_Booking_Report!AL:AL)), 0)), "Not Found")</f>
        <v/>
      </c>
      <c r="R468" s="21">
        <f t="array" ref="R468">IFERROR(INDEX(Load_Booking_Report!C:C, MATCH(TRUE, ISNUMBER(FIND(SUBSTITUTE(C468," ",""), Load_Booking_Report!AL:AL)), 0)), "Not Found")</f>
        <v/>
      </c>
      <c r="S468" s="21">
        <f t="array" ref="S468">IFERROR(INDEX(Load_Booking_Report!AG:AG, MATCH(TRUE, ISNUMBER(FIND(SUBSTITUTE(C468," ",""), Load_Booking_Report!AL:AL)), 0)), "Not Found")</f>
        <v/>
      </c>
      <c r="T468" s="21">
        <f>G468</f>
        <v/>
      </c>
      <c r="U468" s="33">
        <f t="array" ref="U468">IFERROR(
   IF(
      INDEX(Load_Booking_Report!AM:AM,
             MATCH(TRUE,
                     ISNUMBER(FIND(SUBSTITUTE(C468," ",""),
                                    Load_Booking_Report!AL:AL)),
                     0)
      )=0,
      "",
      INDEX(Load_Booking_Report!AM:AM,
             MATCH(TRUE,
                     ISNUMBER(FIND(SUBSTITUTE(C468," ",""),
                                    Load_Booking_Report!AL:AL)),
                     0)
      )
   ),
   ""
)</f>
        <v/>
      </c>
      <c r="V468" s="21">
        <f t="array" ref="V468">IFERROR(
   IF(
      INDEX(Load_Booking_Report!AR:AR,
             MATCH(TRUE,
                     ISNUMBER(FIND(SUBSTITUTE(C468," ",""),
                                    Load_Booking_Report!AL:AL)),
                     0)
      )=0,
      "",
      INDEX(Load_Booking_Report!AR:AR,
             MATCH(TRUE,
                     ISNUMBER(FIND(SUBSTITUTE(C468," ",""),
                                    Load_Booking_Report!AL:AL)),
                     0)
      )
   ),
   ""
)</f>
        <v/>
      </c>
      <c r="W468" s="21">
        <f t="array" ref="W468">IFERROR(INDEX(Load_Booking_Report!F:F, MATCH(TRUE, ISNUMBER(FIND(SUBSTITUTE(C468," ",""), Load_Booking_Report!AL:AL)), 0)), "Not Found")</f>
        <v/>
      </c>
      <c r="X468" s="21">
        <f t="array" ref="X468">IFERROR(INDEX(Load_Booking_Report!N:N, MATCH(TRUE, ISNUMBER(FIND(SUBSTITUTE(C468," ",""), Load_Booking_Report!AL:AL)), 0)), "Not Found")</f>
        <v/>
      </c>
      <c r="Y468" s="21">
        <f t="array" ref="Y468">IFERROR(INDEX(Load_Booking_Report!V:V, MATCH(TRUE, ISNUMBER(FIND(SUBSTITUTE(C468," ",""), Load_Booking_Report!AL:AL)), 0)), "Not Found")</f>
        <v/>
      </c>
      <c r="Z468" s="41">
        <f t="array" ref="Z468">IFERROR(INDEX(Load_Booking_Report!BC:BC, MATCH(TRUE, ISNUMBER(FIND(SUBSTITUTE(C468," ",""), Load_Booking_Report!AL:AL)), 0)), "Not Found")</f>
        <v/>
      </c>
    </row>
    <row r="469">
      <c r="A469" t="n">
        <v>18</v>
      </c>
      <c r="B469" t="n">
        <v>180784</v>
      </c>
      <c r="C469" t="inlineStr">
        <is>
          <t>ANON0000000</t>
        </is>
      </c>
      <c r="D469" t="n">
        <v>40</v>
      </c>
      <c r="E469" t="inlineStr">
        <is>
          <t>USNFK</t>
        </is>
      </c>
      <c r="F469" t="inlineStr">
        <is>
          <t>RULED</t>
        </is>
      </c>
      <c r="G469" t="n">
        <v>32920</v>
      </c>
      <c r="H469" t="inlineStr">
        <is>
          <t>ART</t>
        </is>
      </c>
      <c r="I469" t="inlineStr">
        <is>
          <t>45R1</t>
        </is>
      </c>
      <c r="K469" t="inlineStr">
        <is>
          <t>-18.0:CEL</t>
        </is>
      </c>
      <c r="L469" t="inlineStr">
        <is>
          <t>9'6</t>
        </is>
      </c>
      <c r="M469" t="inlineStr">
        <is>
          <t>Full</t>
        </is>
      </c>
      <c r="N469" t="inlineStr">
        <is>
          <t>RULED</t>
        </is>
      </c>
      <c r="P469" s="21">
        <f>C469</f>
        <v/>
      </c>
      <c r="Q469" s="21">
        <f t="array" ref="Q469">IFERROR(INDEX(Load_Booking_Report!AC:AC, MATCH(TRUE, ISNUMBER(FIND(SUBSTITUTE(C469," ",""), Load_Booking_Report!AL:AL)), 0)), "Not Found")</f>
        <v/>
      </c>
      <c r="R469" s="21">
        <f t="array" ref="R469">IFERROR(INDEX(Load_Booking_Report!C:C, MATCH(TRUE, ISNUMBER(FIND(SUBSTITUTE(C469," ",""), Load_Booking_Report!AL:AL)), 0)), "Not Found")</f>
        <v/>
      </c>
      <c r="S469" s="21">
        <f t="array" ref="S469">IFERROR(INDEX(Load_Booking_Report!AG:AG, MATCH(TRUE, ISNUMBER(FIND(SUBSTITUTE(C469," ",""), Load_Booking_Report!AL:AL)), 0)), "Not Found")</f>
        <v/>
      </c>
      <c r="T469" s="21">
        <f>G469</f>
        <v/>
      </c>
      <c r="U469" s="33">
        <f t="array" ref="U469">IFERROR(
   IF(
      INDEX(Load_Booking_Report!AM:AM,
             MATCH(TRUE,
                     ISNUMBER(FIND(SUBSTITUTE(C469," ",""),
                                    Load_Booking_Report!AL:AL)),
                     0)
      )=0,
      "",
      INDEX(Load_Booking_Report!AM:AM,
             MATCH(TRUE,
                     ISNUMBER(FIND(SUBSTITUTE(C469," ",""),
                                    Load_Booking_Report!AL:AL)),
                     0)
      )
   ),
   ""
)</f>
        <v/>
      </c>
      <c r="V469" s="21">
        <f t="array" ref="V469">IFERROR(
   IF(
      INDEX(Load_Booking_Report!AR:AR,
             MATCH(TRUE,
                     ISNUMBER(FIND(SUBSTITUTE(C469," ",""),
                                    Load_Booking_Report!AL:AL)),
                     0)
      )=0,
      "",
      INDEX(Load_Booking_Report!AR:AR,
             MATCH(TRUE,
                     ISNUMBER(FIND(SUBSTITUTE(C469," ",""),
                                    Load_Booking_Report!AL:AL)),
                     0)
      )
   ),
   ""
)</f>
        <v/>
      </c>
      <c r="W469" s="21">
        <f t="array" ref="W469">IFERROR(INDEX(Load_Booking_Report!F:F, MATCH(TRUE, ISNUMBER(FIND(SUBSTITUTE(C469," ",""), Load_Booking_Report!AL:AL)), 0)), "Not Found")</f>
        <v/>
      </c>
      <c r="X469" s="21">
        <f t="array" ref="X469">IFERROR(INDEX(Load_Booking_Report!N:N, MATCH(TRUE, ISNUMBER(FIND(SUBSTITUTE(C469," ",""), Load_Booking_Report!AL:AL)), 0)), "Not Found")</f>
        <v/>
      </c>
      <c r="Y469" s="21">
        <f t="array" ref="Y469">IFERROR(INDEX(Load_Booking_Report!V:V, MATCH(TRUE, ISNUMBER(FIND(SUBSTITUTE(C469," ",""), Load_Booking_Report!AL:AL)), 0)), "Not Found")</f>
        <v/>
      </c>
      <c r="Z469" s="41">
        <f t="array" ref="Z469">IFERROR(INDEX(Load_Booking_Report!BC:BC, MATCH(TRUE, ISNUMBER(FIND(SUBSTITUTE(C469," ",""), Load_Booking_Report!AL:AL)), 0)), "Not Found")</f>
        <v/>
      </c>
    </row>
    <row r="470">
      <c r="A470" t="n">
        <v>6</v>
      </c>
      <c r="B470" t="n">
        <v>60482</v>
      </c>
      <c r="C470" t="inlineStr">
        <is>
          <t>ANON0000000</t>
        </is>
      </c>
      <c r="D470" t="n">
        <v>40</v>
      </c>
      <c r="E470" t="inlineStr">
        <is>
          <t>USNFK</t>
        </is>
      </c>
      <c r="F470" t="inlineStr">
        <is>
          <t>RULED</t>
        </is>
      </c>
      <c r="G470" t="n">
        <v>33040</v>
      </c>
      <c r="H470" t="inlineStr">
        <is>
          <t>ART</t>
        </is>
      </c>
      <c r="I470" t="inlineStr">
        <is>
          <t>45R1</t>
        </is>
      </c>
      <c r="K470" t="inlineStr">
        <is>
          <t>-18.0:CEL</t>
        </is>
      </c>
      <c r="L470" t="inlineStr">
        <is>
          <t>9'6</t>
        </is>
      </c>
      <c r="M470" t="inlineStr">
        <is>
          <t>Full</t>
        </is>
      </c>
      <c r="N470" t="inlineStr">
        <is>
          <t>RULED</t>
        </is>
      </c>
      <c r="P470" s="21">
        <f>C470</f>
        <v/>
      </c>
      <c r="Q470" s="21">
        <f t="array" ref="Q470">IFERROR(INDEX(Load_Booking_Report!AC:AC, MATCH(TRUE, ISNUMBER(FIND(SUBSTITUTE(C470," ",""), Load_Booking_Report!AL:AL)), 0)), "Not Found")</f>
        <v/>
      </c>
      <c r="R470" s="21">
        <f t="array" ref="R470">IFERROR(INDEX(Load_Booking_Report!C:C, MATCH(TRUE, ISNUMBER(FIND(SUBSTITUTE(C470," ",""), Load_Booking_Report!AL:AL)), 0)), "Not Found")</f>
        <v/>
      </c>
      <c r="S470" s="21">
        <f t="array" ref="S470">IFERROR(INDEX(Load_Booking_Report!AG:AG, MATCH(TRUE, ISNUMBER(FIND(SUBSTITUTE(C470," ",""), Load_Booking_Report!AL:AL)), 0)), "Not Found")</f>
        <v/>
      </c>
      <c r="T470" s="21">
        <f>G470</f>
        <v/>
      </c>
      <c r="U470" s="33">
        <f t="array" ref="U470">IFERROR(
   IF(
      INDEX(Load_Booking_Report!AM:AM,
             MATCH(TRUE,
                     ISNUMBER(FIND(SUBSTITUTE(C470," ",""),
                                    Load_Booking_Report!AL:AL)),
                     0)
      )=0,
      "",
      INDEX(Load_Booking_Report!AM:AM,
             MATCH(TRUE,
                     ISNUMBER(FIND(SUBSTITUTE(C470," ",""),
                                    Load_Booking_Report!AL:AL)),
                     0)
      )
   ),
   ""
)</f>
        <v/>
      </c>
      <c r="V470" s="21">
        <f t="array" ref="V470">IFERROR(
   IF(
      INDEX(Load_Booking_Report!AR:AR,
             MATCH(TRUE,
                     ISNUMBER(FIND(SUBSTITUTE(C470," ",""),
                                    Load_Booking_Report!AL:AL)),
                     0)
      )=0,
      "",
      INDEX(Load_Booking_Report!AR:AR,
             MATCH(TRUE,
                     ISNUMBER(FIND(SUBSTITUTE(C470," ",""),
                                    Load_Booking_Report!AL:AL)),
                     0)
      )
   ),
   ""
)</f>
        <v/>
      </c>
      <c r="W470" s="21">
        <f t="array" ref="W470">IFERROR(INDEX(Load_Booking_Report!F:F, MATCH(TRUE, ISNUMBER(FIND(SUBSTITUTE(C470," ",""), Load_Booking_Report!AL:AL)), 0)), "Not Found")</f>
        <v/>
      </c>
      <c r="X470" s="21">
        <f t="array" ref="X470">IFERROR(INDEX(Load_Booking_Report!N:N, MATCH(TRUE, ISNUMBER(FIND(SUBSTITUTE(C470," ",""), Load_Booking_Report!AL:AL)), 0)), "Not Found")</f>
        <v/>
      </c>
      <c r="Y470" s="21">
        <f t="array" ref="Y470">IFERROR(INDEX(Load_Booking_Report!V:V, MATCH(TRUE, ISNUMBER(FIND(SUBSTITUTE(C470," ",""), Load_Booking_Report!AL:AL)), 0)), "Not Found")</f>
        <v/>
      </c>
      <c r="Z470" s="41">
        <f t="array" ref="Z470">IFERROR(INDEX(Load_Booking_Report!BC:BC, MATCH(TRUE, ISNUMBER(FIND(SUBSTITUTE(C470," ",""), Load_Booking_Report!AL:AL)), 0)), "Not Found")</f>
        <v/>
      </c>
    </row>
    <row r="471">
      <c r="A471" t="n">
        <v>18</v>
      </c>
      <c r="B471" t="n">
        <v>181082</v>
      </c>
      <c r="C471" t="inlineStr">
        <is>
          <t>ANON0000000</t>
        </is>
      </c>
      <c r="D471" t="n">
        <v>40</v>
      </c>
      <c r="E471" t="inlineStr">
        <is>
          <t>USNFK</t>
        </is>
      </c>
      <c r="F471" t="inlineStr">
        <is>
          <t>RULED</t>
        </is>
      </c>
      <c r="G471" t="n">
        <v>32340</v>
      </c>
      <c r="H471" t="inlineStr">
        <is>
          <t>ART</t>
        </is>
      </c>
      <c r="I471" t="inlineStr">
        <is>
          <t>45R1</t>
        </is>
      </c>
      <c r="K471" t="inlineStr">
        <is>
          <t>-18.0:CEL</t>
        </is>
      </c>
      <c r="L471" t="inlineStr">
        <is>
          <t>9'6</t>
        </is>
      </c>
      <c r="M471" t="inlineStr">
        <is>
          <t>Full</t>
        </is>
      </c>
      <c r="N471" t="inlineStr">
        <is>
          <t>RULED</t>
        </is>
      </c>
      <c r="P471" s="21">
        <f>C471</f>
        <v/>
      </c>
      <c r="Q471" s="21">
        <f t="array" ref="Q471">IFERROR(INDEX(Load_Booking_Report!AC:AC, MATCH(TRUE, ISNUMBER(FIND(SUBSTITUTE(C471," ",""), Load_Booking_Report!AL:AL)), 0)), "Not Found")</f>
        <v/>
      </c>
      <c r="R471" s="21">
        <f t="array" ref="R471">IFERROR(INDEX(Load_Booking_Report!C:C, MATCH(TRUE, ISNUMBER(FIND(SUBSTITUTE(C471," ",""), Load_Booking_Report!AL:AL)), 0)), "Not Found")</f>
        <v/>
      </c>
      <c r="S471" s="21">
        <f t="array" ref="S471">IFERROR(INDEX(Load_Booking_Report!AG:AG, MATCH(TRUE, ISNUMBER(FIND(SUBSTITUTE(C471," ",""), Load_Booking_Report!AL:AL)), 0)), "Not Found")</f>
        <v/>
      </c>
      <c r="T471" s="21">
        <f>G471</f>
        <v/>
      </c>
      <c r="U471" s="33">
        <f t="array" ref="U471">IFERROR(
   IF(
      INDEX(Load_Booking_Report!AM:AM,
             MATCH(TRUE,
                     ISNUMBER(FIND(SUBSTITUTE(C471," ",""),
                                    Load_Booking_Report!AL:AL)),
                     0)
      )=0,
      "",
      INDEX(Load_Booking_Report!AM:AM,
             MATCH(TRUE,
                     ISNUMBER(FIND(SUBSTITUTE(C471," ",""),
                                    Load_Booking_Report!AL:AL)),
                     0)
      )
   ),
   ""
)</f>
        <v/>
      </c>
      <c r="V471" s="21">
        <f t="array" ref="V471">IFERROR(
   IF(
      INDEX(Load_Booking_Report!AR:AR,
             MATCH(TRUE,
                     ISNUMBER(FIND(SUBSTITUTE(C471," ",""),
                                    Load_Booking_Report!AL:AL)),
                     0)
      )=0,
      "",
      INDEX(Load_Booking_Report!AR:AR,
             MATCH(TRUE,
                     ISNUMBER(FIND(SUBSTITUTE(C471," ",""),
                                    Load_Booking_Report!AL:AL)),
                     0)
      )
   ),
   ""
)</f>
        <v/>
      </c>
      <c r="W471" s="21">
        <f t="array" ref="W471">IFERROR(INDEX(Load_Booking_Report!F:F, MATCH(TRUE, ISNUMBER(FIND(SUBSTITUTE(C471," ",""), Load_Booking_Report!AL:AL)), 0)), "Not Found")</f>
        <v/>
      </c>
      <c r="X471" s="21">
        <f t="array" ref="X471">IFERROR(INDEX(Load_Booking_Report!N:N, MATCH(TRUE, ISNUMBER(FIND(SUBSTITUTE(C471," ",""), Load_Booking_Report!AL:AL)), 0)), "Not Found")</f>
        <v/>
      </c>
      <c r="Y471" s="21">
        <f t="array" ref="Y471">IFERROR(INDEX(Load_Booking_Report!V:V, MATCH(TRUE, ISNUMBER(FIND(SUBSTITUTE(C471," ",""), Load_Booking_Report!AL:AL)), 0)), "Not Found")</f>
        <v/>
      </c>
      <c r="Z471" s="41">
        <f t="array" ref="Z471">IFERROR(INDEX(Load_Booking_Report!BC:BC, MATCH(TRUE, ISNUMBER(FIND(SUBSTITUTE(C471," ",""), Load_Booking_Report!AL:AL)), 0)), "Not Found")</f>
        <v/>
      </c>
    </row>
    <row r="472">
      <c r="A472" t="n">
        <v>33</v>
      </c>
      <c r="B472" t="n">
        <v>330204</v>
      </c>
      <c r="C472" t="inlineStr">
        <is>
          <t>ANON0000000</t>
        </is>
      </c>
      <c r="D472" t="n">
        <v>20</v>
      </c>
      <c r="E472" t="inlineStr">
        <is>
          <t>USNYC</t>
        </is>
      </c>
      <c r="F472" t="inlineStr">
        <is>
          <t>RULED</t>
        </is>
      </c>
      <c r="G472" t="n">
        <v>26850</v>
      </c>
      <c r="H472" t="inlineStr">
        <is>
          <t>MCL</t>
        </is>
      </c>
      <c r="I472" t="inlineStr">
        <is>
          <t>22G1</t>
        </is>
      </c>
      <c r="L472" t="inlineStr">
        <is>
          <t>8'6</t>
        </is>
      </c>
      <c r="M472" t="inlineStr">
        <is>
          <t>Full</t>
        </is>
      </c>
      <c r="N472" t="inlineStr">
        <is>
          <t>RULED</t>
        </is>
      </c>
      <c r="P472" s="21">
        <f>C472</f>
        <v/>
      </c>
      <c r="Q472" s="21">
        <f t="array" ref="Q472">IFERROR(INDEX(Load_Booking_Report!AC:AC, MATCH(TRUE, ISNUMBER(FIND(SUBSTITUTE(C472," ",""), Load_Booking_Report!AL:AL)), 0)), "Not Found")</f>
        <v/>
      </c>
      <c r="R472" s="21">
        <f t="array" ref="R472">IFERROR(INDEX(Load_Booking_Report!C:C, MATCH(TRUE, ISNUMBER(FIND(SUBSTITUTE(C472," ",""), Load_Booking_Report!AL:AL)), 0)), "Not Found")</f>
        <v/>
      </c>
      <c r="S472" s="21">
        <f t="array" ref="S472">IFERROR(INDEX(Load_Booking_Report!AG:AG, MATCH(TRUE, ISNUMBER(FIND(SUBSTITUTE(C472," ",""), Load_Booking_Report!AL:AL)), 0)), "Not Found")</f>
        <v/>
      </c>
      <c r="T472" s="21">
        <f>G472</f>
        <v/>
      </c>
      <c r="U472" s="33">
        <f t="array" ref="U472">IFERROR(
   IF(
      INDEX(Load_Booking_Report!AM:AM,
             MATCH(TRUE,
                     ISNUMBER(FIND(SUBSTITUTE(C472," ",""),
                                    Load_Booking_Report!AL:AL)),
                     0)
      )=0,
      "",
      INDEX(Load_Booking_Report!AM:AM,
             MATCH(TRUE,
                     ISNUMBER(FIND(SUBSTITUTE(C472," ",""),
                                    Load_Booking_Report!AL:AL)),
                     0)
      )
   ),
   ""
)</f>
        <v/>
      </c>
      <c r="V472" s="21">
        <f t="array" ref="V472">IFERROR(
   IF(
      INDEX(Load_Booking_Report!AR:AR,
             MATCH(TRUE,
                     ISNUMBER(FIND(SUBSTITUTE(C472," ",""),
                                    Load_Booking_Report!AL:AL)),
                     0)
      )=0,
      "",
      INDEX(Load_Booking_Report!AR:AR,
             MATCH(TRUE,
                     ISNUMBER(FIND(SUBSTITUTE(C472," ",""),
                                    Load_Booking_Report!AL:AL)),
                     0)
      )
   ),
   ""
)</f>
        <v/>
      </c>
      <c r="W472" s="21">
        <f t="array" ref="W472">IFERROR(INDEX(Load_Booking_Report!F:F, MATCH(TRUE, ISNUMBER(FIND(SUBSTITUTE(C472," ",""), Load_Booking_Report!AL:AL)), 0)), "Not Found")</f>
        <v/>
      </c>
      <c r="X472" s="21">
        <f t="array" ref="X472">IFERROR(INDEX(Load_Booking_Report!N:N, MATCH(TRUE, ISNUMBER(FIND(SUBSTITUTE(C472," ",""), Load_Booking_Report!AL:AL)), 0)), "Not Found")</f>
        <v/>
      </c>
      <c r="Y472" s="21">
        <f t="array" ref="Y472">IFERROR(INDEX(Load_Booking_Report!V:V, MATCH(TRUE, ISNUMBER(FIND(SUBSTITUTE(C472," ",""), Load_Booking_Report!AL:AL)), 0)), "Not Found")</f>
        <v/>
      </c>
      <c r="Z472" s="41">
        <f t="array" ref="Z472">IFERROR(INDEX(Load_Booking_Report!BC:BC, MATCH(TRUE, ISNUMBER(FIND(SUBSTITUTE(C472," ",""), Load_Booking_Report!AL:AL)), 0)), "Not Found")</f>
        <v/>
      </c>
    </row>
    <row r="473">
      <c r="A473" t="n">
        <v>13</v>
      </c>
      <c r="B473" t="n">
        <v>130606</v>
      </c>
      <c r="C473" t="inlineStr">
        <is>
          <t>ANON0000000</t>
        </is>
      </c>
      <c r="D473" t="n">
        <v>20</v>
      </c>
      <c r="E473" t="inlineStr">
        <is>
          <t>USNFK</t>
        </is>
      </c>
      <c r="F473" t="inlineStr">
        <is>
          <t>RULED</t>
        </is>
      </c>
      <c r="G473" t="n">
        <v>22150</v>
      </c>
      <c r="H473" t="inlineStr">
        <is>
          <t>MCL</t>
        </is>
      </c>
      <c r="I473" t="inlineStr">
        <is>
          <t>22G1</t>
        </is>
      </c>
      <c r="L473" t="inlineStr">
        <is>
          <t>OOG</t>
        </is>
      </c>
      <c r="M473" t="inlineStr">
        <is>
          <t>Full</t>
        </is>
      </c>
      <c r="N473" t="inlineStr">
        <is>
          <t>RULED</t>
        </is>
      </c>
      <c r="P473" s="21">
        <f>C473</f>
        <v/>
      </c>
      <c r="Q473" s="21">
        <f t="array" ref="Q473">IFERROR(INDEX(Load_Booking_Report!AC:AC, MATCH(TRUE, ISNUMBER(FIND(SUBSTITUTE(C473," ",""), Load_Booking_Report!AL:AL)), 0)), "Not Found")</f>
        <v/>
      </c>
      <c r="R473" s="21">
        <f t="array" ref="R473">IFERROR(INDEX(Load_Booking_Report!C:C, MATCH(TRUE, ISNUMBER(FIND(SUBSTITUTE(C473," ",""), Load_Booking_Report!AL:AL)), 0)), "Not Found")</f>
        <v/>
      </c>
      <c r="S473" s="21">
        <f t="array" ref="S473">IFERROR(INDEX(Load_Booking_Report!AG:AG, MATCH(TRUE, ISNUMBER(FIND(SUBSTITUTE(C473," ",""), Load_Booking_Report!AL:AL)), 0)), "Not Found")</f>
        <v/>
      </c>
      <c r="T473" s="21">
        <f>G473</f>
        <v/>
      </c>
      <c r="U473" s="33">
        <f t="array" ref="U473">IFERROR(
   IF(
      INDEX(Load_Booking_Report!AM:AM,
             MATCH(TRUE,
                     ISNUMBER(FIND(SUBSTITUTE(C473," ",""),
                                    Load_Booking_Report!AL:AL)),
                     0)
      )=0,
      "",
      INDEX(Load_Booking_Report!AM:AM,
             MATCH(TRUE,
                     ISNUMBER(FIND(SUBSTITUTE(C473," ",""),
                                    Load_Booking_Report!AL:AL)),
                     0)
      )
   ),
   ""
)</f>
        <v/>
      </c>
      <c r="V473" s="21">
        <f t="array" ref="V473">IFERROR(
   IF(
      INDEX(Load_Booking_Report!AR:AR,
             MATCH(TRUE,
                     ISNUMBER(FIND(SUBSTITUTE(C473," ",""),
                                    Load_Booking_Report!AL:AL)),
                     0)
      )=0,
      "",
      INDEX(Load_Booking_Report!AR:AR,
             MATCH(TRUE,
                     ISNUMBER(FIND(SUBSTITUTE(C473," ",""),
                                    Load_Booking_Report!AL:AL)),
                     0)
      )
   ),
   ""
)</f>
        <v/>
      </c>
      <c r="W473" s="21">
        <f t="array" ref="W473">IFERROR(INDEX(Load_Booking_Report!F:F, MATCH(TRUE, ISNUMBER(FIND(SUBSTITUTE(C473," ",""), Load_Booking_Report!AL:AL)), 0)), "Not Found")</f>
        <v/>
      </c>
      <c r="X473" s="21">
        <f t="array" ref="X473">IFERROR(INDEX(Load_Booking_Report!N:N, MATCH(TRUE, ISNUMBER(FIND(SUBSTITUTE(C473," ",""), Load_Booking_Report!AL:AL)), 0)), "Not Found")</f>
        <v/>
      </c>
      <c r="Y473" s="21">
        <f t="array" ref="Y473">IFERROR(INDEX(Load_Booking_Report!V:V, MATCH(TRUE, ISNUMBER(FIND(SUBSTITUTE(C473," ",""), Load_Booking_Report!AL:AL)), 0)), "Not Found")</f>
        <v/>
      </c>
      <c r="Z473" s="41">
        <f t="array" ref="Z473">IFERROR(INDEX(Load_Booking_Report!BC:BC, MATCH(TRUE, ISNUMBER(FIND(SUBSTITUTE(C473," ",""), Load_Booking_Report!AL:AL)), 0)), "Not Found")</f>
        <v/>
      </c>
    </row>
    <row r="474">
      <c r="A474" t="n">
        <v>19</v>
      </c>
      <c r="B474" t="n">
        <v>190604</v>
      </c>
      <c r="C474" t="inlineStr">
        <is>
          <t>ANON0000000</t>
        </is>
      </c>
      <c r="D474" t="n">
        <v>20</v>
      </c>
      <c r="E474" t="inlineStr">
        <is>
          <t>USNFK</t>
        </is>
      </c>
      <c r="F474" t="inlineStr">
        <is>
          <t>RULED</t>
        </is>
      </c>
      <c r="G474" t="n">
        <v>22150</v>
      </c>
      <c r="H474" t="inlineStr">
        <is>
          <t>MCL</t>
        </is>
      </c>
      <c r="I474" t="inlineStr">
        <is>
          <t>22G1</t>
        </is>
      </c>
      <c r="L474" t="inlineStr">
        <is>
          <t>OOG</t>
        </is>
      </c>
      <c r="M474" t="inlineStr">
        <is>
          <t>Full</t>
        </is>
      </c>
      <c r="N474" t="inlineStr">
        <is>
          <t>RULED</t>
        </is>
      </c>
      <c r="P474" s="21">
        <f>C474</f>
        <v/>
      </c>
      <c r="Q474" s="21">
        <f t="array" ref="Q474">IFERROR(INDEX(Load_Booking_Report!AC:AC, MATCH(TRUE, ISNUMBER(FIND(SUBSTITUTE(C474," ",""), Load_Booking_Report!AL:AL)), 0)), "Not Found")</f>
        <v/>
      </c>
      <c r="R474" s="21">
        <f t="array" ref="R474">IFERROR(INDEX(Load_Booking_Report!C:C, MATCH(TRUE, ISNUMBER(FIND(SUBSTITUTE(C474," ",""), Load_Booking_Report!AL:AL)), 0)), "Not Found")</f>
        <v/>
      </c>
      <c r="S474" s="21">
        <f t="array" ref="S474">IFERROR(INDEX(Load_Booking_Report!AG:AG, MATCH(TRUE, ISNUMBER(FIND(SUBSTITUTE(C474," ",""), Load_Booking_Report!AL:AL)), 0)), "Not Found")</f>
        <v/>
      </c>
      <c r="T474" s="21">
        <f>G474</f>
        <v/>
      </c>
      <c r="U474" s="33">
        <f t="array" ref="U474">IFERROR(
   IF(
      INDEX(Load_Booking_Report!AM:AM,
             MATCH(TRUE,
                     ISNUMBER(FIND(SUBSTITUTE(C474," ",""),
                                    Load_Booking_Report!AL:AL)),
                     0)
      )=0,
      "",
      INDEX(Load_Booking_Report!AM:AM,
             MATCH(TRUE,
                     ISNUMBER(FIND(SUBSTITUTE(C474," ",""),
                                    Load_Booking_Report!AL:AL)),
                     0)
      )
   ),
   ""
)</f>
        <v/>
      </c>
      <c r="V474" s="21">
        <f t="array" ref="V474">IFERROR(
   IF(
      INDEX(Load_Booking_Report!AR:AR,
             MATCH(TRUE,
                     ISNUMBER(FIND(SUBSTITUTE(C474," ",""),
                                    Load_Booking_Report!AL:AL)),
                     0)
      )=0,
      "",
      INDEX(Load_Booking_Report!AR:AR,
             MATCH(TRUE,
                     ISNUMBER(FIND(SUBSTITUTE(C474," ",""),
                                    Load_Booking_Report!AL:AL)),
                     0)
      )
   ),
   ""
)</f>
        <v/>
      </c>
      <c r="W474" s="21">
        <f t="array" ref="W474">IFERROR(INDEX(Load_Booking_Report!F:F, MATCH(TRUE, ISNUMBER(FIND(SUBSTITUTE(C474," ",""), Load_Booking_Report!AL:AL)), 0)), "Not Found")</f>
        <v/>
      </c>
      <c r="X474" s="21">
        <f t="array" ref="X474">IFERROR(INDEX(Load_Booking_Report!N:N, MATCH(TRUE, ISNUMBER(FIND(SUBSTITUTE(C474," ",""), Load_Booking_Report!AL:AL)), 0)), "Not Found")</f>
        <v/>
      </c>
      <c r="Y474" s="21">
        <f t="array" ref="Y474">IFERROR(INDEX(Load_Booking_Report!V:V, MATCH(TRUE, ISNUMBER(FIND(SUBSTITUTE(C474," ",""), Load_Booking_Report!AL:AL)), 0)), "Not Found")</f>
        <v/>
      </c>
      <c r="Z474" s="41">
        <f t="array" ref="Z474">IFERROR(INDEX(Load_Booking_Report!BC:BC, MATCH(TRUE, ISNUMBER(FIND(SUBSTITUTE(C474," ",""), Load_Booking_Report!AL:AL)), 0)), "Not Found")</f>
        <v/>
      </c>
    </row>
    <row r="475">
      <c r="A475" t="n">
        <v>19</v>
      </c>
      <c r="B475" t="n">
        <v>190704</v>
      </c>
      <c r="C475" t="inlineStr">
        <is>
          <t>ANON0000000</t>
        </is>
      </c>
      <c r="D475" t="n">
        <v>20</v>
      </c>
      <c r="E475" t="inlineStr">
        <is>
          <t>USNFK</t>
        </is>
      </c>
      <c r="F475" t="inlineStr">
        <is>
          <t>RULED</t>
        </is>
      </c>
      <c r="G475" t="n">
        <v>21300</v>
      </c>
      <c r="H475" t="inlineStr">
        <is>
          <t>MCL</t>
        </is>
      </c>
      <c r="I475" t="inlineStr">
        <is>
          <t>22G1</t>
        </is>
      </c>
      <c r="L475" t="inlineStr">
        <is>
          <t>OOG</t>
        </is>
      </c>
      <c r="M475" t="inlineStr">
        <is>
          <t>Full</t>
        </is>
      </c>
      <c r="N475" t="inlineStr">
        <is>
          <t>RULED</t>
        </is>
      </c>
      <c r="P475" s="21">
        <f>C475</f>
        <v/>
      </c>
      <c r="Q475" s="21">
        <f t="array" ref="Q475">IFERROR(INDEX(Load_Booking_Report!AC:AC, MATCH(TRUE, ISNUMBER(FIND(SUBSTITUTE(C475," ",""), Load_Booking_Report!AL:AL)), 0)), "Not Found")</f>
        <v/>
      </c>
      <c r="R475" s="21">
        <f t="array" ref="R475">IFERROR(INDEX(Load_Booking_Report!C:C, MATCH(TRUE, ISNUMBER(FIND(SUBSTITUTE(C475," ",""), Load_Booking_Report!AL:AL)), 0)), "Not Found")</f>
        <v/>
      </c>
      <c r="S475" s="21">
        <f t="array" ref="S475">IFERROR(INDEX(Load_Booking_Report!AG:AG, MATCH(TRUE, ISNUMBER(FIND(SUBSTITUTE(C475," ",""), Load_Booking_Report!AL:AL)), 0)), "Not Found")</f>
        <v/>
      </c>
      <c r="T475" s="21">
        <f>G475</f>
        <v/>
      </c>
      <c r="U475" s="33">
        <f t="array" ref="U475">IFERROR(
   IF(
      INDEX(Load_Booking_Report!AM:AM,
             MATCH(TRUE,
                     ISNUMBER(FIND(SUBSTITUTE(C475," ",""),
                                    Load_Booking_Report!AL:AL)),
                     0)
      )=0,
      "",
      INDEX(Load_Booking_Report!AM:AM,
             MATCH(TRUE,
                     ISNUMBER(FIND(SUBSTITUTE(C475," ",""),
                                    Load_Booking_Report!AL:AL)),
                     0)
      )
   ),
   ""
)</f>
        <v/>
      </c>
      <c r="V475" s="21">
        <f t="array" ref="V475">IFERROR(
   IF(
      INDEX(Load_Booking_Report!AR:AR,
             MATCH(TRUE,
                     ISNUMBER(FIND(SUBSTITUTE(C475," ",""),
                                    Load_Booking_Report!AL:AL)),
                     0)
      )=0,
      "",
      INDEX(Load_Booking_Report!AR:AR,
             MATCH(TRUE,
                     ISNUMBER(FIND(SUBSTITUTE(C475," ",""),
                                    Load_Booking_Report!AL:AL)),
                     0)
      )
   ),
   ""
)</f>
        <v/>
      </c>
      <c r="W475" s="21">
        <f t="array" ref="W475">IFERROR(INDEX(Load_Booking_Report!F:F, MATCH(TRUE, ISNUMBER(FIND(SUBSTITUTE(C475," ",""), Load_Booking_Report!AL:AL)), 0)), "Not Found")</f>
        <v/>
      </c>
      <c r="X475" s="21">
        <f t="array" ref="X475">IFERROR(INDEX(Load_Booking_Report!N:N, MATCH(TRUE, ISNUMBER(FIND(SUBSTITUTE(C475," ",""), Load_Booking_Report!AL:AL)), 0)), "Not Found")</f>
        <v/>
      </c>
      <c r="Y475" s="21">
        <f t="array" ref="Y475">IFERROR(INDEX(Load_Booking_Report!V:V, MATCH(TRUE, ISNUMBER(FIND(SUBSTITUTE(C475," ",""), Load_Booking_Report!AL:AL)), 0)), "Not Found")</f>
        <v/>
      </c>
      <c r="Z475" s="41">
        <f t="array" ref="Z475">IFERROR(INDEX(Load_Booking_Report!BC:BC, MATCH(TRUE, ISNUMBER(FIND(SUBSTITUTE(C475," ",""), Load_Booking_Report!AL:AL)), 0)), "Not Found")</f>
        <v/>
      </c>
    </row>
    <row r="476">
      <c r="A476" t="n">
        <v>13</v>
      </c>
      <c r="B476" t="n">
        <v>130404</v>
      </c>
      <c r="C476" t="inlineStr">
        <is>
          <t>ANON0000000</t>
        </is>
      </c>
      <c r="D476" t="n">
        <v>20</v>
      </c>
      <c r="E476" t="inlineStr">
        <is>
          <t>USNFK</t>
        </is>
      </c>
      <c r="F476" t="inlineStr">
        <is>
          <t>RULED</t>
        </is>
      </c>
      <c r="G476" t="n">
        <v>26500</v>
      </c>
      <c r="H476" t="inlineStr">
        <is>
          <t>MCL</t>
        </is>
      </c>
      <c r="I476" t="inlineStr">
        <is>
          <t>22G1</t>
        </is>
      </c>
      <c r="L476" t="inlineStr">
        <is>
          <t>OOG</t>
        </is>
      </c>
      <c r="M476" t="inlineStr">
        <is>
          <t>Full</t>
        </is>
      </c>
      <c r="N476" t="inlineStr">
        <is>
          <t>RULED</t>
        </is>
      </c>
      <c r="P476" s="21">
        <f>C476</f>
        <v/>
      </c>
      <c r="Q476" s="21">
        <f t="array" ref="Q476">IFERROR(INDEX(Load_Booking_Report!AC:AC, MATCH(TRUE, ISNUMBER(FIND(SUBSTITUTE(C476," ",""), Load_Booking_Report!AL:AL)), 0)), "Not Found")</f>
        <v/>
      </c>
      <c r="R476" s="21">
        <f t="array" ref="R476">IFERROR(INDEX(Load_Booking_Report!C:C, MATCH(TRUE, ISNUMBER(FIND(SUBSTITUTE(C476," ",""), Load_Booking_Report!AL:AL)), 0)), "Not Found")</f>
        <v/>
      </c>
      <c r="S476" s="21">
        <f t="array" ref="S476">IFERROR(INDEX(Load_Booking_Report!AG:AG, MATCH(TRUE, ISNUMBER(FIND(SUBSTITUTE(C476," ",""), Load_Booking_Report!AL:AL)), 0)), "Not Found")</f>
        <v/>
      </c>
      <c r="T476" s="21">
        <f>G476</f>
        <v/>
      </c>
      <c r="U476" s="33">
        <f t="array" ref="U476">IFERROR(
   IF(
      INDEX(Load_Booking_Report!AM:AM,
             MATCH(TRUE,
                     ISNUMBER(FIND(SUBSTITUTE(C476," ",""),
                                    Load_Booking_Report!AL:AL)),
                     0)
      )=0,
      "",
      INDEX(Load_Booking_Report!AM:AM,
             MATCH(TRUE,
                     ISNUMBER(FIND(SUBSTITUTE(C476," ",""),
                                    Load_Booking_Report!AL:AL)),
                     0)
      )
   ),
   ""
)</f>
        <v/>
      </c>
      <c r="V476" s="21">
        <f t="array" ref="V476">IFERROR(
   IF(
      INDEX(Load_Booking_Report!AR:AR,
             MATCH(TRUE,
                     ISNUMBER(FIND(SUBSTITUTE(C476," ",""),
                                    Load_Booking_Report!AL:AL)),
                     0)
      )=0,
      "",
      INDEX(Load_Booking_Report!AR:AR,
             MATCH(TRUE,
                     ISNUMBER(FIND(SUBSTITUTE(C476," ",""),
                                    Load_Booking_Report!AL:AL)),
                     0)
      )
   ),
   ""
)</f>
        <v/>
      </c>
      <c r="W476" s="21">
        <f t="array" ref="W476">IFERROR(INDEX(Load_Booking_Report!F:F, MATCH(TRUE, ISNUMBER(FIND(SUBSTITUTE(C476," ",""), Load_Booking_Report!AL:AL)), 0)), "Not Found")</f>
        <v/>
      </c>
      <c r="X476" s="21">
        <f t="array" ref="X476">IFERROR(INDEX(Load_Booking_Report!N:N, MATCH(TRUE, ISNUMBER(FIND(SUBSTITUTE(C476," ",""), Load_Booking_Report!AL:AL)), 0)), "Not Found")</f>
        <v/>
      </c>
      <c r="Y476" s="21">
        <f t="array" ref="Y476">IFERROR(INDEX(Load_Booking_Report!V:V, MATCH(TRUE, ISNUMBER(FIND(SUBSTITUTE(C476," ",""), Load_Booking_Report!AL:AL)), 0)), "Not Found")</f>
        <v/>
      </c>
      <c r="Z476" s="41">
        <f t="array" ref="Z476">IFERROR(INDEX(Load_Booking_Report!BC:BC, MATCH(TRUE, ISNUMBER(FIND(SUBSTITUTE(C476," ",""), Load_Booking_Report!AL:AL)), 0)), "Not Found")</f>
        <v/>
      </c>
    </row>
    <row r="477">
      <c r="A477" t="n">
        <v>27</v>
      </c>
      <c r="B477" t="n">
        <v>270402</v>
      </c>
      <c r="C477" t="inlineStr">
        <is>
          <t>ANON0000000</t>
        </is>
      </c>
      <c r="D477" t="n">
        <v>20</v>
      </c>
      <c r="E477" t="inlineStr">
        <is>
          <t>USNYC</t>
        </is>
      </c>
      <c r="F477" t="inlineStr">
        <is>
          <t>RULED</t>
        </is>
      </c>
      <c r="G477" t="n">
        <v>26990</v>
      </c>
      <c r="H477" t="inlineStr">
        <is>
          <t>MCL</t>
        </is>
      </c>
      <c r="I477" t="inlineStr">
        <is>
          <t>22G1</t>
        </is>
      </c>
      <c r="L477" t="inlineStr">
        <is>
          <t>8'6</t>
        </is>
      </c>
      <c r="M477" t="inlineStr">
        <is>
          <t>Full</t>
        </is>
      </c>
      <c r="N477" t="inlineStr">
        <is>
          <t>RULED</t>
        </is>
      </c>
      <c r="P477" s="21">
        <f>C477</f>
        <v/>
      </c>
      <c r="Q477" s="21">
        <f t="array" ref="Q477">IFERROR(INDEX(Load_Booking_Report!AC:AC, MATCH(TRUE, ISNUMBER(FIND(SUBSTITUTE(C477," ",""), Load_Booking_Report!AL:AL)), 0)), "Not Found")</f>
        <v/>
      </c>
      <c r="R477" s="21">
        <f t="array" ref="R477">IFERROR(INDEX(Load_Booking_Report!C:C, MATCH(TRUE, ISNUMBER(FIND(SUBSTITUTE(C477," ",""), Load_Booking_Report!AL:AL)), 0)), "Not Found")</f>
        <v/>
      </c>
      <c r="S477" s="21">
        <f t="array" ref="S477">IFERROR(INDEX(Load_Booking_Report!AG:AG, MATCH(TRUE, ISNUMBER(FIND(SUBSTITUTE(C477," ",""), Load_Booking_Report!AL:AL)), 0)), "Not Found")</f>
        <v/>
      </c>
      <c r="T477" s="21">
        <f>G477</f>
        <v/>
      </c>
      <c r="U477" s="33">
        <f t="array" ref="U477">IFERROR(
   IF(
      INDEX(Load_Booking_Report!AM:AM,
             MATCH(TRUE,
                     ISNUMBER(FIND(SUBSTITUTE(C477," ",""),
                                    Load_Booking_Report!AL:AL)),
                     0)
      )=0,
      "",
      INDEX(Load_Booking_Report!AM:AM,
             MATCH(TRUE,
                     ISNUMBER(FIND(SUBSTITUTE(C477," ",""),
                                    Load_Booking_Report!AL:AL)),
                     0)
      )
   ),
   ""
)</f>
        <v/>
      </c>
      <c r="V477" s="21">
        <f t="array" ref="V477">IFERROR(
   IF(
      INDEX(Load_Booking_Report!AR:AR,
             MATCH(TRUE,
                     ISNUMBER(FIND(SUBSTITUTE(C477," ",""),
                                    Load_Booking_Report!AL:AL)),
                     0)
      )=0,
      "",
      INDEX(Load_Booking_Report!AR:AR,
             MATCH(TRUE,
                     ISNUMBER(FIND(SUBSTITUTE(C477," ",""),
                                    Load_Booking_Report!AL:AL)),
                     0)
      )
   ),
   ""
)</f>
        <v/>
      </c>
      <c r="W477" s="21">
        <f t="array" ref="W477">IFERROR(INDEX(Load_Booking_Report!F:F, MATCH(TRUE, ISNUMBER(FIND(SUBSTITUTE(C477," ",""), Load_Booking_Report!AL:AL)), 0)), "Not Found")</f>
        <v/>
      </c>
      <c r="X477" s="21">
        <f t="array" ref="X477">IFERROR(INDEX(Load_Booking_Report!N:N, MATCH(TRUE, ISNUMBER(FIND(SUBSTITUTE(C477," ",""), Load_Booking_Report!AL:AL)), 0)), "Not Found")</f>
        <v/>
      </c>
      <c r="Y477" s="21">
        <f t="array" ref="Y477">IFERROR(INDEX(Load_Booking_Report!V:V, MATCH(TRUE, ISNUMBER(FIND(SUBSTITUTE(C477," ",""), Load_Booking_Report!AL:AL)), 0)), "Not Found")</f>
        <v/>
      </c>
      <c r="Z477" s="41">
        <f t="array" ref="Z477">IFERROR(INDEX(Load_Booking_Report!BC:BC, MATCH(TRUE, ISNUMBER(FIND(SUBSTITUTE(C477," ",""), Load_Booking_Report!AL:AL)), 0)), "Not Found")</f>
        <v/>
      </c>
    </row>
    <row r="478">
      <c r="A478" t="n">
        <v>17</v>
      </c>
      <c r="B478" t="n">
        <v>170404</v>
      </c>
      <c r="C478" t="inlineStr">
        <is>
          <t>ANON0000000</t>
        </is>
      </c>
      <c r="D478" t="n">
        <v>20</v>
      </c>
      <c r="E478" t="inlineStr">
        <is>
          <t>USNFK</t>
        </is>
      </c>
      <c r="F478" t="inlineStr">
        <is>
          <t>RULED</t>
        </is>
      </c>
      <c r="G478" t="n">
        <v>27010</v>
      </c>
      <c r="H478" t="inlineStr">
        <is>
          <t>MCL</t>
        </is>
      </c>
      <c r="I478" t="inlineStr">
        <is>
          <t>22G1</t>
        </is>
      </c>
      <c r="L478" t="inlineStr">
        <is>
          <t>OOG</t>
        </is>
      </c>
      <c r="M478" t="inlineStr">
        <is>
          <t>Full</t>
        </is>
      </c>
      <c r="N478" t="inlineStr">
        <is>
          <t>RULED</t>
        </is>
      </c>
      <c r="P478" s="21">
        <f>C478</f>
        <v/>
      </c>
      <c r="Q478" s="21">
        <f t="array" ref="Q478">IFERROR(INDEX(Load_Booking_Report!AC:AC, MATCH(TRUE, ISNUMBER(FIND(SUBSTITUTE(C478," ",""), Load_Booking_Report!AL:AL)), 0)), "Not Found")</f>
        <v/>
      </c>
      <c r="R478" s="21">
        <f t="array" ref="R478">IFERROR(INDEX(Load_Booking_Report!C:C, MATCH(TRUE, ISNUMBER(FIND(SUBSTITUTE(C478," ",""), Load_Booking_Report!AL:AL)), 0)), "Not Found")</f>
        <v/>
      </c>
      <c r="S478" s="21">
        <f t="array" ref="S478">IFERROR(INDEX(Load_Booking_Report!AG:AG, MATCH(TRUE, ISNUMBER(FIND(SUBSTITUTE(C478," ",""), Load_Booking_Report!AL:AL)), 0)), "Not Found")</f>
        <v/>
      </c>
      <c r="T478" s="21">
        <f>G478</f>
        <v/>
      </c>
      <c r="U478" s="33">
        <f t="array" ref="U478">IFERROR(
   IF(
      INDEX(Load_Booking_Report!AM:AM,
             MATCH(TRUE,
                     ISNUMBER(FIND(SUBSTITUTE(C478," ",""),
                                    Load_Booking_Report!AL:AL)),
                     0)
      )=0,
      "",
      INDEX(Load_Booking_Report!AM:AM,
             MATCH(TRUE,
                     ISNUMBER(FIND(SUBSTITUTE(C478," ",""),
                                    Load_Booking_Report!AL:AL)),
                     0)
      )
   ),
   ""
)</f>
        <v/>
      </c>
      <c r="V478" s="21">
        <f t="array" ref="V478">IFERROR(
   IF(
      INDEX(Load_Booking_Report!AR:AR,
             MATCH(TRUE,
                     ISNUMBER(FIND(SUBSTITUTE(C478," ",""),
                                    Load_Booking_Report!AL:AL)),
                     0)
      )=0,
      "",
      INDEX(Load_Booking_Report!AR:AR,
             MATCH(TRUE,
                     ISNUMBER(FIND(SUBSTITUTE(C478," ",""),
                                    Load_Booking_Report!AL:AL)),
                     0)
      )
   ),
   ""
)</f>
        <v/>
      </c>
      <c r="W478" s="21">
        <f t="array" ref="W478">IFERROR(INDEX(Load_Booking_Report!F:F, MATCH(TRUE, ISNUMBER(FIND(SUBSTITUTE(C478," ",""), Load_Booking_Report!AL:AL)), 0)), "Not Found")</f>
        <v/>
      </c>
      <c r="X478" s="21">
        <f t="array" ref="X478">IFERROR(INDEX(Load_Booking_Report!N:N, MATCH(TRUE, ISNUMBER(FIND(SUBSTITUTE(C478," ",""), Load_Booking_Report!AL:AL)), 0)), "Not Found")</f>
        <v/>
      </c>
      <c r="Y478" s="21">
        <f t="array" ref="Y478">IFERROR(INDEX(Load_Booking_Report!V:V, MATCH(TRUE, ISNUMBER(FIND(SUBSTITUTE(C478," ",""), Load_Booking_Report!AL:AL)), 0)), "Not Found")</f>
        <v/>
      </c>
      <c r="Z478" s="41">
        <f t="array" ref="Z478">IFERROR(INDEX(Load_Booking_Report!BC:BC, MATCH(TRUE, ISNUMBER(FIND(SUBSTITUTE(C478," ",""), Load_Booking_Report!AL:AL)), 0)), "Not Found")</f>
        <v/>
      </c>
    </row>
    <row r="479">
      <c r="A479" t="n">
        <v>13</v>
      </c>
      <c r="B479" t="n">
        <v>130304</v>
      </c>
      <c r="C479" t="inlineStr">
        <is>
          <t>ANON0000000</t>
        </is>
      </c>
      <c r="D479" t="n">
        <v>20</v>
      </c>
      <c r="E479" t="inlineStr">
        <is>
          <t>USNFK</t>
        </is>
      </c>
      <c r="F479" t="inlineStr">
        <is>
          <t>RULED</t>
        </is>
      </c>
      <c r="G479" t="n">
        <v>26430</v>
      </c>
      <c r="H479" t="inlineStr">
        <is>
          <t>MCL</t>
        </is>
      </c>
      <c r="I479" t="inlineStr">
        <is>
          <t>22G1</t>
        </is>
      </c>
      <c r="L479" t="inlineStr">
        <is>
          <t>OOG</t>
        </is>
      </c>
      <c r="M479" t="inlineStr">
        <is>
          <t>Full</t>
        </is>
      </c>
      <c r="N479" t="inlineStr">
        <is>
          <t>RULED</t>
        </is>
      </c>
      <c r="P479" s="21">
        <f>C479</f>
        <v/>
      </c>
      <c r="Q479" s="21">
        <f t="array" ref="Q479">IFERROR(INDEX(Load_Booking_Report!AC:AC, MATCH(TRUE, ISNUMBER(FIND(SUBSTITUTE(C479," ",""), Load_Booking_Report!AL:AL)), 0)), "Not Found")</f>
        <v/>
      </c>
      <c r="R479" s="21">
        <f t="array" ref="R479">IFERROR(INDEX(Load_Booking_Report!C:C, MATCH(TRUE, ISNUMBER(FIND(SUBSTITUTE(C479," ",""), Load_Booking_Report!AL:AL)), 0)), "Not Found")</f>
        <v/>
      </c>
      <c r="S479" s="21">
        <f t="array" ref="S479">IFERROR(INDEX(Load_Booking_Report!AG:AG, MATCH(TRUE, ISNUMBER(FIND(SUBSTITUTE(C479," ",""), Load_Booking_Report!AL:AL)), 0)), "Not Found")</f>
        <v/>
      </c>
      <c r="T479" s="21">
        <f>G479</f>
        <v/>
      </c>
      <c r="U479" s="33">
        <f t="array" ref="U479">IFERROR(
   IF(
      INDEX(Load_Booking_Report!AM:AM,
             MATCH(TRUE,
                     ISNUMBER(FIND(SUBSTITUTE(C479," ",""),
                                    Load_Booking_Report!AL:AL)),
                     0)
      )=0,
      "",
      INDEX(Load_Booking_Report!AM:AM,
             MATCH(TRUE,
                     ISNUMBER(FIND(SUBSTITUTE(C479," ",""),
                                    Load_Booking_Report!AL:AL)),
                     0)
      )
   ),
   ""
)</f>
        <v/>
      </c>
      <c r="V479" s="21">
        <f t="array" ref="V479">IFERROR(
   IF(
      INDEX(Load_Booking_Report!AR:AR,
             MATCH(TRUE,
                     ISNUMBER(FIND(SUBSTITUTE(C479," ",""),
                                    Load_Booking_Report!AL:AL)),
                     0)
      )=0,
      "",
      INDEX(Load_Booking_Report!AR:AR,
             MATCH(TRUE,
                     ISNUMBER(FIND(SUBSTITUTE(C479," ",""),
                                    Load_Booking_Report!AL:AL)),
                     0)
      )
   ),
   ""
)</f>
        <v/>
      </c>
      <c r="W479" s="21">
        <f t="array" ref="W479">IFERROR(INDEX(Load_Booking_Report!F:F, MATCH(TRUE, ISNUMBER(FIND(SUBSTITUTE(C479," ",""), Load_Booking_Report!AL:AL)), 0)), "Not Found")</f>
        <v/>
      </c>
      <c r="X479" s="21">
        <f t="array" ref="X479">IFERROR(INDEX(Load_Booking_Report!N:N, MATCH(TRUE, ISNUMBER(FIND(SUBSTITUTE(C479," ",""), Load_Booking_Report!AL:AL)), 0)), "Not Found")</f>
        <v/>
      </c>
      <c r="Y479" s="21">
        <f t="array" ref="Y479">IFERROR(INDEX(Load_Booking_Report!V:V, MATCH(TRUE, ISNUMBER(FIND(SUBSTITUTE(C479," ",""), Load_Booking_Report!AL:AL)), 0)), "Not Found")</f>
        <v/>
      </c>
      <c r="Z479" s="41">
        <f t="array" ref="Z479">IFERROR(INDEX(Load_Booking_Report!BC:BC, MATCH(TRUE, ISNUMBER(FIND(SUBSTITUTE(C479," ",""), Load_Booking_Report!AL:AL)), 0)), "Not Found")</f>
        <v/>
      </c>
    </row>
    <row r="480">
      <c r="A480" t="n">
        <v>9</v>
      </c>
      <c r="B480" t="n">
        <v>90404</v>
      </c>
      <c r="C480" t="inlineStr">
        <is>
          <t>ANON0000000</t>
        </is>
      </c>
      <c r="D480" t="n">
        <v>20</v>
      </c>
      <c r="E480" t="inlineStr">
        <is>
          <t>USNFK</t>
        </is>
      </c>
      <c r="F480" t="inlineStr">
        <is>
          <t>RULED</t>
        </is>
      </c>
      <c r="G480" t="n">
        <v>26010</v>
      </c>
      <c r="H480" t="inlineStr">
        <is>
          <t>MCL</t>
        </is>
      </c>
      <c r="I480" t="inlineStr">
        <is>
          <t>22G1</t>
        </is>
      </c>
      <c r="L480" t="inlineStr">
        <is>
          <t>8'6</t>
        </is>
      </c>
      <c r="M480" t="inlineStr">
        <is>
          <t>Full</t>
        </is>
      </c>
      <c r="N480" t="inlineStr">
        <is>
          <t>RULED</t>
        </is>
      </c>
      <c r="P480" s="21">
        <f>C480</f>
        <v/>
      </c>
      <c r="Q480" s="21">
        <f t="array" ref="Q480">IFERROR(INDEX(Load_Booking_Report!AC:AC, MATCH(TRUE, ISNUMBER(FIND(SUBSTITUTE(C480," ",""), Load_Booking_Report!AL:AL)), 0)), "Not Found")</f>
        <v/>
      </c>
      <c r="R480" s="21">
        <f t="array" ref="R480">IFERROR(INDEX(Load_Booking_Report!C:C, MATCH(TRUE, ISNUMBER(FIND(SUBSTITUTE(C480," ",""), Load_Booking_Report!AL:AL)), 0)), "Not Found")</f>
        <v/>
      </c>
      <c r="S480" s="21">
        <f t="array" ref="S480">IFERROR(INDEX(Load_Booking_Report!AG:AG, MATCH(TRUE, ISNUMBER(FIND(SUBSTITUTE(C480," ",""), Load_Booking_Report!AL:AL)), 0)), "Not Found")</f>
        <v/>
      </c>
      <c r="T480" s="21">
        <f>G480</f>
        <v/>
      </c>
      <c r="U480" s="33">
        <f t="array" ref="U480">IFERROR(
   IF(
      INDEX(Load_Booking_Report!AM:AM,
             MATCH(TRUE,
                     ISNUMBER(FIND(SUBSTITUTE(C480," ",""),
                                    Load_Booking_Report!AL:AL)),
                     0)
      )=0,
      "",
      INDEX(Load_Booking_Report!AM:AM,
             MATCH(TRUE,
                     ISNUMBER(FIND(SUBSTITUTE(C480," ",""),
                                    Load_Booking_Report!AL:AL)),
                     0)
      )
   ),
   ""
)</f>
        <v/>
      </c>
      <c r="V480" s="21">
        <f t="array" ref="V480">IFERROR(
   IF(
      INDEX(Load_Booking_Report!AR:AR,
             MATCH(TRUE,
                     ISNUMBER(FIND(SUBSTITUTE(C480," ",""),
                                    Load_Booking_Report!AL:AL)),
                     0)
      )=0,
      "",
      INDEX(Load_Booking_Report!AR:AR,
             MATCH(TRUE,
                     ISNUMBER(FIND(SUBSTITUTE(C480," ",""),
                                    Load_Booking_Report!AL:AL)),
                     0)
      )
   ),
   ""
)</f>
        <v/>
      </c>
      <c r="W480" s="21">
        <f t="array" ref="W480">IFERROR(INDEX(Load_Booking_Report!F:F, MATCH(TRUE, ISNUMBER(FIND(SUBSTITUTE(C480," ",""), Load_Booking_Report!AL:AL)), 0)), "Not Found")</f>
        <v/>
      </c>
      <c r="X480" s="21">
        <f t="array" ref="X480">IFERROR(INDEX(Load_Booking_Report!N:N, MATCH(TRUE, ISNUMBER(FIND(SUBSTITUTE(C480," ",""), Load_Booking_Report!AL:AL)), 0)), "Not Found")</f>
        <v/>
      </c>
      <c r="Y480" s="21">
        <f t="array" ref="Y480">IFERROR(INDEX(Load_Booking_Report!V:V, MATCH(TRUE, ISNUMBER(FIND(SUBSTITUTE(C480," ",""), Load_Booking_Report!AL:AL)), 0)), "Not Found")</f>
        <v/>
      </c>
      <c r="Z480" s="41">
        <f t="array" ref="Z480">IFERROR(INDEX(Load_Booking_Report!BC:BC, MATCH(TRUE, ISNUMBER(FIND(SUBSTITUTE(C480," ",""), Load_Booking_Report!AL:AL)), 0)), "Not Found")</f>
        <v/>
      </c>
    </row>
    <row r="481">
      <c r="A481" t="n">
        <v>27</v>
      </c>
      <c r="B481" t="n">
        <v>270504</v>
      </c>
      <c r="C481" t="inlineStr">
        <is>
          <t>ANON0000000</t>
        </is>
      </c>
      <c r="D481" t="n">
        <v>20</v>
      </c>
      <c r="E481" t="inlineStr">
        <is>
          <t>USNYC</t>
        </is>
      </c>
      <c r="F481" t="inlineStr">
        <is>
          <t>RULED</t>
        </is>
      </c>
      <c r="G481" t="n">
        <v>26970</v>
      </c>
      <c r="H481" t="inlineStr">
        <is>
          <t>MCL</t>
        </is>
      </c>
      <c r="I481" t="inlineStr">
        <is>
          <t>22G1</t>
        </is>
      </c>
      <c r="L481" t="inlineStr">
        <is>
          <t>8'6</t>
        </is>
      </c>
      <c r="M481" t="inlineStr">
        <is>
          <t>Full</t>
        </is>
      </c>
      <c r="N481" t="inlineStr">
        <is>
          <t>RULED</t>
        </is>
      </c>
      <c r="P481" s="21">
        <f>C481</f>
        <v/>
      </c>
      <c r="Q481" s="21">
        <f t="array" ref="Q481">IFERROR(INDEX(Load_Booking_Report!AC:AC, MATCH(TRUE, ISNUMBER(FIND(SUBSTITUTE(C481," ",""), Load_Booking_Report!AL:AL)), 0)), "Not Found")</f>
        <v/>
      </c>
      <c r="R481" s="21">
        <f t="array" ref="R481">IFERROR(INDEX(Load_Booking_Report!C:C, MATCH(TRUE, ISNUMBER(FIND(SUBSTITUTE(C481," ",""), Load_Booking_Report!AL:AL)), 0)), "Not Found")</f>
        <v/>
      </c>
      <c r="S481" s="21">
        <f t="array" ref="S481">IFERROR(INDEX(Load_Booking_Report!AG:AG, MATCH(TRUE, ISNUMBER(FIND(SUBSTITUTE(C481," ",""), Load_Booking_Report!AL:AL)), 0)), "Not Found")</f>
        <v/>
      </c>
      <c r="T481" s="21">
        <f>G481</f>
        <v/>
      </c>
      <c r="U481" s="33">
        <f t="array" ref="U481">IFERROR(
   IF(
      INDEX(Load_Booking_Report!AM:AM,
             MATCH(TRUE,
                     ISNUMBER(FIND(SUBSTITUTE(C481," ",""),
                                    Load_Booking_Report!AL:AL)),
                     0)
      )=0,
      "",
      INDEX(Load_Booking_Report!AM:AM,
             MATCH(TRUE,
                     ISNUMBER(FIND(SUBSTITUTE(C481," ",""),
                                    Load_Booking_Report!AL:AL)),
                     0)
      )
   ),
   ""
)</f>
        <v/>
      </c>
      <c r="V481" s="21">
        <f t="array" ref="V481">IFERROR(
   IF(
      INDEX(Load_Booking_Report!AR:AR,
             MATCH(TRUE,
                     ISNUMBER(FIND(SUBSTITUTE(C481," ",""),
                                    Load_Booking_Report!AL:AL)),
                     0)
      )=0,
      "",
      INDEX(Load_Booking_Report!AR:AR,
             MATCH(TRUE,
                     ISNUMBER(FIND(SUBSTITUTE(C481," ",""),
                                    Load_Booking_Report!AL:AL)),
                     0)
      )
   ),
   ""
)</f>
        <v/>
      </c>
      <c r="W481" s="21">
        <f t="array" ref="W481">IFERROR(INDEX(Load_Booking_Report!F:F, MATCH(TRUE, ISNUMBER(FIND(SUBSTITUTE(C481," ",""), Load_Booking_Report!AL:AL)), 0)), "Not Found")</f>
        <v/>
      </c>
      <c r="X481" s="21">
        <f t="array" ref="X481">IFERROR(INDEX(Load_Booking_Report!N:N, MATCH(TRUE, ISNUMBER(FIND(SUBSTITUTE(C481," ",""), Load_Booking_Report!AL:AL)), 0)), "Not Found")</f>
        <v/>
      </c>
      <c r="Y481" s="21">
        <f t="array" ref="Y481">IFERROR(INDEX(Load_Booking_Report!V:V, MATCH(TRUE, ISNUMBER(FIND(SUBSTITUTE(C481," ",""), Load_Booking_Report!AL:AL)), 0)), "Not Found")</f>
        <v/>
      </c>
      <c r="Z481" s="41">
        <f t="array" ref="Z481">IFERROR(INDEX(Load_Booking_Report!BC:BC, MATCH(TRUE, ISNUMBER(FIND(SUBSTITUTE(C481," ",""), Load_Booking_Report!AL:AL)), 0)), "Not Found")</f>
        <v/>
      </c>
    </row>
    <row r="482">
      <c r="A482" t="n">
        <v>25</v>
      </c>
      <c r="B482" t="n">
        <v>250704</v>
      </c>
      <c r="C482" t="inlineStr">
        <is>
          <t>ANON0000000</t>
        </is>
      </c>
      <c r="D482" t="n">
        <v>20</v>
      </c>
      <c r="E482" t="inlineStr">
        <is>
          <t>USNYC</t>
        </is>
      </c>
      <c r="F482" t="inlineStr">
        <is>
          <t>RULED</t>
        </is>
      </c>
      <c r="G482" t="n">
        <v>26970</v>
      </c>
      <c r="H482" t="inlineStr">
        <is>
          <t>MCL</t>
        </is>
      </c>
      <c r="I482" t="inlineStr">
        <is>
          <t>22G1</t>
        </is>
      </c>
      <c r="L482" t="inlineStr">
        <is>
          <t>8'6</t>
        </is>
      </c>
      <c r="M482" t="inlineStr">
        <is>
          <t>Full</t>
        </is>
      </c>
      <c r="N482" t="inlineStr">
        <is>
          <t>RULED</t>
        </is>
      </c>
      <c r="P482" s="21">
        <f>C482</f>
        <v/>
      </c>
      <c r="Q482" s="21">
        <f t="array" ref="Q482">IFERROR(INDEX(Load_Booking_Report!AC:AC, MATCH(TRUE, ISNUMBER(FIND(SUBSTITUTE(C482," ",""), Load_Booking_Report!AL:AL)), 0)), "Not Found")</f>
        <v/>
      </c>
      <c r="R482" s="21">
        <f t="array" ref="R482">IFERROR(INDEX(Load_Booking_Report!C:C, MATCH(TRUE, ISNUMBER(FIND(SUBSTITUTE(C482," ",""), Load_Booking_Report!AL:AL)), 0)), "Not Found")</f>
        <v/>
      </c>
      <c r="S482" s="21">
        <f t="array" ref="S482">IFERROR(INDEX(Load_Booking_Report!AG:AG, MATCH(TRUE, ISNUMBER(FIND(SUBSTITUTE(C482," ",""), Load_Booking_Report!AL:AL)), 0)), "Not Found")</f>
        <v/>
      </c>
      <c r="T482" s="21">
        <f>G482</f>
        <v/>
      </c>
      <c r="U482" s="33">
        <f t="array" ref="U482">IFERROR(
   IF(
      INDEX(Load_Booking_Report!AM:AM,
             MATCH(TRUE,
                     ISNUMBER(FIND(SUBSTITUTE(C482," ",""),
                                    Load_Booking_Report!AL:AL)),
                     0)
      )=0,
      "",
      INDEX(Load_Booking_Report!AM:AM,
             MATCH(TRUE,
                     ISNUMBER(FIND(SUBSTITUTE(C482," ",""),
                                    Load_Booking_Report!AL:AL)),
                     0)
      )
   ),
   ""
)</f>
        <v/>
      </c>
      <c r="V482" s="21">
        <f t="array" ref="V482">IFERROR(
   IF(
      INDEX(Load_Booking_Report!AR:AR,
             MATCH(TRUE,
                     ISNUMBER(FIND(SUBSTITUTE(C482," ",""),
                                    Load_Booking_Report!AL:AL)),
                     0)
      )=0,
      "",
      INDEX(Load_Booking_Report!AR:AR,
             MATCH(TRUE,
                     ISNUMBER(FIND(SUBSTITUTE(C482," ",""),
                                    Load_Booking_Report!AL:AL)),
                     0)
      )
   ),
   ""
)</f>
        <v/>
      </c>
      <c r="W482" s="21">
        <f t="array" ref="W482">IFERROR(INDEX(Load_Booking_Report!F:F, MATCH(TRUE, ISNUMBER(FIND(SUBSTITUTE(C482," ",""), Load_Booking_Report!AL:AL)), 0)), "Not Found")</f>
        <v/>
      </c>
      <c r="X482" s="21">
        <f t="array" ref="X482">IFERROR(INDEX(Load_Booking_Report!N:N, MATCH(TRUE, ISNUMBER(FIND(SUBSTITUTE(C482," ",""), Load_Booking_Report!AL:AL)), 0)), "Not Found")</f>
        <v/>
      </c>
      <c r="Y482" s="21">
        <f t="array" ref="Y482">IFERROR(INDEX(Load_Booking_Report!V:V, MATCH(TRUE, ISNUMBER(FIND(SUBSTITUTE(C482," ",""), Load_Booking_Report!AL:AL)), 0)), "Not Found")</f>
        <v/>
      </c>
      <c r="Z482" s="41">
        <f t="array" ref="Z482">IFERROR(INDEX(Load_Booking_Report!BC:BC, MATCH(TRUE, ISNUMBER(FIND(SUBSTITUTE(C482," ",""), Load_Booking_Report!AL:AL)), 0)), "Not Found")</f>
        <v/>
      </c>
    </row>
    <row r="483">
      <c r="A483" t="n">
        <v>17</v>
      </c>
      <c r="B483" t="n">
        <v>170202</v>
      </c>
      <c r="C483" t="inlineStr">
        <is>
          <t>ANON0000000</t>
        </is>
      </c>
      <c r="D483" t="n">
        <v>20</v>
      </c>
      <c r="E483" t="inlineStr">
        <is>
          <t>USNFK</t>
        </is>
      </c>
      <c r="F483" t="inlineStr">
        <is>
          <t>RULED</t>
        </is>
      </c>
      <c r="G483" t="n">
        <v>27890</v>
      </c>
      <c r="H483" t="inlineStr">
        <is>
          <t>MCL</t>
        </is>
      </c>
      <c r="I483" t="inlineStr">
        <is>
          <t>22G1</t>
        </is>
      </c>
      <c r="L483" t="inlineStr">
        <is>
          <t>OOG</t>
        </is>
      </c>
      <c r="M483" t="inlineStr">
        <is>
          <t>Full</t>
        </is>
      </c>
      <c r="N483" t="inlineStr">
        <is>
          <t>RULED</t>
        </is>
      </c>
      <c r="P483" s="21">
        <f>C483</f>
        <v/>
      </c>
      <c r="Q483" s="21">
        <f t="array" ref="Q483">IFERROR(INDEX(Load_Booking_Report!AC:AC, MATCH(TRUE, ISNUMBER(FIND(SUBSTITUTE(C483," ",""), Load_Booking_Report!AL:AL)), 0)), "Not Found")</f>
        <v/>
      </c>
      <c r="R483" s="21">
        <f t="array" ref="R483">IFERROR(INDEX(Load_Booking_Report!C:C, MATCH(TRUE, ISNUMBER(FIND(SUBSTITUTE(C483," ",""), Load_Booking_Report!AL:AL)), 0)), "Not Found")</f>
        <v/>
      </c>
      <c r="S483" s="21">
        <f t="array" ref="S483">IFERROR(INDEX(Load_Booking_Report!AG:AG, MATCH(TRUE, ISNUMBER(FIND(SUBSTITUTE(C483," ",""), Load_Booking_Report!AL:AL)), 0)), "Not Found")</f>
        <v/>
      </c>
      <c r="T483" s="21">
        <f>G483</f>
        <v/>
      </c>
      <c r="U483" s="33">
        <f t="array" ref="U483">IFERROR(
   IF(
      INDEX(Load_Booking_Report!AM:AM,
             MATCH(TRUE,
                     ISNUMBER(FIND(SUBSTITUTE(C483," ",""),
                                    Load_Booking_Report!AL:AL)),
                     0)
      )=0,
      "",
      INDEX(Load_Booking_Report!AM:AM,
             MATCH(TRUE,
                     ISNUMBER(FIND(SUBSTITUTE(C483," ",""),
                                    Load_Booking_Report!AL:AL)),
                     0)
      )
   ),
   ""
)</f>
        <v/>
      </c>
      <c r="V483" s="21">
        <f t="array" ref="V483">IFERROR(
   IF(
      INDEX(Load_Booking_Report!AR:AR,
             MATCH(TRUE,
                     ISNUMBER(FIND(SUBSTITUTE(C483," ",""),
                                    Load_Booking_Report!AL:AL)),
                     0)
      )=0,
      "",
      INDEX(Load_Booking_Report!AR:AR,
             MATCH(TRUE,
                     ISNUMBER(FIND(SUBSTITUTE(C483," ",""),
                                    Load_Booking_Report!AL:AL)),
                     0)
      )
   ),
   ""
)</f>
        <v/>
      </c>
      <c r="W483" s="21">
        <f t="array" ref="W483">IFERROR(INDEX(Load_Booking_Report!F:F, MATCH(TRUE, ISNUMBER(FIND(SUBSTITUTE(C483," ",""), Load_Booking_Report!AL:AL)), 0)), "Not Found")</f>
        <v/>
      </c>
      <c r="X483" s="21">
        <f t="array" ref="X483">IFERROR(INDEX(Load_Booking_Report!N:N, MATCH(TRUE, ISNUMBER(FIND(SUBSTITUTE(C483," ",""), Load_Booking_Report!AL:AL)), 0)), "Not Found")</f>
        <v/>
      </c>
      <c r="Y483" s="21">
        <f t="array" ref="Y483">IFERROR(INDEX(Load_Booking_Report!V:V, MATCH(TRUE, ISNUMBER(FIND(SUBSTITUTE(C483," ",""), Load_Booking_Report!AL:AL)), 0)), "Not Found")</f>
        <v/>
      </c>
      <c r="Z483" s="41">
        <f t="array" ref="Z483">IFERROR(INDEX(Load_Booking_Report!BC:BC, MATCH(TRUE, ISNUMBER(FIND(SUBSTITUTE(C483," ",""), Load_Booking_Report!AL:AL)), 0)), "Not Found")</f>
        <v/>
      </c>
    </row>
    <row r="484">
      <c r="A484" t="n">
        <v>37</v>
      </c>
      <c r="B484" t="n">
        <v>370682</v>
      </c>
      <c r="C484" t="inlineStr">
        <is>
          <t>ANON0000000</t>
        </is>
      </c>
      <c r="D484" t="n">
        <v>20</v>
      </c>
      <c r="E484" t="inlineStr">
        <is>
          <t>USHOU</t>
        </is>
      </c>
      <c r="F484" t="inlineStr">
        <is>
          <t>RULED</t>
        </is>
      </c>
      <c r="G484" t="n">
        <v>5155</v>
      </c>
      <c r="H484" t="inlineStr">
        <is>
          <t>MCL</t>
        </is>
      </c>
      <c r="I484" t="inlineStr">
        <is>
          <t>22G1</t>
        </is>
      </c>
      <c r="L484" t="inlineStr">
        <is>
          <t>8'6</t>
        </is>
      </c>
      <c r="M484" t="inlineStr">
        <is>
          <t>Full</t>
        </is>
      </c>
      <c r="N484" t="inlineStr">
        <is>
          <t>RULED</t>
        </is>
      </c>
      <c r="P484" s="21">
        <f>C484</f>
        <v/>
      </c>
      <c r="Q484" s="21">
        <f t="array" ref="Q484">IFERROR(INDEX(Load_Booking_Report!AC:AC, MATCH(TRUE, ISNUMBER(FIND(SUBSTITUTE(C484," ",""), Load_Booking_Report!AL:AL)), 0)), "Not Found")</f>
        <v/>
      </c>
      <c r="R484" s="21">
        <f t="array" ref="R484">IFERROR(INDEX(Load_Booking_Report!C:C, MATCH(TRUE, ISNUMBER(FIND(SUBSTITUTE(C484," ",""), Load_Booking_Report!AL:AL)), 0)), "Not Found")</f>
        <v/>
      </c>
      <c r="S484" s="21">
        <f t="array" ref="S484">IFERROR(INDEX(Load_Booking_Report!AG:AG, MATCH(TRUE, ISNUMBER(FIND(SUBSTITUTE(C484," ",""), Load_Booking_Report!AL:AL)), 0)), "Not Found")</f>
        <v/>
      </c>
      <c r="T484" s="21">
        <f>G484</f>
        <v/>
      </c>
      <c r="U484" s="33">
        <f t="array" ref="U484">IFERROR(
   IF(
      INDEX(Load_Booking_Report!AM:AM,
             MATCH(TRUE,
                     ISNUMBER(FIND(SUBSTITUTE(C484," ",""),
                                    Load_Booking_Report!AL:AL)),
                     0)
      )=0,
      "",
      INDEX(Load_Booking_Report!AM:AM,
             MATCH(TRUE,
                     ISNUMBER(FIND(SUBSTITUTE(C484," ",""),
                                    Load_Booking_Report!AL:AL)),
                     0)
      )
   ),
   ""
)</f>
        <v/>
      </c>
      <c r="V484" s="21">
        <f t="array" ref="V484">IFERROR(
   IF(
      INDEX(Load_Booking_Report!AR:AR,
             MATCH(TRUE,
                     ISNUMBER(FIND(SUBSTITUTE(C484," ",""),
                                    Load_Booking_Report!AL:AL)),
                     0)
      )=0,
      "",
      INDEX(Load_Booking_Report!AR:AR,
             MATCH(TRUE,
                     ISNUMBER(FIND(SUBSTITUTE(C484," ",""),
                                    Load_Booking_Report!AL:AL)),
                     0)
      )
   ),
   ""
)</f>
        <v/>
      </c>
      <c r="W484" s="21">
        <f t="array" ref="W484">IFERROR(INDEX(Load_Booking_Report!F:F, MATCH(TRUE, ISNUMBER(FIND(SUBSTITUTE(C484," ",""), Load_Booking_Report!AL:AL)), 0)), "Not Found")</f>
        <v/>
      </c>
      <c r="X484" s="21">
        <f t="array" ref="X484">IFERROR(INDEX(Load_Booking_Report!N:N, MATCH(TRUE, ISNUMBER(FIND(SUBSTITUTE(C484," ",""), Load_Booking_Report!AL:AL)), 0)), "Not Found")</f>
        <v/>
      </c>
      <c r="Y484" s="21">
        <f t="array" ref="Y484">IFERROR(INDEX(Load_Booking_Report!V:V, MATCH(TRUE, ISNUMBER(FIND(SUBSTITUTE(C484," ",""), Load_Booking_Report!AL:AL)), 0)), "Not Found")</f>
        <v/>
      </c>
      <c r="Z484" s="41">
        <f t="array" ref="Z484">IFERROR(INDEX(Load_Booking_Report!BC:BC, MATCH(TRUE, ISNUMBER(FIND(SUBSTITUTE(C484," ",""), Load_Booking_Report!AL:AL)), 0)), "Not Found")</f>
        <v/>
      </c>
    </row>
    <row r="485">
      <c r="A485" t="n">
        <v>13</v>
      </c>
      <c r="B485" t="n">
        <v>130104</v>
      </c>
      <c r="C485" t="inlineStr">
        <is>
          <t>ANON0000000</t>
        </is>
      </c>
      <c r="D485" t="n">
        <v>20</v>
      </c>
      <c r="E485" t="inlineStr">
        <is>
          <t>USNFK</t>
        </is>
      </c>
      <c r="F485" t="inlineStr">
        <is>
          <t>RULED</t>
        </is>
      </c>
      <c r="G485" t="n">
        <v>26330</v>
      </c>
      <c r="H485" t="inlineStr">
        <is>
          <t>MCL</t>
        </is>
      </c>
      <c r="I485" t="inlineStr">
        <is>
          <t>22G1</t>
        </is>
      </c>
      <c r="L485" t="inlineStr">
        <is>
          <t>OOG</t>
        </is>
      </c>
      <c r="M485" t="inlineStr">
        <is>
          <t>Full</t>
        </is>
      </c>
      <c r="N485" t="inlineStr">
        <is>
          <t>RULED</t>
        </is>
      </c>
      <c r="P485" s="21">
        <f>C485</f>
        <v/>
      </c>
      <c r="Q485" s="21">
        <f t="array" ref="Q485">IFERROR(INDEX(Load_Booking_Report!AC:AC, MATCH(TRUE, ISNUMBER(FIND(SUBSTITUTE(C485," ",""), Load_Booking_Report!AL:AL)), 0)), "Not Found")</f>
        <v/>
      </c>
      <c r="R485" s="21">
        <f t="array" ref="R485">IFERROR(INDEX(Load_Booking_Report!C:C, MATCH(TRUE, ISNUMBER(FIND(SUBSTITUTE(C485," ",""), Load_Booking_Report!AL:AL)), 0)), "Not Found")</f>
        <v/>
      </c>
      <c r="S485" s="21">
        <f t="array" ref="S485">IFERROR(INDEX(Load_Booking_Report!AG:AG, MATCH(TRUE, ISNUMBER(FIND(SUBSTITUTE(C485," ",""), Load_Booking_Report!AL:AL)), 0)), "Not Found")</f>
        <v/>
      </c>
      <c r="T485" s="21">
        <f>G485</f>
        <v/>
      </c>
      <c r="U485" s="33">
        <f t="array" ref="U485">IFERROR(
   IF(
      INDEX(Load_Booking_Report!AM:AM,
             MATCH(TRUE,
                     ISNUMBER(FIND(SUBSTITUTE(C485," ",""),
                                    Load_Booking_Report!AL:AL)),
                     0)
      )=0,
      "",
      INDEX(Load_Booking_Report!AM:AM,
             MATCH(TRUE,
                     ISNUMBER(FIND(SUBSTITUTE(C485," ",""),
                                    Load_Booking_Report!AL:AL)),
                     0)
      )
   ),
   ""
)</f>
        <v/>
      </c>
      <c r="V485" s="21">
        <f t="array" ref="V485">IFERROR(
   IF(
      INDEX(Load_Booking_Report!AR:AR,
             MATCH(TRUE,
                     ISNUMBER(FIND(SUBSTITUTE(C485," ",""),
                                    Load_Booking_Report!AL:AL)),
                     0)
      )=0,
      "",
      INDEX(Load_Booking_Report!AR:AR,
             MATCH(TRUE,
                     ISNUMBER(FIND(SUBSTITUTE(C485," ",""),
                                    Load_Booking_Report!AL:AL)),
                     0)
      )
   ),
   ""
)</f>
        <v/>
      </c>
      <c r="W485" s="21">
        <f t="array" ref="W485">IFERROR(INDEX(Load_Booking_Report!F:F, MATCH(TRUE, ISNUMBER(FIND(SUBSTITUTE(C485," ",""), Load_Booking_Report!AL:AL)), 0)), "Not Found")</f>
        <v/>
      </c>
      <c r="X485" s="21">
        <f t="array" ref="X485">IFERROR(INDEX(Load_Booking_Report!N:N, MATCH(TRUE, ISNUMBER(FIND(SUBSTITUTE(C485," ",""), Load_Booking_Report!AL:AL)), 0)), "Not Found")</f>
        <v/>
      </c>
      <c r="Y485" s="21">
        <f t="array" ref="Y485">IFERROR(INDEX(Load_Booking_Report!V:V, MATCH(TRUE, ISNUMBER(FIND(SUBSTITUTE(C485," ",""), Load_Booking_Report!AL:AL)), 0)), "Not Found")</f>
        <v/>
      </c>
      <c r="Z485" s="41">
        <f t="array" ref="Z485">IFERROR(INDEX(Load_Booking_Report!BC:BC, MATCH(TRUE, ISNUMBER(FIND(SUBSTITUTE(C485," ",""), Load_Booking_Report!AL:AL)), 0)), "Not Found")</f>
        <v/>
      </c>
    </row>
    <row r="486">
      <c r="A486" t="n">
        <v>17</v>
      </c>
      <c r="B486" t="n">
        <v>170802</v>
      </c>
      <c r="C486" t="inlineStr">
        <is>
          <t>ANON0000000</t>
        </is>
      </c>
      <c r="D486" t="n">
        <v>20</v>
      </c>
      <c r="E486" t="inlineStr">
        <is>
          <t>USNFK</t>
        </is>
      </c>
      <c r="F486" t="inlineStr">
        <is>
          <t>RULED</t>
        </is>
      </c>
      <c r="G486" t="n">
        <v>27410</v>
      </c>
      <c r="H486" t="inlineStr">
        <is>
          <t>MCL</t>
        </is>
      </c>
      <c r="I486" t="inlineStr">
        <is>
          <t>22G1</t>
        </is>
      </c>
      <c r="L486" t="inlineStr">
        <is>
          <t>OOG</t>
        </is>
      </c>
      <c r="M486" t="inlineStr">
        <is>
          <t>Full</t>
        </is>
      </c>
      <c r="N486" t="inlineStr">
        <is>
          <t>RULED</t>
        </is>
      </c>
      <c r="P486" s="21">
        <f>C486</f>
        <v/>
      </c>
      <c r="Q486" s="21">
        <f t="array" ref="Q486">IFERROR(INDEX(Load_Booking_Report!AC:AC, MATCH(TRUE, ISNUMBER(FIND(SUBSTITUTE(C486," ",""), Load_Booking_Report!AL:AL)), 0)), "Not Found")</f>
        <v/>
      </c>
      <c r="R486" s="21">
        <f t="array" ref="R486">IFERROR(INDEX(Load_Booking_Report!C:C, MATCH(TRUE, ISNUMBER(FIND(SUBSTITUTE(C486," ",""), Load_Booking_Report!AL:AL)), 0)), "Not Found")</f>
        <v/>
      </c>
      <c r="S486" s="21">
        <f t="array" ref="S486">IFERROR(INDEX(Load_Booking_Report!AG:AG, MATCH(TRUE, ISNUMBER(FIND(SUBSTITUTE(C486," ",""), Load_Booking_Report!AL:AL)), 0)), "Not Found")</f>
        <v/>
      </c>
      <c r="T486" s="21">
        <f>G486</f>
        <v/>
      </c>
      <c r="U486" s="33">
        <f t="array" ref="U486">IFERROR(
   IF(
      INDEX(Load_Booking_Report!AM:AM,
             MATCH(TRUE,
                     ISNUMBER(FIND(SUBSTITUTE(C486," ",""),
                                    Load_Booking_Report!AL:AL)),
                     0)
      )=0,
      "",
      INDEX(Load_Booking_Report!AM:AM,
             MATCH(TRUE,
                     ISNUMBER(FIND(SUBSTITUTE(C486," ",""),
                                    Load_Booking_Report!AL:AL)),
                     0)
      )
   ),
   ""
)</f>
        <v/>
      </c>
      <c r="V486" s="21">
        <f t="array" ref="V486">IFERROR(
   IF(
      INDEX(Load_Booking_Report!AR:AR,
             MATCH(TRUE,
                     ISNUMBER(FIND(SUBSTITUTE(C486," ",""),
                                    Load_Booking_Report!AL:AL)),
                     0)
      )=0,
      "",
      INDEX(Load_Booking_Report!AR:AR,
             MATCH(TRUE,
                     ISNUMBER(FIND(SUBSTITUTE(C486," ",""),
                                    Load_Booking_Report!AL:AL)),
                     0)
      )
   ),
   ""
)</f>
        <v/>
      </c>
      <c r="W486" s="21">
        <f t="array" ref="W486">IFERROR(INDEX(Load_Booking_Report!F:F, MATCH(TRUE, ISNUMBER(FIND(SUBSTITUTE(C486," ",""), Load_Booking_Report!AL:AL)), 0)), "Not Found")</f>
        <v/>
      </c>
      <c r="X486" s="21">
        <f t="array" ref="X486">IFERROR(INDEX(Load_Booking_Report!N:N, MATCH(TRUE, ISNUMBER(FIND(SUBSTITUTE(C486," ",""), Load_Booking_Report!AL:AL)), 0)), "Not Found")</f>
        <v/>
      </c>
      <c r="Y486" s="21">
        <f t="array" ref="Y486">IFERROR(INDEX(Load_Booking_Report!V:V, MATCH(TRUE, ISNUMBER(FIND(SUBSTITUTE(C486," ",""), Load_Booking_Report!AL:AL)), 0)), "Not Found")</f>
        <v/>
      </c>
      <c r="Z486" s="41">
        <f t="array" ref="Z486">IFERROR(INDEX(Load_Booking_Report!BC:BC, MATCH(TRUE, ISNUMBER(FIND(SUBSTITUTE(C486," ",""), Load_Booking_Report!AL:AL)), 0)), "Not Found")</f>
        <v/>
      </c>
    </row>
    <row r="487">
      <c r="A487" t="n">
        <v>31</v>
      </c>
      <c r="B487" t="n">
        <v>310504</v>
      </c>
      <c r="C487" t="inlineStr">
        <is>
          <t>ANON0000000</t>
        </is>
      </c>
      <c r="D487" t="n">
        <v>20</v>
      </c>
      <c r="E487" t="inlineStr">
        <is>
          <t>USNFK</t>
        </is>
      </c>
      <c r="F487" t="inlineStr">
        <is>
          <t>RULED</t>
        </is>
      </c>
      <c r="G487" t="n">
        <v>28070</v>
      </c>
      <c r="H487" t="inlineStr">
        <is>
          <t>MCL</t>
        </is>
      </c>
      <c r="I487" t="inlineStr">
        <is>
          <t>22G1</t>
        </is>
      </c>
      <c r="L487" t="inlineStr">
        <is>
          <t>OOG</t>
        </is>
      </c>
      <c r="M487" t="inlineStr">
        <is>
          <t>Full</t>
        </is>
      </c>
      <c r="N487" t="inlineStr">
        <is>
          <t>RULED</t>
        </is>
      </c>
      <c r="P487" s="21">
        <f>C487</f>
        <v/>
      </c>
      <c r="Q487" s="21">
        <f t="array" ref="Q487">IFERROR(INDEX(Load_Booking_Report!AC:AC, MATCH(TRUE, ISNUMBER(FIND(SUBSTITUTE(C487," ",""), Load_Booking_Report!AL:AL)), 0)), "Not Found")</f>
        <v/>
      </c>
      <c r="R487" s="21">
        <f t="array" ref="R487">IFERROR(INDEX(Load_Booking_Report!C:C, MATCH(TRUE, ISNUMBER(FIND(SUBSTITUTE(C487," ",""), Load_Booking_Report!AL:AL)), 0)), "Not Found")</f>
        <v/>
      </c>
      <c r="S487" s="21">
        <f t="array" ref="S487">IFERROR(INDEX(Load_Booking_Report!AG:AG, MATCH(TRUE, ISNUMBER(FIND(SUBSTITUTE(C487," ",""), Load_Booking_Report!AL:AL)), 0)), "Not Found")</f>
        <v/>
      </c>
      <c r="T487" s="21">
        <f>G487</f>
        <v/>
      </c>
      <c r="U487" s="33">
        <f t="array" ref="U487">IFERROR(
   IF(
      INDEX(Load_Booking_Report!AM:AM,
             MATCH(TRUE,
                     ISNUMBER(FIND(SUBSTITUTE(C487," ",""),
                                    Load_Booking_Report!AL:AL)),
                     0)
      )=0,
      "",
      INDEX(Load_Booking_Report!AM:AM,
             MATCH(TRUE,
                     ISNUMBER(FIND(SUBSTITUTE(C487," ",""),
                                    Load_Booking_Report!AL:AL)),
                     0)
      )
   ),
   ""
)</f>
        <v/>
      </c>
      <c r="V487" s="21">
        <f t="array" ref="V487">IFERROR(
   IF(
      INDEX(Load_Booking_Report!AR:AR,
             MATCH(TRUE,
                     ISNUMBER(FIND(SUBSTITUTE(C487," ",""),
                                    Load_Booking_Report!AL:AL)),
                     0)
      )=0,
      "",
      INDEX(Load_Booking_Report!AR:AR,
             MATCH(TRUE,
                     ISNUMBER(FIND(SUBSTITUTE(C487," ",""),
                                    Load_Booking_Report!AL:AL)),
                     0)
      )
   ),
   ""
)</f>
        <v/>
      </c>
      <c r="W487" s="21">
        <f t="array" ref="W487">IFERROR(INDEX(Load_Booking_Report!F:F, MATCH(TRUE, ISNUMBER(FIND(SUBSTITUTE(C487," ",""), Load_Booking_Report!AL:AL)), 0)), "Not Found")</f>
        <v/>
      </c>
      <c r="X487" s="21">
        <f t="array" ref="X487">IFERROR(INDEX(Load_Booking_Report!N:N, MATCH(TRUE, ISNUMBER(FIND(SUBSTITUTE(C487," ",""), Load_Booking_Report!AL:AL)), 0)), "Not Found")</f>
        <v/>
      </c>
      <c r="Y487" s="21">
        <f t="array" ref="Y487">IFERROR(INDEX(Load_Booking_Report!V:V, MATCH(TRUE, ISNUMBER(FIND(SUBSTITUTE(C487," ",""), Load_Booking_Report!AL:AL)), 0)), "Not Found")</f>
        <v/>
      </c>
      <c r="Z487" s="41">
        <f t="array" ref="Z487">IFERROR(INDEX(Load_Booking_Report!BC:BC, MATCH(TRUE, ISNUMBER(FIND(SUBSTITUTE(C487," ",""), Load_Booking_Report!AL:AL)), 0)), "Not Found")</f>
        <v/>
      </c>
    </row>
    <row r="488">
      <c r="A488" t="n">
        <v>15</v>
      </c>
      <c r="B488" t="n">
        <v>150606</v>
      </c>
      <c r="C488" t="inlineStr">
        <is>
          <t>ANON0000000</t>
        </is>
      </c>
      <c r="D488" t="n">
        <v>20</v>
      </c>
      <c r="E488" t="inlineStr">
        <is>
          <t>USNFK</t>
        </is>
      </c>
      <c r="F488" t="inlineStr">
        <is>
          <t>RULED</t>
        </is>
      </c>
      <c r="G488" t="n">
        <v>21300</v>
      </c>
      <c r="H488" t="inlineStr">
        <is>
          <t>MCL</t>
        </is>
      </c>
      <c r="I488" t="inlineStr">
        <is>
          <t>22G1</t>
        </is>
      </c>
      <c r="L488" t="inlineStr">
        <is>
          <t>OOG</t>
        </is>
      </c>
      <c r="M488" t="inlineStr">
        <is>
          <t>Full</t>
        </is>
      </c>
      <c r="N488" t="inlineStr">
        <is>
          <t>RULED</t>
        </is>
      </c>
      <c r="P488" s="21">
        <f>C488</f>
        <v/>
      </c>
      <c r="Q488" s="21">
        <f t="array" ref="Q488">IFERROR(INDEX(Load_Booking_Report!AC:AC, MATCH(TRUE, ISNUMBER(FIND(SUBSTITUTE(C488," ",""), Load_Booking_Report!AL:AL)), 0)), "Not Found")</f>
        <v/>
      </c>
      <c r="R488" s="21">
        <f t="array" ref="R488">IFERROR(INDEX(Load_Booking_Report!C:C, MATCH(TRUE, ISNUMBER(FIND(SUBSTITUTE(C488," ",""), Load_Booking_Report!AL:AL)), 0)), "Not Found")</f>
        <v/>
      </c>
      <c r="S488" s="21">
        <f t="array" ref="S488">IFERROR(INDEX(Load_Booking_Report!AG:AG, MATCH(TRUE, ISNUMBER(FIND(SUBSTITUTE(C488," ",""), Load_Booking_Report!AL:AL)), 0)), "Not Found")</f>
        <v/>
      </c>
      <c r="T488" s="21">
        <f>G488</f>
        <v/>
      </c>
      <c r="U488" s="33">
        <f t="array" ref="U488">IFERROR(
   IF(
      INDEX(Load_Booking_Report!AM:AM,
             MATCH(TRUE,
                     ISNUMBER(FIND(SUBSTITUTE(C488," ",""),
                                    Load_Booking_Report!AL:AL)),
                     0)
      )=0,
      "",
      INDEX(Load_Booking_Report!AM:AM,
             MATCH(TRUE,
                     ISNUMBER(FIND(SUBSTITUTE(C488," ",""),
                                    Load_Booking_Report!AL:AL)),
                     0)
      )
   ),
   ""
)</f>
        <v/>
      </c>
      <c r="V488" s="21">
        <f t="array" ref="V488">IFERROR(
   IF(
      INDEX(Load_Booking_Report!AR:AR,
             MATCH(TRUE,
                     ISNUMBER(FIND(SUBSTITUTE(C488," ",""),
                                    Load_Booking_Report!AL:AL)),
                     0)
      )=0,
      "",
      INDEX(Load_Booking_Report!AR:AR,
             MATCH(TRUE,
                     ISNUMBER(FIND(SUBSTITUTE(C488," ",""),
                                    Load_Booking_Report!AL:AL)),
                     0)
      )
   ),
   ""
)</f>
        <v/>
      </c>
      <c r="W488" s="21">
        <f t="array" ref="W488">IFERROR(INDEX(Load_Booking_Report!F:F, MATCH(TRUE, ISNUMBER(FIND(SUBSTITUTE(C488," ",""), Load_Booking_Report!AL:AL)), 0)), "Not Found")</f>
        <v/>
      </c>
      <c r="X488" s="21">
        <f t="array" ref="X488">IFERROR(INDEX(Load_Booking_Report!N:N, MATCH(TRUE, ISNUMBER(FIND(SUBSTITUTE(C488," ",""), Load_Booking_Report!AL:AL)), 0)), "Not Found")</f>
        <v/>
      </c>
      <c r="Y488" s="21">
        <f t="array" ref="Y488">IFERROR(INDEX(Load_Booking_Report!V:V, MATCH(TRUE, ISNUMBER(FIND(SUBSTITUTE(C488," ",""), Load_Booking_Report!AL:AL)), 0)), "Not Found")</f>
        <v/>
      </c>
      <c r="Z488" s="41">
        <f t="array" ref="Z488">IFERROR(INDEX(Load_Booking_Report!BC:BC, MATCH(TRUE, ISNUMBER(FIND(SUBSTITUTE(C488," ",""), Load_Booking_Report!AL:AL)), 0)), "Not Found")</f>
        <v/>
      </c>
    </row>
    <row r="489">
      <c r="A489" t="n">
        <v>13</v>
      </c>
      <c r="B489" t="n">
        <v>130604</v>
      </c>
      <c r="C489" t="inlineStr">
        <is>
          <t>ANON0000000</t>
        </is>
      </c>
      <c r="D489" t="n">
        <v>20</v>
      </c>
      <c r="E489" t="inlineStr">
        <is>
          <t>USNFK</t>
        </is>
      </c>
      <c r="F489" t="inlineStr">
        <is>
          <t>RULED</t>
        </is>
      </c>
      <c r="G489" t="n">
        <v>26460</v>
      </c>
      <c r="H489" t="inlineStr">
        <is>
          <t>MCL</t>
        </is>
      </c>
      <c r="I489" t="inlineStr">
        <is>
          <t>22G1</t>
        </is>
      </c>
      <c r="L489" t="inlineStr">
        <is>
          <t>OOG</t>
        </is>
      </c>
      <c r="M489" t="inlineStr">
        <is>
          <t>Full</t>
        </is>
      </c>
      <c r="N489" t="inlineStr">
        <is>
          <t>RULED</t>
        </is>
      </c>
      <c r="P489" s="21">
        <f>C489</f>
        <v/>
      </c>
      <c r="Q489" s="21">
        <f t="array" ref="Q489">IFERROR(INDEX(Load_Booking_Report!AC:AC, MATCH(TRUE, ISNUMBER(FIND(SUBSTITUTE(C489," ",""), Load_Booking_Report!AL:AL)), 0)), "Not Found")</f>
        <v/>
      </c>
      <c r="R489" s="21">
        <f t="array" ref="R489">IFERROR(INDEX(Load_Booking_Report!C:C, MATCH(TRUE, ISNUMBER(FIND(SUBSTITUTE(C489," ",""), Load_Booking_Report!AL:AL)), 0)), "Not Found")</f>
        <v/>
      </c>
      <c r="S489" s="21">
        <f t="array" ref="S489">IFERROR(INDEX(Load_Booking_Report!AG:AG, MATCH(TRUE, ISNUMBER(FIND(SUBSTITUTE(C489," ",""), Load_Booking_Report!AL:AL)), 0)), "Not Found")</f>
        <v/>
      </c>
      <c r="T489" s="21">
        <f>G489</f>
        <v/>
      </c>
      <c r="U489" s="33">
        <f t="array" ref="U489">IFERROR(
   IF(
      INDEX(Load_Booking_Report!AM:AM,
             MATCH(TRUE,
                     ISNUMBER(FIND(SUBSTITUTE(C489," ",""),
                                    Load_Booking_Report!AL:AL)),
                     0)
      )=0,
      "",
      INDEX(Load_Booking_Report!AM:AM,
             MATCH(TRUE,
                     ISNUMBER(FIND(SUBSTITUTE(C489," ",""),
                                    Load_Booking_Report!AL:AL)),
                     0)
      )
   ),
   ""
)</f>
        <v/>
      </c>
      <c r="V489" s="21">
        <f t="array" ref="V489">IFERROR(
   IF(
      INDEX(Load_Booking_Report!AR:AR,
             MATCH(TRUE,
                     ISNUMBER(FIND(SUBSTITUTE(C489," ",""),
                                    Load_Booking_Report!AL:AL)),
                     0)
      )=0,
      "",
      INDEX(Load_Booking_Report!AR:AR,
             MATCH(TRUE,
                     ISNUMBER(FIND(SUBSTITUTE(C489," ",""),
                                    Load_Booking_Report!AL:AL)),
                     0)
      )
   ),
   ""
)</f>
        <v/>
      </c>
      <c r="W489" s="21">
        <f t="array" ref="W489">IFERROR(INDEX(Load_Booking_Report!F:F, MATCH(TRUE, ISNUMBER(FIND(SUBSTITUTE(C489," ",""), Load_Booking_Report!AL:AL)), 0)), "Not Found")</f>
        <v/>
      </c>
      <c r="X489" s="21">
        <f t="array" ref="X489">IFERROR(INDEX(Load_Booking_Report!N:N, MATCH(TRUE, ISNUMBER(FIND(SUBSTITUTE(C489," ",""), Load_Booking_Report!AL:AL)), 0)), "Not Found")</f>
        <v/>
      </c>
      <c r="Y489" s="21">
        <f t="array" ref="Y489">IFERROR(INDEX(Load_Booking_Report!V:V, MATCH(TRUE, ISNUMBER(FIND(SUBSTITUTE(C489," ",""), Load_Booking_Report!AL:AL)), 0)), "Not Found")</f>
        <v/>
      </c>
      <c r="Z489" s="41">
        <f t="array" ref="Z489">IFERROR(INDEX(Load_Booking_Report!BC:BC, MATCH(TRUE, ISNUMBER(FIND(SUBSTITUTE(C489," ",""), Load_Booking_Report!AL:AL)), 0)), "Not Found")</f>
        <v/>
      </c>
    </row>
    <row r="490">
      <c r="A490" t="n">
        <v>13</v>
      </c>
      <c r="B490" t="n">
        <v>130806</v>
      </c>
      <c r="C490" t="inlineStr">
        <is>
          <t>ANON0000000</t>
        </is>
      </c>
      <c r="D490" t="n">
        <v>20</v>
      </c>
      <c r="E490" t="inlineStr">
        <is>
          <t>USNFK</t>
        </is>
      </c>
      <c r="F490" t="inlineStr">
        <is>
          <t>RULED</t>
        </is>
      </c>
      <c r="G490" t="n">
        <v>21300</v>
      </c>
      <c r="H490" t="inlineStr">
        <is>
          <t>MCL</t>
        </is>
      </c>
      <c r="I490" t="inlineStr">
        <is>
          <t>22G1</t>
        </is>
      </c>
      <c r="L490" t="inlineStr">
        <is>
          <t>OOG</t>
        </is>
      </c>
      <c r="M490" t="inlineStr">
        <is>
          <t>Full</t>
        </is>
      </c>
      <c r="N490" t="inlineStr">
        <is>
          <t>RULED</t>
        </is>
      </c>
      <c r="P490" s="21">
        <f>C490</f>
        <v/>
      </c>
      <c r="Q490" s="21">
        <f t="array" ref="Q490">IFERROR(INDEX(Load_Booking_Report!AC:AC, MATCH(TRUE, ISNUMBER(FIND(SUBSTITUTE(C490," ",""), Load_Booking_Report!AL:AL)), 0)), "Not Found")</f>
        <v/>
      </c>
      <c r="R490" s="21">
        <f t="array" ref="R490">IFERROR(INDEX(Load_Booking_Report!C:C, MATCH(TRUE, ISNUMBER(FIND(SUBSTITUTE(C490," ",""), Load_Booking_Report!AL:AL)), 0)), "Not Found")</f>
        <v/>
      </c>
      <c r="S490" s="21">
        <f t="array" ref="S490">IFERROR(INDEX(Load_Booking_Report!AG:AG, MATCH(TRUE, ISNUMBER(FIND(SUBSTITUTE(C490," ",""), Load_Booking_Report!AL:AL)), 0)), "Not Found")</f>
        <v/>
      </c>
      <c r="T490" s="21">
        <f>G490</f>
        <v/>
      </c>
      <c r="U490" s="33">
        <f t="array" ref="U490">IFERROR(
   IF(
      INDEX(Load_Booking_Report!AM:AM,
             MATCH(TRUE,
                     ISNUMBER(FIND(SUBSTITUTE(C490," ",""),
                                    Load_Booking_Report!AL:AL)),
                     0)
      )=0,
      "",
      INDEX(Load_Booking_Report!AM:AM,
             MATCH(TRUE,
                     ISNUMBER(FIND(SUBSTITUTE(C490," ",""),
                                    Load_Booking_Report!AL:AL)),
                     0)
      )
   ),
   ""
)</f>
        <v/>
      </c>
      <c r="V490" s="21">
        <f t="array" ref="V490">IFERROR(
   IF(
      INDEX(Load_Booking_Report!AR:AR,
             MATCH(TRUE,
                     ISNUMBER(FIND(SUBSTITUTE(C490," ",""),
                                    Load_Booking_Report!AL:AL)),
                     0)
      )=0,
      "",
      INDEX(Load_Booking_Report!AR:AR,
             MATCH(TRUE,
                     ISNUMBER(FIND(SUBSTITUTE(C490," ",""),
                                    Load_Booking_Report!AL:AL)),
                     0)
      )
   ),
   ""
)</f>
        <v/>
      </c>
      <c r="W490" s="21">
        <f t="array" ref="W490">IFERROR(INDEX(Load_Booking_Report!F:F, MATCH(TRUE, ISNUMBER(FIND(SUBSTITUTE(C490," ",""), Load_Booking_Report!AL:AL)), 0)), "Not Found")</f>
        <v/>
      </c>
      <c r="X490" s="21">
        <f t="array" ref="X490">IFERROR(INDEX(Load_Booking_Report!N:N, MATCH(TRUE, ISNUMBER(FIND(SUBSTITUTE(C490," ",""), Load_Booking_Report!AL:AL)), 0)), "Not Found")</f>
        <v/>
      </c>
      <c r="Y490" s="21">
        <f t="array" ref="Y490">IFERROR(INDEX(Load_Booking_Report!V:V, MATCH(TRUE, ISNUMBER(FIND(SUBSTITUTE(C490," ",""), Load_Booking_Report!AL:AL)), 0)), "Not Found")</f>
        <v/>
      </c>
      <c r="Z490" s="41">
        <f t="array" ref="Z490">IFERROR(INDEX(Load_Booking_Report!BC:BC, MATCH(TRUE, ISNUMBER(FIND(SUBSTITUTE(C490," ",""), Load_Booking_Report!AL:AL)), 0)), "Not Found")</f>
        <v/>
      </c>
    </row>
    <row r="491">
      <c r="A491" t="n">
        <v>13</v>
      </c>
      <c r="B491" t="n">
        <v>130204</v>
      </c>
      <c r="C491" t="inlineStr">
        <is>
          <t>ANON0000000</t>
        </is>
      </c>
      <c r="D491" t="n">
        <v>20</v>
      </c>
      <c r="E491" t="inlineStr">
        <is>
          <t>USNFK</t>
        </is>
      </c>
      <c r="F491" t="inlineStr">
        <is>
          <t>RULED</t>
        </is>
      </c>
      <c r="G491" t="n">
        <v>26320</v>
      </c>
      <c r="H491" t="inlineStr">
        <is>
          <t>MCL</t>
        </is>
      </c>
      <c r="I491" t="inlineStr">
        <is>
          <t>22G1</t>
        </is>
      </c>
      <c r="L491" t="inlineStr">
        <is>
          <t>OOG</t>
        </is>
      </c>
      <c r="M491" t="inlineStr">
        <is>
          <t>Full</t>
        </is>
      </c>
      <c r="N491" t="inlineStr">
        <is>
          <t>RULED</t>
        </is>
      </c>
      <c r="P491" s="21">
        <f>C491</f>
        <v/>
      </c>
      <c r="Q491" s="21">
        <f t="array" ref="Q491">IFERROR(INDEX(Load_Booking_Report!AC:AC, MATCH(TRUE, ISNUMBER(FIND(SUBSTITUTE(C491," ",""), Load_Booking_Report!AL:AL)), 0)), "Not Found")</f>
        <v/>
      </c>
      <c r="R491" s="21">
        <f t="array" ref="R491">IFERROR(INDEX(Load_Booking_Report!C:C, MATCH(TRUE, ISNUMBER(FIND(SUBSTITUTE(C491," ",""), Load_Booking_Report!AL:AL)), 0)), "Not Found")</f>
        <v/>
      </c>
      <c r="S491" s="21">
        <f t="array" ref="S491">IFERROR(INDEX(Load_Booking_Report!AG:AG, MATCH(TRUE, ISNUMBER(FIND(SUBSTITUTE(C491," ",""), Load_Booking_Report!AL:AL)), 0)), "Not Found")</f>
        <v/>
      </c>
      <c r="T491" s="21">
        <f>G491</f>
        <v/>
      </c>
      <c r="U491" s="33">
        <f t="array" ref="U491">IFERROR(
   IF(
      INDEX(Load_Booking_Report!AM:AM,
             MATCH(TRUE,
                     ISNUMBER(FIND(SUBSTITUTE(C491," ",""),
                                    Load_Booking_Report!AL:AL)),
                     0)
      )=0,
      "",
      INDEX(Load_Booking_Report!AM:AM,
             MATCH(TRUE,
                     ISNUMBER(FIND(SUBSTITUTE(C491," ",""),
                                    Load_Booking_Report!AL:AL)),
                     0)
      )
   ),
   ""
)</f>
        <v/>
      </c>
      <c r="V491" s="21">
        <f t="array" ref="V491">IFERROR(
   IF(
      INDEX(Load_Booking_Report!AR:AR,
             MATCH(TRUE,
                     ISNUMBER(FIND(SUBSTITUTE(C491," ",""),
                                    Load_Booking_Report!AL:AL)),
                     0)
      )=0,
      "",
      INDEX(Load_Booking_Report!AR:AR,
             MATCH(TRUE,
                     ISNUMBER(FIND(SUBSTITUTE(C491," ",""),
                                    Load_Booking_Report!AL:AL)),
                     0)
      )
   ),
   ""
)</f>
        <v/>
      </c>
      <c r="W491" s="21">
        <f t="array" ref="W491">IFERROR(INDEX(Load_Booking_Report!F:F, MATCH(TRUE, ISNUMBER(FIND(SUBSTITUTE(C491," ",""), Load_Booking_Report!AL:AL)), 0)), "Not Found")</f>
        <v/>
      </c>
      <c r="X491" s="21">
        <f t="array" ref="X491">IFERROR(INDEX(Load_Booking_Report!N:N, MATCH(TRUE, ISNUMBER(FIND(SUBSTITUTE(C491," ",""), Load_Booking_Report!AL:AL)), 0)), "Not Found")</f>
        <v/>
      </c>
      <c r="Y491" s="21">
        <f t="array" ref="Y491">IFERROR(INDEX(Load_Booking_Report!V:V, MATCH(TRUE, ISNUMBER(FIND(SUBSTITUTE(C491," ",""), Load_Booking_Report!AL:AL)), 0)), "Not Found")</f>
        <v/>
      </c>
      <c r="Z491" s="41">
        <f t="array" ref="Z491">IFERROR(INDEX(Load_Booking_Report!BC:BC, MATCH(TRUE, ISNUMBER(FIND(SUBSTITUTE(C491," ",""), Load_Booking_Report!AL:AL)), 0)), "Not Found")</f>
        <v/>
      </c>
    </row>
    <row r="492">
      <c r="A492" t="n">
        <v>15</v>
      </c>
      <c r="B492" t="n">
        <v>150404</v>
      </c>
      <c r="C492" t="inlineStr">
        <is>
          <t>ANON0000000</t>
        </is>
      </c>
      <c r="D492" t="n">
        <v>20</v>
      </c>
      <c r="E492" t="inlineStr">
        <is>
          <t>USNFK</t>
        </is>
      </c>
      <c r="F492" t="inlineStr">
        <is>
          <t>RULED</t>
        </is>
      </c>
      <c r="G492" t="n">
        <v>26390</v>
      </c>
      <c r="H492" t="inlineStr">
        <is>
          <t>MCL</t>
        </is>
      </c>
      <c r="I492" t="inlineStr">
        <is>
          <t>22G1</t>
        </is>
      </c>
      <c r="L492" t="inlineStr">
        <is>
          <t>OOG</t>
        </is>
      </c>
      <c r="M492" t="inlineStr">
        <is>
          <t>Full</t>
        </is>
      </c>
      <c r="N492" t="inlineStr">
        <is>
          <t>RULED</t>
        </is>
      </c>
      <c r="P492" s="21">
        <f>C492</f>
        <v/>
      </c>
      <c r="Q492" s="21">
        <f t="array" ref="Q492">IFERROR(INDEX(Load_Booking_Report!AC:AC, MATCH(TRUE, ISNUMBER(FIND(SUBSTITUTE(C492," ",""), Load_Booking_Report!AL:AL)), 0)), "Not Found")</f>
        <v/>
      </c>
      <c r="R492" s="21">
        <f t="array" ref="R492">IFERROR(INDEX(Load_Booking_Report!C:C, MATCH(TRUE, ISNUMBER(FIND(SUBSTITUTE(C492," ",""), Load_Booking_Report!AL:AL)), 0)), "Not Found")</f>
        <v/>
      </c>
      <c r="S492" s="21">
        <f t="array" ref="S492">IFERROR(INDEX(Load_Booking_Report!AG:AG, MATCH(TRUE, ISNUMBER(FIND(SUBSTITUTE(C492," ",""), Load_Booking_Report!AL:AL)), 0)), "Not Found")</f>
        <v/>
      </c>
      <c r="T492" s="21">
        <f>G492</f>
        <v/>
      </c>
      <c r="U492" s="33">
        <f t="array" ref="U492">IFERROR(
   IF(
      INDEX(Load_Booking_Report!AM:AM,
             MATCH(TRUE,
                     ISNUMBER(FIND(SUBSTITUTE(C492," ",""),
                                    Load_Booking_Report!AL:AL)),
                     0)
      )=0,
      "",
      INDEX(Load_Booking_Report!AM:AM,
             MATCH(TRUE,
                     ISNUMBER(FIND(SUBSTITUTE(C492," ",""),
                                    Load_Booking_Report!AL:AL)),
                     0)
      )
   ),
   ""
)</f>
        <v/>
      </c>
      <c r="V492" s="21">
        <f t="array" ref="V492">IFERROR(
   IF(
      INDEX(Load_Booking_Report!AR:AR,
             MATCH(TRUE,
                     ISNUMBER(FIND(SUBSTITUTE(C492," ",""),
                                    Load_Booking_Report!AL:AL)),
                     0)
      )=0,
      "",
      INDEX(Load_Booking_Report!AR:AR,
             MATCH(TRUE,
                     ISNUMBER(FIND(SUBSTITUTE(C492," ",""),
                                    Load_Booking_Report!AL:AL)),
                     0)
      )
   ),
   ""
)</f>
        <v/>
      </c>
      <c r="W492" s="21">
        <f t="array" ref="W492">IFERROR(INDEX(Load_Booking_Report!F:F, MATCH(TRUE, ISNUMBER(FIND(SUBSTITUTE(C492," ",""), Load_Booking_Report!AL:AL)), 0)), "Not Found")</f>
        <v/>
      </c>
      <c r="X492" s="21">
        <f t="array" ref="X492">IFERROR(INDEX(Load_Booking_Report!N:N, MATCH(TRUE, ISNUMBER(FIND(SUBSTITUTE(C492," ",""), Load_Booking_Report!AL:AL)), 0)), "Not Found")</f>
        <v/>
      </c>
      <c r="Y492" s="21">
        <f t="array" ref="Y492">IFERROR(INDEX(Load_Booking_Report!V:V, MATCH(TRUE, ISNUMBER(FIND(SUBSTITUTE(C492," ",""), Load_Booking_Report!AL:AL)), 0)), "Not Found")</f>
        <v/>
      </c>
      <c r="Z492" s="41">
        <f t="array" ref="Z492">IFERROR(INDEX(Load_Booking_Report!BC:BC, MATCH(TRUE, ISNUMBER(FIND(SUBSTITUTE(C492," ",""), Load_Booking_Report!AL:AL)), 0)), "Not Found")</f>
        <v/>
      </c>
    </row>
    <row r="493">
      <c r="A493" t="n">
        <v>29</v>
      </c>
      <c r="B493" t="n">
        <v>290704</v>
      </c>
      <c r="C493" t="inlineStr">
        <is>
          <t>ANON0000000</t>
        </is>
      </c>
      <c r="D493" t="n">
        <v>20</v>
      </c>
      <c r="E493" t="inlineStr">
        <is>
          <t>USNFK</t>
        </is>
      </c>
      <c r="F493" t="inlineStr">
        <is>
          <t>RULED</t>
        </is>
      </c>
      <c r="G493" t="n">
        <v>27950</v>
      </c>
      <c r="H493" t="inlineStr">
        <is>
          <t>MCL</t>
        </is>
      </c>
      <c r="I493" t="inlineStr">
        <is>
          <t>22G1</t>
        </is>
      </c>
      <c r="L493" t="inlineStr">
        <is>
          <t>OOG</t>
        </is>
      </c>
      <c r="M493" t="inlineStr">
        <is>
          <t>Full</t>
        </is>
      </c>
      <c r="N493" t="inlineStr">
        <is>
          <t>RULED</t>
        </is>
      </c>
      <c r="P493" s="21">
        <f>C493</f>
        <v/>
      </c>
      <c r="Q493" s="21">
        <f t="array" ref="Q493">IFERROR(INDEX(Load_Booking_Report!AC:AC, MATCH(TRUE, ISNUMBER(FIND(SUBSTITUTE(C493," ",""), Load_Booking_Report!AL:AL)), 0)), "Not Found")</f>
        <v/>
      </c>
      <c r="R493" s="21">
        <f t="array" ref="R493">IFERROR(INDEX(Load_Booking_Report!C:C, MATCH(TRUE, ISNUMBER(FIND(SUBSTITUTE(C493," ",""), Load_Booking_Report!AL:AL)), 0)), "Not Found")</f>
        <v/>
      </c>
      <c r="S493" s="21">
        <f t="array" ref="S493">IFERROR(INDEX(Load_Booking_Report!AG:AG, MATCH(TRUE, ISNUMBER(FIND(SUBSTITUTE(C493," ",""), Load_Booking_Report!AL:AL)), 0)), "Not Found")</f>
        <v/>
      </c>
      <c r="T493" s="21">
        <f>G493</f>
        <v/>
      </c>
      <c r="U493" s="33">
        <f t="array" ref="U493">IFERROR(
   IF(
      INDEX(Load_Booking_Report!AM:AM,
             MATCH(TRUE,
                     ISNUMBER(FIND(SUBSTITUTE(C493," ",""),
                                    Load_Booking_Report!AL:AL)),
                     0)
      )=0,
      "",
      INDEX(Load_Booking_Report!AM:AM,
             MATCH(TRUE,
                     ISNUMBER(FIND(SUBSTITUTE(C493," ",""),
                                    Load_Booking_Report!AL:AL)),
                     0)
      )
   ),
   ""
)</f>
        <v/>
      </c>
      <c r="V493" s="21">
        <f t="array" ref="V493">IFERROR(
   IF(
      INDEX(Load_Booking_Report!AR:AR,
             MATCH(TRUE,
                     ISNUMBER(FIND(SUBSTITUTE(C493," ",""),
                                    Load_Booking_Report!AL:AL)),
                     0)
      )=0,
      "",
      INDEX(Load_Booking_Report!AR:AR,
             MATCH(TRUE,
                     ISNUMBER(FIND(SUBSTITUTE(C493," ",""),
                                    Load_Booking_Report!AL:AL)),
                     0)
      )
   ),
   ""
)</f>
        <v/>
      </c>
      <c r="W493" s="21">
        <f t="array" ref="W493">IFERROR(INDEX(Load_Booking_Report!F:F, MATCH(TRUE, ISNUMBER(FIND(SUBSTITUTE(C493," ",""), Load_Booking_Report!AL:AL)), 0)), "Not Found")</f>
        <v/>
      </c>
      <c r="X493" s="21">
        <f t="array" ref="X493">IFERROR(INDEX(Load_Booking_Report!N:N, MATCH(TRUE, ISNUMBER(FIND(SUBSTITUTE(C493," ",""), Load_Booking_Report!AL:AL)), 0)), "Not Found")</f>
        <v/>
      </c>
      <c r="Y493" s="21">
        <f t="array" ref="Y493">IFERROR(INDEX(Load_Booking_Report!V:V, MATCH(TRUE, ISNUMBER(FIND(SUBSTITUTE(C493," ",""), Load_Booking_Report!AL:AL)), 0)), "Not Found")</f>
        <v/>
      </c>
      <c r="Z493" s="41">
        <f t="array" ref="Z493">IFERROR(INDEX(Load_Booking_Report!BC:BC, MATCH(TRUE, ISNUMBER(FIND(SUBSTITUTE(C493," ",""), Load_Booking_Report!AL:AL)), 0)), "Not Found")</f>
        <v/>
      </c>
    </row>
    <row r="494">
      <c r="A494" t="n">
        <v>15</v>
      </c>
      <c r="B494" t="n">
        <v>150104</v>
      </c>
      <c r="C494" t="inlineStr">
        <is>
          <t>ANON0000000</t>
        </is>
      </c>
      <c r="D494" t="n">
        <v>20</v>
      </c>
      <c r="E494" t="inlineStr">
        <is>
          <t>USNFK</t>
        </is>
      </c>
      <c r="F494" t="inlineStr">
        <is>
          <t>RULED</t>
        </is>
      </c>
      <c r="G494" t="n">
        <v>26380</v>
      </c>
      <c r="H494" t="inlineStr">
        <is>
          <t>MCL</t>
        </is>
      </c>
      <c r="I494" t="inlineStr">
        <is>
          <t>22G1</t>
        </is>
      </c>
      <c r="L494" t="inlineStr">
        <is>
          <t>OOG</t>
        </is>
      </c>
      <c r="M494" t="inlineStr">
        <is>
          <t>Full</t>
        </is>
      </c>
      <c r="N494" t="inlineStr">
        <is>
          <t>RULED</t>
        </is>
      </c>
      <c r="P494" s="21">
        <f>C494</f>
        <v/>
      </c>
      <c r="Q494" s="21">
        <f t="array" ref="Q494">IFERROR(INDEX(Load_Booking_Report!AC:AC, MATCH(TRUE, ISNUMBER(FIND(SUBSTITUTE(C494," ",""), Load_Booking_Report!AL:AL)), 0)), "Not Found")</f>
        <v/>
      </c>
      <c r="R494" s="21">
        <f t="array" ref="R494">IFERROR(INDEX(Load_Booking_Report!C:C, MATCH(TRUE, ISNUMBER(FIND(SUBSTITUTE(C494," ",""), Load_Booking_Report!AL:AL)), 0)), "Not Found")</f>
        <v/>
      </c>
      <c r="S494" s="21">
        <f t="array" ref="S494">IFERROR(INDEX(Load_Booking_Report!AG:AG, MATCH(TRUE, ISNUMBER(FIND(SUBSTITUTE(C494," ",""), Load_Booking_Report!AL:AL)), 0)), "Not Found")</f>
        <v/>
      </c>
      <c r="T494" s="21">
        <f>G494</f>
        <v/>
      </c>
      <c r="U494" s="33">
        <f t="array" ref="U494">IFERROR(
   IF(
      INDEX(Load_Booking_Report!AM:AM,
             MATCH(TRUE,
                     ISNUMBER(FIND(SUBSTITUTE(C494," ",""),
                                    Load_Booking_Report!AL:AL)),
                     0)
      )=0,
      "",
      INDEX(Load_Booking_Report!AM:AM,
             MATCH(TRUE,
                     ISNUMBER(FIND(SUBSTITUTE(C494," ",""),
                                    Load_Booking_Report!AL:AL)),
                     0)
      )
   ),
   ""
)</f>
        <v/>
      </c>
      <c r="V494" s="21">
        <f t="array" ref="V494">IFERROR(
   IF(
      INDEX(Load_Booking_Report!AR:AR,
             MATCH(TRUE,
                     ISNUMBER(FIND(SUBSTITUTE(C494," ",""),
                                    Load_Booking_Report!AL:AL)),
                     0)
      )=0,
      "",
      INDEX(Load_Booking_Report!AR:AR,
             MATCH(TRUE,
                     ISNUMBER(FIND(SUBSTITUTE(C494," ",""),
                                    Load_Booking_Report!AL:AL)),
                     0)
      )
   ),
   ""
)</f>
        <v/>
      </c>
      <c r="W494" s="21">
        <f t="array" ref="W494">IFERROR(INDEX(Load_Booking_Report!F:F, MATCH(TRUE, ISNUMBER(FIND(SUBSTITUTE(C494," ",""), Load_Booking_Report!AL:AL)), 0)), "Not Found")</f>
        <v/>
      </c>
      <c r="X494" s="21">
        <f t="array" ref="X494">IFERROR(INDEX(Load_Booking_Report!N:N, MATCH(TRUE, ISNUMBER(FIND(SUBSTITUTE(C494," ",""), Load_Booking_Report!AL:AL)), 0)), "Not Found")</f>
        <v/>
      </c>
      <c r="Y494" s="21">
        <f t="array" ref="Y494">IFERROR(INDEX(Load_Booking_Report!V:V, MATCH(TRUE, ISNUMBER(FIND(SUBSTITUTE(C494," ",""), Load_Booking_Report!AL:AL)), 0)), "Not Found")</f>
        <v/>
      </c>
      <c r="Z494" s="41">
        <f t="array" ref="Z494">IFERROR(INDEX(Load_Booking_Report!BC:BC, MATCH(TRUE, ISNUMBER(FIND(SUBSTITUTE(C494," ",""), Load_Booking_Report!AL:AL)), 0)), "Not Found")</f>
        <v/>
      </c>
    </row>
    <row r="495">
      <c r="A495" t="n">
        <v>29</v>
      </c>
      <c r="B495" t="n">
        <v>290106</v>
      </c>
      <c r="C495" t="inlineStr">
        <is>
          <t>ANON0000000</t>
        </is>
      </c>
      <c r="D495" t="n">
        <v>20</v>
      </c>
      <c r="E495" t="inlineStr">
        <is>
          <t>USNFK</t>
        </is>
      </c>
      <c r="F495" t="inlineStr">
        <is>
          <t>RULED</t>
        </is>
      </c>
      <c r="G495" t="n">
        <v>21275</v>
      </c>
      <c r="H495" t="inlineStr">
        <is>
          <t>MCL</t>
        </is>
      </c>
      <c r="I495" t="inlineStr">
        <is>
          <t>22G1</t>
        </is>
      </c>
      <c r="L495" t="inlineStr">
        <is>
          <t>OOG</t>
        </is>
      </c>
      <c r="M495" t="inlineStr">
        <is>
          <t>Full</t>
        </is>
      </c>
      <c r="N495" t="inlineStr">
        <is>
          <t>RULED</t>
        </is>
      </c>
      <c r="P495" s="21">
        <f>C495</f>
        <v/>
      </c>
      <c r="Q495" s="21">
        <f t="array" ref="Q495">IFERROR(INDEX(Load_Booking_Report!AC:AC, MATCH(TRUE, ISNUMBER(FIND(SUBSTITUTE(C495," ",""), Load_Booking_Report!AL:AL)), 0)), "Not Found")</f>
        <v/>
      </c>
      <c r="R495" s="21">
        <f t="array" ref="R495">IFERROR(INDEX(Load_Booking_Report!C:C, MATCH(TRUE, ISNUMBER(FIND(SUBSTITUTE(C495," ",""), Load_Booking_Report!AL:AL)), 0)), "Not Found")</f>
        <v/>
      </c>
      <c r="S495" s="21">
        <f t="array" ref="S495">IFERROR(INDEX(Load_Booking_Report!AG:AG, MATCH(TRUE, ISNUMBER(FIND(SUBSTITUTE(C495," ",""), Load_Booking_Report!AL:AL)), 0)), "Not Found")</f>
        <v/>
      </c>
      <c r="T495" s="21">
        <f>G495</f>
        <v/>
      </c>
      <c r="U495" s="33">
        <f t="array" ref="U495">IFERROR(
   IF(
      INDEX(Load_Booking_Report!AM:AM,
             MATCH(TRUE,
                     ISNUMBER(FIND(SUBSTITUTE(C495," ",""),
                                    Load_Booking_Report!AL:AL)),
                     0)
      )=0,
      "",
      INDEX(Load_Booking_Report!AM:AM,
             MATCH(TRUE,
                     ISNUMBER(FIND(SUBSTITUTE(C495," ",""),
                                    Load_Booking_Report!AL:AL)),
                     0)
      )
   ),
   ""
)</f>
        <v/>
      </c>
      <c r="V495" s="21">
        <f t="array" ref="V495">IFERROR(
   IF(
      INDEX(Load_Booking_Report!AR:AR,
             MATCH(TRUE,
                     ISNUMBER(FIND(SUBSTITUTE(C495," ",""),
                                    Load_Booking_Report!AL:AL)),
                     0)
      )=0,
      "",
      INDEX(Load_Booking_Report!AR:AR,
             MATCH(TRUE,
                     ISNUMBER(FIND(SUBSTITUTE(C495," ",""),
                                    Load_Booking_Report!AL:AL)),
                     0)
      )
   ),
   ""
)</f>
        <v/>
      </c>
      <c r="W495" s="21">
        <f t="array" ref="W495">IFERROR(INDEX(Load_Booking_Report!F:F, MATCH(TRUE, ISNUMBER(FIND(SUBSTITUTE(C495," ",""), Load_Booking_Report!AL:AL)), 0)), "Not Found")</f>
        <v/>
      </c>
      <c r="X495" s="21">
        <f t="array" ref="X495">IFERROR(INDEX(Load_Booking_Report!N:N, MATCH(TRUE, ISNUMBER(FIND(SUBSTITUTE(C495," ",""), Load_Booking_Report!AL:AL)), 0)), "Not Found")</f>
        <v/>
      </c>
      <c r="Y495" s="21">
        <f t="array" ref="Y495">IFERROR(INDEX(Load_Booking_Report!V:V, MATCH(TRUE, ISNUMBER(FIND(SUBSTITUTE(C495," ",""), Load_Booking_Report!AL:AL)), 0)), "Not Found")</f>
        <v/>
      </c>
      <c r="Z495" s="41">
        <f t="array" ref="Z495">IFERROR(INDEX(Load_Booking_Report!BC:BC, MATCH(TRUE, ISNUMBER(FIND(SUBSTITUTE(C495," ",""), Load_Booking_Report!AL:AL)), 0)), "Not Found")</f>
        <v/>
      </c>
    </row>
    <row r="496">
      <c r="A496" t="n">
        <v>17</v>
      </c>
      <c r="B496" t="n">
        <v>170704</v>
      </c>
      <c r="C496" t="inlineStr">
        <is>
          <t>ANON0000000</t>
        </is>
      </c>
      <c r="D496" t="n">
        <v>20</v>
      </c>
      <c r="E496" t="inlineStr">
        <is>
          <t>USNFK</t>
        </is>
      </c>
      <c r="F496" t="inlineStr">
        <is>
          <t>RULED</t>
        </is>
      </c>
      <c r="G496" t="n">
        <v>21300</v>
      </c>
      <c r="H496" t="inlineStr">
        <is>
          <t>MCL</t>
        </is>
      </c>
      <c r="I496" t="inlineStr">
        <is>
          <t>22G1</t>
        </is>
      </c>
      <c r="L496" t="inlineStr">
        <is>
          <t>OOG</t>
        </is>
      </c>
      <c r="M496" t="inlineStr">
        <is>
          <t>Full</t>
        </is>
      </c>
      <c r="N496" t="inlineStr">
        <is>
          <t>RULED</t>
        </is>
      </c>
      <c r="P496" s="21">
        <f>C496</f>
        <v/>
      </c>
      <c r="Q496" s="21">
        <f t="array" ref="Q496">IFERROR(INDEX(Load_Booking_Report!AC:AC, MATCH(TRUE, ISNUMBER(FIND(SUBSTITUTE(C496," ",""), Load_Booking_Report!AL:AL)), 0)), "Not Found")</f>
        <v/>
      </c>
      <c r="R496" s="21">
        <f t="array" ref="R496">IFERROR(INDEX(Load_Booking_Report!C:C, MATCH(TRUE, ISNUMBER(FIND(SUBSTITUTE(C496," ",""), Load_Booking_Report!AL:AL)), 0)), "Not Found")</f>
        <v/>
      </c>
      <c r="S496" s="21">
        <f t="array" ref="S496">IFERROR(INDEX(Load_Booking_Report!AG:AG, MATCH(TRUE, ISNUMBER(FIND(SUBSTITUTE(C496," ",""), Load_Booking_Report!AL:AL)), 0)), "Not Found")</f>
        <v/>
      </c>
      <c r="T496" s="21">
        <f>G496</f>
        <v/>
      </c>
      <c r="U496" s="33">
        <f t="array" ref="U496">IFERROR(
   IF(
      INDEX(Load_Booking_Report!AM:AM,
             MATCH(TRUE,
                     ISNUMBER(FIND(SUBSTITUTE(C496," ",""),
                                    Load_Booking_Report!AL:AL)),
                     0)
      )=0,
      "",
      INDEX(Load_Booking_Report!AM:AM,
             MATCH(TRUE,
                     ISNUMBER(FIND(SUBSTITUTE(C496," ",""),
                                    Load_Booking_Report!AL:AL)),
                     0)
      )
   ),
   ""
)</f>
        <v/>
      </c>
      <c r="V496" s="21">
        <f t="array" ref="V496">IFERROR(
   IF(
      INDEX(Load_Booking_Report!AR:AR,
             MATCH(TRUE,
                     ISNUMBER(FIND(SUBSTITUTE(C496," ",""),
                                    Load_Booking_Report!AL:AL)),
                     0)
      )=0,
      "",
      INDEX(Load_Booking_Report!AR:AR,
             MATCH(TRUE,
                     ISNUMBER(FIND(SUBSTITUTE(C496," ",""),
                                    Load_Booking_Report!AL:AL)),
                     0)
      )
   ),
   ""
)</f>
        <v/>
      </c>
      <c r="W496" s="21">
        <f t="array" ref="W496">IFERROR(INDEX(Load_Booking_Report!F:F, MATCH(TRUE, ISNUMBER(FIND(SUBSTITUTE(C496," ",""), Load_Booking_Report!AL:AL)), 0)), "Not Found")</f>
        <v/>
      </c>
      <c r="X496" s="21">
        <f t="array" ref="X496">IFERROR(INDEX(Load_Booking_Report!N:N, MATCH(TRUE, ISNUMBER(FIND(SUBSTITUTE(C496," ",""), Load_Booking_Report!AL:AL)), 0)), "Not Found")</f>
        <v/>
      </c>
      <c r="Y496" s="21">
        <f t="array" ref="Y496">IFERROR(INDEX(Load_Booking_Report!V:V, MATCH(TRUE, ISNUMBER(FIND(SUBSTITUTE(C496," ",""), Load_Booking_Report!AL:AL)), 0)), "Not Found")</f>
        <v/>
      </c>
      <c r="Z496" s="41">
        <f t="array" ref="Z496">IFERROR(INDEX(Load_Booking_Report!BC:BC, MATCH(TRUE, ISNUMBER(FIND(SUBSTITUTE(C496," ",""), Load_Booking_Report!AL:AL)), 0)), "Not Found")</f>
        <v/>
      </c>
    </row>
    <row r="497">
      <c r="A497" t="n">
        <v>19</v>
      </c>
      <c r="B497" t="n">
        <v>190802</v>
      </c>
      <c r="C497" t="inlineStr">
        <is>
          <t>ANON0000000</t>
        </is>
      </c>
      <c r="D497" t="n">
        <v>20</v>
      </c>
      <c r="E497" t="inlineStr">
        <is>
          <t>USNFK</t>
        </is>
      </c>
      <c r="F497" t="inlineStr">
        <is>
          <t>RULED</t>
        </is>
      </c>
      <c r="G497" t="n">
        <v>27260</v>
      </c>
      <c r="H497" t="inlineStr">
        <is>
          <t>MCL</t>
        </is>
      </c>
      <c r="I497" t="inlineStr">
        <is>
          <t>22G1</t>
        </is>
      </c>
      <c r="L497" t="inlineStr">
        <is>
          <t>OOG</t>
        </is>
      </c>
      <c r="M497" t="inlineStr">
        <is>
          <t>Full</t>
        </is>
      </c>
      <c r="N497" t="inlineStr">
        <is>
          <t>RULED</t>
        </is>
      </c>
      <c r="P497" s="21">
        <f>C497</f>
        <v/>
      </c>
      <c r="Q497" s="21">
        <f t="array" ref="Q497">IFERROR(INDEX(Load_Booking_Report!AC:AC, MATCH(TRUE, ISNUMBER(FIND(SUBSTITUTE(C497," ",""), Load_Booking_Report!AL:AL)), 0)), "Not Found")</f>
        <v/>
      </c>
      <c r="R497" s="21">
        <f t="array" ref="R497">IFERROR(INDEX(Load_Booking_Report!C:C, MATCH(TRUE, ISNUMBER(FIND(SUBSTITUTE(C497," ",""), Load_Booking_Report!AL:AL)), 0)), "Not Found")</f>
        <v/>
      </c>
      <c r="S497" s="21">
        <f t="array" ref="S497">IFERROR(INDEX(Load_Booking_Report!AG:AG, MATCH(TRUE, ISNUMBER(FIND(SUBSTITUTE(C497," ",""), Load_Booking_Report!AL:AL)), 0)), "Not Found")</f>
        <v/>
      </c>
      <c r="T497" s="21">
        <f>G497</f>
        <v/>
      </c>
      <c r="U497" s="33">
        <f t="array" ref="U497">IFERROR(
   IF(
      INDEX(Load_Booking_Report!AM:AM,
             MATCH(TRUE,
                     ISNUMBER(FIND(SUBSTITUTE(C497," ",""),
                                    Load_Booking_Report!AL:AL)),
                     0)
      )=0,
      "",
      INDEX(Load_Booking_Report!AM:AM,
             MATCH(TRUE,
                     ISNUMBER(FIND(SUBSTITUTE(C497," ",""),
                                    Load_Booking_Report!AL:AL)),
                     0)
      )
   ),
   ""
)</f>
        <v/>
      </c>
      <c r="V497" s="21">
        <f t="array" ref="V497">IFERROR(
   IF(
      INDEX(Load_Booking_Report!AR:AR,
             MATCH(TRUE,
                     ISNUMBER(FIND(SUBSTITUTE(C497," ",""),
                                    Load_Booking_Report!AL:AL)),
                     0)
      )=0,
      "",
      INDEX(Load_Booking_Report!AR:AR,
             MATCH(TRUE,
                     ISNUMBER(FIND(SUBSTITUTE(C497," ",""),
                                    Load_Booking_Report!AL:AL)),
                     0)
      )
   ),
   ""
)</f>
        <v/>
      </c>
      <c r="W497" s="21">
        <f t="array" ref="W497">IFERROR(INDEX(Load_Booking_Report!F:F, MATCH(TRUE, ISNUMBER(FIND(SUBSTITUTE(C497," ",""), Load_Booking_Report!AL:AL)), 0)), "Not Found")</f>
        <v/>
      </c>
      <c r="X497" s="21">
        <f t="array" ref="X497">IFERROR(INDEX(Load_Booking_Report!N:N, MATCH(TRUE, ISNUMBER(FIND(SUBSTITUTE(C497," ",""), Load_Booking_Report!AL:AL)), 0)), "Not Found")</f>
        <v/>
      </c>
      <c r="Y497" s="21">
        <f t="array" ref="Y497">IFERROR(INDEX(Load_Booking_Report!V:V, MATCH(TRUE, ISNUMBER(FIND(SUBSTITUTE(C497," ",""), Load_Booking_Report!AL:AL)), 0)), "Not Found")</f>
        <v/>
      </c>
      <c r="Z497" s="41">
        <f t="array" ref="Z497">IFERROR(INDEX(Load_Booking_Report!BC:BC, MATCH(TRUE, ISNUMBER(FIND(SUBSTITUTE(C497," ",""), Load_Booking_Report!AL:AL)), 0)), "Not Found")</f>
        <v/>
      </c>
    </row>
    <row r="498">
      <c r="A498" t="n">
        <v>15</v>
      </c>
      <c r="B498" t="n">
        <v>150204</v>
      </c>
      <c r="C498" t="inlineStr">
        <is>
          <t>ANON0000000</t>
        </is>
      </c>
      <c r="D498" t="n">
        <v>20</v>
      </c>
      <c r="E498" t="inlineStr">
        <is>
          <t>USNFK</t>
        </is>
      </c>
      <c r="F498" t="inlineStr">
        <is>
          <t>RULED</t>
        </is>
      </c>
      <c r="G498" t="n">
        <v>26490</v>
      </c>
      <c r="H498" t="inlineStr">
        <is>
          <t>MCL</t>
        </is>
      </c>
      <c r="I498" t="inlineStr">
        <is>
          <t>22G1</t>
        </is>
      </c>
      <c r="L498" t="inlineStr">
        <is>
          <t>OOG</t>
        </is>
      </c>
      <c r="M498" t="inlineStr">
        <is>
          <t>Full</t>
        </is>
      </c>
      <c r="N498" t="inlineStr">
        <is>
          <t>RULED</t>
        </is>
      </c>
      <c r="P498" s="21">
        <f>C498</f>
        <v/>
      </c>
      <c r="Q498" s="21">
        <f t="array" ref="Q498">IFERROR(INDEX(Load_Booking_Report!AC:AC, MATCH(TRUE, ISNUMBER(FIND(SUBSTITUTE(C498," ",""), Load_Booking_Report!AL:AL)), 0)), "Not Found")</f>
        <v/>
      </c>
      <c r="R498" s="21">
        <f t="array" ref="R498">IFERROR(INDEX(Load_Booking_Report!C:C, MATCH(TRUE, ISNUMBER(FIND(SUBSTITUTE(C498," ",""), Load_Booking_Report!AL:AL)), 0)), "Not Found")</f>
        <v/>
      </c>
      <c r="S498" s="21">
        <f t="array" ref="S498">IFERROR(INDEX(Load_Booking_Report!AG:AG, MATCH(TRUE, ISNUMBER(FIND(SUBSTITUTE(C498," ",""), Load_Booking_Report!AL:AL)), 0)), "Not Found")</f>
        <v/>
      </c>
      <c r="T498" s="21">
        <f>G498</f>
        <v/>
      </c>
      <c r="U498" s="33">
        <f t="array" ref="U498">IFERROR(
   IF(
      INDEX(Load_Booking_Report!AM:AM,
             MATCH(TRUE,
                     ISNUMBER(FIND(SUBSTITUTE(C498," ",""),
                                    Load_Booking_Report!AL:AL)),
                     0)
      )=0,
      "",
      INDEX(Load_Booking_Report!AM:AM,
             MATCH(TRUE,
                     ISNUMBER(FIND(SUBSTITUTE(C498," ",""),
                                    Load_Booking_Report!AL:AL)),
                     0)
      )
   ),
   ""
)</f>
        <v/>
      </c>
      <c r="V498" s="21">
        <f t="array" ref="V498">IFERROR(
   IF(
      INDEX(Load_Booking_Report!AR:AR,
             MATCH(TRUE,
                     ISNUMBER(FIND(SUBSTITUTE(C498," ",""),
                                    Load_Booking_Report!AL:AL)),
                     0)
      )=0,
      "",
      INDEX(Load_Booking_Report!AR:AR,
             MATCH(TRUE,
                     ISNUMBER(FIND(SUBSTITUTE(C498," ",""),
                                    Load_Booking_Report!AL:AL)),
                     0)
      )
   ),
   ""
)</f>
        <v/>
      </c>
      <c r="W498" s="21">
        <f t="array" ref="W498">IFERROR(INDEX(Load_Booking_Report!F:F, MATCH(TRUE, ISNUMBER(FIND(SUBSTITUTE(C498," ",""), Load_Booking_Report!AL:AL)), 0)), "Not Found")</f>
        <v/>
      </c>
      <c r="X498" s="21">
        <f t="array" ref="X498">IFERROR(INDEX(Load_Booking_Report!N:N, MATCH(TRUE, ISNUMBER(FIND(SUBSTITUTE(C498," ",""), Load_Booking_Report!AL:AL)), 0)), "Not Found")</f>
        <v/>
      </c>
      <c r="Y498" s="21">
        <f t="array" ref="Y498">IFERROR(INDEX(Load_Booking_Report!V:V, MATCH(TRUE, ISNUMBER(FIND(SUBSTITUTE(C498," ",""), Load_Booking_Report!AL:AL)), 0)), "Not Found")</f>
        <v/>
      </c>
      <c r="Z498" s="41">
        <f t="array" ref="Z498">IFERROR(INDEX(Load_Booking_Report!BC:BC, MATCH(TRUE, ISNUMBER(FIND(SUBSTITUTE(C498," ",""), Load_Booking_Report!AL:AL)), 0)), "Not Found")</f>
        <v/>
      </c>
    </row>
    <row r="499">
      <c r="A499" t="n">
        <v>17</v>
      </c>
      <c r="B499" t="n">
        <v>170504</v>
      </c>
      <c r="C499" t="inlineStr">
        <is>
          <t>ANON0000000</t>
        </is>
      </c>
      <c r="D499" t="n">
        <v>20</v>
      </c>
      <c r="E499" t="inlineStr">
        <is>
          <t>USNFK</t>
        </is>
      </c>
      <c r="F499" t="inlineStr">
        <is>
          <t>RULED</t>
        </is>
      </c>
      <c r="G499" t="n">
        <v>22130</v>
      </c>
      <c r="H499" t="inlineStr">
        <is>
          <t>MCL</t>
        </is>
      </c>
      <c r="I499" t="inlineStr">
        <is>
          <t>22G1</t>
        </is>
      </c>
      <c r="L499" t="inlineStr">
        <is>
          <t>OOG</t>
        </is>
      </c>
      <c r="M499" t="inlineStr">
        <is>
          <t>Full</t>
        </is>
      </c>
      <c r="N499" t="inlineStr">
        <is>
          <t>RULED</t>
        </is>
      </c>
      <c r="P499" s="21">
        <f>C499</f>
        <v/>
      </c>
      <c r="Q499" s="21">
        <f t="array" ref="Q499">IFERROR(INDEX(Load_Booking_Report!AC:AC, MATCH(TRUE, ISNUMBER(FIND(SUBSTITUTE(C499," ",""), Load_Booking_Report!AL:AL)), 0)), "Not Found")</f>
        <v/>
      </c>
      <c r="R499" s="21">
        <f t="array" ref="R499">IFERROR(INDEX(Load_Booking_Report!C:C, MATCH(TRUE, ISNUMBER(FIND(SUBSTITUTE(C499," ",""), Load_Booking_Report!AL:AL)), 0)), "Not Found")</f>
        <v/>
      </c>
      <c r="S499" s="21">
        <f t="array" ref="S499">IFERROR(INDEX(Load_Booking_Report!AG:AG, MATCH(TRUE, ISNUMBER(FIND(SUBSTITUTE(C499," ",""), Load_Booking_Report!AL:AL)), 0)), "Not Found")</f>
        <v/>
      </c>
      <c r="T499" s="21">
        <f>G499</f>
        <v/>
      </c>
      <c r="U499" s="33">
        <f t="array" ref="U499">IFERROR(
   IF(
      INDEX(Load_Booking_Report!AM:AM,
             MATCH(TRUE,
                     ISNUMBER(FIND(SUBSTITUTE(C499," ",""),
                                    Load_Booking_Report!AL:AL)),
                     0)
      )=0,
      "",
      INDEX(Load_Booking_Report!AM:AM,
             MATCH(TRUE,
                     ISNUMBER(FIND(SUBSTITUTE(C499," ",""),
                                    Load_Booking_Report!AL:AL)),
                     0)
      )
   ),
   ""
)</f>
        <v/>
      </c>
      <c r="V499" s="21">
        <f t="array" ref="V499">IFERROR(
   IF(
      INDEX(Load_Booking_Report!AR:AR,
             MATCH(TRUE,
                     ISNUMBER(FIND(SUBSTITUTE(C499," ",""),
                                    Load_Booking_Report!AL:AL)),
                     0)
      )=0,
      "",
      INDEX(Load_Booking_Report!AR:AR,
             MATCH(TRUE,
                     ISNUMBER(FIND(SUBSTITUTE(C499," ",""),
                                    Load_Booking_Report!AL:AL)),
                     0)
      )
   ),
   ""
)</f>
        <v/>
      </c>
      <c r="W499" s="21">
        <f t="array" ref="W499">IFERROR(INDEX(Load_Booking_Report!F:F, MATCH(TRUE, ISNUMBER(FIND(SUBSTITUTE(C499," ",""), Load_Booking_Report!AL:AL)), 0)), "Not Found")</f>
        <v/>
      </c>
      <c r="X499" s="21">
        <f t="array" ref="X499">IFERROR(INDEX(Load_Booking_Report!N:N, MATCH(TRUE, ISNUMBER(FIND(SUBSTITUTE(C499," ",""), Load_Booking_Report!AL:AL)), 0)), "Not Found")</f>
        <v/>
      </c>
      <c r="Y499" s="21">
        <f t="array" ref="Y499">IFERROR(INDEX(Load_Booking_Report!V:V, MATCH(TRUE, ISNUMBER(FIND(SUBSTITUTE(C499," ",""), Load_Booking_Report!AL:AL)), 0)), "Not Found")</f>
        <v/>
      </c>
      <c r="Z499" s="41">
        <f t="array" ref="Z499">IFERROR(INDEX(Load_Booking_Report!BC:BC, MATCH(TRUE, ISNUMBER(FIND(SUBSTITUTE(C499," ",""), Load_Booking_Report!AL:AL)), 0)), "Not Found")</f>
        <v/>
      </c>
    </row>
    <row r="500">
      <c r="A500" t="n">
        <v>19</v>
      </c>
      <c r="B500" t="n">
        <v>190504</v>
      </c>
      <c r="C500" t="inlineStr">
        <is>
          <t>ANON0000000</t>
        </is>
      </c>
      <c r="D500" t="n">
        <v>20</v>
      </c>
      <c r="E500" t="inlineStr">
        <is>
          <t>USNFK</t>
        </is>
      </c>
      <c r="F500" t="inlineStr">
        <is>
          <t>RULED</t>
        </is>
      </c>
      <c r="G500" t="n">
        <v>21300</v>
      </c>
      <c r="H500" t="inlineStr">
        <is>
          <t>MCL</t>
        </is>
      </c>
      <c r="I500" t="inlineStr">
        <is>
          <t>22G1</t>
        </is>
      </c>
      <c r="L500" t="inlineStr">
        <is>
          <t>OOG</t>
        </is>
      </c>
      <c r="M500" t="inlineStr">
        <is>
          <t>Full</t>
        </is>
      </c>
      <c r="N500" t="inlineStr">
        <is>
          <t>RULED</t>
        </is>
      </c>
      <c r="P500" s="21">
        <f>C500</f>
        <v/>
      </c>
      <c r="Q500" s="21">
        <f t="array" ref="Q500">IFERROR(INDEX(Load_Booking_Report!AC:AC, MATCH(TRUE, ISNUMBER(FIND(SUBSTITUTE(C500," ",""), Load_Booking_Report!AL:AL)), 0)), "Not Found")</f>
        <v/>
      </c>
      <c r="R500" s="21">
        <f t="array" ref="R500">IFERROR(INDEX(Load_Booking_Report!C:C, MATCH(TRUE, ISNUMBER(FIND(SUBSTITUTE(C500," ",""), Load_Booking_Report!AL:AL)), 0)), "Not Found")</f>
        <v/>
      </c>
      <c r="S500" s="21">
        <f t="array" ref="S500">IFERROR(INDEX(Load_Booking_Report!AG:AG, MATCH(TRUE, ISNUMBER(FIND(SUBSTITUTE(C500," ",""), Load_Booking_Report!AL:AL)), 0)), "Not Found")</f>
        <v/>
      </c>
      <c r="T500" s="21">
        <f>G500</f>
        <v/>
      </c>
      <c r="U500" s="33">
        <f t="array" ref="U500">IFERROR(
   IF(
      INDEX(Load_Booking_Report!AM:AM,
             MATCH(TRUE,
                     ISNUMBER(FIND(SUBSTITUTE(C500," ",""),
                                    Load_Booking_Report!AL:AL)),
                     0)
      )=0,
      "",
      INDEX(Load_Booking_Report!AM:AM,
             MATCH(TRUE,
                     ISNUMBER(FIND(SUBSTITUTE(C500," ",""),
                                    Load_Booking_Report!AL:AL)),
                     0)
      )
   ),
   ""
)</f>
        <v/>
      </c>
      <c r="V500" s="21">
        <f t="array" ref="V500">IFERROR(
   IF(
      INDEX(Load_Booking_Report!AR:AR,
             MATCH(TRUE,
                     ISNUMBER(FIND(SUBSTITUTE(C500," ",""),
                                    Load_Booking_Report!AL:AL)),
                     0)
      )=0,
      "",
      INDEX(Load_Booking_Report!AR:AR,
             MATCH(TRUE,
                     ISNUMBER(FIND(SUBSTITUTE(C500," ",""),
                                    Load_Booking_Report!AL:AL)),
                     0)
      )
   ),
   ""
)</f>
        <v/>
      </c>
      <c r="W500" s="21">
        <f t="array" ref="W500">IFERROR(INDEX(Load_Booking_Report!F:F, MATCH(TRUE, ISNUMBER(FIND(SUBSTITUTE(C500," ",""), Load_Booking_Report!AL:AL)), 0)), "Not Found")</f>
        <v/>
      </c>
      <c r="X500" s="21">
        <f t="array" ref="X500">IFERROR(INDEX(Load_Booking_Report!N:N, MATCH(TRUE, ISNUMBER(FIND(SUBSTITUTE(C500," ",""), Load_Booking_Report!AL:AL)), 0)), "Not Found")</f>
        <v/>
      </c>
      <c r="Y500" s="21">
        <f t="array" ref="Y500">IFERROR(INDEX(Load_Booking_Report!V:V, MATCH(TRUE, ISNUMBER(FIND(SUBSTITUTE(C500," ",""), Load_Booking_Report!AL:AL)), 0)), "Not Found")</f>
        <v/>
      </c>
      <c r="Z500" s="41">
        <f t="array" ref="Z500">IFERROR(INDEX(Load_Booking_Report!BC:BC, MATCH(TRUE, ISNUMBER(FIND(SUBSTITUTE(C500," ",""), Load_Booking_Report!AL:AL)), 0)), "Not Found")</f>
        <v/>
      </c>
    </row>
    <row r="501">
      <c r="A501" t="n">
        <v>27</v>
      </c>
      <c r="B501" t="n">
        <v>270208</v>
      </c>
      <c r="C501" t="inlineStr">
        <is>
          <t>ANON0000000</t>
        </is>
      </c>
      <c r="D501" t="n">
        <v>20</v>
      </c>
      <c r="E501" t="inlineStr">
        <is>
          <t>USNYC</t>
        </is>
      </c>
      <c r="F501" t="inlineStr">
        <is>
          <t>RULED</t>
        </is>
      </c>
      <c r="G501" t="n">
        <v>26890</v>
      </c>
      <c r="H501" t="inlineStr">
        <is>
          <t>MCL</t>
        </is>
      </c>
      <c r="I501" t="inlineStr">
        <is>
          <t>22G1</t>
        </is>
      </c>
      <c r="L501" t="inlineStr">
        <is>
          <t>8'6</t>
        </is>
      </c>
      <c r="M501" t="inlineStr">
        <is>
          <t>Full</t>
        </is>
      </c>
      <c r="N501" t="inlineStr">
        <is>
          <t>RULED</t>
        </is>
      </c>
      <c r="P501" s="21">
        <f>C501</f>
        <v/>
      </c>
      <c r="Q501" s="21">
        <f t="array" ref="Q501">IFERROR(INDEX(Load_Booking_Report!AC:AC, MATCH(TRUE, ISNUMBER(FIND(SUBSTITUTE(C501," ",""), Load_Booking_Report!AL:AL)), 0)), "Not Found")</f>
        <v/>
      </c>
      <c r="R501" s="21">
        <f t="array" ref="R501">IFERROR(INDEX(Load_Booking_Report!C:C, MATCH(TRUE, ISNUMBER(FIND(SUBSTITUTE(C501," ",""), Load_Booking_Report!AL:AL)), 0)), "Not Found")</f>
        <v/>
      </c>
      <c r="S501" s="21">
        <f t="array" ref="S501">IFERROR(INDEX(Load_Booking_Report!AG:AG, MATCH(TRUE, ISNUMBER(FIND(SUBSTITUTE(C501," ",""), Load_Booking_Report!AL:AL)), 0)), "Not Found")</f>
        <v/>
      </c>
      <c r="T501" s="21">
        <f>G501</f>
        <v/>
      </c>
      <c r="U501" s="33">
        <f t="array" ref="U501">IFERROR(
   IF(
      INDEX(Load_Booking_Report!AM:AM,
             MATCH(TRUE,
                     ISNUMBER(FIND(SUBSTITUTE(C501," ",""),
                                    Load_Booking_Report!AL:AL)),
                     0)
      )=0,
      "",
      INDEX(Load_Booking_Report!AM:AM,
             MATCH(TRUE,
                     ISNUMBER(FIND(SUBSTITUTE(C501," ",""),
                                    Load_Booking_Report!AL:AL)),
                     0)
      )
   ),
   ""
)</f>
        <v/>
      </c>
      <c r="V501" s="21">
        <f t="array" ref="V501">IFERROR(
   IF(
      INDEX(Load_Booking_Report!AR:AR,
             MATCH(TRUE,
                     ISNUMBER(FIND(SUBSTITUTE(C501," ",""),
                                    Load_Booking_Report!AL:AL)),
                     0)
      )=0,
      "",
      INDEX(Load_Booking_Report!AR:AR,
             MATCH(TRUE,
                     ISNUMBER(FIND(SUBSTITUTE(C501," ",""),
                                    Load_Booking_Report!AL:AL)),
                     0)
      )
   ),
   ""
)</f>
        <v/>
      </c>
      <c r="W501" s="21">
        <f t="array" ref="W501">IFERROR(INDEX(Load_Booking_Report!F:F, MATCH(TRUE, ISNUMBER(FIND(SUBSTITUTE(C501," ",""), Load_Booking_Report!AL:AL)), 0)), "Not Found")</f>
        <v/>
      </c>
      <c r="X501" s="21">
        <f t="array" ref="X501">IFERROR(INDEX(Load_Booking_Report!N:N, MATCH(TRUE, ISNUMBER(FIND(SUBSTITUTE(C501," ",""), Load_Booking_Report!AL:AL)), 0)), "Not Found")</f>
        <v/>
      </c>
      <c r="Y501" s="21">
        <f t="array" ref="Y501">IFERROR(INDEX(Load_Booking_Report!V:V, MATCH(TRUE, ISNUMBER(FIND(SUBSTITUTE(C501," ",""), Load_Booking_Report!AL:AL)), 0)), "Not Found")</f>
        <v/>
      </c>
      <c r="Z501" s="41">
        <f t="array" ref="Z501">IFERROR(INDEX(Load_Booking_Report!BC:BC, MATCH(TRUE, ISNUMBER(FIND(SUBSTITUTE(C501," ",""), Load_Booking_Report!AL:AL)), 0)), "Not Found")</f>
        <v/>
      </c>
    </row>
    <row r="502">
      <c r="A502" t="n">
        <v>17</v>
      </c>
      <c r="B502" t="n">
        <v>170604</v>
      </c>
      <c r="C502" t="inlineStr">
        <is>
          <t>ANON0000000</t>
        </is>
      </c>
      <c r="D502" t="n">
        <v>20</v>
      </c>
      <c r="E502" t="inlineStr">
        <is>
          <t>USNFK</t>
        </is>
      </c>
      <c r="F502" t="inlineStr">
        <is>
          <t>RULED</t>
        </is>
      </c>
      <c r="G502" t="n">
        <v>22090</v>
      </c>
      <c r="H502" t="inlineStr">
        <is>
          <t>MCL</t>
        </is>
      </c>
      <c r="I502" t="inlineStr">
        <is>
          <t>22G1</t>
        </is>
      </c>
      <c r="L502" t="inlineStr">
        <is>
          <t>OOG</t>
        </is>
      </c>
      <c r="M502" t="inlineStr">
        <is>
          <t>Full</t>
        </is>
      </c>
      <c r="N502" t="inlineStr">
        <is>
          <t>RULED</t>
        </is>
      </c>
      <c r="P502" s="21">
        <f>C502</f>
        <v/>
      </c>
      <c r="Q502" s="21">
        <f t="array" ref="Q502">IFERROR(INDEX(Load_Booking_Report!AC:AC, MATCH(TRUE, ISNUMBER(FIND(SUBSTITUTE(C502," ",""), Load_Booking_Report!AL:AL)), 0)), "Not Found")</f>
        <v/>
      </c>
      <c r="R502" s="21">
        <f t="array" ref="R502">IFERROR(INDEX(Load_Booking_Report!C:C, MATCH(TRUE, ISNUMBER(FIND(SUBSTITUTE(C502," ",""), Load_Booking_Report!AL:AL)), 0)), "Not Found")</f>
        <v/>
      </c>
      <c r="S502" s="21">
        <f t="array" ref="S502">IFERROR(INDEX(Load_Booking_Report!AG:AG, MATCH(TRUE, ISNUMBER(FIND(SUBSTITUTE(C502," ",""), Load_Booking_Report!AL:AL)), 0)), "Not Found")</f>
        <v/>
      </c>
      <c r="T502" s="21">
        <f>G502</f>
        <v/>
      </c>
      <c r="U502" s="33">
        <f t="array" ref="U502">IFERROR(
   IF(
      INDEX(Load_Booking_Report!AM:AM,
             MATCH(TRUE,
                     ISNUMBER(FIND(SUBSTITUTE(C502," ",""),
                                    Load_Booking_Report!AL:AL)),
                     0)
      )=0,
      "",
      INDEX(Load_Booking_Report!AM:AM,
             MATCH(TRUE,
                     ISNUMBER(FIND(SUBSTITUTE(C502," ",""),
                                    Load_Booking_Report!AL:AL)),
                     0)
      )
   ),
   ""
)</f>
        <v/>
      </c>
      <c r="V502" s="21">
        <f t="array" ref="V502">IFERROR(
   IF(
      INDEX(Load_Booking_Report!AR:AR,
             MATCH(TRUE,
                     ISNUMBER(FIND(SUBSTITUTE(C502," ",""),
                                    Load_Booking_Report!AL:AL)),
                     0)
      )=0,
      "",
      INDEX(Load_Booking_Report!AR:AR,
             MATCH(TRUE,
                     ISNUMBER(FIND(SUBSTITUTE(C502," ",""),
                                    Load_Booking_Report!AL:AL)),
                     0)
      )
   ),
   ""
)</f>
        <v/>
      </c>
      <c r="W502" s="21">
        <f t="array" ref="W502">IFERROR(INDEX(Load_Booking_Report!F:F, MATCH(TRUE, ISNUMBER(FIND(SUBSTITUTE(C502," ",""), Load_Booking_Report!AL:AL)), 0)), "Not Found")</f>
        <v/>
      </c>
      <c r="X502" s="21">
        <f t="array" ref="X502">IFERROR(INDEX(Load_Booking_Report!N:N, MATCH(TRUE, ISNUMBER(FIND(SUBSTITUTE(C502," ",""), Load_Booking_Report!AL:AL)), 0)), "Not Found")</f>
        <v/>
      </c>
      <c r="Y502" s="21">
        <f t="array" ref="Y502">IFERROR(INDEX(Load_Booking_Report!V:V, MATCH(TRUE, ISNUMBER(FIND(SUBSTITUTE(C502," ",""), Load_Booking_Report!AL:AL)), 0)), "Not Found")</f>
        <v/>
      </c>
      <c r="Z502" s="41">
        <f t="array" ref="Z502">IFERROR(INDEX(Load_Booking_Report!BC:BC, MATCH(TRUE, ISNUMBER(FIND(SUBSTITUTE(C502," ",""), Load_Booking_Report!AL:AL)), 0)), "Not Found")</f>
        <v/>
      </c>
    </row>
    <row r="503">
      <c r="A503" t="n">
        <v>9</v>
      </c>
      <c r="B503" t="n">
        <v>90710</v>
      </c>
      <c r="C503" t="inlineStr">
        <is>
          <t>ANON0000000</t>
        </is>
      </c>
      <c r="D503" t="n">
        <v>20</v>
      </c>
      <c r="E503" t="inlineStr">
        <is>
          <t>USNFK</t>
        </is>
      </c>
      <c r="F503" t="inlineStr">
        <is>
          <t>RULED</t>
        </is>
      </c>
      <c r="G503" t="n">
        <v>12585</v>
      </c>
      <c r="H503" t="inlineStr">
        <is>
          <t>MCL</t>
        </is>
      </c>
      <c r="I503" t="inlineStr">
        <is>
          <t>22G1</t>
        </is>
      </c>
      <c r="L503" t="inlineStr">
        <is>
          <t>OOG</t>
        </is>
      </c>
      <c r="M503" t="inlineStr">
        <is>
          <t>Full</t>
        </is>
      </c>
      <c r="N503" t="inlineStr">
        <is>
          <t>RULED</t>
        </is>
      </c>
      <c r="P503" s="21">
        <f>C503</f>
        <v/>
      </c>
      <c r="Q503" s="21">
        <f t="array" ref="Q503">IFERROR(INDEX(Load_Booking_Report!AC:AC, MATCH(TRUE, ISNUMBER(FIND(SUBSTITUTE(C503," ",""), Load_Booking_Report!AL:AL)), 0)), "Not Found")</f>
        <v/>
      </c>
      <c r="R503" s="21">
        <f t="array" ref="R503">IFERROR(INDEX(Load_Booking_Report!C:C, MATCH(TRUE, ISNUMBER(FIND(SUBSTITUTE(C503," ",""), Load_Booking_Report!AL:AL)), 0)), "Not Found")</f>
        <v/>
      </c>
      <c r="S503" s="21">
        <f t="array" ref="S503">IFERROR(INDEX(Load_Booking_Report!AG:AG, MATCH(TRUE, ISNUMBER(FIND(SUBSTITUTE(C503," ",""), Load_Booking_Report!AL:AL)), 0)), "Not Found")</f>
        <v/>
      </c>
      <c r="T503" s="21">
        <f>G503</f>
        <v/>
      </c>
      <c r="U503" s="33">
        <f t="array" ref="U503">IFERROR(
   IF(
      INDEX(Load_Booking_Report!AM:AM,
             MATCH(TRUE,
                     ISNUMBER(FIND(SUBSTITUTE(C503," ",""),
                                    Load_Booking_Report!AL:AL)),
                     0)
      )=0,
      "",
      INDEX(Load_Booking_Report!AM:AM,
             MATCH(TRUE,
                     ISNUMBER(FIND(SUBSTITUTE(C503," ",""),
                                    Load_Booking_Report!AL:AL)),
                     0)
      )
   ),
   ""
)</f>
        <v/>
      </c>
      <c r="V503" s="21">
        <f t="array" ref="V503">IFERROR(
   IF(
      INDEX(Load_Booking_Report!AR:AR,
             MATCH(TRUE,
                     ISNUMBER(FIND(SUBSTITUTE(C503," ",""),
                                    Load_Booking_Report!AL:AL)),
                     0)
      )=0,
      "",
      INDEX(Load_Booking_Report!AR:AR,
             MATCH(TRUE,
                     ISNUMBER(FIND(SUBSTITUTE(C503," ",""),
                                    Load_Booking_Report!AL:AL)),
                     0)
      )
   ),
   ""
)</f>
        <v/>
      </c>
      <c r="W503" s="21">
        <f t="array" ref="W503">IFERROR(INDEX(Load_Booking_Report!F:F, MATCH(TRUE, ISNUMBER(FIND(SUBSTITUTE(C503," ",""), Load_Booking_Report!AL:AL)), 0)), "Not Found")</f>
        <v/>
      </c>
      <c r="X503" s="21">
        <f t="array" ref="X503">IFERROR(INDEX(Load_Booking_Report!N:N, MATCH(TRUE, ISNUMBER(FIND(SUBSTITUTE(C503," ",""), Load_Booking_Report!AL:AL)), 0)), "Not Found")</f>
        <v/>
      </c>
      <c r="Y503" s="21">
        <f t="array" ref="Y503">IFERROR(INDEX(Load_Booking_Report!V:V, MATCH(TRUE, ISNUMBER(FIND(SUBSTITUTE(C503," ",""), Load_Booking_Report!AL:AL)), 0)), "Not Found")</f>
        <v/>
      </c>
      <c r="Z503" s="41">
        <f t="array" ref="Z503">IFERROR(INDEX(Load_Booking_Report!BC:BC, MATCH(TRUE, ISNUMBER(FIND(SUBSTITUTE(C503," ",""), Load_Booking_Report!AL:AL)), 0)), "Not Found")</f>
        <v/>
      </c>
    </row>
    <row r="504">
      <c r="A504" t="n">
        <v>17</v>
      </c>
      <c r="B504" t="n">
        <v>170804</v>
      </c>
      <c r="C504" t="inlineStr">
        <is>
          <t>ANON0000000</t>
        </is>
      </c>
      <c r="D504" t="n">
        <v>20</v>
      </c>
      <c r="E504" t="inlineStr">
        <is>
          <t>USNFK</t>
        </is>
      </c>
      <c r="F504" t="inlineStr">
        <is>
          <t>RULED</t>
        </is>
      </c>
      <c r="G504" t="n">
        <v>21420</v>
      </c>
      <c r="H504" t="inlineStr">
        <is>
          <t>MCL</t>
        </is>
      </c>
      <c r="I504" t="inlineStr">
        <is>
          <t>22G1</t>
        </is>
      </c>
      <c r="L504" t="inlineStr">
        <is>
          <t>OOG</t>
        </is>
      </c>
      <c r="M504" t="inlineStr">
        <is>
          <t>Full</t>
        </is>
      </c>
      <c r="N504" t="inlineStr">
        <is>
          <t>RULED</t>
        </is>
      </c>
      <c r="P504" s="21">
        <f>C504</f>
        <v/>
      </c>
      <c r="Q504" s="21">
        <f t="array" ref="Q504">IFERROR(INDEX(Load_Booking_Report!AC:AC, MATCH(TRUE, ISNUMBER(FIND(SUBSTITUTE(C504," ",""), Load_Booking_Report!AL:AL)), 0)), "Not Found")</f>
        <v/>
      </c>
      <c r="R504" s="21">
        <f t="array" ref="R504">IFERROR(INDEX(Load_Booking_Report!C:C, MATCH(TRUE, ISNUMBER(FIND(SUBSTITUTE(C504," ",""), Load_Booking_Report!AL:AL)), 0)), "Not Found")</f>
        <v/>
      </c>
      <c r="S504" s="21">
        <f t="array" ref="S504">IFERROR(INDEX(Load_Booking_Report!AG:AG, MATCH(TRUE, ISNUMBER(FIND(SUBSTITUTE(C504," ",""), Load_Booking_Report!AL:AL)), 0)), "Not Found")</f>
        <v/>
      </c>
      <c r="T504" s="21">
        <f>G504</f>
        <v/>
      </c>
      <c r="U504" s="33">
        <f t="array" ref="U504">IFERROR(
   IF(
      INDEX(Load_Booking_Report!AM:AM,
             MATCH(TRUE,
                     ISNUMBER(FIND(SUBSTITUTE(C504," ",""),
                                    Load_Booking_Report!AL:AL)),
                     0)
      )=0,
      "",
      INDEX(Load_Booking_Report!AM:AM,
             MATCH(TRUE,
                     ISNUMBER(FIND(SUBSTITUTE(C504," ",""),
                                    Load_Booking_Report!AL:AL)),
                     0)
      )
   ),
   ""
)</f>
        <v/>
      </c>
      <c r="V504" s="21">
        <f t="array" ref="V504">IFERROR(
   IF(
      INDEX(Load_Booking_Report!AR:AR,
             MATCH(TRUE,
                     ISNUMBER(FIND(SUBSTITUTE(C504," ",""),
                                    Load_Booking_Report!AL:AL)),
                     0)
      )=0,
      "",
      INDEX(Load_Booking_Report!AR:AR,
             MATCH(TRUE,
                     ISNUMBER(FIND(SUBSTITUTE(C504," ",""),
                                    Load_Booking_Report!AL:AL)),
                     0)
      )
   ),
   ""
)</f>
        <v/>
      </c>
      <c r="W504" s="21">
        <f t="array" ref="W504">IFERROR(INDEX(Load_Booking_Report!F:F, MATCH(TRUE, ISNUMBER(FIND(SUBSTITUTE(C504," ",""), Load_Booking_Report!AL:AL)), 0)), "Not Found")</f>
        <v/>
      </c>
      <c r="X504" s="21">
        <f t="array" ref="X504">IFERROR(INDEX(Load_Booking_Report!N:N, MATCH(TRUE, ISNUMBER(FIND(SUBSTITUTE(C504," ",""), Load_Booking_Report!AL:AL)), 0)), "Not Found")</f>
        <v/>
      </c>
      <c r="Y504" s="21">
        <f t="array" ref="Y504">IFERROR(INDEX(Load_Booking_Report!V:V, MATCH(TRUE, ISNUMBER(FIND(SUBSTITUTE(C504," ",""), Load_Booking_Report!AL:AL)), 0)), "Not Found")</f>
        <v/>
      </c>
      <c r="Z504" s="41">
        <f t="array" ref="Z504">IFERROR(INDEX(Load_Booking_Report!BC:BC, MATCH(TRUE, ISNUMBER(FIND(SUBSTITUTE(C504," ",""), Load_Booking_Report!AL:AL)), 0)), "Not Found")</f>
        <v/>
      </c>
    </row>
    <row r="505">
      <c r="A505" t="n">
        <v>11</v>
      </c>
      <c r="B505" t="n">
        <v>110102</v>
      </c>
      <c r="C505" t="inlineStr">
        <is>
          <t>ANON0000000</t>
        </is>
      </c>
      <c r="D505" t="n">
        <v>20</v>
      </c>
      <c r="E505" t="inlineStr">
        <is>
          <t>USNFK</t>
        </is>
      </c>
      <c r="F505" t="inlineStr">
        <is>
          <t>RULED</t>
        </is>
      </c>
      <c r="G505" t="n">
        <v>21320</v>
      </c>
      <c r="H505" t="inlineStr">
        <is>
          <t>MCL</t>
        </is>
      </c>
      <c r="I505" t="inlineStr">
        <is>
          <t>22G1</t>
        </is>
      </c>
      <c r="L505" t="inlineStr">
        <is>
          <t>OOG</t>
        </is>
      </c>
      <c r="M505" t="inlineStr">
        <is>
          <t>Full</t>
        </is>
      </c>
      <c r="N505" t="inlineStr">
        <is>
          <t>RULED</t>
        </is>
      </c>
      <c r="P505" s="21">
        <f>C505</f>
        <v/>
      </c>
      <c r="Q505" s="21">
        <f t="array" ref="Q505">IFERROR(INDEX(Load_Booking_Report!AC:AC, MATCH(TRUE, ISNUMBER(FIND(SUBSTITUTE(C505," ",""), Load_Booking_Report!AL:AL)), 0)), "Not Found")</f>
        <v/>
      </c>
      <c r="R505" s="21">
        <f t="array" ref="R505">IFERROR(INDEX(Load_Booking_Report!C:C, MATCH(TRUE, ISNUMBER(FIND(SUBSTITUTE(C505," ",""), Load_Booking_Report!AL:AL)), 0)), "Not Found")</f>
        <v/>
      </c>
      <c r="S505" s="21">
        <f t="array" ref="S505">IFERROR(INDEX(Load_Booking_Report!AG:AG, MATCH(TRUE, ISNUMBER(FIND(SUBSTITUTE(C505," ",""), Load_Booking_Report!AL:AL)), 0)), "Not Found")</f>
        <v/>
      </c>
      <c r="T505" s="21">
        <f>G505</f>
        <v/>
      </c>
      <c r="U505" s="33">
        <f t="array" ref="U505">IFERROR(
   IF(
      INDEX(Load_Booking_Report!AM:AM,
             MATCH(TRUE,
                     ISNUMBER(FIND(SUBSTITUTE(C505," ",""),
                                    Load_Booking_Report!AL:AL)),
                     0)
      )=0,
      "",
      INDEX(Load_Booking_Report!AM:AM,
             MATCH(TRUE,
                     ISNUMBER(FIND(SUBSTITUTE(C505," ",""),
                                    Load_Booking_Report!AL:AL)),
                     0)
      )
   ),
   ""
)</f>
        <v/>
      </c>
      <c r="V505" s="21">
        <f t="array" ref="V505">IFERROR(
   IF(
      INDEX(Load_Booking_Report!AR:AR,
             MATCH(TRUE,
                     ISNUMBER(FIND(SUBSTITUTE(C505," ",""),
                                    Load_Booking_Report!AL:AL)),
                     0)
      )=0,
      "",
      INDEX(Load_Booking_Report!AR:AR,
             MATCH(TRUE,
                     ISNUMBER(FIND(SUBSTITUTE(C505," ",""),
                                    Load_Booking_Report!AL:AL)),
                     0)
      )
   ),
   ""
)</f>
        <v/>
      </c>
      <c r="W505" s="21">
        <f t="array" ref="W505">IFERROR(INDEX(Load_Booking_Report!F:F, MATCH(TRUE, ISNUMBER(FIND(SUBSTITUTE(C505," ",""), Load_Booking_Report!AL:AL)), 0)), "Not Found")</f>
        <v/>
      </c>
      <c r="X505" s="21">
        <f t="array" ref="X505">IFERROR(INDEX(Load_Booking_Report!N:N, MATCH(TRUE, ISNUMBER(FIND(SUBSTITUTE(C505," ",""), Load_Booking_Report!AL:AL)), 0)), "Not Found")</f>
        <v/>
      </c>
      <c r="Y505" s="21">
        <f t="array" ref="Y505">IFERROR(INDEX(Load_Booking_Report!V:V, MATCH(TRUE, ISNUMBER(FIND(SUBSTITUTE(C505," ",""), Load_Booking_Report!AL:AL)), 0)), "Not Found")</f>
        <v/>
      </c>
      <c r="Z505" s="41">
        <f t="array" ref="Z505">IFERROR(INDEX(Load_Booking_Report!BC:BC, MATCH(TRUE, ISNUMBER(FIND(SUBSTITUTE(C505," ",""), Load_Booking_Report!AL:AL)), 0)), "Not Found")</f>
        <v/>
      </c>
    </row>
    <row r="506">
      <c r="A506" t="n">
        <v>19</v>
      </c>
      <c r="B506" t="n">
        <v>190804</v>
      </c>
      <c r="C506" t="inlineStr">
        <is>
          <t>ANON0000000</t>
        </is>
      </c>
      <c r="D506" t="n">
        <v>20</v>
      </c>
      <c r="E506" t="inlineStr">
        <is>
          <t>USNFK</t>
        </is>
      </c>
      <c r="F506" t="inlineStr">
        <is>
          <t>RULED</t>
        </is>
      </c>
      <c r="G506" t="n">
        <v>21320</v>
      </c>
      <c r="H506" t="inlineStr">
        <is>
          <t>MCL</t>
        </is>
      </c>
      <c r="I506" t="inlineStr">
        <is>
          <t>22G1</t>
        </is>
      </c>
      <c r="L506" t="inlineStr">
        <is>
          <t>OOG</t>
        </is>
      </c>
      <c r="M506" t="inlineStr">
        <is>
          <t>Full</t>
        </is>
      </c>
      <c r="N506" t="inlineStr">
        <is>
          <t>RULED</t>
        </is>
      </c>
      <c r="P506" s="21">
        <f>C506</f>
        <v/>
      </c>
      <c r="Q506" s="21">
        <f t="array" ref="Q506">IFERROR(INDEX(Load_Booking_Report!AC:AC, MATCH(TRUE, ISNUMBER(FIND(SUBSTITUTE(C506," ",""), Load_Booking_Report!AL:AL)), 0)), "Not Found")</f>
        <v/>
      </c>
      <c r="R506" s="21">
        <f t="array" ref="R506">IFERROR(INDEX(Load_Booking_Report!C:C, MATCH(TRUE, ISNUMBER(FIND(SUBSTITUTE(C506," ",""), Load_Booking_Report!AL:AL)), 0)), "Not Found")</f>
        <v/>
      </c>
      <c r="S506" s="21">
        <f t="array" ref="S506">IFERROR(INDEX(Load_Booking_Report!AG:AG, MATCH(TRUE, ISNUMBER(FIND(SUBSTITUTE(C506," ",""), Load_Booking_Report!AL:AL)), 0)), "Not Found")</f>
        <v/>
      </c>
      <c r="T506" s="21">
        <f>G506</f>
        <v/>
      </c>
      <c r="U506" s="33">
        <f t="array" ref="U506">IFERROR(
   IF(
      INDEX(Load_Booking_Report!AM:AM,
             MATCH(TRUE,
                     ISNUMBER(FIND(SUBSTITUTE(C506," ",""),
                                    Load_Booking_Report!AL:AL)),
                     0)
      )=0,
      "",
      INDEX(Load_Booking_Report!AM:AM,
             MATCH(TRUE,
                     ISNUMBER(FIND(SUBSTITUTE(C506," ",""),
                                    Load_Booking_Report!AL:AL)),
                     0)
      )
   ),
   ""
)</f>
        <v/>
      </c>
      <c r="V506" s="21">
        <f t="array" ref="V506">IFERROR(
   IF(
      INDEX(Load_Booking_Report!AR:AR,
             MATCH(TRUE,
                     ISNUMBER(FIND(SUBSTITUTE(C506," ",""),
                                    Load_Booking_Report!AL:AL)),
                     0)
      )=0,
      "",
      INDEX(Load_Booking_Report!AR:AR,
             MATCH(TRUE,
                     ISNUMBER(FIND(SUBSTITUTE(C506," ",""),
                                    Load_Booking_Report!AL:AL)),
                     0)
      )
   ),
   ""
)</f>
        <v/>
      </c>
      <c r="W506" s="21">
        <f t="array" ref="W506">IFERROR(INDEX(Load_Booking_Report!F:F, MATCH(TRUE, ISNUMBER(FIND(SUBSTITUTE(C506," ",""), Load_Booking_Report!AL:AL)), 0)), "Not Found")</f>
        <v/>
      </c>
      <c r="X506" s="21">
        <f t="array" ref="X506">IFERROR(INDEX(Load_Booking_Report!N:N, MATCH(TRUE, ISNUMBER(FIND(SUBSTITUTE(C506," ",""), Load_Booking_Report!AL:AL)), 0)), "Not Found")</f>
        <v/>
      </c>
      <c r="Y506" s="21">
        <f t="array" ref="Y506">IFERROR(INDEX(Load_Booking_Report!V:V, MATCH(TRUE, ISNUMBER(FIND(SUBSTITUTE(C506," ",""), Load_Booking_Report!AL:AL)), 0)), "Not Found")</f>
        <v/>
      </c>
      <c r="Z506" s="41">
        <f t="array" ref="Z506">IFERROR(INDEX(Load_Booking_Report!BC:BC, MATCH(TRUE, ISNUMBER(FIND(SUBSTITUTE(C506," ",""), Load_Booking_Report!AL:AL)), 0)), "Not Found")</f>
        <v/>
      </c>
    </row>
    <row r="507">
      <c r="A507" t="n">
        <v>15</v>
      </c>
      <c r="B507" t="n">
        <v>150504</v>
      </c>
      <c r="C507" t="inlineStr">
        <is>
          <t>ANON0000000</t>
        </is>
      </c>
      <c r="D507" t="n">
        <v>20</v>
      </c>
      <c r="E507" t="inlineStr">
        <is>
          <t>USNFK</t>
        </is>
      </c>
      <c r="F507" t="inlineStr">
        <is>
          <t>RULED</t>
        </is>
      </c>
      <c r="G507" t="n">
        <v>26370</v>
      </c>
      <c r="H507" t="inlineStr">
        <is>
          <t>MCL</t>
        </is>
      </c>
      <c r="I507" t="inlineStr">
        <is>
          <t>22G1</t>
        </is>
      </c>
      <c r="L507" t="inlineStr">
        <is>
          <t>OOG</t>
        </is>
      </c>
      <c r="M507" t="inlineStr">
        <is>
          <t>Full</t>
        </is>
      </c>
      <c r="N507" t="inlineStr">
        <is>
          <t>RULED</t>
        </is>
      </c>
      <c r="P507" s="21">
        <f>C507</f>
        <v/>
      </c>
      <c r="Q507" s="21">
        <f t="array" ref="Q507">IFERROR(INDEX(Load_Booking_Report!AC:AC, MATCH(TRUE, ISNUMBER(FIND(SUBSTITUTE(C507," ",""), Load_Booking_Report!AL:AL)), 0)), "Not Found")</f>
        <v/>
      </c>
      <c r="R507" s="21">
        <f t="array" ref="R507">IFERROR(INDEX(Load_Booking_Report!C:C, MATCH(TRUE, ISNUMBER(FIND(SUBSTITUTE(C507," ",""), Load_Booking_Report!AL:AL)), 0)), "Not Found")</f>
        <v/>
      </c>
      <c r="S507" s="21">
        <f t="array" ref="S507">IFERROR(INDEX(Load_Booking_Report!AG:AG, MATCH(TRUE, ISNUMBER(FIND(SUBSTITUTE(C507," ",""), Load_Booking_Report!AL:AL)), 0)), "Not Found")</f>
        <v/>
      </c>
      <c r="T507" s="21">
        <f>G507</f>
        <v/>
      </c>
      <c r="U507" s="33">
        <f t="array" ref="U507">IFERROR(
   IF(
      INDEX(Load_Booking_Report!AM:AM,
             MATCH(TRUE,
                     ISNUMBER(FIND(SUBSTITUTE(C507," ",""),
                                    Load_Booking_Report!AL:AL)),
                     0)
      )=0,
      "",
      INDEX(Load_Booking_Report!AM:AM,
             MATCH(TRUE,
                     ISNUMBER(FIND(SUBSTITUTE(C507," ",""),
                                    Load_Booking_Report!AL:AL)),
                     0)
      )
   ),
   ""
)</f>
        <v/>
      </c>
      <c r="V507" s="21">
        <f t="array" ref="V507">IFERROR(
   IF(
      INDEX(Load_Booking_Report!AR:AR,
             MATCH(TRUE,
                     ISNUMBER(FIND(SUBSTITUTE(C507," ",""),
                                    Load_Booking_Report!AL:AL)),
                     0)
      )=0,
      "",
      INDEX(Load_Booking_Report!AR:AR,
             MATCH(TRUE,
                     ISNUMBER(FIND(SUBSTITUTE(C507," ",""),
                                    Load_Booking_Report!AL:AL)),
                     0)
      )
   ),
   ""
)</f>
        <v/>
      </c>
      <c r="W507" s="21">
        <f t="array" ref="W507">IFERROR(INDEX(Load_Booking_Report!F:F, MATCH(TRUE, ISNUMBER(FIND(SUBSTITUTE(C507," ",""), Load_Booking_Report!AL:AL)), 0)), "Not Found")</f>
        <v/>
      </c>
      <c r="X507" s="21">
        <f t="array" ref="X507">IFERROR(INDEX(Load_Booking_Report!N:N, MATCH(TRUE, ISNUMBER(FIND(SUBSTITUTE(C507," ",""), Load_Booking_Report!AL:AL)), 0)), "Not Found")</f>
        <v/>
      </c>
      <c r="Y507" s="21">
        <f t="array" ref="Y507">IFERROR(INDEX(Load_Booking_Report!V:V, MATCH(TRUE, ISNUMBER(FIND(SUBSTITUTE(C507," ",""), Load_Booking_Report!AL:AL)), 0)), "Not Found")</f>
        <v/>
      </c>
      <c r="Z507" s="41">
        <f t="array" ref="Z507">IFERROR(INDEX(Load_Booking_Report!BC:BC, MATCH(TRUE, ISNUMBER(FIND(SUBSTITUTE(C507," ",""), Load_Booking_Report!AL:AL)), 0)), "Not Found")</f>
        <v/>
      </c>
    </row>
    <row r="508">
      <c r="A508" t="n">
        <v>25</v>
      </c>
      <c r="B508" t="n">
        <v>250208</v>
      </c>
      <c r="C508" t="inlineStr">
        <is>
          <t>ANON0000000</t>
        </is>
      </c>
      <c r="D508" t="n">
        <v>20</v>
      </c>
      <c r="E508" t="inlineStr">
        <is>
          <t>USNYC</t>
        </is>
      </c>
      <c r="F508" t="inlineStr">
        <is>
          <t>RULED</t>
        </is>
      </c>
      <c r="G508" t="n">
        <v>26960</v>
      </c>
      <c r="H508" t="inlineStr">
        <is>
          <t>MCL</t>
        </is>
      </c>
      <c r="I508" t="inlineStr">
        <is>
          <t>22G1</t>
        </is>
      </c>
      <c r="L508" t="inlineStr">
        <is>
          <t>8'6</t>
        </is>
      </c>
      <c r="M508" t="inlineStr">
        <is>
          <t>Full</t>
        </is>
      </c>
      <c r="N508" t="inlineStr">
        <is>
          <t>RULED</t>
        </is>
      </c>
      <c r="P508" s="21">
        <f>C508</f>
        <v/>
      </c>
      <c r="Q508" s="21">
        <f t="array" ref="Q508">IFERROR(INDEX(Load_Booking_Report!AC:AC, MATCH(TRUE, ISNUMBER(FIND(SUBSTITUTE(C508," ",""), Load_Booking_Report!AL:AL)), 0)), "Not Found")</f>
        <v/>
      </c>
      <c r="R508" s="21">
        <f t="array" ref="R508">IFERROR(INDEX(Load_Booking_Report!C:C, MATCH(TRUE, ISNUMBER(FIND(SUBSTITUTE(C508," ",""), Load_Booking_Report!AL:AL)), 0)), "Not Found")</f>
        <v/>
      </c>
      <c r="S508" s="21">
        <f t="array" ref="S508">IFERROR(INDEX(Load_Booking_Report!AG:AG, MATCH(TRUE, ISNUMBER(FIND(SUBSTITUTE(C508," ",""), Load_Booking_Report!AL:AL)), 0)), "Not Found")</f>
        <v/>
      </c>
      <c r="T508" s="21">
        <f>G508</f>
        <v/>
      </c>
      <c r="U508" s="33">
        <f t="array" ref="U508">IFERROR(
   IF(
      INDEX(Load_Booking_Report!AM:AM,
             MATCH(TRUE,
                     ISNUMBER(FIND(SUBSTITUTE(C508," ",""),
                                    Load_Booking_Report!AL:AL)),
                     0)
      )=0,
      "",
      INDEX(Load_Booking_Report!AM:AM,
             MATCH(TRUE,
                     ISNUMBER(FIND(SUBSTITUTE(C508," ",""),
                                    Load_Booking_Report!AL:AL)),
                     0)
      )
   ),
   ""
)</f>
        <v/>
      </c>
      <c r="V508" s="21">
        <f t="array" ref="V508">IFERROR(
   IF(
      INDEX(Load_Booking_Report!AR:AR,
             MATCH(TRUE,
                     ISNUMBER(FIND(SUBSTITUTE(C508," ",""),
                                    Load_Booking_Report!AL:AL)),
                     0)
      )=0,
      "",
      INDEX(Load_Booking_Report!AR:AR,
             MATCH(TRUE,
                     ISNUMBER(FIND(SUBSTITUTE(C508," ",""),
                                    Load_Booking_Report!AL:AL)),
                     0)
      )
   ),
   ""
)</f>
        <v/>
      </c>
      <c r="W508" s="21">
        <f t="array" ref="W508">IFERROR(INDEX(Load_Booking_Report!F:F, MATCH(TRUE, ISNUMBER(FIND(SUBSTITUTE(C508," ",""), Load_Booking_Report!AL:AL)), 0)), "Not Found")</f>
        <v/>
      </c>
      <c r="X508" s="21">
        <f t="array" ref="X508">IFERROR(INDEX(Load_Booking_Report!N:N, MATCH(TRUE, ISNUMBER(FIND(SUBSTITUTE(C508," ",""), Load_Booking_Report!AL:AL)), 0)), "Not Found")</f>
        <v/>
      </c>
      <c r="Y508" s="21">
        <f t="array" ref="Y508">IFERROR(INDEX(Load_Booking_Report!V:V, MATCH(TRUE, ISNUMBER(FIND(SUBSTITUTE(C508," ",""), Load_Booking_Report!AL:AL)), 0)), "Not Found")</f>
        <v/>
      </c>
      <c r="Z508" s="41">
        <f t="array" ref="Z508">IFERROR(INDEX(Load_Booking_Report!BC:BC, MATCH(TRUE, ISNUMBER(FIND(SUBSTITUTE(C508," ",""), Load_Booking_Report!AL:AL)), 0)), "Not Found")</f>
        <v/>
      </c>
    </row>
    <row r="509">
      <c r="A509" t="n">
        <v>29</v>
      </c>
      <c r="B509" t="n">
        <v>290206</v>
      </c>
      <c r="C509" t="inlineStr">
        <is>
          <t>ANON0000000</t>
        </is>
      </c>
      <c r="D509" t="n">
        <v>20</v>
      </c>
      <c r="E509" t="inlineStr">
        <is>
          <t>USNFK</t>
        </is>
      </c>
      <c r="F509" t="inlineStr">
        <is>
          <t>RULED</t>
        </is>
      </c>
      <c r="G509" t="n">
        <v>22100</v>
      </c>
      <c r="H509" t="inlineStr">
        <is>
          <t>MCL</t>
        </is>
      </c>
      <c r="I509" t="inlineStr">
        <is>
          <t>22G1</t>
        </is>
      </c>
      <c r="L509" t="inlineStr">
        <is>
          <t>OOG</t>
        </is>
      </c>
      <c r="M509" t="inlineStr">
        <is>
          <t>Full</t>
        </is>
      </c>
      <c r="N509" t="inlineStr">
        <is>
          <t>RULED</t>
        </is>
      </c>
      <c r="P509" s="21">
        <f>C509</f>
        <v/>
      </c>
      <c r="Q509" s="21">
        <f t="array" ref="Q509">IFERROR(INDEX(Load_Booking_Report!AC:AC, MATCH(TRUE, ISNUMBER(FIND(SUBSTITUTE(C509," ",""), Load_Booking_Report!AL:AL)), 0)), "Not Found")</f>
        <v/>
      </c>
      <c r="R509" s="21">
        <f t="array" ref="R509">IFERROR(INDEX(Load_Booking_Report!C:C, MATCH(TRUE, ISNUMBER(FIND(SUBSTITUTE(C509," ",""), Load_Booking_Report!AL:AL)), 0)), "Not Found")</f>
        <v/>
      </c>
      <c r="S509" s="21">
        <f t="array" ref="S509">IFERROR(INDEX(Load_Booking_Report!AG:AG, MATCH(TRUE, ISNUMBER(FIND(SUBSTITUTE(C509," ",""), Load_Booking_Report!AL:AL)), 0)), "Not Found")</f>
        <v/>
      </c>
      <c r="T509" s="21">
        <f>G509</f>
        <v/>
      </c>
      <c r="U509" s="33">
        <f t="array" ref="U509">IFERROR(
   IF(
      INDEX(Load_Booking_Report!AM:AM,
             MATCH(TRUE,
                     ISNUMBER(FIND(SUBSTITUTE(C509," ",""),
                                    Load_Booking_Report!AL:AL)),
                     0)
      )=0,
      "",
      INDEX(Load_Booking_Report!AM:AM,
             MATCH(TRUE,
                     ISNUMBER(FIND(SUBSTITUTE(C509," ",""),
                                    Load_Booking_Report!AL:AL)),
                     0)
      )
   ),
   ""
)</f>
        <v/>
      </c>
      <c r="V509" s="21">
        <f t="array" ref="V509">IFERROR(
   IF(
      INDEX(Load_Booking_Report!AR:AR,
             MATCH(TRUE,
                     ISNUMBER(FIND(SUBSTITUTE(C509," ",""),
                                    Load_Booking_Report!AL:AL)),
                     0)
      )=0,
      "",
      INDEX(Load_Booking_Report!AR:AR,
             MATCH(TRUE,
                     ISNUMBER(FIND(SUBSTITUTE(C509," ",""),
                                    Load_Booking_Report!AL:AL)),
                     0)
      )
   ),
   ""
)</f>
        <v/>
      </c>
      <c r="W509" s="21">
        <f t="array" ref="W509">IFERROR(INDEX(Load_Booking_Report!F:F, MATCH(TRUE, ISNUMBER(FIND(SUBSTITUTE(C509," ",""), Load_Booking_Report!AL:AL)), 0)), "Not Found")</f>
        <v/>
      </c>
      <c r="X509" s="21">
        <f t="array" ref="X509">IFERROR(INDEX(Load_Booking_Report!N:N, MATCH(TRUE, ISNUMBER(FIND(SUBSTITUTE(C509," ",""), Load_Booking_Report!AL:AL)), 0)), "Not Found")</f>
        <v/>
      </c>
      <c r="Y509" s="21">
        <f t="array" ref="Y509">IFERROR(INDEX(Load_Booking_Report!V:V, MATCH(TRUE, ISNUMBER(FIND(SUBSTITUTE(C509," ",""), Load_Booking_Report!AL:AL)), 0)), "Not Found")</f>
        <v/>
      </c>
      <c r="Z509" s="41">
        <f t="array" ref="Z509">IFERROR(INDEX(Load_Booking_Report!BC:BC, MATCH(TRUE, ISNUMBER(FIND(SUBSTITUTE(C509," ",""), Load_Booking_Report!AL:AL)), 0)), "Not Found")</f>
        <v/>
      </c>
    </row>
    <row r="510">
      <c r="A510" t="n">
        <v>13</v>
      </c>
      <c r="B510" t="n">
        <v>130106</v>
      </c>
      <c r="C510" t="inlineStr">
        <is>
          <t>ANON0000000</t>
        </is>
      </c>
      <c r="D510" t="n">
        <v>20</v>
      </c>
      <c r="E510" t="inlineStr">
        <is>
          <t>USNFK</t>
        </is>
      </c>
      <c r="F510" t="inlineStr">
        <is>
          <t>RULED</t>
        </is>
      </c>
      <c r="G510" t="n">
        <v>23800</v>
      </c>
      <c r="H510" t="inlineStr">
        <is>
          <t>MCL</t>
        </is>
      </c>
      <c r="I510" t="inlineStr">
        <is>
          <t>22G1</t>
        </is>
      </c>
      <c r="L510" t="inlineStr">
        <is>
          <t>OOG</t>
        </is>
      </c>
      <c r="M510" t="inlineStr">
        <is>
          <t>Full</t>
        </is>
      </c>
      <c r="N510" t="inlineStr">
        <is>
          <t>RULED</t>
        </is>
      </c>
      <c r="P510" s="21">
        <f>C510</f>
        <v/>
      </c>
      <c r="Q510" s="21">
        <f t="array" ref="Q510">IFERROR(INDEX(Load_Booking_Report!AC:AC, MATCH(TRUE, ISNUMBER(FIND(SUBSTITUTE(C510," ",""), Load_Booking_Report!AL:AL)), 0)), "Not Found")</f>
        <v/>
      </c>
      <c r="R510" s="21">
        <f t="array" ref="R510">IFERROR(INDEX(Load_Booking_Report!C:C, MATCH(TRUE, ISNUMBER(FIND(SUBSTITUTE(C510," ",""), Load_Booking_Report!AL:AL)), 0)), "Not Found")</f>
        <v/>
      </c>
      <c r="S510" s="21">
        <f t="array" ref="S510">IFERROR(INDEX(Load_Booking_Report!AG:AG, MATCH(TRUE, ISNUMBER(FIND(SUBSTITUTE(C510," ",""), Load_Booking_Report!AL:AL)), 0)), "Not Found")</f>
        <v/>
      </c>
      <c r="T510" s="21">
        <f>G510</f>
        <v/>
      </c>
      <c r="U510" s="33">
        <f t="array" ref="U510">IFERROR(
   IF(
      INDEX(Load_Booking_Report!AM:AM,
             MATCH(TRUE,
                     ISNUMBER(FIND(SUBSTITUTE(C510," ",""),
                                    Load_Booking_Report!AL:AL)),
                     0)
      )=0,
      "",
      INDEX(Load_Booking_Report!AM:AM,
             MATCH(TRUE,
                     ISNUMBER(FIND(SUBSTITUTE(C510," ",""),
                                    Load_Booking_Report!AL:AL)),
                     0)
      )
   ),
   ""
)</f>
        <v/>
      </c>
      <c r="V510" s="21">
        <f t="array" ref="V510">IFERROR(
   IF(
      INDEX(Load_Booking_Report!AR:AR,
             MATCH(TRUE,
                     ISNUMBER(FIND(SUBSTITUTE(C510," ",""),
                                    Load_Booking_Report!AL:AL)),
                     0)
      )=0,
      "",
      INDEX(Load_Booking_Report!AR:AR,
             MATCH(TRUE,
                     ISNUMBER(FIND(SUBSTITUTE(C510," ",""),
                                    Load_Booking_Report!AL:AL)),
                     0)
      )
   ),
   ""
)</f>
        <v/>
      </c>
      <c r="W510" s="21">
        <f t="array" ref="W510">IFERROR(INDEX(Load_Booking_Report!F:F, MATCH(TRUE, ISNUMBER(FIND(SUBSTITUTE(C510," ",""), Load_Booking_Report!AL:AL)), 0)), "Not Found")</f>
        <v/>
      </c>
      <c r="X510" s="21">
        <f t="array" ref="X510">IFERROR(INDEX(Load_Booking_Report!N:N, MATCH(TRUE, ISNUMBER(FIND(SUBSTITUTE(C510," ",""), Load_Booking_Report!AL:AL)), 0)), "Not Found")</f>
        <v/>
      </c>
      <c r="Y510" s="21">
        <f t="array" ref="Y510">IFERROR(INDEX(Load_Booking_Report!V:V, MATCH(TRUE, ISNUMBER(FIND(SUBSTITUTE(C510," ",""), Load_Booking_Report!AL:AL)), 0)), "Not Found")</f>
        <v/>
      </c>
      <c r="Z510" s="41">
        <f t="array" ref="Z510">IFERROR(INDEX(Load_Booking_Report!BC:BC, MATCH(TRUE, ISNUMBER(FIND(SUBSTITUTE(C510," ",""), Load_Booking_Report!AL:AL)), 0)), "Not Found")</f>
        <v/>
      </c>
    </row>
    <row r="511">
      <c r="A511" t="n">
        <v>13</v>
      </c>
      <c r="B511" t="n">
        <v>130704</v>
      </c>
      <c r="C511" t="inlineStr">
        <is>
          <t>ANON0000000</t>
        </is>
      </c>
      <c r="D511" t="n">
        <v>20</v>
      </c>
      <c r="E511" t="inlineStr">
        <is>
          <t>USNFK</t>
        </is>
      </c>
      <c r="F511" t="inlineStr">
        <is>
          <t>RULED</t>
        </is>
      </c>
      <c r="G511" t="n">
        <v>25740</v>
      </c>
      <c r="H511" t="inlineStr">
        <is>
          <t>MCL</t>
        </is>
      </c>
      <c r="I511" t="inlineStr">
        <is>
          <t>22G1</t>
        </is>
      </c>
      <c r="L511" t="inlineStr">
        <is>
          <t>OOG</t>
        </is>
      </c>
      <c r="M511" t="inlineStr">
        <is>
          <t>Full</t>
        </is>
      </c>
      <c r="N511" t="inlineStr">
        <is>
          <t>RULED</t>
        </is>
      </c>
      <c r="P511" s="21">
        <f>C511</f>
        <v/>
      </c>
      <c r="Q511" s="21">
        <f t="array" ref="Q511">IFERROR(INDEX(Load_Booking_Report!AC:AC, MATCH(TRUE, ISNUMBER(FIND(SUBSTITUTE(C511," ",""), Load_Booking_Report!AL:AL)), 0)), "Not Found")</f>
        <v/>
      </c>
      <c r="R511" s="21">
        <f t="array" ref="R511">IFERROR(INDEX(Load_Booking_Report!C:C, MATCH(TRUE, ISNUMBER(FIND(SUBSTITUTE(C511," ",""), Load_Booking_Report!AL:AL)), 0)), "Not Found")</f>
        <v/>
      </c>
      <c r="S511" s="21">
        <f t="array" ref="S511">IFERROR(INDEX(Load_Booking_Report!AG:AG, MATCH(TRUE, ISNUMBER(FIND(SUBSTITUTE(C511," ",""), Load_Booking_Report!AL:AL)), 0)), "Not Found")</f>
        <v/>
      </c>
      <c r="T511" s="21">
        <f>G511</f>
        <v/>
      </c>
      <c r="U511" s="33">
        <f t="array" ref="U511">IFERROR(
   IF(
      INDEX(Load_Booking_Report!AM:AM,
             MATCH(TRUE,
                     ISNUMBER(FIND(SUBSTITUTE(C511," ",""),
                                    Load_Booking_Report!AL:AL)),
                     0)
      )=0,
      "",
      INDEX(Load_Booking_Report!AM:AM,
             MATCH(TRUE,
                     ISNUMBER(FIND(SUBSTITUTE(C511," ",""),
                                    Load_Booking_Report!AL:AL)),
                     0)
      )
   ),
   ""
)</f>
        <v/>
      </c>
      <c r="V511" s="21">
        <f t="array" ref="V511">IFERROR(
   IF(
      INDEX(Load_Booking_Report!AR:AR,
             MATCH(TRUE,
                     ISNUMBER(FIND(SUBSTITUTE(C511," ",""),
                                    Load_Booking_Report!AL:AL)),
                     0)
      )=0,
      "",
      INDEX(Load_Booking_Report!AR:AR,
             MATCH(TRUE,
                     ISNUMBER(FIND(SUBSTITUTE(C511," ",""),
                                    Load_Booking_Report!AL:AL)),
                     0)
      )
   ),
   ""
)</f>
        <v/>
      </c>
      <c r="W511" s="21">
        <f t="array" ref="W511">IFERROR(INDEX(Load_Booking_Report!F:F, MATCH(TRUE, ISNUMBER(FIND(SUBSTITUTE(C511," ",""), Load_Booking_Report!AL:AL)), 0)), "Not Found")</f>
        <v/>
      </c>
      <c r="X511" s="21">
        <f t="array" ref="X511">IFERROR(INDEX(Load_Booking_Report!N:N, MATCH(TRUE, ISNUMBER(FIND(SUBSTITUTE(C511," ",""), Load_Booking_Report!AL:AL)), 0)), "Not Found")</f>
        <v/>
      </c>
      <c r="Y511" s="21">
        <f t="array" ref="Y511">IFERROR(INDEX(Load_Booking_Report!V:V, MATCH(TRUE, ISNUMBER(FIND(SUBSTITUTE(C511," ",""), Load_Booking_Report!AL:AL)), 0)), "Not Found")</f>
        <v/>
      </c>
      <c r="Z511" s="41">
        <f t="array" ref="Z511">IFERROR(INDEX(Load_Booking_Report!BC:BC, MATCH(TRUE, ISNUMBER(FIND(SUBSTITUTE(C511," ",""), Load_Booking_Report!AL:AL)), 0)), "Not Found")</f>
        <v/>
      </c>
    </row>
    <row r="512">
      <c r="A512" t="n">
        <v>15</v>
      </c>
      <c r="B512" t="n">
        <v>150806</v>
      </c>
      <c r="C512" t="inlineStr">
        <is>
          <t>ANON0000000</t>
        </is>
      </c>
      <c r="D512" t="n">
        <v>20</v>
      </c>
      <c r="E512" t="inlineStr">
        <is>
          <t>USNFK</t>
        </is>
      </c>
      <c r="F512" t="inlineStr">
        <is>
          <t>RULED</t>
        </is>
      </c>
      <c r="G512" t="n">
        <v>21438</v>
      </c>
      <c r="H512" t="inlineStr">
        <is>
          <t>MCL</t>
        </is>
      </c>
      <c r="I512" t="inlineStr">
        <is>
          <t>22G1</t>
        </is>
      </c>
      <c r="L512" t="inlineStr">
        <is>
          <t>OOG</t>
        </is>
      </c>
      <c r="M512" t="inlineStr">
        <is>
          <t>Full</t>
        </is>
      </c>
      <c r="N512" t="inlineStr">
        <is>
          <t>RULED</t>
        </is>
      </c>
      <c r="P512" s="21">
        <f>C512</f>
        <v/>
      </c>
      <c r="Q512" s="21">
        <f t="array" ref="Q512">IFERROR(INDEX(Load_Booking_Report!AC:AC, MATCH(TRUE, ISNUMBER(FIND(SUBSTITUTE(C512," ",""), Load_Booking_Report!AL:AL)), 0)), "Not Found")</f>
        <v/>
      </c>
      <c r="R512" s="21">
        <f t="array" ref="R512">IFERROR(INDEX(Load_Booking_Report!C:C, MATCH(TRUE, ISNUMBER(FIND(SUBSTITUTE(C512," ",""), Load_Booking_Report!AL:AL)), 0)), "Not Found")</f>
        <v/>
      </c>
      <c r="S512" s="21">
        <f t="array" ref="S512">IFERROR(INDEX(Load_Booking_Report!AG:AG, MATCH(TRUE, ISNUMBER(FIND(SUBSTITUTE(C512," ",""), Load_Booking_Report!AL:AL)), 0)), "Not Found")</f>
        <v/>
      </c>
      <c r="T512" s="21">
        <f>G512</f>
        <v/>
      </c>
      <c r="U512" s="33">
        <f t="array" ref="U512">IFERROR(
   IF(
      INDEX(Load_Booking_Report!AM:AM,
             MATCH(TRUE,
                     ISNUMBER(FIND(SUBSTITUTE(C512," ",""),
                                    Load_Booking_Report!AL:AL)),
                     0)
      )=0,
      "",
      INDEX(Load_Booking_Report!AM:AM,
             MATCH(TRUE,
                     ISNUMBER(FIND(SUBSTITUTE(C512," ",""),
                                    Load_Booking_Report!AL:AL)),
                     0)
      )
   ),
   ""
)</f>
        <v/>
      </c>
      <c r="V512" s="21">
        <f t="array" ref="V512">IFERROR(
   IF(
      INDEX(Load_Booking_Report!AR:AR,
             MATCH(TRUE,
                     ISNUMBER(FIND(SUBSTITUTE(C512," ",""),
                                    Load_Booking_Report!AL:AL)),
                     0)
      )=0,
      "",
      INDEX(Load_Booking_Report!AR:AR,
             MATCH(TRUE,
                     ISNUMBER(FIND(SUBSTITUTE(C512," ",""),
                                    Load_Booking_Report!AL:AL)),
                     0)
      )
   ),
   ""
)</f>
        <v/>
      </c>
      <c r="W512" s="21">
        <f t="array" ref="W512">IFERROR(INDEX(Load_Booking_Report!F:F, MATCH(TRUE, ISNUMBER(FIND(SUBSTITUTE(C512," ",""), Load_Booking_Report!AL:AL)), 0)), "Not Found")</f>
        <v/>
      </c>
      <c r="X512" s="21">
        <f t="array" ref="X512">IFERROR(INDEX(Load_Booking_Report!N:N, MATCH(TRUE, ISNUMBER(FIND(SUBSTITUTE(C512," ",""), Load_Booking_Report!AL:AL)), 0)), "Not Found")</f>
        <v/>
      </c>
      <c r="Y512" s="21">
        <f t="array" ref="Y512">IFERROR(INDEX(Load_Booking_Report!V:V, MATCH(TRUE, ISNUMBER(FIND(SUBSTITUTE(C512," ",""), Load_Booking_Report!AL:AL)), 0)), "Not Found")</f>
        <v/>
      </c>
      <c r="Z512" s="41">
        <f t="array" ref="Z512">IFERROR(INDEX(Load_Booking_Report!BC:BC, MATCH(TRUE, ISNUMBER(FIND(SUBSTITUTE(C512," ",""), Load_Booking_Report!AL:AL)), 0)), "Not Found")</f>
        <v/>
      </c>
    </row>
    <row r="513">
      <c r="A513" t="n">
        <v>15</v>
      </c>
      <c r="B513" t="n">
        <v>150304</v>
      </c>
      <c r="C513" t="inlineStr">
        <is>
          <t>ANON0000000</t>
        </is>
      </c>
      <c r="D513" t="n">
        <v>20</v>
      </c>
      <c r="E513" t="inlineStr">
        <is>
          <t>USNFK</t>
        </is>
      </c>
      <c r="F513" t="inlineStr">
        <is>
          <t>RULED</t>
        </is>
      </c>
      <c r="G513" t="n">
        <v>26430</v>
      </c>
      <c r="H513" t="inlineStr">
        <is>
          <t>MCL</t>
        </is>
      </c>
      <c r="I513" t="inlineStr">
        <is>
          <t>22G1</t>
        </is>
      </c>
      <c r="L513" t="inlineStr">
        <is>
          <t>OOG</t>
        </is>
      </c>
      <c r="M513" t="inlineStr">
        <is>
          <t>Full</t>
        </is>
      </c>
      <c r="N513" t="inlineStr">
        <is>
          <t>RULED</t>
        </is>
      </c>
      <c r="P513" s="21">
        <f>C513</f>
        <v/>
      </c>
      <c r="Q513" s="21">
        <f t="array" ref="Q513">IFERROR(INDEX(Load_Booking_Report!AC:AC, MATCH(TRUE, ISNUMBER(FIND(SUBSTITUTE(C513," ",""), Load_Booking_Report!AL:AL)), 0)), "Not Found")</f>
        <v/>
      </c>
      <c r="R513" s="21">
        <f t="array" ref="R513">IFERROR(INDEX(Load_Booking_Report!C:C, MATCH(TRUE, ISNUMBER(FIND(SUBSTITUTE(C513," ",""), Load_Booking_Report!AL:AL)), 0)), "Not Found")</f>
        <v/>
      </c>
      <c r="S513" s="21">
        <f t="array" ref="S513">IFERROR(INDEX(Load_Booking_Report!AG:AG, MATCH(TRUE, ISNUMBER(FIND(SUBSTITUTE(C513," ",""), Load_Booking_Report!AL:AL)), 0)), "Not Found")</f>
        <v/>
      </c>
      <c r="T513" s="21">
        <f>G513</f>
        <v/>
      </c>
      <c r="U513" s="33">
        <f t="array" ref="U513">IFERROR(
   IF(
      INDEX(Load_Booking_Report!AM:AM,
             MATCH(TRUE,
                     ISNUMBER(FIND(SUBSTITUTE(C513," ",""),
                                    Load_Booking_Report!AL:AL)),
                     0)
      )=0,
      "",
      INDEX(Load_Booking_Report!AM:AM,
             MATCH(TRUE,
                     ISNUMBER(FIND(SUBSTITUTE(C513," ",""),
                                    Load_Booking_Report!AL:AL)),
                     0)
      )
   ),
   ""
)</f>
        <v/>
      </c>
      <c r="V513" s="21">
        <f t="array" ref="V513">IFERROR(
   IF(
      INDEX(Load_Booking_Report!AR:AR,
             MATCH(TRUE,
                     ISNUMBER(FIND(SUBSTITUTE(C513," ",""),
                                    Load_Booking_Report!AL:AL)),
                     0)
      )=0,
      "",
      INDEX(Load_Booking_Report!AR:AR,
             MATCH(TRUE,
                     ISNUMBER(FIND(SUBSTITUTE(C513," ",""),
                                    Load_Booking_Report!AL:AL)),
                     0)
      )
   ),
   ""
)</f>
        <v/>
      </c>
      <c r="W513" s="21">
        <f t="array" ref="W513">IFERROR(INDEX(Load_Booking_Report!F:F, MATCH(TRUE, ISNUMBER(FIND(SUBSTITUTE(C513," ",""), Load_Booking_Report!AL:AL)), 0)), "Not Found")</f>
        <v/>
      </c>
      <c r="X513" s="21">
        <f t="array" ref="X513">IFERROR(INDEX(Load_Booking_Report!N:N, MATCH(TRUE, ISNUMBER(FIND(SUBSTITUTE(C513," ",""), Load_Booking_Report!AL:AL)), 0)), "Not Found")</f>
        <v/>
      </c>
      <c r="Y513" s="21">
        <f t="array" ref="Y513">IFERROR(INDEX(Load_Booking_Report!V:V, MATCH(TRUE, ISNUMBER(FIND(SUBSTITUTE(C513," ",""), Load_Booking_Report!AL:AL)), 0)), "Not Found")</f>
        <v/>
      </c>
      <c r="Z513" s="41">
        <f t="array" ref="Z513">IFERROR(INDEX(Load_Booking_Report!BC:BC, MATCH(TRUE, ISNUMBER(FIND(SUBSTITUTE(C513," ",""), Load_Booking_Report!AL:AL)), 0)), "Not Found")</f>
        <v/>
      </c>
    </row>
    <row r="514">
      <c r="A514" t="n">
        <v>35</v>
      </c>
      <c r="B514" t="n">
        <v>350104</v>
      </c>
      <c r="C514" t="inlineStr">
        <is>
          <t>ANON0000000</t>
        </is>
      </c>
      <c r="D514" t="n">
        <v>20</v>
      </c>
      <c r="E514" t="inlineStr">
        <is>
          <t>USNYC</t>
        </is>
      </c>
      <c r="F514" t="inlineStr">
        <is>
          <t>RULED</t>
        </is>
      </c>
      <c r="G514" t="n">
        <v>26890</v>
      </c>
      <c r="H514" t="inlineStr">
        <is>
          <t>MCL</t>
        </is>
      </c>
      <c r="I514" t="inlineStr">
        <is>
          <t>22G1</t>
        </is>
      </c>
      <c r="L514" t="inlineStr">
        <is>
          <t>8'6</t>
        </is>
      </c>
      <c r="M514" t="inlineStr">
        <is>
          <t>Full</t>
        </is>
      </c>
      <c r="N514" t="inlineStr">
        <is>
          <t>RULED</t>
        </is>
      </c>
      <c r="P514" s="21">
        <f>C514</f>
        <v/>
      </c>
      <c r="Q514" s="21">
        <f t="array" ref="Q514">IFERROR(INDEX(Load_Booking_Report!AC:AC, MATCH(TRUE, ISNUMBER(FIND(SUBSTITUTE(C514," ",""), Load_Booking_Report!AL:AL)), 0)), "Not Found")</f>
        <v/>
      </c>
      <c r="R514" s="21">
        <f t="array" ref="R514">IFERROR(INDEX(Load_Booking_Report!C:C, MATCH(TRUE, ISNUMBER(FIND(SUBSTITUTE(C514," ",""), Load_Booking_Report!AL:AL)), 0)), "Not Found")</f>
        <v/>
      </c>
      <c r="S514" s="21">
        <f t="array" ref="S514">IFERROR(INDEX(Load_Booking_Report!AG:AG, MATCH(TRUE, ISNUMBER(FIND(SUBSTITUTE(C514," ",""), Load_Booking_Report!AL:AL)), 0)), "Not Found")</f>
        <v/>
      </c>
      <c r="T514" s="21">
        <f>G514</f>
        <v/>
      </c>
      <c r="U514" s="33">
        <f t="array" ref="U514">IFERROR(
   IF(
      INDEX(Load_Booking_Report!AM:AM,
             MATCH(TRUE,
                     ISNUMBER(FIND(SUBSTITUTE(C514," ",""),
                                    Load_Booking_Report!AL:AL)),
                     0)
      )=0,
      "",
      INDEX(Load_Booking_Report!AM:AM,
             MATCH(TRUE,
                     ISNUMBER(FIND(SUBSTITUTE(C514," ",""),
                                    Load_Booking_Report!AL:AL)),
                     0)
      )
   ),
   ""
)</f>
        <v/>
      </c>
      <c r="V514" s="21">
        <f t="array" ref="V514">IFERROR(
   IF(
      INDEX(Load_Booking_Report!AR:AR,
             MATCH(TRUE,
                     ISNUMBER(FIND(SUBSTITUTE(C514," ",""),
                                    Load_Booking_Report!AL:AL)),
                     0)
      )=0,
      "",
      INDEX(Load_Booking_Report!AR:AR,
             MATCH(TRUE,
                     ISNUMBER(FIND(SUBSTITUTE(C514," ",""),
                                    Load_Booking_Report!AL:AL)),
                     0)
      )
   ),
   ""
)</f>
        <v/>
      </c>
      <c r="W514" s="21">
        <f t="array" ref="W514">IFERROR(INDEX(Load_Booking_Report!F:F, MATCH(TRUE, ISNUMBER(FIND(SUBSTITUTE(C514," ",""), Load_Booking_Report!AL:AL)), 0)), "Not Found")</f>
        <v/>
      </c>
      <c r="X514" s="21">
        <f t="array" ref="X514">IFERROR(INDEX(Load_Booking_Report!N:N, MATCH(TRUE, ISNUMBER(FIND(SUBSTITUTE(C514," ",""), Load_Booking_Report!AL:AL)), 0)), "Not Found")</f>
        <v/>
      </c>
      <c r="Y514" s="21">
        <f t="array" ref="Y514">IFERROR(INDEX(Load_Booking_Report!V:V, MATCH(TRUE, ISNUMBER(FIND(SUBSTITUTE(C514," ",""), Load_Booking_Report!AL:AL)), 0)), "Not Found")</f>
        <v/>
      </c>
      <c r="Z514" s="41">
        <f t="array" ref="Z514">IFERROR(INDEX(Load_Booking_Report!BC:BC, MATCH(TRUE, ISNUMBER(FIND(SUBSTITUTE(C514," ",""), Load_Booking_Report!AL:AL)), 0)), "Not Found")</f>
        <v/>
      </c>
    </row>
    <row r="515">
      <c r="A515" t="n">
        <v>17</v>
      </c>
      <c r="B515" t="n">
        <v>170602</v>
      </c>
      <c r="C515" t="inlineStr">
        <is>
          <t>ANON0000000</t>
        </is>
      </c>
      <c r="D515" t="n">
        <v>20</v>
      </c>
      <c r="E515" t="inlineStr">
        <is>
          <t>USNFK</t>
        </is>
      </c>
      <c r="F515" t="inlineStr">
        <is>
          <t>RULED</t>
        </is>
      </c>
      <c r="G515" t="n">
        <v>27220</v>
      </c>
      <c r="H515" t="inlineStr">
        <is>
          <t>MCL</t>
        </is>
      </c>
      <c r="I515" t="inlineStr">
        <is>
          <t>22G1</t>
        </is>
      </c>
      <c r="L515" t="inlineStr">
        <is>
          <t>OOG</t>
        </is>
      </c>
      <c r="M515" t="inlineStr">
        <is>
          <t>Full</t>
        </is>
      </c>
      <c r="N515" t="inlineStr">
        <is>
          <t>RULED</t>
        </is>
      </c>
      <c r="P515" s="21">
        <f>C515</f>
        <v/>
      </c>
      <c r="Q515" s="21">
        <f t="array" ref="Q515">IFERROR(INDEX(Load_Booking_Report!AC:AC, MATCH(TRUE, ISNUMBER(FIND(SUBSTITUTE(C515," ",""), Load_Booking_Report!AL:AL)), 0)), "Not Found")</f>
        <v/>
      </c>
      <c r="R515" s="21">
        <f t="array" ref="R515">IFERROR(INDEX(Load_Booking_Report!C:C, MATCH(TRUE, ISNUMBER(FIND(SUBSTITUTE(C515," ",""), Load_Booking_Report!AL:AL)), 0)), "Not Found")</f>
        <v/>
      </c>
      <c r="S515" s="21">
        <f t="array" ref="S515">IFERROR(INDEX(Load_Booking_Report!AG:AG, MATCH(TRUE, ISNUMBER(FIND(SUBSTITUTE(C515," ",""), Load_Booking_Report!AL:AL)), 0)), "Not Found")</f>
        <v/>
      </c>
      <c r="T515" s="21">
        <f>G515</f>
        <v/>
      </c>
      <c r="U515" s="33">
        <f t="array" ref="U515">IFERROR(
   IF(
      INDEX(Load_Booking_Report!AM:AM,
             MATCH(TRUE,
                     ISNUMBER(FIND(SUBSTITUTE(C515," ",""),
                                    Load_Booking_Report!AL:AL)),
                     0)
      )=0,
      "",
      INDEX(Load_Booking_Report!AM:AM,
             MATCH(TRUE,
                     ISNUMBER(FIND(SUBSTITUTE(C515," ",""),
                                    Load_Booking_Report!AL:AL)),
                     0)
      )
   ),
   ""
)</f>
        <v/>
      </c>
      <c r="V515" s="21">
        <f t="array" ref="V515">IFERROR(
   IF(
      INDEX(Load_Booking_Report!AR:AR,
             MATCH(TRUE,
                     ISNUMBER(FIND(SUBSTITUTE(C515," ",""),
                                    Load_Booking_Report!AL:AL)),
                     0)
      )=0,
      "",
      INDEX(Load_Booking_Report!AR:AR,
             MATCH(TRUE,
                     ISNUMBER(FIND(SUBSTITUTE(C515," ",""),
                                    Load_Booking_Report!AL:AL)),
                     0)
      )
   ),
   ""
)</f>
        <v/>
      </c>
      <c r="W515" s="21">
        <f t="array" ref="W515">IFERROR(INDEX(Load_Booking_Report!F:F, MATCH(TRUE, ISNUMBER(FIND(SUBSTITUTE(C515," ",""), Load_Booking_Report!AL:AL)), 0)), "Not Found")</f>
        <v/>
      </c>
      <c r="X515" s="21">
        <f t="array" ref="X515">IFERROR(INDEX(Load_Booking_Report!N:N, MATCH(TRUE, ISNUMBER(FIND(SUBSTITUTE(C515," ",""), Load_Booking_Report!AL:AL)), 0)), "Not Found")</f>
        <v/>
      </c>
      <c r="Y515" s="21">
        <f t="array" ref="Y515">IFERROR(INDEX(Load_Booking_Report!V:V, MATCH(TRUE, ISNUMBER(FIND(SUBSTITUTE(C515," ",""), Load_Booking_Report!AL:AL)), 0)), "Not Found")</f>
        <v/>
      </c>
      <c r="Z515" s="41">
        <f t="array" ref="Z515">IFERROR(INDEX(Load_Booking_Report!BC:BC, MATCH(TRUE, ISNUMBER(FIND(SUBSTITUTE(C515," ",""), Load_Booking_Report!AL:AL)), 0)), "Not Found")</f>
        <v/>
      </c>
    </row>
    <row r="516">
      <c r="A516" t="n">
        <v>17</v>
      </c>
      <c r="B516" t="n">
        <v>170702</v>
      </c>
      <c r="C516" t="inlineStr">
        <is>
          <t>ANON0000000</t>
        </is>
      </c>
      <c r="D516" t="n">
        <v>20</v>
      </c>
      <c r="E516" t="inlineStr">
        <is>
          <t>USNFK</t>
        </is>
      </c>
      <c r="F516" t="inlineStr">
        <is>
          <t>RULED</t>
        </is>
      </c>
      <c r="G516" t="n">
        <v>27920</v>
      </c>
      <c r="H516" t="inlineStr">
        <is>
          <t>MCL</t>
        </is>
      </c>
      <c r="I516" t="inlineStr">
        <is>
          <t>22G1</t>
        </is>
      </c>
      <c r="L516" t="inlineStr">
        <is>
          <t>OOG</t>
        </is>
      </c>
      <c r="M516" t="inlineStr">
        <is>
          <t>Full</t>
        </is>
      </c>
      <c r="N516" t="inlineStr">
        <is>
          <t>RULED</t>
        </is>
      </c>
      <c r="P516" s="21">
        <f>C516</f>
        <v/>
      </c>
      <c r="Q516" s="21">
        <f t="array" ref="Q516">IFERROR(INDEX(Load_Booking_Report!AC:AC, MATCH(TRUE, ISNUMBER(FIND(SUBSTITUTE(C516," ",""), Load_Booking_Report!AL:AL)), 0)), "Not Found")</f>
        <v/>
      </c>
      <c r="R516" s="21">
        <f t="array" ref="R516">IFERROR(INDEX(Load_Booking_Report!C:C, MATCH(TRUE, ISNUMBER(FIND(SUBSTITUTE(C516," ",""), Load_Booking_Report!AL:AL)), 0)), "Not Found")</f>
        <v/>
      </c>
      <c r="S516" s="21">
        <f t="array" ref="S516">IFERROR(INDEX(Load_Booking_Report!AG:AG, MATCH(TRUE, ISNUMBER(FIND(SUBSTITUTE(C516," ",""), Load_Booking_Report!AL:AL)), 0)), "Not Found")</f>
        <v/>
      </c>
      <c r="T516" s="21">
        <f>G516</f>
        <v/>
      </c>
      <c r="U516" s="33">
        <f t="array" ref="U516">IFERROR(
   IF(
      INDEX(Load_Booking_Report!AM:AM,
             MATCH(TRUE,
                     ISNUMBER(FIND(SUBSTITUTE(C516," ",""),
                                    Load_Booking_Report!AL:AL)),
                     0)
      )=0,
      "",
      INDEX(Load_Booking_Report!AM:AM,
             MATCH(TRUE,
                     ISNUMBER(FIND(SUBSTITUTE(C516," ",""),
                                    Load_Booking_Report!AL:AL)),
                     0)
      )
   ),
   ""
)</f>
        <v/>
      </c>
      <c r="V516" s="21">
        <f t="array" ref="V516">IFERROR(
   IF(
      INDEX(Load_Booking_Report!AR:AR,
             MATCH(TRUE,
                     ISNUMBER(FIND(SUBSTITUTE(C516," ",""),
                                    Load_Booking_Report!AL:AL)),
                     0)
      )=0,
      "",
      INDEX(Load_Booking_Report!AR:AR,
             MATCH(TRUE,
                     ISNUMBER(FIND(SUBSTITUTE(C516," ",""),
                                    Load_Booking_Report!AL:AL)),
                     0)
      )
   ),
   ""
)</f>
        <v/>
      </c>
      <c r="W516" s="21">
        <f t="array" ref="W516">IFERROR(INDEX(Load_Booking_Report!F:F, MATCH(TRUE, ISNUMBER(FIND(SUBSTITUTE(C516," ",""), Load_Booking_Report!AL:AL)), 0)), "Not Found")</f>
        <v/>
      </c>
      <c r="X516" s="21">
        <f t="array" ref="X516">IFERROR(INDEX(Load_Booking_Report!N:N, MATCH(TRUE, ISNUMBER(FIND(SUBSTITUTE(C516," ",""), Load_Booking_Report!AL:AL)), 0)), "Not Found")</f>
        <v/>
      </c>
      <c r="Y516" s="21">
        <f t="array" ref="Y516">IFERROR(INDEX(Load_Booking_Report!V:V, MATCH(TRUE, ISNUMBER(FIND(SUBSTITUTE(C516," ",""), Load_Booking_Report!AL:AL)), 0)), "Not Found")</f>
        <v/>
      </c>
      <c r="Z516" s="41">
        <f t="array" ref="Z516">IFERROR(INDEX(Load_Booking_Report!BC:BC, MATCH(TRUE, ISNUMBER(FIND(SUBSTITUTE(C516," ",""), Load_Booking_Report!AL:AL)), 0)), "Not Found")</f>
        <v/>
      </c>
    </row>
    <row r="517">
      <c r="A517" t="n">
        <v>13</v>
      </c>
      <c r="B517" t="n">
        <v>130602</v>
      </c>
      <c r="C517" t="inlineStr">
        <is>
          <t>ANON0000000</t>
        </is>
      </c>
      <c r="D517" t="n">
        <v>20</v>
      </c>
      <c r="E517" t="inlineStr">
        <is>
          <t>USNFK</t>
        </is>
      </c>
      <c r="F517" t="inlineStr">
        <is>
          <t>RULED</t>
        </is>
      </c>
      <c r="G517" t="n">
        <v>26619</v>
      </c>
      <c r="H517" t="inlineStr">
        <is>
          <t>MCL</t>
        </is>
      </c>
      <c r="I517" t="inlineStr">
        <is>
          <t>22G1</t>
        </is>
      </c>
      <c r="L517" t="inlineStr">
        <is>
          <t>OOG</t>
        </is>
      </c>
      <c r="M517" t="inlineStr">
        <is>
          <t>Full</t>
        </is>
      </c>
      <c r="N517" t="inlineStr">
        <is>
          <t>RULED</t>
        </is>
      </c>
      <c r="P517" s="21">
        <f>C517</f>
        <v/>
      </c>
      <c r="Q517" s="21">
        <f t="array" ref="Q517">IFERROR(INDEX(Load_Booking_Report!AC:AC, MATCH(TRUE, ISNUMBER(FIND(SUBSTITUTE(C517," ",""), Load_Booking_Report!AL:AL)), 0)), "Not Found")</f>
        <v/>
      </c>
      <c r="R517" s="21">
        <f t="array" ref="R517">IFERROR(INDEX(Load_Booking_Report!C:C, MATCH(TRUE, ISNUMBER(FIND(SUBSTITUTE(C517," ",""), Load_Booking_Report!AL:AL)), 0)), "Not Found")</f>
        <v/>
      </c>
      <c r="S517" s="21">
        <f t="array" ref="S517">IFERROR(INDEX(Load_Booking_Report!AG:AG, MATCH(TRUE, ISNUMBER(FIND(SUBSTITUTE(C517," ",""), Load_Booking_Report!AL:AL)), 0)), "Not Found")</f>
        <v/>
      </c>
      <c r="T517" s="21">
        <f>G517</f>
        <v/>
      </c>
      <c r="U517" s="33">
        <f t="array" ref="U517">IFERROR(
   IF(
      INDEX(Load_Booking_Report!AM:AM,
             MATCH(TRUE,
                     ISNUMBER(FIND(SUBSTITUTE(C517," ",""),
                                    Load_Booking_Report!AL:AL)),
                     0)
      )=0,
      "",
      INDEX(Load_Booking_Report!AM:AM,
             MATCH(TRUE,
                     ISNUMBER(FIND(SUBSTITUTE(C517," ",""),
                                    Load_Booking_Report!AL:AL)),
                     0)
      )
   ),
   ""
)</f>
        <v/>
      </c>
      <c r="V517" s="21">
        <f t="array" ref="V517">IFERROR(
   IF(
      INDEX(Load_Booking_Report!AR:AR,
             MATCH(TRUE,
                     ISNUMBER(FIND(SUBSTITUTE(C517," ",""),
                                    Load_Booking_Report!AL:AL)),
                     0)
      )=0,
      "",
      INDEX(Load_Booking_Report!AR:AR,
             MATCH(TRUE,
                     ISNUMBER(FIND(SUBSTITUTE(C517," ",""),
                                    Load_Booking_Report!AL:AL)),
                     0)
      )
   ),
   ""
)</f>
        <v/>
      </c>
      <c r="W517" s="21">
        <f t="array" ref="W517">IFERROR(INDEX(Load_Booking_Report!F:F, MATCH(TRUE, ISNUMBER(FIND(SUBSTITUTE(C517," ",""), Load_Booking_Report!AL:AL)), 0)), "Not Found")</f>
        <v/>
      </c>
      <c r="X517" s="21">
        <f t="array" ref="X517">IFERROR(INDEX(Load_Booking_Report!N:N, MATCH(TRUE, ISNUMBER(FIND(SUBSTITUTE(C517," ",""), Load_Booking_Report!AL:AL)), 0)), "Not Found")</f>
        <v/>
      </c>
      <c r="Y517" s="21">
        <f t="array" ref="Y517">IFERROR(INDEX(Load_Booking_Report!V:V, MATCH(TRUE, ISNUMBER(FIND(SUBSTITUTE(C517," ",""), Load_Booking_Report!AL:AL)), 0)), "Not Found")</f>
        <v/>
      </c>
      <c r="Z517" s="41">
        <f t="array" ref="Z517">IFERROR(INDEX(Load_Booking_Report!BC:BC, MATCH(TRUE, ISNUMBER(FIND(SUBSTITUTE(C517," ",""), Load_Booking_Report!AL:AL)), 0)), "Not Found")</f>
        <v/>
      </c>
    </row>
    <row r="518">
      <c r="A518" t="n">
        <v>23</v>
      </c>
      <c r="B518" t="n">
        <v>230206</v>
      </c>
      <c r="C518" t="inlineStr">
        <is>
          <t>ANON0000000</t>
        </is>
      </c>
      <c r="D518" t="n">
        <v>20</v>
      </c>
      <c r="E518" t="inlineStr">
        <is>
          <t>USNFK</t>
        </is>
      </c>
      <c r="F518" t="inlineStr">
        <is>
          <t>RULED</t>
        </is>
      </c>
      <c r="G518" t="n">
        <v>10350</v>
      </c>
      <c r="H518" t="inlineStr">
        <is>
          <t>MCL</t>
        </is>
      </c>
      <c r="I518" t="inlineStr">
        <is>
          <t>22G1</t>
        </is>
      </c>
      <c r="L518" t="inlineStr">
        <is>
          <t>8'6</t>
        </is>
      </c>
      <c r="M518" t="inlineStr">
        <is>
          <t>Full</t>
        </is>
      </c>
      <c r="N518" t="inlineStr">
        <is>
          <t>RULED</t>
        </is>
      </c>
      <c r="P518" s="21">
        <f>C518</f>
        <v/>
      </c>
      <c r="Q518" s="21">
        <f t="array" ref="Q518">IFERROR(INDEX(Load_Booking_Report!AC:AC, MATCH(TRUE, ISNUMBER(FIND(SUBSTITUTE(C518," ",""), Load_Booking_Report!AL:AL)), 0)), "Not Found")</f>
        <v/>
      </c>
      <c r="R518" s="21">
        <f t="array" ref="R518">IFERROR(INDEX(Load_Booking_Report!C:C, MATCH(TRUE, ISNUMBER(FIND(SUBSTITUTE(C518," ",""), Load_Booking_Report!AL:AL)), 0)), "Not Found")</f>
        <v/>
      </c>
      <c r="S518" s="21">
        <f t="array" ref="S518">IFERROR(INDEX(Load_Booking_Report!AG:AG, MATCH(TRUE, ISNUMBER(FIND(SUBSTITUTE(C518," ",""), Load_Booking_Report!AL:AL)), 0)), "Not Found")</f>
        <v/>
      </c>
      <c r="T518" s="21">
        <f>G518</f>
        <v/>
      </c>
      <c r="U518" s="33">
        <f t="array" ref="U518">IFERROR(
   IF(
      INDEX(Load_Booking_Report!AM:AM,
             MATCH(TRUE,
                     ISNUMBER(FIND(SUBSTITUTE(C518," ",""),
                                    Load_Booking_Report!AL:AL)),
                     0)
      )=0,
      "",
      INDEX(Load_Booking_Report!AM:AM,
             MATCH(TRUE,
                     ISNUMBER(FIND(SUBSTITUTE(C518," ",""),
                                    Load_Booking_Report!AL:AL)),
                     0)
      )
   ),
   ""
)</f>
        <v/>
      </c>
      <c r="V518" s="21">
        <f t="array" ref="V518">IFERROR(
   IF(
      INDEX(Load_Booking_Report!AR:AR,
             MATCH(TRUE,
                     ISNUMBER(FIND(SUBSTITUTE(C518," ",""),
                                    Load_Booking_Report!AL:AL)),
                     0)
      )=0,
      "",
      INDEX(Load_Booking_Report!AR:AR,
             MATCH(TRUE,
                     ISNUMBER(FIND(SUBSTITUTE(C518," ",""),
                                    Load_Booking_Report!AL:AL)),
                     0)
      )
   ),
   ""
)</f>
        <v/>
      </c>
      <c r="W518" s="21">
        <f t="array" ref="W518">IFERROR(INDEX(Load_Booking_Report!F:F, MATCH(TRUE, ISNUMBER(FIND(SUBSTITUTE(C518," ",""), Load_Booking_Report!AL:AL)), 0)), "Not Found")</f>
        <v/>
      </c>
      <c r="X518" s="21">
        <f t="array" ref="X518">IFERROR(INDEX(Load_Booking_Report!N:N, MATCH(TRUE, ISNUMBER(FIND(SUBSTITUTE(C518," ",""), Load_Booking_Report!AL:AL)), 0)), "Not Found")</f>
        <v/>
      </c>
      <c r="Y518" s="21">
        <f t="array" ref="Y518">IFERROR(INDEX(Load_Booking_Report!V:V, MATCH(TRUE, ISNUMBER(FIND(SUBSTITUTE(C518," ",""), Load_Booking_Report!AL:AL)), 0)), "Not Found")</f>
        <v/>
      </c>
      <c r="Z518" s="41">
        <f t="array" ref="Z518">IFERROR(INDEX(Load_Booking_Report!BC:BC, MATCH(TRUE, ISNUMBER(FIND(SUBSTITUTE(C518," ",""), Load_Booking_Report!AL:AL)), 0)), "Not Found")</f>
        <v/>
      </c>
    </row>
    <row r="519">
      <c r="A519" t="n">
        <v>13</v>
      </c>
      <c r="B519" t="n">
        <v>130402</v>
      </c>
      <c r="C519" t="inlineStr">
        <is>
          <t>ANON0000000</t>
        </is>
      </c>
      <c r="D519" t="n">
        <v>20</v>
      </c>
      <c r="E519" t="inlineStr">
        <is>
          <t>USNFK</t>
        </is>
      </c>
      <c r="F519" t="inlineStr">
        <is>
          <t>RULED</t>
        </is>
      </c>
      <c r="G519" t="n">
        <v>26390</v>
      </c>
      <c r="H519" t="inlineStr">
        <is>
          <t>MCL</t>
        </is>
      </c>
      <c r="I519" t="inlineStr">
        <is>
          <t>22G1</t>
        </is>
      </c>
      <c r="L519" t="inlineStr">
        <is>
          <t>OOG</t>
        </is>
      </c>
      <c r="M519" t="inlineStr">
        <is>
          <t>Full</t>
        </is>
      </c>
      <c r="N519" t="inlineStr">
        <is>
          <t>RULED</t>
        </is>
      </c>
      <c r="P519" s="21">
        <f>C519</f>
        <v/>
      </c>
      <c r="Q519" s="21">
        <f t="array" ref="Q519">IFERROR(INDEX(Load_Booking_Report!AC:AC, MATCH(TRUE, ISNUMBER(FIND(SUBSTITUTE(C519," ",""), Load_Booking_Report!AL:AL)), 0)), "Not Found")</f>
        <v/>
      </c>
      <c r="R519" s="21">
        <f t="array" ref="R519">IFERROR(INDEX(Load_Booking_Report!C:C, MATCH(TRUE, ISNUMBER(FIND(SUBSTITUTE(C519," ",""), Load_Booking_Report!AL:AL)), 0)), "Not Found")</f>
        <v/>
      </c>
      <c r="S519" s="21">
        <f t="array" ref="S519">IFERROR(INDEX(Load_Booking_Report!AG:AG, MATCH(TRUE, ISNUMBER(FIND(SUBSTITUTE(C519," ",""), Load_Booking_Report!AL:AL)), 0)), "Not Found")</f>
        <v/>
      </c>
      <c r="T519" s="21">
        <f>G519</f>
        <v/>
      </c>
      <c r="U519" s="33">
        <f t="array" ref="U519">IFERROR(
   IF(
      INDEX(Load_Booking_Report!AM:AM,
             MATCH(TRUE,
                     ISNUMBER(FIND(SUBSTITUTE(C519," ",""),
                                    Load_Booking_Report!AL:AL)),
                     0)
      )=0,
      "",
      INDEX(Load_Booking_Report!AM:AM,
             MATCH(TRUE,
                     ISNUMBER(FIND(SUBSTITUTE(C519," ",""),
                                    Load_Booking_Report!AL:AL)),
                     0)
      )
   ),
   ""
)</f>
        <v/>
      </c>
      <c r="V519" s="21">
        <f t="array" ref="V519">IFERROR(
   IF(
      INDEX(Load_Booking_Report!AR:AR,
             MATCH(TRUE,
                     ISNUMBER(FIND(SUBSTITUTE(C519," ",""),
                                    Load_Booking_Report!AL:AL)),
                     0)
      )=0,
      "",
      INDEX(Load_Booking_Report!AR:AR,
             MATCH(TRUE,
                     ISNUMBER(FIND(SUBSTITUTE(C519," ",""),
                                    Load_Booking_Report!AL:AL)),
                     0)
      )
   ),
   ""
)</f>
        <v/>
      </c>
      <c r="W519" s="21">
        <f t="array" ref="W519">IFERROR(INDEX(Load_Booking_Report!F:F, MATCH(TRUE, ISNUMBER(FIND(SUBSTITUTE(C519," ",""), Load_Booking_Report!AL:AL)), 0)), "Not Found")</f>
        <v/>
      </c>
      <c r="X519" s="21">
        <f t="array" ref="X519">IFERROR(INDEX(Load_Booking_Report!N:N, MATCH(TRUE, ISNUMBER(FIND(SUBSTITUTE(C519," ",""), Load_Booking_Report!AL:AL)), 0)), "Not Found")</f>
        <v/>
      </c>
      <c r="Y519" s="21">
        <f t="array" ref="Y519">IFERROR(INDEX(Load_Booking_Report!V:V, MATCH(TRUE, ISNUMBER(FIND(SUBSTITUTE(C519," ",""), Load_Booking_Report!AL:AL)), 0)), "Not Found")</f>
        <v/>
      </c>
      <c r="Z519" s="41">
        <f t="array" ref="Z519">IFERROR(INDEX(Load_Booking_Report!BC:BC, MATCH(TRUE, ISNUMBER(FIND(SUBSTITUTE(C519," ",""), Load_Booking_Report!AL:AL)), 0)), "Not Found")</f>
        <v/>
      </c>
    </row>
    <row r="520">
      <c r="A520" t="n">
        <v>27</v>
      </c>
      <c r="B520" t="n">
        <v>270704</v>
      </c>
      <c r="C520" t="inlineStr">
        <is>
          <t>ANON0000000</t>
        </is>
      </c>
      <c r="D520" t="n">
        <v>20</v>
      </c>
      <c r="E520" t="inlineStr">
        <is>
          <t>USNYC</t>
        </is>
      </c>
      <c r="F520" t="inlineStr">
        <is>
          <t>RULED</t>
        </is>
      </c>
      <c r="G520" t="n">
        <v>26960</v>
      </c>
      <c r="H520" t="inlineStr">
        <is>
          <t>MCL</t>
        </is>
      </c>
      <c r="I520" t="inlineStr">
        <is>
          <t>22G1</t>
        </is>
      </c>
      <c r="L520" t="inlineStr">
        <is>
          <t>8'6</t>
        </is>
      </c>
      <c r="M520" t="inlineStr">
        <is>
          <t>Full</t>
        </is>
      </c>
      <c r="N520" t="inlineStr">
        <is>
          <t>RULED</t>
        </is>
      </c>
      <c r="P520" s="21">
        <f>C520</f>
        <v/>
      </c>
      <c r="Q520" s="21">
        <f t="array" ref="Q520">IFERROR(INDEX(Load_Booking_Report!AC:AC, MATCH(TRUE, ISNUMBER(FIND(SUBSTITUTE(C520," ",""), Load_Booking_Report!AL:AL)), 0)), "Not Found")</f>
        <v/>
      </c>
      <c r="R520" s="21">
        <f t="array" ref="R520">IFERROR(INDEX(Load_Booking_Report!C:C, MATCH(TRUE, ISNUMBER(FIND(SUBSTITUTE(C520," ",""), Load_Booking_Report!AL:AL)), 0)), "Not Found")</f>
        <v/>
      </c>
      <c r="S520" s="21">
        <f t="array" ref="S520">IFERROR(INDEX(Load_Booking_Report!AG:AG, MATCH(TRUE, ISNUMBER(FIND(SUBSTITUTE(C520," ",""), Load_Booking_Report!AL:AL)), 0)), "Not Found")</f>
        <v/>
      </c>
      <c r="T520" s="21">
        <f>G520</f>
        <v/>
      </c>
      <c r="U520" s="33">
        <f t="array" ref="U520">IFERROR(
   IF(
      INDEX(Load_Booking_Report!AM:AM,
             MATCH(TRUE,
                     ISNUMBER(FIND(SUBSTITUTE(C520," ",""),
                                    Load_Booking_Report!AL:AL)),
                     0)
      )=0,
      "",
      INDEX(Load_Booking_Report!AM:AM,
             MATCH(TRUE,
                     ISNUMBER(FIND(SUBSTITUTE(C520," ",""),
                                    Load_Booking_Report!AL:AL)),
                     0)
      )
   ),
   ""
)</f>
        <v/>
      </c>
      <c r="V520" s="21">
        <f t="array" ref="V520">IFERROR(
   IF(
      INDEX(Load_Booking_Report!AR:AR,
             MATCH(TRUE,
                     ISNUMBER(FIND(SUBSTITUTE(C520," ",""),
                                    Load_Booking_Report!AL:AL)),
                     0)
      )=0,
      "",
      INDEX(Load_Booking_Report!AR:AR,
             MATCH(TRUE,
                     ISNUMBER(FIND(SUBSTITUTE(C520," ",""),
                                    Load_Booking_Report!AL:AL)),
                     0)
      )
   ),
   ""
)</f>
        <v/>
      </c>
      <c r="W520" s="21">
        <f t="array" ref="W520">IFERROR(INDEX(Load_Booking_Report!F:F, MATCH(TRUE, ISNUMBER(FIND(SUBSTITUTE(C520," ",""), Load_Booking_Report!AL:AL)), 0)), "Not Found")</f>
        <v/>
      </c>
      <c r="X520" s="21">
        <f t="array" ref="X520">IFERROR(INDEX(Load_Booking_Report!N:N, MATCH(TRUE, ISNUMBER(FIND(SUBSTITUTE(C520," ",""), Load_Booking_Report!AL:AL)), 0)), "Not Found")</f>
        <v/>
      </c>
      <c r="Y520" s="21">
        <f t="array" ref="Y520">IFERROR(INDEX(Load_Booking_Report!V:V, MATCH(TRUE, ISNUMBER(FIND(SUBSTITUTE(C520," ",""), Load_Booking_Report!AL:AL)), 0)), "Not Found")</f>
        <v/>
      </c>
      <c r="Z520" s="41">
        <f t="array" ref="Z520">IFERROR(INDEX(Load_Booking_Report!BC:BC, MATCH(TRUE, ISNUMBER(FIND(SUBSTITUTE(C520," ",""), Load_Booking_Report!AL:AL)), 0)), "Not Found")</f>
        <v/>
      </c>
    </row>
    <row r="521">
      <c r="A521" t="n">
        <v>13</v>
      </c>
      <c r="B521" t="n">
        <v>130406</v>
      </c>
      <c r="C521" t="inlineStr">
        <is>
          <t>ANON0000000</t>
        </is>
      </c>
      <c r="D521" t="n">
        <v>20</v>
      </c>
      <c r="E521" t="inlineStr">
        <is>
          <t>USNFK</t>
        </is>
      </c>
      <c r="F521" t="inlineStr">
        <is>
          <t>RULED</t>
        </is>
      </c>
      <c r="G521" t="n">
        <v>22150</v>
      </c>
      <c r="H521" t="inlineStr">
        <is>
          <t>MCL</t>
        </is>
      </c>
      <c r="I521" t="inlineStr">
        <is>
          <t>22G1</t>
        </is>
      </c>
      <c r="L521" t="inlineStr">
        <is>
          <t>OOG</t>
        </is>
      </c>
      <c r="M521" t="inlineStr">
        <is>
          <t>Full</t>
        </is>
      </c>
      <c r="N521" t="inlineStr">
        <is>
          <t>RULED</t>
        </is>
      </c>
      <c r="P521" s="21">
        <f>C521</f>
        <v/>
      </c>
      <c r="Q521" s="21">
        <f t="array" ref="Q521">IFERROR(INDEX(Load_Booking_Report!AC:AC, MATCH(TRUE, ISNUMBER(FIND(SUBSTITUTE(C521," ",""), Load_Booking_Report!AL:AL)), 0)), "Not Found")</f>
        <v/>
      </c>
      <c r="R521" s="21">
        <f t="array" ref="R521">IFERROR(INDEX(Load_Booking_Report!C:C, MATCH(TRUE, ISNUMBER(FIND(SUBSTITUTE(C521," ",""), Load_Booking_Report!AL:AL)), 0)), "Not Found")</f>
        <v/>
      </c>
      <c r="S521" s="21">
        <f t="array" ref="S521">IFERROR(INDEX(Load_Booking_Report!AG:AG, MATCH(TRUE, ISNUMBER(FIND(SUBSTITUTE(C521," ",""), Load_Booking_Report!AL:AL)), 0)), "Not Found")</f>
        <v/>
      </c>
      <c r="T521" s="21">
        <f>G521</f>
        <v/>
      </c>
      <c r="U521" s="33">
        <f t="array" ref="U521">IFERROR(
   IF(
      INDEX(Load_Booking_Report!AM:AM,
             MATCH(TRUE,
                     ISNUMBER(FIND(SUBSTITUTE(C521," ",""),
                                    Load_Booking_Report!AL:AL)),
                     0)
      )=0,
      "",
      INDEX(Load_Booking_Report!AM:AM,
             MATCH(TRUE,
                     ISNUMBER(FIND(SUBSTITUTE(C521," ",""),
                                    Load_Booking_Report!AL:AL)),
                     0)
      )
   ),
   ""
)</f>
        <v/>
      </c>
      <c r="V521" s="21">
        <f t="array" ref="V521">IFERROR(
   IF(
      INDEX(Load_Booking_Report!AR:AR,
             MATCH(TRUE,
                     ISNUMBER(FIND(SUBSTITUTE(C521," ",""),
                                    Load_Booking_Report!AL:AL)),
                     0)
      )=0,
      "",
      INDEX(Load_Booking_Report!AR:AR,
             MATCH(TRUE,
                     ISNUMBER(FIND(SUBSTITUTE(C521," ",""),
                                    Load_Booking_Report!AL:AL)),
                     0)
      )
   ),
   ""
)</f>
        <v/>
      </c>
      <c r="W521" s="21">
        <f t="array" ref="W521">IFERROR(INDEX(Load_Booking_Report!F:F, MATCH(TRUE, ISNUMBER(FIND(SUBSTITUTE(C521," ",""), Load_Booking_Report!AL:AL)), 0)), "Not Found")</f>
        <v/>
      </c>
      <c r="X521" s="21">
        <f t="array" ref="X521">IFERROR(INDEX(Load_Booking_Report!N:N, MATCH(TRUE, ISNUMBER(FIND(SUBSTITUTE(C521," ",""), Load_Booking_Report!AL:AL)), 0)), "Not Found")</f>
        <v/>
      </c>
      <c r="Y521" s="21">
        <f t="array" ref="Y521">IFERROR(INDEX(Load_Booking_Report!V:V, MATCH(TRUE, ISNUMBER(FIND(SUBSTITUTE(C521," ",""), Load_Booking_Report!AL:AL)), 0)), "Not Found")</f>
        <v/>
      </c>
      <c r="Z521" s="41">
        <f t="array" ref="Z521">IFERROR(INDEX(Load_Booking_Report!BC:BC, MATCH(TRUE, ISNUMBER(FIND(SUBSTITUTE(C521," ",""), Load_Booking_Report!AL:AL)), 0)), "Not Found")</f>
        <v/>
      </c>
    </row>
    <row r="522">
      <c r="A522" t="n">
        <v>15</v>
      </c>
      <c r="B522" t="n">
        <v>150402</v>
      </c>
      <c r="C522" t="inlineStr">
        <is>
          <t>ANON0000000</t>
        </is>
      </c>
      <c r="D522" t="n">
        <v>20</v>
      </c>
      <c r="E522" t="inlineStr">
        <is>
          <t>USNFK</t>
        </is>
      </c>
      <c r="F522" t="inlineStr">
        <is>
          <t>RULED</t>
        </is>
      </c>
      <c r="G522" t="n">
        <v>26459</v>
      </c>
      <c r="H522" t="inlineStr">
        <is>
          <t>MCL</t>
        </is>
      </c>
      <c r="I522" t="inlineStr">
        <is>
          <t>22G1</t>
        </is>
      </c>
      <c r="L522" t="inlineStr">
        <is>
          <t>OOG</t>
        </is>
      </c>
      <c r="M522" t="inlineStr">
        <is>
          <t>Full</t>
        </is>
      </c>
      <c r="N522" t="inlineStr">
        <is>
          <t>RULED</t>
        </is>
      </c>
      <c r="P522" s="21">
        <f>C522</f>
        <v/>
      </c>
      <c r="Q522" s="21">
        <f t="array" ref="Q522">IFERROR(INDEX(Load_Booking_Report!AC:AC, MATCH(TRUE, ISNUMBER(FIND(SUBSTITUTE(C522," ",""), Load_Booking_Report!AL:AL)), 0)), "Not Found")</f>
        <v/>
      </c>
      <c r="R522" s="21">
        <f t="array" ref="R522">IFERROR(INDEX(Load_Booking_Report!C:C, MATCH(TRUE, ISNUMBER(FIND(SUBSTITUTE(C522," ",""), Load_Booking_Report!AL:AL)), 0)), "Not Found")</f>
        <v/>
      </c>
      <c r="S522" s="21">
        <f t="array" ref="S522">IFERROR(INDEX(Load_Booking_Report!AG:AG, MATCH(TRUE, ISNUMBER(FIND(SUBSTITUTE(C522," ",""), Load_Booking_Report!AL:AL)), 0)), "Not Found")</f>
        <v/>
      </c>
      <c r="T522" s="21">
        <f>G522</f>
        <v/>
      </c>
      <c r="U522" s="33">
        <f t="array" ref="U522">IFERROR(
   IF(
      INDEX(Load_Booking_Report!AM:AM,
             MATCH(TRUE,
                     ISNUMBER(FIND(SUBSTITUTE(C522," ",""),
                                    Load_Booking_Report!AL:AL)),
                     0)
      )=0,
      "",
      INDEX(Load_Booking_Report!AM:AM,
             MATCH(TRUE,
                     ISNUMBER(FIND(SUBSTITUTE(C522," ",""),
                                    Load_Booking_Report!AL:AL)),
                     0)
      )
   ),
   ""
)</f>
        <v/>
      </c>
      <c r="V522" s="21">
        <f t="array" ref="V522">IFERROR(
   IF(
      INDEX(Load_Booking_Report!AR:AR,
             MATCH(TRUE,
                     ISNUMBER(FIND(SUBSTITUTE(C522," ",""),
                                    Load_Booking_Report!AL:AL)),
                     0)
      )=0,
      "",
      INDEX(Load_Booking_Report!AR:AR,
             MATCH(TRUE,
                     ISNUMBER(FIND(SUBSTITUTE(C522," ",""),
                                    Load_Booking_Report!AL:AL)),
                     0)
      )
   ),
   ""
)</f>
        <v/>
      </c>
      <c r="W522" s="21">
        <f t="array" ref="W522">IFERROR(INDEX(Load_Booking_Report!F:F, MATCH(TRUE, ISNUMBER(FIND(SUBSTITUTE(C522," ",""), Load_Booking_Report!AL:AL)), 0)), "Not Found")</f>
        <v/>
      </c>
      <c r="X522" s="21">
        <f t="array" ref="X522">IFERROR(INDEX(Load_Booking_Report!N:N, MATCH(TRUE, ISNUMBER(FIND(SUBSTITUTE(C522," ",""), Load_Booking_Report!AL:AL)), 0)), "Not Found")</f>
        <v/>
      </c>
      <c r="Y522" s="21">
        <f t="array" ref="Y522">IFERROR(INDEX(Load_Booking_Report!V:V, MATCH(TRUE, ISNUMBER(FIND(SUBSTITUTE(C522," ",""), Load_Booking_Report!AL:AL)), 0)), "Not Found")</f>
        <v/>
      </c>
      <c r="Z522" s="41">
        <f t="array" ref="Z522">IFERROR(INDEX(Load_Booking_Report!BC:BC, MATCH(TRUE, ISNUMBER(FIND(SUBSTITUTE(C522," ",""), Load_Booking_Report!AL:AL)), 0)), "Not Found")</f>
        <v/>
      </c>
    </row>
    <row r="523">
      <c r="A523" t="n">
        <v>29</v>
      </c>
      <c r="B523" t="n">
        <v>290706</v>
      </c>
      <c r="C523" t="inlineStr">
        <is>
          <t>ANON0000000</t>
        </is>
      </c>
      <c r="D523" t="n">
        <v>20</v>
      </c>
      <c r="E523" t="inlineStr">
        <is>
          <t>USNFK</t>
        </is>
      </c>
      <c r="F523" t="inlineStr">
        <is>
          <t>RULED</t>
        </is>
      </c>
      <c r="G523" t="n">
        <v>21275</v>
      </c>
      <c r="H523" t="inlineStr">
        <is>
          <t>MCL</t>
        </is>
      </c>
      <c r="I523" t="inlineStr">
        <is>
          <t>22G1</t>
        </is>
      </c>
      <c r="L523" t="inlineStr">
        <is>
          <t>OOG</t>
        </is>
      </c>
      <c r="M523" t="inlineStr">
        <is>
          <t>Full</t>
        </is>
      </c>
      <c r="N523" t="inlineStr">
        <is>
          <t>RULED</t>
        </is>
      </c>
      <c r="P523" s="21">
        <f>C523</f>
        <v/>
      </c>
      <c r="Q523" s="21">
        <f t="array" ref="Q523">IFERROR(INDEX(Load_Booking_Report!AC:AC, MATCH(TRUE, ISNUMBER(FIND(SUBSTITUTE(C523," ",""), Load_Booking_Report!AL:AL)), 0)), "Not Found")</f>
        <v/>
      </c>
      <c r="R523" s="21">
        <f t="array" ref="R523">IFERROR(INDEX(Load_Booking_Report!C:C, MATCH(TRUE, ISNUMBER(FIND(SUBSTITUTE(C523," ",""), Load_Booking_Report!AL:AL)), 0)), "Not Found")</f>
        <v/>
      </c>
      <c r="S523" s="21">
        <f t="array" ref="S523">IFERROR(INDEX(Load_Booking_Report!AG:AG, MATCH(TRUE, ISNUMBER(FIND(SUBSTITUTE(C523," ",""), Load_Booking_Report!AL:AL)), 0)), "Not Found")</f>
        <v/>
      </c>
      <c r="T523" s="21">
        <f>G523</f>
        <v/>
      </c>
      <c r="U523" s="33">
        <f t="array" ref="U523">IFERROR(
   IF(
      INDEX(Load_Booking_Report!AM:AM,
             MATCH(TRUE,
                     ISNUMBER(FIND(SUBSTITUTE(C523," ",""),
                                    Load_Booking_Report!AL:AL)),
                     0)
      )=0,
      "",
      INDEX(Load_Booking_Report!AM:AM,
             MATCH(TRUE,
                     ISNUMBER(FIND(SUBSTITUTE(C523," ",""),
                                    Load_Booking_Report!AL:AL)),
                     0)
      )
   ),
   ""
)</f>
        <v/>
      </c>
      <c r="V523" s="21">
        <f t="array" ref="V523">IFERROR(
   IF(
      INDEX(Load_Booking_Report!AR:AR,
             MATCH(TRUE,
                     ISNUMBER(FIND(SUBSTITUTE(C523," ",""),
                                    Load_Booking_Report!AL:AL)),
                     0)
      )=0,
      "",
      INDEX(Load_Booking_Report!AR:AR,
             MATCH(TRUE,
                     ISNUMBER(FIND(SUBSTITUTE(C523," ",""),
                                    Load_Booking_Report!AL:AL)),
                     0)
      )
   ),
   ""
)</f>
        <v/>
      </c>
      <c r="W523" s="21">
        <f t="array" ref="W523">IFERROR(INDEX(Load_Booking_Report!F:F, MATCH(TRUE, ISNUMBER(FIND(SUBSTITUTE(C523," ",""), Load_Booking_Report!AL:AL)), 0)), "Not Found")</f>
        <v/>
      </c>
      <c r="X523" s="21">
        <f t="array" ref="X523">IFERROR(INDEX(Load_Booking_Report!N:N, MATCH(TRUE, ISNUMBER(FIND(SUBSTITUTE(C523," ",""), Load_Booking_Report!AL:AL)), 0)), "Not Found")</f>
        <v/>
      </c>
      <c r="Y523" s="21">
        <f t="array" ref="Y523">IFERROR(INDEX(Load_Booking_Report!V:V, MATCH(TRUE, ISNUMBER(FIND(SUBSTITUTE(C523," ",""), Load_Booking_Report!AL:AL)), 0)), "Not Found")</f>
        <v/>
      </c>
      <c r="Z523" s="41">
        <f t="array" ref="Z523">IFERROR(INDEX(Load_Booking_Report!BC:BC, MATCH(TRUE, ISNUMBER(FIND(SUBSTITUTE(C523," ",""), Load_Booking_Report!AL:AL)), 0)), "Not Found")</f>
        <v/>
      </c>
    </row>
    <row r="524">
      <c r="A524" t="n">
        <v>25</v>
      </c>
      <c r="B524" t="n">
        <v>250402</v>
      </c>
      <c r="C524" t="inlineStr">
        <is>
          <t>ANON0000000</t>
        </is>
      </c>
      <c r="D524" t="n">
        <v>20</v>
      </c>
      <c r="E524" t="inlineStr">
        <is>
          <t>USNYC</t>
        </is>
      </c>
      <c r="F524" t="inlineStr">
        <is>
          <t>RULED</t>
        </is>
      </c>
      <c r="G524" t="n">
        <v>26970</v>
      </c>
      <c r="H524" t="inlineStr">
        <is>
          <t>MCL</t>
        </is>
      </c>
      <c r="I524" t="inlineStr">
        <is>
          <t>22G1</t>
        </is>
      </c>
      <c r="L524" t="inlineStr">
        <is>
          <t>8'6</t>
        </is>
      </c>
      <c r="M524" t="inlineStr">
        <is>
          <t>Full</t>
        </is>
      </c>
      <c r="N524" t="inlineStr">
        <is>
          <t>RULED</t>
        </is>
      </c>
      <c r="P524" s="21">
        <f>C524</f>
        <v/>
      </c>
      <c r="Q524" s="21">
        <f t="array" ref="Q524">IFERROR(INDEX(Load_Booking_Report!AC:AC, MATCH(TRUE, ISNUMBER(FIND(SUBSTITUTE(C524," ",""), Load_Booking_Report!AL:AL)), 0)), "Not Found")</f>
        <v/>
      </c>
      <c r="R524" s="21">
        <f t="array" ref="R524">IFERROR(INDEX(Load_Booking_Report!C:C, MATCH(TRUE, ISNUMBER(FIND(SUBSTITUTE(C524," ",""), Load_Booking_Report!AL:AL)), 0)), "Not Found")</f>
        <v/>
      </c>
      <c r="S524" s="21">
        <f t="array" ref="S524">IFERROR(INDEX(Load_Booking_Report!AG:AG, MATCH(TRUE, ISNUMBER(FIND(SUBSTITUTE(C524," ",""), Load_Booking_Report!AL:AL)), 0)), "Not Found")</f>
        <v/>
      </c>
      <c r="T524" s="21">
        <f>G524</f>
        <v/>
      </c>
      <c r="U524" s="33">
        <f t="array" ref="U524">IFERROR(
   IF(
      INDEX(Load_Booking_Report!AM:AM,
             MATCH(TRUE,
                     ISNUMBER(FIND(SUBSTITUTE(C524," ",""),
                                    Load_Booking_Report!AL:AL)),
                     0)
      )=0,
      "",
      INDEX(Load_Booking_Report!AM:AM,
             MATCH(TRUE,
                     ISNUMBER(FIND(SUBSTITUTE(C524," ",""),
                                    Load_Booking_Report!AL:AL)),
                     0)
      )
   ),
   ""
)</f>
        <v/>
      </c>
      <c r="V524" s="21">
        <f t="array" ref="V524">IFERROR(
   IF(
      INDEX(Load_Booking_Report!AR:AR,
             MATCH(TRUE,
                     ISNUMBER(FIND(SUBSTITUTE(C524," ",""),
                                    Load_Booking_Report!AL:AL)),
                     0)
      )=0,
      "",
      INDEX(Load_Booking_Report!AR:AR,
             MATCH(TRUE,
                     ISNUMBER(FIND(SUBSTITUTE(C524," ",""),
                                    Load_Booking_Report!AL:AL)),
                     0)
      )
   ),
   ""
)</f>
        <v/>
      </c>
      <c r="W524" s="21">
        <f t="array" ref="W524">IFERROR(INDEX(Load_Booking_Report!F:F, MATCH(TRUE, ISNUMBER(FIND(SUBSTITUTE(C524," ",""), Load_Booking_Report!AL:AL)), 0)), "Not Found")</f>
        <v/>
      </c>
      <c r="X524" s="21">
        <f t="array" ref="X524">IFERROR(INDEX(Load_Booking_Report!N:N, MATCH(TRUE, ISNUMBER(FIND(SUBSTITUTE(C524," ",""), Load_Booking_Report!AL:AL)), 0)), "Not Found")</f>
        <v/>
      </c>
      <c r="Y524" s="21">
        <f t="array" ref="Y524">IFERROR(INDEX(Load_Booking_Report!V:V, MATCH(TRUE, ISNUMBER(FIND(SUBSTITUTE(C524," ",""), Load_Booking_Report!AL:AL)), 0)), "Not Found")</f>
        <v/>
      </c>
      <c r="Z524" s="41">
        <f t="array" ref="Z524">IFERROR(INDEX(Load_Booking_Report!BC:BC, MATCH(TRUE, ISNUMBER(FIND(SUBSTITUTE(C524," ",""), Load_Booking_Report!AL:AL)), 0)), "Not Found")</f>
        <v/>
      </c>
    </row>
    <row r="525">
      <c r="A525" t="n">
        <v>11</v>
      </c>
      <c r="B525" t="n">
        <v>110808</v>
      </c>
      <c r="C525" t="inlineStr">
        <is>
          <t>ANON0000000</t>
        </is>
      </c>
      <c r="D525" t="n">
        <v>20</v>
      </c>
      <c r="E525" t="inlineStr">
        <is>
          <t>USNFK</t>
        </is>
      </c>
      <c r="F525" t="inlineStr">
        <is>
          <t>RULED</t>
        </is>
      </c>
      <c r="G525" t="n">
        <v>21300</v>
      </c>
      <c r="H525" t="inlineStr">
        <is>
          <t>MCL</t>
        </is>
      </c>
      <c r="I525" t="inlineStr">
        <is>
          <t>22G1</t>
        </is>
      </c>
      <c r="L525" t="inlineStr">
        <is>
          <t>OOG</t>
        </is>
      </c>
      <c r="M525" t="inlineStr">
        <is>
          <t>Full</t>
        </is>
      </c>
      <c r="N525" t="inlineStr">
        <is>
          <t>RULED</t>
        </is>
      </c>
      <c r="P525" s="21">
        <f>C525</f>
        <v/>
      </c>
      <c r="Q525" s="21">
        <f t="array" ref="Q525">IFERROR(INDEX(Load_Booking_Report!AC:AC, MATCH(TRUE, ISNUMBER(FIND(SUBSTITUTE(C525," ",""), Load_Booking_Report!AL:AL)), 0)), "Not Found")</f>
        <v/>
      </c>
      <c r="R525" s="21">
        <f t="array" ref="R525">IFERROR(INDEX(Load_Booking_Report!C:C, MATCH(TRUE, ISNUMBER(FIND(SUBSTITUTE(C525," ",""), Load_Booking_Report!AL:AL)), 0)), "Not Found")</f>
        <v/>
      </c>
      <c r="S525" s="21">
        <f t="array" ref="S525">IFERROR(INDEX(Load_Booking_Report!AG:AG, MATCH(TRUE, ISNUMBER(FIND(SUBSTITUTE(C525," ",""), Load_Booking_Report!AL:AL)), 0)), "Not Found")</f>
        <v/>
      </c>
      <c r="T525" s="21">
        <f>G525</f>
        <v/>
      </c>
      <c r="U525" s="33">
        <f t="array" ref="U525">IFERROR(
   IF(
      INDEX(Load_Booking_Report!AM:AM,
             MATCH(TRUE,
                     ISNUMBER(FIND(SUBSTITUTE(C525," ",""),
                                    Load_Booking_Report!AL:AL)),
                     0)
      )=0,
      "",
      INDEX(Load_Booking_Report!AM:AM,
             MATCH(TRUE,
                     ISNUMBER(FIND(SUBSTITUTE(C525," ",""),
                                    Load_Booking_Report!AL:AL)),
                     0)
      )
   ),
   ""
)</f>
        <v/>
      </c>
      <c r="V525" s="21">
        <f t="array" ref="V525">IFERROR(
   IF(
      INDEX(Load_Booking_Report!AR:AR,
             MATCH(TRUE,
                     ISNUMBER(FIND(SUBSTITUTE(C525," ",""),
                                    Load_Booking_Report!AL:AL)),
                     0)
      )=0,
      "",
      INDEX(Load_Booking_Report!AR:AR,
             MATCH(TRUE,
                     ISNUMBER(FIND(SUBSTITUTE(C525," ",""),
                                    Load_Booking_Report!AL:AL)),
                     0)
      )
   ),
   ""
)</f>
        <v/>
      </c>
      <c r="W525" s="21">
        <f t="array" ref="W525">IFERROR(INDEX(Load_Booking_Report!F:F, MATCH(TRUE, ISNUMBER(FIND(SUBSTITUTE(C525," ",""), Load_Booking_Report!AL:AL)), 0)), "Not Found")</f>
        <v/>
      </c>
      <c r="X525" s="21">
        <f t="array" ref="X525">IFERROR(INDEX(Load_Booking_Report!N:N, MATCH(TRUE, ISNUMBER(FIND(SUBSTITUTE(C525," ",""), Load_Booking_Report!AL:AL)), 0)), "Not Found")</f>
        <v/>
      </c>
      <c r="Y525" s="21">
        <f t="array" ref="Y525">IFERROR(INDEX(Load_Booking_Report!V:V, MATCH(TRUE, ISNUMBER(FIND(SUBSTITUTE(C525," ",""), Load_Booking_Report!AL:AL)), 0)), "Not Found")</f>
        <v/>
      </c>
      <c r="Z525" s="41">
        <f t="array" ref="Z525">IFERROR(INDEX(Load_Booking_Report!BC:BC, MATCH(TRUE, ISNUMBER(FIND(SUBSTITUTE(C525," ",""), Load_Booking_Report!AL:AL)), 0)), "Not Found")</f>
        <v/>
      </c>
    </row>
    <row r="526">
      <c r="A526" t="n">
        <v>15</v>
      </c>
      <c r="B526" t="n">
        <v>150804</v>
      </c>
      <c r="C526" t="inlineStr">
        <is>
          <t>ANON0000000</t>
        </is>
      </c>
      <c r="D526" t="n">
        <v>20</v>
      </c>
      <c r="E526" t="inlineStr">
        <is>
          <t>USNFK</t>
        </is>
      </c>
      <c r="F526" t="inlineStr">
        <is>
          <t>RULED</t>
        </is>
      </c>
      <c r="G526" t="n">
        <v>26900</v>
      </c>
      <c r="H526" t="inlineStr">
        <is>
          <t>MCL</t>
        </is>
      </c>
      <c r="I526" t="inlineStr">
        <is>
          <t>22G1</t>
        </is>
      </c>
      <c r="L526" t="inlineStr">
        <is>
          <t>OOG</t>
        </is>
      </c>
      <c r="M526" t="inlineStr">
        <is>
          <t>Full</t>
        </is>
      </c>
      <c r="N526" t="inlineStr">
        <is>
          <t>RULED</t>
        </is>
      </c>
      <c r="P526" s="21">
        <f>C526</f>
        <v/>
      </c>
      <c r="Q526" s="21">
        <f t="array" ref="Q526">IFERROR(INDEX(Load_Booking_Report!AC:AC, MATCH(TRUE, ISNUMBER(FIND(SUBSTITUTE(C526," ",""), Load_Booking_Report!AL:AL)), 0)), "Not Found")</f>
        <v/>
      </c>
      <c r="R526" s="21">
        <f t="array" ref="R526">IFERROR(INDEX(Load_Booking_Report!C:C, MATCH(TRUE, ISNUMBER(FIND(SUBSTITUTE(C526," ",""), Load_Booking_Report!AL:AL)), 0)), "Not Found")</f>
        <v/>
      </c>
      <c r="S526" s="21">
        <f t="array" ref="S526">IFERROR(INDEX(Load_Booking_Report!AG:AG, MATCH(TRUE, ISNUMBER(FIND(SUBSTITUTE(C526," ",""), Load_Booking_Report!AL:AL)), 0)), "Not Found")</f>
        <v/>
      </c>
      <c r="T526" s="21">
        <f>G526</f>
        <v/>
      </c>
      <c r="U526" s="33">
        <f t="array" ref="U526">IFERROR(
   IF(
      INDEX(Load_Booking_Report!AM:AM,
             MATCH(TRUE,
                     ISNUMBER(FIND(SUBSTITUTE(C526," ",""),
                                    Load_Booking_Report!AL:AL)),
                     0)
      )=0,
      "",
      INDEX(Load_Booking_Report!AM:AM,
             MATCH(TRUE,
                     ISNUMBER(FIND(SUBSTITUTE(C526," ",""),
                                    Load_Booking_Report!AL:AL)),
                     0)
      )
   ),
   ""
)</f>
        <v/>
      </c>
      <c r="V526" s="21">
        <f t="array" ref="V526">IFERROR(
   IF(
      INDEX(Load_Booking_Report!AR:AR,
             MATCH(TRUE,
                     ISNUMBER(FIND(SUBSTITUTE(C526," ",""),
                                    Load_Booking_Report!AL:AL)),
                     0)
      )=0,
      "",
      INDEX(Load_Booking_Report!AR:AR,
             MATCH(TRUE,
                     ISNUMBER(FIND(SUBSTITUTE(C526," ",""),
                                    Load_Booking_Report!AL:AL)),
                     0)
      )
   ),
   ""
)</f>
        <v/>
      </c>
      <c r="W526" s="21">
        <f t="array" ref="W526">IFERROR(INDEX(Load_Booking_Report!F:F, MATCH(TRUE, ISNUMBER(FIND(SUBSTITUTE(C526," ",""), Load_Booking_Report!AL:AL)), 0)), "Not Found")</f>
        <v/>
      </c>
      <c r="X526" s="21">
        <f t="array" ref="X526">IFERROR(INDEX(Load_Booking_Report!N:N, MATCH(TRUE, ISNUMBER(FIND(SUBSTITUTE(C526," ",""), Load_Booking_Report!AL:AL)), 0)), "Not Found")</f>
        <v/>
      </c>
      <c r="Y526" s="21">
        <f t="array" ref="Y526">IFERROR(INDEX(Load_Booking_Report!V:V, MATCH(TRUE, ISNUMBER(FIND(SUBSTITUTE(C526," ",""), Load_Booking_Report!AL:AL)), 0)), "Not Found")</f>
        <v/>
      </c>
      <c r="Z526" s="41">
        <f t="array" ref="Z526">IFERROR(INDEX(Load_Booking_Report!BC:BC, MATCH(TRUE, ISNUMBER(FIND(SUBSTITUTE(C526," ",""), Load_Booking_Report!AL:AL)), 0)), "Not Found")</f>
        <v/>
      </c>
    </row>
    <row r="527">
      <c r="A527" t="n">
        <v>31</v>
      </c>
      <c r="B527" t="n">
        <v>310102</v>
      </c>
      <c r="C527" t="inlineStr">
        <is>
          <t>ANON0000000</t>
        </is>
      </c>
      <c r="D527" t="n">
        <v>20</v>
      </c>
      <c r="E527" t="inlineStr">
        <is>
          <t>USNFK</t>
        </is>
      </c>
      <c r="F527" t="inlineStr">
        <is>
          <t>RULED</t>
        </is>
      </c>
      <c r="G527" t="n">
        <v>28061</v>
      </c>
      <c r="H527" t="inlineStr">
        <is>
          <t>MCL</t>
        </is>
      </c>
      <c r="I527" t="inlineStr">
        <is>
          <t>22G1</t>
        </is>
      </c>
      <c r="L527" t="inlineStr">
        <is>
          <t>OOG</t>
        </is>
      </c>
      <c r="M527" t="inlineStr">
        <is>
          <t>Full</t>
        </is>
      </c>
      <c r="N527" t="inlineStr">
        <is>
          <t>RULED</t>
        </is>
      </c>
      <c r="P527" s="21">
        <f>C527</f>
        <v/>
      </c>
      <c r="Q527" s="21">
        <f t="array" ref="Q527">IFERROR(INDEX(Load_Booking_Report!AC:AC, MATCH(TRUE, ISNUMBER(FIND(SUBSTITUTE(C527," ",""), Load_Booking_Report!AL:AL)), 0)), "Not Found")</f>
        <v/>
      </c>
      <c r="R527" s="21">
        <f t="array" ref="R527">IFERROR(INDEX(Load_Booking_Report!C:C, MATCH(TRUE, ISNUMBER(FIND(SUBSTITUTE(C527," ",""), Load_Booking_Report!AL:AL)), 0)), "Not Found")</f>
        <v/>
      </c>
      <c r="S527" s="21">
        <f t="array" ref="S527">IFERROR(INDEX(Load_Booking_Report!AG:AG, MATCH(TRUE, ISNUMBER(FIND(SUBSTITUTE(C527," ",""), Load_Booking_Report!AL:AL)), 0)), "Not Found")</f>
        <v/>
      </c>
      <c r="T527" s="21">
        <f>G527</f>
        <v/>
      </c>
      <c r="U527" s="33">
        <f t="array" ref="U527">IFERROR(
   IF(
      INDEX(Load_Booking_Report!AM:AM,
             MATCH(TRUE,
                     ISNUMBER(FIND(SUBSTITUTE(C527," ",""),
                                    Load_Booking_Report!AL:AL)),
                     0)
      )=0,
      "",
      INDEX(Load_Booking_Report!AM:AM,
             MATCH(TRUE,
                     ISNUMBER(FIND(SUBSTITUTE(C527," ",""),
                                    Load_Booking_Report!AL:AL)),
                     0)
      )
   ),
   ""
)</f>
        <v/>
      </c>
      <c r="V527" s="21">
        <f t="array" ref="V527">IFERROR(
   IF(
      INDEX(Load_Booking_Report!AR:AR,
             MATCH(TRUE,
                     ISNUMBER(FIND(SUBSTITUTE(C527," ",""),
                                    Load_Booking_Report!AL:AL)),
                     0)
      )=0,
      "",
      INDEX(Load_Booking_Report!AR:AR,
             MATCH(TRUE,
                     ISNUMBER(FIND(SUBSTITUTE(C527," ",""),
                                    Load_Booking_Report!AL:AL)),
                     0)
      )
   ),
   ""
)</f>
        <v/>
      </c>
      <c r="W527" s="21">
        <f t="array" ref="W527">IFERROR(INDEX(Load_Booking_Report!F:F, MATCH(TRUE, ISNUMBER(FIND(SUBSTITUTE(C527," ",""), Load_Booking_Report!AL:AL)), 0)), "Not Found")</f>
        <v/>
      </c>
      <c r="X527" s="21">
        <f t="array" ref="X527">IFERROR(INDEX(Load_Booking_Report!N:N, MATCH(TRUE, ISNUMBER(FIND(SUBSTITUTE(C527," ",""), Load_Booking_Report!AL:AL)), 0)), "Not Found")</f>
        <v/>
      </c>
      <c r="Y527" s="21">
        <f t="array" ref="Y527">IFERROR(INDEX(Load_Booking_Report!V:V, MATCH(TRUE, ISNUMBER(FIND(SUBSTITUTE(C527," ",""), Load_Booking_Report!AL:AL)), 0)), "Not Found")</f>
        <v/>
      </c>
      <c r="Z527" s="41">
        <f t="array" ref="Z527">IFERROR(INDEX(Load_Booking_Report!BC:BC, MATCH(TRUE, ISNUMBER(FIND(SUBSTITUTE(C527," ",""), Load_Booking_Report!AL:AL)), 0)), "Not Found")</f>
        <v/>
      </c>
    </row>
    <row r="528">
      <c r="A528" t="n">
        <v>15</v>
      </c>
      <c r="B528" t="n">
        <v>150202</v>
      </c>
      <c r="C528" t="inlineStr">
        <is>
          <t>ANON0000000</t>
        </is>
      </c>
      <c r="D528" t="n">
        <v>20</v>
      </c>
      <c r="E528" t="inlineStr">
        <is>
          <t>USNFK</t>
        </is>
      </c>
      <c r="F528" t="inlineStr">
        <is>
          <t>RULED</t>
        </is>
      </c>
      <c r="G528" t="n">
        <v>26290</v>
      </c>
      <c r="H528" t="inlineStr">
        <is>
          <t>MCL</t>
        </is>
      </c>
      <c r="I528" t="inlineStr">
        <is>
          <t>22G1</t>
        </is>
      </c>
      <c r="L528" t="inlineStr">
        <is>
          <t>OOG</t>
        </is>
      </c>
      <c r="M528" t="inlineStr">
        <is>
          <t>Full</t>
        </is>
      </c>
      <c r="N528" t="inlineStr">
        <is>
          <t>RULED</t>
        </is>
      </c>
      <c r="P528" s="21">
        <f>C528</f>
        <v/>
      </c>
      <c r="Q528" s="21">
        <f t="array" ref="Q528">IFERROR(INDEX(Load_Booking_Report!AC:AC, MATCH(TRUE, ISNUMBER(FIND(SUBSTITUTE(C528," ",""), Load_Booking_Report!AL:AL)), 0)), "Not Found")</f>
        <v/>
      </c>
      <c r="R528" s="21">
        <f t="array" ref="R528">IFERROR(INDEX(Load_Booking_Report!C:C, MATCH(TRUE, ISNUMBER(FIND(SUBSTITUTE(C528," ",""), Load_Booking_Report!AL:AL)), 0)), "Not Found")</f>
        <v/>
      </c>
      <c r="S528" s="21">
        <f t="array" ref="S528">IFERROR(INDEX(Load_Booking_Report!AG:AG, MATCH(TRUE, ISNUMBER(FIND(SUBSTITUTE(C528," ",""), Load_Booking_Report!AL:AL)), 0)), "Not Found")</f>
        <v/>
      </c>
      <c r="T528" s="21">
        <f>G528</f>
        <v/>
      </c>
      <c r="U528" s="33">
        <f t="array" ref="U528">IFERROR(
   IF(
      INDEX(Load_Booking_Report!AM:AM,
             MATCH(TRUE,
                     ISNUMBER(FIND(SUBSTITUTE(C528," ",""),
                                    Load_Booking_Report!AL:AL)),
                     0)
      )=0,
      "",
      INDEX(Load_Booking_Report!AM:AM,
             MATCH(TRUE,
                     ISNUMBER(FIND(SUBSTITUTE(C528," ",""),
                                    Load_Booking_Report!AL:AL)),
                     0)
      )
   ),
   ""
)</f>
        <v/>
      </c>
      <c r="V528" s="21">
        <f t="array" ref="V528">IFERROR(
   IF(
      INDEX(Load_Booking_Report!AR:AR,
             MATCH(TRUE,
                     ISNUMBER(FIND(SUBSTITUTE(C528," ",""),
                                    Load_Booking_Report!AL:AL)),
                     0)
      )=0,
      "",
      INDEX(Load_Booking_Report!AR:AR,
             MATCH(TRUE,
                     ISNUMBER(FIND(SUBSTITUTE(C528," ",""),
                                    Load_Booking_Report!AL:AL)),
                     0)
      )
   ),
   ""
)</f>
        <v/>
      </c>
      <c r="W528" s="21">
        <f t="array" ref="W528">IFERROR(INDEX(Load_Booking_Report!F:F, MATCH(TRUE, ISNUMBER(FIND(SUBSTITUTE(C528," ",""), Load_Booking_Report!AL:AL)), 0)), "Not Found")</f>
        <v/>
      </c>
      <c r="X528" s="21">
        <f t="array" ref="X528">IFERROR(INDEX(Load_Booking_Report!N:N, MATCH(TRUE, ISNUMBER(FIND(SUBSTITUTE(C528," ",""), Load_Booking_Report!AL:AL)), 0)), "Not Found")</f>
        <v/>
      </c>
      <c r="Y528" s="21">
        <f t="array" ref="Y528">IFERROR(INDEX(Load_Booking_Report!V:V, MATCH(TRUE, ISNUMBER(FIND(SUBSTITUTE(C528," ",""), Load_Booking_Report!AL:AL)), 0)), "Not Found")</f>
        <v/>
      </c>
      <c r="Z528" s="41">
        <f t="array" ref="Z528">IFERROR(INDEX(Load_Booking_Report!BC:BC, MATCH(TRUE, ISNUMBER(FIND(SUBSTITUTE(C528," ",""), Load_Booking_Report!AL:AL)), 0)), "Not Found")</f>
        <v/>
      </c>
    </row>
    <row r="529">
      <c r="A529" t="n">
        <v>15</v>
      </c>
      <c r="B529" t="n">
        <v>150604</v>
      </c>
      <c r="C529" t="inlineStr">
        <is>
          <t>ANON0000000</t>
        </is>
      </c>
      <c r="D529" t="n">
        <v>20</v>
      </c>
      <c r="E529" t="inlineStr">
        <is>
          <t>USNFK</t>
        </is>
      </c>
      <c r="F529" t="inlineStr">
        <is>
          <t>RULED</t>
        </is>
      </c>
      <c r="G529" t="n">
        <v>26510</v>
      </c>
      <c r="H529" t="inlineStr">
        <is>
          <t>MCL</t>
        </is>
      </c>
      <c r="I529" t="inlineStr">
        <is>
          <t>22G1</t>
        </is>
      </c>
      <c r="L529" t="inlineStr">
        <is>
          <t>OOG</t>
        </is>
      </c>
      <c r="M529" t="inlineStr">
        <is>
          <t>Full</t>
        </is>
      </c>
      <c r="N529" t="inlineStr">
        <is>
          <t>RULED</t>
        </is>
      </c>
      <c r="P529" s="21">
        <f>C529</f>
        <v/>
      </c>
      <c r="Q529" s="21">
        <f t="array" ref="Q529">IFERROR(INDEX(Load_Booking_Report!AC:AC, MATCH(TRUE, ISNUMBER(FIND(SUBSTITUTE(C529," ",""), Load_Booking_Report!AL:AL)), 0)), "Not Found")</f>
        <v/>
      </c>
      <c r="R529" s="21">
        <f t="array" ref="R529">IFERROR(INDEX(Load_Booking_Report!C:C, MATCH(TRUE, ISNUMBER(FIND(SUBSTITUTE(C529," ",""), Load_Booking_Report!AL:AL)), 0)), "Not Found")</f>
        <v/>
      </c>
      <c r="S529" s="21">
        <f t="array" ref="S529">IFERROR(INDEX(Load_Booking_Report!AG:AG, MATCH(TRUE, ISNUMBER(FIND(SUBSTITUTE(C529," ",""), Load_Booking_Report!AL:AL)), 0)), "Not Found")</f>
        <v/>
      </c>
      <c r="T529" s="21">
        <f>G529</f>
        <v/>
      </c>
      <c r="U529" s="33">
        <f t="array" ref="U529">IFERROR(
   IF(
      INDEX(Load_Booking_Report!AM:AM,
             MATCH(TRUE,
                     ISNUMBER(FIND(SUBSTITUTE(C529," ",""),
                                    Load_Booking_Report!AL:AL)),
                     0)
      )=0,
      "",
      INDEX(Load_Booking_Report!AM:AM,
             MATCH(TRUE,
                     ISNUMBER(FIND(SUBSTITUTE(C529," ",""),
                                    Load_Booking_Report!AL:AL)),
                     0)
      )
   ),
   ""
)</f>
        <v/>
      </c>
      <c r="V529" s="21">
        <f t="array" ref="V529">IFERROR(
   IF(
      INDEX(Load_Booking_Report!AR:AR,
             MATCH(TRUE,
                     ISNUMBER(FIND(SUBSTITUTE(C529," ",""),
                                    Load_Booking_Report!AL:AL)),
                     0)
      )=0,
      "",
      INDEX(Load_Booking_Report!AR:AR,
             MATCH(TRUE,
                     ISNUMBER(FIND(SUBSTITUTE(C529," ",""),
                                    Load_Booking_Report!AL:AL)),
                     0)
      )
   ),
   ""
)</f>
        <v/>
      </c>
      <c r="W529" s="21">
        <f t="array" ref="W529">IFERROR(INDEX(Load_Booking_Report!F:F, MATCH(TRUE, ISNUMBER(FIND(SUBSTITUTE(C529," ",""), Load_Booking_Report!AL:AL)), 0)), "Not Found")</f>
        <v/>
      </c>
      <c r="X529" s="21">
        <f t="array" ref="X529">IFERROR(INDEX(Load_Booking_Report!N:N, MATCH(TRUE, ISNUMBER(FIND(SUBSTITUTE(C529," ",""), Load_Booking_Report!AL:AL)), 0)), "Not Found")</f>
        <v/>
      </c>
      <c r="Y529" s="21">
        <f t="array" ref="Y529">IFERROR(INDEX(Load_Booking_Report!V:V, MATCH(TRUE, ISNUMBER(FIND(SUBSTITUTE(C529," ",""), Load_Booking_Report!AL:AL)), 0)), "Not Found")</f>
        <v/>
      </c>
      <c r="Z529" s="41">
        <f t="array" ref="Z529">IFERROR(INDEX(Load_Booking_Report!BC:BC, MATCH(TRUE, ISNUMBER(FIND(SUBSTITUTE(C529," ",""), Load_Booking_Report!AL:AL)), 0)), "Not Found")</f>
        <v/>
      </c>
    </row>
    <row r="530">
      <c r="A530" t="n">
        <v>33</v>
      </c>
      <c r="B530" t="n">
        <v>330104</v>
      </c>
      <c r="C530" t="inlineStr">
        <is>
          <t>ANON0000000</t>
        </is>
      </c>
      <c r="D530" t="n">
        <v>20</v>
      </c>
      <c r="E530" t="inlineStr">
        <is>
          <t>USNYC</t>
        </is>
      </c>
      <c r="F530" t="inlineStr">
        <is>
          <t>RULED</t>
        </is>
      </c>
      <c r="G530" t="n">
        <v>27000</v>
      </c>
      <c r="H530" t="inlineStr">
        <is>
          <t>MCL</t>
        </is>
      </c>
      <c r="I530" t="inlineStr">
        <is>
          <t>22G1</t>
        </is>
      </c>
      <c r="L530" t="inlineStr">
        <is>
          <t>8'6</t>
        </is>
      </c>
      <c r="M530" t="inlineStr">
        <is>
          <t>Full</t>
        </is>
      </c>
      <c r="N530" t="inlineStr">
        <is>
          <t>RULED</t>
        </is>
      </c>
      <c r="P530" s="21">
        <f>C530</f>
        <v/>
      </c>
      <c r="Q530" s="21">
        <f t="array" ref="Q530">IFERROR(INDEX(Load_Booking_Report!AC:AC, MATCH(TRUE, ISNUMBER(FIND(SUBSTITUTE(C530," ",""), Load_Booking_Report!AL:AL)), 0)), "Not Found")</f>
        <v/>
      </c>
      <c r="R530" s="21">
        <f t="array" ref="R530">IFERROR(INDEX(Load_Booking_Report!C:C, MATCH(TRUE, ISNUMBER(FIND(SUBSTITUTE(C530," ",""), Load_Booking_Report!AL:AL)), 0)), "Not Found")</f>
        <v/>
      </c>
      <c r="S530" s="21">
        <f t="array" ref="S530">IFERROR(INDEX(Load_Booking_Report!AG:AG, MATCH(TRUE, ISNUMBER(FIND(SUBSTITUTE(C530," ",""), Load_Booking_Report!AL:AL)), 0)), "Not Found")</f>
        <v/>
      </c>
      <c r="T530" s="21">
        <f>G530</f>
        <v/>
      </c>
      <c r="U530" s="33">
        <f t="array" ref="U530">IFERROR(
   IF(
      INDEX(Load_Booking_Report!AM:AM,
             MATCH(TRUE,
                     ISNUMBER(FIND(SUBSTITUTE(C530," ",""),
                                    Load_Booking_Report!AL:AL)),
                     0)
      )=0,
      "",
      INDEX(Load_Booking_Report!AM:AM,
             MATCH(TRUE,
                     ISNUMBER(FIND(SUBSTITUTE(C530," ",""),
                                    Load_Booking_Report!AL:AL)),
                     0)
      )
   ),
   ""
)</f>
        <v/>
      </c>
      <c r="V530" s="21">
        <f t="array" ref="V530">IFERROR(
   IF(
      INDEX(Load_Booking_Report!AR:AR,
             MATCH(TRUE,
                     ISNUMBER(FIND(SUBSTITUTE(C530," ",""),
                                    Load_Booking_Report!AL:AL)),
                     0)
      )=0,
      "",
      INDEX(Load_Booking_Report!AR:AR,
             MATCH(TRUE,
                     ISNUMBER(FIND(SUBSTITUTE(C530," ",""),
                                    Load_Booking_Report!AL:AL)),
                     0)
      )
   ),
   ""
)</f>
        <v/>
      </c>
      <c r="W530" s="21">
        <f t="array" ref="W530">IFERROR(INDEX(Load_Booking_Report!F:F, MATCH(TRUE, ISNUMBER(FIND(SUBSTITUTE(C530," ",""), Load_Booking_Report!AL:AL)), 0)), "Not Found")</f>
        <v/>
      </c>
      <c r="X530" s="21">
        <f t="array" ref="X530">IFERROR(INDEX(Load_Booking_Report!N:N, MATCH(TRUE, ISNUMBER(FIND(SUBSTITUTE(C530," ",""), Load_Booking_Report!AL:AL)), 0)), "Not Found")</f>
        <v/>
      </c>
      <c r="Y530" s="21">
        <f t="array" ref="Y530">IFERROR(INDEX(Load_Booking_Report!V:V, MATCH(TRUE, ISNUMBER(FIND(SUBSTITUTE(C530," ",""), Load_Booking_Report!AL:AL)), 0)), "Not Found")</f>
        <v/>
      </c>
      <c r="Z530" s="41">
        <f t="array" ref="Z530">IFERROR(INDEX(Load_Booking_Report!BC:BC, MATCH(TRUE, ISNUMBER(FIND(SUBSTITUTE(C530," ",""), Load_Booking_Report!AL:AL)), 0)), "Not Found")</f>
        <v/>
      </c>
    </row>
    <row r="531">
      <c r="A531" t="n">
        <v>11</v>
      </c>
      <c r="B531" t="n">
        <v>110302</v>
      </c>
      <c r="C531" t="inlineStr">
        <is>
          <t>ANON0000000</t>
        </is>
      </c>
      <c r="D531" t="n">
        <v>20</v>
      </c>
      <c r="E531" t="inlineStr">
        <is>
          <t>USNFK</t>
        </is>
      </c>
      <c r="F531" t="inlineStr">
        <is>
          <t>RULED</t>
        </is>
      </c>
      <c r="G531" t="n">
        <v>21320</v>
      </c>
      <c r="H531" t="inlineStr">
        <is>
          <t>MCL</t>
        </is>
      </c>
      <c r="I531" t="inlineStr">
        <is>
          <t>22G1</t>
        </is>
      </c>
      <c r="L531" t="inlineStr">
        <is>
          <t>OOG</t>
        </is>
      </c>
      <c r="M531" t="inlineStr">
        <is>
          <t>Full</t>
        </is>
      </c>
      <c r="N531" t="inlineStr">
        <is>
          <t>RULED</t>
        </is>
      </c>
      <c r="P531" s="21">
        <f>C531</f>
        <v/>
      </c>
      <c r="Q531" s="21">
        <f t="array" ref="Q531">IFERROR(INDEX(Load_Booking_Report!AC:AC, MATCH(TRUE, ISNUMBER(FIND(SUBSTITUTE(C531," ",""), Load_Booking_Report!AL:AL)), 0)), "Not Found")</f>
        <v/>
      </c>
      <c r="R531" s="21">
        <f t="array" ref="R531">IFERROR(INDEX(Load_Booking_Report!C:C, MATCH(TRUE, ISNUMBER(FIND(SUBSTITUTE(C531," ",""), Load_Booking_Report!AL:AL)), 0)), "Not Found")</f>
        <v/>
      </c>
      <c r="S531" s="21">
        <f t="array" ref="S531">IFERROR(INDEX(Load_Booking_Report!AG:AG, MATCH(TRUE, ISNUMBER(FIND(SUBSTITUTE(C531," ",""), Load_Booking_Report!AL:AL)), 0)), "Not Found")</f>
        <v/>
      </c>
      <c r="T531" s="21">
        <f>G531</f>
        <v/>
      </c>
      <c r="U531" s="33">
        <f t="array" ref="U531">IFERROR(
   IF(
      INDEX(Load_Booking_Report!AM:AM,
             MATCH(TRUE,
                     ISNUMBER(FIND(SUBSTITUTE(C531," ",""),
                                    Load_Booking_Report!AL:AL)),
                     0)
      )=0,
      "",
      INDEX(Load_Booking_Report!AM:AM,
             MATCH(TRUE,
                     ISNUMBER(FIND(SUBSTITUTE(C531," ",""),
                                    Load_Booking_Report!AL:AL)),
                     0)
      )
   ),
   ""
)</f>
        <v/>
      </c>
      <c r="V531" s="21">
        <f t="array" ref="V531">IFERROR(
   IF(
      INDEX(Load_Booking_Report!AR:AR,
             MATCH(TRUE,
                     ISNUMBER(FIND(SUBSTITUTE(C531," ",""),
                                    Load_Booking_Report!AL:AL)),
                     0)
      )=0,
      "",
      INDEX(Load_Booking_Report!AR:AR,
             MATCH(TRUE,
                     ISNUMBER(FIND(SUBSTITUTE(C531," ",""),
                                    Load_Booking_Report!AL:AL)),
                     0)
      )
   ),
   ""
)</f>
        <v/>
      </c>
      <c r="W531" s="21">
        <f t="array" ref="W531">IFERROR(INDEX(Load_Booking_Report!F:F, MATCH(TRUE, ISNUMBER(FIND(SUBSTITUTE(C531," ",""), Load_Booking_Report!AL:AL)), 0)), "Not Found")</f>
        <v/>
      </c>
      <c r="X531" s="21">
        <f t="array" ref="X531">IFERROR(INDEX(Load_Booking_Report!N:N, MATCH(TRUE, ISNUMBER(FIND(SUBSTITUTE(C531," ",""), Load_Booking_Report!AL:AL)), 0)), "Not Found")</f>
        <v/>
      </c>
      <c r="Y531" s="21">
        <f t="array" ref="Y531">IFERROR(INDEX(Load_Booking_Report!V:V, MATCH(TRUE, ISNUMBER(FIND(SUBSTITUTE(C531," ",""), Load_Booking_Report!AL:AL)), 0)), "Not Found")</f>
        <v/>
      </c>
      <c r="Z531" s="41">
        <f t="array" ref="Z531">IFERROR(INDEX(Load_Booking_Report!BC:BC, MATCH(TRUE, ISNUMBER(FIND(SUBSTITUTE(C531," ",""), Load_Booking_Report!AL:AL)), 0)), "Not Found")</f>
        <v/>
      </c>
    </row>
    <row r="532">
      <c r="A532" t="n">
        <v>13</v>
      </c>
      <c r="B532" t="n">
        <v>130202</v>
      </c>
      <c r="C532" t="inlineStr">
        <is>
          <t>ANON0000000</t>
        </is>
      </c>
      <c r="D532" t="n">
        <v>20</v>
      </c>
      <c r="E532" t="inlineStr">
        <is>
          <t>USNFK</t>
        </is>
      </c>
      <c r="F532" t="inlineStr">
        <is>
          <t>RULED</t>
        </is>
      </c>
      <c r="G532" t="n">
        <v>26330</v>
      </c>
      <c r="H532" t="inlineStr">
        <is>
          <t>MCL</t>
        </is>
      </c>
      <c r="I532" t="inlineStr">
        <is>
          <t>22G1</t>
        </is>
      </c>
      <c r="L532" t="inlineStr">
        <is>
          <t>OOG</t>
        </is>
      </c>
      <c r="M532" t="inlineStr">
        <is>
          <t>Full</t>
        </is>
      </c>
      <c r="N532" t="inlineStr">
        <is>
          <t>RULED</t>
        </is>
      </c>
      <c r="P532" s="21">
        <f>C532</f>
        <v/>
      </c>
      <c r="Q532" s="21">
        <f t="array" ref="Q532">IFERROR(INDEX(Load_Booking_Report!AC:AC, MATCH(TRUE, ISNUMBER(FIND(SUBSTITUTE(C532," ",""), Load_Booking_Report!AL:AL)), 0)), "Not Found")</f>
        <v/>
      </c>
      <c r="R532" s="21">
        <f t="array" ref="R532">IFERROR(INDEX(Load_Booking_Report!C:C, MATCH(TRUE, ISNUMBER(FIND(SUBSTITUTE(C532," ",""), Load_Booking_Report!AL:AL)), 0)), "Not Found")</f>
        <v/>
      </c>
      <c r="S532" s="21">
        <f t="array" ref="S532">IFERROR(INDEX(Load_Booking_Report!AG:AG, MATCH(TRUE, ISNUMBER(FIND(SUBSTITUTE(C532," ",""), Load_Booking_Report!AL:AL)), 0)), "Not Found")</f>
        <v/>
      </c>
      <c r="T532" s="21">
        <f>G532</f>
        <v/>
      </c>
      <c r="U532" s="33">
        <f t="array" ref="U532">IFERROR(
   IF(
      INDEX(Load_Booking_Report!AM:AM,
             MATCH(TRUE,
                     ISNUMBER(FIND(SUBSTITUTE(C532," ",""),
                                    Load_Booking_Report!AL:AL)),
                     0)
      )=0,
      "",
      INDEX(Load_Booking_Report!AM:AM,
             MATCH(TRUE,
                     ISNUMBER(FIND(SUBSTITUTE(C532," ",""),
                                    Load_Booking_Report!AL:AL)),
                     0)
      )
   ),
   ""
)</f>
        <v/>
      </c>
      <c r="V532" s="21">
        <f t="array" ref="V532">IFERROR(
   IF(
      INDEX(Load_Booking_Report!AR:AR,
             MATCH(TRUE,
                     ISNUMBER(FIND(SUBSTITUTE(C532," ",""),
                                    Load_Booking_Report!AL:AL)),
                     0)
      )=0,
      "",
      INDEX(Load_Booking_Report!AR:AR,
             MATCH(TRUE,
                     ISNUMBER(FIND(SUBSTITUTE(C532," ",""),
                                    Load_Booking_Report!AL:AL)),
                     0)
      )
   ),
   ""
)</f>
        <v/>
      </c>
      <c r="W532" s="21">
        <f t="array" ref="W532">IFERROR(INDEX(Load_Booking_Report!F:F, MATCH(TRUE, ISNUMBER(FIND(SUBSTITUTE(C532," ",""), Load_Booking_Report!AL:AL)), 0)), "Not Found")</f>
        <v/>
      </c>
      <c r="X532" s="21">
        <f t="array" ref="X532">IFERROR(INDEX(Load_Booking_Report!N:N, MATCH(TRUE, ISNUMBER(FIND(SUBSTITUTE(C532," ",""), Load_Booking_Report!AL:AL)), 0)), "Not Found")</f>
        <v/>
      </c>
      <c r="Y532" s="21">
        <f t="array" ref="Y532">IFERROR(INDEX(Load_Booking_Report!V:V, MATCH(TRUE, ISNUMBER(FIND(SUBSTITUTE(C532," ",""), Load_Booking_Report!AL:AL)), 0)), "Not Found")</f>
        <v/>
      </c>
      <c r="Z532" s="41">
        <f t="array" ref="Z532">IFERROR(INDEX(Load_Booking_Report!BC:BC, MATCH(TRUE, ISNUMBER(FIND(SUBSTITUTE(C532," ",""), Load_Booking_Report!AL:AL)), 0)), "Not Found")</f>
        <v/>
      </c>
    </row>
    <row r="533">
      <c r="A533" t="n">
        <v>15</v>
      </c>
      <c r="B533" t="n">
        <v>150302</v>
      </c>
      <c r="C533" t="inlineStr">
        <is>
          <t>ANON0000000</t>
        </is>
      </c>
      <c r="D533" t="n">
        <v>20</v>
      </c>
      <c r="E533" t="inlineStr">
        <is>
          <t>USNFK</t>
        </is>
      </c>
      <c r="F533" t="inlineStr">
        <is>
          <t>RULED</t>
        </is>
      </c>
      <c r="G533" t="n">
        <v>26530</v>
      </c>
      <c r="H533" t="inlineStr">
        <is>
          <t>MCL</t>
        </is>
      </c>
      <c r="I533" t="inlineStr">
        <is>
          <t>22G1</t>
        </is>
      </c>
      <c r="L533" t="inlineStr">
        <is>
          <t>OOG</t>
        </is>
      </c>
      <c r="M533" t="inlineStr">
        <is>
          <t>Full</t>
        </is>
      </c>
      <c r="N533" t="inlineStr">
        <is>
          <t>RULED</t>
        </is>
      </c>
      <c r="P533" s="21">
        <f>C533</f>
        <v/>
      </c>
      <c r="Q533" s="21">
        <f t="array" ref="Q533">IFERROR(INDEX(Load_Booking_Report!AC:AC, MATCH(TRUE, ISNUMBER(FIND(SUBSTITUTE(C533," ",""), Load_Booking_Report!AL:AL)), 0)), "Not Found")</f>
        <v/>
      </c>
      <c r="R533" s="21">
        <f t="array" ref="R533">IFERROR(INDEX(Load_Booking_Report!C:C, MATCH(TRUE, ISNUMBER(FIND(SUBSTITUTE(C533," ",""), Load_Booking_Report!AL:AL)), 0)), "Not Found")</f>
        <v/>
      </c>
      <c r="S533" s="21">
        <f t="array" ref="S533">IFERROR(INDEX(Load_Booking_Report!AG:AG, MATCH(TRUE, ISNUMBER(FIND(SUBSTITUTE(C533," ",""), Load_Booking_Report!AL:AL)), 0)), "Not Found")</f>
        <v/>
      </c>
      <c r="T533" s="21">
        <f>G533</f>
        <v/>
      </c>
      <c r="U533" s="33">
        <f t="array" ref="U533">IFERROR(
   IF(
      INDEX(Load_Booking_Report!AM:AM,
             MATCH(TRUE,
                     ISNUMBER(FIND(SUBSTITUTE(C533," ",""),
                                    Load_Booking_Report!AL:AL)),
                     0)
      )=0,
      "",
      INDEX(Load_Booking_Report!AM:AM,
             MATCH(TRUE,
                     ISNUMBER(FIND(SUBSTITUTE(C533," ",""),
                                    Load_Booking_Report!AL:AL)),
                     0)
      )
   ),
   ""
)</f>
        <v/>
      </c>
      <c r="V533" s="21">
        <f t="array" ref="V533">IFERROR(
   IF(
      INDEX(Load_Booking_Report!AR:AR,
             MATCH(TRUE,
                     ISNUMBER(FIND(SUBSTITUTE(C533," ",""),
                                    Load_Booking_Report!AL:AL)),
                     0)
      )=0,
      "",
      INDEX(Load_Booking_Report!AR:AR,
             MATCH(TRUE,
                     ISNUMBER(FIND(SUBSTITUTE(C533," ",""),
                                    Load_Booking_Report!AL:AL)),
                     0)
      )
   ),
   ""
)</f>
        <v/>
      </c>
      <c r="W533" s="21">
        <f t="array" ref="W533">IFERROR(INDEX(Load_Booking_Report!F:F, MATCH(TRUE, ISNUMBER(FIND(SUBSTITUTE(C533," ",""), Load_Booking_Report!AL:AL)), 0)), "Not Found")</f>
        <v/>
      </c>
      <c r="X533" s="21">
        <f t="array" ref="X533">IFERROR(INDEX(Load_Booking_Report!N:N, MATCH(TRUE, ISNUMBER(FIND(SUBSTITUTE(C533," ",""), Load_Booking_Report!AL:AL)), 0)), "Not Found")</f>
        <v/>
      </c>
      <c r="Y533" s="21">
        <f t="array" ref="Y533">IFERROR(INDEX(Load_Booking_Report!V:V, MATCH(TRUE, ISNUMBER(FIND(SUBSTITUTE(C533," ",""), Load_Booking_Report!AL:AL)), 0)), "Not Found")</f>
        <v/>
      </c>
      <c r="Z533" s="41">
        <f t="array" ref="Z533">IFERROR(INDEX(Load_Booking_Report!BC:BC, MATCH(TRUE, ISNUMBER(FIND(SUBSTITUTE(C533," ",""), Load_Booking_Report!AL:AL)), 0)), "Not Found")</f>
        <v/>
      </c>
    </row>
    <row r="534">
      <c r="A534" t="n">
        <v>25</v>
      </c>
      <c r="B534" t="n">
        <v>250202</v>
      </c>
      <c r="C534" t="inlineStr">
        <is>
          <t>ANON0000000</t>
        </is>
      </c>
      <c r="D534" t="n">
        <v>20</v>
      </c>
      <c r="E534" t="inlineStr">
        <is>
          <t>USNYC</t>
        </is>
      </c>
      <c r="F534" t="inlineStr">
        <is>
          <t>RULED</t>
        </is>
      </c>
      <c r="G534" t="n">
        <v>26910</v>
      </c>
      <c r="H534" t="inlineStr">
        <is>
          <t>MCL</t>
        </is>
      </c>
      <c r="I534" t="inlineStr">
        <is>
          <t>22G1</t>
        </is>
      </c>
      <c r="L534" t="inlineStr">
        <is>
          <t>8'6</t>
        </is>
      </c>
      <c r="M534" t="inlineStr">
        <is>
          <t>Full</t>
        </is>
      </c>
      <c r="N534" t="inlineStr">
        <is>
          <t>RULED</t>
        </is>
      </c>
      <c r="P534" s="21">
        <f>C534</f>
        <v/>
      </c>
      <c r="Q534" s="21">
        <f t="array" ref="Q534">IFERROR(INDEX(Load_Booking_Report!AC:AC, MATCH(TRUE, ISNUMBER(FIND(SUBSTITUTE(C534," ",""), Load_Booking_Report!AL:AL)), 0)), "Not Found")</f>
        <v/>
      </c>
      <c r="R534" s="21">
        <f t="array" ref="R534">IFERROR(INDEX(Load_Booking_Report!C:C, MATCH(TRUE, ISNUMBER(FIND(SUBSTITUTE(C534," ",""), Load_Booking_Report!AL:AL)), 0)), "Not Found")</f>
        <v/>
      </c>
      <c r="S534" s="21">
        <f t="array" ref="S534">IFERROR(INDEX(Load_Booking_Report!AG:AG, MATCH(TRUE, ISNUMBER(FIND(SUBSTITUTE(C534," ",""), Load_Booking_Report!AL:AL)), 0)), "Not Found")</f>
        <v/>
      </c>
      <c r="T534" s="21">
        <f>G534</f>
        <v/>
      </c>
      <c r="U534" s="33">
        <f t="array" ref="U534">IFERROR(
   IF(
      INDEX(Load_Booking_Report!AM:AM,
             MATCH(TRUE,
                     ISNUMBER(FIND(SUBSTITUTE(C534," ",""),
                                    Load_Booking_Report!AL:AL)),
                     0)
      )=0,
      "",
      INDEX(Load_Booking_Report!AM:AM,
             MATCH(TRUE,
                     ISNUMBER(FIND(SUBSTITUTE(C534," ",""),
                                    Load_Booking_Report!AL:AL)),
                     0)
      )
   ),
   ""
)</f>
        <v/>
      </c>
      <c r="V534" s="21">
        <f t="array" ref="V534">IFERROR(
   IF(
      INDEX(Load_Booking_Report!AR:AR,
             MATCH(TRUE,
                     ISNUMBER(FIND(SUBSTITUTE(C534," ",""),
                                    Load_Booking_Report!AL:AL)),
                     0)
      )=0,
      "",
      INDEX(Load_Booking_Report!AR:AR,
             MATCH(TRUE,
                     ISNUMBER(FIND(SUBSTITUTE(C534," ",""),
                                    Load_Booking_Report!AL:AL)),
                     0)
      )
   ),
   ""
)</f>
        <v/>
      </c>
      <c r="W534" s="21">
        <f t="array" ref="W534">IFERROR(INDEX(Load_Booking_Report!F:F, MATCH(TRUE, ISNUMBER(FIND(SUBSTITUTE(C534," ",""), Load_Booking_Report!AL:AL)), 0)), "Not Found")</f>
        <v/>
      </c>
      <c r="X534" s="21">
        <f t="array" ref="X534">IFERROR(INDEX(Load_Booking_Report!N:N, MATCH(TRUE, ISNUMBER(FIND(SUBSTITUTE(C534," ",""), Load_Booking_Report!AL:AL)), 0)), "Not Found")</f>
        <v/>
      </c>
      <c r="Y534" s="21">
        <f t="array" ref="Y534">IFERROR(INDEX(Load_Booking_Report!V:V, MATCH(TRUE, ISNUMBER(FIND(SUBSTITUTE(C534," ",""), Load_Booking_Report!AL:AL)), 0)), "Not Found")</f>
        <v/>
      </c>
      <c r="Z534" s="41">
        <f t="array" ref="Z534">IFERROR(INDEX(Load_Booking_Report!BC:BC, MATCH(TRUE, ISNUMBER(FIND(SUBSTITUTE(C534," ",""), Load_Booking_Report!AL:AL)), 0)), "Not Found")</f>
        <v/>
      </c>
    </row>
    <row r="535">
      <c r="A535" t="n">
        <v>27</v>
      </c>
      <c r="B535" t="n">
        <v>270102</v>
      </c>
      <c r="C535" t="inlineStr">
        <is>
          <t>ANON0000000</t>
        </is>
      </c>
      <c r="D535" t="n">
        <v>20</v>
      </c>
      <c r="E535" t="inlineStr">
        <is>
          <t>USNYC</t>
        </is>
      </c>
      <c r="F535" t="inlineStr">
        <is>
          <t>RULED</t>
        </is>
      </c>
      <c r="G535" t="n">
        <v>27100</v>
      </c>
      <c r="H535" t="inlineStr">
        <is>
          <t>MCL</t>
        </is>
      </c>
      <c r="I535" t="inlineStr">
        <is>
          <t>22G1</t>
        </is>
      </c>
      <c r="L535" t="inlineStr">
        <is>
          <t>8'6</t>
        </is>
      </c>
      <c r="M535" t="inlineStr">
        <is>
          <t>Full</t>
        </is>
      </c>
      <c r="N535" t="inlineStr">
        <is>
          <t>RULED</t>
        </is>
      </c>
      <c r="P535" s="21">
        <f>C535</f>
        <v/>
      </c>
      <c r="Q535" s="21">
        <f t="array" ref="Q535">IFERROR(INDEX(Load_Booking_Report!AC:AC, MATCH(TRUE, ISNUMBER(FIND(SUBSTITUTE(C535," ",""), Load_Booking_Report!AL:AL)), 0)), "Not Found")</f>
        <v/>
      </c>
      <c r="R535" s="21">
        <f t="array" ref="R535">IFERROR(INDEX(Load_Booking_Report!C:C, MATCH(TRUE, ISNUMBER(FIND(SUBSTITUTE(C535," ",""), Load_Booking_Report!AL:AL)), 0)), "Not Found")</f>
        <v/>
      </c>
      <c r="S535" s="21">
        <f t="array" ref="S535">IFERROR(INDEX(Load_Booking_Report!AG:AG, MATCH(TRUE, ISNUMBER(FIND(SUBSTITUTE(C535," ",""), Load_Booking_Report!AL:AL)), 0)), "Not Found")</f>
        <v/>
      </c>
      <c r="T535" s="21">
        <f>G535</f>
        <v/>
      </c>
      <c r="U535" s="33">
        <f t="array" ref="U535">IFERROR(
   IF(
      INDEX(Load_Booking_Report!AM:AM,
             MATCH(TRUE,
                     ISNUMBER(FIND(SUBSTITUTE(C535," ",""),
                                    Load_Booking_Report!AL:AL)),
                     0)
      )=0,
      "",
      INDEX(Load_Booking_Report!AM:AM,
             MATCH(TRUE,
                     ISNUMBER(FIND(SUBSTITUTE(C535," ",""),
                                    Load_Booking_Report!AL:AL)),
                     0)
      )
   ),
   ""
)</f>
        <v/>
      </c>
      <c r="V535" s="21">
        <f t="array" ref="V535">IFERROR(
   IF(
      INDEX(Load_Booking_Report!AR:AR,
             MATCH(TRUE,
                     ISNUMBER(FIND(SUBSTITUTE(C535," ",""),
                                    Load_Booking_Report!AL:AL)),
                     0)
      )=0,
      "",
      INDEX(Load_Booking_Report!AR:AR,
             MATCH(TRUE,
                     ISNUMBER(FIND(SUBSTITUTE(C535," ",""),
                                    Load_Booking_Report!AL:AL)),
                     0)
      )
   ),
   ""
)</f>
        <v/>
      </c>
      <c r="W535" s="21">
        <f t="array" ref="W535">IFERROR(INDEX(Load_Booking_Report!F:F, MATCH(TRUE, ISNUMBER(FIND(SUBSTITUTE(C535," ",""), Load_Booking_Report!AL:AL)), 0)), "Not Found")</f>
        <v/>
      </c>
      <c r="X535" s="21">
        <f t="array" ref="X535">IFERROR(INDEX(Load_Booking_Report!N:N, MATCH(TRUE, ISNUMBER(FIND(SUBSTITUTE(C535," ",""), Load_Booking_Report!AL:AL)), 0)), "Not Found")</f>
        <v/>
      </c>
      <c r="Y535" s="21">
        <f t="array" ref="Y535">IFERROR(INDEX(Load_Booking_Report!V:V, MATCH(TRUE, ISNUMBER(FIND(SUBSTITUTE(C535," ",""), Load_Booking_Report!AL:AL)), 0)), "Not Found")</f>
        <v/>
      </c>
      <c r="Z535" s="41">
        <f t="array" ref="Z535">IFERROR(INDEX(Load_Booking_Report!BC:BC, MATCH(TRUE, ISNUMBER(FIND(SUBSTITUTE(C535," ",""), Load_Booking_Report!AL:AL)), 0)), "Not Found")</f>
        <v/>
      </c>
    </row>
    <row r="536">
      <c r="A536" t="n">
        <v>9</v>
      </c>
      <c r="B536" t="n">
        <v>90104</v>
      </c>
      <c r="C536" t="inlineStr">
        <is>
          <t>ANON0000000</t>
        </is>
      </c>
      <c r="D536" t="n">
        <v>20</v>
      </c>
      <c r="E536" t="inlineStr">
        <is>
          <t>USNFK</t>
        </is>
      </c>
      <c r="F536" t="inlineStr">
        <is>
          <t>RULED</t>
        </is>
      </c>
      <c r="G536" t="n">
        <v>26340</v>
      </c>
      <c r="H536" t="inlineStr">
        <is>
          <t>MCL</t>
        </is>
      </c>
      <c r="I536" t="inlineStr">
        <is>
          <t>22G1</t>
        </is>
      </c>
      <c r="L536" t="inlineStr">
        <is>
          <t>8'6</t>
        </is>
      </c>
      <c r="M536" t="inlineStr">
        <is>
          <t>Full</t>
        </is>
      </c>
      <c r="N536" t="inlineStr">
        <is>
          <t>RULED</t>
        </is>
      </c>
      <c r="P536" s="21">
        <f>C536</f>
        <v/>
      </c>
      <c r="Q536" s="21">
        <f t="array" ref="Q536">IFERROR(INDEX(Load_Booking_Report!AC:AC, MATCH(TRUE, ISNUMBER(FIND(SUBSTITUTE(C536," ",""), Load_Booking_Report!AL:AL)), 0)), "Not Found")</f>
        <v/>
      </c>
      <c r="R536" s="21">
        <f t="array" ref="R536">IFERROR(INDEX(Load_Booking_Report!C:C, MATCH(TRUE, ISNUMBER(FIND(SUBSTITUTE(C536," ",""), Load_Booking_Report!AL:AL)), 0)), "Not Found")</f>
        <v/>
      </c>
      <c r="S536" s="21">
        <f t="array" ref="S536">IFERROR(INDEX(Load_Booking_Report!AG:AG, MATCH(TRUE, ISNUMBER(FIND(SUBSTITUTE(C536," ",""), Load_Booking_Report!AL:AL)), 0)), "Not Found")</f>
        <v/>
      </c>
      <c r="T536" s="21">
        <f>G536</f>
        <v/>
      </c>
      <c r="U536" s="33">
        <f t="array" ref="U536">IFERROR(
   IF(
      INDEX(Load_Booking_Report!AM:AM,
             MATCH(TRUE,
                     ISNUMBER(FIND(SUBSTITUTE(C536," ",""),
                                    Load_Booking_Report!AL:AL)),
                     0)
      )=0,
      "",
      INDEX(Load_Booking_Report!AM:AM,
             MATCH(TRUE,
                     ISNUMBER(FIND(SUBSTITUTE(C536," ",""),
                                    Load_Booking_Report!AL:AL)),
                     0)
      )
   ),
   ""
)</f>
        <v/>
      </c>
      <c r="V536" s="21">
        <f t="array" ref="V536">IFERROR(
   IF(
      INDEX(Load_Booking_Report!AR:AR,
             MATCH(TRUE,
                     ISNUMBER(FIND(SUBSTITUTE(C536," ",""),
                                    Load_Booking_Report!AL:AL)),
                     0)
      )=0,
      "",
      INDEX(Load_Booking_Report!AR:AR,
             MATCH(TRUE,
                     ISNUMBER(FIND(SUBSTITUTE(C536," ",""),
                                    Load_Booking_Report!AL:AL)),
                     0)
      )
   ),
   ""
)</f>
        <v/>
      </c>
      <c r="W536" s="21">
        <f t="array" ref="W536">IFERROR(INDEX(Load_Booking_Report!F:F, MATCH(TRUE, ISNUMBER(FIND(SUBSTITUTE(C536," ",""), Load_Booking_Report!AL:AL)), 0)), "Not Found")</f>
        <v/>
      </c>
      <c r="X536" s="21">
        <f t="array" ref="X536">IFERROR(INDEX(Load_Booking_Report!N:N, MATCH(TRUE, ISNUMBER(FIND(SUBSTITUTE(C536," ",""), Load_Booking_Report!AL:AL)), 0)), "Not Found")</f>
        <v/>
      </c>
      <c r="Y536" s="21">
        <f t="array" ref="Y536">IFERROR(INDEX(Load_Booking_Report!V:V, MATCH(TRUE, ISNUMBER(FIND(SUBSTITUTE(C536," ",""), Load_Booking_Report!AL:AL)), 0)), "Not Found")</f>
        <v/>
      </c>
      <c r="Z536" s="41">
        <f t="array" ref="Z536">IFERROR(INDEX(Load_Booking_Report!BC:BC, MATCH(TRUE, ISNUMBER(FIND(SUBSTITUTE(C536," ",""), Load_Booking_Report!AL:AL)), 0)), "Not Found")</f>
        <v/>
      </c>
    </row>
    <row r="537">
      <c r="A537" t="n">
        <v>23</v>
      </c>
      <c r="B537" t="n">
        <v>230306</v>
      </c>
      <c r="C537" t="inlineStr">
        <is>
          <t>ANON0000000</t>
        </is>
      </c>
      <c r="D537" t="n">
        <v>20</v>
      </c>
      <c r="E537" t="inlineStr">
        <is>
          <t>USNFK</t>
        </is>
      </c>
      <c r="F537" t="inlineStr">
        <is>
          <t>RULED</t>
        </is>
      </c>
      <c r="G537" t="n">
        <v>7880</v>
      </c>
      <c r="H537" t="inlineStr">
        <is>
          <t>MCL</t>
        </is>
      </c>
      <c r="I537" t="inlineStr">
        <is>
          <t>22G1</t>
        </is>
      </c>
      <c r="L537" t="inlineStr">
        <is>
          <t>8'6</t>
        </is>
      </c>
      <c r="M537" t="inlineStr">
        <is>
          <t>Full</t>
        </is>
      </c>
      <c r="N537" t="inlineStr">
        <is>
          <t>RULED</t>
        </is>
      </c>
      <c r="P537" s="21">
        <f>C537</f>
        <v/>
      </c>
      <c r="Q537" s="21">
        <f t="array" ref="Q537">IFERROR(INDEX(Load_Booking_Report!AC:AC, MATCH(TRUE, ISNUMBER(FIND(SUBSTITUTE(C537," ",""), Load_Booking_Report!AL:AL)), 0)), "Not Found")</f>
        <v/>
      </c>
      <c r="R537" s="21">
        <f t="array" ref="R537">IFERROR(INDEX(Load_Booking_Report!C:C, MATCH(TRUE, ISNUMBER(FIND(SUBSTITUTE(C537," ",""), Load_Booking_Report!AL:AL)), 0)), "Not Found")</f>
        <v/>
      </c>
      <c r="S537" s="21">
        <f t="array" ref="S537">IFERROR(INDEX(Load_Booking_Report!AG:AG, MATCH(TRUE, ISNUMBER(FIND(SUBSTITUTE(C537," ",""), Load_Booking_Report!AL:AL)), 0)), "Not Found")</f>
        <v/>
      </c>
      <c r="T537" s="21">
        <f>G537</f>
        <v/>
      </c>
      <c r="U537" s="33">
        <f t="array" ref="U537">IFERROR(
   IF(
      INDEX(Load_Booking_Report!AM:AM,
             MATCH(TRUE,
                     ISNUMBER(FIND(SUBSTITUTE(C537," ",""),
                                    Load_Booking_Report!AL:AL)),
                     0)
      )=0,
      "",
      INDEX(Load_Booking_Report!AM:AM,
             MATCH(TRUE,
                     ISNUMBER(FIND(SUBSTITUTE(C537," ",""),
                                    Load_Booking_Report!AL:AL)),
                     0)
      )
   ),
   ""
)</f>
        <v/>
      </c>
      <c r="V537" s="21">
        <f t="array" ref="V537">IFERROR(
   IF(
      INDEX(Load_Booking_Report!AR:AR,
             MATCH(TRUE,
                     ISNUMBER(FIND(SUBSTITUTE(C537," ",""),
                                    Load_Booking_Report!AL:AL)),
                     0)
      )=0,
      "",
      INDEX(Load_Booking_Report!AR:AR,
             MATCH(TRUE,
                     ISNUMBER(FIND(SUBSTITUTE(C537," ",""),
                                    Load_Booking_Report!AL:AL)),
                     0)
      )
   ),
   ""
)</f>
        <v/>
      </c>
      <c r="W537" s="21">
        <f t="array" ref="W537">IFERROR(INDEX(Load_Booking_Report!F:F, MATCH(TRUE, ISNUMBER(FIND(SUBSTITUTE(C537," ",""), Load_Booking_Report!AL:AL)), 0)), "Not Found")</f>
        <v/>
      </c>
      <c r="X537" s="21">
        <f t="array" ref="X537">IFERROR(INDEX(Load_Booking_Report!N:N, MATCH(TRUE, ISNUMBER(FIND(SUBSTITUTE(C537," ",""), Load_Booking_Report!AL:AL)), 0)), "Not Found")</f>
        <v/>
      </c>
      <c r="Y537" s="21">
        <f t="array" ref="Y537">IFERROR(INDEX(Load_Booking_Report!V:V, MATCH(TRUE, ISNUMBER(FIND(SUBSTITUTE(C537," ",""), Load_Booking_Report!AL:AL)), 0)), "Not Found")</f>
        <v/>
      </c>
      <c r="Z537" s="41">
        <f t="array" ref="Z537">IFERROR(INDEX(Load_Booking_Report!BC:BC, MATCH(TRUE, ISNUMBER(FIND(SUBSTITUTE(C537," ",""), Load_Booking_Report!AL:AL)), 0)), "Not Found")</f>
        <v/>
      </c>
    </row>
    <row r="538">
      <c r="A538" t="n">
        <v>13</v>
      </c>
      <c r="B538" t="n">
        <v>130302</v>
      </c>
      <c r="C538" t="inlineStr">
        <is>
          <t>ANON0000000</t>
        </is>
      </c>
      <c r="D538" t="n">
        <v>20</v>
      </c>
      <c r="E538" t="inlineStr">
        <is>
          <t>USNFK</t>
        </is>
      </c>
      <c r="F538" t="inlineStr">
        <is>
          <t>RULED</t>
        </is>
      </c>
      <c r="G538" t="n">
        <v>26480</v>
      </c>
      <c r="H538" t="inlineStr">
        <is>
          <t>MCL</t>
        </is>
      </c>
      <c r="I538" t="inlineStr">
        <is>
          <t>22G1</t>
        </is>
      </c>
      <c r="L538" t="inlineStr">
        <is>
          <t>OOG</t>
        </is>
      </c>
      <c r="M538" t="inlineStr">
        <is>
          <t>Full</t>
        </is>
      </c>
      <c r="N538" t="inlineStr">
        <is>
          <t>RULED</t>
        </is>
      </c>
      <c r="P538" s="21">
        <f>C538</f>
        <v/>
      </c>
      <c r="Q538" s="21">
        <f t="array" ref="Q538">IFERROR(INDEX(Load_Booking_Report!AC:AC, MATCH(TRUE, ISNUMBER(FIND(SUBSTITUTE(C538," ",""), Load_Booking_Report!AL:AL)), 0)), "Not Found")</f>
        <v/>
      </c>
      <c r="R538" s="21">
        <f t="array" ref="R538">IFERROR(INDEX(Load_Booking_Report!C:C, MATCH(TRUE, ISNUMBER(FIND(SUBSTITUTE(C538," ",""), Load_Booking_Report!AL:AL)), 0)), "Not Found")</f>
        <v/>
      </c>
      <c r="S538" s="21">
        <f t="array" ref="S538">IFERROR(INDEX(Load_Booking_Report!AG:AG, MATCH(TRUE, ISNUMBER(FIND(SUBSTITUTE(C538," ",""), Load_Booking_Report!AL:AL)), 0)), "Not Found")</f>
        <v/>
      </c>
      <c r="T538" s="21">
        <f>G538</f>
        <v/>
      </c>
      <c r="U538" s="33">
        <f t="array" ref="U538">IFERROR(
   IF(
      INDEX(Load_Booking_Report!AM:AM,
             MATCH(TRUE,
                     ISNUMBER(FIND(SUBSTITUTE(C538," ",""),
                                    Load_Booking_Report!AL:AL)),
                     0)
      )=0,
      "",
      INDEX(Load_Booking_Report!AM:AM,
             MATCH(TRUE,
                     ISNUMBER(FIND(SUBSTITUTE(C538," ",""),
                                    Load_Booking_Report!AL:AL)),
                     0)
      )
   ),
   ""
)</f>
        <v/>
      </c>
      <c r="V538" s="21">
        <f t="array" ref="V538">IFERROR(
   IF(
      INDEX(Load_Booking_Report!AR:AR,
             MATCH(TRUE,
                     ISNUMBER(FIND(SUBSTITUTE(C538," ",""),
                                    Load_Booking_Report!AL:AL)),
                     0)
      )=0,
      "",
      INDEX(Load_Booking_Report!AR:AR,
             MATCH(TRUE,
                     ISNUMBER(FIND(SUBSTITUTE(C538," ",""),
                                    Load_Booking_Report!AL:AL)),
                     0)
      )
   ),
   ""
)</f>
        <v/>
      </c>
      <c r="W538" s="21">
        <f t="array" ref="W538">IFERROR(INDEX(Load_Booking_Report!F:F, MATCH(TRUE, ISNUMBER(FIND(SUBSTITUTE(C538," ",""), Load_Booking_Report!AL:AL)), 0)), "Not Found")</f>
        <v/>
      </c>
      <c r="X538" s="21">
        <f t="array" ref="X538">IFERROR(INDEX(Load_Booking_Report!N:N, MATCH(TRUE, ISNUMBER(FIND(SUBSTITUTE(C538," ",""), Load_Booking_Report!AL:AL)), 0)), "Not Found")</f>
        <v/>
      </c>
      <c r="Y538" s="21">
        <f t="array" ref="Y538">IFERROR(INDEX(Load_Booking_Report!V:V, MATCH(TRUE, ISNUMBER(FIND(SUBSTITUTE(C538," ",""), Load_Booking_Report!AL:AL)), 0)), "Not Found")</f>
        <v/>
      </c>
      <c r="Z538" s="41">
        <f t="array" ref="Z538">IFERROR(INDEX(Load_Booking_Report!BC:BC, MATCH(TRUE, ISNUMBER(FIND(SUBSTITUTE(C538," ",""), Load_Booking_Report!AL:AL)), 0)), "Not Found")</f>
        <v/>
      </c>
    </row>
    <row r="539">
      <c r="A539" t="n">
        <v>11</v>
      </c>
      <c r="B539" t="n">
        <v>110402</v>
      </c>
      <c r="C539" t="inlineStr">
        <is>
          <t>ANON0000000</t>
        </is>
      </c>
      <c r="D539" t="n">
        <v>20</v>
      </c>
      <c r="E539" t="inlineStr">
        <is>
          <t>USNFK</t>
        </is>
      </c>
      <c r="F539" t="inlineStr">
        <is>
          <t>RULED</t>
        </is>
      </c>
      <c r="G539" t="n">
        <v>23630</v>
      </c>
      <c r="H539" t="inlineStr">
        <is>
          <t>MCL</t>
        </is>
      </c>
      <c r="I539" t="inlineStr">
        <is>
          <t>22G1</t>
        </is>
      </c>
      <c r="L539" t="inlineStr">
        <is>
          <t>OOG</t>
        </is>
      </c>
      <c r="M539" t="inlineStr">
        <is>
          <t>Full</t>
        </is>
      </c>
      <c r="N539" t="inlineStr">
        <is>
          <t>RULED</t>
        </is>
      </c>
      <c r="P539" s="21">
        <f>C539</f>
        <v/>
      </c>
      <c r="Q539" s="21">
        <f t="array" ref="Q539">IFERROR(INDEX(Load_Booking_Report!AC:AC, MATCH(TRUE, ISNUMBER(FIND(SUBSTITUTE(C539," ",""), Load_Booking_Report!AL:AL)), 0)), "Not Found")</f>
        <v/>
      </c>
      <c r="R539" s="21">
        <f t="array" ref="R539">IFERROR(INDEX(Load_Booking_Report!C:C, MATCH(TRUE, ISNUMBER(FIND(SUBSTITUTE(C539," ",""), Load_Booking_Report!AL:AL)), 0)), "Not Found")</f>
        <v/>
      </c>
      <c r="S539" s="21">
        <f t="array" ref="S539">IFERROR(INDEX(Load_Booking_Report!AG:AG, MATCH(TRUE, ISNUMBER(FIND(SUBSTITUTE(C539," ",""), Load_Booking_Report!AL:AL)), 0)), "Not Found")</f>
        <v/>
      </c>
      <c r="T539" s="21">
        <f>G539</f>
        <v/>
      </c>
      <c r="U539" s="33">
        <f t="array" ref="U539">IFERROR(
   IF(
      INDEX(Load_Booking_Report!AM:AM,
             MATCH(TRUE,
                     ISNUMBER(FIND(SUBSTITUTE(C539," ",""),
                                    Load_Booking_Report!AL:AL)),
                     0)
      )=0,
      "",
      INDEX(Load_Booking_Report!AM:AM,
             MATCH(TRUE,
                     ISNUMBER(FIND(SUBSTITUTE(C539," ",""),
                                    Load_Booking_Report!AL:AL)),
                     0)
      )
   ),
   ""
)</f>
        <v/>
      </c>
      <c r="V539" s="21">
        <f t="array" ref="V539">IFERROR(
   IF(
      INDEX(Load_Booking_Report!AR:AR,
             MATCH(TRUE,
                     ISNUMBER(FIND(SUBSTITUTE(C539," ",""),
                                    Load_Booking_Report!AL:AL)),
                     0)
      )=0,
      "",
      INDEX(Load_Booking_Report!AR:AR,
             MATCH(TRUE,
                     ISNUMBER(FIND(SUBSTITUTE(C539," ",""),
                                    Load_Booking_Report!AL:AL)),
                     0)
      )
   ),
   ""
)</f>
        <v/>
      </c>
      <c r="W539" s="21">
        <f t="array" ref="W539">IFERROR(INDEX(Load_Booking_Report!F:F, MATCH(TRUE, ISNUMBER(FIND(SUBSTITUTE(C539," ",""), Load_Booking_Report!AL:AL)), 0)), "Not Found")</f>
        <v/>
      </c>
      <c r="X539" s="21">
        <f t="array" ref="X539">IFERROR(INDEX(Load_Booking_Report!N:N, MATCH(TRUE, ISNUMBER(FIND(SUBSTITUTE(C539," ",""), Load_Booking_Report!AL:AL)), 0)), "Not Found")</f>
        <v/>
      </c>
      <c r="Y539" s="21">
        <f t="array" ref="Y539">IFERROR(INDEX(Load_Booking_Report!V:V, MATCH(TRUE, ISNUMBER(FIND(SUBSTITUTE(C539," ",""), Load_Booking_Report!AL:AL)), 0)), "Not Found")</f>
        <v/>
      </c>
      <c r="Z539" s="41">
        <f t="array" ref="Z539">IFERROR(INDEX(Load_Booking_Report!BC:BC, MATCH(TRUE, ISNUMBER(FIND(SUBSTITUTE(C539," ",""), Load_Booking_Report!AL:AL)), 0)), "Not Found")</f>
        <v/>
      </c>
    </row>
    <row r="540">
      <c r="A540" t="n">
        <v>15</v>
      </c>
      <c r="B540" t="n">
        <v>150704</v>
      </c>
      <c r="C540" t="inlineStr">
        <is>
          <t>ANON0000000</t>
        </is>
      </c>
      <c r="D540" t="n">
        <v>20</v>
      </c>
      <c r="E540" t="inlineStr">
        <is>
          <t>USNFK</t>
        </is>
      </c>
      <c r="F540" t="inlineStr">
        <is>
          <t>RULED</t>
        </is>
      </c>
      <c r="G540" t="n">
        <v>24920</v>
      </c>
      <c r="H540" t="inlineStr">
        <is>
          <t>MCL</t>
        </is>
      </c>
      <c r="I540" t="inlineStr">
        <is>
          <t>22G1</t>
        </is>
      </c>
      <c r="L540" t="inlineStr">
        <is>
          <t>OOG</t>
        </is>
      </c>
      <c r="M540" t="inlineStr">
        <is>
          <t>Full</t>
        </is>
      </c>
      <c r="N540" t="inlineStr">
        <is>
          <t>RULED</t>
        </is>
      </c>
      <c r="P540" s="21">
        <f>C540</f>
        <v/>
      </c>
      <c r="Q540" s="21">
        <f t="array" ref="Q540">IFERROR(INDEX(Load_Booking_Report!AC:AC, MATCH(TRUE, ISNUMBER(FIND(SUBSTITUTE(C540," ",""), Load_Booking_Report!AL:AL)), 0)), "Not Found")</f>
        <v/>
      </c>
      <c r="R540" s="21">
        <f t="array" ref="R540">IFERROR(INDEX(Load_Booking_Report!C:C, MATCH(TRUE, ISNUMBER(FIND(SUBSTITUTE(C540," ",""), Load_Booking_Report!AL:AL)), 0)), "Not Found")</f>
        <v/>
      </c>
      <c r="S540" s="21">
        <f t="array" ref="S540">IFERROR(INDEX(Load_Booking_Report!AG:AG, MATCH(TRUE, ISNUMBER(FIND(SUBSTITUTE(C540," ",""), Load_Booking_Report!AL:AL)), 0)), "Not Found")</f>
        <v/>
      </c>
      <c r="T540" s="21">
        <f>G540</f>
        <v/>
      </c>
      <c r="U540" s="33">
        <f t="array" ref="U540">IFERROR(
   IF(
      INDEX(Load_Booking_Report!AM:AM,
             MATCH(TRUE,
                     ISNUMBER(FIND(SUBSTITUTE(C540," ",""),
                                    Load_Booking_Report!AL:AL)),
                     0)
      )=0,
      "",
      INDEX(Load_Booking_Report!AM:AM,
             MATCH(TRUE,
                     ISNUMBER(FIND(SUBSTITUTE(C540," ",""),
                                    Load_Booking_Report!AL:AL)),
                     0)
      )
   ),
   ""
)</f>
        <v/>
      </c>
      <c r="V540" s="21">
        <f t="array" ref="V540">IFERROR(
   IF(
      INDEX(Load_Booking_Report!AR:AR,
             MATCH(TRUE,
                     ISNUMBER(FIND(SUBSTITUTE(C540," ",""),
                                    Load_Booking_Report!AL:AL)),
                     0)
      )=0,
      "",
      INDEX(Load_Booking_Report!AR:AR,
             MATCH(TRUE,
                     ISNUMBER(FIND(SUBSTITUTE(C540," ",""),
                                    Load_Booking_Report!AL:AL)),
                     0)
      )
   ),
   ""
)</f>
        <v/>
      </c>
      <c r="W540" s="21">
        <f t="array" ref="W540">IFERROR(INDEX(Load_Booking_Report!F:F, MATCH(TRUE, ISNUMBER(FIND(SUBSTITUTE(C540," ",""), Load_Booking_Report!AL:AL)), 0)), "Not Found")</f>
        <v/>
      </c>
      <c r="X540" s="21">
        <f t="array" ref="X540">IFERROR(INDEX(Load_Booking_Report!N:N, MATCH(TRUE, ISNUMBER(FIND(SUBSTITUTE(C540," ",""), Load_Booking_Report!AL:AL)), 0)), "Not Found")</f>
        <v/>
      </c>
      <c r="Y540" s="21">
        <f t="array" ref="Y540">IFERROR(INDEX(Load_Booking_Report!V:V, MATCH(TRUE, ISNUMBER(FIND(SUBSTITUTE(C540," ",""), Load_Booking_Report!AL:AL)), 0)), "Not Found")</f>
        <v/>
      </c>
      <c r="Z540" s="41">
        <f t="array" ref="Z540">IFERROR(INDEX(Load_Booking_Report!BC:BC, MATCH(TRUE, ISNUMBER(FIND(SUBSTITUTE(C540," ",""), Load_Booking_Report!AL:AL)), 0)), "Not Found")</f>
        <v/>
      </c>
    </row>
    <row r="541">
      <c r="A541" t="n">
        <v>15</v>
      </c>
      <c r="B541" t="n">
        <v>150406</v>
      </c>
      <c r="C541" t="inlineStr">
        <is>
          <t>ANON0000000</t>
        </is>
      </c>
      <c r="D541" t="n">
        <v>20</v>
      </c>
      <c r="E541" t="inlineStr">
        <is>
          <t>USNFK</t>
        </is>
      </c>
      <c r="F541" t="inlineStr">
        <is>
          <t>RULED</t>
        </is>
      </c>
      <c r="G541" t="n">
        <v>21295</v>
      </c>
      <c r="H541" t="inlineStr">
        <is>
          <t>MCL</t>
        </is>
      </c>
      <c r="I541" t="inlineStr">
        <is>
          <t>22G1</t>
        </is>
      </c>
      <c r="L541" t="inlineStr">
        <is>
          <t>OOG</t>
        </is>
      </c>
      <c r="M541" t="inlineStr">
        <is>
          <t>Full</t>
        </is>
      </c>
      <c r="N541" t="inlineStr">
        <is>
          <t>RULED</t>
        </is>
      </c>
      <c r="P541" s="21">
        <f>C541</f>
        <v/>
      </c>
      <c r="Q541" s="21">
        <f t="array" ref="Q541">IFERROR(INDEX(Load_Booking_Report!AC:AC, MATCH(TRUE, ISNUMBER(FIND(SUBSTITUTE(C541," ",""), Load_Booking_Report!AL:AL)), 0)), "Not Found")</f>
        <v/>
      </c>
      <c r="R541" s="21">
        <f t="array" ref="R541">IFERROR(INDEX(Load_Booking_Report!C:C, MATCH(TRUE, ISNUMBER(FIND(SUBSTITUTE(C541," ",""), Load_Booking_Report!AL:AL)), 0)), "Not Found")</f>
        <v/>
      </c>
      <c r="S541" s="21">
        <f t="array" ref="S541">IFERROR(INDEX(Load_Booking_Report!AG:AG, MATCH(TRUE, ISNUMBER(FIND(SUBSTITUTE(C541," ",""), Load_Booking_Report!AL:AL)), 0)), "Not Found")</f>
        <v/>
      </c>
      <c r="T541" s="21">
        <f>G541</f>
        <v/>
      </c>
      <c r="U541" s="33">
        <f t="array" ref="U541">IFERROR(
   IF(
      INDEX(Load_Booking_Report!AM:AM,
             MATCH(TRUE,
                     ISNUMBER(FIND(SUBSTITUTE(C541," ",""),
                                    Load_Booking_Report!AL:AL)),
                     0)
      )=0,
      "",
      INDEX(Load_Booking_Report!AM:AM,
             MATCH(TRUE,
                     ISNUMBER(FIND(SUBSTITUTE(C541," ",""),
                                    Load_Booking_Report!AL:AL)),
                     0)
      )
   ),
   ""
)</f>
        <v/>
      </c>
      <c r="V541" s="21">
        <f t="array" ref="V541">IFERROR(
   IF(
      INDEX(Load_Booking_Report!AR:AR,
             MATCH(TRUE,
                     ISNUMBER(FIND(SUBSTITUTE(C541," ",""),
                                    Load_Booking_Report!AL:AL)),
                     0)
      )=0,
      "",
      INDEX(Load_Booking_Report!AR:AR,
             MATCH(TRUE,
                     ISNUMBER(FIND(SUBSTITUTE(C541," ",""),
                                    Load_Booking_Report!AL:AL)),
                     0)
      )
   ),
   ""
)</f>
        <v/>
      </c>
      <c r="W541" s="21">
        <f t="array" ref="W541">IFERROR(INDEX(Load_Booking_Report!F:F, MATCH(TRUE, ISNUMBER(FIND(SUBSTITUTE(C541," ",""), Load_Booking_Report!AL:AL)), 0)), "Not Found")</f>
        <v/>
      </c>
      <c r="X541" s="21">
        <f t="array" ref="X541">IFERROR(INDEX(Load_Booking_Report!N:N, MATCH(TRUE, ISNUMBER(FIND(SUBSTITUTE(C541," ",""), Load_Booking_Report!AL:AL)), 0)), "Not Found")</f>
        <v/>
      </c>
      <c r="Y541" s="21">
        <f t="array" ref="Y541">IFERROR(INDEX(Load_Booking_Report!V:V, MATCH(TRUE, ISNUMBER(FIND(SUBSTITUTE(C541," ",""), Load_Booking_Report!AL:AL)), 0)), "Not Found")</f>
        <v/>
      </c>
      <c r="Z541" s="41">
        <f t="array" ref="Z541">IFERROR(INDEX(Load_Booking_Report!BC:BC, MATCH(TRUE, ISNUMBER(FIND(SUBSTITUTE(C541," ",""), Load_Booking_Report!AL:AL)), 0)), "Not Found")</f>
        <v/>
      </c>
    </row>
    <row r="542">
      <c r="A542" t="n">
        <v>9</v>
      </c>
      <c r="B542" t="n">
        <v>90204</v>
      </c>
      <c r="C542" t="inlineStr">
        <is>
          <t>ANON0000000</t>
        </is>
      </c>
      <c r="D542" t="n">
        <v>20</v>
      </c>
      <c r="E542" t="inlineStr">
        <is>
          <t>USNFK</t>
        </is>
      </c>
      <c r="F542" t="inlineStr">
        <is>
          <t>RULED</t>
        </is>
      </c>
      <c r="G542" t="n">
        <v>26180</v>
      </c>
      <c r="H542" t="inlineStr">
        <is>
          <t>MCL</t>
        </is>
      </c>
      <c r="I542" t="inlineStr">
        <is>
          <t>22G1</t>
        </is>
      </c>
      <c r="L542" t="inlineStr">
        <is>
          <t>8'6</t>
        </is>
      </c>
      <c r="M542" t="inlineStr">
        <is>
          <t>Full</t>
        </is>
      </c>
      <c r="N542" t="inlineStr">
        <is>
          <t>RULED</t>
        </is>
      </c>
      <c r="P542" s="21">
        <f>C542</f>
        <v/>
      </c>
      <c r="Q542" s="21">
        <f t="array" ref="Q542">IFERROR(INDEX(Load_Booking_Report!AC:AC, MATCH(TRUE, ISNUMBER(FIND(SUBSTITUTE(C542," ",""), Load_Booking_Report!AL:AL)), 0)), "Not Found")</f>
        <v/>
      </c>
      <c r="R542" s="21">
        <f t="array" ref="R542">IFERROR(INDEX(Load_Booking_Report!C:C, MATCH(TRUE, ISNUMBER(FIND(SUBSTITUTE(C542," ",""), Load_Booking_Report!AL:AL)), 0)), "Not Found")</f>
        <v/>
      </c>
      <c r="S542" s="21">
        <f t="array" ref="S542">IFERROR(INDEX(Load_Booking_Report!AG:AG, MATCH(TRUE, ISNUMBER(FIND(SUBSTITUTE(C542," ",""), Load_Booking_Report!AL:AL)), 0)), "Not Found")</f>
        <v/>
      </c>
      <c r="T542" s="21">
        <f>G542</f>
        <v/>
      </c>
      <c r="U542" s="33">
        <f t="array" ref="U542">IFERROR(
   IF(
      INDEX(Load_Booking_Report!AM:AM,
             MATCH(TRUE,
                     ISNUMBER(FIND(SUBSTITUTE(C542," ",""),
                                    Load_Booking_Report!AL:AL)),
                     0)
      )=0,
      "",
      INDEX(Load_Booking_Report!AM:AM,
             MATCH(TRUE,
                     ISNUMBER(FIND(SUBSTITUTE(C542," ",""),
                                    Load_Booking_Report!AL:AL)),
                     0)
      )
   ),
   ""
)</f>
        <v/>
      </c>
      <c r="V542" s="21">
        <f t="array" ref="V542">IFERROR(
   IF(
      INDEX(Load_Booking_Report!AR:AR,
             MATCH(TRUE,
                     ISNUMBER(FIND(SUBSTITUTE(C542," ",""),
                                    Load_Booking_Report!AL:AL)),
                     0)
      )=0,
      "",
      INDEX(Load_Booking_Report!AR:AR,
             MATCH(TRUE,
                     ISNUMBER(FIND(SUBSTITUTE(C542," ",""),
                                    Load_Booking_Report!AL:AL)),
                     0)
      )
   ),
   ""
)</f>
        <v/>
      </c>
      <c r="W542" s="21">
        <f t="array" ref="W542">IFERROR(INDEX(Load_Booking_Report!F:F, MATCH(TRUE, ISNUMBER(FIND(SUBSTITUTE(C542," ",""), Load_Booking_Report!AL:AL)), 0)), "Not Found")</f>
        <v/>
      </c>
      <c r="X542" s="21">
        <f t="array" ref="X542">IFERROR(INDEX(Load_Booking_Report!N:N, MATCH(TRUE, ISNUMBER(FIND(SUBSTITUTE(C542," ",""), Load_Booking_Report!AL:AL)), 0)), "Not Found")</f>
        <v/>
      </c>
      <c r="Y542" s="21">
        <f t="array" ref="Y542">IFERROR(INDEX(Load_Booking_Report!V:V, MATCH(TRUE, ISNUMBER(FIND(SUBSTITUTE(C542," ",""), Load_Booking_Report!AL:AL)), 0)), "Not Found")</f>
        <v/>
      </c>
      <c r="Z542" s="41">
        <f t="array" ref="Z542">IFERROR(INDEX(Load_Booking_Report!BC:BC, MATCH(TRUE, ISNUMBER(FIND(SUBSTITUTE(C542," ",""), Load_Booking_Report!AL:AL)), 0)), "Not Found")</f>
        <v/>
      </c>
    </row>
    <row r="543">
      <c r="A543" t="n">
        <v>13</v>
      </c>
      <c r="B543" t="n">
        <v>130102</v>
      </c>
      <c r="C543" t="inlineStr">
        <is>
          <t>ANON0000000</t>
        </is>
      </c>
      <c r="D543" t="n">
        <v>20</v>
      </c>
      <c r="E543" t="inlineStr">
        <is>
          <t>USNFK</t>
        </is>
      </c>
      <c r="F543" t="inlineStr">
        <is>
          <t>RULED</t>
        </is>
      </c>
      <c r="G543" t="n">
        <v>26510</v>
      </c>
      <c r="H543" t="inlineStr">
        <is>
          <t>MCL</t>
        </is>
      </c>
      <c r="I543" t="inlineStr">
        <is>
          <t>22G1</t>
        </is>
      </c>
      <c r="L543" t="inlineStr">
        <is>
          <t>OOG</t>
        </is>
      </c>
      <c r="M543" t="inlineStr">
        <is>
          <t>Full</t>
        </is>
      </c>
      <c r="N543" t="inlineStr">
        <is>
          <t>RULED</t>
        </is>
      </c>
      <c r="P543" s="21">
        <f>C543</f>
        <v/>
      </c>
      <c r="Q543" s="21">
        <f t="array" ref="Q543">IFERROR(INDEX(Load_Booking_Report!AC:AC, MATCH(TRUE, ISNUMBER(FIND(SUBSTITUTE(C543," ",""), Load_Booking_Report!AL:AL)), 0)), "Not Found")</f>
        <v/>
      </c>
      <c r="R543" s="21">
        <f t="array" ref="R543">IFERROR(INDEX(Load_Booking_Report!C:C, MATCH(TRUE, ISNUMBER(FIND(SUBSTITUTE(C543," ",""), Load_Booking_Report!AL:AL)), 0)), "Not Found")</f>
        <v/>
      </c>
      <c r="S543" s="21">
        <f t="array" ref="S543">IFERROR(INDEX(Load_Booking_Report!AG:AG, MATCH(TRUE, ISNUMBER(FIND(SUBSTITUTE(C543," ",""), Load_Booking_Report!AL:AL)), 0)), "Not Found")</f>
        <v/>
      </c>
      <c r="T543" s="21">
        <f>G543</f>
        <v/>
      </c>
      <c r="U543" s="33">
        <f t="array" ref="U543">IFERROR(
   IF(
      INDEX(Load_Booking_Report!AM:AM,
             MATCH(TRUE,
                     ISNUMBER(FIND(SUBSTITUTE(C543," ",""),
                                    Load_Booking_Report!AL:AL)),
                     0)
      )=0,
      "",
      INDEX(Load_Booking_Report!AM:AM,
             MATCH(TRUE,
                     ISNUMBER(FIND(SUBSTITUTE(C543," ",""),
                                    Load_Booking_Report!AL:AL)),
                     0)
      )
   ),
   ""
)</f>
        <v/>
      </c>
      <c r="V543" s="21">
        <f t="array" ref="V543">IFERROR(
   IF(
      INDEX(Load_Booking_Report!AR:AR,
             MATCH(TRUE,
                     ISNUMBER(FIND(SUBSTITUTE(C543," ",""),
                                    Load_Booking_Report!AL:AL)),
                     0)
      )=0,
      "",
      INDEX(Load_Booking_Report!AR:AR,
             MATCH(TRUE,
                     ISNUMBER(FIND(SUBSTITUTE(C543," ",""),
                                    Load_Booking_Report!AL:AL)),
                     0)
      )
   ),
   ""
)</f>
        <v/>
      </c>
      <c r="W543" s="21">
        <f t="array" ref="W543">IFERROR(INDEX(Load_Booking_Report!F:F, MATCH(TRUE, ISNUMBER(FIND(SUBSTITUTE(C543," ",""), Load_Booking_Report!AL:AL)), 0)), "Not Found")</f>
        <v/>
      </c>
      <c r="X543" s="21">
        <f t="array" ref="X543">IFERROR(INDEX(Load_Booking_Report!N:N, MATCH(TRUE, ISNUMBER(FIND(SUBSTITUTE(C543," ",""), Load_Booking_Report!AL:AL)), 0)), "Not Found")</f>
        <v/>
      </c>
      <c r="Y543" s="21">
        <f t="array" ref="Y543">IFERROR(INDEX(Load_Booking_Report!V:V, MATCH(TRUE, ISNUMBER(FIND(SUBSTITUTE(C543," ",""), Load_Booking_Report!AL:AL)), 0)), "Not Found")</f>
        <v/>
      </c>
      <c r="Z543" s="41">
        <f t="array" ref="Z543">IFERROR(INDEX(Load_Booking_Report!BC:BC, MATCH(TRUE, ISNUMBER(FIND(SUBSTITUTE(C543," ",""), Load_Booking_Report!AL:AL)), 0)), "Not Found")</f>
        <v/>
      </c>
    </row>
    <row r="544">
      <c r="A544" t="n">
        <v>19</v>
      </c>
      <c r="B544" t="n">
        <v>190404</v>
      </c>
      <c r="C544" t="inlineStr">
        <is>
          <t>ANON0000000</t>
        </is>
      </c>
      <c r="D544" t="n">
        <v>20</v>
      </c>
      <c r="E544" t="inlineStr">
        <is>
          <t>USNFK</t>
        </is>
      </c>
      <c r="F544" t="inlineStr">
        <is>
          <t>RULED</t>
        </is>
      </c>
      <c r="G544" t="n">
        <v>26810</v>
      </c>
      <c r="H544" t="inlineStr">
        <is>
          <t>MCL</t>
        </is>
      </c>
      <c r="I544" t="inlineStr">
        <is>
          <t>22G1</t>
        </is>
      </c>
      <c r="L544" t="inlineStr">
        <is>
          <t>OOG</t>
        </is>
      </c>
      <c r="M544" t="inlineStr">
        <is>
          <t>Full</t>
        </is>
      </c>
      <c r="N544" t="inlineStr">
        <is>
          <t>RULED</t>
        </is>
      </c>
      <c r="P544" s="21">
        <f>C544</f>
        <v/>
      </c>
      <c r="Q544" s="21">
        <f t="array" ref="Q544">IFERROR(INDEX(Load_Booking_Report!AC:AC, MATCH(TRUE, ISNUMBER(FIND(SUBSTITUTE(C544," ",""), Load_Booking_Report!AL:AL)), 0)), "Not Found")</f>
        <v/>
      </c>
      <c r="R544" s="21">
        <f t="array" ref="R544">IFERROR(INDEX(Load_Booking_Report!C:C, MATCH(TRUE, ISNUMBER(FIND(SUBSTITUTE(C544," ",""), Load_Booking_Report!AL:AL)), 0)), "Not Found")</f>
        <v/>
      </c>
      <c r="S544" s="21">
        <f t="array" ref="S544">IFERROR(INDEX(Load_Booking_Report!AG:AG, MATCH(TRUE, ISNUMBER(FIND(SUBSTITUTE(C544," ",""), Load_Booking_Report!AL:AL)), 0)), "Not Found")</f>
        <v/>
      </c>
      <c r="T544" s="21">
        <f>G544</f>
        <v/>
      </c>
      <c r="U544" s="33">
        <f t="array" ref="U544">IFERROR(
   IF(
      INDEX(Load_Booking_Report!AM:AM,
             MATCH(TRUE,
                     ISNUMBER(FIND(SUBSTITUTE(C544," ",""),
                                    Load_Booking_Report!AL:AL)),
                     0)
      )=0,
      "",
      INDEX(Load_Booking_Report!AM:AM,
             MATCH(TRUE,
                     ISNUMBER(FIND(SUBSTITUTE(C544," ",""),
                                    Load_Booking_Report!AL:AL)),
                     0)
      )
   ),
   ""
)</f>
        <v/>
      </c>
      <c r="V544" s="21">
        <f t="array" ref="V544">IFERROR(
   IF(
      INDEX(Load_Booking_Report!AR:AR,
             MATCH(TRUE,
                     ISNUMBER(FIND(SUBSTITUTE(C544," ",""),
                                    Load_Booking_Report!AL:AL)),
                     0)
      )=0,
      "",
      INDEX(Load_Booking_Report!AR:AR,
             MATCH(TRUE,
                     ISNUMBER(FIND(SUBSTITUTE(C544," ",""),
                                    Load_Booking_Report!AL:AL)),
                     0)
      )
   ),
   ""
)</f>
        <v/>
      </c>
      <c r="W544" s="21">
        <f t="array" ref="W544">IFERROR(INDEX(Load_Booking_Report!F:F, MATCH(TRUE, ISNUMBER(FIND(SUBSTITUTE(C544," ",""), Load_Booking_Report!AL:AL)), 0)), "Not Found")</f>
        <v/>
      </c>
      <c r="X544" s="21">
        <f t="array" ref="X544">IFERROR(INDEX(Load_Booking_Report!N:N, MATCH(TRUE, ISNUMBER(FIND(SUBSTITUTE(C544," ",""), Load_Booking_Report!AL:AL)), 0)), "Not Found")</f>
        <v/>
      </c>
      <c r="Y544" s="21">
        <f t="array" ref="Y544">IFERROR(INDEX(Load_Booking_Report!V:V, MATCH(TRUE, ISNUMBER(FIND(SUBSTITUTE(C544," ",""), Load_Booking_Report!AL:AL)), 0)), "Not Found")</f>
        <v/>
      </c>
      <c r="Z544" s="41">
        <f t="array" ref="Z544">IFERROR(INDEX(Load_Booking_Report!BC:BC, MATCH(TRUE, ISNUMBER(FIND(SUBSTITUTE(C544," ",""), Load_Booking_Report!AL:AL)), 0)), "Not Found")</f>
        <v/>
      </c>
    </row>
    <row r="545">
      <c r="A545" t="n">
        <v>15</v>
      </c>
      <c r="B545" t="n">
        <v>150602</v>
      </c>
      <c r="C545" t="inlineStr">
        <is>
          <t>ANON0000000</t>
        </is>
      </c>
      <c r="D545" t="n">
        <v>20</v>
      </c>
      <c r="E545" t="inlineStr">
        <is>
          <t>USNFK</t>
        </is>
      </c>
      <c r="F545" t="inlineStr">
        <is>
          <t>RULED</t>
        </is>
      </c>
      <c r="G545" t="n">
        <v>26360</v>
      </c>
      <c r="H545" t="inlineStr">
        <is>
          <t>MCL</t>
        </is>
      </c>
      <c r="I545" t="inlineStr">
        <is>
          <t>22G1</t>
        </is>
      </c>
      <c r="L545" t="inlineStr">
        <is>
          <t>OOG</t>
        </is>
      </c>
      <c r="M545" t="inlineStr">
        <is>
          <t>Full</t>
        </is>
      </c>
      <c r="N545" t="inlineStr">
        <is>
          <t>RULED</t>
        </is>
      </c>
      <c r="P545" s="21">
        <f>C545</f>
        <v/>
      </c>
      <c r="Q545" s="21">
        <f t="array" ref="Q545">IFERROR(INDEX(Load_Booking_Report!AC:AC, MATCH(TRUE, ISNUMBER(FIND(SUBSTITUTE(C545," ",""), Load_Booking_Report!AL:AL)), 0)), "Not Found")</f>
        <v/>
      </c>
      <c r="R545" s="21">
        <f t="array" ref="R545">IFERROR(INDEX(Load_Booking_Report!C:C, MATCH(TRUE, ISNUMBER(FIND(SUBSTITUTE(C545," ",""), Load_Booking_Report!AL:AL)), 0)), "Not Found")</f>
        <v/>
      </c>
      <c r="S545" s="21">
        <f t="array" ref="S545">IFERROR(INDEX(Load_Booking_Report!AG:AG, MATCH(TRUE, ISNUMBER(FIND(SUBSTITUTE(C545," ",""), Load_Booking_Report!AL:AL)), 0)), "Not Found")</f>
        <v/>
      </c>
      <c r="T545" s="21">
        <f>G545</f>
        <v/>
      </c>
      <c r="U545" s="33">
        <f t="array" ref="U545">IFERROR(
   IF(
      INDEX(Load_Booking_Report!AM:AM,
             MATCH(TRUE,
                     ISNUMBER(FIND(SUBSTITUTE(C545," ",""),
                                    Load_Booking_Report!AL:AL)),
                     0)
      )=0,
      "",
      INDEX(Load_Booking_Report!AM:AM,
             MATCH(TRUE,
                     ISNUMBER(FIND(SUBSTITUTE(C545," ",""),
                                    Load_Booking_Report!AL:AL)),
                     0)
      )
   ),
   ""
)</f>
        <v/>
      </c>
      <c r="V545" s="21">
        <f t="array" ref="V545">IFERROR(
   IF(
      INDEX(Load_Booking_Report!AR:AR,
             MATCH(TRUE,
                     ISNUMBER(FIND(SUBSTITUTE(C545," ",""),
                                    Load_Booking_Report!AL:AL)),
                     0)
      )=0,
      "",
      INDEX(Load_Booking_Report!AR:AR,
             MATCH(TRUE,
                     ISNUMBER(FIND(SUBSTITUTE(C545," ",""),
                                    Load_Booking_Report!AL:AL)),
                     0)
      )
   ),
   ""
)</f>
        <v/>
      </c>
      <c r="W545" s="21">
        <f t="array" ref="W545">IFERROR(INDEX(Load_Booking_Report!F:F, MATCH(TRUE, ISNUMBER(FIND(SUBSTITUTE(C545," ",""), Load_Booking_Report!AL:AL)), 0)), "Not Found")</f>
        <v/>
      </c>
      <c r="X545" s="21">
        <f t="array" ref="X545">IFERROR(INDEX(Load_Booking_Report!N:N, MATCH(TRUE, ISNUMBER(FIND(SUBSTITUTE(C545," ",""), Load_Booking_Report!AL:AL)), 0)), "Not Found")</f>
        <v/>
      </c>
      <c r="Y545" s="21">
        <f t="array" ref="Y545">IFERROR(INDEX(Load_Booking_Report!V:V, MATCH(TRUE, ISNUMBER(FIND(SUBSTITUTE(C545," ",""), Load_Booking_Report!AL:AL)), 0)), "Not Found")</f>
        <v/>
      </c>
      <c r="Z545" s="41">
        <f t="array" ref="Z545">IFERROR(INDEX(Load_Booking_Report!BC:BC, MATCH(TRUE, ISNUMBER(FIND(SUBSTITUTE(C545," ",""), Load_Booking_Report!AL:AL)), 0)), "Not Found")</f>
        <v/>
      </c>
    </row>
    <row r="546">
      <c r="A546" t="n">
        <v>17</v>
      </c>
      <c r="B546" t="n">
        <v>170402</v>
      </c>
      <c r="C546" t="inlineStr">
        <is>
          <t>ANON0000000</t>
        </is>
      </c>
      <c r="D546" t="n">
        <v>20</v>
      </c>
      <c r="E546" t="inlineStr">
        <is>
          <t>USNFK</t>
        </is>
      </c>
      <c r="F546" t="inlineStr">
        <is>
          <t>RULED</t>
        </is>
      </c>
      <c r="G546" t="n">
        <v>28742</v>
      </c>
      <c r="H546" t="inlineStr">
        <is>
          <t>MCL</t>
        </is>
      </c>
      <c r="I546" t="inlineStr">
        <is>
          <t>22G1</t>
        </is>
      </c>
      <c r="L546" t="inlineStr">
        <is>
          <t>OOG</t>
        </is>
      </c>
      <c r="M546" t="inlineStr">
        <is>
          <t>Full</t>
        </is>
      </c>
      <c r="N546" t="inlineStr">
        <is>
          <t>RULED</t>
        </is>
      </c>
      <c r="P546" s="21">
        <f>C546</f>
        <v/>
      </c>
      <c r="Q546" s="21">
        <f t="array" ref="Q546">IFERROR(INDEX(Load_Booking_Report!AC:AC, MATCH(TRUE, ISNUMBER(FIND(SUBSTITUTE(C546," ",""), Load_Booking_Report!AL:AL)), 0)), "Not Found")</f>
        <v/>
      </c>
      <c r="R546" s="21">
        <f t="array" ref="R546">IFERROR(INDEX(Load_Booking_Report!C:C, MATCH(TRUE, ISNUMBER(FIND(SUBSTITUTE(C546," ",""), Load_Booking_Report!AL:AL)), 0)), "Not Found")</f>
        <v/>
      </c>
      <c r="S546" s="21">
        <f t="array" ref="S546">IFERROR(INDEX(Load_Booking_Report!AG:AG, MATCH(TRUE, ISNUMBER(FIND(SUBSTITUTE(C546," ",""), Load_Booking_Report!AL:AL)), 0)), "Not Found")</f>
        <v/>
      </c>
      <c r="T546" s="21">
        <f>G546</f>
        <v/>
      </c>
      <c r="U546" s="33">
        <f t="array" ref="U546">IFERROR(
   IF(
      INDEX(Load_Booking_Report!AM:AM,
             MATCH(TRUE,
                     ISNUMBER(FIND(SUBSTITUTE(C546," ",""),
                                    Load_Booking_Report!AL:AL)),
                     0)
      )=0,
      "",
      INDEX(Load_Booking_Report!AM:AM,
             MATCH(TRUE,
                     ISNUMBER(FIND(SUBSTITUTE(C546," ",""),
                                    Load_Booking_Report!AL:AL)),
                     0)
      )
   ),
   ""
)</f>
        <v/>
      </c>
      <c r="V546" s="21">
        <f t="array" ref="V546">IFERROR(
   IF(
      INDEX(Load_Booking_Report!AR:AR,
             MATCH(TRUE,
                     ISNUMBER(FIND(SUBSTITUTE(C546," ",""),
                                    Load_Booking_Report!AL:AL)),
                     0)
      )=0,
      "",
      INDEX(Load_Booking_Report!AR:AR,
             MATCH(TRUE,
                     ISNUMBER(FIND(SUBSTITUTE(C546," ",""),
                                    Load_Booking_Report!AL:AL)),
                     0)
      )
   ),
   ""
)</f>
        <v/>
      </c>
      <c r="W546" s="21">
        <f t="array" ref="W546">IFERROR(INDEX(Load_Booking_Report!F:F, MATCH(TRUE, ISNUMBER(FIND(SUBSTITUTE(C546," ",""), Load_Booking_Report!AL:AL)), 0)), "Not Found")</f>
        <v/>
      </c>
      <c r="X546" s="21">
        <f t="array" ref="X546">IFERROR(INDEX(Load_Booking_Report!N:N, MATCH(TRUE, ISNUMBER(FIND(SUBSTITUTE(C546," ",""), Load_Booking_Report!AL:AL)), 0)), "Not Found")</f>
        <v/>
      </c>
      <c r="Y546" s="21">
        <f t="array" ref="Y546">IFERROR(INDEX(Load_Booking_Report!V:V, MATCH(TRUE, ISNUMBER(FIND(SUBSTITUTE(C546," ",""), Load_Booking_Report!AL:AL)), 0)), "Not Found")</f>
        <v/>
      </c>
      <c r="Z546" s="41">
        <f t="array" ref="Z546">IFERROR(INDEX(Load_Booking_Report!BC:BC, MATCH(TRUE, ISNUMBER(FIND(SUBSTITUTE(C546," ",""), Load_Booking_Report!AL:AL)), 0)), "Not Found")</f>
        <v/>
      </c>
    </row>
    <row r="547">
      <c r="A547" t="n">
        <v>29</v>
      </c>
      <c r="B547" t="n">
        <v>290306</v>
      </c>
      <c r="C547" t="inlineStr">
        <is>
          <t>ANON0000000</t>
        </is>
      </c>
      <c r="D547" t="n">
        <v>20</v>
      </c>
      <c r="E547" t="inlineStr">
        <is>
          <t>USNFK</t>
        </is>
      </c>
      <c r="F547" t="inlineStr">
        <is>
          <t>RULED</t>
        </is>
      </c>
      <c r="G547" t="n">
        <v>22120</v>
      </c>
      <c r="H547" t="inlineStr">
        <is>
          <t>MCL</t>
        </is>
      </c>
      <c r="I547" t="inlineStr">
        <is>
          <t>22G1</t>
        </is>
      </c>
      <c r="L547" t="inlineStr">
        <is>
          <t>OOG</t>
        </is>
      </c>
      <c r="M547" t="inlineStr">
        <is>
          <t>Full</t>
        </is>
      </c>
      <c r="N547" t="inlineStr">
        <is>
          <t>RULED</t>
        </is>
      </c>
      <c r="P547" s="21">
        <f>C547</f>
        <v/>
      </c>
      <c r="Q547" s="21">
        <f t="array" ref="Q547">IFERROR(INDEX(Load_Booking_Report!AC:AC, MATCH(TRUE, ISNUMBER(FIND(SUBSTITUTE(C547," ",""), Load_Booking_Report!AL:AL)), 0)), "Not Found")</f>
        <v/>
      </c>
      <c r="R547" s="21">
        <f t="array" ref="R547">IFERROR(INDEX(Load_Booking_Report!C:C, MATCH(TRUE, ISNUMBER(FIND(SUBSTITUTE(C547," ",""), Load_Booking_Report!AL:AL)), 0)), "Not Found")</f>
        <v/>
      </c>
      <c r="S547" s="21">
        <f t="array" ref="S547">IFERROR(INDEX(Load_Booking_Report!AG:AG, MATCH(TRUE, ISNUMBER(FIND(SUBSTITUTE(C547," ",""), Load_Booking_Report!AL:AL)), 0)), "Not Found")</f>
        <v/>
      </c>
      <c r="T547" s="21">
        <f>G547</f>
        <v/>
      </c>
      <c r="U547" s="33">
        <f t="array" ref="U547">IFERROR(
   IF(
      INDEX(Load_Booking_Report!AM:AM,
             MATCH(TRUE,
                     ISNUMBER(FIND(SUBSTITUTE(C547," ",""),
                                    Load_Booking_Report!AL:AL)),
                     0)
      )=0,
      "",
      INDEX(Load_Booking_Report!AM:AM,
             MATCH(TRUE,
                     ISNUMBER(FIND(SUBSTITUTE(C547," ",""),
                                    Load_Booking_Report!AL:AL)),
                     0)
      )
   ),
   ""
)</f>
        <v/>
      </c>
      <c r="V547" s="21">
        <f t="array" ref="V547">IFERROR(
   IF(
      INDEX(Load_Booking_Report!AR:AR,
             MATCH(TRUE,
                     ISNUMBER(FIND(SUBSTITUTE(C547," ",""),
                                    Load_Booking_Report!AL:AL)),
                     0)
      )=0,
      "",
      INDEX(Load_Booking_Report!AR:AR,
             MATCH(TRUE,
                     ISNUMBER(FIND(SUBSTITUTE(C547," ",""),
                                    Load_Booking_Report!AL:AL)),
                     0)
      )
   ),
   ""
)</f>
        <v/>
      </c>
      <c r="W547" s="21">
        <f t="array" ref="W547">IFERROR(INDEX(Load_Booking_Report!F:F, MATCH(TRUE, ISNUMBER(FIND(SUBSTITUTE(C547," ",""), Load_Booking_Report!AL:AL)), 0)), "Not Found")</f>
        <v/>
      </c>
      <c r="X547" s="21">
        <f t="array" ref="X547">IFERROR(INDEX(Load_Booking_Report!N:N, MATCH(TRUE, ISNUMBER(FIND(SUBSTITUTE(C547," ",""), Load_Booking_Report!AL:AL)), 0)), "Not Found")</f>
        <v/>
      </c>
      <c r="Y547" s="21">
        <f t="array" ref="Y547">IFERROR(INDEX(Load_Booking_Report!V:V, MATCH(TRUE, ISNUMBER(FIND(SUBSTITUTE(C547," ",""), Load_Booking_Report!AL:AL)), 0)), "Not Found")</f>
        <v/>
      </c>
      <c r="Z547" s="41">
        <f t="array" ref="Z547">IFERROR(INDEX(Load_Booking_Report!BC:BC, MATCH(TRUE, ISNUMBER(FIND(SUBSTITUTE(C547," ",""), Load_Booking_Report!AL:AL)), 0)), "Not Found")</f>
        <v/>
      </c>
    </row>
    <row r="548">
      <c r="A548" t="n">
        <v>21</v>
      </c>
      <c r="B548" t="n">
        <v>210202</v>
      </c>
      <c r="C548" t="inlineStr">
        <is>
          <t>ANON0000000</t>
        </is>
      </c>
      <c r="D548" t="n">
        <v>20</v>
      </c>
      <c r="E548" t="inlineStr">
        <is>
          <t>USNFK</t>
        </is>
      </c>
      <c r="F548" t="inlineStr">
        <is>
          <t>RULED</t>
        </is>
      </c>
      <c r="G548" t="n">
        <v>25980</v>
      </c>
      <c r="H548" t="inlineStr">
        <is>
          <t>MCL</t>
        </is>
      </c>
      <c r="I548" t="inlineStr">
        <is>
          <t>22G1</t>
        </is>
      </c>
      <c r="L548" t="inlineStr">
        <is>
          <t>8'6</t>
        </is>
      </c>
      <c r="M548" t="inlineStr">
        <is>
          <t>Full</t>
        </is>
      </c>
      <c r="N548" t="inlineStr">
        <is>
          <t>RULED</t>
        </is>
      </c>
      <c r="P548" s="21">
        <f>C548</f>
        <v/>
      </c>
      <c r="Q548" s="21">
        <f t="array" ref="Q548">IFERROR(INDEX(Load_Booking_Report!AC:AC, MATCH(TRUE, ISNUMBER(FIND(SUBSTITUTE(C548," ",""), Load_Booking_Report!AL:AL)), 0)), "Not Found")</f>
        <v/>
      </c>
      <c r="R548" s="21">
        <f t="array" ref="R548">IFERROR(INDEX(Load_Booking_Report!C:C, MATCH(TRUE, ISNUMBER(FIND(SUBSTITUTE(C548," ",""), Load_Booking_Report!AL:AL)), 0)), "Not Found")</f>
        <v/>
      </c>
      <c r="S548" s="21">
        <f t="array" ref="S548">IFERROR(INDEX(Load_Booking_Report!AG:AG, MATCH(TRUE, ISNUMBER(FIND(SUBSTITUTE(C548," ",""), Load_Booking_Report!AL:AL)), 0)), "Not Found")</f>
        <v/>
      </c>
      <c r="T548" s="21">
        <f>G548</f>
        <v/>
      </c>
      <c r="U548" s="33">
        <f t="array" ref="U548">IFERROR(
   IF(
      INDEX(Load_Booking_Report!AM:AM,
             MATCH(TRUE,
                     ISNUMBER(FIND(SUBSTITUTE(C548," ",""),
                                    Load_Booking_Report!AL:AL)),
                     0)
      )=0,
      "",
      INDEX(Load_Booking_Report!AM:AM,
             MATCH(TRUE,
                     ISNUMBER(FIND(SUBSTITUTE(C548," ",""),
                                    Load_Booking_Report!AL:AL)),
                     0)
      )
   ),
   ""
)</f>
        <v/>
      </c>
      <c r="V548" s="21">
        <f t="array" ref="V548">IFERROR(
   IF(
      INDEX(Load_Booking_Report!AR:AR,
             MATCH(TRUE,
                     ISNUMBER(FIND(SUBSTITUTE(C548," ",""),
                                    Load_Booking_Report!AL:AL)),
                     0)
      )=0,
      "",
      INDEX(Load_Booking_Report!AR:AR,
             MATCH(TRUE,
                     ISNUMBER(FIND(SUBSTITUTE(C548," ",""),
                                    Load_Booking_Report!AL:AL)),
                     0)
      )
   ),
   ""
)</f>
        <v/>
      </c>
      <c r="W548" s="21">
        <f t="array" ref="W548">IFERROR(INDEX(Load_Booking_Report!F:F, MATCH(TRUE, ISNUMBER(FIND(SUBSTITUTE(C548," ",""), Load_Booking_Report!AL:AL)), 0)), "Not Found")</f>
        <v/>
      </c>
      <c r="X548" s="21">
        <f t="array" ref="X548">IFERROR(INDEX(Load_Booking_Report!N:N, MATCH(TRUE, ISNUMBER(FIND(SUBSTITUTE(C548," ",""), Load_Booking_Report!AL:AL)), 0)), "Not Found")</f>
        <v/>
      </c>
      <c r="Y548" s="21">
        <f t="array" ref="Y548">IFERROR(INDEX(Load_Booking_Report!V:V, MATCH(TRUE, ISNUMBER(FIND(SUBSTITUTE(C548," ",""), Load_Booking_Report!AL:AL)), 0)), "Not Found")</f>
        <v/>
      </c>
      <c r="Z548" s="41">
        <f t="array" ref="Z548">IFERROR(INDEX(Load_Booking_Report!BC:BC, MATCH(TRUE, ISNUMBER(FIND(SUBSTITUTE(C548," ",""), Load_Booking_Report!AL:AL)), 0)), "Not Found")</f>
        <v/>
      </c>
    </row>
    <row r="549">
      <c r="A549" t="n">
        <v>29</v>
      </c>
      <c r="B549" t="n">
        <v>290606</v>
      </c>
      <c r="C549" t="inlineStr">
        <is>
          <t>ANON0000000</t>
        </is>
      </c>
      <c r="D549" t="n">
        <v>20</v>
      </c>
      <c r="E549" t="inlineStr">
        <is>
          <t>USNFK</t>
        </is>
      </c>
      <c r="F549" t="inlineStr">
        <is>
          <t>RULED</t>
        </is>
      </c>
      <c r="G549" t="n">
        <v>21320</v>
      </c>
      <c r="H549" t="inlineStr">
        <is>
          <t>MCL</t>
        </is>
      </c>
      <c r="I549" t="inlineStr">
        <is>
          <t>22G1</t>
        </is>
      </c>
      <c r="L549" t="inlineStr">
        <is>
          <t>OOG</t>
        </is>
      </c>
      <c r="M549" t="inlineStr">
        <is>
          <t>Full</t>
        </is>
      </c>
      <c r="N549" t="inlineStr">
        <is>
          <t>RULED</t>
        </is>
      </c>
      <c r="P549" s="21">
        <f>C549</f>
        <v/>
      </c>
      <c r="Q549" s="21">
        <f t="array" ref="Q549">IFERROR(INDEX(Load_Booking_Report!AC:AC, MATCH(TRUE, ISNUMBER(FIND(SUBSTITUTE(C549," ",""), Load_Booking_Report!AL:AL)), 0)), "Not Found")</f>
        <v/>
      </c>
      <c r="R549" s="21">
        <f t="array" ref="R549">IFERROR(INDEX(Load_Booking_Report!C:C, MATCH(TRUE, ISNUMBER(FIND(SUBSTITUTE(C549," ",""), Load_Booking_Report!AL:AL)), 0)), "Not Found")</f>
        <v/>
      </c>
      <c r="S549" s="21">
        <f t="array" ref="S549">IFERROR(INDEX(Load_Booking_Report!AG:AG, MATCH(TRUE, ISNUMBER(FIND(SUBSTITUTE(C549," ",""), Load_Booking_Report!AL:AL)), 0)), "Not Found")</f>
        <v/>
      </c>
      <c r="T549" s="21">
        <f>G549</f>
        <v/>
      </c>
      <c r="U549" s="33">
        <f t="array" ref="U549">IFERROR(
   IF(
      INDEX(Load_Booking_Report!AM:AM,
             MATCH(TRUE,
                     ISNUMBER(FIND(SUBSTITUTE(C549," ",""),
                                    Load_Booking_Report!AL:AL)),
                     0)
      )=0,
      "",
      INDEX(Load_Booking_Report!AM:AM,
             MATCH(TRUE,
                     ISNUMBER(FIND(SUBSTITUTE(C549," ",""),
                                    Load_Booking_Report!AL:AL)),
                     0)
      )
   ),
   ""
)</f>
        <v/>
      </c>
      <c r="V549" s="21">
        <f t="array" ref="V549">IFERROR(
   IF(
      INDEX(Load_Booking_Report!AR:AR,
             MATCH(TRUE,
                     ISNUMBER(FIND(SUBSTITUTE(C549," ",""),
                                    Load_Booking_Report!AL:AL)),
                     0)
      )=0,
      "",
      INDEX(Load_Booking_Report!AR:AR,
             MATCH(TRUE,
                     ISNUMBER(FIND(SUBSTITUTE(C549," ",""),
                                    Load_Booking_Report!AL:AL)),
                     0)
      )
   ),
   ""
)</f>
        <v/>
      </c>
      <c r="W549" s="21">
        <f t="array" ref="W549">IFERROR(INDEX(Load_Booking_Report!F:F, MATCH(TRUE, ISNUMBER(FIND(SUBSTITUTE(C549," ",""), Load_Booking_Report!AL:AL)), 0)), "Not Found")</f>
        <v/>
      </c>
      <c r="X549" s="21">
        <f t="array" ref="X549">IFERROR(INDEX(Load_Booking_Report!N:N, MATCH(TRUE, ISNUMBER(FIND(SUBSTITUTE(C549," ",""), Load_Booking_Report!AL:AL)), 0)), "Not Found")</f>
        <v/>
      </c>
      <c r="Y549" s="21">
        <f t="array" ref="Y549">IFERROR(INDEX(Load_Booking_Report!V:V, MATCH(TRUE, ISNUMBER(FIND(SUBSTITUTE(C549," ",""), Load_Booking_Report!AL:AL)), 0)), "Not Found")</f>
        <v/>
      </c>
      <c r="Z549" s="41">
        <f t="array" ref="Z549">IFERROR(INDEX(Load_Booking_Report!BC:BC, MATCH(TRUE, ISNUMBER(FIND(SUBSTITUTE(C549," ",""), Load_Booking_Report!AL:AL)), 0)), "Not Found")</f>
        <v/>
      </c>
    </row>
    <row r="550">
      <c r="A550" t="n">
        <v>22</v>
      </c>
      <c r="B550" t="n">
        <v>220786</v>
      </c>
      <c r="C550" t="inlineStr">
        <is>
          <t>ANON0000000</t>
        </is>
      </c>
      <c r="D550" t="n">
        <v>40</v>
      </c>
      <c r="E550" t="inlineStr">
        <is>
          <t>USNFK</t>
        </is>
      </c>
      <c r="F550" t="inlineStr">
        <is>
          <t>RULED</t>
        </is>
      </c>
      <c r="G550" t="n">
        <v>24579</v>
      </c>
      <c r="H550" t="inlineStr">
        <is>
          <t>MCL</t>
        </is>
      </c>
      <c r="I550" t="inlineStr">
        <is>
          <t>45G1</t>
        </is>
      </c>
      <c r="L550" t="inlineStr">
        <is>
          <t>9'6</t>
        </is>
      </c>
      <c r="M550" t="inlineStr">
        <is>
          <t>Full</t>
        </is>
      </c>
      <c r="N550" t="inlineStr">
        <is>
          <t>RULED</t>
        </is>
      </c>
      <c r="P550" s="21">
        <f>C550</f>
        <v/>
      </c>
      <c r="Q550" s="21">
        <f t="array" ref="Q550">IFERROR(INDEX(Load_Booking_Report!AC:AC, MATCH(TRUE, ISNUMBER(FIND(SUBSTITUTE(C550," ",""), Load_Booking_Report!AL:AL)), 0)), "Not Found")</f>
        <v/>
      </c>
      <c r="R550" s="21">
        <f t="array" ref="R550">IFERROR(INDEX(Load_Booking_Report!C:C, MATCH(TRUE, ISNUMBER(FIND(SUBSTITUTE(C550," ",""), Load_Booking_Report!AL:AL)), 0)), "Not Found")</f>
        <v/>
      </c>
      <c r="S550" s="21">
        <f t="array" ref="S550">IFERROR(INDEX(Load_Booking_Report!AG:AG, MATCH(TRUE, ISNUMBER(FIND(SUBSTITUTE(C550," ",""), Load_Booking_Report!AL:AL)), 0)), "Not Found")</f>
        <v/>
      </c>
      <c r="T550" s="21">
        <f>G550</f>
        <v/>
      </c>
      <c r="U550" s="33">
        <f t="array" ref="U550">IFERROR(
   IF(
      INDEX(Load_Booking_Report!AM:AM,
             MATCH(TRUE,
                     ISNUMBER(FIND(SUBSTITUTE(C550," ",""),
                                    Load_Booking_Report!AL:AL)),
                     0)
      )=0,
      "",
      INDEX(Load_Booking_Report!AM:AM,
             MATCH(TRUE,
                     ISNUMBER(FIND(SUBSTITUTE(C550," ",""),
                                    Load_Booking_Report!AL:AL)),
                     0)
      )
   ),
   ""
)</f>
        <v/>
      </c>
      <c r="V550" s="21">
        <f t="array" ref="V550">IFERROR(
   IF(
      INDEX(Load_Booking_Report!AR:AR,
             MATCH(TRUE,
                     ISNUMBER(FIND(SUBSTITUTE(C550," ",""),
                                    Load_Booking_Report!AL:AL)),
                     0)
      )=0,
      "",
      INDEX(Load_Booking_Report!AR:AR,
             MATCH(TRUE,
                     ISNUMBER(FIND(SUBSTITUTE(C550," ",""),
                                    Load_Booking_Report!AL:AL)),
                     0)
      )
   ),
   ""
)</f>
        <v/>
      </c>
      <c r="W550" s="21">
        <f t="array" ref="W550">IFERROR(INDEX(Load_Booking_Report!F:F, MATCH(TRUE, ISNUMBER(FIND(SUBSTITUTE(C550," ",""), Load_Booking_Report!AL:AL)), 0)), "Not Found")</f>
        <v/>
      </c>
      <c r="X550" s="21">
        <f t="array" ref="X550">IFERROR(INDEX(Load_Booking_Report!N:N, MATCH(TRUE, ISNUMBER(FIND(SUBSTITUTE(C550," ",""), Load_Booking_Report!AL:AL)), 0)), "Not Found")</f>
        <v/>
      </c>
      <c r="Y550" s="21">
        <f t="array" ref="Y550">IFERROR(INDEX(Load_Booking_Report!V:V, MATCH(TRUE, ISNUMBER(FIND(SUBSTITUTE(C550," ",""), Load_Booking_Report!AL:AL)), 0)), "Not Found")</f>
        <v/>
      </c>
      <c r="Z550" s="41">
        <f t="array" ref="Z550">IFERROR(INDEX(Load_Booking_Report!BC:BC, MATCH(TRUE, ISNUMBER(FIND(SUBSTITUTE(C550," ",""), Load_Booking_Report!AL:AL)), 0)), "Not Found")</f>
        <v/>
      </c>
    </row>
    <row r="551">
      <c r="A551" t="n">
        <v>30</v>
      </c>
      <c r="B551" t="n">
        <v>300084</v>
      </c>
      <c r="C551" t="inlineStr">
        <is>
          <t>ANON0000000</t>
        </is>
      </c>
      <c r="D551" t="n">
        <v>40</v>
      </c>
      <c r="E551" t="inlineStr">
        <is>
          <t>USNFK</t>
        </is>
      </c>
      <c r="F551" t="inlineStr">
        <is>
          <t>RULED</t>
        </is>
      </c>
      <c r="G551" t="n">
        <v>23700</v>
      </c>
      <c r="H551" t="inlineStr">
        <is>
          <t>MCL</t>
        </is>
      </c>
      <c r="I551" t="inlineStr">
        <is>
          <t>45G1</t>
        </is>
      </c>
      <c r="L551" t="inlineStr">
        <is>
          <t>OOG</t>
        </is>
      </c>
      <c r="M551" t="inlineStr">
        <is>
          <t>Full</t>
        </is>
      </c>
      <c r="N551" t="inlineStr">
        <is>
          <t>RULED</t>
        </is>
      </c>
      <c r="P551" s="21">
        <f>C551</f>
        <v/>
      </c>
      <c r="Q551" s="21">
        <f t="array" ref="Q551">IFERROR(INDEX(Load_Booking_Report!AC:AC, MATCH(TRUE, ISNUMBER(FIND(SUBSTITUTE(C551," ",""), Load_Booking_Report!AL:AL)), 0)), "Not Found")</f>
        <v/>
      </c>
      <c r="R551" s="21">
        <f t="array" ref="R551">IFERROR(INDEX(Load_Booking_Report!C:C, MATCH(TRUE, ISNUMBER(FIND(SUBSTITUTE(C551," ",""), Load_Booking_Report!AL:AL)), 0)), "Not Found")</f>
        <v/>
      </c>
      <c r="S551" s="21">
        <f t="array" ref="S551">IFERROR(INDEX(Load_Booking_Report!AG:AG, MATCH(TRUE, ISNUMBER(FIND(SUBSTITUTE(C551," ",""), Load_Booking_Report!AL:AL)), 0)), "Not Found")</f>
        <v/>
      </c>
      <c r="T551" s="21">
        <f>G551</f>
        <v/>
      </c>
      <c r="U551" s="33">
        <f t="array" ref="U551">IFERROR(
   IF(
      INDEX(Load_Booking_Report!AM:AM,
             MATCH(TRUE,
                     ISNUMBER(FIND(SUBSTITUTE(C551," ",""),
                                    Load_Booking_Report!AL:AL)),
                     0)
      )=0,
      "",
      INDEX(Load_Booking_Report!AM:AM,
             MATCH(TRUE,
                     ISNUMBER(FIND(SUBSTITUTE(C551," ",""),
                                    Load_Booking_Report!AL:AL)),
                     0)
      )
   ),
   ""
)</f>
        <v/>
      </c>
      <c r="V551" s="21">
        <f t="array" ref="V551">IFERROR(
   IF(
      INDEX(Load_Booking_Report!AR:AR,
             MATCH(TRUE,
                     ISNUMBER(FIND(SUBSTITUTE(C551," ",""),
                                    Load_Booking_Report!AL:AL)),
                     0)
      )=0,
      "",
      INDEX(Load_Booking_Report!AR:AR,
             MATCH(TRUE,
                     ISNUMBER(FIND(SUBSTITUTE(C551," ",""),
                                    Load_Booking_Report!AL:AL)),
                     0)
      )
   ),
   ""
)</f>
        <v/>
      </c>
      <c r="W551" s="21">
        <f t="array" ref="W551">IFERROR(INDEX(Load_Booking_Report!F:F, MATCH(TRUE, ISNUMBER(FIND(SUBSTITUTE(C551," ",""), Load_Booking_Report!AL:AL)), 0)), "Not Found")</f>
        <v/>
      </c>
      <c r="X551" s="21">
        <f t="array" ref="X551">IFERROR(INDEX(Load_Booking_Report!N:N, MATCH(TRUE, ISNUMBER(FIND(SUBSTITUTE(C551," ",""), Load_Booking_Report!AL:AL)), 0)), "Not Found")</f>
        <v/>
      </c>
      <c r="Y551" s="21">
        <f t="array" ref="Y551">IFERROR(INDEX(Load_Booking_Report!V:V, MATCH(TRUE, ISNUMBER(FIND(SUBSTITUTE(C551," ",""), Load_Booking_Report!AL:AL)), 0)), "Not Found")</f>
        <v/>
      </c>
      <c r="Z551" s="41">
        <f t="array" ref="Z551">IFERROR(INDEX(Load_Booking_Report!BC:BC, MATCH(TRUE, ISNUMBER(FIND(SUBSTITUTE(C551," ",""), Load_Booking_Report!AL:AL)), 0)), "Not Found")</f>
        <v/>
      </c>
    </row>
    <row r="552">
      <c r="A552" t="n">
        <v>30</v>
      </c>
      <c r="B552" t="n">
        <v>300484</v>
      </c>
      <c r="C552" t="inlineStr">
        <is>
          <t>ANON0000000</t>
        </is>
      </c>
      <c r="D552" t="n">
        <v>40</v>
      </c>
      <c r="E552" t="inlineStr">
        <is>
          <t>USNFK</t>
        </is>
      </c>
      <c r="F552" t="inlineStr">
        <is>
          <t>RULED</t>
        </is>
      </c>
      <c r="G552" t="n">
        <v>23680</v>
      </c>
      <c r="H552" t="inlineStr">
        <is>
          <t>MCL</t>
        </is>
      </c>
      <c r="I552" t="inlineStr">
        <is>
          <t>45G1</t>
        </is>
      </c>
      <c r="L552" t="inlineStr">
        <is>
          <t>OOG</t>
        </is>
      </c>
      <c r="M552" t="inlineStr">
        <is>
          <t>Full</t>
        </is>
      </c>
      <c r="N552" t="inlineStr">
        <is>
          <t>RULED</t>
        </is>
      </c>
      <c r="P552" s="21">
        <f>C552</f>
        <v/>
      </c>
      <c r="Q552" s="21">
        <f t="array" ref="Q552">IFERROR(INDEX(Load_Booking_Report!AC:AC, MATCH(TRUE, ISNUMBER(FIND(SUBSTITUTE(C552," ",""), Load_Booking_Report!AL:AL)), 0)), "Not Found")</f>
        <v/>
      </c>
      <c r="R552" s="21">
        <f t="array" ref="R552">IFERROR(INDEX(Load_Booking_Report!C:C, MATCH(TRUE, ISNUMBER(FIND(SUBSTITUTE(C552," ",""), Load_Booking_Report!AL:AL)), 0)), "Not Found")</f>
        <v/>
      </c>
      <c r="S552" s="21">
        <f t="array" ref="S552">IFERROR(INDEX(Load_Booking_Report!AG:AG, MATCH(TRUE, ISNUMBER(FIND(SUBSTITUTE(C552," ",""), Load_Booking_Report!AL:AL)), 0)), "Not Found")</f>
        <v/>
      </c>
      <c r="T552" s="21">
        <f>G552</f>
        <v/>
      </c>
      <c r="U552" s="33">
        <f t="array" ref="U552">IFERROR(
   IF(
      INDEX(Load_Booking_Report!AM:AM,
             MATCH(TRUE,
                     ISNUMBER(FIND(SUBSTITUTE(C552," ",""),
                                    Load_Booking_Report!AL:AL)),
                     0)
      )=0,
      "",
      INDEX(Load_Booking_Report!AM:AM,
             MATCH(TRUE,
                     ISNUMBER(FIND(SUBSTITUTE(C552," ",""),
                                    Load_Booking_Report!AL:AL)),
                     0)
      )
   ),
   ""
)</f>
        <v/>
      </c>
      <c r="V552" s="21">
        <f t="array" ref="V552">IFERROR(
   IF(
      INDEX(Load_Booking_Report!AR:AR,
             MATCH(TRUE,
                     ISNUMBER(FIND(SUBSTITUTE(C552," ",""),
                                    Load_Booking_Report!AL:AL)),
                     0)
      )=0,
      "",
      INDEX(Load_Booking_Report!AR:AR,
             MATCH(TRUE,
                     ISNUMBER(FIND(SUBSTITUTE(C552," ",""),
                                    Load_Booking_Report!AL:AL)),
                     0)
      )
   ),
   ""
)</f>
        <v/>
      </c>
      <c r="W552" s="21">
        <f t="array" ref="W552">IFERROR(INDEX(Load_Booking_Report!F:F, MATCH(TRUE, ISNUMBER(FIND(SUBSTITUTE(C552," ",""), Load_Booking_Report!AL:AL)), 0)), "Not Found")</f>
        <v/>
      </c>
      <c r="X552" s="21">
        <f t="array" ref="X552">IFERROR(INDEX(Load_Booking_Report!N:N, MATCH(TRUE, ISNUMBER(FIND(SUBSTITUTE(C552," ",""), Load_Booking_Report!AL:AL)), 0)), "Not Found")</f>
        <v/>
      </c>
      <c r="Y552" s="21">
        <f t="array" ref="Y552">IFERROR(INDEX(Load_Booking_Report!V:V, MATCH(TRUE, ISNUMBER(FIND(SUBSTITUTE(C552," ",""), Load_Booking_Report!AL:AL)), 0)), "Not Found")</f>
        <v/>
      </c>
      <c r="Z552" s="41">
        <f t="array" ref="Z552">IFERROR(INDEX(Load_Booking_Report!BC:BC, MATCH(TRUE, ISNUMBER(FIND(SUBSTITUTE(C552," ",""), Load_Booking_Report!AL:AL)), 0)), "Not Found")</f>
        <v/>
      </c>
    </row>
    <row r="553">
      <c r="A553" t="n">
        <v>22</v>
      </c>
      <c r="B553" t="n">
        <v>221086</v>
      </c>
      <c r="C553" t="inlineStr">
        <is>
          <t>ANON0000000</t>
        </is>
      </c>
      <c r="D553" t="n">
        <v>40</v>
      </c>
      <c r="E553" t="inlineStr">
        <is>
          <t>USNFK</t>
        </is>
      </c>
      <c r="F553" t="inlineStr">
        <is>
          <t>RULED</t>
        </is>
      </c>
      <c r="G553" t="n">
        <v>24350</v>
      </c>
      <c r="H553" t="inlineStr">
        <is>
          <t>MCL</t>
        </is>
      </c>
      <c r="I553" t="inlineStr">
        <is>
          <t>45G1</t>
        </is>
      </c>
      <c r="L553" t="inlineStr">
        <is>
          <t>9'6</t>
        </is>
      </c>
      <c r="M553" t="inlineStr">
        <is>
          <t>Full</t>
        </is>
      </c>
      <c r="N553" t="inlineStr">
        <is>
          <t>RULED</t>
        </is>
      </c>
      <c r="P553" s="21">
        <f>C553</f>
        <v/>
      </c>
      <c r="Q553" s="21">
        <f t="array" ref="Q553">IFERROR(INDEX(Load_Booking_Report!AC:AC, MATCH(TRUE, ISNUMBER(FIND(SUBSTITUTE(C553," ",""), Load_Booking_Report!AL:AL)), 0)), "Not Found")</f>
        <v/>
      </c>
      <c r="R553" s="21">
        <f t="array" ref="R553">IFERROR(INDEX(Load_Booking_Report!C:C, MATCH(TRUE, ISNUMBER(FIND(SUBSTITUTE(C553," ",""), Load_Booking_Report!AL:AL)), 0)), "Not Found")</f>
        <v/>
      </c>
      <c r="S553" s="21">
        <f t="array" ref="S553">IFERROR(INDEX(Load_Booking_Report!AG:AG, MATCH(TRUE, ISNUMBER(FIND(SUBSTITUTE(C553," ",""), Load_Booking_Report!AL:AL)), 0)), "Not Found")</f>
        <v/>
      </c>
      <c r="T553" s="21">
        <f>G553</f>
        <v/>
      </c>
      <c r="U553" s="33">
        <f t="array" ref="U553">IFERROR(
   IF(
      INDEX(Load_Booking_Report!AM:AM,
             MATCH(TRUE,
                     ISNUMBER(FIND(SUBSTITUTE(C553," ",""),
                                    Load_Booking_Report!AL:AL)),
                     0)
      )=0,
      "",
      INDEX(Load_Booking_Report!AM:AM,
             MATCH(TRUE,
                     ISNUMBER(FIND(SUBSTITUTE(C553," ",""),
                                    Load_Booking_Report!AL:AL)),
                     0)
      )
   ),
   ""
)</f>
        <v/>
      </c>
      <c r="V553" s="21">
        <f t="array" ref="V553">IFERROR(
   IF(
      INDEX(Load_Booking_Report!AR:AR,
             MATCH(TRUE,
                     ISNUMBER(FIND(SUBSTITUTE(C553," ",""),
                                    Load_Booking_Report!AL:AL)),
                     0)
      )=0,
      "",
      INDEX(Load_Booking_Report!AR:AR,
             MATCH(TRUE,
                     ISNUMBER(FIND(SUBSTITUTE(C553," ",""),
                                    Load_Booking_Report!AL:AL)),
                     0)
      )
   ),
   ""
)</f>
        <v/>
      </c>
      <c r="W553" s="21">
        <f t="array" ref="W553">IFERROR(INDEX(Load_Booking_Report!F:F, MATCH(TRUE, ISNUMBER(FIND(SUBSTITUTE(C553," ",""), Load_Booking_Report!AL:AL)), 0)), "Not Found")</f>
        <v/>
      </c>
      <c r="X553" s="21">
        <f t="array" ref="X553">IFERROR(INDEX(Load_Booking_Report!N:N, MATCH(TRUE, ISNUMBER(FIND(SUBSTITUTE(C553," ",""), Load_Booking_Report!AL:AL)), 0)), "Not Found")</f>
        <v/>
      </c>
      <c r="Y553" s="21">
        <f t="array" ref="Y553">IFERROR(INDEX(Load_Booking_Report!V:V, MATCH(TRUE, ISNUMBER(FIND(SUBSTITUTE(C553," ",""), Load_Booking_Report!AL:AL)), 0)), "Not Found")</f>
        <v/>
      </c>
      <c r="Z553" s="41">
        <f t="array" ref="Z553">IFERROR(INDEX(Load_Booking_Report!BC:BC, MATCH(TRUE, ISNUMBER(FIND(SUBSTITUTE(C553," ",""), Load_Booking_Report!AL:AL)), 0)), "Not Found")</f>
        <v/>
      </c>
    </row>
    <row r="554">
      <c r="A554" t="n">
        <v>34</v>
      </c>
      <c r="B554" t="n">
        <v>340384</v>
      </c>
      <c r="C554" t="inlineStr">
        <is>
          <t>ANON0000000</t>
        </is>
      </c>
      <c r="D554" t="n">
        <v>40</v>
      </c>
      <c r="E554" t="inlineStr">
        <is>
          <t>USHOU</t>
        </is>
      </c>
      <c r="F554" t="inlineStr">
        <is>
          <t>RULED</t>
        </is>
      </c>
      <c r="G554" t="n">
        <v>24316</v>
      </c>
      <c r="H554" t="inlineStr">
        <is>
          <t>MCL</t>
        </is>
      </c>
      <c r="I554" t="inlineStr">
        <is>
          <t>45G1</t>
        </is>
      </c>
      <c r="L554" t="inlineStr">
        <is>
          <t>9'6</t>
        </is>
      </c>
      <c r="M554" t="inlineStr">
        <is>
          <t>Full</t>
        </is>
      </c>
      <c r="N554" t="inlineStr">
        <is>
          <t>RULED</t>
        </is>
      </c>
      <c r="P554" s="21">
        <f>C554</f>
        <v/>
      </c>
      <c r="Q554" s="21">
        <f t="array" ref="Q554">IFERROR(INDEX(Load_Booking_Report!AC:AC, MATCH(TRUE, ISNUMBER(FIND(SUBSTITUTE(C554," ",""), Load_Booking_Report!AL:AL)), 0)), "Not Found")</f>
        <v/>
      </c>
      <c r="R554" s="21">
        <f t="array" ref="R554">IFERROR(INDEX(Load_Booking_Report!C:C, MATCH(TRUE, ISNUMBER(FIND(SUBSTITUTE(C554," ",""), Load_Booking_Report!AL:AL)), 0)), "Not Found")</f>
        <v/>
      </c>
      <c r="S554" s="21">
        <f t="array" ref="S554">IFERROR(INDEX(Load_Booking_Report!AG:AG, MATCH(TRUE, ISNUMBER(FIND(SUBSTITUTE(C554," ",""), Load_Booking_Report!AL:AL)), 0)), "Not Found")</f>
        <v/>
      </c>
      <c r="T554" s="21">
        <f>G554</f>
        <v/>
      </c>
      <c r="U554" s="33">
        <f t="array" ref="U554">IFERROR(
   IF(
      INDEX(Load_Booking_Report!AM:AM,
             MATCH(TRUE,
                     ISNUMBER(FIND(SUBSTITUTE(C554," ",""),
                                    Load_Booking_Report!AL:AL)),
                     0)
      )=0,
      "",
      INDEX(Load_Booking_Report!AM:AM,
             MATCH(TRUE,
                     ISNUMBER(FIND(SUBSTITUTE(C554," ",""),
                                    Load_Booking_Report!AL:AL)),
                     0)
      )
   ),
   ""
)</f>
        <v/>
      </c>
      <c r="V554" s="21">
        <f t="array" ref="V554">IFERROR(
   IF(
      INDEX(Load_Booking_Report!AR:AR,
             MATCH(TRUE,
                     ISNUMBER(FIND(SUBSTITUTE(C554," ",""),
                                    Load_Booking_Report!AL:AL)),
                     0)
      )=0,
      "",
      INDEX(Load_Booking_Report!AR:AR,
             MATCH(TRUE,
                     ISNUMBER(FIND(SUBSTITUTE(C554," ",""),
                                    Load_Booking_Report!AL:AL)),
                     0)
      )
   ),
   ""
)</f>
        <v/>
      </c>
      <c r="W554" s="21">
        <f t="array" ref="W554">IFERROR(INDEX(Load_Booking_Report!F:F, MATCH(TRUE, ISNUMBER(FIND(SUBSTITUTE(C554," ",""), Load_Booking_Report!AL:AL)), 0)), "Not Found")</f>
        <v/>
      </c>
      <c r="X554" s="21">
        <f t="array" ref="X554">IFERROR(INDEX(Load_Booking_Report!N:N, MATCH(TRUE, ISNUMBER(FIND(SUBSTITUTE(C554," ",""), Load_Booking_Report!AL:AL)), 0)), "Not Found")</f>
        <v/>
      </c>
      <c r="Y554" s="21">
        <f t="array" ref="Y554">IFERROR(INDEX(Load_Booking_Report!V:V, MATCH(TRUE, ISNUMBER(FIND(SUBSTITUTE(C554," ",""), Load_Booking_Report!AL:AL)), 0)), "Not Found")</f>
        <v/>
      </c>
      <c r="Z554" s="41">
        <f t="array" ref="Z554">IFERROR(INDEX(Load_Booking_Report!BC:BC, MATCH(TRUE, ISNUMBER(FIND(SUBSTITUTE(C554," ",""), Load_Booking_Report!AL:AL)), 0)), "Not Found")</f>
        <v/>
      </c>
    </row>
    <row r="555">
      <c r="A555" t="n">
        <v>30</v>
      </c>
      <c r="B555" t="n">
        <v>300082</v>
      </c>
      <c r="C555" t="inlineStr">
        <is>
          <t>ANON0000000</t>
        </is>
      </c>
      <c r="D555" t="n">
        <v>40</v>
      </c>
      <c r="E555" t="inlineStr">
        <is>
          <t>USNFK</t>
        </is>
      </c>
      <c r="F555" t="inlineStr">
        <is>
          <t>RULED</t>
        </is>
      </c>
      <c r="G555" t="n">
        <v>28762</v>
      </c>
      <c r="H555" t="inlineStr">
        <is>
          <t>MCL</t>
        </is>
      </c>
      <c r="I555" t="inlineStr">
        <is>
          <t>45G1</t>
        </is>
      </c>
      <c r="L555" t="inlineStr">
        <is>
          <t>OOG</t>
        </is>
      </c>
      <c r="M555" t="inlineStr">
        <is>
          <t>Full</t>
        </is>
      </c>
      <c r="N555" t="inlineStr">
        <is>
          <t>RULED</t>
        </is>
      </c>
      <c r="P555" s="21">
        <f>C555</f>
        <v/>
      </c>
      <c r="Q555" s="21">
        <f t="array" ref="Q555">IFERROR(INDEX(Load_Booking_Report!AC:AC, MATCH(TRUE, ISNUMBER(FIND(SUBSTITUTE(C555," ",""), Load_Booking_Report!AL:AL)), 0)), "Not Found")</f>
        <v/>
      </c>
      <c r="R555" s="21">
        <f t="array" ref="R555">IFERROR(INDEX(Load_Booking_Report!C:C, MATCH(TRUE, ISNUMBER(FIND(SUBSTITUTE(C555," ",""), Load_Booking_Report!AL:AL)), 0)), "Not Found")</f>
        <v/>
      </c>
      <c r="S555" s="21">
        <f t="array" ref="S555">IFERROR(INDEX(Load_Booking_Report!AG:AG, MATCH(TRUE, ISNUMBER(FIND(SUBSTITUTE(C555," ",""), Load_Booking_Report!AL:AL)), 0)), "Not Found")</f>
        <v/>
      </c>
      <c r="T555" s="21">
        <f>G555</f>
        <v/>
      </c>
      <c r="U555" s="33">
        <f t="array" ref="U555">IFERROR(
   IF(
      INDEX(Load_Booking_Report!AM:AM,
             MATCH(TRUE,
                     ISNUMBER(FIND(SUBSTITUTE(C555," ",""),
                                    Load_Booking_Report!AL:AL)),
                     0)
      )=0,
      "",
      INDEX(Load_Booking_Report!AM:AM,
             MATCH(TRUE,
                     ISNUMBER(FIND(SUBSTITUTE(C555," ",""),
                                    Load_Booking_Report!AL:AL)),
                     0)
      )
   ),
   ""
)</f>
        <v/>
      </c>
      <c r="V555" s="21">
        <f t="array" ref="V555">IFERROR(
   IF(
      INDEX(Load_Booking_Report!AR:AR,
             MATCH(TRUE,
                     ISNUMBER(FIND(SUBSTITUTE(C555," ",""),
                                    Load_Booking_Report!AL:AL)),
                     0)
      )=0,
      "",
      INDEX(Load_Booking_Report!AR:AR,
             MATCH(TRUE,
                     ISNUMBER(FIND(SUBSTITUTE(C555," ",""),
                                    Load_Booking_Report!AL:AL)),
                     0)
      )
   ),
   ""
)</f>
        <v/>
      </c>
      <c r="W555" s="21">
        <f t="array" ref="W555">IFERROR(INDEX(Load_Booking_Report!F:F, MATCH(TRUE, ISNUMBER(FIND(SUBSTITUTE(C555," ",""), Load_Booking_Report!AL:AL)), 0)), "Not Found")</f>
        <v/>
      </c>
      <c r="X555" s="21">
        <f t="array" ref="X555">IFERROR(INDEX(Load_Booking_Report!N:N, MATCH(TRUE, ISNUMBER(FIND(SUBSTITUTE(C555," ",""), Load_Booking_Report!AL:AL)), 0)), "Not Found")</f>
        <v/>
      </c>
      <c r="Y555" s="21">
        <f t="array" ref="Y555">IFERROR(INDEX(Load_Booking_Report!V:V, MATCH(TRUE, ISNUMBER(FIND(SUBSTITUTE(C555," ",""), Load_Booking_Report!AL:AL)), 0)), "Not Found")</f>
        <v/>
      </c>
      <c r="Z555" s="41">
        <f t="array" ref="Z555">IFERROR(INDEX(Load_Booking_Report!BC:BC, MATCH(TRUE, ISNUMBER(FIND(SUBSTITUTE(C555," ",""), Load_Booking_Report!AL:AL)), 0)), "Not Found")</f>
        <v/>
      </c>
    </row>
    <row r="556">
      <c r="A556" t="n">
        <v>26</v>
      </c>
      <c r="B556" t="n">
        <v>260110</v>
      </c>
      <c r="C556" t="inlineStr">
        <is>
          <t>ANON0000000</t>
        </is>
      </c>
      <c r="D556" t="n">
        <v>40</v>
      </c>
      <c r="E556" t="inlineStr">
        <is>
          <t>USNYC</t>
        </is>
      </c>
      <c r="F556" t="inlineStr">
        <is>
          <t>RULED</t>
        </is>
      </c>
      <c r="G556" t="n">
        <v>15248</v>
      </c>
      <c r="H556" t="inlineStr">
        <is>
          <t>MCL</t>
        </is>
      </c>
      <c r="I556" t="inlineStr">
        <is>
          <t>45G1</t>
        </is>
      </c>
      <c r="L556" t="inlineStr">
        <is>
          <t>9'6</t>
        </is>
      </c>
      <c r="M556" t="inlineStr">
        <is>
          <t>Full</t>
        </is>
      </c>
      <c r="N556" t="inlineStr">
        <is>
          <t>RULED</t>
        </is>
      </c>
      <c r="P556" s="21">
        <f>C556</f>
        <v/>
      </c>
      <c r="Q556" s="21">
        <f t="array" ref="Q556">IFERROR(INDEX(Load_Booking_Report!AC:AC, MATCH(TRUE, ISNUMBER(FIND(SUBSTITUTE(C556," ",""), Load_Booking_Report!AL:AL)), 0)), "Not Found")</f>
        <v/>
      </c>
      <c r="R556" s="21">
        <f t="array" ref="R556">IFERROR(INDEX(Load_Booking_Report!C:C, MATCH(TRUE, ISNUMBER(FIND(SUBSTITUTE(C556," ",""), Load_Booking_Report!AL:AL)), 0)), "Not Found")</f>
        <v/>
      </c>
      <c r="S556" s="21">
        <f t="array" ref="S556">IFERROR(INDEX(Load_Booking_Report!AG:AG, MATCH(TRUE, ISNUMBER(FIND(SUBSTITUTE(C556," ",""), Load_Booking_Report!AL:AL)), 0)), "Not Found")</f>
        <v/>
      </c>
      <c r="T556" s="21">
        <f>G556</f>
        <v/>
      </c>
      <c r="U556" s="33">
        <f t="array" ref="U556">IFERROR(
   IF(
      INDEX(Load_Booking_Report!AM:AM,
             MATCH(TRUE,
                     ISNUMBER(FIND(SUBSTITUTE(C556," ",""),
                                    Load_Booking_Report!AL:AL)),
                     0)
      )=0,
      "",
      INDEX(Load_Booking_Report!AM:AM,
             MATCH(TRUE,
                     ISNUMBER(FIND(SUBSTITUTE(C556," ",""),
                                    Load_Booking_Report!AL:AL)),
                     0)
      )
   ),
   ""
)</f>
        <v/>
      </c>
      <c r="V556" s="21">
        <f t="array" ref="V556">IFERROR(
   IF(
      INDEX(Load_Booking_Report!AR:AR,
             MATCH(TRUE,
                     ISNUMBER(FIND(SUBSTITUTE(C556," ",""),
                                    Load_Booking_Report!AL:AL)),
                     0)
      )=0,
      "",
      INDEX(Load_Booking_Report!AR:AR,
             MATCH(TRUE,
                     ISNUMBER(FIND(SUBSTITUTE(C556," ",""),
                                    Load_Booking_Report!AL:AL)),
                     0)
      )
   ),
   ""
)</f>
        <v/>
      </c>
      <c r="W556" s="21">
        <f t="array" ref="W556">IFERROR(INDEX(Load_Booking_Report!F:F, MATCH(TRUE, ISNUMBER(FIND(SUBSTITUTE(C556," ",""), Load_Booking_Report!AL:AL)), 0)), "Not Found")</f>
        <v/>
      </c>
      <c r="X556" s="21">
        <f t="array" ref="X556">IFERROR(INDEX(Load_Booking_Report!N:N, MATCH(TRUE, ISNUMBER(FIND(SUBSTITUTE(C556," ",""), Load_Booking_Report!AL:AL)), 0)), "Not Found")</f>
        <v/>
      </c>
      <c r="Y556" s="21">
        <f t="array" ref="Y556">IFERROR(INDEX(Load_Booking_Report!V:V, MATCH(TRUE, ISNUMBER(FIND(SUBSTITUTE(C556," ",""), Load_Booking_Report!AL:AL)), 0)), "Not Found")</f>
        <v/>
      </c>
      <c r="Z556" s="41">
        <f t="array" ref="Z556">IFERROR(INDEX(Load_Booking_Report!BC:BC, MATCH(TRUE, ISNUMBER(FIND(SUBSTITUTE(C556," ",""), Load_Booking_Report!AL:AL)), 0)), "Not Found")</f>
        <v/>
      </c>
    </row>
    <row r="557">
      <c r="A557" t="n">
        <v>30</v>
      </c>
      <c r="B557" t="n">
        <v>300184</v>
      </c>
      <c r="C557" t="inlineStr">
        <is>
          <t>ANON0000000</t>
        </is>
      </c>
      <c r="D557" t="n">
        <v>40</v>
      </c>
      <c r="E557" t="inlineStr">
        <is>
          <t>USNFK</t>
        </is>
      </c>
      <c r="F557" t="inlineStr">
        <is>
          <t>RULED</t>
        </is>
      </c>
      <c r="G557" t="n">
        <v>23200</v>
      </c>
      <c r="H557" t="inlineStr">
        <is>
          <t>MCL</t>
        </is>
      </c>
      <c r="I557" t="inlineStr">
        <is>
          <t>45G1</t>
        </is>
      </c>
      <c r="L557" t="inlineStr">
        <is>
          <t>OOG</t>
        </is>
      </c>
      <c r="M557" t="inlineStr">
        <is>
          <t>Full</t>
        </is>
      </c>
      <c r="N557" t="inlineStr">
        <is>
          <t>RULED</t>
        </is>
      </c>
      <c r="P557" s="21">
        <f>C557</f>
        <v/>
      </c>
      <c r="Q557" s="21">
        <f t="array" ref="Q557">IFERROR(INDEX(Load_Booking_Report!AC:AC, MATCH(TRUE, ISNUMBER(FIND(SUBSTITUTE(C557," ",""), Load_Booking_Report!AL:AL)), 0)), "Not Found")</f>
        <v/>
      </c>
      <c r="R557" s="21">
        <f t="array" ref="R557">IFERROR(INDEX(Load_Booking_Report!C:C, MATCH(TRUE, ISNUMBER(FIND(SUBSTITUTE(C557," ",""), Load_Booking_Report!AL:AL)), 0)), "Not Found")</f>
        <v/>
      </c>
      <c r="S557" s="21">
        <f t="array" ref="S557">IFERROR(INDEX(Load_Booking_Report!AG:AG, MATCH(TRUE, ISNUMBER(FIND(SUBSTITUTE(C557," ",""), Load_Booking_Report!AL:AL)), 0)), "Not Found")</f>
        <v/>
      </c>
      <c r="T557" s="21">
        <f>G557</f>
        <v/>
      </c>
      <c r="U557" s="33">
        <f t="array" ref="U557">IFERROR(
   IF(
      INDEX(Load_Booking_Report!AM:AM,
             MATCH(TRUE,
                     ISNUMBER(FIND(SUBSTITUTE(C557," ",""),
                                    Load_Booking_Report!AL:AL)),
                     0)
      )=0,
      "",
      INDEX(Load_Booking_Report!AM:AM,
             MATCH(TRUE,
                     ISNUMBER(FIND(SUBSTITUTE(C557," ",""),
                                    Load_Booking_Report!AL:AL)),
                     0)
      )
   ),
   ""
)</f>
        <v/>
      </c>
      <c r="V557" s="21">
        <f t="array" ref="V557">IFERROR(
   IF(
      INDEX(Load_Booking_Report!AR:AR,
             MATCH(TRUE,
                     ISNUMBER(FIND(SUBSTITUTE(C557," ",""),
                                    Load_Booking_Report!AL:AL)),
                     0)
      )=0,
      "",
      INDEX(Load_Booking_Report!AR:AR,
             MATCH(TRUE,
                     ISNUMBER(FIND(SUBSTITUTE(C557," ",""),
                                    Load_Booking_Report!AL:AL)),
                     0)
      )
   ),
   ""
)</f>
        <v/>
      </c>
      <c r="W557" s="21">
        <f t="array" ref="W557">IFERROR(INDEX(Load_Booking_Report!F:F, MATCH(TRUE, ISNUMBER(FIND(SUBSTITUTE(C557," ",""), Load_Booking_Report!AL:AL)), 0)), "Not Found")</f>
        <v/>
      </c>
      <c r="X557" s="21">
        <f t="array" ref="X557">IFERROR(INDEX(Load_Booking_Report!N:N, MATCH(TRUE, ISNUMBER(FIND(SUBSTITUTE(C557," ",""), Load_Booking_Report!AL:AL)), 0)), "Not Found")</f>
        <v/>
      </c>
      <c r="Y557" s="21">
        <f t="array" ref="Y557">IFERROR(INDEX(Load_Booking_Report!V:V, MATCH(TRUE, ISNUMBER(FIND(SUBSTITUTE(C557," ",""), Load_Booking_Report!AL:AL)), 0)), "Not Found")</f>
        <v/>
      </c>
      <c r="Z557" s="41">
        <f t="array" ref="Z557">IFERROR(INDEX(Load_Booking_Report!BC:BC, MATCH(TRUE, ISNUMBER(FIND(SUBSTITUTE(C557," ",""), Load_Booking_Report!AL:AL)), 0)), "Not Found")</f>
        <v/>
      </c>
    </row>
    <row r="558">
      <c r="A558" t="n">
        <v>30</v>
      </c>
      <c r="B558" t="n">
        <v>300284</v>
      </c>
      <c r="C558" t="inlineStr">
        <is>
          <t>ANON0000000</t>
        </is>
      </c>
      <c r="D558" t="n">
        <v>40</v>
      </c>
      <c r="E558" t="inlineStr">
        <is>
          <t>USNFK</t>
        </is>
      </c>
      <c r="F558" t="inlineStr">
        <is>
          <t>RULED</t>
        </is>
      </c>
      <c r="G558" t="n">
        <v>23200</v>
      </c>
      <c r="H558" t="inlineStr">
        <is>
          <t>MCL</t>
        </is>
      </c>
      <c r="I558" t="inlineStr">
        <is>
          <t>45G1</t>
        </is>
      </c>
      <c r="L558" t="inlineStr">
        <is>
          <t>OOG</t>
        </is>
      </c>
      <c r="M558" t="inlineStr">
        <is>
          <t>Full</t>
        </is>
      </c>
      <c r="N558" t="inlineStr">
        <is>
          <t>RULED</t>
        </is>
      </c>
      <c r="P558" s="21">
        <f>C558</f>
        <v/>
      </c>
      <c r="Q558" s="21">
        <f t="array" ref="Q558">IFERROR(INDEX(Load_Booking_Report!AC:AC, MATCH(TRUE, ISNUMBER(FIND(SUBSTITUTE(C558," ",""), Load_Booking_Report!AL:AL)), 0)), "Not Found")</f>
        <v/>
      </c>
      <c r="R558" s="21">
        <f t="array" ref="R558">IFERROR(INDEX(Load_Booking_Report!C:C, MATCH(TRUE, ISNUMBER(FIND(SUBSTITUTE(C558," ",""), Load_Booking_Report!AL:AL)), 0)), "Not Found")</f>
        <v/>
      </c>
      <c r="S558" s="21">
        <f t="array" ref="S558">IFERROR(INDEX(Load_Booking_Report!AG:AG, MATCH(TRUE, ISNUMBER(FIND(SUBSTITUTE(C558," ",""), Load_Booking_Report!AL:AL)), 0)), "Not Found")</f>
        <v/>
      </c>
      <c r="T558" s="21">
        <f>G558</f>
        <v/>
      </c>
      <c r="U558" s="33">
        <f t="array" ref="U558">IFERROR(
   IF(
      INDEX(Load_Booking_Report!AM:AM,
             MATCH(TRUE,
                     ISNUMBER(FIND(SUBSTITUTE(C558," ",""),
                                    Load_Booking_Report!AL:AL)),
                     0)
      )=0,
      "",
      INDEX(Load_Booking_Report!AM:AM,
             MATCH(TRUE,
                     ISNUMBER(FIND(SUBSTITUTE(C558," ",""),
                                    Load_Booking_Report!AL:AL)),
                     0)
      )
   ),
   ""
)</f>
        <v/>
      </c>
      <c r="V558" s="21">
        <f t="array" ref="V558">IFERROR(
   IF(
      INDEX(Load_Booking_Report!AR:AR,
             MATCH(TRUE,
                     ISNUMBER(FIND(SUBSTITUTE(C558," ",""),
                                    Load_Booking_Report!AL:AL)),
                     0)
      )=0,
      "",
      INDEX(Load_Booking_Report!AR:AR,
             MATCH(TRUE,
                     ISNUMBER(FIND(SUBSTITUTE(C558," ",""),
                                    Load_Booking_Report!AL:AL)),
                     0)
      )
   ),
   ""
)</f>
        <v/>
      </c>
      <c r="W558" s="21">
        <f t="array" ref="W558">IFERROR(INDEX(Load_Booking_Report!F:F, MATCH(TRUE, ISNUMBER(FIND(SUBSTITUTE(C558," ",""), Load_Booking_Report!AL:AL)), 0)), "Not Found")</f>
        <v/>
      </c>
      <c r="X558" s="21">
        <f t="array" ref="X558">IFERROR(INDEX(Load_Booking_Report!N:N, MATCH(TRUE, ISNUMBER(FIND(SUBSTITUTE(C558," ",""), Load_Booking_Report!AL:AL)), 0)), "Not Found")</f>
        <v/>
      </c>
      <c r="Y558" s="21">
        <f t="array" ref="Y558">IFERROR(INDEX(Load_Booking_Report!V:V, MATCH(TRUE, ISNUMBER(FIND(SUBSTITUTE(C558," ",""), Load_Booking_Report!AL:AL)), 0)), "Not Found")</f>
        <v/>
      </c>
      <c r="Z558" s="41">
        <f t="array" ref="Z558">IFERROR(INDEX(Load_Booking_Report!BC:BC, MATCH(TRUE, ISNUMBER(FIND(SUBSTITUTE(C558," ",""), Load_Booking_Report!AL:AL)), 0)), "Not Found")</f>
        <v/>
      </c>
    </row>
    <row r="559">
      <c r="A559" t="n">
        <v>18</v>
      </c>
      <c r="B559" t="n">
        <v>180608</v>
      </c>
      <c r="C559" t="inlineStr">
        <is>
          <t>ANON0000000</t>
        </is>
      </c>
      <c r="D559" t="n">
        <v>40</v>
      </c>
      <c r="E559" t="inlineStr">
        <is>
          <t>USNFK</t>
        </is>
      </c>
      <c r="F559" t="inlineStr">
        <is>
          <t>RULED</t>
        </is>
      </c>
      <c r="G559" t="n">
        <v>23130</v>
      </c>
      <c r="H559" t="inlineStr">
        <is>
          <t>MCL</t>
        </is>
      </c>
      <c r="I559" t="inlineStr">
        <is>
          <t>45G1</t>
        </is>
      </c>
      <c r="L559" t="inlineStr">
        <is>
          <t>OOG</t>
        </is>
      </c>
      <c r="M559" t="inlineStr">
        <is>
          <t>Full</t>
        </is>
      </c>
      <c r="N559" t="inlineStr">
        <is>
          <t>RULED</t>
        </is>
      </c>
      <c r="P559" s="21">
        <f>C559</f>
        <v/>
      </c>
      <c r="Q559" s="21">
        <f t="array" ref="Q559">IFERROR(INDEX(Load_Booking_Report!AC:AC, MATCH(TRUE, ISNUMBER(FIND(SUBSTITUTE(C559," ",""), Load_Booking_Report!AL:AL)), 0)), "Not Found")</f>
        <v/>
      </c>
      <c r="R559" s="21">
        <f t="array" ref="R559">IFERROR(INDEX(Load_Booking_Report!C:C, MATCH(TRUE, ISNUMBER(FIND(SUBSTITUTE(C559," ",""), Load_Booking_Report!AL:AL)), 0)), "Not Found")</f>
        <v/>
      </c>
      <c r="S559" s="21">
        <f t="array" ref="S559">IFERROR(INDEX(Load_Booking_Report!AG:AG, MATCH(TRUE, ISNUMBER(FIND(SUBSTITUTE(C559," ",""), Load_Booking_Report!AL:AL)), 0)), "Not Found")</f>
        <v/>
      </c>
      <c r="T559" s="21">
        <f>G559</f>
        <v/>
      </c>
      <c r="U559" s="33">
        <f t="array" ref="U559">IFERROR(
   IF(
      INDEX(Load_Booking_Report!AM:AM,
             MATCH(TRUE,
                     ISNUMBER(FIND(SUBSTITUTE(C559," ",""),
                                    Load_Booking_Report!AL:AL)),
                     0)
      )=0,
      "",
      INDEX(Load_Booking_Report!AM:AM,
             MATCH(TRUE,
                     ISNUMBER(FIND(SUBSTITUTE(C559," ",""),
                                    Load_Booking_Report!AL:AL)),
                     0)
      )
   ),
   ""
)</f>
        <v/>
      </c>
      <c r="V559" s="21">
        <f t="array" ref="V559">IFERROR(
   IF(
      INDEX(Load_Booking_Report!AR:AR,
             MATCH(TRUE,
                     ISNUMBER(FIND(SUBSTITUTE(C559," ",""),
                                    Load_Booking_Report!AL:AL)),
                     0)
      )=0,
      "",
      INDEX(Load_Booking_Report!AR:AR,
             MATCH(TRUE,
                     ISNUMBER(FIND(SUBSTITUTE(C559," ",""),
                                    Load_Booking_Report!AL:AL)),
                     0)
      )
   ),
   ""
)</f>
        <v/>
      </c>
      <c r="W559" s="21">
        <f t="array" ref="W559">IFERROR(INDEX(Load_Booking_Report!F:F, MATCH(TRUE, ISNUMBER(FIND(SUBSTITUTE(C559," ",""), Load_Booking_Report!AL:AL)), 0)), "Not Found")</f>
        <v/>
      </c>
      <c r="X559" s="21">
        <f t="array" ref="X559">IFERROR(INDEX(Load_Booking_Report!N:N, MATCH(TRUE, ISNUMBER(FIND(SUBSTITUTE(C559," ",""), Load_Booking_Report!AL:AL)), 0)), "Not Found")</f>
        <v/>
      </c>
      <c r="Y559" s="21">
        <f t="array" ref="Y559">IFERROR(INDEX(Load_Booking_Report!V:V, MATCH(TRUE, ISNUMBER(FIND(SUBSTITUTE(C559," ",""), Load_Booking_Report!AL:AL)), 0)), "Not Found")</f>
        <v/>
      </c>
      <c r="Z559" s="41">
        <f t="array" ref="Z559">IFERROR(INDEX(Load_Booking_Report!BC:BC, MATCH(TRUE, ISNUMBER(FIND(SUBSTITUTE(C559," ",""), Load_Booking_Report!AL:AL)), 0)), "Not Found")</f>
        <v/>
      </c>
    </row>
    <row r="560">
      <c r="A560" t="n">
        <v>18</v>
      </c>
      <c r="B560" t="n">
        <v>180806</v>
      </c>
      <c r="C560" t="inlineStr">
        <is>
          <t>ANON0000000</t>
        </is>
      </c>
      <c r="D560" t="n">
        <v>40</v>
      </c>
      <c r="E560" t="inlineStr">
        <is>
          <t>USNFK</t>
        </is>
      </c>
      <c r="F560" t="inlineStr">
        <is>
          <t>RULED</t>
        </is>
      </c>
      <c r="G560" t="n">
        <v>23060</v>
      </c>
      <c r="H560" t="inlineStr">
        <is>
          <t>MCL</t>
        </is>
      </c>
      <c r="I560" t="inlineStr">
        <is>
          <t>45G1</t>
        </is>
      </c>
      <c r="L560" t="inlineStr">
        <is>
          <t>OOG</t>
        </is>
      </c>
      <c r="M560" t="inlineStr">
        <is>
          <t>Full</t>
        </is>
      </c>
      <c r="N560" t="inlineStr">
        <is>
          <t>RULED</t>
        </is>
      </c>
      <c r="P560" s="21">
        <f>C560</f>
        <v/>
      </c>
      <c r="Q560" s="21">
        <f t="array" ref="Q560">IFERROR(INDEX(Load_Booking_Report!AC:AC, MATCH(TRUE, ISNUMBER(FIND(SUBSTITUTE(C560," ",""), Load_Booking_Report!AL:AL)), 0)), "Not Found")</f>
        <v/>
      </c>
      <c r="R560" s="21">
        <f t="array" ref="R560">IFERROR(INDEX(Load_Booking_Report!C:C, MATCH(TRUE, ISNUMBER(FIND(SUBSTITUTE(C560," ",""), Load_Booking_Report!AL:AL)), 0)), "Not Found")</f>
        <v/>
      </c>
      <c r="S560" s="21">
        <f t="array" ref="S560">IFERROR(INDEX(Load_Booking_Report!AG:AG, MATCH(TRUE, ISNUMBER(FIND(SUBSTITUTE(C560," ",""), Load_Booking_Report!AL:AL)), 0)), "Not Found")</f>
        <v/>
      </c>
      <c r="T560" s="21">
        <f>G560</f>
        <v/>
      </c>
      <c r="U560" s="33">
        <f t="array" ref="U560">IFERROR(
   IF(
      INDEX(Load_Booking_Report!AM:AM,
             MATCH(TRUE,
                     ISNUMBER(FIND(SUBSTITUTE(C560," ",""),
                                    Load_Booking_Report!AL:AL)),
                     0)
      )=0,
      "",
      INDEX(Load_Booking_Report!AM:AM,
             MATCH(TRUE,
                     ISNUMBER(FIND(SUBSTITUTE(C560," ",""),
                                    Load_Booking_Report!AL:AL)),
                     0)
      )
   ),
   ""
)</f>
        <v/>
      </c>
      <c r="V560" s="21">
        <f t="array" ref="V560">IFERROR(
   IF(
      INDEX(Load_Booking_Report!AR:AR,
             MATCH(TRUE,
                     ISNUMBER(FIND(SUBSTITUTE(C560," ",""),
                                    Load_Booking_Report!AL:AL)),
                     0)
      )=0,
      "",
      INDEX(Load_Booking_Report!AR:AR,
             MATCH(TRUE,
                     ISNUMBER(FIND(SUBSTITUTE(C560," ",""),
                                    Load_Booking_Report!AL:AL)),
                     0)
      )
   ),
   ""
)</f>
        <v/>
      </c>
      <c r="W560" s="21">
        <f t="array" ref="W560">IFERROR(INDEX(Load_Booking_Report!F:F, MATCH(TRUE, ISNUMBER(FIND(SUBSTITUTE(C560," ",""), Load_Booking_Report!AL:AL)), 0)), "Not Found")</f>
        <v/>
      </c>
      <c r="X560" s="21">
        <f t="array" ref="X560">IFERROR(INDEX(Load_Booking_Report!N:N, MATCH(TRUE, ISNUMBER(FIND(SUBSTITUTE(C560," ",""), Load_Booking_Report!AL:AL)), 0)), "Not Found")</f>
        <v/>
      </c>
      <c r="Y560" s="21">
        <f t="array" ref="Y560">IFERROR(INDEX(Load_Booking_Report!V:V, MATCH(TRUE, ISNUMBER(FIND(SUBSTITUTE(C560," ",""), Load_Booking_Report!AL:AL)), 0)), "Not Found")</f>
        <v/>
      </c>
      <c r="Z560" s="41">
        <f t="array" ref="Z560">IFERROR(INDEX(Load_Booking_Report!BC:BC, MATCH(TRUE, ISNUMBER(FIND(SUBSTITUTE(C560," ",""), Load_Booking_Report!AL:AL)), 0)), "Not Found")</f>
        <v/>
      </c>
    </row>
    <row r="561">
      <c r="A561" t="n">
        <v>30</v>
      </c>
      <c r="B561" t="n">
        <v>300582</v>
      </c>
      <c r="C561" t="inlineStr">
        <is>
          <t>ANON0000000</t>
        </is>
      </c>
      <c r="D561" t="n">
        <v>40</v>
      </c>
      <c r="E561" t="inlineStr">
        <is>
          <t>USNFK</t>
        </is>
      </c>
      <c r="F561" t="inlineStr">
        <is>
          <t>RULED</t>
        </is>
      </c>
      <c r="G561" t="n">
        <v>28762</v>
      </c>
      <c r="H561" t="inlineStr">
        <is>
          <t>MCL</t>
        </is>
      </c>
      <c r="I561" t="inlineStr">
        <is>
          <t>45G1</t>
        </is>
      </c>
      <c r="L561" t="inlineStr">
        <is>
          <t>OOG</t>
        </is>
      </c>
      <c r="M561" t="inlineStr">
        <is>
          <t>Full</t>
        </is>
      </c>
      <c r="N561" t="inlineStr">
        <is>
          <t>RULED</t>
        </is>
      </c>
      <c r="P561" s="21">
        <f>C561</f>
        <v/>
      </c>
      <c r="Q561" s="21">
        <f t="array" ref="Q561">IFERROR(INDEX(Load_Booking_Report!AC:AC, MATCH(TRUE, ISNUMBER(FIND(SUBSTITUTE(C561," ",""), Load_Booking_Report!AL:AL)), 0)), "Not Found")</f>
        <v/>
      </c>
      <c r="R561" s="21">
        <f t="array" ref="R561">IFERROR(INDEX(Load_Booking_Report!C:C, MATCH(TRUE, ISNUMBER(FIND(SUBSTITUTE(C561," ",""), Load_Booking_Report!AL:AL)), 0)), "Not Found")</f>
        <v/>
      </c>
      <c r="S561" s="21">
        <f t="array" ref="S561">IFERROR(INDEX(Load_Booking_Report!AG:AG, MATCH(TRUE, ISNUMBER(FIND(SUBSTITUTE(C561," ",""), Load_Booking_Report!AL:AL)), 0)), "Not Found")</f>
        <v/>
      </c>
      <c r="T561" s="21">
        <f>G561</f>
        <v/>
      </c>
      <c r="U561" s="33">
        <f t="array" ref="U561">IFERROR(
   IF(
      INDEX(Load_Booking_Report!AM:AM,
             MATCH(TRUE,
                     ISNUMBER(FIND(SUBSTITUTE(C561," ",""),
                                    Load_Booking_Report!AL:AL)),
                     0)
      )=0,
      "",
      INDEX(Load_Booking_Report!AM:AM,
             MATCH(TRUE,
                     ISNUMBER(FIND(SUBSTITUTE(C561," ",""),
                                    Load_Booking_Report!AL:AL)),
                     0)
      )
   ),
   ""
)</f>
        <v/>
      </c>
      <c r="V561" s="21">
        <f t="array" ref="V561">IFERROR(
   IF(
      INDEX(Load_Booking_Report!AR:AR,
             MATCH(TRUE,
                     ISNUMBER(FIND(SUBSTITUTE(C561," ",""),
                                    Load_Booking_Report!AL:AL)),
                     0)
      )=0,
      "",
      INDEX(Load_Booking_Report!AR:AR,
             MATCH(TRUE,
                     ISNUMBER(FIND(SUBSTITUTE(C561," ",""),
                                    Load_Booking_Report!AL:AL)),
                     0)
      )
   ),
   ""
)</f>
        <v/>
      </c>
      <c r="W561" s="21">
        <f t="array" ref="W561">IFERROR(INDEX(Load_Booking_Report!F:F, MATCH(TRUE, ISNUMBER(FIND(SUBSTITUTE(C561," ",""), Load_Booking_Report!AL:AL)), 0)), "Not Found")</f>
        <v/>
      </c>
      <c r="X561" s="21">
        <f t="array" ref="X561">IFERROR(INDEX(Load_Booking_Report!N:N, MATCH(TRUE, ISNUMBER(FIND(SUBSTITUTE(C561," ",""), Load_Booking_Report!AL:AL)), 0)), "Not Found")</f>
        <v/>
      </c>
      <c r="Y561" s="21">
        <f t="array" ref="Y561">IFERROR(INDEX(Load_Booking_Report!V:V, MATCH(TRUE, ISNUMBER(FIND(SUBSTITUTE(C561," ",""), Load_Booking_Report!AL:AL)), 0)), "Not Found")</f>
        <v/>
      </c>
      <c r="Z561" s="41">
        <f t="array" ref="Z561">IFERROR(INDEX(Load_Booking_Report!BC:BC, MATCH(TRUE, ISNUMBER(FIND(SUBSTITUTE(C561," ",""), Load_Booking_Report!AL:AL)), 0)), "Not Found")</f>
        <v/>
      </c>
    </row>
    <row r="562">
      <c r="A562" t="n">
        <v>18</v>
      </c>
      <c r="B562" t="n">
        <v>180708</v>
      </c>
      <c r="C562" t="inlineStr">
        <is>
          <t>ANON0000000</t>
        </is>
      </c>
      <c r="D562" t="n">
        <v>40</v>
      </c>
      <c r="E562" t="inlineStr">
        <is>
          <t>USNFK</t>
        </is>
      </c>
      <c r="F562" t="inlineStr">
        <is>
          <t>RULED</t>
        </is>
      </c>
      <c r="G562" t="n">
        <v>21180</v>
      </c>
      <c r="H562" t="inlineStr">
        <is>
          <t>MCL</t>
        </is>
      </c>
      <c r="I562" t="inlineStr">
        <is>
          <t>45G1</t>
        </is>
      </c>
      <c r="L562" t="inlineStr">
        <is>
          <t>OOG</t>
        </is>
      </c>
      <c r="M562" t="inlineStr">
        <is>
          <t>Full</t>
        </is>
      </c>
      <c r="N562" t="inlineStr">
        <is>
          <t>RULED</t>
        </is>
      </c>
      <c r="P562" s="21">
        <f>C562</f>
        <v/>
      </c>
      <c r="Q562" s="21">
        <f t="array" ref="Q562">IFERROR(INDEX(Load_Booking_Report!AC:AC, MATCH(TRUE, ISNUMBER(FIND(SUBSTITUTE(C562," ",""), Load_Booking_Report!AL:AL)), 0)), "Not Found")</f>
        <v/>
      </c>
      <c r="R562" s="21">
        <f t="array" ref="R562">IFERROR(INDEX(Load_Booking_Report!C:C, MATCH(TRUE, ISNUMBER(FIND(SUBSTITUTE(C562," ",""), Load_Booking_Report!AL:AL)), 0)), "Not Found")</f>
        <v/>
      </c>
      <c r="S562" s="21">
        <f t="array" ref="S562">IFERROR(INDEX(Load_Booking_Report!AG:AG, MATCH(TRUE, ISNUMBER(FIND(SUBSTITUTE(C562," ",""), Load_Booking_Report!AL:AL)), 0)), "Not Found")</f>
        <v/>
      </c>
      <c r="T562" s="21">
        <f>G562</f>
        <v/>
      </c>
      <c r="U562" s="33">
        <f t="array" ref="U562">IFERROR(
   IF(
      INDEX(Load_Booking_Report!AM:AM,
             MATCH(TRUE,
                     ISNUMBER(FIND(SUBSTITUTE(C562," ",""),
                                    Load_Booking_Report!AL:AL)),
                     0)
      )=0,
      "",
      INDEX(Load_Booking_Report!AM:AM,
             MATCH(TRUE,
                     ISNUMBER(FIND(SUBSTITUTE(C562," ",""),
                                    Load_Booking_Report!AL:AL)),
                     0)
      )
   ),
   ""
)</f>
        <v/>
      </c>
      <c r="V562" s="21">
        <f t="array" ref="V562">IFERROR(
   IF(
      INDEX(Load_Booking_Report!AR:AR,
             MATCH(TRUE,
                     ISNUMBER(FIND(SUBSTITUTE(C562," ",""),
                                    Load_Booking_Report!AL:AL)),
                     0)
      )=0,
      "",
      INDEX(Load_Booking_Report!AR:AR,
             MATCH(TRUE,
                     ISNUMBER(FIND(SUBSTITUTE(C562," ",""),
                                    Load_Booking_Report!AL:AL)),
                     0)
      )
   ),
   ""
)</f>
        <v/>
      </c>
      <c r="W562" s="21">
        <f t="array" ref="W562">IFERROR(INDEX(Load_Booking_Report!F:F, MATCH(TRUE, ISNUMBER(FIND(SUBSTITUTE(C562," ",""), Load_Booking_Report!AL:AL)), 0)), "Not Found")</f>
        <v/>
      </c>
      <c r="X562" s="21">
        <f t="array" ref="X562">IFERROR(INDEX(Load_Booking_Report!N:N, MATCH(TRUE, ISNUMBER(FIND(SUBSTITUTE(C562," ",""), Load_Booking_Report!AL:AL)), 0)), "Not Found")</f>
        <v/>
      </c>
      <c r="Y562" s="21">
        <f t="array" ref="Y562">IFERROR(INDEX(Load_Booking_Report!V:V, MATCH(TRUE, ISNUMBER(FIND(SUBSTITUTE(C562," ",""), Load_Booking_Report!AL:AL)), 0)), "Not Found")</f>
        <v/>
      </c>
      <c r="Z562" s="41">
        <f t="array" ref="Z562">IFERROR(INDEX(Load_Booking_Report!BC:BC, MATCH(TRUE, ISNUMBER(FIND(SUBSTITUTE(C562," ",""), Load_Booking_Report!AL:AL)), 0)), "Not Found")</f>
        <v/>
      </c>
    </row>
    <row r="563">
      <c r="A563" t="n">
        <v>30</v>
      </c>
      <c r="B563" t="n">
        <v>300682</v>
      </c>
      <c r="C563" t="inlineStr">
        <is>
          <t>ANON0000000</t>
        </is>
      </c>
      <c r="D563" t="n">
        <v>40</v>
      </c>
      <c r="E563" t="inlineStr">
        <is>
          <t>USNFK</t>
        </is>
      </c>
      <c r="F563" t="inlineStr">
        <is>
          <t>RULED</t>
        </is>
      </c>
      <c r="G563" t="n">
        <v>30360</v>
      </c>
      <c r="H563" t="inlineStr">
        <is>
          <t>MCL</t>
        </is>
      </c>
      <c r="I563" t="inlineStr">
        <is>
          <t>45G1</t>
        </is>
      </c>
      <c r="L563" t="inlineStr">
        <is>
          <t>OOG</t>
        </is>
      </c>
      <c r="M563" t="inlineStr">
        <is>
          <t>Full</t>
        </is>
      </c>
      <c r="N563" t="inlineStr">
        <is>
          <t>RULED</t>
        </is>
      </c>
      <c r="P563" s="21">
        <f>C563</f>
        <v/>
      </c>
      <c r="Q563" s="21">
        <f t="array" ref="Q563">IFERROR(INDEX(Load_Booking_Report!AC:AC, MATCH(TRUE, ISNUMBER(FIND(SUBSTITUTE(C563," ",""), Load_Booking_Report!AL:AL)), 0)), "Not Found")</f>
        <v/>
      </c>
      <c r="R563" s="21">
        <f t="array" ref="R563">IFERROR(INDEX(Load_Booking_Report!C:C, MATCH(TRUE, ISNUMBER(FIND(SUBSTITUTE(C563," ",""), Load_Booking_Report!AL:AL)), 0)), "Not Found")</f>
        <v/>
      </c>
      <c r="S563" s="21">
        <f t="array" ref="S563">IFERROR(INDEX(Load_Booking_Report!AG:AG, MATCH(TRUE, ISNUMBER(FIND(SUBSTITUTE(C563," ",""), Load_Booking_Report!AL:AL)), 0)), "Not Found")</f>
        <v/>
      </c>
      <c r="T563" s="21">
        <f>G563</f>
        <v/>
      </c>
      <c r="U563" s="33">
        <f t="array" ref="U563">IFERROR(
   IF(
      INDEX(Load_Booking_Report!AM:AM,
             MATCH(TRUE,
                     ISNUMBER(FIND(SUBSTITUTE(C563," ",""),
                                    Load_Booking_Report!AL:AL)),
                     0)
      )=0,
      "",
      INDEX(Load_Booking_Report!AM:AM,
             MATCH(TRUE,
                     ISNUMBER(FIND(SUBSTITUTE(C563," ",""),
                                    Load_Booking_Report!AL:AL)),
                     0)
      )
   ),
   ""
)</f>
        <v/>
      </c>
      <c r="V563" s="21">
        <f t="array" ref="V563">IFERROR(
   IF(
      INDEX(Load_Booking_Report!AR:AR,
             MATCH(TRUE,
                     ISNUMBER(FIND(SUBSTITUTE(C563," ",""),
                                    Load_Booking_Report!AL:AL)),
                     0)
      )=0,
      "",
      INDEX(Load_Booking_Report!AR:AR,
             MATCH(TRUE,
                     ISNUMBER(FIND(SUBSTITUTE(C563," ",""),
                                    Load_Booking_Report!AL:AL)),
                     0)
      )
   ),
   ""
)</f>
        <v/>
      </c>
      <c r="W563" s="21">
        <f t="array" ref="W563">IFERROR(INDEX(Load_Booking_Report!F:F, MATCH(TRUE, ISNUMBER(FIND(SUBSTITUTE(C563," ",""), Load_Booking_Report!AL:AL)), 0)), "Not Found")</f>
        <v/>
      </c>
      <c r="X563" s="21">
        <f t="array" ref="X563">IFERROR(INDEX(Load_Booking_Report!N:N, MATCH(TRUE, ISNUMBER(FIND(SUBSTITUTE(C563," ",""), Load_Booking_Report!AL:AL)), 0)), "Not Found")</f>
        <v/>
      </c>
      <c r="Y563" s="21">
        <f t="array" ref="Y563">IFERROR(INDEX(Load_Booking_Report!V:V, MATCH(TRUE, ISNUMBER(FIND(SUBSTITUTE(C563," ",""), Load_Booking_Report!AL:AL)), 0)), "Not Found")</f>
        <v/>
      </c>
      <c r="Z563" s="41">
        <f t="array" ref="Z563">IFERROR(INDEX(Load_Booking_Report!BC:BC, MATCH(TRUE, ISNUMBER(FIND(SUBSTITUTE(C563," ",""), Load_Booking_Report!AL:AL)), 0)), "Not Found")</f>
        <v/>
      </c>
    </row>
    <row r="564">
      <c r="A564" t="n">
        <v>30</v>
      </c>
      <c r="B564" t="n">
        <v>300384</v>
      </c>
      <c r="C564" t="inlineStr">
        <is>
          <t>ANON0000000</t>
        </is>
      </c>
      <c r="D564" t="n">
        <v>40</v>
      </c>
      <c r="E564" t="inlineStr">
        <is>
          <t>USNFK</t>
        </is>
      </c>
      <c r="F564" t="inlineStr">
        <is>
          <t>RULED</t>
        </is>
      </c>
      <c r="G564" t="n">
        <v>24198</v>
      </c>
      <c r="H564" t="inlineStr">
        <is>
          <t>MCL</t>
        </is>
      </c>
      <c r="I564" t="inlineStr">
        <is>
          <t>45G1</t>
        </is>
      </c>
      <c r="L564" t="inlineStr">
        <is>
          <t>OOG</t>
        </is>
      </c>
      <c r="M564" t="inlineStr">
        <is>
          <t>Full</t>
        </is>
      </c>
      <c r="N564" t="inlineStr">
        <is>
          <t>RULED</t>
        </is>
      </c>
      <c r="P564" s="21">
        <f>C564</f>
        <v/>
      </c>
      <c r="Q564" s="21">
        <f t="array" ref="Q564">IFERROR(INDEX(Load_Booking_Report!AC:AC, MATCH(TRUE, ISNUMBER(FIND(SUBSTITUTE(C564," ",""), Load_Booking_Report!AL:AL)), 0)), "Not Found")</f>
        <v/>
      </c>
      <c r="R564" s="21">
        <f t="array" ref="R564">IFERROR(INDEX(Load_Booking_Report!C:C, MATCH(TRUE, ISNUMBER(FIND(SUBSTITUTE(C564," ",""), Load_Booking_Report!AL:AL)), 0)), "Not Found")</f>
        <v/>
      </c>
      <c r="S564" s="21">
        <f t="array" ref="S564">IFERROR(INDEX(Load_Booking_Report!AG:AG, MATCH(TRUE, ISNUMBER(FIND(SUBSTITUTE(C564," ",""), Load_Booking_Report!AL:AL)), 0)), "Not Found")</f>
        <v/>
      </c>
      <c r="T564" s="21">
        <f>G564</f>
        <v/>
      </c>
      <c r="U564" s="33">
        <f t="array" ref="U564">IFERROR(
   IF(
      INDEX(Load_Booking_Report!AM:AM,
             MATCH(TRUE,
                     ISNUMBER(FIND(SUBSTITUTE(C564," ",""),
                                    Load_Booking_Report!AL:AL)),
                     0)
      )=0,
      "",
      INDEX(Load_Booking_Report!AM:AM,
             MATCH(TRUE,
                     ISNUMBER(FIND(SUBSTITUTE(C564," ",""),
                                    Load_Booking_Report!AL:AL)),
                     0)
      )
   ),
   ""
)</f>
        <v/>
      </c>
      <c r="V564" s="21">
        <f t="array" ref="V564">IFERROR(
   IF(
      INDEX(Load_Booking_Report!AR:AR,
             MATCH(TRUE,
                     ISNUMBER(FIND(SUBSTITUTE(C564," ",""),
                                    Load_Booking_Report!AL:AL)),
                     0)
      )=0,
      "",
      INDEX(Load_Booking_Report!AR:AR,
             MATCH(TRUE,
                     ISNUMBER(FIND(SUBSTITUTE(C564," ",""),
                                    Load_Booking_Report!AL:AL)),
                     0)
      )
   ),
   ""
)</f>
        <v/>
      </c>
      <c r="W564" s="21">
        <f t="array" ref="W564">IFERROR(INDEX(Load_Booking_Report!F:F, MATCH(TRUE, ISNUMBER(FIND(SUBSTITUTE(C564," ",""), Load_Booking_Report!AL:AL)), 0)), "Not Found")</f>
        <v/>
      </c>
      <c r="X564" s="21">
        <f t="array" ref="X564">IFERROR(INDEX(Load_Booking_Report!N:N, MATCH(TRUE, ISNUMBER(FIND(SUBSTITUTE(C564," ",""), Load_Booking_Report!AL:AL)), 0)), "Not Found")</f>
        <v/>
      </c>
      <c r="Y564" s="21">
        <f t="array" ref="Y564">IFERROR(INDEX(Load_Booking_Report!V:V, MATCH(TRUE, ISNUMBER(FIND(SUBSTITUTE(C564," ",""), Load_Booking_Report!AL:AL)), 0)), "Not Found")</f>
        <v/>
      </c>
      <c r="Z564" s="41">
        <f t="array" ref="Z564">IFERROR(INDEX(Load_Booking_Report!BC:BC, MATCH(TRUE, ISNUMBER(FIND(SUBSTITUTE(C564," ",""), Load_Booking_Report!AL:AL)), 0)), "Not Found")</f>
        <v/>
      </c>
    </row>
    <row r="565">
      <c r="A565" t="n">
        <v>30</v>
      </c>
      <c r="B565" t="n">
        <v>300782</v>
      </c>
      <c r="C565" t="inlineStr">
        <is>
          <t>ANON0000000</t>
        </is>
      </c>
      <c r="D565" t="n">
        <v>40</v>
      </c>
      <c r="E565" t="inlineStr">
        <is>
          <t>USNFK</t>
        </is>
      </c>
      <c r="F565" t="inlineStr">
        <is>
          <t>RULED</t>
        </is>
      </c>
      <c r="G565" t="n">
        <v>30140</v>
      </c>
      <c r="H565" t="inlineStr">
        <is>
          <t>MCL</t>
        </is>
      </c>
      <c r="I565" t="inlineStr">
        <is>
          <t>45G1</t>
        </is>
      </c>
      <c r="L565" t="inlineStr">
        <is>
          <t>OOG</t>
        </is>
      </c>
      <c r="M565" t="inlineStr">
        <is>
          <t>Full</t>
        </is>
      </c>
      <c r="N565" t="inlineStr">
        <is>
          <t>RULED</t>
        </is>
      </c>
      <c r="P565" s="21">
        <f>C565</f>
        <v/>
      </c>
      <c r="Q565" s="21">
        <f t="array" ref="Q565">IFERROR(INDEX(Load_Booking_Report!AC:AC, MATCH(TRUE, ISNUMBER(FIND(SUBSTITUTE(C565," ",""), Load_Booking_Report!AL:AL)), 0)), "Not Found")</f>
        <v/>
      </c>
      <c r="R565" s="21">
        <f t="array" ref="R565">IFERROR(INDEX(Load_Booking_Report!C:C, MATCH(TRUE, ISNUMBER(FIND(SUBSTITUTE(C565," ",""), Load_Booking_Report!AL:AL)), 0)), "Not Found")</f>
        <v/>
      </c>
      <c r="S565" s="21">
        <f t="array" ref="S565">IFERROR(INDEX(Load_Booking_Report!AG:AG, MATCH(TRUE, ISNUMBER(FIND(SUBSTITUTE(C565," ",""), Load_Booking_Report!AL:AL)), 0)), "Not Found")</f>
        <v/>
      </c>
      <c r="T565" s="21">
        <f>G565</f>
        <v/>
      </c>
      <c r="U565" s="33">
        <f t="array" ref="U565">IFERROR(
   IF(
      INDEX(Load_Booking_Report!AM:AM,
             MATCH(TRUE,
                     ISNUMBER(FIND(SUBSTITUTE(C565," ",""),
                                    Load_Booking_Report!AL:AL)),
                     0)
      )=0,
      "",
      INDEX(Load_Booking_Report!AM:AM,
             MATCH(TRUE,
                     ISNUMBER(FIND(SUBSTITUTE(C565," ",""),
                                    Load_Booking_Report!AL:AL)),
                     0)
      )
   ),
   ""
)</f>
        <v/>
      </c>
      <c r="V565" s="21">
        <f t="array" ref="V565">IFERROR(
   IF(
      INDEX(Load_Booking_Report!AR:AR,
             MATCH(TRUE,
                     ISNUMBER(FIND(SUBSTITUTE(C565," ",""),
                                    Load_Booking_Report!AL:AL)),
                     0)
      )=0,
      "",
      INDEX(Load_Booking_Report!AR:AR,
             MATCH(TRUE,
                     ISNUMBER(FIND(SUBSTITUTE(C565," ",""),
                                    Load_Booking_Report!AL:AL)),
                     0)
      )
   ),
   ""
)</f>
        <v/>
      </c>
      <c r="W565" s="21">
        <f t="array" ref="W565">IFERROR(INDEX(Load_Booking_Report!F:F, MATCH(TRUE, ISNUMBER(FIND(SUBSTITUTE(C565," ",""), Load_Booking_Report!AL:AL)), 0)), "Not Found")</f>
        <v/>
      </c>
      <c r="X565" s="21">
        <f t="array" ref="X565">IFERROR(INDEX(Load_Booking_Report!N:N, MATCH(TRUE, ISNUMBER(FIND(SUBSTITUTE(C565," ",""), Load_Booking_Report!AL:AL)), 0)), "Not Found")</f>
        <v/>
      </c>
      <c r="Y565" s="21">
        <f t="array" ref="Y565">IFERROR(INDEX(Load_Booking_Report!V:V, MATCH(TRUE, ISNUMBER(FIND(SUBSTITUTE(C565," ",""), Load_Booking_Report!AL:AL)), 0)), "Not Found")</f>
        <v/>
      </c>
      <c r="Z565" s="41">
        <f t="array" ref="Z565">IFERROR(INDEX(Load_Booking_Report!BC:BC, MATCH(TRUE, ISNUMBER(FIND(SUBSTITUTE(C565," ",""), Load_Booking_Report!AL:AL)), 0)), "Not Found")</f>
        <v/>
      </c>
    </row>
    <row r="566">
      <c r="A566" t="n">
        <v>14</v>
      </c>
      <c r="B566" t="n">
        <v>140782</v>
      </c>
      <c r="C566" t="inlineStr">
        <is>
          <t>ANON0000000</t>
        </is>
      </c>
      <c r="D566" t="n">
        <v>40</v>
      </c>
      <c r="E566" t="inlineStr">
        <is>
          <t>USNFK</t>
        </is>
      </c>
      <c r="F566" t="inlineStr">
        <is>
          <t>RULED</t>
        </is>
      </c>
      <c r="G566" t="n">
        <v>30360</v>
      </c>
      <c r="H566" t="inlineStr">
        <is>
          <t>MCL</t>
        </is>
      </c>
      <c r="I566" t="inlineStr">
        <is>
          <t>45G1</t>
        </is>
      </c>
      <c r="L566" t="inlineStr">
        <is>
          <t>OOG</t>
        </is>
      </c>
      <c r="M566" t="inlineStr">
        <is>
          <t>Full</t>
        </is>
      </c>
      <c r="N566" t="inlineStr">
        <is>
          <t>RULED</t>
        </is>
      </c>
      <c r="P566" s="21">
        <f>C566</f>
        <v/>
      </c>
      <c r="Q566" s="21">
        <f t="array" ref="Q566">IFERROR(INDEX(Load_Booking_Report!AC:AC, MATCH(TRUE, ISNUMBER(FIND(SUBSTITUTE(C566," ",""), Load_Booking_Report!AL:AL)), 0)), "Not Found")</f>
        <v/>
      </c>
      <c r="R566" s="21">
        <f t="array" ref="R566">IFERROR(INDEX(Load_Booking_Report!C:C, MATCH(TRUE, ISNUMBER(FIND(SUBSTITUTE(C566," ",""), Load_Booking_Report!AL:AL)), 0)), "Not Found")</f>
        <v/>
      </c>
      <c r="S566" s="21">
        <f t="array" ref="S566">IFERROR(INDEX(Load_Booking_Report!AG:AG, MATCH(TRUE, ISNUMBER(FIND(SUBSTITUTE(C566," ",""), Load_Booking_Report!AL:AL)), 0)), "Not Found")</f>
        <v/>
      </c>
      <c r="T566" s="21">
        <f>G566</f>
        <v/>
      </c>
      <c r="U566" s="33">
        <f t="array" ref="U566">IFERROR(
   IF(
      INDEX(Load_Booking_Report!AM:AM,
             MATCH(TRUE,
                     ISNUMBER(FIND(SUBSTITUTE(C566," ",""),
                                    Load_Booking_Report!AL:AL)),
                     0)
      )=0,
      "",
      INDEX(Load_Booking_Report!AM:AM,
             MATCH(TRUE,
                     ISNUMBER(FIND(SUBSTITUTE(C566," ",""),
                                    Load_Booking_Report!AL:AL)),
                     0)
      )
   ),
   ""
)</f>
        <v/>
      </c>
      <c r="V566" s="21">
        <f t="array" ref="V566">IFERROR(
   IF(
      INDEX(Load_Booking_Report!AR:AR,
             MATCH(TRUE,
                     ISNUMBER(FIND(SUBSTITUTE(C566," ",""),
                                    Load_Booking_Report!AL:AL)),
                     0)
      )=0,
      "",
      INDEX(Load_Booking_Report!AR:AR,
             MATCH(TRUE,
                     ISNUMBER(FIND(SUBSTITUTE(C566," ",""),
                                    Load_Booking_Report!AL:AL)),
                     0)
      )
   ),
   ""
)</f>
        <v/>
      </c>
      <c r="W566" s="21">
        <f t="array" ref="W566">IFERROR(INDEX(Load_Booking_Report!F:F, MATCH(TRUE, ISNUMBER(FIND(SUBSTITUTE(C566," ",""), Load_Booking_Report!AL:AL)), 0)), "Not Found")</f>
        <v/>
      </c>
      <c r="X566" s="21">
        <f t="array" ref="X566">IFERROR(INDEX(Load_Booking_Report!N:N, MATCH(TRUE, ISNUMBER(FIND(SUBSTITUTE(C566," ",""), Load_Booking_Report!AL:AL)), 0)), "Not Found")</f>
        <v/>
      </c>
      <c r="Y566" s="21">
        <f t="array" ref="Y566">IFERROR(INDEX(Load_Booking_Report!V:V, MATCH(TRUE, ISNUMBER(FIND(SUBSTITUTE(C566," ",""), Load_Booking_Report!AL:AL)), 0)), "Not Found")</f>
        <v/>
      </c>
      <c r="Z566" s="41">
        <f t="array" ref="Z566">IFERROR(INDEX(Load_Booking_Report!BC:BC, MATCH(TRUE, ISNUMBER(FIND(SUBSTITUTE(C566," ",""), Load_Booking_Report!AL:AL)), 0)), "Not Found")</f>
        <v/>
      </c>
    </row>
    <row r="567">
      <c r="A567" t="n">
        <v>30</v>
      </c>
      <c r="B567" t="n">
        <v>300982</v>
      </c>
      <c r="C567" t="inlineStr">
        <is>
          <t>ANON0000000</t>
        </is>
      </c>
      <c r="D567" t="n">
        <v>40</v>
      </c>
      <c r="E567" t="inlineStr">
        <is>
          <t>USNFK</t>
        </is>
      </c>
      <c r="F567" t="inlineStr">
        <is>
          <t>RULED</t>
        </is>
      </c>
      <c r="G567" t="n">
        <v>30100</v>
      </c>
      <c r="H567" t="inlineStr">
        <is>
          <t>MCL</t>
        </is>
      </c>
      <c r="I567" t="inlineStr">
        <is>
          <t>45G1</t>
        </is>
      </c>
      <c r="L567" t="inlineStr">
        <is>
          <t>OOG</t>
        </is>
      </c>
      <c r="M567" t="inlineStr">
        <is>
          <t>Full</t>
        </is>
      </c>
      <c r="N567" t="inlineStr">
        <is>
          <t>RULED</t>
        </is>
      </c>
      <c r="P567" s="21">
        <f>C567</f>
        <v/>
      </c>
      <c r="Q567" s="21">
        <f t="array" ref="Q567">IFERROR(INDEX(Load_Booking_Report!AC:AC, MATCH(TRUE, ISNUMBER(FIND(SUBSTITUTE(C567," ",""), Load_Booking_Report!AL:AL)), 0)), "Not Found")</f>
        <v/>
      </c>
      <c r="R567" s="21">
        <f t="array" ref="R567">IFERROR(INDEX(Load_Booking_Report!C:C, MATCH(TRUE, ISNUMBER(FIND(SUBSTITUTE(C567," ",""), Load_Booking_Report!AL:AL)), 0)), "Not Found")</f>
        <v/>
      </c>
      <c r="S567" s="21">
        <f t="array" ref="S567">IFERROR(INDEX(Load_Booking_Report!AG:AG, MATCH(TRUE, ISNUMBER(FIND(SUBSTITUTE(C567," ",""), Load_Booking_Report!AL:AL)), 0)), "Not Found")</f>
        <v/>
      </c>
      <c r="T567" s="21">
        <f>G567</f>
        <v/>
      </c>
      <c r="U567" s="33">
        <f t="array" ref="U567">IFERROR(
   IF(
      INDEX(Load_Booking_Report!AM:AM,
             MATCH(TRUE,
                     ISNUMBER(FIND(SUBSTITUTE(C567," ",""),
                                    Load_Booking_Report!AL:AL)),
                     0)
      )=0,
      "",
      INDEX(Load_Booking_Report!AM:AM,
             MATCH(TRUE,
                     ISNUMBER(FIND(SUBSTITUTE(C567," ",""),
                                    Load_Booking_Report!AL:AL)),
                     0)
      )
   ),
   ""
)</f>
        <v/>
      </c>
      <c r="V567" s="21">
        <f t="array" ref="V567">IFERROR(
   IF(
      INDEX(Load_Booking_Report!AR:AR,
             MATCH(TRUE,
                     ISNUMBER(FIND(SUBSTITUTE(C567," ",""),
                                    Load_Booking_Report!AL:AL)),
                     0)
      )=0,
      "",
      INDEX(Load_Booking_Report!AR:AR,
             MATCH(TRUE,
                     ISNUMBER(FIND(SUBSTITUTE(C567," ",""),
                                    Load_Booking_Report!AL:AL)),
                     0)
      )
   ),
   ""
)</f>
        <v/>
      </c>
      <c r="W567" s="21">
        <f t="array" ref="W567">IFERROR(INDEX(Load_Booking_Report!F:F, MATCH(TRUE, ISNUMBER(FIND(SUBSTITUTE(C567," ",""), Load_Booking_Report!AL:AL)), 0)), "Not Found")</f>
        <v/>
      </c>
      <c r="X567" s="21">
        <f t="array" ref="X567">IFERROR(INDEX(Load_Booking_Report!N:N, MATCH(TRUE, ISNUMBER(FIND(SUBSTITUTE(C567," ",""), Load_Booking_Report!AL:AL)), 0)), "Not Found")</f>
        <v/>
      </c>
      <c r="Y567" s="21">
        <f t="array" ref="Y567">IFERROR(INDEX(Load_Booking_Report!V:V, MATCH(TRUE, ISNUMBER(FIND(SUBSTITUTE(C567," ",""), Load_Booking_Report!AL:AL)), 0)), "Not Found")</f>
        <v/>
      </c>
      <c r="Z567" s="41">
        <f t="array" ref="Z567">IFERROR(INDEX(Load_Booking_Report!BC:BC, MATCH(TRUE, ISNUMBER(FIND(SUBSTITUTE(C567," ",""), Load_Booking_Report!AL:AL)), 0)), "Not Found")</f>
        <v/>
      </c>
    </row>
    <row r="568">
      <c r="A568" t="n">
        <v>22</v>
      </c>
      <c r="B568" t="n">
        <v>220886</v>
      </c>
      <c r="C568" t="inlineStr">
        <is>
          <t>ANON0000000</t>
        </is>
      </c>
      <c r="D568" t="n">
        <v>40</v>
      </c>
      <c r="E568" t="inlineStr">
        <is>
          <t>USNFK</t>
        </is>
      </c>
      <c r="F568" t="inlineStr">
        <is>
          <t>RULED</t>
        </is>
      </c>
      <c r="G568" t="n">
        <v>24200</v>
      </c>
      <c r="H568" t="inlineStr">
        <is>
          <t>MCL</t>
        </is>
      </c>
      <c r="I568" t="inlineStr">
        <is>
          <t>45G1</t>
        </is>
      </c>
      <c r="L568" t="inlineStr">
        <is>
          <t>9'6</t>
        </is>
      </c>
      <c r="M568" t="inlineStr">
        <is>
          <t>Full</t>
        </is>
      </c>
      <c r="N568" t="inlineStr">
        <is>
          <t>RULED</t>
        </is>
      </c>
      <c r="P568" s="21">
        <f>C568</f>
        <v/>
      </c>
      <c r="Q568" s="21">
        <f t="array" ref="Q568">IFERROR(INDEX(Load_Booking_Report!AC:AC, MATCH(TRUE, ISNUMBER(FIND(SUBSTITUTE(C568," ",""), Load_Booking_Report!AL:AL)), 0)), "Not Found")</f>
        <v/>
      </c>
      <c r="R568" s="21">
        <f t="array" ref="R568">IFERROR(INDEX(Load_Booking_Report!C:C, MATCH(TRUE, ISNUMBER(FIND(SUBSTITUTE(C568," ",""), Load_Booking_Report!AL:AL)), 0)), "Not Found")</f>
        <v/>
      </c>
      <c r="S568" s="21">
        <f t="array" ref="S568">IFERROR(INDEX(Load_Booking_Report!AG:AG, MATCH(TRUE, ISNUMBER(FIND(SUBSTITUTE(C568," ",""), Load_Booking_Report!AL:AL)), 0)), "Not Found")</f>
        <v/>
      </c>
      <c r="T568" s="21">
        <f>G568</f>
        <v/>
      </c>
      <c r="U568" s="33">
        <f t="array" ref="U568">IFERROR(
   IF(
      INDEX(Load_Booking_Report!AM:AM,
             MATCH(TRUE,
                     ISNUMBER(FIND(SUBSTITUTE(C568," ",""),
                                    Load_Booking_Report!AL:AL)),
                     0)
      )=0,
      "",
      INDEX(Load_Booking_Report!AM:AM,
             MATCH(TRUE,
                     ISNUMBER(FIND(SUBSTITUTE(C568," ",""),
                                    Load_Booking_Report!AL:AL)),
                     0)
      )
   ),
   ""
)</f>
        <v/>
      </c>
      <c r="V568" s="21">
        <f t="array" ref="V568">IFERROR(
   IF(
      INDEX(Load_Booking_Report!AR:AR,
             MATCH(TRUE,
                     ISNUMBER(FIND(SUBSTITUTE(C568," ",""),
                                    Load_Booking_Report!AL:AL)),
                     0)
      )=0,
      "",
      INDEX(Load_Booking_Report!AR:AR,
             MATCH(TRUE,
                     ISNUMBER(FIND(SUBSTITUTE(C568," ",""),
                                    Load_Booking_Report!AL:AL)),
                     0)
      )
   ),
   ""
)</f>
        <v/>
      </c>
      <c r="W568" s="21">
        <f t="array" ref="W568">IFERROR(INDEX(Load_Booking_Report!F:F, MATCH(TRUE, ISNUMBER(FIND(SUBSTITUTE(C568," ",""), Load_Booking_Report!AL:AL)), 0)), "Not Found")</f>
        <v/>
      </c>
      <c r="X568" s="21">
        <f t="array" ref="X568">IFERROR(INDEX(Load_Booking_Report!N:N, MATCH(TRUE, ISNUMBER(FIND(SUBSTITUTE(C568," ",""), Load_Booking_Report!AL:AL)), 0)), "Not Found")</f>
        <v/>
      </c>
      <c r="Y568" s="21">
        <f t="array" ref="Y568">IFERROR(INDEX(Load_Booking_Report!V:V, MATCH(TRUE, ISNUMBER(FIND(SUBSTITUTE(C568," ",""), Load_Booking_Report!AL:AL)), 0)), "Not Found")</f>
        <v/>
      </c>
      <c r="Z568" s="41">
        <f t="array" ref="Z568">IFERROR(INDEX(Load_Booking_Report!BC:BC, MATCH(TRUE, ISNUMBER(FIND(SUBSTITUTE(C568," ",""), Load_Booking_Report!AL:AL)), 0)), "Not Found")</f>
        <v/>
      </c>
    </row>
    <row r="569">
      <c r="A569" t="n">
        <v>26</v>
      </c>
      <c r="B569" t="n">
        <v>260806</v>
      </c>
      <c r="C569" t="inlineStr">
        <is>
          <t>ANON0000000</t>
        </is>
      </c>
      <c r="D569" t="n">
        <v>40</v>
      </c>
      <c r="E569" t="inlineStr">
        <is>
          <t>USNYC</t>
        </is>
      </c>
      <c r="F569" t="inlineStr">
        <is>
          <t>RULED</t>
        </is>
      </c>
      <c r="G569" t="n">
        <v>15248</v>
      </c>
      <c r="H569" t="inlineStr">
        <is>
          <t>MCL</t>
        </is>
      </c>
      <c r="I569" t="inlineStr">
        <is>
          <t>45G1</t>
        </is>
      </c>
      <c r="L569" t="inlineStr">
        <is>
          <t>9'6</t>
        </is>
      </c>
      <c r="M569" t="inlineStr">
        <is>
          <t>Full</t>
        </is>
      </c>
      <c r="N569" t="inlineStr">
        <is>
          <t>RUBLT</t>
        </is>
      </c>
      <c r="P569" s="21">
        <f>C569</f>
        <v/>
      </c>
      <c r="Q569" s="21">
        <f t="array" ref="Q569">IFERROR(INDEX(Load_Booking_Report!AC:AC, MATCH(TRUE, ISNUMBER(FIND(SUBSTITUTE(C569," ",""), Load_Booking_Report!AL:AL)), 0)), "Not Found")</f>
        <v/>
      </c>
      <c r="R569" s="21">
        <f t="array" ref="R569">IFERROR(INDEX(Load_Booking_Report!C:C, MATCH(TRUE, ISNUMBER(FIND(SUBSTITUTE(C569," ",""), Load_Booking_Report!AL:AL)), 0)), "Not Found")</f>
        <v/>
      </c>
      <c r="S569" s="21">
        <f t="array" ref="S569">IFERROR(INDEX(Load_Booking_Report!AG:AG, MATCH(TRUE, ISNUMBER(FIND(SUBSTITUTE(C569," ",""), Load_Booking_Report!AL:AL)), 0)), "Not Found")</f>
        <v/>
      </c>
      <c r="T569" s="21">
        <f>G569</f>
        <v/>
      </c>
      <c r="U569" s="33">
        <f t="array" ref="U569">IFERROR(
   IF(
      INDEX(Load_Booking_Report!AM:AM,
             MATCH(TRUE,
                     ISNUMBER(FIND(SUBSTITUTE(C569," ",""),
                                    Load_Booking_Report!AL:AL)),
                     0)
      )=0,
      "",
      INDEX(Load_Booking_Report!AM:AM,
             MATCH(TRUE,
                     ISNUMBER(FIND(SUBSTITUTE(C569," ",""),
                                    Load_Booking_Report!AL:AL)),
                     0)
      )
   ),
   ""
)</f>
        <v/>
      </c>
      <c r="V569" s="21">
        <f t="array" ref="V569">IFERROR(
   IF(
      INDEX(Load_Booking_Report!AR:AR,
             MATCH(TRUE,
                     ISNUMBER(FIND(SUBSTITUTE(C569," ",""),
                                    Load_Booking_Report!AL:AL)),
                     0)
      )=0,
      "",
      INDEX(Load_Booking_Report!AR:AR,
             MATCH(TRUE,
                     ISNUMBER(FIND(SUBSTITUTE(C569," ",""),
                                    Load_Booking_Report!AL:AL)),
                     0)
      )
   ),
   ""
)</f>
        <v/>
      </c>
      <c r="W569" s="21">
        <f t="array" ref="W569">IFERROR(INDEX(Load_Booking_Report!F:F, MATCH(TRUE, ISNUMBER(FIND(SUBSTITUTE(C569," ",""), Load_Booking_Report!AL:AL)), 0)), "Not Found")</f>
        <v/>
      </c>
      <c r="X569" s="21">
        <f t="array" ref="X569">IFERROR(INDEX(Load_Booking_Report!N:N, MATCH(TRUE, ISNUMBER(FIND(SUBSTITUTE(C569," ",""), Load_Booking_Report!AL:AL)), 0)), "Not Found")</f>
        <v/>
      </c>
      <c r="Y569" s="21">
        <f t="array" ref="Y569">IFERROR(INDEX(Load_Booking_Report!V:V, MATCH(TRUE, ISNUMBER(FIND(SUBSTITUTE(C569," ",""), Load_Booking_Report!AL:AL)), 0)), "Not Found")</f>
        <v/>
      </c>
      <c r="Z569" s="41">
        <f t="array" ref="Z569">IFERROR(INDEX(Load_Booking_Report!BC:BC, MATCH(TRUE, ISNUMBER(FIND(SUBSTITUTE(C569," ",""), Load_Booking_Report!AL:AL)), 0)), "Not Found")</f>
        <v/>
      </c>
    </row>
    <row r="570">
      <c r="A570" t="n">
        <v>30</v>
      </c>
      <c r="B570" t="n">
        <v>300382</v>
      </c>
      <c r="C570" t="inlineStr">
        <is>
          <t>ANON0000000</t>
        </is>
      </c>
      <c r="D570" t="n">
        <v>40</v>
      </c>
      <c r="E570" t="inlineStr">
        <is>
          <t>USNFK</t>
        </is>
      </c>
      <c r="F570" t="inlineStr">
        <is>
          <t>RULED</t>
        </is>
      </c>
      <c r="G570" t="n">
        <v>28762</v>
      </c>
      <c r="H570" t="inlineStr">
        <is>
          <t>MCL</t>
        </is>
      </c>
      <c r="I570" t="inlineStr">
        <is>
          <t>45G1</t>
        </is>
      </c>
      <c r="L570" t="inlineStr">
        <is>
          <t>OOG</t>
        </is>
      </c>
      <c r="M570" t="inlineStr">
        <is>
          <t>Full</t>
        </is>
      </c>
      <c r="N570" t="inlineStr">
        <is>
          <t>RULED</t>
        </is>
      </c>
      <c r="P570" s="21">
        <f>C570</f>
        <v/>
      </c>
      <c r="Q570" s="21">
        <f t="array" ref="Q570">IFERROR(INDEX(Load_Booking_Report!AC:AC, MATCH(TRUE, ISNUMBER(FIND(SUBSTITUTE(C570," ",""), Load_Booking_Report!AL:AL)), 0)), "Not Found")</f>
        <v/>
      </c>
      <c r="R570" s="21">
        <f t="array" ref="R570">IFERROR(INDEX(Load_Booking_Report!C:C, MATCH(TRUE, ISNUMBER(FIND(SUBSTITUTE(C570," ",""), Load_Booking_Report!AL:AL)), 0)), "Not Found")</f>
        <v/>
      </c>
      <c r="S570" s="21">
        <f t="array" ref="S570">IFERROR(INDEX(Load_Booking_Report!AG:AG, MATCH(TRUE, ISNUMBER(FIND(SUBSTITUTE(C570," ",""), Load_Booking_Report!AL:AL)), 0)), "Not Found")</f>
        <v/>
      </c>
      <c r="T570" s="21">
        <f>G570</f>
        <v/>
      </c>
      <c r="U570" s="33">
        <f t="array" ref="U570">IFERROR(
   IF(
      INDEX(Load_Booking_Report!AM:AM,
             MATCH(TRUE,
                     ISNUMBER(FIND(SUBSTITUTE(C570," ",""),
                                    Load_Booking_Report!AL:AL)),
                     0)
      )=0,
      "",
      INDEX(Load_Booking_Report!AM:AM,
             MATCH(TRUE,
                     ISNUMBER(FIND(SUBSTITUTE(C570," ",""),
                                    Load_Booking_Report!AL:AL)),
                     0)
      )
   ),
   ""
)</f>
        <v/>
      </c>
      <c r="V570" s="21">
        <f t="array" ref="V570">IFERROR(
   IF(
      INDEX(Load_Booking_Report!AR:AR,
             MATCH(TRUE,
                     ISNUMBER(FIND(SUBSTITUTE(C570," ",""),
                                    Load_Booking_Report!AL:AL)),
                     0)
      )=0,
      "",
      INDEX(Load_Booking_Report!AR:AR,
             MATCH(TRUE,
                     ISNUMBER(FIND(SUBSTITUTE(C570," ",""),
                                    Load_Booking_Report!AL:AL)),
                     0)
      )
   ),
   ""
)</f>
        <v/>
      </c>
      <c r="W570" s="21">
        <f t="array" ref="W570">IFERROR(INDEX(Load_Booking_Report!F:F, MATCH(TRUE, ISNUMBER(FIND(SUBSTITUTE(C570," ",""), Load_Booking_Report!AL:AL)), 0)), "Not Found")</f>
        <v/>
      </c>
      <c r="X570" s="21">
        <f t="array" ref="X570">IFERROR(INDEX(Load_Booking_Report!N:N, MATCH(TRUE, ISNUMBER(FIND(SUBSTITUTE(C570," ",""), Load_Booking_Report!AL:AL)), 0)), "Not Found")</f>
        <v/>
      </c>
      <c r="Y570" s="21">
        <f t="array" ref="Y570">IFERROR(INDEX(Load_Booking_Report!V:V, MATCH(TRUE, ISNUMBER(FIND(SUBSTITUTE(C570," ",""), Load_Booking_Report!AL:AL)), 0)), "Not Found")</f>
        <v/>
      </c>
      <c r="Z570" s="41">
        <f t="array" ref="Z570">IFERROR(INDEX(Load_Booking_Report!BC:BC, MATCH(TRUE, ISNUMBER(FIND(SUBSTITUTE(C570," ",""), Load_Booking_Report!AL:AL)), 0)), "Not Found")</f>
        <v/>
      </c>
    </row>
    <row r="571">
      <c r="A571" t="n">
        <v>18</v>
      </c>
      <c r="B571" t="n">
        <v>180808</v>
      </c>
      <c r="C571" t="inlineStr">
        <is>
          <t>ANON0000000</t>
        </is>
      </c>
      <c r="D571" t="n">
        <v>40</v>
      </c>
      <c r="E571" t="inlineStr">
        <is>
          <t>USNFK</t>
        </is>
      </c>
      <c r="F571" t="inlineStr">
        <is>
          <t>RULED</t>
        </is>
      </c>
      <c r="G571" t="n">
        <v>8669</v>
      </c>
      <c r="H571" t="inlineStr">
        <is>
          <t>MCL</t>
        </is>
      </c>
      <c r="I571" t="inlineStr">
        <is>
          <t>45G1</t>
        </is>
      </c>
      <c r="L571" t="inlineStr">
        <is>
          <t>OOG</t>
        </is>
      </c>
      <c r="M571" t="inlineStr">
        <is>
          <t>Full</t>
        </is>
      </c>
      <c r="N571" t="inlineStr">
        <is>
          <t>RULED</t>
        </is>
      </c>
      <c r="P571" s="21">
        <f>C571</f>
        <v/>
      </c>
      <c r="Q571" s="21">
        <f t="array" ref="Q571">IFERROR(INDEX(Load_Booking_Report!AC:AC, MATCH(TRUE, ISNUMBER(FIND(SUBSTITUTE(C571," ",""), Load_Booking_Report!AL:AL)), 0)), "Not Found")</f>
        <v/>
      </c>
      <c r="R571" s="21">
        <f t="array" ref="R571">IFERROR(INDEX(Load_Booking_Report!C:C, MATCH(TRUE, ISNUMBER(FIND(SUBSTITUTE(C571," ",""), Load_Booking_Report!AL:AL)), 0)), "Not Found")</f>
        <v/>
      </c>
      <c r="S571" s="21">
        <f t="array" ref="S571">IFERROR(INDEX(Load_Booking_Report!AG:AG, MATCH(TRUE, ISNUMBER(FIND(SUBSTITUTE(C571," ",""), Load_Booking_Report!AL:AL)), 0)), "Not Found")</f>
        <v/>
      </c>
      <c r="T571" s="21">
        <f>G571</f>
        <v/>
      </c>
      <c r="U571" s="33">
        <f t="array" ref="U571">IFERROR(
   IF(
      INDEX(Load_Booking_Report!AM:AM,
             MATCH(TRUE,
                     ISNUMBER(FIND(SUBSTITUTE(C571," ",""),
                                    Load_Booking_Report!AL:AL)),
                     0)
      )=0,
      "",
      INDEX(Load_Booking_Report!AM:AM,
             MATCH(TRUE,
                     ISNUMBER(FIND(SUBSTITUTE(C571," ",""),
                                    Load_Booking_Report!AL:AL)),
                     0)
      )
   ),
   ""
)</f>
        <v/>
      </c>
      <c r="V571" s="21">
        <f t="array" ref="V571">IFERROR(
   IF(
      INDEX(Load_Booking_Report!AR:AR,
             MATCH(TRUE,
                     ISNUMBER(FIND(SUBSTITUTE(C571," ",""),
                                    Load_Booking_Report!AL:AL)),
                     0)
      )=0,
      "",
      INDEX(Load_Booking_Report!AR:AR,
             MATCH(TRUE,
                     ISNUMBER(FIND(SUBSTITUTE(C571," ",""),
                                    Load_Booking_Report!AL:AL)),
                     0)
      )
   ),
   ""
)</f>
        <v/>
      </c>
      <c r="W571" s="21">
        <f t="array" ref="W571">IFERROR(INDEX(Load_Booking_Report!F:F, MATCH(TRUE, ISNUMBER(FIND(SUBSTITUTE(C571," ",""), Load_Booking_Report!AL:AL)), 0)), "Not Found")</f>
        <v/>
      </c>
      <c r="X571" s="21">
        <f t="array" ref="X571">IFERROR(INDEX(Load_Booking_Report!N:N, MATCH(TRUE, ISNUMBER(FIND(SUBSTITUTE(C571," ",""), Load_Booking_Report!AL:AL)), 0)), "Not Found")</f>
        <v/>
      </c>
      <c r="Y571" s="21">
        <f t="array" ref="Y571">IFERROR(INDEX(Load_Booking_Report!V:V, MATCH(TRUE, ISNUMBER(FIND(SUBSTITUTE(C571," ",""), Load_Booking_Report!AL:AL)), 0)), "Not Found")</f>
        <v/>
      </c>
      <c r="Z571" s="41">
        <f t="array" ref="Z571">IFERROR(INDEX(Load_Booking_Report!BC:BC, MATCH(TRUE, ISNUMBER(FIND(SUBSTITUTE(C571," ",""), Load_Booking_Report!AL:AL)), 0)), "Not Found")</f>
        <v/>
      </c>
    </row>
    <row r="572">
      <c r="A572" t="n">
        <v>14</v>
      </c>
      <c r="B572" t="n">
        <v>140882</v>
      </c>
      <c r="C572" t="inlineStr">
        <is>
          <t>ANON0000000</t>
        </is>
      </c>
      <c r="D572" t="n">
        <v>40</v>
      </c>
      <c r="E572" t="inlineStr">
        <is>
          <t>USNFK</t>
        </is>
      </c>
      <c r="F572" t="inlineStr">
        <is>
          <t>RULED</t>
        </is>
      </c>
      <c r="G572" t="n">
        <v>24230</v>
      </c>
      <c r="H572" t="inlineStr">
        <is>
          <t>MCL</t>
        </is>
      </c>
      <c r="I572" t="inlineStr">
        <is>
          <t>45G1</t>
        </is>
      </c>
      <c r="L572" t="inlineStr">
        <is>
          <t>OOG</t>
        </is>
      </c>
      <c r="M572" t="inlineStr">
        <is>
          <t>Full</t>
        </is>
      </c>
      <c r="N572" t="inlineStr">
        <is>
          <t>RULED</t>
        </is>
      </c>
      <c r="P572" s="21">
        <f>C572</f>
        <v/>
      </c>
      <c r="Q572" s="21">
        <f t="array" ref="Q572">IFERROR(INDEX(Load_Booking_Report!AC:AC, MATCH(TRUE, ISNUMBER(FIND(SUBSTITUTE(C572," ",""), Load_Booking_Report!AL:AL)), 0)), "Not Found")</f>
        <v/>
      </c>
      <c r="R572" s="21">
        <f t="array" ref="R572">IFERROR(INDEX(Load_Booking_Report!C:C, MATCH(TRUE, ISNUMBER(FIND(SUBSTITUTE(C572," ",""), Load_Booking_Report!AL:AL)), 0)), "Not Found")</f>
        <v/>
      </c>
      <c r="S572" s="21">
        <f t="array" ref="S572">IFERROR(INDEX(Load_Booking_Report!AG:AG, MATCH(TRUE, ISNUMBER(FIND(SUBSTITUTE(C572," ",""), Load_Booking_Report!AL:AL)), 0)), "Not Found")</f>
        <v/>
      </c>
      <c r="T572" s="21">
        <f>G572</f>
        <v/>
      </c>
      <c r="U572" s="33">
        <f t="array" ref="U572">IFERROR(
   IF(
      INDEX(Load_Booking_Report!AM:AM,
             MATCH(TRUE,
                     ISNUMBER(FIND(SUBSTITUTE(C572," ",""),
                                    Load_Booking_Report!AL:AL)),
                     0)
      )=0,
      "",
      INDEX(Load_Booking_Report!AM:AM,
             MATCH(TRUE,
                     ISNUMBER(FIND(SUBSTITUTE(C572," ",""),
                                    Load_Booking_Report!AL:AL)),
                     0)
      )
   ),
   ""
)</f>
        <v/>
      </c>
      <c r="V572" s="21">
        <f t="array" ref="V572">IFERROR(
   IF(
      INDEX(Load_Booking_Report!AR:AR,
             MATCH(TRUE,
                     ISNUMBER(FIND(SUBSTITUTE(C572," ",""),
                                    Load_Booking_Report!AL:AL)),
                     0)
      )=0,
      "",
      INDEX(Load_Booking_Report!AR:AR,
             MATCH(TRUE,
                     ISNUMBER(FIND(SUBSTITUTE(C572," ",""),
                                    Load_Booking_Report!AL:AL)),
                     0)
      )
   ),
   ""
)</f>
        <v/>
      </c>
      <c r="W572" s="21">
        <f t="array" ref="W572">IFERROR(INDEX(Load_Booking_Report!F:F, MATCH(TRUE, ISNUMBER(FIND(SUBSTITUTE(C572," ",""), Load_Booking_Report!AL:AL)), 0)), "Not Found")</f>
        <v/>
      </c>
      <c r="X572" s="21">
        <f t="array" ref="X572">IFERROR(INDEX(Load_Booking_Report!N:N, MATCH(TRUE, ISNUMBER(FIND(SUBSTITUTE(C572," ",""), Load_Booking_Report!AL:AL)), 0)), "Not Found")</f>
        <v/>
      </c>
      <c r="Y572" s="21">
        <f t="array" ref="Y572">IFERROR(INDEX(Load_Booking_Report!V:V, MATCH(TRUE, ISNUMBER(FIND(SUBSTITUTE(C572," ",""), Load_Booking_Report!AL:AL)), 0)), "Not Found")</f>
        <v/>
      </c>
      <c r="Z572" s="41">
        <f t="array" ref="Z572">IFERROR(INDEX(Load_Booking_Report!BC:BC, MATCH(TRUE, ISNUMBER(FIND(SUBSTITUTE(C572," ",""), Load_Booking_Report!AL:AL)), 0)), "Not Found")</f>
        <v/>
      </c>
    </row>
    <row r="573">
      <c r="A573" t="n">
        <v>26</v>
      </c>
      <c r="B573" t="n">
        <v>260808</v>
      </c>
      <c r="C573" t="inlineStr">
        <is>
          <t>ANON0000000</t>
        </is>
      </c>
      <c r="D573" t="n">
        <v>40</v>
      </c>
      <c r="E573" t="inlineStr">
        <is>
          <t>USNYC</t>
        </is>
      </c>
      <c r="F573" t="inlineStr">
        <is>
          <t>RULED</t>
        </is>
      </c>
      <c r="G573" t="n">
        <v>15248</v>
      </c>
      <c r="H573" t="inlineStr">
        <is>
          <t>MCL</t>
        </is>
      </c>
      <c r="I573" t="inlineStr">
        <is>
          <t>45G1</t>
        </is>
      </c>
      <c r="L573" t="inlineStr">
        <is>
          <t>9'6</t>
        </is>
      </c>
      <c r="M573" t="inlineStr">
        <is>
          <t>Full</t>
        </is>
      </c>
      <c r="N573" t="inlineStr">
        <is>
          <t>RULED</t>
        </is>
      </c>
      <c r="P573" s="21">
        <f>C573</f>
        <v/>
      </c>
      <c r="Q573" s="21">
        <f t="array" ref="Q573">IFERROR(INDEX(Load_Booking_Report!AC:AC, MATCH(TRUE, ISNUMBER(FIND(SUBSTITUTE(C573," ",""), Load_Booking_Report!AL:AL)), 0)), "Not Found")</f>
        <v/>
      </c>
      <c r="R573" s="21">
        <f t="array" ref="R573">IFERROR(INDEX(Load_Booking_Report!C:C, MATCH(TRUE, ISNUMBER(FIND(SUBSTITUTE(C573," ",""), Load_Booking_Report!AL:AL)), 0)), "Not Found")</f>
        <v/>
      </c>
      <c r="S573" s="21">
        <f t="array" ref="S573">IFERROR(INDEX(Load_Booking_Report!AG:AG, MATCH(TRUE, ISNUMBER(FIND(SUBSTITUTE(C573," ",""), Load_Booking_Report!AL:AL)), 0)), "Not Found")</f>
        <v/>
      </c>
      <c r="T573" s="21">
        <f>G573</f>
        <v/>
      </c>
      <c r="U573" s="33">
        <f t="array" ref="U573">IFERROR(
   IF(
      INDEX(Load_Booking_Report!AM:AM,
             MATCH(TRUE,
                     ISNUMBER(FIND(SUBSTITUTE(C573," ",""),
                                    Load_Booking_Report!AL:AL)),
                     0)
      )=0,
      "",
      INDEX(Load_Booking_Report!AM:AM,
             MATCH(TRUE,
                     ISNUMBER(FIND(SUBSTITUTE(C573," ",""),
                                    Load_Booking_Report!AL:AL)),
                     0)
      )
   ),
   ""
)</f>
        <v/>
      </c>
      <c r="V573" s="21">
        <f t="array" ref="V573">IFERROR(
   IF(
      INDEX(Load_Booking_Report!AR:AR,
             MATCH(TRUE,
                     ISNUMBER(FIND(SUBSTITUTE(C573," ",""),
                                    Load_Booking_Report!AL:AL)),
                     0)
      )=0,
      "",
      INDEX(Load_Booking_Report!AR:AR,
             MATCH(TRUE,
                     ISNUMBER(FIND(SUBSTITUTE(C573," ",""),
                                    Load_Booking_Report!AL:AL)),
                     0)
      )
   ),
   ""
)</f>
        <v/>
      </c>
      <c r="W573" s="21">
        <f t="array" ref="W573">IFERROR(INDEX(Load_Booking_Report!F:F, MATCH(TRUE, ISNUMBER(FIND(SUBSTITUTE(C573," ",""), Load_Booking_Report!AL:AL)), 0)), "Not Found")</f>
        <v/>
      </c>
      <c r="X573" s="21">
        <f t="array" ref="X573">IFERROR(INDEX(Load_Booking_Report!N:N, MATCH(TRUE, ISNUMBER(FIND(SUBSTITUTE(C573," ",""), Load_Booking_Report!AL:AL)), 0)), "Not Found")</f>
        <v/>
      </c>
      <c r="Y573" s="21">
        <f t="array" ref="Y573">IFERROR(INDEX(Load_Booking_Report!V:V, MATCH(TRUE, ISNUMBER(FIND(SUBSTITUTE(C573," ",""), Load_Booking_Report!AL:AL)), 0)), "Not Found")</f>
        <v/>
      </c>
      <c r="Z573" s="41">
        <f t="array" ref="Z573">IFERROR(INDEX(Load_Booking_Report!BC:BC, MATCH(TRUE, ISNUMBER(FIND(SUBSTITUTE(C573," ",""), Load_Booking_Report!AL:AL)), 0)), "Not Found")</f>
        <v/>
      </c>
    </row>
    <row r="574">
      <c r="A574" t="n">
        <v>18</v>
      </c>
      <c r="B574" t="n">
        <v>180706</v>
      </c>
      <c r="C574" t="inlineStr">
        <is>
          <t>ANON0000000</t>
        </is>
      </c>
      <c r="D574" t="n">
        <v>40</v>
      </c>
      <c r="E574" t="inlineStr">
        <is>
          <t>USNFK</t>
        </is>
      </c>
      <c r="F574" t="inlineStr">
        <is>
          <t>RULED</t>
        </is>
      </c>
      <c r="G574" t="n">
        <v>12794</v>
      </c>
      <c r="H574" t="inlineStr">
        <is>
          <t>MCL</t>
        </is>
      </c>
      <c r="I574" t="inlineStr">
        <is>
          <t>45G1</t>
        </is>
      </c>
      <c r="L574" t="inlineStr">
        <is>
          <t>OOG</t>
        </is>
      </c>
      <c r="M574" t="inlineStr">
        <is>
          <t>Full</t>
        </is>
      </c>
      <c r="N574" t="inlineStr">
        <is>
          <t>RULED</t>
        </is>
      </c>
      <c r="P574" s="21">
        <f>C574</f>
        <v/>
      </c>
      <c r="Q574" s="21">
        <f t="array" ref="Q574">IFERROR(INDEX(Load_Booking_Report!AC:AC, MATCH(TRUE, ISNUMBER(FIND(SUBSTITUTE(C574," ",""), Load_Booking_Report!AL:AL)), 0)), "Not Found")</f>
        <v/>
      </c>
      <c r="R574" s="21">
        <f t="array" ref="R574">IFERROR(INDEX(Load_Booking_Report!C:C, MATCH(TRUE, ISNUMBER(FIND(SUBSTITUTE(C574," ",""), Load_Booking_Report!AL:AL)), 0)), "Not Found")</f>
        <v/>
      </c>
      <c r="S574" s="21">
        <f t="array" ref="S574">IFERROR(INDEX(Load_Booking_Report!AG:AG, MATCH(TRUE, ISNUMBER(FIND(SUBSTITUTE(C574," ",""), Load_Booking_Report!AL:AL)), 0)), "Not Found")</f>
        <v/>
      </c>
      <c r="T574" s="21">
        <f>G574</f>
        <v/>
      </c>
      <c r="U574" s="33">
        <f t="array" ref="U574">IFERROR(
   IF(
      INDEX(Load_Booking_Report!AM:AM,
             MATCH(TRUE,
                     ISNUMBER(FIND(SUBSTITUTE(C574," ",""),
                                    Load_Booking_Report!AL:AL)),
                     0)
      )=0,
      "",
      INDEX(Load_Booking_Report!AM:AM,
             MATCH(TRUE,
                     ISNUMBER(FIND(SUBSTITUTE(C574," ",""),
                                    Load_Booking_Report!AL:AL)),
                     0)
      )
   ),
   ""
)</f>
        <v/>
      </c>
      <c r="V574" s="21">
        <f t="array" ref="V574">IFERROR(
   IF(
      INDEX(Load_Booking_Report!AR:AR,
             MATCH(TRUE,
                     ISNUMBER(FIND(SUBSTITUTE(C574," ",""),
                                    Load_Booking_Report!AL:AL)),
                     0)
      )=0,
      "",
      INDEX(Load_Booking_Report!AR:AR,
             MATCH(TRUE,
                     ISNUMBER(FIND(SUBSTITUTE(C574," ",""),
                                    Load_Booking_Report!AL:AL)),
                     0)
      )
   ),
   ""
)</f>
        <v/>
      </c>
      <c r="W574" s="21">
        <f t="array" ref="W574">IFERROR(INDEX(Load_Booking_Report!F:F, MATCH(TRUE, ISNUMBER(FIND(SUBSTITUTE(C574," ",""), Load_Booking_Report!AL:AL)), 0)), "Not Found")</f>
        <v/>
      </c>
      <c r="X574" s="21">
        <f t="array" ref="X574">IFERROR(INDEX(Load_Booking_Report!N:N, MATCH(TRUE, ISNUMBER(FIND(SUBSTITUTE(C574," ",""), Load_Booking_Report!AL:AL)), 0)), "Not Found")</f>
        <v/>
      </c>
      <c r="Y574" s="21">
        <f t="array" ref="Y574">IFERROR(INDEX(Load_Booking_Report!V:V, MATCH(TRUE, ISNUMBER(FIND(SUBSTITUTE(C574," ",""), Load_Booking_Report!AL:AL)), 0)), "Not Found")</f>
        <v/>
      </c>
      <c r="Z574" s="41">
        <f t="array" ref="Z574">IFERROR(INDEX(Load_Booking_Report!BC:BC, MATCH(TRUE, ISNUMBER(FIND(SUBSTITUTE(C574," ",""), Load_Booking_Report!AL:AL)), 0)), "Not Found")</f>
        <v/>
      </c>
    </row>
    <row r="575">
      <c r="A575" t="n">
        <v>26</v>
      </c>
      <c r="B575" t="n">
        <v>260210</v>
      </c>
      <c r="C575" t="inlineStr">
        <is>
          <t>ANON0000000</t>
        </is>
      </c>
      <c r="D575" t="n">
        <v>40</v>
      </c>
      <c r="E575" t="inlineStr">
        <is>
          <t>USNYC</t>
        </is>
      </c>
      <c r="F575" t="inlineStr">
        <is>
          <t>RULED</t>
        </is>
      </c>
      <c r="G575" t="n">
        <v>30304</v>
      </c>
      <c r="H575" t="inlineStr">
        <is>
          <t>MCL</t>
        </is>
      </c>
      <c r="I575" t="inlineStr">
        <is>
          <t>45G1</t>
        </is>
      </c>
      <c r="L575" t="inlineStr">
        <is>
          <t>9'6</t>
        </is>
      </c>
      <c r="M575" t="inlineStr">
        <is>
          <t>Full</t>
        </is>
      </c>
      <c r="N575" t="inlineStr">
        <is>
          <t>RULED</t>
        </is>
      </c>
      <c r="P575" s="21">
        <f>C575</f>
        <v/>
      </c>
      <c r="Q575" s="21">
        <f t="array" ref="Q575">IFERROR(INDEX(Load_Booking_Report!AC:AC, MATCH(TRUE, ISNUMBER(FIND(SUBSTITUTE(C575," ",""), Load_Booking_Report!AL:AL)), 0)), "Not Found")</f>
        <v/>
      </c>
      <c r="R575" s="21">
        <f t="array" ref="R575">IFERROR(INDEX(Load_Booking_Report!C:C, MATCH(TRUE, ISNUMBER(FIND(SUBSTITUTE(C575," ",""), Load_Booking_Report!AL:AL)), 0)), "Not Found")</f>
        <v/>
      </c>
      <c r="S575" s="21">
        <f t="array" ref="S575">IFERROR(INDEX(Load_Booking_Report!AG:AG, MATCH(TRUE, ISNUMBER(FIND(SUBSTITUTE(C575," ",""), Load_Booking_Report!AL:AL)), 0)), "Not Found")</f>
        <v/>
      </c>
      <c r="T575" s="21">
        <f>G575</f>
        <v/>
      </c>
      <c r="U575" s="33">
        <f t="array" ref="U575">IFERROR(
   IF(
      INDEX(Load_Booking_Report!AM:AM,
             MATCH(TRUE,
                     ISNUMBER(FIND(SUBSTITUTE(C575," ",""),
                                    Load_Booking_Report!AL:AL)),
                     0)
      )=0,
      "",
      INDEX(Load_Booking_Report!AM:AM,
             MATCH(TRUE,
                     ISNUMBER(FIND(SUBSTITUTE(C575," ",""),
                                    Load_Booking_Report!AL:AL)),
                     0)
      )
   ),
   ""
)</f>
        <v/>
      </c>
      <c r="V575" s="21">
        <f t="array" ref="V575">IFERROR(
   IF(
      INDEX(Load_Booking_Report!AR:AR,
             MATCH(TRUE,
                     ISNUMBER(FIND(SUBSTITUTE(C575," ",""),
                                    Load_Booking_Report!AL:AL)),
                     0)
      )=0,
      "",
      INDEX(Load_Booking_Report!AR:AR,
             MATCH(TRUE,
                     ISNUMBER(FIND(SUBSTITUTE(C575," ",""),
                                    Load_Booking_Report!AL:AL)),
                     0)
      )
   ),
   ""
)</f>
        <v/>
      </c>
      <c r="W575" s="21">
        <f t="array" ref="W575">IFERROR(INDEX(Load_Booking_Report!F:F, MATCH(TRUE, ISNUMBER(FIND(SUBSTITUTE(C575," ",""), Load_Booking_Report!AL:AL)), 0)), "Not Found")</f>
        <v/>
      </c>
      <c r="X575" s="21">
        <f t="array" ref="X575">IFERROR(INDEX(Load_Booking_Report!N:N, MATCH(TRUE, ISNUMBER(FIND(SUBSTITUTE(C575," ",""), Load_Booking_Report!AL:AL)), 0)), "Not Found")</f>
        <v/>
      </c>
      <c r="Y575" s="21">
        <f t="array" ref="Y575">IFERROR(INDEX(Load_Booking_Report!V:V, MATCH(TRUE, ISNUMBER(FIND(SUBSTITUTE(C575," ",""), Load_Booking_Report!AL:AL)), 0)), "Not Found")</f>
        <v/>
      </c>
      <c r="Z575" s="41">
        <f t="array" ref="Z575">IFERROR(INDEX(Load_Booking_Report!BC:BC, MATCH(TRUE, ISNUMBER(FIND(SUBSTITUTE(C575," ",""), Load_Booking_Report!AL:AL)), 0)), "Not Found")</f>
        <v/>
      </c>
    </row>
    <row r="576">
      <c r="A576" t="n">
        <v>30</v>
      </c>
      <c r="B576" t="n">
        <v>300584</v>
      </c>
      <c r="C576" t="inlineStr">
        <is>
          <t>ANON0000000</t>
        </is>
      </c>
      <c r="D576" t="n">
        <v>40</v>
      </c>
      <c r="E576" t="inlineStr">
        <is>
          <t>USNFK</t>
        </is>
      </c>
      <c r="F576" t="inlineStr">
        <is>
          <t>RULED</t>
        </is>
      </c>
      <c r="G576" t="n">
        <v>23700</v>
      </c>
      <c r="H576" t="inlineStr">
        <is>
          <t>MCL</t>
        </is>
      </c>
      <c r="I576" t="inlineStr">
        <is>
          <t>45G1</t>
        </is>
      </c>
      <c r="L576" t="inlineStr">
        <is>
          <t>OOG</t>
        </is>
      </c>
      <c r="M576" t="inlineStr">
        <is>
          <t>Full</t>
        </is>
      </c>
      <c r="N576" t="inlineStr">
        <is>
          <t>RULED</t>
        </is>
      </c>
      <c r="P576" s="21">
        <f>C576</f>
        <v/>
      </c>
      <c r="Q576" s="21">
        <f t="array" ref="Q576">IFERROR(INDEX(Load_Booking_Report!AC:AC, MATCH(TRUE, ISNUMBER(FIND(SUBSTITUTE(C576," ",""), Load_Booking_Report!AL:AL)), 0)), "Not Found")</f>
        <v/>
      </c>
      <c r="R576" s="21">
        <f t="array" ref="R576">IFERROR(INDEX(Load_Booking_Report!C:C, MATCH(TRUE, ISNUMBER(FIND(SUBSTITUTE(C576," ",""), Load_Booking_Report!AL:AL)), 0)), "Not Found")</f>
        <v/>
      </c>
      <c r="S576" s="21">
        <f t="array" ref="S576">IFERROR(INDEX(Load_Booking_Report!AG:AG, MATCH(TRUE, ISNUMBER(FIND(SUBSTITUTE(C576," ",""), Load_Booking_Report!AL:AL)), 0)), "Not Found")</f>
        <v/>
      </c>
      <c r="T576" s="21">
        <f>G576</f>
        <v/>
      </c>
      <c r="U576" s="33">
        <f t="array" ref="U576">IFERROR(
   IF(
      INDEX(Load_Booking_Report!AM:AM,
             MATCH(TRUE,
                     ISNUMBER(FIND(SUBSTITUTE(C576," ",""),
                                    Load_Booking_Report!AL:AL)),
                     0)
      )=0,
      "",
      INDEX(Load_Booking_Report!AM:AM,
             MATCH(TRUE,
                     ISNUMBER(FIND(SUBSTITUTE(C576," ",""),
                                    Load_Booking_Report!AL:AL)),
                     0)
      )
   ),
   ""
)</f>
        <v/>
      </c>
      <c r="V576" s="21">
        <f t="array" ref="V576">IFERROR(
   IF(
      INDEX(Load_Booking_Report!AR:AR,
             MATCH(TRUE,
                     ISNUMBER(FIND(SUBSTITUTE(C576," ",""),
                                    Load_Booking_Report!AL:AL)),
                     0)
      )=0,
      "",
      INDEX(Load_Booking_Report!AR:AR,
             MATCH(TRUE,
                     ISNUMBER(FIND(SUBSTITUTE(C576," ",""),
                                    Load_Booking_Report!AL:AL)),
                     0)
      )
   ),
   ""
)</f>
        <v/>
      </c>
      <c r="W576" s="21">
        <f t="array" ref="W576">IFERROR(INDEX(Load_Booking_Report!F:F, MATCH(TRUE, ISNUMBER(FIND(SUBSTITUTE(C576," ",""), Load_Booking_Report!AL:AL)), 0)), "Not Found")</f>
        <v/>
      </c>
      <c r="X576" s="21">
        <f t="array" ref="X576">IFERROR(INDEX(Load_Booking_Report!N:N, MATCH(TRUE, ISNUMBER(FIND(SUBSTITUTE(C576," ",""), Load_Booking_Report!AL:AL)), 0)), "Not Found")</f>
        <v/>
      </c>
      <c r="Y576" s="21">
        <f t="array" ref="Y576">IFERROR(INDEX(Load_Booking_Report!V:V, MATCH(TRUE, ISNUMBER(FIND(SUBSTITUTE(C576," ",""), Load_Booking_Report!AL:AL)), 0)), "Not Found")</f>
        <v/>
      </c>
      <c r="Z576" s="41">
        <f t="array" ref="Z576">IFERROR(INDEX(Load_Booking_Report!BC:BC, MATCH(TRUE, ISNUMBER(FIND(SUBSTITUTE(C576," ",""), Load_Booking_Report!AL:AL)), 0)), "Not Found")</f>
        <v/>
      </c>
    </row>
    <row r="577">
      <c r="A577" t="n">
        <v>30</v>
      </c>
      <c r="B577" t="n">
        <v>300684</v>
      </c>
      <c r="C577" t="inlineStr">
        <is>
          <t>ANON0000000</t>
        </is>
      </c>
      <c r="D577" t="n">
        <v>40</v>
      </c>
      <c r="E577" t="inlineStr">
        <is>
          <t>USNFK</t>
        </is>
      </c>
      <c r="F577" t="inlineStr">
        <is>
          <t>RULED</t>
        </is>
      </c>
      <c r="G577" t="n">
        <v>21140</v>
      </c>
      <c r="H577" t="inlineStr">
        <is>
          <t>MCL</t>
        </is>
      </c>
      <c r="I577" t="inlineStr">
        <is>
          <t>45G1</t>
        </is>
      </c>
      <c r="L577" t="inlineStr">
        <is>
          <t>OOG</t>
        </is>
      </c>
      <c r="M577" t="inlineStr">
        <is>
          <t>Full</t>
        </is>
      </c>
      <c r="N577" t="inlineStr">
        <is>
          <t>RULED</t>
        </is>
      </c>
      <c r="P577" s="21">
        <f>C577</f>
        <v/>
      </c>
      <c r="Q577" s="21">
        <f t="array" ref="Q577">IFERROR(INDEX(Load_Booking_Report!AC:AC, MATCH(TRUE, ISNUMBER(FIND(SUBSTITUTE(C577," ",""), Load_Booking_Report!AL:AL)), 0)), "Not Found")</f>
        <v/>
      </c>
      <c r="R577" s="21">
        <f t="array" ref="R577">IFERROR(INDEX(Load_Booking_Report!C:C, MATCH(TRUE, ISNUMBER(FIND(SUBSTITUTE(C577," ",""), Load_Booking_Report!AL:AL)), 0)), "Not Found")</f>
        <v/>
      </c>
      <c r="S577" s="21">
        <f t="array" ref="S577">IFERROR(INDEX(Load_Booking_Report!AG:AG, MATCH(TRUE, ISNUMBER(FIND(SUBSTITUTE(C577," ",""), Load_Booking_Report!AL:AL)), 0)), "Not Found")</f>
        <v/>
      </c>
      <c r="T577" s="21">
        <f>G577</f>
        <v/>
      </c>
      <c r="U577" s="33">
        <f t="array" ref="U577">IFERROR(
   IF(
      INDEX(Load_Booking_Report!AM:AM,
             MATCH(TRUE,
                     ISNUMBER(FIND(SUBSTITUTE(C577," ",""),
                                    Load_Booking_Report!AL:AL)),
                     0)
      )=0,
      "",
      INDEX(Load_Booking_Report!AM:AM,
             MATCH(TRUE,
                     ISNUMBER(FIND(SUBSTITUTE(C577," ",""),
                                    Load_Booking_Report!AL:AL)),
                     0)
      )
   ),
   ""
)</f>
        <v/>
      </c>
      <c r="V577" s="21">
        <f t="array" ref="V577">IFERROR(
   IF(
      INDEX(Load_Booking_Report!AR:AR,
             MATCH(TRUE,
                     ISNUMBER(FIND(SUBSTITUTE(C577," ",""),
                                    Load_Booking_Report!AL:AL)),
                     0)
      )=0,
      "",
      INDEX(Load_Booking_Report!AR:AR,
             MATCH(TRUE,
                     ISNUMBER(FIND(SUBSTITUTE(C577," ",""),
                                    Load_Booking_Report!AL:AL)),
                     0)
      )
   ),
   ""
)</f>
        <v/>
      </c>
      <c r="W577" s="21">
        <f t="array" ref="W577">IFERROR(INDEX(Load_Booking_Report!F:F, MATCH(TRUE, ISNUMBER(FIND(SUBSTITUTE(C577," ",""), Load_Booking_Report!AL:AL)), 0)), "Not Found")</f>
        <v/>
      </c>
      <c r="X577" s="21">
        <f t="array" ref="X577">IFERROR(INDEX(Load_Booking_Report!N:N, MATCH(TRUE, ISNUMBER(FIND(SUBSTITUTE(C577," ",""), Load_Booking_Report!AL:AL)), 0)), "Not Found")</f>
        <v/>
      </c>
      <c r="Y577" s="21">
        <f t="array" ref="Y577">IFERROR(INDEX(Load_Booking_Report!V:V, MATCH(TRUE, ISNUMBER(FIND(SUBSTITUTE(C577," ",""), Load_Booking_Report!AL:AL)), 0)), "Not Found")</f>
        <v/>
      </c>
      <c r="Z577" s="41">
        <f t="array" ref="Z577">IFERROR(INDEX(Load_Booking_Report!BC:BC, MATCH(TRUE, ISNUMBER(FIND(SUBSTITUTE(C577," ",""), Load_Booking_Report!AL:AL)), 0)), "Not Found")</f>
        <v/>
      </c>
    </row>
    <row r="578">
      <c r="A578" t="n">
        <v>30</v>
      </c>
      <c r="B578" t="n">
        <v>300182</v>
      </c>
      <c r="C578" t="inlineStr">
        <is>
          <t>ANON0000000</t>
        </is>
      </c>
      <c r="D578" t="n">
        <v>40</v>
      </c>
      <c r="E578" t="inlineStr">
        <is>
          <t>USNFK</t>
        </is>
      </c>
      <c r="F578" t="inlineStr">
        <is>
          <t>RULED</t>
        </is>
      </c>
      <c r="G578" t="n">
        <v>28762</v>
      </c>
      <c r="H578" t="inlineStr">
        <is>
          <t>MCL</t>
        </is>
      </c>
      <c r="I578" t="inlineStr">
        <is>
          <t>45G1</t>
        </is>
      </c>
      <c r="L578" t="inlineStr">
        <is>
          <t>OOG</t>
        </is>
      </c>
      <c r="M578" t="inlineStr">
        <is>
          <t>Full</t>
        </is>
      </c>
      <c r="N578" t="inlineStr">
        <is>
          <t>RULED</t>
        </is>
      </c>
      <c r="P578" s="21">
        <f>C578</f>
        <v/>
      </c>
      <c r="Q578" s="21">
        <f t="array" ref="Q578">IFERROR(INDEX(Load_Booking_Report!AC:AC, MATCH(TRUE, ISNUMBER(FIND(SUBSTITUTE(C578," ",""), Load_Booking_Report!AL:AL)), 0)), "Not Found")</f>
        <v/>
      </c>
      <c r="R578" s="21">
        <f t="array" ref="R578">IFERROR(INDEX(Load_Booking_Report!C:C, MATCH(TRUE, ISNUMBER(FIND(SUBSTITUTE(C578," ",""), Load_Booking_Report!AL:AL)), 0)), "Not Found")</f>
        <v/>
      </c>
      <c r="S578" s="21">
        <f t="array" ref="S578">IFERROR(INDEX(Load_Booking_Report!AG:AG, MATCH(TRUE, ISNUMBER(FIND(SUBSTITUTE(C578," ",""), Load_Booking_Report!AL:AL)), 0)), "Not Found")</f>
        <v/>
      </c>
      <c r="T578" s="21">
        <f>G578</f>
        <v/>
      </c>
      <c r="U578" s="33">
        <f t="array" ref="U578">IFERROR(
   IF(
      INDEX(Load_Booking_Report!AM:AM,
             MATCH(TRUE,
                     ISNUMBER(FIND(SUBSTITUTE(C578," ",""),
                                    Load_Booking_Report!AL:AL)),
                     0)
      )=0,
      "",
      INDEX(Load_Booking_Report!AM:AM,
             MATCH(TRUE,
                     ISNUMBER(FIND(SUBSTITUTE(C578," ",""),
                                    Load_Booking_Report!AL:AL)),
                     0)
      )
   ),
   ""
)</f>
        <v/>
      </c>
      <c r="V578" s="21">
        <f t="array" ref="V578">IFERROR(
   IF(
      INDEX(Load_Booking_Report!AR:AR,
             MATCH(TRUE,
                     ISNUMBER(FIND(SUBSTITUTE(C578," ",""),
                                    Load_Booking_Report!AL:AL)),
                     0)
      )=0,
      "",
      INDEX(Load_Booking_Report!AR:AR,
             MATCH(TRUE,
                     ISNUMBER(FIND(SUBSTITUTE(C578," ",""),
                                    Load_Booking_Report!AL:AL)),
                     0)
      )
   ),
   ""
)</f>
        <v/>
      </c>
      <c r="W578" s="21">
        <f t="array" ref="W578">IFERROR(INDEX(Load_Booking_Report!F:F, MATCH(TRUE, ISNUMBER(FIND(SUBSTITUTE(C578," ",""), Load_Booking_Report!AL:AL)), 0)), "Not Found")</f>
        <v/>
      </c>
      <c r="X578" s="21">
        <f t="array" ref="X578">IFERROR(INDEX(Load_Booking_Report!N:N, MATCH(TRUE, ISNUMBER(FIND(SUBSTITUTE(C578," ",""), Load_Booking_Report!AL:AL)), 0)), "Not Found")</f>
        <v/>
      </c>
      <c r="Y578" s="21">
        <f t="array" ref="Y578">IFERROR(INDEX(Load_Booking_Report!V:V, MATCH(TRUE, ISNUMBER(FIND(SUBSTITUTE(C578," ",""), Load_Booking_Report!AL:AL)), 0)), "Not Found")</f>
        <v/>
      </c>
      <c r="Z578" s="41">
        <f t="array" ref="Z578">IFERROR(INDEX(Load_Booking_Report!BC:BC, MATCH(TRUE, ISNUMBER(FIND(SUBSTITUTE(C578," ",""), Load_Booking_Report!AL:AL)), 0)), "Not Found")</f>
        <v/>
      </c>
    </row>
    <row r="579">
      <c r="A579" t="n">
        <v>30</v>
      </c>
      <c r="B579" t="n">
        <v>300884</v>
      </c>
      <c r="C579" t="inlineStr">
        <is>
          <t>ANON0000000</t>
        </is>
      </c>
      <c r="D579" t="n">
        <v>40</v>
      </c>
      <c r="E579" t="inlineStr">
        <is>
          <t>USNFK</t>
        </is>
      </c>
      <c r="F579" t="inlineStr">
        <is>
          <t>RULED</t>
        </is>
      </c>
      <c r="G579" t="n">
        <v>21140</v>
      </c>
      <c r="H579" t="inlineStr">
        <is>
          <t>MCL</t>
        </is>
      </c>
      <c r="I579" t="inlineStr">
        <is>
          <t>45G1</t>
        </is>
      </c>
      <c r="L579" t="inlineStr">
        <is>
          <t>OOG</t>
        </is>
      </c>
      <c r="M579" t="inlineStr">
        <is>
          <t>Full</t>
        </is>
      </c>
      <c r="N579" t="inlineStr">
        <is>
          <t>RULED</t>
        </is>
      </c>
      <c r="P579" s="21">
        <f>C579</f>
        <v/>
      </c>
      <c r="Q579" s="21">
        <f t="array" ref="Q579">IFERROR(INDEX(Load_Booking_Report!AC:AC, MATCH(TRUE, ISNUMBER(FIND(SUBSTITUTE(C579," ",""), Load_Booking_Report!AL:AL)), 0)), "Not Found")</f>
        <v/>
      </c>
      <c r="R579" s="21">
        <f t="array" ref="R579">IFERROR(INDEX(Load_Booking_Report!C:C, MATCH(TRUE, ISNUMBER(FIND(SUBSTITUTE(C579," ",""), Load_Booking_Report!AL:AL)), 0)), "Not Found")</f>
        <v/>
      </c>
      <c r="S579" s="21">
        <f t="array" ref="S579">IFERROR(INDEX(Load_Booking_Report!AG:AG, MATCH(TRUE, ISNUMBER(FIND(SUBSTITUTE(C579," ",""), Load_Booking_Report!AL:AL)), 0)), "Not Found")</f>
        <v/>
      </c>
      <c r="T579" s="21">
        <f>G579</f>
        <v/>
      </c>
      <c r="U579" s="33">
        <f t="array" ref="U579">IFERROR(
   IF(
      INDEX(Load_Booking_Report!AM:AM,
             MATCH(TRUE,
                     ISNUMBER(FIND(SUBSTITUTE(C579," ",""),
                                    Load_Booking_Report!AL:AL)),
                     0)
      )=0,
      "",
      INDEX(Load_Booking_Report!AM:AM,
             MATCH(TRUE,
                     ISNUMBER(FIND(SUBSTITUTE(C579," ",""),
                                    Load_Booking_Report!AL:AL)),
                     0)
      )
   ),
   ""
)</f>
        <v/>
      </c>
      <c r="V579" s="21">
        <f t="array" ref="V579">IFERROR(
   IF(
      INDEX(Load_Booking_Report!AR:AR,
             MATCH(TRUE,
                     ISNUMBER(FIND(SUBSTITUTE(C579," ",""),
                                    Load_Booking_Report!AL:AL)),
                     0)
      )=0,
      "",
      INDEX(Load_Booking_Report!AR:AR,
             MATCH(TRUE,
                     ISNUMBER(FIND(SUBSTITUTE(C579," ",""),
                                    Load_Booking_Report!AL:AL)),
                     0)
      )
   ),
   ""
)</f>
        <v/>
      </c>
      <c r="W579" s="21">
        <f t="array" ref="W579">IFERROR(INDEX(Load_Booking_Report!F:F, MATCH(TRUE, ISNUMBER(FIND(SUBSTITUTE(C579," ",""), Load_Booking_Report!AL:AL)), 0)), "Not Found")</f>
        <v/>
      </c>
      <c r="X579" s="21">
        <f t="array" ref="X579">IFERROR(INDEX(Load_Booking_Report!N:N, MATCH(TRUE, ISNUMBER(FIND(SUBSTITUTE(C579," ",""), Load_Booking_Report!AL:AL)), 0)), "Not Found")</f>
        <v/>
      </c>
      <c r="Y579" s="21">
        <f t="array" ref="Y579">IFERROR(INDEX(Load_Booking_Report!V:V, MATCH(TRUE, ISNUMBER(FIND(SUBSTITUTE(C579," ",""), Load_Booking_Report!AL:AL)), 0)), "Not Found")</f>
        <v/>
      </c>
      <c r="Z579" s="41">
        <f t="array" ref="Z579">IFERROR(INDEX(Load_Booking_Report!BC:BC, MATCH(TRUE, ISNUMBER(FIND(SUBSTITUTE(C579," ",""), Load_Booking_Report!AL:AL)), 0)), "Not Found")</f>
        <v/>
      </c>
    </row>
    <row r="580">
      <c r="A580" t="n">
        <v>26</v>
      </c>
      <c r="B580" t="n">
        <v>260608</v>
      </c>
      <c r="C580" t="inlineStr">
        <is>
          <t>ANON0000000</t>
        </is>
      </c>
      <c r="D580" t="n">
        <v>40</v>
      </c>
      <c r="E580" t="inlineStr">
        <is>
          <t>USNYC</t>
        </is>
      </c>
      <c r="F580" t="inlineStr">
        <is>
          <t>RULED</t>
        </is>
      </c>
      <c r="G580" t="n">
        <v>30304</v>
      </c>
      <c r="H580" t="inlineStr">
        <is>
          <t>MCL</t>
        </is>
      </c>
      <c r="I580" t="inlineStr">
        <is>
          <t>45G1</t>
        </is>
      </c>
      <c r="L580" t="inlineStr">
        <is>
          <t>9'6</t>
        </is>
      </c>
      <c r="M580" t="inlineStr">
        <is>
          <t>Full</t>
        </is>
      </c>
      <c r="N580" t="inlineStr">
        <is>
          <t>RULED</t>
        </is>
      </c>
      <c r="P580" s="21">
        <f>C580</f>
        <v/>
      </c>
      <c r="Q580" s="21">
        <f t="array" ref="Q580">IFERROR(INDEX(Load_Booking_Report!AC:AC, MATCH(TRUE, ISNUMBER(FIND(SUBSTITUTE(C580," ",""), Load_Booking_Report!AL:AL)), 0)), "Not Found")</f>
        <v/>
      </c>
      <c r="R580" s="21">
        <f t="array" ref="R580">IFERROR(INDEX(Load_Booking_Report!C:C, MATCH(TRUE, ISNUMBER(FIND(SUBSTITUTE(C580," ",""), Load_Booking_Report!AL:AL)), 0)), "Not Found")</f>
        <v/>
      </c>
      <c r="S580" s="21">
        <f t="array" ref="S580">IFERROR(INDEX(Load_Booking_Report!AG:AG, MATCH(TRUE, ISNUMBER(FIND(SUBSTITUTE(C580," ",""), Load_Booking_Report!AL:AL)), 0)), "Not Found")</f>
        <v/>
      </c>
      <c r="T580" s="21">
        <f>G580</f>
        <v/>
      </c>
      <c r="U580" s="33">
        <f t="array" ref="U580">IFERROR(
   IF(
      INDEX(Load_Booking_Report!AM:AM,
             MATCH(TRUE,
                     ISNUMBER(FIND(SUBSTITUTE(C580," ",""),
                                    Load_Booking_Report!AL:AL)),
                     0)
      )=0,
      "",
      INDEX(Load_Booking_Report!AM:AM,
             MATCH(TRUE,
                     ISNUMBER(FIND(SUBSTITUTE(C580," ",""),
                                    Load_Booking_Report!AL:AL)),
                     0)
      )
   ),
   ""
)</f>
        <v/>
      </c>
      <c r="V580" s="21">
        <f t="array" ref="V580">IFERROR(
   IF(
      INDEX(Load_Booking_Report!AR:AR,
             MATCH(TRUE,
                     ISNUMBER(FIND(SUBSTITUTE(C580," ",""),
                                    Load_Booking_Report!AL:AL)),
                     0)
      )=0,
      "",
      INDEX(Load_Booking_Report!AR:AR,
             MATCH(TRUE,
                     ISNUMBER(FIND(SUBSTITUTE(C580," ",""),
                                    Load_Booking_Report!AL:AL)),
                     0)
      )
   ),
   ""
)</f>
        <v/>
      </c>
      <c r="W580" s="21">
        <f t="array" ref="W580">IFERROR(INDEX(Load_Booking_Report!F:F, MATCH(TRUE, ISNUMBER(FIND(SUBSTITUTE(C580," ",""), Load_Booking_Report!AL:AL)), 0)), "Not Found")</f>
        <v/>
      </c>
      <c r="X580" s="21">
        <f t="array" ref="X580">IFERROR(INDEX(Load_Booking_Report!N:N, MATCH(TRUE, ISNUMBER(FIND(SUBSTITUTE(C580," ",""), Load_Booking_Report!AL:AL)), 0)), "Not Found")</f>
        <v/>
      </c>
      <c r="Y580" s="21">
        <f t="array" ref="Y580">IFERROR(INDEX(Load_Booking_Report!V:V, MATCH(TRUE, ISNUMBER(FIND(SUBSTITUTE(C580," ",""), Load_Booking_Report!AL:AL)), 0)), "Not Found")</f>
        <v/>
      </c>
      <c r="Z580" s="41">
        <f t="array" ref="Z580">IFERROR(INDEX(Load_Booking_Report!BC:BC, MATCH(TRUE, ISNUMBER(FIND(SUBSTITUTE(C580," ",""), Load_Booking_Report!AL:AL)), 0)), "Not Found")</f>
        <v/>
      </c>
    </row>
    <row r="581">
      <c r="A581" t="n">
        <v>22</v>
      </c>
      <c r="B581" t="n">
        <v>220782</v>
      </c>
      <c r="C581" t="inlineStr">
        <is>
          <t>ANON0000000</t>
        </is>
      </c>
      <c r="D581" t="n">
        <v>40</v>
      </c>
      <c r="E581" t="inlineStr">
        <is>
          <t>USNFK</t>
        </is>
      </c>
      <c r="F581" t="inlineStr">
        <is>
          <t>RULED</t>
        </is>
      </c>
      <c r="G581" t="n">
        <v>32352</v>
      </c>
      <c r="H581" t="inlineStr">
        <is>
          <t>MCL</t>
        </is>
      </c>
      <c r="I581" t="inlineStr">
        <is>
          <t>45R1</t>
        </is>
      </c>
      <c r="K581" t="inlineStr">
        <is>
          <t>-18.0:CEL</t>
        </is>
      </c>
      <c r="L581" t="inlineStr">
        <is>
          <t>9'6</t>
        </is>
      </c>
      <c r="M581" t="inlineStr">
        <is>
          <t>Full</t>
        </is>
      </c>
      <c r="N581" t="inlineStr">
        <is>
          <t>RULED</t>
        </is>
      </c>
      <c r="P581" s="21">
        <f>C581</f>
        <v/>
      </c>
      <c r="Q581" s="21">
        <f t="array" ref="Q581">IFERROR(INDEX(Load_Booking_Report!AC:AC, MATCH(TRUE, ISNUMBER(FIND(SUBSTITUTE(C581," ",""), Load_Booking_Report!AL:AL)), 0)), "Not Found")</f>
        <v/>
      </c>
      <c r="R581" s="21">
        <f t="array" ref="R581">IFERROR(INDEX(Load_Booking_Report!C:C, MATCH(TRUE, ISNUMBER(FIND(SUBSTITUTE(C581," ",""), Load_Booking_Report!AL:AL)), 0)), "Not Found")</f>
        <v/>
      </c>
      <c r="S581" s="21">
        <f t="array" ref="S581">IFERROR(INDEX(Load_Booking_Report!AG:AG, MATCH(TRUE, ISNUMBER(FIND(SUBSTITUTE(C581," ",""), Load_Booking_Report!AL:AL)), 0)), "Not Found")</f>
        <v/>
      </c>
      <c r="T581" s="21">
        <f>G581</f>
        <v/>
      </c>
      <c r="U581" s="33">
        <f t="array" ref="U581">IFERROR(
   IF(
      INDEX(Load_Booking_Report!AM:AM,
             MATCH(TRUE,
                     ISNUMBER(FIND(SUBSTITUTE(C581," ",""),
                                    Load_Booking_Report!AL:AL)),
                     0)
      )=0,
      "",
      INDEX(Load_Booking_Report!AM:AM,
             MATCH(TRUE,
                     ISNUMBER(FIND(SUBSTITUTE(C581," ",""),
                                    Load_Booking_Report!AL:AL)),
                     0)
      )
   ),
   ""
)</f>
        <v/>
      </c>
      <c r="V581" s="21">
        <f t="array" ref="V581">IFERROR(
   IF(
      INDEX(Load_Booking_Report!AR:AR,
             MATCH(TRUE,
                     ISNUMBER(FIND(SUBSTITUTE(C581," ",""),
                                    Load_Booking_Report!AL:AL)),
                     0)
      )=0,
      "",
      INDEX(Load_Booking_Report!AR:AR,
             MATCH(TRUE,
                     ISNUMBER(FIND(SUBSTITUTE(C581," ",""),
                                    Load_Booking_Report!AL:AL)),
                     0)
      )
   ),
   ""
)</f>
        <v/>
      </c>
      <c r="W581" s="21">
        <f t="array" ref="W581">IFERROR(INDEX(Load_Booking_Report!F:F, MATCH(TRUE, ISNUMBER(FIND(SUBSTITUTE(C581," ",""), Load_Booking_Report!AL:AL)), 0)), "Not Found")</f>
        <v/>
      </c>
      <c r="X581" s="21">
        <f t="array" ref="X581">IFERROR(INDEX(Load_Booking_Report!N:N, MATCH(TRUE, ISNUMBER(FIND(SUBSTITUTE(C581," ",""), Load_Booking_Report!AL:AL)), 0)), "Not Found")</f>
        <v/>
      </c>
      <c r="Y581" s="21">
        <f t="array" ref="Y581">IFERROR(INDEX(Load_Booking_Report!V:V, MATCH(TRUE, ISNUMBER(FIND(SUBSTITUTE(C581," ",""), Load_Booking_Report!AL:AL)), 0)), "Not Found")</f>
        <v/>
      </c>
      <c r="Z581" s="41">
        <f t="array" ref="Z581">IFERROR(INDEX(Load_Booking_Report!BC:BC, MATCH(TRUE, ISNUMBER(FIND(SUBSTITUTE(C581," ",""), Load_Booking_Report!AL:AL)), 0)), "Not Found")</f>
        <v/>
      </c>
    </row>
    <row r="582">
      <c r="A582" t="n">
        <v>18</v>
      </c>
      <c r="B582" t="n">
        <v>180786</v>
      </c>
      <c r="C582" t="inlineStr">
        <is>
          <t>ANON0000000</t>
        </is>
      </c>
      <c r="D582" t="n">
        <v>40</v>
      </c>
      <c r="E582" t="inlineStr">
        <is>
          <t>USNFK</t>
        </is>
      </c>
      <c r="F582" t="inlineStr">
        <is>
          <t>RULED</t>
        </is>
      </c>
      <c r="G582" t="n">
        <v>32543</v>
      </c>
      <c r="H582" t="inlineStr">
        <is>
          <t>MCL</t>
        </is>
      </c>
      <c r="I582" t="inlineStr">
        <is>
          <t>45R1</t>
        </is>
      </c>
      <c r="K582" t="inlineStr">
        <is>
          <t>-18.0:CEL</t>
        </is>
      </c>
      <c r="L582" t="inlineStr">
        <is>
          <t>9'6</t>
        </is>
      </c>
      <c r="M582" t="inlineStr">
        <is>
          <t>Full</t>
        </is>
      </c>
      <c r="N582" t="inlineStr">
        <is>
          <t>RULED</t>
        </is>
      </c>
      <c r="P582" s="21">
        <f>C582</f>
        <v/>
      </c>
      <c r="Q582" s="21">
        <f t="array" ref="Q582">IFERROR(INDEX(Load_Booking_Report!AC:AC, MATCH(TRUE, ISNUMBER(FIND(SUBSTITUTE(C582," ",""), Load_Booking_Report!AL:AL)), 0)), "Not Found")</f>
        <v/>
      </c>
      <c r="R582" s="21">
        <f t="array" ref="R582">IFERROR(INDEX(Load_Booking_Report!C:C, MATCH(TRUE, ISNUMBER(FIND(SUBSTITUTE(C582," ",""), Load_Booking_Report!AL:AL)), 0)), "Not Found")</f>
        <v/>
      </c>
      <c r="S582" s="21">
        <f t="array" ref="S582">IFERROR(INDEX(Load_Booking_Report!AG:AG, MATCH(TRUE, ISNUMBER(FIND(SUBSTITUTE(C582," ",""), Load_Booking_Report!AL:AL)), 0)), "Not Found")</f>
        <v/>
      </c>
      <c r="T582" s="21">
        <f>G582</f>
        <v/>
      </c>
      <c r="U582" s="33">
        <f t="array" ref="U582">IFERROR(
   IF(
      INDEX(Load_Booking_Report!AM:AM,
             MATCH(TRUE,
                     ISNUMBER(FIND(SUBSTITUTE(C582," ",""),
                                    Load_Booking_Report!AL:AL)),
                     0)
      )=0,
      "",
      INDEX(Load_Booking_Report!AM:AM,
             MATCH(TRUE,
                     ISNUMBER(FIND(SUBSTITUTE(C582," ",""),
                                    Load_Booking_Report!AL:AL)),
                     0)
      )
   ),
   ""
)</f>
        <v/>
      </c>
      <c r="V582" s="21">
        <f t="array" ref="V582">IFERROR(
   IF(
      INDEX(Load_Booking_Report!AR:AR,
             MATCH(TRUE,
                     ISNUMBER(FIND(SUBSTITUTE(C582," ",""),
                                    Load_Booking_Report!AL:AL)),
                     0)
      )=0,
      "",
      INDEX(Load_Booking_Report!AR:AR,
             MATCH(TRUE,
                     ISNUMBER(FIND(SUBSTITUTE(C582," ",""),
                                    Load_Booking_Report!AL:AL)),
                     0)
      )
   ),
   ""
)</f>
        <v/>
      </c>
      <c r="W582" s="21">
        <f t="array" ref="W582">IFERROR(INDEX(Load_Booking_Report!F:F, MATCH(TRUE, ISNUMBER(FIND(SUBSTITUTE(C582," ",""), Load_Booking_Report!AL:AL)), 0)), "Not Found")</f>
        <v/>
      </c>
      <c r="X582" s="21">
        <f t="array" ref="X582">IFERROR(INDEX(Load_Booking_Report!N:N, MATCH(TRUE, ISNUMBER(FIND(SUBSTITUTE(C582," ",""), Load_Booking_Report!AL:AL)), 0)), "Not Found")</f>
        <v/>
      </c>
      <c r="Y582" s="21">
        <f t="array" ref="Y582">IFERROR(INDEX(Load_Booking_Report!V:V, MATCH(TRUE, ISNUMBER(FIND(SUBSTITUTE(C582," ",""), Load_Booking_Report!AL:AL)), 0)), "Not Found")</f>
        <v/>
      </c>
      <c r="Z582" s="41">
        <f t="array" ref="Z582">IFERROR(INDEX(Load_Booking_Report!BC:BC, MATCH(TRUE, ISNUMBER(FIND(SUBSTITUTE(C582," ",""), Load_Booking_Report!AL:AL)), 0)), "Not Found")</f>
        <v/>
      </c>
    </row>
    <row r="583">
      <c r="A583" t="n">
        <v>18</v>
      </c>
      <c r="B583" t="n">
        <v>180986</v>
      </c>
      <c r="C583" t="inlineStr">
        <is>
          <t>ANON0000000</t>
        </is>
      </c>
      <c r="D583" t="n">
        <v>40</v>
      </c>
      <c r="E583" t="inlineStr">
        <is>
          <t>USNFK</t>
        </is>
      </c>
      <c r="F583" t="inlineStr">
        <is>
          <t>RULED</t>
        </is>
      </c>
      <c r="G583" t="n">
        <v>30260</v>
      </c>
      <c r="H583" t="inlineStr">
        <is>
          <t>MCL</t>
        </is>
      </c>
      <c r="I583" t="inlineStr">
        <is>
          <t>45R1</t>
        </is>
      </c>
      <c r="K583" t="inlineStr">
        <is>
          <t>-18.0:CEL</t>
        </is>
      </c>
      <c r="L583" t="inlineStr">
        <is>
          <t>9'6</t>
        </is>
      </c>
      <c r="M583" t="inlineStr">
        <is>
          <t>Full</t>
        </is>
      </c>
      <c r="N583" t="inlineStr">
        <is>
          <t>RULED</t>
        </is>
      </c>
      <c r="P583" s="21">
        <f>C583</f>
        <v/>
      </c>
      <c r="Q583" s="21">
        <f t="array" ref="Q583">IFERROR(INDEX(Load_Booking_Report!AC:AC, MATCH(TRUE, ISNUMBER(FIND(SUBSTITUTE(C583," ",""), Load_Booking_Report!AL:AL)), 0)), "Not Found")</f>
        <v/>
      </c>
      <c r="R583" s="21">
        <f t="array" ref="R583">IFERROR(INDEX(Load_Booking_Report!C:C, MATCH(TRUE, ISNUMBER(FIND(SUBSTITUTE(C583," ",""), Load_Booking_Report!AL:AL)), 0)), "Not Found")</f>
        <v/>
      </c>
      <c r="S583" s="21">
        <f t="array" ref="S583">IFERROR(INDEX(Load_Booking_Report!AG:AG, MATCH(TRUE, ISNUMBER(FIND(SUBSTITUTE(C583," ",""), Load_Booking_Report!AL:AL)), 0)), "Not Found")</f>
        <v/>
      </c>
      <c r="T583" s="21">
        <f>G583</f>
        <v/>
      </c>
      <c r="U583" s="33">
        <f t="array" ref="U583">IFERROR(
   IF(
      INDEX(Load_Booking_Report!AM:AM,
             MATCH(TRUE,
                     ISNUMBER(FIND(SUBSTITUTE(C583," ",""),
                                    Load_Booking_Report!AL:AL)),
                     0)
      )=0,
      "",
      INDEX(Load_Booking_Report!AM:AM,
             MATCH(TRUE,
                     ISNUMBER(FIND(SUBSTITUTE(C583," ",""),
                                    Load_Booking_Report!AL:AL)),
                     0)
      )
   ),
   ""
)</f>
        <v/>
      </c>
      <c r="V583" s="21">
        <f t="array" ref="V583">IFERROR(
   IF(
      INDEX(Load_Booking_Report!AR:AR,
             MATCH(TRUE,
                     ISNUMBER(FIND(SUBSTITUTE(C583," ",""),
                                    Load_Booking_Report!AL:AL)),
                     0)
      )=0,
      "",
      INDEX(Load_Booking_Report!AR:AR,
             MATCH(TRUE,
                     ISNUMBER(FIND(SUBSTITUTE(C583," ",""),
                                    Load_Booking_Report!AL:AL)),
                     0)
      )
   ),
   ""
)</f>
        <v/>
      </c>
      <c r="W583" s="21">
        <f t="array" ref="W583">IFERROR(INDEX(Load_Booking_Report!F:F, MATCH(TRUE, ISNUMBER(FIND(SUBSTITUTE(C583," ",""), Load_Booking_Report!AL:AL)), 0)), "Not Found")</f>
        <v/>
      </c>
      <c r="X583" s="21">
        <f t="array" ref="X583">IFERROR(INDEX(Load_Booking_Report!N:N, MATCH(TRUE, ISNUMBER(FIND(SUBSTITUTE(C583," ",""), Load_Booking_Report!AL:AL)), 0)), "Not Found")</f>
        <v/>
      </c>
      <c r="Y583" s="21">
        <f t="array" ref="Y583">IFERROR(INDEX(Load_Booking_Report!V:V, MATCH(TRUE, ISNUMBER(FIND(SUBSTITUTE(C583," ",""), Load_Booking_Report!AL:AL)), 0)), "Not Found")</f>
        <v/>
      </c>
      <c r="Z583" s="41">
        <f t="array" ref="Z583">IFERROR(INDEX(Load_Booking_Report!BC:BC, MATCH(TRUE, ISNUMBER(FIND(SUBSTITUTE(C583," ",""), Load_Booking_Report!AL:AL)), 0)), "Not Found")</f>
        <v/>
      </c>
    </row>
    <row r="584">
      <c r="A584" t="n">
        <v>18</v>
      </c>
      <c r="B584" t="n">
        <v>180284</v>
      </c>
      <c r="C584" t="inlineStr">
        <is>
          <t>ANON0000000</t>
        </is>
      </c>
      <c r="D584" t="n">
        <v>40</v>
      </c>
      <c r="E584" t="inlineStr">
        <is>
          <t>USNFK</t>
        </is>
      </c>
      <c r="F584" t="inlineStr">
        <is>
          <t>RULED</t>
        </is>
      </c>
      <c r="G584" t="n">
        <v>32550</v>
      </c>
      <c r="H584" t="inlineStr">
        <is>
          <t>ART</t>
        </is>
      </c>
      <c r="I584" t="inlineStr">
        <is>
          <t>45R1</t>
        </is>
      </c>
      <c r="K584" t="inlineStr">
        <is>
          <t>-18.0:CEL</t>
        </is>
      </c>
      <c r="L584" t="inlineStr">
        <is>
          <t>9'6</t>
        </is>
      </c>
      <c r="M584" t="inlineStr">
        <is>
          <t>Full</t>
        </is>
      </c>
      <c r="N584" t="inlineStr">
        <is>
          <t>ECMEC</t>
        </is>
      </c>
      <c r="P584" s="21" t="inlineStr">
        <is>
          <t>ANON0000000</t>
        </is>
      </c>
      <c r="Q584" s="21" t="inlineStr">
        <is>
          <t>TIGER PLATA/951N</t>
        </is>
      </c>
      <c r="R584" s="21" t="inlineStr">
        <is>
          <t xml:space="preserve">REF000000	</t>
        </is>
      </c>
      <c r="S584" s="21" t="inlineStr">
        <is>
          <t>RH40</t>
        </is>
      </c>
      <c r="T584" s="21" t="n">
        <v>32550</v>
      </c>
      <c r="U584" s="33" t="n">
        <v>-18</v>
      </c>
      <c r="V584" s="21" t="inlineStr"/>
      <c r="W584" s="21" t="inlineStr">
        <is>
          <t>TURTLE REEFER</t>
        </is>
      </c>
      <c r="X584" s="21" t="inlineStr">
        <is>
          <t>USSEA</t>
        </is>
      </c>
      <c r="Y584" s="21" t="inlineStr">
        <is>
          <t>RULED</t>
        </is>
      </c>
      <c r="Z584" s="41" t="n">
        <v>6800</v>
      </c>
    </row>
  </sheetData>
  <conditionalFormatting sqref="C1:C1048576">
    <cfRule type="duplicateValues" priority="1" dxfId="0"/>
  </conditionalFormatting>
  <conditionalFormatting sqref="C1 C126:C1048576">
    <cfRule type="duplicateValues" priority="9" dxfId="0"/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810"/>
  <sheetViews>
    <sheetView zoomScale="86" zoomScaleNormal="86" workbookViewId="0">
      <selection activeCell="A2" sqref="A2:BM810"/>
    </sheetView>
  </sheetViews>
  <sheetFormatPr baseColWidth="8" defaultRowHeight="14.5"/>
  <cols>
    <col width="6" bestFit="1" customWidth="1" min="1" max="1"/>
    <col width="16.90625" bestFit="1" customWidth="1" min="3" max="3"/>
    <col width="26.54296875" bestFit="1" customWidth="1" min="4" max="4"/>
    <col width="8.7265625" customWidth="1" min="5" max="12"/>
    <col width="16.90625" bestFit="1" customWidth="1" min="13" max="13"/>
    <col width="8.7265625" customWidth="1" min="14" max="28"/>
    <col width="24.81640625" bestFit="1" customWidth="1" min="29" max="29"/>
    <col width="18.54296875" bestFit="1" customWidth="1" min="30" max="30"/>
    <col width="8.7265625" customWidth="1" min="31" max="37"/>
    <col width="16.1796875" customWidth="1" min="38" max="38"/>
  </cols>
  <sheetData>
    <row r="1">
      <c r="A1" s="3" t="inlineStr">
        <is>
          <t>S.NO</t>
        </is>
      </c>
      <c r="B1" s="3" t="inlineStr">
        <is>
          <t>Booking Agent Name</t>
        </is>
      </c>
      <c r="C1" s="22" t="inlineStr">
        <is>
          <t>Booking Number</t>
        </is>
      </c>
      <c r="D1" s="3" t="inlineStr">
        <is>
          <t>Local Booking Number</t>
        </is>
      </c>
      <c r="E1" s="3" t="inlineStr">
        <is>
          <t>Booking Date</t>
        </is>
      </c>
      <c r="F1" s="22" t="inlineStr">
        <is>
          <t>Booking Party</t>
        </is>
      </c>
      <c r="G1" s="3" t="inlineStr">
        <is>
          <t>Booking Remarks</t>
        </is>
      </c>
      <c r="H1" s="3" t="inlineStr">
        <is>
          <t>Sales Person</t>
        </is>
      </c>
      <c r="I1" s="3" t="inlineStr">
        <is>
          <t>Consignee Name</t>
        </is>
      </c>
      <c r="J1" s="3" t="inlineStr">
        <is>
          <t>ETD</t>
        </is>
      </c>
      <c r="K1" s="3" t="inlineStr">
        <is>
          <t>ETA</t>
        </is>
      </c>
      <c r="L1" s="3" t="inlineStr">
        <is>
          <t>ATD</t>
        </is>
      </c>
      <c r="M1" s="3" t="inlineStr">
        <is>
          <t>Export Do No.</t>
        </is>
      </c>
      <c r="N1" s="22" t="inlineStr">
        <is>
          <t>POO</t>
        </is>
      </c>
      <c r="O1" s="22" t="inlineStr">
        <is>
          <t>POL</t>
        </is>
      </c>
      <c r="P1" s="3" t="inlineStr">
        <is>
          <t>T/S Port1</t>
        </is>
      </c>
      <c r="Q1" s="3" t="inlineStr">
        <is>
          <t>T/S Port2</t>
        </is>
      </c>
      <c r="R1" s="3" t="inlineStr">
        <is>
          <t>T/S Port3</t>
        </is>
      </c>
      <c r="S1" s="3" t="inlineStr">
        <is>
          <t>T/S Port4</t>
        </is>
      </c>
      <c r="T1" s="3" t="inlineStr">
        <is>
          <t>T/S Port5</t>
        </is>
      </c>
      <c r="U1" s="3" t="inlineStr">
        <is>
          <t>POD</t>
        </is>
      </c>
      <c r="V1" s="22" t="inlineStr">
        <is>
          <t>FPOD</t>
        </is>
      </c>
      <c r="W1" s="3" t="inlineStr">
        <is>
          <t>POL COUNTRY</t>
        </is>
      </c>
      <c r="X1" s="3" t="inlineStr">
        <is>
          <t>POL REGION</t>
        </is>
      </c>
      <c r="Y1" s="3" t="inlineStr">
        <is>
          <t>POD COUNTRY</t>
        </is>
      </c>
      <c r="Z1" s="3" t="inlineStr">
        <is>
          <t>POD REGION</t>
        </is>
      </c>
      <c r="AA1" s="3" t="inlineStr">
        <is>
          <t>Dest Agent</t>
        </is>
      </c>
      <c r="AB1" s="3" t="inlineStr">
        <is>
          <t>Prepaid/ Collect</t>
        </is>
      </c>
      <c r="AC1" s="22" t="inlineStr">
        <is>
          <t>Vessel / Voyage</t>
        </is>
      </c>
      <c r="AD1" s="3" t="inlineStr">
        <is>
          <t>Transhipment</t>
        </is>
      </c>
      <c r="AE1" s="3" t="inlineStr">
        <is>
          <t>Booking Status</t>
        </is>
      </c>
      <c r="AF1" s="3" t="inlineStr">
        <is>
          <t>Booking Created By</t>
        </is>
      </c>
      <c r="AG1" s="22" t="inlineStr">
        <is>
          <t>Type</t>
        </is>
      </c>
      <c r="AH1" s="22" t="inlineStr">
        <is>
          <t>IS NOR</t>
        </is>
      </c>
      <c r="AI1" s="3" t="inlineStr">
        <is>
          <t>Size</t>
        </is>
      </c>
      <c r="AJ1" s="22" t="inlineStr">
        <is>
          <t>Bkg Qty 20</t>
        </is>
      </c>
      <c r="AK1" s="22" t="inlineStr">
        <is>
          <t>Bkg Qty 40</t>
        </is>
      </c>
      <c r="AL1" s="22" t="inlineStr">
        <is>
          <t>Container Number</t>
        </is>
      </c>
      <c r="AM1" s="3" t="inlineStr">
        <is>
          <t>TEMP</t>
        </is>
      </c>
      <c r="AN1" s="3" t="inlineStr">
        <is>
          <t>HUM</t>
        </is>
      </c>
      <c r="AO1" s="3" t="inlineStr">
        <is>
          <t>VENT</t>
        </is>
      </c>
      <c r="AP1" s="3" t="inlineStr">
        <is>
          <t>Cargo Type</t>
        </is>
      </c>
      <c r="AQ1" s="3" t="inlineStr">
        <is>
          <t>Service Mode</t>
        </is>
      </c>
      <c r="AR1" s="3" t="inlineStr">
        <is>
          <t>IMO</t>
        </is>
      </c>
      <c r="AS1" s="3" t="inlineStr">
        <is>
          <t>UN NO</t>
        </is>
      </c>
      <c r="AT1" s="3" t="inlineStr">
        <is>
          <t>BL No.</t>
        </is>
      </c>
      <c r="AU1" s="3" t="inlineStr">
        <is>
          <t>Weight(KGS)</t>
        </is>
      </c>
      <c r="AV1" s="3" t="inlineStr">
        <is>
          <t>Product</t>
        </is>
      </c>
      <c r="AW1" s="3" t="inlineStr">
        <is>
          <t>HS Code</t>
        </is>
      </c>
      <c r="AX1" s="3" t="inlineStr">
        <is>
          <t>Rate Request</t>
        </is>
      </c>
      <c r="AY1" s="3" t="inlineStr">
        <is>
          <t>MRG Category</t>
        </is>
      </c>
      <c r="AZ1" s="3" t="inlineStr">
        <is>
          <t>POD REEFER Plugin Free Days</t>
        </is>
      </c>
      <c r="BA1" s="3" t="inlineStr">
        <is>
          <t>Det POL Free Days</t>
        </is>
      </c>
      <c r="BB1" s="3" t="inlineStr">
        <is>
          <t>Det FPOD Free Days</t>
        </is>
      </c>
      <c r="BC1" s="42" t="inlineStr">
        <is>
          <t>Rate Per (USD)</t>
        </is>
      </c>
      <c r="BD1" s="3" t="inlineStr">
        <is>
          <t>CROSS BOOKING</t>
        </is>
      </c>
      <c r="BE1" s="3" t="inlineStr">
        <is>
          <t>FMC</t>
        </is>
      </c>
      <c r="BF1" s="3" t="inlineStr">
        <is>
          <t>Slot Operator</t>
        </is>
      </c>
      <c r="BG1" s="3" t="inlineStr">
        <is>
          <t>Collect Port</t>
        </is>
      </c>
      <c r="BH1" s="3" t="inlineStr">
        <is>
          <t>TDR Units 20</t>
        </is>
      </c>
      <c r="BI1" s="3" t="inlineStr">
        <is>
          <t>TDR Units 40</t>
        </is>
      </c>
      <c r="BJ1" s="42" t="inlineStr">
        <is>
          <t>Total Amount (USD)</t>
        </is>
      </c>
      <c r="BK1" s="3" t="inlineStr">
        <is>
          <t>Container OwnerShip</t>
        </is>
      </c>
      <c r="BL1" s="3" t="inlineStr">
        <is>
          <t>Services Name</t>
        </is>
      </c>
      <c r="BM1" s="3" t="inlineStr">
        <is>
          <t>Feeder Name</t>
        </is>
      </c>
    </row>
    <row r="2">
      <c r="A2" t="n">
        <v>1</v>
      </c>
      <c r="B2" t="inlineStr">
        <is>
          <t>MARLIN REEFER</t>
        </is>
      </c>
      <c r="C2" t="inlineStr">
        <is>
          <t>REF000000</t>
        </is>
      </c>
      <c r="D2" t="inlineStr">
        <is>
          <t>REF000000</t>
        </is>
      </c>
      <c r="E2" t="inlineStr">
        <is>
          <t>31-OCT-2025</t>
        </is>
      </c>
      <c r="F2" t="inlineStr">
        <is>
          <t>MARLIN REEFER</t>
        </is>
      </c>
      <c r="G2" t="inlineStr">
        <is>
          <t>EVI311003 - Food Grade</t>
        </is>
      </c>
      <c r="H2" t="inlineStr">
        <is>
          <t>AdminUAM</t>
        </is>
      </c>
      <c r="J2" t="n">
        <v>46029</v>
      </c>
      <c r="K2" t="n">
        <v>46029</v>
      </c>
      <c r="L2" t="n">
        <v>46029</v>
      </c>
      <c r="M2" t="inlineStr">
        <is>
          <t>REF000000</t>
        </is>
      </c>
      <c r="N2" t="inlineStr">
        <is>
          <t>USNYC</t>
        </is>
      </c>
      <c r="O2" t="inlineStr">
        <is>
          <t>USNYC</t>
        </is>
      </c>
      <c r="P2" t="inlineStr">
        <is>
          <t>RULED</t>
        </is>
      </c>
      <c r="U2" t="inlineStr">
        <is>
          <t>RULED</t>
        </is>
      </c>
      <c r="V2" t="inlineStr">
        <is>
          <t>RULED</t>
        </is>
      </c>
      <c r="W2" t="inlineStr">
        <is>
          <t>UNITED STATES</t>
        </is>
      </c>
      <c r="X2" t="inlineStr">
        <is>
          <t>Latin America</t>
        </is>
      </c>
      <c r="Y2" t="inlineStr">
        <is>
          <t>RUSSIA</t>
        </is>
      </c>
      <c r="Z2" t="inlineStr">
        <is>
          <t>External Review</t>
        </is>
      </c>
      <c r="AA2" t="inlineStr">
        <is>
          <t>HUB SHIPPING LLC-LED</t>
        </is>
      </c>
      <c r="AB2" t="inlineStr">
        <is>
          <t>Collect</t>
        </is>
      </c>
      <c r="AC2" t="inlineStr">
        <is>
          <t>MERCURY/25016E</t>
        </is>
      </c>
      <c r="AE2" t="inlineStr">
        <is>
          <t>LADEN BOOKING</t>
        </is>
      </c>
      <c r="AF2" t="inlineStr">
        <is>
          <t>RenniUAM</t>
        </is>
      </c>
      <c r="AG2" t="inlineStr">
        <is>
          <t>DC20</t>
        </is>
      </c>
      <c r="AH2" t="inlineStr">
        <is>
          <t>NO</t>
        </is>
      </c>
      <c r="AI2" t="n">
        <v>20</v>
      </c>
      <c r="AJ2" t="n">
        <v>8</v>
      </c>
      <c r="AK2" t="n">
        <v>0</v>
      </c>
      <c r="AL2" t="inlineStr">
        <is>
          <t>ANON0000000,
ANON0000000,
ANON0000000,
ANON0000000,
ANON0000000,
ANON0000000,
ANON0000000,
ANON0000000</t>
        </is>
      </c>
      <c r="AP2" t="inlineStr">
        <is>
          <t>Non Haz</t>
        </is>
      </c>
      <c r="AQ2" t="inlineStr">
        <is>
          <t>CY/CY</t>
        </is>
      </c>
      <c r="AT2" t="inlineStr">
        <is>
          <t>REF000000</t>
        </is>
      </c>
      <c r="AU2" t="n">
        <v>23000</v>
      </c>
      <c r="AV2" t="inlineStr">
        <is>
          <t>GENERAL COMMODITY</t>
        </is>
      </c>
      <c r="AX2" t="inlineStr">
        <is>
          <t>RSUAM122500052</t>
        </is>
      </c>
      <c r="AZ2" t="n">
        <v>0</v>
      </c>
      <c r="BA2" t="n">
        <v>30</v>
      </c>
      <c r="BB2" t="n">
        <v>21</v>
      </c>
      <c r="BC2" t="n">
        <v>1750</v>
      </c>
      <c r="BD2" t="inlineStr">
        <is>
          <t>Yes</t>
        </is>
      </c>
      <c r="BF2" t="inlineStr">
        <is>
          <t>ARTHA SHIPPING</t>
        </is>
      </c>
      <c r="BG2" t="inlineStr">
        <is>
          <t>RULED</t>
        </is>
      </c>
      <c r="BH2" t="n">
        <v>8</v>
      </c>
      <c r="BI2" t="n">
        <v>0</v>
      </c>
      <c r="BJ2" t="n">
        <v>14000</v>
      </c>
      <c r="BK2" t="inlineStr">
        <is>
          <t>LINE</t>
        </is>
      </c>
      <c r="BL2" t="inlineStr">
        <is>
          <t>MARLIN REEFER</t>
        </is>
      </c>
      <c r="BM2" t="inlineStr">
        <is>
          <t>MARLIN REEFER</t>
        </is>
      </c>
    </row>
    <row r="3">
      <c r="A3" t="n">
        <v>2</v>
      </c>
      <c r="B3" t="inlineStr">
        <is>
          <t>TURTLE REEFER</t>
        </is>
      </c>
      <c r="C3" t="inlineStr">
        <is>
          <t>REF000000</t>
        </is>
      </c>
      <c r="D3" t="inlineStr">
        <is>
          <t>REF000000</t>
        </is>
      </c>
      <c r="E3" t="n">
        <v>45966</v>
      </c>
      <c r="F3" t="inlineStr">
        <is>
          <t>TURTLE REEFER</t>
        </is>
      </c>
      <c r="G3" t="inlineStr">
        <is>
          <t>EVI051105 - Food Grade</t>
        </is>
      </c>
      <c r="H3" t="inlineStr">
        <is>
          <t>AdminUAM</t>
        </is>
      </c>
      <c r="J3" t="n">
        <v>46037</v>
      </c>
      <c r="K3" t="n">
        <v>46033</v>
      </c>
      <c r="L3" t="n">
        <v>46037</v>
      </c>
      <c r="M3" t="inlineStr">
        <is>
          <t>REF000000</t>
        </is>
      </c>
      <c r="N3" t="inlineStr">
        <is>
          <t>USNFK</t>
        </is>
      </c>
      <c r="O3" t="inlineStr">
        <is>
          <t>USNFK</t>
        </is>
      </c>
      <c r="P3" t="inlineStr">
        <is>
          <t>RULED</t>
        </is>
      </c>
      <c r="U3" t="inlineStr">
        <is>
          <t>RULED</t>
        </is>
      </c>
      <c r="V3" t="inlineStr">
        <is>
          <t>RULED</t>
        </is>
      </c>
      <c r="W3" t="inlineStr">
        <is>
          <t>UNITED STATES</t>
        </is>
      </c>
      <c r="X3" t="inlineStr">
        <is>
          <t>Latin America</t>
        </is>
      </c>
      <c r="Y3" t="inlineStr">
        <is>
          <t>RUSSIA</t>
        </is>
      </c>
      <c r="Z3" t="inlineStr">
        <is>
          <t>External Review</t>
        </is>
      </c>
      <c r="AA3" t="inlineStr">
        <is>
          <t>HUB SHIPPING LLC-LED</t>
        </is>
      </c>
      <c r="AB3" t="inlineStr">
        <is>
          <t>Collect</t>
        </is>
      </c>
      <c r="AC3" t="inlineStr">
        <is>
          <t>MERCURY/25016E</t>
        </is>
      </c>
      <c r="AE3" t="inlineStr">
        <is>
          <t>LADEN BOOKING</t>
        </is>
      </c>
      <c r="AF3" t="inlineStr">
        <is>
          <t>RenniUAM</t>
        </is>
      </c>
      <c r="AG3" t="inlineStr">
        <is>
          <t>HC40</t>
        </is>
      </c>
      <c r="AH3" t="inlineStr">
        <is>
          <t>NO</t>
        </is>
      </c>
      <c r="AI3" t="n">
        <v>40</v>
      </c>
      <c r="AJ3" t="n">
        <v>0</v>
      </c>
      <c r="AK3" t="n">
        <v>10</v>
      </c>
      <c r="AL3" t="inlineStr">
        <is>
          <t>ANON0000000,
ANON0000000,
ANON0000000,
ANON0000000,
ANON0000000,
ANON0000000,
ANON0000000,
ANON0000000,
ANON0000000,
ANON0000000</t>
        </is>
      </c>
      <c r="AP3" t="inlineStr">
        <is>
          <t>Non Haz</t>
        </is>
      </c>
      <c r="AQ3" t="inlineStr">
        <is>
          <t>CY/CY</t>
        </is>
      </c>
      <c r="AT3" t="inlineStr">
        <is>
          <t>REF000000</t>
        </is>
      </c>
      <c r="AU3" t="n">
        <v>26000</v>
      </c>
      <c r="AV3" t="inlineStr">
        <is>
          <t>GENERAL COMMODITY</t>
        </is>
      </c>
      <c r="AX3" t="inlineStr">
        <is>
          <t>RSUAM102500023</t>
        </is>
      </c>
      <c r="AZ3" t="n">
        <v>0</v>
      </c>
      <c r="BA3" t="n">
        <v>14</v>
      </c>
      <c r="BB3" t="n">
        <v>14</v>
      </c>
      <c r="BC3" t="n">
        <v>2750</v>
      </c>
      <c r="BD3" t="inlineStr">
        <is>
          <t>Yes</t>
        </is>
      </c>
      <c r="BE3" t="inlineStr">
        <is>
          <t>FMC/RFHOP/40801</t>
        </is>
      </c>
      <c r="BF3" t="inlineStr">
        <is>
          <t>ARTHA SHIPPING</t>
        </is>
      </c>
      <c r="BG3" t="inlineStr">
        <is>
          <t>RULED</t>
        </is>
      </c>
      <c r="BH3" t="n">
        <v>0</v>
      </c>
      <c r="BI3" t="n">
        <v>10</v>
      </c>
      <c r="BJ3" t="n">
        <v>27500</v>
      </c>
      <c r="BK3" t="inlineStr">
        <is>
          <t>LINE</t>
        </is>
      </c>
      <c r="BL3" t="inlineStr">
        <is>
          <t>TURTLE REEFER</t>
        </is>
      </c>
      <c r="BM3" t="inlineStr">
        <is>
          <t>TURTLE REEFER</t>
        </is>
      </c>
    </row>
    <row r="4">
      <c r="A4" t="n">
        <v>3</v>
      </c>
      <c r="B4" t="inlineStr">
        <is>
          <t>FALCON DRY</t>
        </is>
      </c>
      <c r="C4" t="inlineStr">
        <is>
          <t>REF000000</t>
        </is>
      </c>
      <c r="D4" t="inlineStr">
        <is>
          <t>REF000000</t>
        </is>
      </c>
      <c r="E4" t="n">
        <v>45966</v>
      </c>
      <c r="F4" t="inlineStr">
        <is>
          <t>FALCON DRY</t>
        </is>
      </c>
      <c r="G4" t="inlineStr">
        <is>
          <t>EVI051106 - Food grade</t>
        </is>
      </c>
      <c r="H4" t="inlineStr">
        <is>
          <t>AdminUAM</t>
        </is>
      </c>
      <c r="J4" t="n">
        <v>46037</v>
      </c>
      <c r="K4" t="n">
        <v>46033</v>
      </c>
      <c r="L4" t="n">
        <v>46037</v>
      </c>
      <c r="M4" t="inlineStr">
        <is>
          <t>REF000000</t>
        </is>
      </c>
      <c r="N4" t="inlineStr">
        <is>
          <t>USNFK</t>
        </is>
      </c>
      <c r="O4" t="inlineStr">
        <is>
          <t>USNFK</t>
        </is>
      </c>
      <c r="P4" t="inlineStr">
        <is>
          <t>RULED</t>
        </is>
      </c>
      <c r="U4" t="inlineStr">
        <is>
          <t>RULED</t>
        </is>
      </c>
      <c r="V4" t="inlineStr">
        <is>
          <t>RULED</t>
        </is>
      </c>
      <c r="W4" t="inlineStr">
        <is>
          <t>UNITED STATES</t>
        </is>
      </c>
      <c r="X4" t="inlineStr">
        <is>
          <t>Latin America</t>
        </is>
      </c>
      <c r="Y4" t="inlineStr">
        <is>
          <t>RUSSIA</t>
        </is>
      </c>
      <c r="Z4" t="inlineStr">
        <is>
          <t>External Review</t>
        </is>
      </c>
      <c r="AA4" t="inlineStr">
        <is>
          <t>HUB SHIPPING LLC-LED</t>
        </is>
      </c>
      <c r="AB4" t="inlineStr">
        <is>
          <t>Collect</t>
        </is>
      </c>
      <c r="AC4" t="inlineStr">
        <is>
          <t>MERCURY/25016E</t>
        </is>
      </c>
      <c r="AE4" t="inlineStr">
        <is>
          <t>LADEN BOOKING</t>
        </is>
      </c>
      <c r="AF4" t="inlineStr">
        <is>
          <t>RenniUAM</t>
        </is>
      </c>
      <c r="AG4" t="inlineStr">
        <is>
          <t>HC40</t>
        </is>
      </c>
      <c r="AH4" t="inlineStr">
        <is>
          <t>NO</t>
        </is>
      </c>
      <c r="AI4" t="n">
        <v>40</v>
      </c>
      <c r="AJ4" t="n">
        <v>0</v>
      </c>
      <c r="AK4" t="n">
        <v>4</v>
      </c>
      <c r="AL4" t="inlineStr">
        <is>
          <t>ANON0000000,
ANON0000000,
ANON0000000,
ANON0000000</t>
        </is>
      </c>
      <c r="AP4" t="inlineStr">
        <is>
          <t>Non Haz</t>
        </is>
      </c>
      <c r="AQ4" t="inlineStr">
        <is>
          <t>CY/CY</t>
        </is>
      </c>
      <c r="AT4" t="inlineStr">
        <is>
          <t>REF000000</t>
        </is>
      </c>
      <c r="AU4" t="n">
        <v>26000</v>
      </c>
      <c r="AV4" t="inlineStr">
        <is>
          <t>GENERAL COMMODITY</t>
        </is>
      </c>
      <c r="AX4" t="inlineStr">
        <is>
          <t>RSUAM122500027</t>
        </is>
      </c>
      <c r="AZ4" t="n">
        <v>0</v>
      </c>
      <c r="BA4" t="n">
        <v>14</v>
      </c>
      <c r="BB4" t="n">
        <v>14</v>
      </c>
      <c r="BC4" t="n">
        <v>2750</v>
      </c>
      <c r="BD4" t="inlineStr">
        <is>
          <t>Yes</t>
        </is>
      </c>
      <c r="BF4" t="inlineStr">
        <is>
          <t>ARTHA SHIPPING</t>
        </is>
      </c>
      <c r="BG4" t="inlineStr">
        <is>
          <t>RULED</t>
        </is>
      </c>
      <c r="BH4" t="n">
        <v>0</v>
      </c>
      <c r="BI4" t="n">
        <v>4</v>
      </c>
      <c r="BJ4" t="n">
        <v>11000</v>
      </c>
      <c r="BK4" t="inlineStr">
        <is>
          <t>LINE</t>
        </is>
      </c>
      <c r="BL4" t="inlineStr">
        <is>
          <t>FALCON DRY</t>
        </is>
      </c>
      <c r="BM4" t="inlineStr">
        <is>
          <t>FALCON DRY</t>
        </is>
      </c>
    </row>
    <row r="5">
      <c r="A5" t="n">
        <v>4</v>
      </c>
      <c r="B5" t="inlineStr">
        <is>
          <t>WOLF DRY</t>
        </is>
      </c>
      <c r="C5" t="inlineStr">
        <is>
          <t>REF000000</t>
        </is>
      </c>
      <c r="D5" t="inlineStr">
        <is>
          <t>REF000000</t>
        </is>
      </c>
      <c r="E5" t="n">
        <v>45971</v>
      </c>
      <c r="F5" t="inlineStr">
        <is>
          <t>WOLF DRY</t>
        </is>
      </c>
      <c r="G5" t="inlineStr">
        <is>
          <t>EVI101102 - Food Grade</t>
        </is>
      </c>
      <c r="H5" t="inlineStr">
        <is>
          <t>AdminUAM</t>
        </is>
      </c>
      <c r="J5" t="n">
        <v>46037</v>
      </c>
      <c r="K5" t="n">
        <v>46033</v>
      </c>
      <c r="L5" t="n">
        <v>46037</v>
      </c>
      <c r="M5" t="inlineStr">
        <is>
          <t>REF000000</t>
        </is>
      </c>
      <c r="N5" t="inlineStr">
        <is>
          <t>USNFK</t>
        </is>
      </c>
      <c r="O5" t="inlineStr">
        <is>
          <t>USNFK</t>
        </is>
      </c>
      <c r="P5" t="inlineStr">
        <is>
          <t>RULED</t>
        </is>
      </c>
      <c r="U5" t="inlineStr">
        <is>
          <t>RULED</t>
        </is>
      </c>
      <c r="V5" t="inlineStr">
        <is>
          <t>RULED</t>
        </is>
      </c>
      <c r="W5" t="inlineStr">
        <is>
          <t>UNITED STATES</t>
        </is>
      </c>
      <c r="X5" t="inlineStr">
        <is>
          <t>Latin America</t>
        </is>
      </c>
      <c r="Y5" t="inlineStr">
        <is>
          <t>RUSSIA</t>
        </is>
      </c>
      <c r="Z5" t="inlineStr">
        <is>
          <t>External Review</t>
        </is>
      </c>
      <c r="AA5" t="inlineStr">
        <is>
          <t>HUB SHIPPING LLC-LED</t>
        </is>
      </c>
      <c r="AB5" t="inlineStr">
        <is>
          <t>Collect</t>
        </is>
      </c>
      <c r="AC5" t="inlineStr">
        <is>
          <t>MERCURY/25016E</t>
        </is>
      </c>
      <c r="AE5" t="inlineStr">
        <is>
          <t>LADEN BOOKING</t>
        </is>
      </c>
      <c r="AF5" t="inlineStr">
        <is>
          <t>RenniUAM</t>
        </is>
      </c>
      <c r="AG5" t="inlineStr">
        <is>
          <t>HC40</t>
        </is>
      </c>
      <c r="AH5" t="inlineStr">
        <is>
          <t>NO</t>
        </is>
      </c>
      <c r="AI5" t="n">
        <v>40</v>
      </c>
      <c r="AJ5" t="n">
        <v>0</v>
      </c>
      <c r="AK5" t="n">
        <v>2</v>
      </c>
      <c r="AL5" t="inlineStr">
        <is>
          <t>ANON0000000,
ANON0000000</t>
        </is>
      </c>
      <c r="AP5" t="inlineStr">
        <is>
          <t>Non Haz</t>
        </is>
      </c>
      <c r="AQ5" t="inlineStr">
        <is>
          <t>CY/CY</t>
        </is>
      </c>
      <c r="AT5" t="inlineStr">
        <is>
          <t>REF000000</t>
        </is>
      </c>
      <c r="AU5" t="n">
        <v>26000</v>
      </c>
      <c r="AV5" t="inlineStr">
        <is>
          <t>GENERAL COMMODITY</t>
        </is>
      </c>
      <c r="AX5" t="inlineStr">
        <is>
          <t>RSUAM122500027</t>
        </is>
      </c>
      <c r="AZ5" t="n">
        <v>0</v>
      </c>
      <c r="BA5" t="n">
        <v>14</v>
      </c>
      <c r="BB5" t="n">
        <v>14</v>
      </c>
      <c r="BC5" t="n">
        <v>2750</v>
      </c>
      <c r="BD5" t="inlineStr">
        <is>
          <t>Yes</t>
        </is>
      </c>
      <c r="BF5" t="inlineStr">
        <is>
          <t>ARTHA SHIPPING</t>
        </is>
      </c>
      <c r="BG5" t="inlineStr">
        <is>
          <t>RULED</t>
        </is>
      </c>
      <c r="BH5" t="n">
        <v>0</v>
      </c>
      <c r="BI5" t="n">
        <v>2</v>
      </c>
      <c r="BJ5" t="n">
        <v>5500</v>
      </c>
      <c r="BK5" t="inlineStr">
        <is>
          <t>LINE</t>
        </is>
      </c>
      <c r="BL5" t="inlineStr">
        <is>
          <t>WOLF DRY</t>
        </is>
      </c>
      <c r="BM5" t="inlineStr">
        <is>
          <t>WOLF DRY</t>
        </is>
      </c>
    </row>
    <row r="6">
      <c r="A6" t="n">
        <v>5</v>
      </c>
      <c r="B6" t="inlineStr">
        <is>
          <t>SEAL REEFER</t>
        </is>
      </c>
      <c r="C6" t="inlineStr">
        <is>
          <t>REF000000</t>
        </is>
      </c>
      <c r="D6" t="inlineStr">
        <is>
          <t>REF000000</t>
        </is>
      </c>
      <c r="E6" t="n">
        <v>45971</v>
      </c>
      <c r="F6" t="inlineStr">
        <is>
          <t>SEAL REEFER</t>
        </is>
      </c>
      <c r="G6" t="inlineStr">
        <is>
          <t>PREPAID</t>
        </is>
      </c>
      <c r="H6" t="inlineStr">
        <is>
          <t>Regional Operations_UNIMAR</t>
        </is>
      </c>
      <c r="J6" t="n">
        <v>46029</v>
      </c>
      <c r="K6" t="n">
        <v>46029</v>
      </c>
      <c r="L6" t="n">
        <v>46029</v>
      </c>
      <c r="M6" t="inlineStr">
        <is>
          <t>REF000000</t>
        </is>
      </c>
      <c r="N6" t="inlineStr">
        <is>
          <t>USNYC</t>
        </is>
      </c>
      <c r="O6" t="inlineStr">
        <is>
          <t>USNYC</t>
        </is>
      </c>
      <c r="P6" t="inlineStr">
        <is>
          <t>RUBLT</t>
        </is>
      </c>
      <c r="U6" t="inlineStr">
        <is>
          <t>RUBLT</t>
        </is>
      </c>
      <c r="V6" t="inlineStr">
        <is>
          <t>RUBLT</t>
        </is>
      </c>
      <c r="W6" t="inlineStr">
        <is>
          <t>UNITED STATES</t>
        </is>
      </c>
      <c r="X6" t="inlineStr">
        <is>
          <t>Latin America</t>
        </is>
      </c>
      <c r="Y6" t="inlineStr">
        <is>
          <t>RUSSIA</t>
        </is>
      </c>
      <c r="Z6" t="inlineStr">
        <is>
          <t>External Review</t>
        </is>
      </c>
      <c r="AA6" t="inlineStr">
        <is>
          <t>HUB Shipping-Kaliningrad</t>
        </is>
      </c>
      <c r="AB6" t="inlineStr">
        <is>
          <t>Prepaid</t>
        </is>
      </c>
      <c r="AC6" t="inlineStr">
        <is>
          <t>MERCURY/25016E</t>
        </is>
      </c>
      <c r="AD6" t="inlineStr">
        <is>
          <t>SPARTA / SP1010109SB</t>
        </is>
      </c>
      <c r="AE6" t="inlineStr">
        <is>
          <t>LADEN BOOKING</t>
        </is>
      </c>
      <c r="AF6" t="inlineStr">
        <is>
          <t>Joao Ribeiro</t>
        </is>
      </c>
      <c r="AG6" t="inlineStr">
        <is>
          <t>RH40</t>
        </is>
      </c>
      <c r="AH6" t="inlineStr">
        <is>
          <t>NO</t>
        </is>
      </c>
      <c r="AI6" t="n">
        <v>40</v>
      </c>
      <c r="AJ6" t="n">
        <v>0</v>
      </c>
      <c r="AK6" t="n">
        <v>1</v>
      </c>
      <c r="AL6" t="inlineStr">
        <is>
          <t>ANON0000000</t>
        </is>
      </c>
      <c r="AM6" t="n">
        <v>-22</v>
      </c>
      <c r="AP6" t="inlineStr">
        <is>
          <t>Non Haz</t>
        </is>
      </c>
      <c r="AQ6" t="inlineStr">
        <is>
          <t>CY/CY</t>
        </is>
      </c>
      <c r="AT6" t="inlineStr">
        <is>
          <t>REF000000</t>
        </is>
      </c>
      <c r="AU6" t="n">
        <v>28000</v>
      </c>
      <c r="AV6" t="inlineStr">
        <is>
          <t>FROZEN MEAT &amp; FRUIT PULP</t>
        </is>
      </c>
      <c r="AX6" t="inlineStr">
        <is>
          <t>RSUAM112500005</t>
        </is>
      </c>
      <c r="AZ6" t="n">
        <v>0</v>
      </c>
      <c r="BA6" t="n">
        <v>25</v>
      </c>
      <c r="BB6" t="n">
        <v>15</v>
      </c>
      <c r="BC6" t="n">
        <v>8600</v>
      </c>
      <c r="BD6" t="inlineStr">
        <is>
          <t>No</t>
        </is>
      </c>
      <c r="BF6" t="inlineStr">
        <is>
          <t>ARTHA SHIPPING</t>
        </is>
      </c>
      <c r="BG6" t="inlineStr">
        <is>
          <t>USNYC</t>
        </is>
      </c>
      <c r="BH6" t="n">
        <v>0</v>
      </c>
      <c r="BI6" t="n">
        <v>1</v>
      </c>
      <c r="BJ6" t="n">
        <v>8600</v>
      </c>
      <c r="BK6" t="inlineStr">
        <is>
          <t>LINE</t>
        </is>
      </c>
      <c r="BL6" t="inlineStr">
        <is>
          <t>SEAL REEFER</t>
        </is>
      </c>
      <c r="BM6" t="inlineStr">
        <is>
          <t>SEAL REEFER</t>
        </is>
      </c>
    </row>
    <row r="7">
      <c r="A7" t="n">
        <v>6</v>
      </c>
      <c r="B7" t="inlineStr">
        <is>
          <t>FOX DRY</t>
        </is>
      </c>
      <c r="C7" t="inlineStr">
        <is>
          <t>REF000000</t>
        </is>
      </c>
      <c r="D7" t="inlineStr">
        <is>
          <t>REF000000</t>
        </is>
      </c>
      <c r="E7" t="n">
        <v>45971</v>
      </c>
      <c r="F7" t="inlineStr">
        <is>
          <t>FOX DRY</t>
        </is>
      </c>
      <c r="G7" t="inlineStr">
        <is>
          <t>PREPAID</t>
        </is>
      </c>
      <c r="H7" t="inlineStr">
        <is>
          <t>Regional Operations_UNIMAR</t>
        </is>
      </c>
      <c r="J7" t="n">
        <v>46037</v>
      </c>
      <c r="K7" t="n">
        <v>46033</v>
      </c>
      <c r="L7" t="n">
        <v>46037</v>
      </c>
      <c r="M7" t="inlineStr">
        <is>
          <t>REF000000</t>
        </is>
      </c>
      <c r="N7" t="inlineStr">
        <is>
          <t>USNFK</t>
        </is>
      </c>
      <c r="O7" t="inlineStr">
        <is>
          <t>USNFK</t>
        </is>
      </c>
      <c r="P7" t="inlineStr">
        <is>
          <t>RULED</t>
        </is>
      </c>
      <c r="U7" t="inlineStr">
        <is>
          <t>RULED</t>
        </is>
      </c>
      <c r="V7" t="inlineStr">
        <is>
          <t>RULED</t>
        </is>
      </c>
      <c r="W7" t="inlineStr">
        <is>
          <t>UNITED STATES</t>
        </is>
      </c>
      <c r="X7" t="inlineStr">
        <is>
          <t>Latin America</t>
        </is>
      </c>
      <c r="Y7" t="inlineStr">
        <is>
          <t>RUSSIA</t>
        </is>
      </c>
      <c r="Z7" t="inlineStr">
        <is>
          <t>External Review</t>
        </is>
      </c>
      <c r="AA7" t="inlineStr">
        <is>
          <t>HUB SHIPPING LLC-LED</t>
        </is>
      </c>
      <c r="AB7" t="inlineStr">
        <is>
          <t>Prepaid</t>
        </is>
      </c>
      <c r="AC7" t="inlineStr">
        <is>
          <t>MERCURY/25016E</t>
        </is>
      </c>
      <c r="AE7" t="inlineStr">
        <is>
          <t>LADEN BOOKING</t>
        </is>
      </c>
      <c r="AF7" t="inlineStr">
        <is>
          <t>Maria Jessica Da Si</t>
        </is>
      </c>
      <c r="AG7" t="inlineStr">
        <is>
          <t>DC20</t>
        </is>
      </c>
      <c r="AH7" t="inlineStr">
        <is>
          <t>NO</t>
        </is>
      </c>
      <c r="AI7" t="n">
        <v>20</v>
      </c>
      <c r="AJ7" t="n">
        <v>1</v>
      </c>
      <c r="AK7" t="n">
        <v>0</v>
      </c>
      <c r="AL7" t="inlineStr">
        <is>
          <t>ANON0000000</t>
        </is>
      </c>
      <c r="AP7" t="inlineStr">
        <is>
          <t>Non Haz</t>
        </is>
      </c>
      <c r="AQ7" t="inlineStr">
        <is>
          <t>CY/CY</t>
        </is>
      </c>
      <c r="AT7" t="inlineStr">
        <is>
          <t>REF000000</t>
        </is>
      </c>
      <c r="AU7" t="n">
        <v>22000</v>
      </c>
      <c r="AV7" t="inlineStr">
        <is>
          <t>GENERAL COMMODITY</t>
        </is>
      </c>
      <c r="AX7" t="inlineStr">
        <is>
          <t>MRG368669</t>
        </is>
      </c>
      <c r="AY7" t="inlineStr">
        <is>
          <t>LINE</t>
        </is>
      </c>
      <c r="AZ7" t="n">
        <v>0</v>
      </c>
      <c r="BA7" t="n">
        <v>30</v>
      </c>
      <c r="BB7" t="n">
        <v>14</v>
      </c>
      <c r="BC7" t="n">
        <v>3200</v>
      </c>
      <c r="BD7" t="inlineStr">
        <is>
          <t>No</t>
        </is>
      </c>
      <c r="BF7" t="inlineStr">
        <is>
          <t>ARTHA SHIPPING</t>
        </is>
      </c>
      <c r="BG7" t="inlineStr">
        <is>
          <t>USNFK</t>
        </is>
      </c>
      <c r="BH7" t="n">
        <v>1</v>
      </c>
      <c r="BI7" t="n">
        <v>0</v>
      </c>
      <c r="BJ7" t="n">
        <v>3200</v>
      </c>
      <c r="BK7" t="inlineStr">
        <is>
          <t>LINE</t>
        </is>
      </c>
      <c r="BL7" t="inlineStr">
        <is>
          <t>FOX DRY</t>
        </is>
      </c>
      <c r="BM7" t="inlineStr">
        <is>
          <t>FOX DRY</t>
        </is>
      </c>
    </row>
    <row r="8">
      <c r="A8" t="n">
        <v>7</v>
      </c>
      <c r="B8" t="inlineStr">
        <is>
          <t>BISON DRY</t>
        </is>
      </c>
      <c r="C8" t="inlineStr">
        <is>
          <t>REF000000</t>
        </is>
      </c>
      <c r="D8" t="inlineStr">
        <is>
          <t>REF000000</t>
        </is>
      </c>
      <c r="E8" t="n">
        <v>45973</v>
      </c>
      <c r="F8" t="inlineStr">
        <is>
          <t>BISON DRY</t>
        </is>
      </c>
      <c r="H8" t="inlineStr">
        <is>
          <t>AdminUAM</t>
        </is>
      </c>
      <c r="J8" t="n">
        <v>46037</v>
      </c>
      <c r="K8" t="n">
        <v>46033</v>
      </c>
      <c r="L8" t="n">
        <v>46037</v>
      </c>
      <c r="M8" t="inlineStr">
        <is>
          <t>REF000000</t>
        </is>
      </c>
      <c r="N8" t="inlineStr">
        <is>
          <t>USNFK</t>
        </is>
      </c>
      <c r="O8" t="inlineStr">
        <is>
          <t>USNFK</t>
        </is>
      </c>
      <c r="P8" t="inlineStr">
        <is>
          <t>RULED</t>
        </is>
      </c>
      <c r="U8" t="inlineStr">
        <is>
          <t>RULED</t>
        </is>
      </c>
      <c r="V8" t="inlineStr">
        <is>
          <t>RULED</t>
        </is>
      </c>
      <c r="W8" t="inlineStr">
        <is>
          <t>UNITED STATES</t>
        </is>
      </c>
      <c r="X8" t="inlineStr">
        <is>
          <t>Latin America</t>
        </is>
      </c>
      <c r="Y8" t="inlineStr">
        <is>
          <t>RUSSIA</t>
        </is>
      </c>
      <c r="Z8" t="inlineStr">
        <is>
          <t>External Review</t>
        </is>
      </c>
      <c r="AA8" t="inlineStr">
        <is>
          <t>HUB SHIPPING LLC-LED</t>
        </is>
      </c>
      <c r="AB8" t="inlineStr">
        <is>
          <t>Collect</t>
        </is>
      </c>
      <c r="AC8" t="inlineStr">
        <is>
          <t>MERCURY/25016E</t>
        </is>
      </c>
      <c r="AE8" t="inlineStr">
        <is>
          <t>LADEN BOOKING</t>
        </is>
      </c>
      <c r="AF8" t="inlineStr">
        <is>
          <t>RenniUAM</t>
        </is>
      </c>
      <c r="AG8" t="inlineStr">
        <is>
          <t>DC20</t>
        </is>
      </c>
      <c r="AH8" t="inlineStr">
        <is>
          <t>NO</t>
        </is>
      </c>
      <c r="AI8" t="n">
        <v>20</v>
      </c>
      <c r="AJ8" t="n">
        <v>4</v>
      </c>
      <c r="AK8" t="n">
        <v>0</v>
      </c>
      <c r="AL8" t="inlineStr">
        <is>
          <t>ANON0000000,
ANON0000000,
ANON0000000,
ANON0000000</t>
        </is>
      </c>
      <c r="AP8" t="inlineStr">
        <is>
          <t>Non Haz</t>
        </is>
      </c>
      <c r="AQ8" t="inlineStr">
        <is>
          <t>CY/CY</t>
        </is>
      </c>
      <c r="AT8" t="inlineStr">
        <is>
          <t>REF000000</t>
        </is>
      </c>
      <c r="AU8" t="n">
        <v>23000</v>
      </c>
      <c r="AV8" t="inlineStr">
        <is>
          <t>GENERAL COMMODITY</t>
        </is>
      </c>
      <c r="AX8" t="inlineStr">
        <is>
          <t>RSUAM122500028</t>
        </is>
      </c>
      <c r="AZ8" t="n">
        <v>0</v>
      </c>
      <c r="BA8" t="n">
        <v>10</v>
      </c>
      <c r="BB8" t="n">
        <v>21</v>
      </c>
      <c r="BC8" t="n">
        <v>1750</v>
      </c>
      <c r="BD8" t="inlineStr">
        <is>
          <t>Yes</t>
        </is>
      </c>
      <c r="BF8" t="inlineStr">
        <is>
          <t>ARTHA SHIPPING</t>
        </is>
      </c>
      <c r="BG8" t="inlineStr">
        <is>
          <t>RULED</t>
        </is>
      </c>
      <c r="BH8" t="n">
        <v>4</v>
      </c>
      <c r="BI8" t="n">
        <v>0</v>
      </c>
      <c r="BJ8" t="n">
        <v>7000</v>
      </c>
      <c r="BK8" t="inlineStr">
        <is>
          <t>LINE</t>
        </is>
      </c>
      <c r="BL8" t="inlineStr">
        <is>
          <t>BISON DRY</t>
        </is>
      </c>
      <c r="BM8" t="inlineStr">
        <is>
          <t>BISON DRY</t>
        </is>
      </c>
    </row>
    <row r="9">
      <c r="A9" t="n">
        <v>8</v>
      </c>
      <c r="B9" t="inlineStr">
        <is>
          <t>MARLIN REEFER</t>
        </is>
      </c>
      <c r="C9" t="inlineStr">
        <is>
          <t>REF000000</t>
        </is>
      </c>
      <c r="D9" t="inlineStr">
        <is>
          <t>REF000000</t>
        </is>
      </c>
      <c r="E9" t="n">
        <v>45978</v>
      </c>
      <c r="F9" t="inlineStr">
        <is>
          <t>MARLIN REEFER</t>
        </is>
      </c>
      <c r="G9" t="inlineStr">
        <is>
          <t>PREPAID ABROAD</t>
        </is>
      </c>
      <c r="H9" t="inlineStr">
        <is>
          <t>Regional Operations_UNIMAR</t>
        </is>
      </c>
      <c r="J9" t="n">
        <v>46029</v>
      </c>
      <c r="K9" t="n">
        <v>46029</v>
      </c>
      <c r="L9" t="n">
        <v>46029</v>
      </c>
      <c r="M9" t="inlineStr">
        <is>
          <t>REF000000</t>
        </is>
      </c>
      <c r="N9" t="inlineStr">
        <is>
          <t>USNYC</t>
        </is>
      </c>
      <c r="O9" t="inlineStr">
        <is>
          <t>USNYC</t>
        </is>
      </c>
      <c r="P9" t="inlineStr">
        <is>
          <t>RUBLT</t>
        </is>
      </c>
      <c r="U9" t="inlineStr">
        <is>
          <t>RUBLT</t>
        </is>
      </c>
      <c r="V9" t="inlineStr">
        <is>
          <t>RUBLT</t>
        </is>
      </c>
      <c r="W9" t="inlineStr">
        <is>
          <t>UNITED STATES</t>
        </is>
      </c>
      <c r="X9" t="inlineStr">
        <is>
          <t>Latin America</t>
        </is>
      </c>
      <c r="Y9" t="inlineStr">
        <is>
          <t>RUSSIA</t>
        </is>
      </c>
      <c r="Z9" t="inlineStr">
        <is>
          <t>External Review</t>
        </is>
      </c>
      <c r="AA9" t="inlineStr">
        <is>
          <t>HUB Shipping-Kaliningrad</t>
        </is>
      </c>
      <c r="AB9" t="inlineStr">
        <is>
          <t>Prepaid</t>
        </is>
      </c>
      <c r="AC9" t="inlineStr">
        <is>
          <t>MERCURY/25016E</t>
        </is>
      </c>
      <c r="AD9" t="inlineStr">
        <is>
          <t>SPARTA / SP1010109SB</t>
        </is>
      </c>
      <c r="AE9" t="inlineStr">
        <is>
          <t>LADEN BOOKING</t>
        </is>
      </c>
      <c r="AF9" t="inlineStr">
        <is>
          <t>Joao Ribeiro</t>
        </is>
      </c>
      <c r="AG9" t="inlineStr">
        <is>
          <t>RH40</t>
        </is>
      </c>
      <c r="AH9" t="inlineStr">
        <is>
          <t>NO</t>
        </is>
      </c>
      <c r="AI9" t="n">
        <v>40</v>
      </c>
      <c r="AJ9" t="n">
        <v>0</v>
      </c>
      <c r="AK9" t="n">
        <v>1</v>
      </c>
      <c r="AL9" t="inlineStr">
        <is>
          <t>ANON0000000</t>
        </is>
      </c>
      <c r="AM9" t="n">
        <v>-22</v>
      </c>
      <c r="AP9" t="inlineStr">
        <is>
          <t>Non Haz</t>
        </is>
      </c>
      <c r="AQ9" t="inlineStr">
        <is>
          <t>CY/CY</t>
        </is>
      </c>
      <c r="AT9" t="inlineStr">
        <is>
          <t>REF000000</t>
        </is>
      </c>
      <c r="AU9" t="n">
        <v>27000</v>
      </c>
      <c r="AV9" t="inlineStr">
        <is>
          <t>FROZEN MEAT &amp; FRUIT PULP</t>
        </is>
      </c>
      <c r="AX9" t="inlineStr">
        <is>
          <t>RSUAM122500017</t>
        </is>
      </c>
      <c r="AZ9" t="n">
        <v>2</v>
      </c>
      <c r="BA9" t="n">
        <v>25</v>
      </c>
      <c r="BB9" t="n">
        <v>15</v>
      </c>
      <c r="BC9" t="n">
        <v>9200</v>
      </c>
      <c r="BD9" t="inlineStr">
        <is>
          <t>No</t>
        </is>
      </c>
      <c r="BF9" t="inlineStr">
        <is>
          <t>ARTHA SHIPPING</t>
        </is>
      </c>
      <c r="BG9" t="inlineStr">
        <is>
          <t>USNYC</t>
        </is>
      </c>
      <c r="BH9" t="n">
        <v>0</v>
      </c>
      <c r="BI9" t="n">
        <v>1</v>
      </c>
      <c r="BJ9" t="n">
        <v>9200</v>
      </c>
      <c r="BK9" t="inlineStr">
        <is>
          <t>LINE</t>
        </is>
      </c>
      <c r="BL9" t="inlineStr">
        <is>
          <t>MARLIN REEFER</t>
        </is>
      </c>
      <c r="BM9" t="inlineStr">
        <is>
          <t>MARLIN REEFER</t>
        </is>
      </c>
    </row>
    <row r="10">
      <c r="A10" t="n">
        <v>9</v>
      </c>
      <c r="B10" t="inlineStr">
        <is>
          <t>COYOTE DRY</t>
        </is>
      </c>
      <c r="C10" t="inlineStr">
        <is>
          <t>REF000000</t>
        </is>
      </c>
      <c r="D10" t="inlineStr">
        <is>
          <t>REF000000</t>
        </is>
      </c>
      <c r="E10" t="n">
        <v>45979</v>
      </c>
      <c r="F10" t="inlineStr">
        <is>
          <t>COYOTE DRY</t>
        </is>
      </c>
      <c r="H10" t="inlineStr">
        <is>
          <t>AdminUAM</t>
        </is>
      </c>
      <c r="J10" t="n">
        <v>46037</v>
      </c>
      <c r="K10" t="n">
        <v>46033</v>
      </c>
      <c r="L10" t="n">
        <v>46037</v>
      </c>
      <c r="M10" t="inlineStr">
        <is>
          <t>REF000000</t>
        </is>
      </c>
      <c r="N10" t="inlineStr">
        <is>
          <t>USNFK</t>
        </is>
      </c>
      <c r="O10" t="inlineStr">
        <is>
          <t>USNFK</t>
        </is>
      </c>
      <c r="P10" t="inlineStr">
        <is>
          <t>RULED</t>
        </is>
      </c>
      <c r="U10" t="inlineStr">
        <is>
          <t>RULED</t>
        </is>
      </c>
      <c r="V10" t="inlineStr">
        <is>
          <t>RULED</t>
        </is>
      </c>
      <c r="W10" t="inlineStr">
        <is>
          <t>UNITED STATES</t>
        </is>
      </c>
      <c r="X10" t="inlineStr">
        <is>
          <t>Latin America</t>
        </is>
      </c>
      <c r="Y10" t="inlineStr">
        <is>
          <t>RUSSIA</t>
        </is>
      </c>
      <c r="Z10" t="inlineStr">
        <is>
          <t>External Review</t>
        </is>
      </c>
      <c r="AA10" t="inlineStr">
        <is>
          <t>HUB SHIPPING LLC-LED</t>
        </is>
      </c>
      <c r="AB10" t="inlineStr">
        <is>
          <t>Collect</t>
        </is>
      </c>
      <c r="AC10" t="inlineStr">
        <is>
          <t>MERCURY/25016E</t>
        </is>
      </c>
      <c r="AE10" t="inlineStr">
        <is>
          <t>LADEN BOOKING</t>
        </is>
      </c>
      <c r="AF10" t="inlineStr">
        <is>
          <t>RenniUAM</t>
        </is>
      </c>
      <c r="AG10" t="inlineStr">
        <is>
          <t>DC20</t>
        </is>
      </c>
      <c r="AH10" t="inlineStr">
        <is>
          <t>NO</t>
        </is>
      </c>
      <c r="AI10" t="n">
        <v>20</v>
      </c>
      <c r="AJ10" t="n">
        <v>1</v>
      </c>
      <c r="AK10" t="n">
        <v>0</v>
      </c>
      <c r="AL10" t="inlineStr">
        <is>
          <t>ANON0000000</t>
        </is>
      </c>
      <c r="AP10" t="inlineStr">
        <is>
          <t>Non Haz</t>
        </is>
      </c>
      <c r="AQ10" t="inlineStr">
        <is>
          <t>CY/CY</t>
        </is>
      </c>
      <c r="AT10" t="inlineStr">
        <is>
          <t>REF000000</t>
        </is>
      </c>
      <c r="AU10" t="n">
        <v>26000</v>
      </c>
      <c r="AV10" t="inlineStr">
        <is>
          <t>GENERAL COMMODITY</t>
        </is>
      </c>
      <c r="AX10" t="inlineStr">
        <is>
          <t>MRG340876</t>
        </is>
      </c>
      <c r="AY10" t="inlineStr">
        <is>
          <t>LINE</t>
        </is>
      </c>
      <c r="AZ10" t="n">
        <v>0</v>
      </c>
      <c r="BA10" t="n">
        <v>14</v>
      </c>
      <c r="BB10" t="n">
        <v>14</v>
      </c>
      <c r="BC10" t="n">
        <v>3200</v>
      </c>
      <c r="BD10" t="inlineStr">
        <is>
          <t>Yes</t>
        </is>
      </c>
      <c r="BF10" t="inlineStr">
        <is>
          <t>ARTHA SHIPPING</t>
        </is>
      </c>
      <c r="BG10" t="inlineStr">
        <is>
          <t>RULED</t>
        </is>
      </c>
      <c r="BH10" t="n">
        <v>1</v>
      </c>
      <c r="BI10" t="n">
        <v>0</v>
      </c>
      <c r="BJ10" t="n">
        <v>3200</v>
      </c>
      <c r="BK10" t="inlineStr">
        <is>
          <t>LINE</t>
        </is>
      </c>
      <c r="BL10" t="inlineStr">
        <is>
          <t>COYOTE DRY</t>
        </is>
      </c>
      <c r="BM10" t="inlineStr">
        <is>
          <t>COYOTE DRY</t>
        </is>
      </c>
    </row>
    <row r="11">
      <c r="A11" t="n">
        <v>10</v>
      </c>
      <c r="B11" t="inlineStr">
        <is>
          <t>ORCA REEFER</t>
        </is>
      </c>
      <c r="C11" t="inlineStr">
        <is>
          <t>REF000000</t>
        </is>
      </c>
      <c r="D11" t="inlineStr">
        <is>
          <t>REF000000</t>
        </is>
      </c>
      <c r="E11" t="n">
        <v>45979</v>
      </c>
      <c r="F11" t="inlineStr">
        <is>
          <t>ORCA REEFER</t>
        </is>
      </c>
      <c r="G11" t="inlineStr">
        <is>
          <t>PREPAID ABROAD</t>
        </is>
      </c>
      <c r="H11" t="inlineStr">
        <is>
          <t>Regional Operations_UNIMAR</t>
        </is>
      </c>
      <c r="J11" t="n">
        <v>46029</v>
      </c>
      <c r="K11" t="n">
        <v>46029</v>
      </c>
      <c r="L11" t="n">
        <v>46029</v>
      </c>
      <c r="M11" t="inlineStr">
        <is>
          <t>REF000000</t>
        </is>
      </c>
      <c r="N11" t="inlineStr">
        <is>
          <t>USNYC</t>
        </is>
      </c>
      <c r="O11" t="inlineStr">
        <is>
          <t>USNYC</t>
        </is>
      </c>
      <c r="P11" t="inlineStr">
        <is>
          <t>RUBLT</t>
        </is>
      </c>
      <c r="U11" t="inlineStr">
        <is>
          <t>RUBLT</t>
        </is>
      </c>
      <c r="V11" t="inlineStr">
        <is>
          <t>RUBLT</t>
        </is>
      </c>
      <c r="W11" t="inlineStr">
        <is>
          <t>UNITED STATES</t>
        </is>
      </c>
      <c r="X11" t="inlineStr">
        <is>
          <t>Latin America</t>
        </is>
      </c>
      <c r="Y11" t="inlineStr">
        <is>
          <t>RUSSIA</t>
        </is>
      </c>
      <c r="Z11" t="inlineStr">
        <is>
          <t>External Review</t>
        </is>
      </c>
      <c r="AA11" t="inlineStr">
        <is>
          <t>HUB Shipping-Kaliningrad</t>
        </is>
      </c>
      <c r="AB11" t="inlineStr">
        <is>
          <t>Prepaid</t>
        </is>
      </c>
      <c r="AC11" t="inlineStr">
        <is>
          <t>MERCURY/25016E</t>
        </is>
      </c>
      <c r="AD11" t="inlineStr">
        <is>
          <t>SPARTA / SP1010109SB</t>
        </is>
      </c>
      <c r="AE11" t="inlineStr">
        <is>
          <t>LADEN BOOKING</t>
        </is>
      </c>
      <c r="AF11" t="inlineStr">
        <is>
          <t>Joao Ribeiro</t>
        </is>
      </c>
      <c r="AG11" t="inlineStr">
        <is>
          <t>RH40</t>
        </is>
      </c>
      <c r="AH11" t="inlineStr">
        <is>
          <t>NO</t>
        </is>
      </c>
      <c r="AI11" t="n">
        <v>40</v>
      </c>
      <c r="AJ11" t="n">
        <v>0</v>
      </c>
      <c r="AK11" t="n">
        <v>1</v>
      </c>
      <c r="AL11" t="inlineStr">
        <is>
          <t>ANON0000000</t>
        </is>
      </c>
      <c r="AM11" t="n">
        <v>-22</v>
      </c>
      <c r="AP11" t="inlineStr">
        <is>
          <t>Non Haz</t>
        </is>
      </c>
      <c r="AQ11" t="inlineStr">
        <is>
          <t>CY/CY</t>
        </is>
      </c>
      <c r="AT11" t="inlineStr">
        <is>
          <t>REF000000</t>
        </is>
      </c>
      <c r="AU11" t="n">
        <v>27000</v>
      </c>
      <c r="AV11" t="inlineStr">
        <is>
          <t>FROZEN MEAT &amp; FRUIT PULP</t>
        </is>
      </c>
      <c r="AX11" t="inlineStr">
        <is>
          <t>RSUAM122500017</t>
        </is>
      </c>
      <c r="AZ11" t="n">
        <v>2</v>
      </c>
      <c r="BA11" t="n">
        <v>25</v>
      </c>
      <c r="BB11" t="n">
        <v>15</v>
      </c>
      <c r="BC11" t="n">
        <v>9200</v>
      </c>
      <c r="BD11" t="inlineStr">
        <is>
          <t>No</t>
        </is>
      </c>
      <c r="BF11" t="inlineStr">
        <is>
          <t>ARTHA SHIPPING</t>
        </is>
      </c>
      <c r="BG11" t="inlineStr">
        <is>
          <t>USNYC</t>
        </is>
      </c>
      <c r="BH11" t="n">
        <v>0</v>
      </c>
      <c r="BI11" t="n">
        <v>1</v>
      </c>
      <c r="BJ11" t="n">
        <v>9200</v>
      </c>
      <c r="BK11" t="inlineStr">
        <is>
          <t>LINE</t>
        </is>
      </c>
      <c r="BL11" t="inlineStr">
        <is>
          <t>ORCA REEFER</t>
        </is>
      </c>
      <c r="BM11" t="inlineStr">
        <is>
          <t>ORCA REEFER</t>
        </is>
      </c>
    </row>
    <row r="12">
      <c r="A12" t="n">
        <v>11</v>
      </c>
      <c r="B12" t="inlineStr">
        <is>
          <t>WHALE REEFER</t>
        </is>
      </c>
      <c r="C12" t="inlineStr">
        <is>
          <t>REF000000</t>
        </is>
      </c>
      <c r="D12" t="inlineStr">
        <is>
          <t>REF000000</t>
        </is>
      </c>
      <c r="E12" t="n">
        <v>45981</v>
      </c>
      <c r="F12" t="inlineStr">
        <is>
          <t>WHALE REEFER</t>
        </is>
      </c>
      <c r="G12" t="inlineStr">
        <is>
          <t>PREPAID ABROAD</t>
        </is>
      </c>
      <c r="H12" t="inlineStr">
        <is>
          <t>Diego</t>
        </is>
      </c>
      <c r="J12" t="inlineStr">
        <is>
          <t>19-FEB-2026</t>
        </is>
      </c>
      <c r="K12" t="inlineStr">
        <is>
          <t>19-FEB-2026</t>
        </is>
      </c>
      <c r="L12" t="inlineStr">
        <is>
          <t>19-FEB-2026</t>
        </is>
      </c>
      <c r="M12" t="inlineStr">
        <is>
          <t>REF000000</t>
        </is>
      </c>
      <c r="N12" t="inlineStr">
        <is>
          <t>USHOU</t>
        </is>
      </c>
      <c r="O12" t="inlineStr">
        <is>
          <t>USHOU</t>
        </is>
      </c>
      <c r="P12" t="inlineStr">
        <is>
          <t>RULED</t>
        </is>
      </c>
      <c r="U12" t="inlineStr">
        <is>
          <t>RULED</t>
        </is>
      </c>
      <c r="V12" t="inlineStr">
        <is>
          <t>RULED</t>
        </is>
      </c>
      <c r="W12" t="inlineStr">
        <is>
          <t>UNITED STATES</t>
        </is>
      </c>
      <c r="X12" t="inlineStr">
        <is>
          <t>Latin America</t>
        </is>
      </c>
      <c r="Y12" t="inlineStr">
        <is>
          <t>RUSSIA</t>
        </is>
      </c>
      <c r="Z12" t="inlineStr">
        <is>
          <t>External Review</t>
        </is>
      </c>
      <c r="AA12" t="inlineStr">
        <is>
          <t>HUB SHIPPING LLC-LED</t>
        </is>
      </c>
      <c r="AB12" t="inlineStr">
        <is>
          <t>Prepaid</t>
        </is>
      </c>
      <c r="AC12" t="inlineStr">
        <is>
          <t>LI DA XING/VOYAGE 1</t>
        </is>
      </c>
      <c r="AE12" t="inlineStr">
        <is>
          <t>LADEN BOOKING</t>
        </is>
      </c>
      <c r="AF12" t="inlineStr">
        <is>
          <t>Maria Jessica Da Si</t>
        </is>
      </c>
      <c r="AG12" t="inlineStr">
        <is>
          <t>RH40</t>
        </is>
      </c>
      <c r="AH12" t="inlineStr">
        <is>
          <t>NO</t>
        </is>
      </c>
      <c r="AI12" t="n">
        <v>40</v>
      </c>
      <c r="AJ12" t="n">
        <v>0</v>
      </c>
      <c r="AK12" t="n">
        <v>1</v>
      </c>
      <c r="AL12" t="inlineStr">
        <is>
          <t>ANON0000000</t>
        </is>
      </c>
      <c r="AM12" t="n">
        <v>-18</v>
      </c>
      <c r="AP12" t="inlineStr">
        <is>
          <t>Non Haz</t>
        </is>
      </c>
      <c r="AQ12" t="inlineStr">
        <is>
          <t>CY/CY</t>
        </is>
      </c>
      <c r="AT12" t="inlineStr">
        <is>
          <t>REF000000</t>
        </is>
      </c>
      <c r="AU12" t="n">
        <v>25000</v>
      </c>
      <c r="AV12" t="inlineStr">
        <is>
          <t>FROZEN MEAT &amp; FRUIT PULP</t>
        </is>
      </c>
      <c r="AX12" t="inlineStr">
        <is>
          <t>RSUAM112500006</t>
        </is>
      </c>
      <c r="AZ12" t="n">
        <v>5</v>
      </c>
      <c r="BA12" t="n">
        <v>25</v>
      </c>
      <c r="BB12" t="n">
        <v>15</v>
      </c>
      <c r="BC12" t="n">
        <v>7000</v>
      </c>
      <c r="BD12" t="inlineStr">
        <is>
          <t>No</t>
        </is>
      </c>
      <c r="BF12" t="inlineStr">
        <is>
          <t>ARTHA SHIPPING</t>
        </is>
      </c>
      <c r="BG12" t="inlineStr">
        <is>
          <t>USHOU</t>
        </is>
      </c>
      <c r="BH12" t="n">
        <v>0</v>
      </c>
      <c r="BI12" t="n">
        <v>1</v>
      </c>
      <c r="BJ12" t="n">
        <v>7000</v>
      </c>
      <c r="BK12" t="inlineStr">
        <is>
          <t>LINE</t>
        </is>
      </c>
      <c r="BL12" t="inlineStr">
        <is>
          <t>WHALE REEFER</t>
        </is>
      </c>
      <c r="BM12" t="inlineStr">
        <is>
          <t>WHALE REEFER</t>
        </is>
      </c>
    </row>
    <row r="13">
      <c r="A13" t="n">
        <v>12</v>
      </c>
      <c r="B13" t="inlineStr">
        <is>
          <t>SEAL REEFER</t>
        </is>
      </c>
      <c r="C13" t="inlineStr">
        <is>
          <t>REF000000</t>
        </is>
      </c>
      <c r="D13" t="inlineStr">
        <is>
          <t>REF000000</t>
        </is>
      </c>
      <c r="E13" t="n">
        <v>45981</v>
      </c>
      <c r="F13" t="inlineStr">
        <is>
          <t>SEAL REEFER</t>
        </is>
      </c>
      <c r="G13" t="inlineStr">
        <is>
          <t>PREPAID ABROAD</t>
        </is>
      </c>
      <c r="H13" t="inlineStr">
        <is>
          <t>Diego</t>
        </is>
      </c>
      <c r="J13" t="n">
        <v>46032</v>
      </c>
      <c r="K13" t="n">
        <v>46031</v>
      </c>
      <c r="L13" t="n">
        <v>46032</v>
      </c>
      <c r="M13" t="inlineStr">
        <is>
          <t>REF000000</t>
        </is>
      </c>
      <c r="N13" t="inlineStr">
        <is>
          <t>USHOU</t>
        </is>
      </c>
      <c r="O13" t="inlineStr">
        <is>
          <t>USHOU</t>
        </is>
      </c>
      <c r="P13" t="inlineStr">
        <is>
          <t>RULED</t>
        </is>
      </c>
      <c r="U13" t="inlineStr">
        <is>
          <t>RULED</t>
        </is>
      </c>
      <c r="V13" t="inlineStr">
        <is>
          <t>RULED</t>
        </is>
      </c>
      <c r="W13" t="inlineStr">
        <is>
          <t>UNITED STATES</t>
        </is>
      </c>
      <c r="X13" t="inlineStr">
        <is>
          <t>Latin America</t>
        </is>
      </c>
      <c r="Y13" t="inlineStr">
        <is>
          <t>RUSSIA</t>
        </is>
      </c>
      <c r="Z13" t="inlineStr">
        <is>
          <t>External Review</t>
        </is>
      </c>
      <c r="AA13" t="inlineStr">
        <is>
          <t>HUB SHIPPING LLC-LED</t>
        </is>
      </c>
      <c r="AB13" t="inlineStr">
        <is>
          <t>Prepaid</t>
        </is>
      </c>
      <c r="AC13" t="inlineStr">
        <is>
          <t>MERCURY/25016E</t>
        </is>
      </c>
      <c r="AE13" t="inlineStr">
        <is>
          <t>LADEN BOOKING</t>
        </is>
      </c>
      <c r="AF13" t="inlineStr">
        <is>
          <t>Maria Jessica Da Si</t>
        </is>
      </c>
      <c r="AG13" t="inlineStr">
        <is>
          <t>RH40</t>
        </is>
      </c>
      <c r="AH13" t="inlineStr">
        <is>
          <t>NO</t>
        </is>
      </c>
      <c r="AI13" t="n">
        <v>40</v>
      </c>
      <c r="AJ13" t="n">
        <v>0</v>
      </c>
      <c r="AK13" t="n">
        <v>1</v>
      </c>
      <c r="AL13" t="inlineStr">
        <is>
          <t>ANON0000000</t>
        </is>
      </c>
      <c r="AM13" t="n">
        <v>-18</v>
      </c>
      <c r="AP13" t="inlineStr">
        <is>
          <t>Non Haz</t>
        </is>
      </c>
      <c r="AQ13" t="inlineStr">
        <is>
          <t>CY/CY</t>
        </is>
      </c>
      <c r="AT13" t="inlineStr">
        <is>
          <t>REF000000</t>
        </is>
      </c>
      <c r="AU13" t="n">
        <v>25000</v>
      </c>
      <c r="AV13" t="inlineStr">
        <is>
          <t>FROZEN MEAT &amp; FRUIT PULP</t>
        </is>
      </c>
      <c r="AX13" t="inlineStr">
        <is>
          <t>RSUAM112500006</t>
        </is>
      </c>
      <c r="AZ13" t="n">
        <v>5</v>
      </c>
      <c r="BA13" t="n">
        <v>25</v>
      </c>
      <c r="BB13" t="n">
        <v>15</v>
      </c>
      <c r="BC13" t="n">
        <v>7000</v>
      </c>
      <c r="BD13" t="inlineStr">
        <is>
          <t>No</t>
        </is>
      </c>
      <c r="BF13" t="inlineStr">
        <is>
          <t>ARTHA SHIPPING</t>
        </is>
      </c>
      <c r="BG13" t="inlineStr">
        <is>
          <t>USHOU</t>
        </is>
      </c>
      <c r="BH13" t="n">
        <v>0</v>
      </c>
      <c r="BI13" t="n">
        <v>1</v>
      </c>
      <c r="BJ13" t="n">
        <v>7000</v>
      </c>
      <c r="BK13" t="inlineStr">
        <is>
          <t>LINE</t>
        </is>
      </c>
      <c r="BL13" t="inlineStr">
        <is>
          <t>SEAL REEFER</t>
        </is>
      </c>
      <c r="BM13" t="inlineStr">
        <is>
          <t>SEAL REEFER</t>
        </is>
      </c>
    </row>
    <row r="14">
      <c r="A14" t="n">
        <v>13</v>
      </c>
      <c r="B14" t="inlineStr">
        <is>
          <t>SHARK REEFER</t>
        </is>
      </c>
      <c r="C14" t="inlineStr">
        <is>
          <t>REF000000</t>
        </is>
      </c>
      <c r="D14" t="inlineStr">
        <is>
          <t>REF000000</t>
        </is>
      </c>
      <c r="E14" t="n">
        <v>45985</v>
      </c>
      <c r="F14" t="inlineStr">
        <is>
          <t>SHARK REEFER</t>
        </is>
      </c>
      <c r="H14" t="inlineStr">
        <is>
          <t>AdminUAM</t>
        </is>
      </c>
      <c r="J14" t="n">
        <v>46029</v>
      </c>
      <c r="K14" t="n">
        <v>46029</v>
      </c>
      <c r="L14" t="n">
        <v>46029</v>
      </c>
      <c r="M14" t="inlineStr">
        <is>
          <t>REF000000</t>
        </is>
      </c>
      <c r="N14" t="inlineStr">
        <is>
          <t>USNYC</t>
        </is>
      </c>
      <c r="O14" t="inlineStr">
        <is>
          <t>USNYC</t>
        </is>
      </c>
      <c r="P14" t="inlineStr">
        <is>
          <t>RULED</t>
        </is>
      </c>
      <c r="U14" t="inlineStr">
        <is>
          <t>RULED</t>
        </is>
      </c>
      <c r="V14" t="inlineStr">
        <is>
          <t>RULED</t>
        </is>
      </c>
      <c r="W14" t="inlineStr">
        <is>
          <t>UNITED STATES</t>
        </is>
      </c>
      <c r="X14" t="inlineStr">
        <is>
          <t>Latin America</t>
        </is>
      </c>
      <c r="Y14" t="inlineStr">
        <is>
          <t>RUSSIA</t>
        </is>
      </c>
      <c r="Z14" t="inlineStr">
        <is>
          <t>External Review</t>
        </is>
      </c>
      <c r="AA14" t="inlineStr">
        <is>
          <t>HUB SHIPPING LLC-LED</t>
        </is>
      </c>
      <c r="AB14" t="inlineStr">
        <is>
          <t>Collect</t>
        </is>
      </c>
      <c r="AC14" t="inlineStr">
        <is>
          <t>MERCURY/25016E</t>
        </is>
      </c>
      <c r="AE14" t="inlineStr">
        <is>
          <t>LADEN BOOKING</t>
        </is>
      </c>
      <c r="AF14" t="inlineStr">
        <is>
          <t>RenniUAM</t>
        </is>
      </c>
      <c r="AG14" t="inlineStr">
        <is>
          <t>DC20</t>
        </is>
      </c>
      <c r="AH14" t="inlineStr">
        <is>
          <t>NO</t>
        </is>
      </c>
      <c r="AI14" t="n">
        <v>20</v>
      </c>
      <c r="AJ14" t="n">
        <v>12</v>
      </c>
      <c r="AK14" t="n">
        <v>0</v>
      </c>
      <c r="AL14" t="inlineStr">
        <is>
          <t>ANON0000000,
ANON0000000,
ANON0000000,
ANON0000000,
ANON0000000,
ANON0000000,
ANON0000000,
ANON0000000,
ANON0000000,
ANON0000000,
ANON0000000,
ANON0000000</t>
        </is>
      </c>
      <c r="AP14" t="inlineStr">
        <is>
          <t>Non Haz</t>
        </is>
      </c>
      <c r="AQ14" t="inlineStr">
        <is>
          <t>CY/CY</t>
        </is>
      </c>
      <c r="AT14" t="inlineStr">
        <is>
          <t>REF000000</t>
        </is>
      </c>
      <c r="AU14" t="n">
        <v>23000</v>
      </c>
      <c r="AV14" t="inlineStr">
        <is>
          <t>GENERAL COMMODITY</t>
        </is>
      </c>
      <c r="AX14" t="inlineStr">
        <is>
          <t>RSUAM122500022</t>
        </is>
      </c>
      <c r="AZ14" t="n">
        <v>0</v>
      </c>
      <c r="BA14" t="n">
        <v>10</v>
      </c>
      <c r="BB14" t="n">
        <v>21</v>
      </c>
      <c r="BC14" t="n">
        <v>1650</v>
      </c>
      <c r="BD14" t="inlineStr">
        <is>
          <t>Yes</t>
        </is>
      </c>
      <c r="BF14" t="inlineStr">
        <is>
          <t>ARTHA SHIPPING</t>
        </is>
      </c>
      <c r="BG14" t="inlineStr">
        <is>
          <t>RULED</t>
        </is>
      </c>
      <c r="BH14" t="n">
        <v>12</v>
      </c>
      <c r="BI14" t="n">
        <v>0</v>
      </c>
      <c r="BJ14" t="n">
        <v>19800</v>
      </c>
      <c r="BK14" t="inlineStr">
        <is>
          <t>LINE</t>
        </is>
      </c>
      <c r="BL14" t="inlineStr">
        <is>
          <t>SHARK REEFER</t>
        </is>
      </c>
      <c r="BM14" t="inlineStr">
        <is>
          <t>SHARK REEFER</t>
        </is>
      </c>
    </row>
    <row r="15">
      <c r="A15" t="n">
        <v>14</v>
      </c>
      <c r="B15" t="inlineStr">
        <is>
          <t>DOLPHIN REEFER</t>
        </is>
      </c>
      <c r="C15" t="inlineStr">
        <is>
          <t>REF000000</t>
        </is>
      </c>
      <c r="D15" t="inlineStr">
        <is>
          <t>REF000000</t>
        </is>
      </c>
      <c r="E15" t="n">
        <v>45985</v>
      </c>
      <c r="F15" t="inlineStr">
        <is>
          <t>DOLPHIN REEFER</t>
        </is>
      </c>
      <c r="H15" t="inlineStr">
        <is>
          <t>AdminUAM</t>
        </is>
      </c>
      <c r="J15" t="n">
        <v>46029</v>
      </c>
      <c r="K15" t="n">
        <v>46029</v>
      </c>
      <c r="L15" t="n">
        <v>46029</v>
      </c>
      <c r="M15" t="inlineStr">
        <is>
          <t>REF000000</t>
        </is>
      </c>
      <c r="N15" t="inlineStr">
        <is>
          <t>USNYC</t>
        </is>
      </c>
      <c r="O15" t="inlineStr">
        <is>
          <t>USNYC</t>
        </is>
      </c>
      <c r="P15" t="inlineStr">
        <is>
          <t>RULED</t>
        </is>
      </c>
      <c r="U15" t="inlineStr">
        <is>
          <t>RULED</t>
        </is>
      </c>
      <c r="V15" t="inlineStr">
        <is>
          <t>RULED</t>
        </is>
      </c>
      <c r="W15" t="inlineStr">
        <is>
          <t>UNITED STATES</t>
        </is>
      </c>
      <c r="X15" t="inlineStr">
        <is>
          <t>Latin America</t>
        </is>
      </c>
      <c r="Y15" t="inlineStr">
        <is>
          <t>RUSSIA</t>
        </is>
      </c>
      <c r="Z15" t="inlineStr">
        <is>
          <t>External Review</t>
        </is>
      </c>
      <c r="AA15" t="inlineStr">
        <is>
          <t>HUB SHIPPING LLC-LED</t>
        </is>
      </c>
      <c r="AB15" t="inlineStr">
        <is>
          <t>Collect</t>
        </is>
      </c>
      <c r="AC15" t="inlineStr">
        <is>
          <t>MERCURY/25016E</t>
        </is>
      </c>
      <c r="AE15" t="inlineStr">
        <is>
          <t>LADEN BOOKING</t>
        </is>
      </c>
      <c r="AF15" t="inlineStr">
        <is>
          <t>RenniUAM</t>
        </is>
      </c>
      <c r="AG15" t="inlineStr">
        <is>
          <t>DC20</t>
        </is>
      </c>
      <c r="AH15" t="inlineStr">
        <is>
          <t>NO</t>
        </is>
      </c>
      <c r="AI15" t="n">
        <v>20</v>
      </c>
      <c r="AJ15" t="n">
        <v>1</v>
      </c>
      <c r="AK15" t="n">
        <v>0</v>
      </c>
      <c r="AL15" t="inlineStr">
        <is>
          <t>ANON0000000</t>
        </is>
      </c>
      <c r="AP15" t="inlineStr">
        <is>
          <t>Non Haz</t>
        </is>
      </c>
      <c r="AQ15" t="inlineStr">
        <is>
          <t>CY/CY</t>
        </is>
      </c>
      <c r="AT15" t="inlineStr">
        <is>
          <t>REF000000</t>
        </is>
      </c>
      <c r="AU15" t="n">
        <v>21000</v>
      </c>
      <c r="AV15" t="inlineStr">
        <is>
          <t>GENERAL COMMODITY</t>
        </is>
      </c>
      <c r="AX15" t="inlineStr">
        <is>
          <t>MRG340874</t>
        </is>
      </c>
      <c r="AY15" t="inlineStr">
        <is>
          <t>LINE</t>
        </is>
      </c>
      <c r="AZ15" t="n">
        <v>0</v>
      </c>
      <c r="BA15" t="n">
        <v>14</v>
      </c>
      <c r="BB15" t="n">
        <v>14</v>
      </c>
      <c r="BC15" t="n">
        <v>3200</v>
      </c>
      <c r="BD15" t="inlineStr">
        <is>
          <t>Yes</t>
        </is>
      </c>
      <c r="BF15" t="inlineStr">
        <is>
          <t>ARTHA SHIPPING</t>
        </is>
      </c>
      <c r="BG15" t="inlineStr">
        <is>
          <t>RULED</t>
        </is>
      </c>
      <c r="BH15" t="n">
        <v>1</v>
      </c>
      <c r="BI15" t="n">
        <v>0</v>
      </c>
      <c r="BJ15" t="n">
        <v>3200</v>
      </c>
      <c r="BK15" t="inlineStr">
        <is>
          <t>LINE</t>
        </is>
      </c>
      <c r="BL15" t="inlineStr">
        <is>
          <t>DOLPHIN REEFER</t>
        </is>
      </c>
      <c r="BM15" t="inlineStr">
        <is>
          <t>DOLPHIN REEFER</t>
        </is>
      </c>
    </row>
    <row r="16">
      <c r="A16" t="n">
        <v>15</v>
      </c>
      <c r="B16" t="inlineStr">
        <is>
          <t>MARLIN REEFER</t>
        </is>
      </c>
      <c r="C16" t="inlineStr">
        <is>
          <t>REF000000</t>
        </is>
      </c>
      <c r="D16" t="inlineStr">
        <is>
          <t>REF000000</t>
        </is>
      </c>
      <c r="E16" t="n">
        <v>45985</v>
      </c>
      <c r="F16" t="inlineStr">
        <is>
          <t>MARLIN REEFER</t>
        </is>
      </c>
      <c r="G16" t="inlineStr">
        <is>
          <t>PREPAID</t>
        </is>
      </c>
      <c r="H16" t="inlineStr">
        <is>
          <t>Diego</t>
        </is>
      </c>
      <c r="J16" t="n">
        <v>46029</v>
      </c>
      <c r="K16" t="n">
        <v>46029</v>
      </c>
      <c r="L16" t="n">
        <v>46029</v>
      </c>
      <c r="M16" t="inlineStr">
        <is>
          <t>REF000000</t>
        </is>
      </c>
      <c r="N16" t="inlineStr">
        <is>
          <t>USNYC</t>
        </is>
      </c>
      <c r="O16" t="inlineStr">
        <is>
          <t>USNYC</t>
        </is>
      </c>
      <c r="P16" t="inlineStr">
        <is>
          <t>RULED</t>
        </is>
      </c>
      <c r="U16" t="inlineStr">
        <is>
          <t>RULED</t>
        </is>
      </c>
      <c r="V16" t="inlineStr">
        <is>
          <t>RULED</t>
        </is>
      </c>
      <c r="W16" t="inlineStr">
        <is>
          <t>UNITED STATES</t>
        </is>
      </c>
      <c r="X16" t="inlineStr">
        <is>
          <t>Latin America</t>
        </is>
      </c>
      <c r="Y16" t="inlineStr">
        <is>
          <t>RUSSIA</t>
        </is>
      </c>
      <c r="Z16" t="inlineStr">
        <is>
          <t>External Review</t>
        </is>
      </c>
      <c r="AA16" t="inlineStr">
        <is>
          <t>HUB SHIPPING LLC-LED</t>
        </is>
      </c>
      <c r="AB16" t="inlineStr">
        <is>
          <t>Prepaid</t>
        </is>
      </c>
      <c r="AC16" t="inlineStr">
        <is>
          <t>MERCURY/25016E</t>
        </is>
      </c>
      <c r="AE16" t="inlineStr">
        <is>
          <t>LADEN BOOKING</t>
        </is>
      </c>
      <c r="AF16" t="inlineStr">
        <is>
          <t>Joao Ribeiro</t>
        </is>
      </c>
      <c r="AG16" t="inlineStr">
        <is>
          <t>RH40</t>
        </is>
      </c>
      <c r="AH16" t="inlineStr">
        <is>
          <t>NO</t>
        </is>
      </c>
      <c r="AI16" t="n">
        <v>40</v>
      </c>
      <c r="AJ16" t="n">
        <v>0</v>
      </c>
      <c r="AK16" t="n">
        <v>1</v>
      </c>
      <c r="AL16" t="inlineStr">
        <is>
          <t>ANON0000000</t>
        </is>
      </c>
      <c r="AM16" t="n">
        <v>-18</v>
      </c>
      <c r="AP16" t="inlineStr">
        <is>
          <t>Non Haz</t>
        </is>
      </c>
      <c r="AQ16" t="inlineStr">
        <is>
          <t>CY/CY</t>
        </is>
      </c>
      <c r="AT16" t="inlineStr">
        <is>
          <t>REF000000</t>
        </is>
      </c>
      <c r="AU16" t="n">
        <v>28000</v>
      </c>
      <c r="AV16" t="inlineStr">
        <is>
          <t>FROZEN MEAT &amp; FRUIT PULP</t>
        </is>
      </c>
      <c r="AX16" t="inlineStr">
        <is>
          <t>RSUAM112500003</t>
        </is>
      </c>
      <c r="AZ16" t="n">
        <v>5</v>
      </c>
      <c r="BA16" t="n">
        <v>25</v>
      </c>
      <c r="BB16" t="n">
        <v>15</v>
      </c>
      <c r="BC16" t="n">
        <v>7000</v>
      </c>
      <c r="BD16" t="inlineStr">
        <is>
          <t>No</t>
        </is>
      </c>
      <c r="BF16" t="inlineStr">
        <is>
          <t>ARTHA SHIPPING</t>
        </is>
      </c>
      <c r="BG16" t="inlineStr">
        <is>
          <t>USNYC</t>
        </is>
      </c>
      <c r="BH16" t="n">
        <v>0</v>
      </c>
      <c r="BI16" t="n">
        <v>1</v>
      </c>
      <c r="BJ16" t="n">
        <v>7000</v>
      </c>
      <c r="BK16" t="inlineStr">
        <is>
          <t>LINE</t>
        </is>
      </c>
      <c r="BL16" t="inlineStr">
        <is>
          <t>MARLIN REEFER</t>
        </is>
      </c>
      <c r="BM16" t="inlineStr">
        <is>
          <t>MARLIN REEFER</t>
        </is>
      </c>
    </row>
    <row r="17">
      <c r="A17" t="n">
        <v>16</v>
      </c>
      <c r="B17" t="inlineStr">
        <is>
          <t>TURTLE REEFER</t>
        </is>
      </c>
      <c r="C17" t="inlineStr">
        <is>
          <t>REF000000</t>
        </is>
      </c>
      <c r="D17" t="inlineStr">
        <is>
          <t>REF000000</t>
        </is>
      </c>
      <c r="E17" t="n">
        <v>45985</v>
      </c>
      <c r="F17" t="inlineStr">
        <is>
          <t>TURTLE REEFER</t>
        </is>
      </c>
      <c r="G17" t="inlineStr">
        <is>
          <t>PREPAID ABROAD</t>
        </is>
      </c>
      <c r="H17" t="inlineStr">
        <is>
          <t>Regional Operations_UNIMAR</t>
        </is>
      </c>
      <c r="J17" t="n">
        <v>46029</v>
      </c>
      <c r="K17" t="n">
        <v>46029</v>
      </c>
      <c r="L17" t="n">
        <v>46029</v>
      </c>
      <c r="M17" t="inlineStr">
        <is>
          <t>REF000000</t>
        </is>
      </c>
      <c r="N17" t="inlineStr">
        <is>
          <t>USNYC</t>
        </is>
      </c>
      <c r="O17" t="inlineStr">
        <is>
          <t>USNYC</t>
        </is>
      </c>
      <c r="P17" t="inlineStr">
        <is>
          <t>RUBLT</t>
        </is>
      </c>
      <c r="U17" t="inlineStr">
        <is>
          <t>RUBLT</t>
        </is>
      </c>
      <c r="V17" t="inlineStr">
        <is>
          <t>RUBLT</t>
        </is>
      </c>
      <c r="W17" t="inlineStr">
        <is>
          <t>UNITED STATES</t>
        </is>
      </c>
      <c r="X17" t="inlineStr">
        <is>
          <t>Latin America</t>
        </is>
      </c>
      <c r="Y17" t="inlineStr">
        <is>
          <t>RUSSIA</t>
        </is>
      </c>
      <c r="Z17" t="inlineStr">
        <is>
          <t>External Review</t>
        </is>
      </c>
      <c r="AA17" t="inlineStr">
        <is>
          <t>HUB Shipping-Kaliningrad</t>
        </is>
      </c>
      <c r="AB17" t="inlineStr">
        <is>
          <t>Prepaid</t>
        </is>
      </c>
      <c r="AC17" t="inlineStr">
        <is>
          <t>MERCURY/25016E</t>
        </is>
      </c>
      <c r="AD17" t="inlineStr">
        <is>
          <t>SPARTA / SP1010109SB</t>
        </is>
      </c>
      <c r="AE17" t="inlineStr">
        <is>
          <t>LADEN BOOKING</t>
        </is>
      </c>
      <c r="AF17" t="inlineStr">
        <is>
          <t>Joao Ribeiro</t>
        </is>
      </c>
      <c r="AG17" t="inlineStr">
        <is>
          <t>RH40</t>
        </is>
      </c>
      <c r="AH17" t="inlineStr">
        <is>
          <t>NO</t>
        </is>
      </c>
      <c r="AI17" t="n">
        <v>40</v>
      </c>
      <c r="AJ17" t="n">
        <v>0</v>
      </c>
      <c r="AK17" t="n">
        <v>1</v>
      </c>
      <c r="AL17" t="inlineStr">
        <is>
          <t>ANON0000000</t>
        </is>
      </c>
      <c r="AM17" t="n">
        <v>-22</v>
      </c>
      <c r="AP17" t="inlineStr">
        <is>
          <t>Non Haz</t>
        </is>
      </c>
      <c r="AQ17" t="inlineStr">
        <is>
          <t>CY/CY</t>
        </is>
      </c>
      <c r="AT17" t="inlineStr">
        <is>
          <t>REF000000</t>
        </is>
      </c>
      <c r="AU17" t="n">
        <v>28000</v>
      </c>
      <c r="AV17" t="inlineStr">
        <is>
          <t>FROZEN MEAT &amp; FRUIT PULP</t>
        </is>
      </c>
      <c r="AX17" t="inlineStr">
        <is>
          <t>RSUAM122500017</t>
        </is>
      </c>
      <c r="AZ17" t="n">
        <v>2</v>
      </c>
      <c r="BA17" t="n">
        <v>25</v>
      </c>
      <c r="BB17" t="n">
        <v>15</v>
      </c>
      <c r="BC17" t="n">
        <v>9200</v>
      </c>
      <c r="BD17" t="inlineStr">
        <is>
          <t>No</t>
        </is>
      </c>
      <c r="BF17" t="inlineStr">
        <is>
          <t>ARTHA SHIPPING</t>
        </is>
      </c>
      <c r="BG17" t="inlineStr">
        <is>
          <t>USNYC</t>
        </is>
      </c>
      <c r="BH17" t="n">
        <v>0</v>
      </c>
      <c r="BI17" t="n">
        <v>1</v>
      </c>
      <c r="BJ17" t="n">
        <v>9200</v>
      </c>
      <c r="BK17" t="inlineStr">
        <is>
          <t>LINE</t>
        </is>
      </c>
      <c r="BL17" t="inlineStr">
        <is>
          <t>TURTLE REEFER</t>
        </is>
      </c>
      <c r="BM17" t="inlineStr">
        <is>
          <t>TURTLE REEFER</t>
        </is>
      </c>
    </row>
    <row r="18">
      <c r="A18" t="n">
        <v>17</v>
      </c>
      <c r="B18" t="inlineStr">
        <is>
          <t>FALCON DRY</t>
        </is>
      </c>
      <c r="C18" t="inlineStr">
        <is>
          <t>REF000000</t>
        </is>
      </c>
      <c r="D18" t="inlineStr">
        <is>
          <t>REF000000</t>
        </is>
      </c>
      <c r="E18" t="n">
        <v>45986</v>
      </c>
      <c r="F18" t="inlineStr">
        <is>
          <t>FALCON DRY</t>
        </is>
      </c>
      <c r="H18" t="inlineStr">
        <is>
          <t>AdminUAM</t>
        </is>
      </c>
      <c r="J18" t="n">
        <v>46037</v>
      </c>
      <c r="K18" t="n">
        <v>46033</v>
      </c>
      <c r="L18" t="n">
        <v>46037</v>
      </c>
      <c r="M18" t="inlineStr">
        <is>
          <t>REF000000</t>
        </is>
      </c>
      <c r="N18" t="inlineStr">
        <is>
          <t>USNFK</t>
        </is>
      </c>
      <c r="O18" t="inlineStr">
        <is>
          <t>USNFK</t>
        </is>
      </c>
      <c r="P18" t="inlineStr">
        <is>
          <t>RULED</t>
        </is>
      </c>
      <c r="U18" t="inlineStr">
        <is>
          <t>RULED</t>
        </is>
      </c>
      <c r="V18" t="inlineStr">
        <is>
          <t>RULED</t>
        </is>
      </c>
      <c r="W18" t="inlineStr">
        <is>
          <t>UNITED STATES</t>
        </is>
      </c>
      <c r="X18" t="inlineStr">
        <is>
          <t>Latin America</t>
        </is>
      </c>
      <c r="Y18" t="inlineStr">
        <is>
          <t>RUSSIA</t>
        </is>
      </c>
      <c r="Z18" t="inlineStr">
        <is>
          <t>External Review</t>
        </is>
      </c>
      <c r="AA18" t="inlineStr">
        <is>
          <t>HUB SHIPPING LLC-LED</t>
        </is>
      </c>
      <c r="AB18" t="inlineStr">
        <is>
          <t>Collect</t>
        </is>
      </c>
      <c r="AC18" t="inlineStr">
        <is>
          <t>MERCURY/25016E</t>
        </is>
      </c>
      <c r="AE18" t="inlineStr">
        <is>
          <t>LADEN BOOKING</t>
        </is>
      </c>
      <c r="AF18" t="inlineStr">
        <is>
          <t>RenniUAM</t>
        </is>
      </c>
      <c r="AG18" t="inlineStr">
        <is>
          <t>DC20</t>
        </is>
      </c>
      <c r="AH18" t="inlineStr">
        <is>
          <t>NO</t>
        </is>
      </c>
      <c r="AI18" t="n">
        <v>20</v>
      </c>
      <c r="AJ18" t="n">
        <v>6</v>
      </c>
      <c r="AK18" t="n">
        <v>0</v>
      </c>
      <c r="AL18" t="inlineStr">
        <is>
          <t>ANON0000000,
ANON0000000,
ANON0000000,
ANON0000000,
ANON0000000,
ANON0000000</t>
        </is>
      </c>
      <c r="AP18" t="inlineStr">
        <is>
          <t>Non Haz</t>
        </is>
      </c>
      <c r="AQ18" t="inlineStr">
        <is>
          <t>CY/CY</t>
        </is>
      </c>
      <c r="AT18" t="inlineStr">
        <is>
          <t>REF000000</t>
        </is>
      </c>
      <c r="AU18" t="n">
        <v>26000</v>
      </c>
      <c r="AV18" t="inlineStr">
        <is>
          <t>GENERAL COMMODITY</t>
        </is>
      </c>
      <c r="AX18" t="inlineStr">
        <is>
          <t>RSUAM112500010</t>
        </is>
      </c>
      <c r="AZ18" t="n">
        <v>0</v>
      </c>
      <c r="BA18" t="n">
        <v>10</v>
      </c>
      <c r="BB18" t="n">
        <v>14</v>
      </c>
      <c r="BC18" t="n">
        <v>2600</v>
      </c>
      <c r="BD18" t="inlineStr">
        <is>
          <t>Yes</t>
        </is>
      </c>
      <c r="BF18" t="inlineStr">
        <is>
          <t>ARTHA SHIPPING</t>
        </is>
      </c>
      <c r="BG18" t="inlineStr">
        <is>
          <t>RULED</t>
        </is>
      </c>
      <c r="BH18" t="n">
        <v>6</v>
      </c>
      <c r="BI18" t="n">
        <v>0</v>
      </c>
      <c r="BJ18" t="n">
        <v>15600</v>
      </c>
      <c r="BK18" t="inlineStr">
        <is>
          <t>LINE</t>
        </is>
      </c>
      <c r="BL18" t="inlineStr">
        <is>
          <t>FALCON DRY</t>
        </is>
      </c>
      <c r="BM18" t="inlineStr">
        <is>
          <t>FALCON DRY</t>
        </is>
      </c>
    </row>
    <row r="19">
      <c r="A19" t="n">
        <v>18</v>
      </c>
      <c r="B19" t="inlineStr">
        <is>
          <t>WHALE REEFER</t>
        </is>
      </c>
      <c r="C19" t="inlineStr">
        <is>
          <t>REF000000</t>
        </is>
      </c>
      <c r="D19" t="inlineStr">
        <is>
          <t>REF000000</t>
        </is>
      </c>
      <c r="E19" t="n">
        <v>45986</v>
      </c>
      <c r="F19" t="inlineStr">
        <is>
          <t>WHALE REEFER</t>
        </is>
      </c>
      <c r="G19" t="inlineStr">
        <is>
          <t>PREPAID</t>
        </is>
      </c>
      <c r="H19" t="inlineStr">
        <is>
          <t>Diego</t>
        </is>
      </c>
      <c r="J19" t="n">
        <v>46037</v>
      </c>
      <c r="K19" t="n">
        <v>46033</v>
      </c>
      <c r="L19" t="n">
        <v>46037</v>
      </c>
      <c r="M19" t="inlineStr">
        <is>
          <t>REF000000</t>
        </is>
      </c>
      <c r="N19" t="inlineStr">
        <is>
          <t>USNFK</t>
        </is>
      </c>
      <c r="O19" t="inlineStr">
        <is>
          <t>USNFK</t>
        </is>
      </c>
      <c r="P19" t="inlineStr">
        <is>
          <t>RULED</t>
        </is>
      </c>
      <c r="U19" t="inlineStr">
        <is>
          <t>RULED</t>
        </is>
      </c>
      <c r="V19" t="inlineStr">
        <is>
          <t>RULED</t>
        </is>
      </c>
      <c r="W19" t="inlineStr">
        <is>
          <t>UNITED STATES</t>
        </is>
      </c>
      <c r="X19" t="inlineStr">
        <is>
          <t>Latin America</t>
        </is>
      </c>
      <c r="Y19" t="inlineStr">
        <is>
          <t>RUSSIA</t>
        </is>
      </c>
      <c r="Z19" t="inlineStr">
        <is>
          <t>External Review</t>
        </is>
      </c>
      <c r="AA19" t="inlineStr">
        <is>
          <t>HUB SHIPPING LLC-LED</t>
        </is>
      </c>
      <c r="AB19" t="inlineStr">
        <is>
          <t>Prepaid</t>
        </is>
      </c>
      <c r="AC19" t="inlineStr">
        <is>
          <t>MERCURY/25016E</t>
        </is>
      </c>
      <c r="AE19" t="inlineStr">
        <is>
          <t>LADEN BOOKING</t>
        </is>
      </c>
      <c r="AF19" t="inlineStr">
        <is>
          <t>Joao Ribeiro</t>
        </is>
      </c>
      <c r="AG19" t="inlineStr">
        <is>
          <t>RH40</t>
        </is>
      </c>
      <c r="AH19" t="inlineStr">
        <is>
          <t>NO</t>
        </is>
      </c>
      <c r="AI19" t="n">
        <v>40</v>
      </c>
      <c r="AJ19" t="n">
        <v>0</v>
      </c>
      <c r="AK19" t="n">
        <v>1</v>
      </c>
      <c r="AL19" t="inlineStr">
        <is>
          <t>ANON0000000</t>
        </is>
      </c>
      <c r="AM19" t="n">
        <v>-18</v>
      </c>
      <c r="AP19" t="inlineStr">
        <is>
          <t>Non Haz</t>
        </is>
      </c>
      <c r="AQ19" t="inlineStr">
        <is>
          <t>CY/CY</t>
        </is>
      </c>
      <c r="AT19" t="inlineStr">
        <is>
          <t>REF000000</t>
        </is>
      </c>
      <c r="AU19" t="n">
        <v>28000</v>
      </c>
      <c r="AV19" t="inlineStr">
        <is>
          <t>FROZEN MEAT &amp; FRUIT PULP</t>
        </is>
      </c>
      <c r="AX19" t="inlineStr">
        <is>
          <t>RSUAM112500002</t>
        </is>
      </c>
      <c r="AZ19" t="n">
        <v>5</v>
      </c>
      <c r="BA19" t="n">
        <v>25</v>
      </c>
      <c r="BB19" t="n">
        <v>15</v>
      </c>
      <c r="BC19" t="n">
        <v>7000</v>
      </c>
      <c r="BD19" t="inlineStr">
        <is>
          <t>No</t>
        </is>
      </c>
      <c r="BF19" t="inlineStr">
        <is>
          <t>ARTHA SHIPPING</t>
        </is>
      </c>
      <c r="BG19" t="inlineStr">
        <is>
          <t>USNFK</t>
        </is>
      </c>
      <c r="BH19" t="n">
        <v>0</v>
      </c>
      <c r="BI19" t="n">
        <v>1</v>
      </c>
      <c r="BJ19" t="n">
        <v>7000</v>
      </c>
      <c r="BK19" t="inlineStr">
        <is>
          <t>LINE</t>
        </is>
      </c>
      <c r="BL19" t="inlineStr">
        <is>
          <t>WHALE REEFER</t>
        </is>
      </c>
      <c r="BM19" t="inlineStr">
        <is>
          <t>WHALE REEFER</t>
        </is>
      </c>
    </row>
    <row r="20">
      <c r="A20" t="n">
        <v>19</v>
      </c>
      <c r="B20" t="inlineStr">
        <is>
          <t>SEAL REEFER</t>
        </is>
      </c>
      <c r="C20" t="inlineStr">
        <is>
          <t>REF000000</t>
        </is>
      </c>
      <c r="D20" t="inlineStr">
        <is>
          <t>REF000000</t>
        </is>
      </c>
      <c r="E20" t="n">
        <v>45986</v>
      </c>
      <c r="F20" t="inlineStr">
        <is>
          <t>SEAL REEFER</t>
        </is>
      </c>
      <c r="G20" t="inlineStr">
        <is>
          <t>PREPAID ABROAD</t>
        </is>
      </c>
      <c r="H20" t="inlineStr">
        <is>
          <t>Regional Operations_UNIMAR</t>
        </is>
      </c>
      <c r="J20" t="n">
        <v>46032</v>
      </c>
      <c r="K20" t="n">
        <v>46031</v>
      </c>
      <c r="L20" t="n">
        <v>46032</v>
      </c>
      <c r="M20" t="inlineStr">
        <is>
          <t>REF000000</t>
        </is>
      </c>
      <c r="N20" t="inlineStr">
        <is>
          <t>USHOU</t>
        </is>
      </c>
      <c r="O20" t="inlineStr">
        <is>
          <t>USHOU</t>
        </is>
      </c>
      <c r="P20" t="inlineStr">
        <is>
          <t>RUBLT</t>
        </is>
      </c>
      <c r="U20" t="inlineStr">
        <is>
          <t>RUBLT</t>
        </is>
      </c>
      <c r="V20" t="inlineStr">
        <is>
          <t>RUBLT</t>
        </is>
      </c>
      <c r="W20" t="inlineStr">
        <is>
          <t>UNITED STATES</t>
        </is>
      </c>
      <c r="X20" t="inlineStr">
        <is>
          <t>Latin America</t>
        </is>
      </c>
      <c r="Y20" t="inlineStr">
        <is>
          <t>RUSSIA</t>
        </is>
      </c>
      <c r="Z20" t="inlineStr">
        <is>
          <t>External Review</t>
        </is>
      </c>
      <c r="AA20" t="inlineStr">
        <is>
          <t>HUB Shipping-Kaliningrad</t>
        </is>
      </c>
      <c r="AB20" t="inlineStr">
        <is>
          <t>Prepaid</t>
        </is>
      </c>
      <c r="AC20" t="inlineStr">
        <is>
          <t>MERCURY/25016E</t>
        </is>
      </c>
      <c r="AD20" t="inlineStr">
        <is>
          <t>SPARTA / SP1010109SB</t>
        </is>
      </c>
      <c r="AE20" t="inlineStr">
        <is>
          <t>LADEN BOOKING</t>
        </is>
      </c>
      <c r="AF20" t="inlineStr">
        <is>
          <t>Joao Ribeiro</t>
        </is>
      </c>
      <c r="AG20" t="inlineStr">
        <is>
          <t>RH40</t>
        </is>
      </c>
      <c r="AH20" t="inlineStr">
        <is>
          <t>NO</t>
        </is>
      </c>
      <c r="AI20" t="n">
        <v>40</v>
      </c>
      <c r="AJ20" t="n">
        <v>0</v>
      </c>
      <c r="AK20" t="n">
        <v>1</v>
      </c>
      <c r="AL20" t="inlineStr">
        <is>
          <t>ANON0000000</t>
        </is>
      </c>
      <c r="AM20" t="n">
        <v>-22</v>
      </c>
      <c r="AP20" t="inlineStr">
        <is>
          <t>Non Haz</t>
        </is>
      </c>
      <c r="AQ20" t="inlineStr">
        <is>
          <t>CY/CY</t>
        </is>
      </c>
      <c r="AT20" t="inlineStr">
        <is>
          <t>REF000000</t>
        </is>
      </c>
      <c r="AU20" t="n">
        <v>26500</v>
      </c>
      <c r="AV20" t="inlineStr">
        <is>
          <t>FROZEN MEAT</t>
        </is>
      </c>
      <c r="AX20" t="inlineStr">
        <is>
          <t>RSUAM092500030</t>
        </is>
      </c>
      <c r="AZ20" t="n">
        <v>0</v>
      </c>
      <c r="BA20" t="n">
        <v>21</v>
      </c>
      <c r="BB20" t="n">
        <v>14</v>
      </c>
      <c r="BC20" t="n">
        <v>9350</v>
      </c>
      <c r="BD20" t="inlineStr">
        <is>
          <t>No</t>
        </is>
      </c>
      <c r="BF20" t="inlineStr">
        <is>
          <t>ARTHA SHIPPING</t>
        </is>
      </c>
      <c r="BG20" t="inlineStr">
        <is>
          <t>USHOU</t>
        </is>
      </c>
      <c r="BH20" t="n">
        <v>0</v>
      </c>
      <c r="BI20" t="n">
        <v>1</v>
      </c>
      <c r="BJ20" t="n">
        <v>9350</v>
      </c>
      <c r="BK20" t="inlineStr">
        <is>
          <t>LINE</t>
        </is>
      </c>
      <c r="BL20" t="inlineStr">
        <is>
          <t>SEAL REEFER</t>
        </is>
      </c>
      <c r="BM20" t="inlineStr">
        <is>
          <t>SEAL REEFER</t>
        </is>
      </c>
    </row>
    <row r="21">
      <c r="A21" t="n">
        <v>20</v>
      </c>
      <c r="B21" t="inlineStr">
        <is>
          <t>FOX DRY</t>
        </is>
      </c>
      <c r="C21" t="inlineStr">
        <is>
          <t>REF000000</t>
        </is>
      </c>
      <c r="D21" t="inlineStr">
        <is>
          <t>REF000000</t>
        </is>
      </c>
      <c r="E21" t="n">
        <v>45987</v>
      </c>
      <c r="F21" t="inlineStr">
        <is>
          <t>FOX DRY</t>
        </is>
      </c>
      <c r="G21" t="inlineStr">
        <is>
          <t>FOODGRADE</t>
        </is>
      </c>
      <c r="H21" t="inlineStr">
        <is>
          <t>AdminUAM</t>
        </is>
      </c>
      <c r="J21" t="n">
        <v>46032</v>
      </c>
      <c r="K21" t="n">
        <v>46031</v>
      </c>
      <c r="L21" t="n">
        <v>46032</v>
      </c>
      <c r="M21" t="inlineStr">
        <is>
          <t>REF000000</t>
        </is>
      </c>
      <c r="N21" t="inlineStr">
        <is>
          <t>USHOU</t>
        </is>
      </c>
      <c r="O21" t="inlineStr">
        <is>
          <t>USHOU</t>
        </is>
      </c>
      <c r="P21" t="inlineStr">
        <is>
          <t>RULED</t>
        </is>
      </c>
      <c r="U21" t="inlineStr">
        <is>
          <t>RULED</t>
        </is>
      </c>
      <c r="V21" t="inlineStr">
        <is>
          <t>RULED</t>
        </is>
      </c>
      <c r="W21" t="inlineStr">
        <is>
          <t>UNITED STATES</t>
        </is>
      </c>
      <c r="X21" t="inlineStr">
        <is>
          <t>Latin America</t>
        </is>
      </c>
      <c r="Y21" t="inlineStr">
        <is>
          <t>RUSSIA</t>
        </is>
      </c>
      <c r="Z21" t="inlineStr">
        <is>
          <t>External Review</t>
        </is>
      </c>
      <c r="AA21" t="inlineStr">
        <is>
          <t>HUB SHIPPING LLC-LED</t>
        </is>
      </c>
      <c r="AB21" t="inlineStr">
        <is>
          <t>Collect</t>
        </is>
      </c>
      <c r="AC21" t="inlineStr">
        <is>
          <t>MERCURY/25016E</t>
        </is>
      </c>
      <c r="AE21" t="inlineStr">
        <is>
          <t>LADEN BOOKING</t>
        </is>
      </c>
      <c r="AF21" t="inlineStr">
        <is>
          <t>RenniUAM</t>
        </is>
      </c>
      <c r="AG21" t="inlineStr">
        <is>
          <t>HC40</t>
        </is>
      </c>
      <c r="AH21" t="inlineStr">
        <is>
          <t>NO</t>
        </is>
      </c>
      <c r="AI21" t="n">
        <v>40</v>
      </c>
      <c r="AJ21" t="n">
        <v>0</v>
      </c>
      <c r="AK21" t="n">
        <v>5</v>
      </c>
      <c r="AL21" t="inlineStr">
        <is>
          <t>ANON0000000,
ANON0000000,
ANON0000000,
ANON0000000,
ANON0000000</t>
        </is>
      </c>
      <c r="AP21" t="inlineStr">
        <is>
          <t>Non Haz</t>
        </is>
      </c>
      <c r="AQ21" t="inlineStr">
        <is>
          <t>CY/CY</t>
        </is>
      </c>
      <c r="AT21" t="inlineStr">
        <is>
          <t>REF000000,
REF000000,
REF000000,
REF000000,
REF000000</t>
        </is>
      </c>
      <c r="AU21" t="n">
        <v>26000</v>
      </c>
      <c r="AV21" t="inlineStr">
        <is>
          <t>GENERAL COMMODITY</t>
        </is>
      </c>
      <c r="AX21" t="inlineStr">
        <is>
          <t>RSUAM112500014</t>
        </is>
      </c>
      <c r="AZ21" t="n">
        <v>0</v>
      </c>
      <c r="BA21" t="n">
        <v>14</v>
      </c>
      <c r="BB21" t="n">
        <v>14</v>
      </c>
      <c r="BC21" t="n">
        <v>2450</v>
      </c>
      <c r="BD21" t="inlineStr">
        <is>
          <t>Yes</t>
        </is>
      </c>
      <c r="BF21" t="inlineStr">
        <is>
          <t>ARTHA SHIPPING</t>
        </is>
      </c>
      <c r="BG21" t="inlineStr">
        <is>
          <t>RULED</t>
        </is>
      </c>
      <c r="BH21" t="n">
        <v>0</v>
      </c>
      <c r="BI21" t="n">
        <v>5</v>
      </c>
      <c r="BJ21" t="n">
        <v>12250</v>
      </c>
      <c r="BK21" t="inlineStr">
        <is>
          <t>LINE</t>
        </is>
      </c>
      <c r="BL21" t="inlineStr">
        <is>
          <t>FOX DRY</t>
        </is>
      </c>
      <c r="BM21" t="inlineStr">
        <is>
          <t>FOX DRY</t>
        </is>
      </c>
    </row>
    <row r="22">
      <c r="A22" t="n">
        <v>21</v>
      </c>
      <c r="B22" t="inlineStr">
        <is>
          <t>BISON DRY</t>
        </is>
      </c>
      <c r="C22" t="inlineStr">
        <is>
          <t>REF000000</t>
        </is>
      </c>
      <c r="D22" t="inlineStr">
        <is>
          <t>REF000000</t>
        </is>
      </c>
      <c r="E22" t="inlineStr">
        <is>
          <t>01-DEC-2025</t>
        </is>
      </c>
      <c r="F22" t="inlineStr">
        <is>
          <t>BISON DRY</t>
        </is>
      </c>
      <c r="G22" t="inlineStr">
        <is>
          <t>FOODGRADE</t>
        </is>
      </c>
      <c r="H22" t="inlineStr">
        <is>
          <t>AdminUAM</t>
        </is>
      </c>
      <c r="J22" t="n">
        <v>46037</v>
      </c>
      <c r="K22" t="n">
        <v>46033</v>
      </c>
      <c r="L22" t="n">
        <v>46037</v>
      </c>
      <c r="M22" t="inlineStr">
        <is>
          <t>REF000000</t>
        </is>
      </c>
      <c r="N22" t="inlineStr">
        <is>
          <t>USNFK</t>
        </is>
      </c>
      <c r="O22" t="inlineStr">
        <is>
          <t>USNFK</t>
        </is>
      </c>
      <c r="P22" t="inlineStr">
        <is>
          <t>RULED</t>
        </is>
      </c>
      <c r="U22" t="inlineStr">
        <is>
          <t>RULED</t>
        </is>
      </c>
      <c r="V22" t="inlineStr">
        <is>
          <t>RULED</t>
        </is>
      </c>
      <c r="W22" t="inlineStr">
        <is>
          <t>UNITED STATES</t>
        </is>
      </c>
      <c r="X22" t="inlineStr">
        <is>
          <t>Latin America</t>
        </is>
      </c>
      <c r="Y22" t="inlineStr">
        <is>
          <t>RUSSIA</t>
        </is>
      </c>
      <c r="Z22" t="inlineStr">
        <is>
          <t>External Review</t>
        </is>
      </c>
      <c r="AA22" t="inlineStr">
        <is>
          <t>HUB SHIPPING LLC-LED</t>
        </is>
      </c>
      <c r="AB22" t="inlineStr">
        <is>
          <t>Collect</t>
        </is>
      </c>
      <c r="AC22" t="inlineStr">
        <is>
          <t>MERCURY/25016E</t>
        </is>
      </c>
      <c r="AE22" t="inlineStr">
        <is>
          <t>LADEN BOOKING</t>
        </is>
      </c>
      <c r="AF22" t="inlineStr">
        <is>
          <t>RenniUAM</t>
        </is>
      </c>
      <c r="AG22" t="inlineStr">
        <is>
          <t>DC20</t>
        </is>
      </c>
      <c r="AH22" t="inlineStr">
        <is>
          <t>NO</t>
        </is>
      </c>
      <c r="AI22" t="n">
        <v>20</v>
      </c>
      <c r="AJ22" t="n">
        <v>10</v>
      </c>
      <c r="AK22" t="n">
        <v>0</v>
      </c>
      <c r="AL22" t="inlineStr">
        <is>
          <t>ANON0000000,
ANON0000000,
ANON0000000,
ANON0000000,
ANON0000000,
ANON0000000,
ANON0000000,
ANON0000000,
ANON0000000,
ANON0000000</t>
        </is>
      </c>
      <c r="AP22" t="inlineStr">
        <is>
          <t>Non Haz</t>
        </is>
      </c>
      <c r="AQ22" t="inlineStr">
        <is>
          <t>CY/CY</t>
        </is>
      </c>
      <c r="AT22" t="inlineStr">
        <is>
          <t>REF000000</t>
        </is>
      </c>
      <c r="AU22" t="n">
        <v>23000</v>
      </c>
      <c r="AV22" t="inlineStr">
        <is>
          <t>GENERAL COMMODITY</t>
        </is>
      </c>
      <c r="AX22" t="inlineStr">
        <is>
          <t>RSUAM122500049</t>
        </is>
      </c>
      <c r="AZ22" t="n">
        <v>0</v>
      </c>
      <c r="BA22" t="n">
        <v>21</v>
      </c>
      <c r="BB22" t="n">
        <v>21</v>
      </c>
      <c r="BC22" t="n">
        <v>1750</v>
      </c>
      <c r="BD22" t="inlineStr">
        <is>
          <t>Yes</t>
        </is>
      </c>
      <c r="BF22" t="inlineStr">
        <is>
          <t>ARTHA SHIPPING</t>
        </is>
      </c>
      <c r="BG22" t="inlineStr">
        <is>
          <t>RULED</t>
        </is>
      </c>
      <c r="BH22" t="n">
        <v>10</v>
      </c>
      <c r="BI22" t="n">
        <v>0</v>
      </c>
      <c r="BJ22" t="n">
        <v>17500</v>
      </c>
      <c r="BK22" t="inlineStr">
        <is>
          <t>LINE</t>
        </is>
      </c>
      <c r="BL22" t="inlineStr">
        <is>
          <t>BISON DRY</t>
        </is>
      </c>
      <c r="BM22" t="inlineStr">
        <is>
          <t>BISON DRY</t>
        </is>
      </c>
    </row>
    <row r="23">
      <c r="A23" t="n">
        <v>22</v>
      </c>
      <c r="B23" t="inlineStr">
        <is>
          <t>EAGLE DRY</t>
        </is>
      </c>
      <c r="C23" t="inlineStr">
        <is>
          <t>REF000000</t>
        </is>
      </c>
      <c r="D23" t="inlineStr">
        <is>
          <t>REF000000</t>
        </is>
      </c>
      <c r="E23" t="inlineStr">
        <is>
          <t>03-DEC-2025</t>
        </is>
      </c>
      <c r="F23" t="inlineStr">
        <is>
          <t>EAGLE DRY</t>
        </is>
      </c>
      <c r="G23" t="inlineStr">
        <is>
          <t>EVI031203 - Food Grade</t>
        </is>
      </c>
      <c r="H23" t="inlineStr">
        <is>
          <t>AdminUAM</t>
        </is>
      </c>
      <c r="J23" t="n">
        <v>46042</v>
      </c>
      <c r="K23" t="n">
        <v>46040</v>
      </c>
      <c r="L23" t="n">
        <v>46042</v>
      </c>
      <c r="M23" t="inlineStr">
        <is>
          <t>REF000000</t>
        </is>
      </c>
      <c r="N23" t="inlineStr">
        <is>
          <t>USNFK</t>
        </is>
      </c>
      <c r="O23" t="inlineStr">
        <is>
          <t>USNFK</t>
        </is>
      </c>
      <c r="P23" t="inlineStr">
        <is>
          <t>RULED</t>
        </is>
      </c>
      <c r="U23" t="inlineStr">
        <is>
          <t>RULED</t>
        </is>
      </c>
      <c r="V23" t="inlineStr">
        <is>
          <t>RULED</t>
        </is>
      </c>
      <c r="W23" t="inlineStr">
        <is>
          <t>UNITED STATES</t>
        </is>
      </c>
      <c r="X23" t="inlineStr">
        <is>
          <t>Latin America</t>
        </is>
      </c>
      <c r="Y23" t="inlineStr">
        <is>
          <t>RUSSIA</t>
        </is>
      </c>
      <c r="Z23" t="inlineStr">
        <is>
          <t>External Review</t>
        </is>
      </c>
      <c r="AA23" t="inlineStr">
        <is>
          <t>HUB SHIPPING LLC-LED</t>
        </is>
      </c>
      <c r="AB23" t="inlineStr">
        <is>
          <t>Collect</t>
        </is>
      </c>
      <c r="AC23" t="inlineStr">
        <is>
          <t>MERCURY/25016E</t>
        </is>
      </c>
      <c r="AE23" t="inlineStr">
        <is>
          <t>LADEN BOOKING</t>
        </is>
      </c>
      <c r="AF23" t="inlineStr">
        <is>
          <t>RenniUAM</t>
        </is>
      </c>
      <c r="AG23" t="inlineStr">
        <is>
          <t>HC40</t>
        </is>
      </c>
      <c r="AH23" t="inlineStr">
        <is>
          <t>NO</t>
        </is>
      </c>
      <c r="AI23" t="n">
        <v>40</v>
      </c>
      <c r="AJ23" t="n">
        <v>0</v>
      </c>
      <c r="AK23" t="n">
        <v>11</v>
      </c>
      <c r="AL23" t="inlineStr">
        <is>
          <t>ANON0000000,
ANON0000000,
ANON0000000,
ANON0000000,
ANON0000000,
ANON0000000,
ANON0000000,
ANON0000000,
ANON0000000,
ANON0000000,
ANON0000000</t>
        </is>
      </c>
      <c r="AP23" t="inlineStr">
        <is>
          <t>Non Haz</t>
        </is>
      </c>
      <c r="AQ23" t="inlineStr">
        <is>
          <t>CY/CY</t>
        </is>
      </c>
      <c r="AT23" t="inlineStr">
        <is>
          <t>REF000000</t>
        </is>
      </c>
      <c r="AU23" t="n">
        <v>26000</v>
      </c>
      <c r="AV23" t="inlineStr">
        <is>
          <t>GENERAL COMMODITY</t>
        </is>
      </c>
      <c r="AX23" t="inlineStr">
        <is>
          <t>RSUAM122500002</t>
        </is>
      </c>
      <c r="AZ23" t="n">
        <v>0</v>
      </c>
      <c r="BA23" t="n">
        <v>10</v>
      </c>
      <c r="BB23" t="n">
        <v>14</v>
      </c>
      <c r="BC23" t="n">
        <v>3400</v>
      </c>
      <c r="BD23" t="inlineStr">
        <is>
          <t>Yes</t>
        </is>
      </c>
      <c r="BF23" t="inlineStr">
        <is>
          <t>ARTHA SHIPPING</t>
        </is>
      </c>
      <c r="BG23" t="inlineStr">
        <is>
          <t>RULED</t>
        </is>
      </c>
      <c r="BH23" t="n">
        <v>0</v>
      </c>
      <c r="BI23" t="n">
        <v>11</v>
      </c>
      <c r="BJ23" t="n">
        <v>37400</v>
      </c>
      <c r="BK23" t="inlineStr">
        <is>
          <t>LINE</t>
        </is>
      </c>
      <c r="BL23" t="inlineStr">
        <is>
          <t>EAGLE DRY</t>
        </is>
      </c>
      <c r="BM23" t="inlineStr">
        <is>
          <t>EAGLE DRY</t>
        </is>
      </c>
    </row>
    <row r="24">
      <c r="A24" t="n">
        <v>23</v>
      </c>
      <c r="B24" t="inlineStr">
        <is>
          <t>TURTLE REEFER</t>
        </is>
      </c>
      <c r="C24" t="inlineStr">
        <is>
          <t>REF000000</t>
        </is>
      </c>
      <c r="D24" t="inlineStr">
        <is>
          <t>REF000000</t>
        </is>
      </c>
      <c r="E24" t="inlineStr">
        <is>
          <t>04-DEC-2025</t>
        </is>
      </c>
      <c r="F24" t="inlineStr">
        <is>
          <t>TURTLE REEFER</t>
        </is>
      </c>
      <c r="G24" t="inlineStr">
        <is>
          <t>PREPAID ABROAD</t>
        </is>
      </c>
      <c r="H24" t="inlineStr">
        <is>
          <t>Regional Operations_UNIMAR</t>
        </is>
      </c>
      <c r="J24" t="n">
        <v>46029</v>
      </c>
      <c r="K24" t="n">
        <v>46029</v>
      </c>
      <c r="L24" t="n">
        <v>46029</v>
      </c>
      <c r="M24" t="inlineStr">
        <is>
          <t>REF000000</t>
        </is>
      </c>
      <c r="N24" t="inlineStr">
        <is>
          <t>USNYC</t>
        </is>
      </c>
      <c r="O24" t="inlineStr">
        <is>
          <t>USNYC</t>
        </is>
      </c>
      <c r="P24" t="inlineStr">
        <is>
          <t>RUBLT</t>
        </is>
      </c>
      <c r="U24" t="inlineStr">
        <is>
          <t>RUBLT</t>
        </is>
      </c>
      <c r="V24" t="inlineStr">
        <is>
          <t>RUBLT</t>
        </is>
      </c>
      <c r="W24" t="inlineStr">
        <is>
          <t>UNITED STATES</t>
        </is>
      </c>
      <c r="X24" t="inlineStr">
        <is>
          <t>Latin America</t>
        </is>
      </c>
      <c r="Y24" t="inlineStr">
        <is>
          <t>RUSSIA</t>
        </is>
      </c>
      <c r="Z24" t="inlineStr">
        <is>
          <t>External Review</t>
        </is>
      </c>
      <c r="AA24" t="inlineStr">
        <is>
          <t>HUB Shipping-Kaliningrad</t>
        </is>
      </c>
      <c r="AB24" t="inlineStr">
        <is>
          <t>Prepaid</t>
        </is>
      </c>
      <c r="AC24" t="inlineStr">
        <is>
          <t>MERCURY/25016E</t>
        </is>
      </c>
      <c r="AD24" t="inlineStr">
        <is>
          <t>SPARTA / SP1010109SB</t>
        </is>
      </c>
      <c r="AE24" t="inlineStr">
        <is>
          <t>LADEN BOOKING</t>
        </is>
      </c>
      <c r="AF24" t="inlineStr">
        <is>
          <t>Joao Ribeiro</t>
        </is>
      </c>
      <c r="AG24" t="inlineStr">
        <is>
          <t>RH40</t>
        </is>
      </c>
      <c r="AH24" t="inlineStr">
        <is>
          <t>NO</t>
        </is>
      </c>
      <c r="AI24" t="n">
        <v>40</v>
      </c>
      <c r="AJ24" t="n">
        <v>0</v>
      </c>
      <c r="AK24" t="n">
        <v>1</v>
      </c>
      <c r="AL24" t="inlineStr">
        <is>
          <t>ANON0000000</t>
        </is>
      </c>
      <c r="AM24" t="n">
        <v>-18</v>
      </c>
      <c r="AP24" t="inlineStr">
        <is>
          <t>Non Haz</t>
        </is>
      </c>
      <c r="AQ24" t="inlineStr">
        <is>
          <t>CY/CY</t>
        </is>
      </c>
      <c r="AT24" t="inlineStr">
        <is>
          <t>REF000000</t>
        </is>
      </c>
      <c r="AU24" t="n">
        <v>29000</v>
      </c>
      <c r="AV24" t="inlineStr">
        <is>
          <t>FROZEN MEAT</t>
        </is>
      </c>
      <c r="AX24" t="inlineStr">
        <is>
          <t>RSUAM022500014</t>
        </is>
      </c>
      <c r="AZ24" t="n">
        <v>5</v>
      </c>
      <c r="BA24" t="n">
        <v>30</v>
      </c>
      <c r="BB24" t="n">
        <v>15</v>
      </c>
      <c r="BC24" t="n">
        <v>9100</v>
      </c>
      <c r="BD24" t="inlineStr">
        <is>
          <t>No</t>
        </is>
      </c>
      <c r="BF24" t="inlineStr">
        <is>
          <t>ARTHA SHIPPING</t>
        </is>
      </c>
      <c r="BG24" t="inlineStr">
        <is>
          <t>USNYC</t>
        </is>
      </c>
      <c r="BH24" t="n">
        <v>0</v>
      </c>
      <c r="BI24" t="n">
        <v>1</v>
      </c>
      <c r="BJ24" t="n">
        <v>9100</v>
      </c>
      <c r="BK24" t="inlineStr">
        <is>
          <t>LINE</t>
        </is>
      </c>
      <c r="BL24" t="inlineStr">
        <is>
          <t>TURTLE REEFER</t>
        </is>
      </c>
      <c r="BM24" t="inlineStr">
        <is>
          <t>TURTLE REEFER</t>
        </is>
      </c>
    </row>
    <row r="25">
      <c r="A25" t="n">
        <v>24</v>
      </c>
      <c r="B25" t="inlineStr">
        <is>
          <t>ORCA REEFER</t>
        </is>
      </c>
      <c r="C25" t="inlineStr">
        <is>
          <t>REF000000</t>
        </is>
      </c>
      <c r="D25" t="inlineStr">
        <is>
          <t>REF000000</t>
        </is>
      </c>
      <c r="E25" t="inlineStr">
        <is>
          <t>08-DEC-2025</t>
        </is>
      </c>
      <c r="F25" t="inlineStr">
        <is>
          <t>ORCA REEFER</t>
        </is>
      </c>
      <c r="G25" t="inlineStr">
        <is>
          <t>PREPAID ABROAD</t>
        </is>
      </c>
      <c r="H25" t="inlineStr">
        <is>
          <t>Regional Operations_UNIMAR</t>
        </is>
      </c>
      <c r="J25" t="n">
        <v>46029</v>
      </c>
      <c r="K25" t="n">
        <v>46029</v>
      </c>
      <c r="L25" t="n">
        <v>46029</v>
      </c>
      <c r="M25" t="inlineStr">
        <is>
          <t>REF000000</t>
        </is>
      </c>
      <c r="N25" t="inlineStr">
        <is>
          <t>USNYC</t>
        </is>
      </c>
      <c r="O25" t="inlineStr">
        <is>
          <t>USNYC</t>
        </is>
      </c>
      <c r="P25" t="inlineStr">
        <is>
          <t>RUBLT</t>
        </is>
      </c>
      <c r="U25" t="inlineStr">
        <is>
          <t>RUBLT</t>
        </is>
      </c>
      <c r="V25" t="inlineStr">
        <is>
          <t>RUBLT</t>
        </is>
      </c>
      <c r="W25" t="inlineStr">
        <is>
          <t>UNITED STATES</t>
        </is>
      </c>
      <c r="X25" t="inlineStr">
        <is>
          <t>Latin America</t>
        </is>
      </c>
      <c r="Y25" t="inlineStr">
        <is>
          <t>RUSSIA</t>
        </is>
      </c>
      <c r="Z25" t="inlineStr">
        <is>
          <t>External Review</t>
        </is>
      </c>
      <c r="AA25" t="inlineStr">
        <is>
          <t>HUB Shipping-Kaliningrad</t>
        </is>
      </c>
      <c r="AB25" t="inlineStr">
        <is>
          <t>Prepaid</t>
        </is>
      </c>
      <c r="AC25" t="inlineStr">
        <is>
          <t>MERCURY/25016E</t>
        </is>
      </c>
      <c r="AD25" t="inlineStr">
        <is>
          <t>SPARTA / SP1010109SB</t>
        </is>
      </c>
      <c r="AE25" t="inlineStr">
        <is>
          <t>LADEN BOOKING</t>
        </is>
      </c>
      <c r="AF25" t="inlineStr">
        <is>
          <t>Joao Ribeiro</t>
        </is>
      </c>
      <c r="AG25" t="inlineStr">
        <is>
          <t>RH40</t>
        </is>
      </c>
      <c r="AH25" t="inlineStr">
        <is>
          <t>NO</t>
        </is>
      </c>
      <c r="AI25" t="n">
        <v>40</v>
      </c>
      <c r="AJ25" t="n">
        <v>0</v>
      </c>
      <c r="AK25" t="n">
        <v>1</v>
      </c>
      <c r="AL25" t="inlineStr">
        <is>
          <t>ANON0000000</t>
        </is>
      </c>
      <c r="AM25" t="n">
        <v>-18</v>
      </c>
      <c r="AP25" t="inlineStr">
        <is>
          <t>Non Haz</t>
        </is>
      </c>
      <c r="AQ25" t="inlineStr">
        <is>
          <t>CY/CY</t>
        </is>
      </c>
      <c r="AT25" t="inlineStr">
        <is>
          <t>REF000000</t>
        </is>
      </c>
      <c r="AU25" t="n">
        <v>29000</v>
      </c>
      <c r="AV25" t="inlineStr">
        <is>
          <t>FROZEN MEAT</t>
        </is>
      </c>
      <c r="AX25" t="inlineStr">
        <is>
          <t>RSUAM022500014</t>
        </is>
      </c>
      <c r="AZ25" t="n">
        <v>5</v>
      </c>
      <c r="BA25" t="n">
        <v>30</v>
      </c>
      <c r="BB25" t="n">
        <v>15</v>
      </c>
      <c r="BC25" t="n">
        <v>9100</v>
      </c>
      <c r="BD25" t="inlineStr">
        <is>
          <t>No</t>
        </is>
      </c>
      <c r="BF25" t="inlineStr">
        <is>
          <t>ARTHA SHIPPING</t>
        </is>
      </c>
      <c r="BG25" t="inlineStr">
        <is>
          <t>USNYC</t>
        </is>
      </c>
      <c r="BH25" t="n">
        <v>0</v>
      </c>
      <c r="BI25" t="n">
        <v>1</v>
      </c>
      <c r="BJ25" t="n">
        <v>9100</v>
      </c>
      <c r="BK25" t="inlineStr">
        <is>
          <t>LINE</t>
        </is>
      </c>
      <c r="BL25" t="inlineStr">
        <is>
          <t>ORCA REEFER</t>
        </is>
      </c>
      <c r="BM25" t="inlineStr">
        <is>
          <t>ORCA REEFER</t>
        </is>
      </c>
    </row>
    <row r="26">
      <c r="A26" t="n">
        <v>25</v>
      </c>
      <c r="B26" t="inlineStr">
        <is>
          <t>WOLF DRY</t>
        </is>
      </c>
      <c r="C26" t="inlineStr">
        <is>
          <t>REF000000</t>
        </is>
      </c>
      <c r="D26" t="inlineStr">
        <is>
          <t>REF000000</t>
        </is>
      </c>
      <c r="E26" t="inlineStr">
        <is>
          <t>08-DEC-2025</t>
        </is>
      </c>
      <c r="F26" t="inlineStr">
        <is>
          <t>WOLF DRY</t>
        </is>
      </c>
      <c r="G26" t="inlineStr">
        <is>
          <t>APO081201 - Food Grade</t>
        </is>
      </c>
      <c r="H26" t="inlineStr">
        <is>
          <t>AdminUAM</t>
        </is>
      </c>
      <c r="J26" t="n">
        <v>46042</v>
      </c>
      <c r="K26" t="n">
        <v>46040</v>
      </c>
      <c r="L26" t="n">
        <v>46042</v>
      </c>
      <c r="M26" t="inlineStr">
        <is>
          <t>REF000000</t>
        </is>
      </c>
      <c r="N26" t="inlineStr">
        <is>
          <t>USNFK</t>
        </is>
      </c>
      <c r="O26" t="inlineStr">
        <is>
          <t>USNFK</t>
        </is>
      </c>
      <c r="P26" t="inlineStr">
        <is>
          <t>RULED</t>
        </is>
      </c>
      <c r="U26" t="inlineStr">
        <is>
          <t>RULED</t>
        </is>
      </c>
      <c r="V26" t="inlineStr">
        <is>
          <t>RULED</t>
        </is>
      </c>
      <c r="W26" t="inlineStr">
        <is>
          <t>UNITED STATES</t>
        </is>
      </c>
      <c r="X26" t="inlineStr">
        <is>
          <t>Latin America</t>
        </is>
      </c>
      <c r="Y26" t="inlineStr">
        <is>
          <t>RUSSIA</t>
        </is>
      </c>
      <c r="Z26" t="inlineStr">
        <is>
          <t>External Review</t>
        </is>
      </c>
      <c r="AA26" t="inlineStr">
        <is>
          <t>HUB SHIPPING LLC-LED</t>
        </is>
      </c>
      <c r="AB26" t="inlineStr">
        <is>
          <t>Collect</t>
        </is>
      </c>
      <c r="AC26" t="inlineStr">
        <is>
          <t>MERCURY/25016E</t>
        </is>
      </c>
      <c r="AE26" t="inlineStr">
        <is>
          <t>LADEN BOOKING</t>
        </is>
      </c>
      <c r="AF26" t="inlineStr">
        <is>
          <t>RenniUAM</t>
        </is>
      </c>
      <c r="AG26" t="inlineStr">
        <is>
          <t>HC40</t>
        </is>
      </c>
      <c r="AH26" t="inlineStr">
        <is>
          <t>NO</t>
        </is>
      </c>
      <c r="AI26" t="n">
        <v>40</v>
      </c>
      <c r="AJ26" t="n">
        <v>0</v>
      </c>
      <c r="AK26" t="n">
        <v>20</v>
      </c>
      <c r="AL26" t="inlineStr">
        <is>
          <t>ANON0000000,
ANON0000000,
ANON0000000,
ANON0000000,
ANON0000000,
ANON0000000,
ANON0000000,
ANON0000000,
ANON0000000,
ANON0000000,
ANON0000000,
ANON0000000,
ANON0000000,
ANON0000000,
ANON0000000,
ANON0000000,
ANON0000000,
ANON0000000,
ANON0000000,
ANON0000000</t>
        </is>
      </c>
      <c r="AP26" t="inlineStr">
        <is>
          <t>Non Haz</t>
        </is>
      </c>
      <c r="AQ26" t="inlineStr">
        <is>
          <t>CY/CY</t>
        </is>
      </c>
      <c r="AT26" t="inlineStr">
        <is>
          <t>REF000000</t>
        </is>
      </c>
      <c r="AU26" t="n">
        <v>26000</v>
      </c>
      <c r="AV26" t="inlineStr">
        <is>
          <t>GENERAL COMMODITY</t>
        </is>
      </c>
      <c r="AX26" t="inlineStr">
        <is>
          <t>RSUAM122500002</t>
        </is>
      </c>
      <c r="AZ26" t="n">
        <v>0</v>
      </c>
      <c r="BA26" t="n">
        <v>10</v>
      </c>
      <c r="BB26" t="n">
        <v>14</v>
      </c>
      <c r="BC26" t="n">
        <v>3400</v>
      </c>
      <c r="BD26" t="inlineStr">
        <is>
          <t>Yes</t>
        </is>
      </c>
      <c r="BF26" t="inlineStr">
        <is>
          <t>ARTHA SHIPPING</t>
        </is>
      </c>
      <c r="BG26" t="inlineStr">
        <is>
          <t>RULED</t>
        </is>
      </c>
      <c r="BH26" t="n">
        <v>0</v>
      </c>
      <c r="BI26" t="n">
        <v>20</v>
      </c>
      <c r="BJ26" t="n">
        <v>68000</v>
      </c>
      <c r="BK26" t="inlineStr">
        <is>
          <t>LINE</t>
        </is>
      </c>
      <c r="BL26" t="inlineStr">
        <is>
          <t>WOLF DRY</t>
        </is>
      </c>
      <c r="BM26" t="inlineStr">
        <is>
          <t>WOLF DRY</t>
        </is>
      </c>
    </row>
    <row r="27">
      <c r="A27" t="n">
        <v>26</v>
      </c>
      <c r="B27" t="inlineStr">
        <is>
          <t>DEER DRY</t>
        </is>
      </c>
      <c r="C27" t="inlineStr">
        <is>
          <t>REF000000</t>
        </is>
      </c>
      <c r="D27" t="inlineStr">
        <is>
          <t>REF000000</t>
        </is>
      </c>
      <c r="E27" t="inlineStr">
        <is>
          <t>09-DEC-2025</t>
        </is>
      </c>
      <c r="F27" t="inlineStr">
        <is>
          <t>DEER DRY</t>
        </is>
      </c>
      <c r="G27" t="inlineStr">
        <is>
          <t>APO091202 Food Grade</t>
        </is>
      </c>
      <c r="H27" t="inlineStr">
        <is>
          <t>AdminUAM</t>
        </is>
      </c>
      <c r="J27" t="n">
        <v>46037</v>
      </c>
      <c r="K27" t="n">
        <v>46033</v>
      </c>
      <c r="L27" t="n">
        <v>46037</v>
      </c>
      <c r="M27" t="inlineStr">
        <is>
          <t>REF000000</t>
        </is>
      </c>
      <c r="N27" t="inlineStr">
        <is>
          <t>USNFK</t>
        </is>
      </c>
      <c r="O27" t="inlineStr">
        <is>
          <t>USNFK</t>
        </is>
      </c>
      <c r="P27" t="inlineStr">
        <is>
          <t>RULED</t>
        </is>
      </c>
      <c r="U27" t="inlineStr">
        <is>
          <t>RULED</t>
        </is>
      </c>
      <c r="V27" t="inlineStr">
        <is>
          <t>RULED</t>
        </is>
      </c>
      <c r="W27" t="inlineStr">
        <is>
          <t>UNITED STATES</t>
        </is>
      </c>
      <c r="X27" t="inlineStr">
        <is>
          <t>Latin America</t>
        </is>
      </c>
      <c r="Y27" t="inlineStr">
        <is>
          <t>RUSSIA</t>
        </is>
      </c>
      <c r="Z27" t="inlineStr">
        <is>
          <t>External Review</t>
        </is>
      </c>
      <c r="AA27" t="inlineStr">
        <is>
          <t>HUB SHIPPING LLC-LED</t>
        </is>
      </c>
      <c r="AB27" t="inlineStr">
        <is>
          <t>Collect</t>
        </is>
      </c>
      <c r="AC27" t="inlineStr">
        <is>
          <t>MERCURY/25016E</t>
        </is>
      </c>
      <c r="AE27" t="inlineStr">
        <is>
          <t>LADEN BOOKING</t>
        </is>
      </c>
      <c r="AF27" t="inlineStr">
        <is>
          <t>RenniUAM</t>
        </is>
      </c>
      <c r="AG27" t="inlineStr">
        <is>
          <t>DC20</t>
        </is>
      </c>
      <c r="AH27" t="inlineStr">
        <is>
          <t>NO</t>
        </is>
      </c>
      <c r="AI27" t="n">
        <v>20</v>
      </c>
      <c r="AJ27" t="n">
        <v>6</v>
      </c>
      <c r="AK27" t="n">
        <v>0</v>
      </c>
      <c r="AL27" t="inlineStr">
        <is>
          <t>ANON0000000,
ANON0000000,
ANON0000000,
ANON0000000,
ANON0000000,
ANON0000000</t>
        </is>
      </c>
      <c r="AP27" t="inlineStr">
        <is>
          <t>Non Haz</t>
        </is>
      </c>
      <c r="AQ27" t="inlineStr">
        <is>
          <t>CY/CY</t>
        </is>
      </c>
      <c r="AT27" t="inlineStr">
        <is>
          <t>REF000000</t>
        </is>
      </c>
      <c r="AU27" t="n">
        <v>26000</v>
      </c>
      <c r="AV27" t="inlineStr">
        <is>
          <t>GENERAL COMMODITY</t>
        </is>
      </c>
      <c r="AX27" t="inlineStr">
        <is>
          <t>RSUAM122500028</t>
        </is>
      </c>
      <c r="AZ27" t="n">
        <v>0</v>
      </c>
      <c r="BA27" t="n">
        <v>10</v>
      </c>
      <c r="BB27" t="n">
        <v>21</v>
      </c>
      <c r="BC27" t="n">
        <v>1750</v>
      </c>
      <c r="BD27" t="inlineStr">
        <is>
          <t>Yes</t>
        </is>
      </c>
      <c r="BF27" t="inlineStr">
        <is>
          <t>ARTHA SHIPPING</t>
        </is>
      </c>
      <c r="BG27" t="inlineStr">
        <is>
          <t>RULED</t>
        </is>
      </c>
      <c r="BH27" t="n">
        <v>6</v>
      </c>
      <c r="BI27" t="n">
        <v>0</v>
      </c>
      <c r="BJ27" t="n">
        <v>10500</v>
      </c>
      <c r="BK27" t="inlineStr">
        <is>
          <t>LINE</t>
        </is>
      </c>
      <c r="BL27" t="inlineStr">
        <is>
          <t>DEER DRY</t>
        </is>
      </c>
      <c r="BM27" t="inlineStr">
        <is>
          <t>DEER DRY</t>
        </is>
      </c>
    </row>
    <row r="28">
      <c r="A28" t="n">
        <v>27</v>
      </c>
      <c r="B28" t="inlineStr">
        <is>
          <t>SHARK REEFER</t>
        </is>
      </c>
      <c r="C28" t="inlineStr">
        <is>
          <t>REF000000</t>
        </is>
      </c>
      <c r="D28" t="inlineStr">
        <is>
          <t>REF000000</t>
        </is>
      </c>
      <c r="E28" t="inlineStr">
        <is>
          <t>09-DEC-2025</t>
        </is>
      </c>
      <c r="F28" t="inlineStr">
        <is>
          <t>SHARK REEFER</t>
        </is>
      </c>
      <c r="G28" t="inlineStr">
        <is>
          <t>PREPAID ABROAD</t>
        </is>
      </c>
      <c r="H28" t="inlineStr">
        <is>
          <t>Regional Operations_UNIMAR</t>
        </is>
      </c>
      <c r="J28" t="n">
        <v>46029</v>
      </c>
      <c r="K28" t="n">
        <v>46029</v>
      </c>
      <c r="L28" t="n">
        <v>46029</v>
      </c>
      <c r="M28" t="inlineStr">
        <is>
          <t>REF000000</t>
        </is>
      </c>
      <c r="N28" t="inlineStr">
        <is>
          <t>USNYC</t>
        </is>
      </c>
      <c r="O28" t="inlineStr">
        <is>
          <t>USNYC</t>
        </is>
      </c>
      <c r="P28" t="inlineStr">
        <is>
          <t>RUBLT</t>
        </is>
      </c>
      <c r="U28" t="inlineStr">
        <is>
          <t>RUBLT</t>
        </is>
      </c>
      <c r="V28" t="inlineStr">
        <is>
          <t>RUBLT</t>
        </is>
      </c>
      <c r="W28" t="inlineStr">
        <is>
          <t>UNITED STATES</t>
        </is>
      </c>
      <c r="X28" t="inlineStr">
        <is>
          <t>Latin America</t>
        </is>
      </c>
      <c r="Y28" t="inlineStr">
        <is>
          <t>RUSSIA</t>
        </is>
      </c>
      <c r="Z28" t="inlineStr">
        <is>
          <t>External Review</t>
        </is>
      </c>
      <c r="AA28" t="inlineStr">
        <is>
          <t>HUB Shipping-Kaliningrad</t>
        </is>
      </c>
      <c r="AB28" t="inlineStr">
        <is>
          <t>Prepaid</t>
        </is>
      </c>
      <c r="AC28" t="inlineStr">
        <is>
          <t>MERCURY/25016E</t>
        </is>
      </c>
      <c r="AD28" t="inlineStr">
        <is>
          <t>SPARTA / SP1010109SB</t>
        </is>
      </c>
      <c r="AE28" t="inlineStr">
        <is>
          <t>LADEN BOOKING</t>
        </is>
      </c>
      <c r="AF28" t="inlineStr">
        <is>
          <t>Joao Ribeiro</t>
        </is>
      </c>
      <c r="AG28" t="inlineStr">
        <is>
          <t>RH40</t>
        </is>
      </c>
      <c r="AH28" t="inlineStr">
        <is>
          <t>NO</t>
        </is>
      </c>
      <c r="AI28" t="n">
        <v>40</v>
      </c>
      <c r="AJ28" t="n">
        <v>0</v>
      </c>
      <c r="AK28" t="n">
        <v>1</v>
      </c>
      <c r="AL28" t="inlineStr">
        <is>
          <t>ANON0000000</t>
        </is>
      </c>
      <c r="AM28" t="n">
        <v>-22</v>
      </c>
      <c r="AP28" t="inlineStr">
        <is>
          <t>Non Haz</t>
        </is>
      </c>
      <c r="AQ28" t="inlineStr">
        <is>
          <t>CY/CY</t>
        </is>
      </c>
      <c r="AT28" t="inlineStr">
        <is>
          <t>REF000000</t>
        </is>
      </c>
      <c r="AU28" t="n">
        <v>28000</v>
      </c>
      <c r="AV28" t="inlineStr">
        <is>
          <t>FROZEN MEAT &amp; FRUIT PULP</t>
        </is>
      </c>
      <c r="AX28" t="inlineStr">
        <is>
          <t>RSUAM122500017</t>
        </is>
      </c>
      <c r="AZ28" t="n">
        <v>2</v>
      </c>
      <c r="BA28" t="n">
        <v>25</v>
      </c>
      <c r="BB28" t="n">
        <v>15</v>
      </c>
      <c r="BC28" t="n">
        <v>9200</v>
      </c>
      <c r="BD28" t="inlineStr">
        <is>
          <t>No</t>
        </is>
      </c>
      <c r="BF28" t="inlineStr">
        <is>
          <t>ARTHA SHIPPING</t>
        </is>
      </c>
      <c r="BG28" t="inlineStr">
        <is>
          <t>USNYC</t>
        </is>
      </c>
      <c r="BH28" t="n">
        <v>0</v>
      </c>
      <c r="BI28" t="n">
        <v>1</v>
      </c>
      <c r="BJ28" t="n">
        <v>9200</v>
      </c>
      <c r="BK28" t="inlineStr">
        <is>
          <t>LINE</t>
        </is>
      </c>
      <c r="BL28" t="inlineStr">
        <is>
          <t>SHARK REEFER</t>
        </is>
      </c>
      <c r="BM28" t="inlineStr">
        <is>
          <t>SHARK REEFER</t>
        </is>
      </c>
    </row>
    <row r="29">
      <c r="A29" t="n">
        <v>28</v>
      </c>
      <c r="B29" t="inlineStr">
        <is>
          <t>DOLPHIN REEFER</t>
        </is>
      </c>
      <c r="C29" t="inlineStr">
        <is>
          <t>REF000000</t>
        </is>
      </c>
      <c r="D29" t="inlineStr">
        <is>
          <t>REF000000</t>
        </is>
      </c>
      <c r="E29" t="inlineStr">
        <is>
          <t>09-DEC-2025</t>
        </is>
      </c>
      <c r="F29" t="inlineStr">
        <is>
          <t>DOLPHIN REEFER</t>
        </is>
      </c>
      <c r="G29" t="inlineStr">
        <is>
          <t>PREPAID ABROAD</t>
        </is>
      </c>
      <c r="H29" t="inlineStr">
        <is>
          <t>Regional Operations_UNIMAR</t>
        </is>
      </c>
      <c r="J29" t="n">
        <v>46029</v>
      </c>
      <c r="K29" t="n">
        <v>46029</v>
      </c>
      <c r="L29" t="n">
        <v>46029</v>
      </c>
      <c r="M29" t="inlineStr">
        <is>
          <t>REF000000</t>
        </is>
      </c>
      <c r="N29" t="inlineStr">
        <is>
          <t>USNYC</t>
        </is>
      </c>
      <c r="O29" t="inlineStr">
        <is>
          <t>USNYC</t>
        </is>
      </c>
      <c r="P29" t="inlineStr">
        <is>
          <t>RUBLT</t>
        </is>
      </c>
      <c r="U29" t="inlineStr">
        <is>
          <t>RUBLT</t>
        </is>
      </c>
      <c r="V29" t="inlineStr">
        <is>
          <t>RUBLT</t>
        </is>
      </c>
      <c r="W29" t="inlineStr">
        <is>
          <t>UNITED STATES</t>
        </is>
      </c>
      <c r="X29" t="inlineStr">
        <is>
          <t>Latin America</t>
        </is>
      </c>
      <c r="Y29" t="inlineStr">
        <is>
          <t>RUSSIA</t>
        </is>
      </c>
      <c r="Z29" t="inlineStr">
        <is>
          <t>External Review</t>
        </is>
      </c>
      <c r="AA29" t="inlineStr">
        <is>
          <t>HUB Shipping-Kaliningrad</t>
        </is>
      </c>
      <c r="AB29" t="inlineStr">
        <is>
          <t>Prepaid</t>
        </is>
      </c>
      <c r="AC29" t="inlineStr">
        <is>
          <t>MERCURY/25016E</t>
        </is>
      </c>
      <c r="AD29" t="inlineStr">
        <is>
          <t>SPARTA / SP1010109SB</t>
        </is>
      </c>
      <c r="AE29" t="inlineStr">
        <is>
          <t>LADEN BOOKING</t>
        </is>
      </c>
      <c r="AF29" t="inlineStr">
        <is>
          <t>Joao Ribeiro</t>
        </is>
      </c>
      <c r="AG29" t="inlineStr">
        <is>
          <t>RH40</t>
        </is>
      </c>
      <c r="AH29" t="inlineStr">
        <is>
          <t>NO</t>
        </is>
      </c>
      <c r="AI29" t="n">
        <v>40</v>
      </c>
      <c r="AJ29" t="n">
        <v>0</v>
      </c>
      <c r="AK29" t="n">
        <v>1</v>
      </c>
      <c r="AL29" t="inlineStr">
        <is>
          <t>ANON0000000</t>
        </is>
      </c>
      <c r="AM29" t="n">
        <v>-22</v>
      </c>
      <c r="AP29" t="inlineStr">
        <is>
          <t>Non Haz</t>
        </is>
      </c>
      <c r="AQ29" t="inlineStr">
        <is>
          <t>CY/CY</t>
        </is>
      </c>
      <c r="AT29" t="inlineStr">
        <is>
          <t>REF000000</t>
        </is>
      </c>
      <c r="AU29" t="n">
        <v>28000</v>
      </c>
      <c r="AV29" t="inlineStr">
        <is>
          <t>FROZEN MEAT &amp; FRUIT PULP</t>
        </is>
      </c>
      <c r="AX29" t="inlineStr">
        <is>
          <t>RSUAM122500017</t>
        </is>
      </c>
      <c r="AZ29" t="n">
        <v>2</v>
      </c>
      <c r="BA29" t="n">
        <v>25</v>
      </c>
      <c r="BB29" t="n">
        <v>15</v>
      </c>
      <c r="BC29" t="n">
        <v>9200</v>
      </c>
      <c r="BD29" t="inlineStr">
        <is>
          <t>No</t>
        </is>
      </c>
      <c r="BF29" t="inlineStr">
        <is>
          <t>ARTHA SHIPPING</t>
        </is>
      </c>
      <c r="BG29" t="inlineStr">
        <is>
          <t>USNYC</t>
        </is>
      </c>
      <c r="BH29" t="n">
        <v>0</v>
      </c>
      <c r="BI29" t="n">
        <v>1</v>
      </c>
      <c r="BJ29" t="n">
        <v>9200</v>
      </c>
      <c r="BK29" t="inlineStr">
        <is>
          <t>LINE</t>
        </is>
      </c>
      <c r="BL29" t="inlineStr">
        <is>
          <t>DOLPHIN REEFER</t>
        </is>
      </c>
      <c r="BM29" t="inlineStr">
        <is>
          <t>DOLPHIN REEFER</t>
        </is>
      </c>
    </row>
    <row r="30">
      <c r="A30" t="n">
        <v>29</v>
      </c>
      <c r="B30" t="inlineStr">
        <is>
          <t>MARLIN REEFER</t>
        </is>
      </c>
      <c r="C30" t="inlineStr">
        <is>
          <t>REF000000</t>
        </is>
      </c>
      <c r="D30" t="inlineStr">
        <is>
          <t>REF000000</t>
        </is>
      </c>
      <c r="E30" t="inlineStr">
        <is>
          <t>09-DEC-2025</t>
        </is>
      </c>
      <c r="F30" t="inlineStr">
        <is>
          <t>MARLIN REEFER</t>
        </is>
      </c>
      <c r="G30" t="inlineStr">
        <is>
          <t>PREPAID ABROAD</t>
        </is>
      </c>
      <c r="H30" t="inlineStr">
        <is>
          <t>Regional Operations_UNIMAR</t>
        </is>
      </c>
      <c r="J30" t="n">
        <v>46037</v>
      </c>
      <c r="K30" t="n">
        <v>46033</v>
      </c>
      <c r="L30" t="n">
        <v>46037</v>
      </c>
      <c r="M30" t="inlineStr">
        <is>
          <t>REF000000</t>
        </is>
      </c>
      <c r="N30" t="inlineStr">
        <is>
          <t>USNFK</t>
        </is>
      </c>
      <c r="O30" t="inlineStr">
        <is>
          <t>USNFK</t>
        </is>
      </c>
      <c r="P30" t="inlineStr">
        <is>
          <t>RUBLT</t>
        </is>
      </c>
      <c r="U30" t="inlineStr">
        <is>
          <t>RUBLT</t>
        </is>
      </c>
      <c r="V30" t="inlineStr">
        <is>
          <t>RUBLT</t>
        </is>
      </c>
      <c r="W30" t="inlineStr">
        <is>
          <t>UNITED STATES</t>
        </is>
      </c>
      <c r="X30" t="inlineStr">
        <is>
          <t>Latin America</t>
        </is>
      </c>
      <c r="Y30" t="inlineStr">
        <is>
          <t>RUSSIA</t>
        </is>
      </c>
      <c r="Z30" t="inlineStr">
        <is>
          <t>External Review</t>
        </is>
      </c>
      <c r="AA30" t="inlineStr">
        <is>
          <t>HUB Shipping-Kaliningrad</t>
        </is>
      </c>
      <c r="AB30" t="inlineStr">
        <is>
          <t>Prepaid</t>
        </is>
      </c>
      <c r="AC30" t="inlineStr">
        <is>
          <t>MERCURY/25016E</t>
        </is>
      </c>
      <c r="AD30" t="inlineStr">
        <is>
          <t>SPARTA / SP1010109SB</t>
        </is>
      </c>
      <c r="AE30" t="inlineStr">
        <is>
          <t>LADEN BOOKING</t>
        </is>
      </c>
      <c r="AF30" t="inlineStr">
        <is>
          <t>Joao Ribeiro</t>
        </is>
      </c>
      <c r="AG30" t="inlineStr">
        <is>
          <t>RH40</t>
        </is>
      </c>
      <c r="AH30" t="inlineStr">
        <is>
          <t>NO</t>
        </is>
      </c>
      <c r="AI30" t="n">
        <v>40</v>
      </c>
      <c r="AJ30" t="n">
        <v>0</v>
      </c>
      <c r="AK30" t="n">
        <v>1</v>
      </c>
      <c r="AL30" t="inlineStr">
        <is>
          <t>ANON0000000</t>
        </is>
      </c>
      <c r="AM30" t="n">
        <v>-18</v>
      </c>
      <c r="AP30" t="inlineStr">
        <is>
          <t>Non Haz</t>
        </is>
      </c>
      <c r="AQ30" t="inlineStr">
        <is>
          <t>CY/CY</t>
        </is>
      </c>
      <c r="AT30" t="inlineStr">
        <is>
          <t>REF000000</t>
        </is>
      </c>
      <c r="AU30" t="n">
        <v>28000</v>
      </c>
      <c r="AV30" t="inlineStr">
        <is>
          <t>FROZEN MEAT &amp; FRUIT PULP</t>
        </is>
      </c>
      <c r="AX30" t="inlineStr">
        <is>
          <t>RSUAM122500008</t>
        </is>
      </c>
      <c r="AZ30" t="n">
        <v>2</v>
      </c>
      <c r="BA30" t="n">
        <v>25</v>
      </c>
      <c r="BB30" t="n">
        <v>15</v>
      </c>
      <c r="BC30" t="n">
        <v>9200</v>
      </c>
      <c r="BD30" t="inlineStr">
        <is>
          <t>No</t>
        </is>
      </c>
      <c r="BF30" t="inlineStr">
        <is>
          <t>ARTHA SHIPPING</t>
        </is>
      </c>
      <c r="BG30" t="inlineStr">
        <is>
          <t>USNFK</t>
        </is>
      </c>
      <c r="BH30" t="n">
        <v>0</v>
      </c>
      <c r="BI30" t="n">
        <v>1</v>
      </c>
      <c r="BJ30" t="n">
        <v>9200</v>
      </c>
      <c r="BK30" t="inlineStr">
        <is>
          <t>LINE</t>
        </is>
      </c>
      <c r="BL30" t="inlineStr">
        <is>
          <t>MARLIN REEFER</t>
        </is>
      </c>
      <c r="BM30" t="inlineStr">
        <is>
          <t>MARLIN REEFER</t>
        </is>
      </c>
    </row>
    <row r="31">
      <c r="A31" t="n">
        <v>30</v>
      </c>
      <c r="B31" t="inlineStr">
        <is>
          <t>COYOTE DRY</t>
        </is>
      </c>
      <c r="C31" t="inlineStr">
        <is>
          <t>REF000000</t>
        </is>
      </c>
      <c r="D31" t="inlineStr">
        <is>
          <t>REF000000</t>
        </is>
      </c>
      <c r="E31" t="inlineStr">
        <is>
          <t>10-DEC-2025</t>
        </is>
      </c>
      <c r="F31" t="inlineStr">
        <is>
          <t>COYOTE DRY</t>
        </is>
      </c>
      <c r="H31" t="inlineStr">
        <is>
          <t>AdminUAM</t>
        </is>
      </c>
      <c r="J31" t="n">
        <v>46042</v>
      </c>
      <c r="K31" t="n">
        <v>46040</v>
      </c>
      <c r="L31" t="n">
        <v>46042</v>
      </c>
      <c r="M31" t="inlineStr">
        <is>
          <t>REF000000</t>
        </is>
      </c>
      <c r="N31" t="inlineStr">
        <is>
          <t>USNFK</t>
        </is>
      </c>
      <c r="O31" t="inlineStr">
        <is>
          <t>USNFK</t>
        </is>
      </c>
      <c r="P31" t="inlineStr">
        <is>
          <t>RULED</t>
        </is>
      </c>
      <c r="U31" t="inlineStr">
        <is>
          <t>RULED</t>
        </is>
      </c>
      <c r="V31" t="inlineStr">
        <is>
          <t>RULED</t>
        </is>
      </c>
      <c r="W31" t="inlineStr">
        <is>
          <t>UNITED STATES</t>
        </is>
      </c>
      <c r="X31" t="inlineStr">
        <is>
          <t>Latin America</t>
        </is>
      </c>
      <c r="Y31" t="inlineStr">
        <is>
          <t>RUSSIA</t>
        </is>
      </c>
      <c r="Z31" t="inlineStr">
        <is>
          <t>External Review</t>
        </is>
      </c>
      <c r="AA31" t="inlineStr">
        <is>
          <t>HUB SHIPPING LLC-LED</t>
        </is>
      </c>
      <c r="AB31" t="inlineStr">
        <is>
          <t>Collect</t>
        </is>
      </c>
      <c r="AC31" t="inlineStr">
        <is>
          <t>MERCURY/25016E</t>
        </is>
      </c>
      <c r="AE31" t="inlineStr">
        <is>
          <t>LADEN BOOKING</t>
        </is>
      </c>
      <c r="AF31" t="inlineStr">
        <is>
          <t>RenniUAM</t>
        </is>
      </c>
      <c r="AG31" t="inlineStr">
        <is>
          <t>HC40</t>
        </is>
      </c>
      <c r="AH31" t="inlineStr">
        <is>
          <t>NO</t>
        </is>
      </c>
      <c r="AI31" t="n">
        <v>40</v>
      </c>
      <c r="AJ31" t="n">
        <v>0</v>
      </c>
      <c r="AK31" t="n">
        <v>1</v>
      </c>
      <c r="AL31" t="inlineStr">
        <is>
          <t>ANON0000000</t>
        </is>
      </c>
      <c r="AP31" t="inlineStr">
        <is>
          <t>Non Haz</t>
        </is>
      </c>
      <c r="AQ31" t="inlineStr">
        <is>
          <t>CY/CY</t>
        </is>
      </c>
      <c r="AT31" t="inlineStr">
        <is>
          <t>REF000000</t>
        </is>
      </c>
      <c r="AU31" t="n">
        <v>26000</v>
      </c>
      <c r="AV31" t="inlineStr">
        <is>
          <t>GENERAL COMMODITY</t>
        </is>
      </c>
      <c r="AX31" t="inlineStr">
        <is>
          <t>MRG368676</t>
        </is>
      </c>
      <c r="AY31" t="inlineStr">
        <is>
          <t>LINE</t>
        </is>
      </c>
      <c r="AZ31" t="n">
        <v>0</v>
      </c>
      <c r="BA31" t="n">
        <v>14</v>
      </c>
      <c r="BB31" t="n">
        <v>14</v>
      </c>
      <c r="BC31" t="n">
        <v>4600</v>
      </c>
      <c r="BD31" t="inlineStr">
        <is>
          <t>Yes</t>
        </is>
      </c>
      <c r="BF31" t="inlineStr">
        <is>
          <t>ARTHA SHIPPING</t>
        </is>
      </c>
      <c r="BG31" t="inlineStr">
        <is>
          <t>RULED</t>
        </is>
      </c>
      <c r="BH31" t="n">
        <v>0</v>
      </c>
      <c r="BI31" t="n">
        <v>1</v>
      </c>
      <c r="BJ31" t="n">
        <v>4600</v>
      </c>
      <c r="BK31" t="inlineStr">
        <is>
          <t>LINE</t>
        </is>
      </c>
      <c r="BL31" t="inlineStr">
        <is>
          <t>COYOTE DRY</t>
        </is>
      </c>
      <c r="BM31" t="inlineStr">
        <is>
          <t>COYOTE DRY</t>
        </is>
      </c>
    </row>
    <row r="32">
      <c r="A32" t="n">
        <v>31</v>
      </c>
      <c r="B32" t="inlineStr">
        <is>
          <t>ORCA REEFER</t>
        </is>
      </c>
      <c r="C32" t="inlineStr">
        <is>
          <t>REF000000</t>
        </is>
      </c>
      <c r="D32" t="inlineStr">
        <is>
          <t>REF000000</t>
        </is>
      </c>
      <c r="E32" t="inlineStr">
        <is>
          <t>10-DEC-2025</t>
        </is>
      </c>
      <c r="F32" t="inlineStr">
        <is>
          <t>ORCA REEFER</t>
        </is>
      </c>
      <c r="H32" t="inlineStr">
        <is>
          <t>AdminUAM</t>
        </is>
      </c>
      <c r="J32" t="n">
        <v>46029</v>
      </c>
      <c r="K32" t="n">
        <v>46029</v>
      </c>
      <c r="L32" t="n">
        <v>46029</v>
      </c>
      <c r="M32" t="inlineStr">
        <is>
          <t>REF000000</t>
        </is>
      </c>
      <c r="N32" t="inlineStr">
        <is>
          <t>USNYC</t>
        </is>
      </c>
      <c r="O32" t="inlineStr">
        <is>
          <t>USNYC</t>
        </is>
      </c>
      <c r="P32" t="inlineStr">
        <is>
          <t>RULED</t>
        </is>
      </c>
      <c r="U32" t="inlineStr">
        <is>
          <t>RULED</t>
        </is>
      </c>
      <c r="V32" t="inlineStr">
        <is>
          <t>RULED</t>
        </is>
      </c>
      <c r="W32" t="inlineStr">
        <is>
          <t>UNITED STATES</t>
        </is>
      </c>
      <c r="X32" t="inlineStr">
        <is>
          <t>Latin America</t>
        </is>
      </c>
      <c r="Y32" t="inlineStr">
        <is>
          <t>RUSSIA</t>
        </is>
      </c>
      <c r="Z32" t="inlineStr">
        <is>
          <t>External Review</t>
        </is>
      </c>
      <c r="AA32" t="inlineStr">
        <is>
          <t>HUB SHIPPING LLC-LED</t>
        </is>
      </c>
      <c r="AB32" t="inlineStr">
        <is>
          <t>Collect</t>
        </is>
      </c>
      <c r="AC32" t="inlineStr">
        <is>
          <t>MERCURY/25016E</t>
        </is>
      </c>
      <c r="AE32" t="inlineStr">
        <is>
          <t>LADEN BOOKING</t>
        </is>
      </c>
      <c r="AF32" t="inlineStr">
        <is>
          <t>RenniUAM</t>
        </is>
      </c>
      <c r="AG32" t="inlineStr">
        <is>
          <t>DC20</t>
        </is>
      </c>
      <c r="AH32" t="inlineStr">
        <is>
          <t>NO</t>
        </is>
      </c>
      <c r="AI32" t="n">
        <v>20</v>
      </c>
      <c r="AJ32" t="n">
        <v>6</v>
      </c>
      <c r="AK32" t="n">
        <v>0</v>
      </c>
      <c r="AL32" t="inlineStr">
        <is>
          <t>ANON0000000,
ANON0000000,
ANON0000000,
ANON0000000,
ANON0000000,
ANON0000000</t>
        </is>
      </c>
      <c r="AP32" t="inlineStr">
        <is>
          <t>Non Haz</t>
        </is>
      </c>
      <c r="AQ32" t="inlineStr">
        <is>
          <t>CY/CY</t>
        </is>
      </c>
      <c r="AT32" t="inlineStr">
        <is>
          <t>REF000000</t>
        </is>
      </c>
      <c r="AU32" t="n">
        <v>26000</v>
      </c>
      <c r="AV32" t="inlineStr">
        <is>
          <t>GENERAL COMMODITY</t>
        </is>
      </c>
      <c r="AX32" t="inlineStr">
        <is>
          <t>RSUAM122500022</t>
        </is>
      </c>
      <c r="AZ32" t="n">
        <v>0</v>
      </c>
      <c r="BA32" t="n">
        <v>10</v>
      </c>
      <c r="BB32" t="n">
        <v>21</v>
      </c>
      <c r="BC32" t="n">
        <v>1650</v>
      </c>
      <c r="BD32" t="inlineStr">
        <is>
          <t>Yes</t>
        </is>
      </c>
      <c r="BF32" t="inlineStr">
        <is>
          <t>ARTHA SHIPPING</t>
        </is>
      </c>
      <c r="BG32" t="inlineStr">
        <is>
          <t>RULED</t>
        </is>
      </c>
      <c r="BH32" t="n">
        <v>6</v>
      </c>
      <c r="BI32" t="n">
        <v>0</v>
      </c>
      <c r="BJ32" t="n">
        <v>9900</v>
      </c>
      <c r="BK32" t="inlineStr">
        <is>
          <t>LINE</t>
        </is>
      </c>
      <c r="BL32" t="inlineStr">
        <is>
          <t>ORCA REEFER</t>
        </is>
      </c>
      <c r="BM32" t="inlineStr">
        <is>
          <t>ORCA REEFER</t>
        </is>
      </c>
    </row>
    <row r="33">
      <c r="A33" t="n">
        <v>32</v>
      </c>
      <c r="B33" t="inlineStr">
        <is>
          <t>WHALE REEFER</t>
        </is>
      </c>
      <c r="C33" t="inlineStr">
        <is>
          <t>REF000000</t>
        </is>
      </c>
      <c r="D33" t="inlineStr">
        <is>
          <t>REF000000</t>
        </is>
      </c>
      <c r="E33" t="inlineStr">
        <is>
          <t>10-DEC-2025</t>
        </is>
      </c>
      <c r="F33" t="inlineStr">
        <is>
          <t>WHALE REEFER</t>
        </is>
      </c>
      <c r="G33" t="inlineStr">
        <is>
          <t>PREPAID ABROAD</t>
        </is>
      </c>
      <c r="H33" t="inlineStr">
        <is>
          <t>Regional Operations_UNIMAR</t>
        </is>
      </c>
      <c r="J33" t="inlineStr">
        <is>
          <t>18-FEB-2026</t>
        </is>
      </c>
      <c r="K33" t="inlineStr">
        <is>
          <t>17-FEB-2026</t>
        </is>
      </c>
      <c r="L33" t="inlineStr">
        <is>
          <t>18-FEB-2026</t>
        </is>
      </c>
      <c r="M33" t="inlineStr">
        <is>
          <t>REF000000</t>
        </is>
      </c>
      <c r="N33" t="inlineStr">
        <is>
          <t>USNYC</t>
        </is>
      </c>
      <c r="O33" t="inlineStr">
        <is>
          <t>USNYC</t>
        </is>
      </c>
      <c r="P33" t="inlineStr">
        <is>
          <t>RUBLT</t>
        </is>
      </c>
      <c r="U33" t="inlineStr">
        <is>
          <t>RUBLT</t>
        </is>
      </c>
      <c r="V33" t="inlineStr">
        <is>
          <t>RUBLT</t>
        </is>
      </c>
      <c r="W33" t="inlineStr">
        <is>
          <t>UNITED STATES</t>
        </is>
      </c>
      <c r="X33" t="inlineStr">
        <is>
          <t>Latin America</t>
        </is>
      </c>
      <c r="Y33" t="inlineStr">
        <is>
          <t>RUSSIA</t>
        </is>
      </c>
      <c r="Z33" t="inlineStr">
        <is>
          <t>External Review</t>
        </is>
      </c>
      <c r="AA33" t="inlineStr">
        <is>
          <t>HUB Shipping-Kaliningrad</t>
        </is>
      </c>
      <c r="AB33" t="inlineStr">
        <is>
          <t>Prepaid</t>
        </is>
      </c>
      <c r="AC33" t="inlineStr">
        <is>
          <t>LI DA XING/VOYAGE 1</t>
        </is>
      </c>
      <c r="AE33" t="inlineStr">
        <is>
          <t>LADEN BOOKING</t>
        </is>
      </c>
      <c r="AF33" t="inlineStr">
        <is>
          <t>Joao Ribeiro</t>
        </is>
      </c>
      <c r="AG33" t="inlineStr">
        <is>
          <t>RH40</t>
        </is>
      </c>
      <c r="AH33" t="inlineStr">
        <is>
          <t>NO</t>
        </is>
      </c>
      <c r="AI33" t="n">
        <v>40</v>
      </c>
      <c r="AJ33" t="n">
        <v>0</v>
      </c>
      <c r="AK33" t="n">
        <v>1</v>
      </c>
      <c r="AL33" t="inlineStr">
        <is>
          <t>ANON0000000</t>
        </is>
      </c>
      <c r="AM33" t="n">
        <v>-18</v>
      </c>
      <c r="AP33" t="inlineStr">
        <is>
          <t>Non Haz</t>
        </is>
      </c>
      <c r="AQ33" t="inlineStr">
        <is>
          <t>CY/CY</t>
        </is>
      </c>
      <c r="AT33" t="inlineStr">
        <is>
          <t>REF000000</t>
        </is>
      </c>
      <c r="AU33" t="n">
        <v>28000</v>
      </c>
      <c r="AV33" t="inlineStr">
        <is>
          <t>FROZEN MEAT</t>
        </is>
      </c>
      <c r="AX33" t="inlineStr">
        <is>
          <t>RSUAM012600044</t>
        </is>
      </c>
      <c r="AZ33" t="n">
        <v>2</v>
      </c>
      <c r="BA33" t="n">
        <v>25</v>
      </c>
      <c r="BB33" t="n">
        <v>15</v>
      </c>
      <c r="BC33" t="n">
        <v>9350</v>
      </c>
      <c r="BD33" t="inlineStr">
        <is>
          <t>No</t>
        </is>
      </c>
      <c r="BF33" t="inlineStr">
        <is>
          <t>ARTHA SHIPPING</t>
        </is>
      </c>
      <c r="BG33" t="inlineStr">
        <is>
          <t>USNYC</t>
        </is>
      </c>
      <c r="BH33" t="n">
        <v>0</v>
      </c>
      <c r="BI33" t="n">
        <v>1</v>
      </c>
      <c r="BJ33" t="n">
        <v>9350</v>
      </c>
      <c r="BK33" t="inlineStr">
        <is>
          <t>LINE</t>
        </is>
      </c>
      <c r="BL33" t="inlineStr">
        <is>
          <t>WHALE REEFER</t>
        </is>
      </c>
      <c r="BM33" t="inlineStr">
        <is>
          <t>WHALE REEFER</t>
        </is>
      </c>
    </row>
    <row r="34">
      <c r="A34" t="n">
        <v>33</v>
      </c>
      <c r="B34" t="inlineStr">
        <is>
          <t>SEAL REEFER</t>
        </is>
      </c>
      <c r="C34" t="inlineStr">
        <is>
          <t>REF000000</t>
        </is>
      </c>
      <c r="D34" t="inlineStr">
        <is>
          <t>REF000000</t>
        </is>
      </c>
      <c r="E34" t="inlineStr">
        <is>
          <t>10-DEC-2025</t>
        </is>
      </c>
      <c r="F34" t="inlineStr">
        <is>
          <t>SEAL REEFER</t>
        </is>
      </c>
      <c r="G34" t="inlineStr">
        <is>
          <t>PREPAID ABROAD</t>
        </is>
      </c>
      <c r="H34" t="inlineStr">
        <is>
          <t>Regional Operations_UNIMAR</t>
        </is>
      </c>
      <c r="J34" t="n">
        <v>46029</v>
      </c>
      <c r="K34" t="n">
        <v>46029</v>
      </c>
      <c r="L34" t="n">
        <v>46029</v>
      </c>
      <c r="M34" t="inlineStr">
        <is>
          <t>REF000000</t>
        </is>
      </c>
      <c r="N34" t="inlineStr">
        <is>
          <t>USNYC</t>
        </is>
      </c>
      <c r="O34" t="inlineStr">
        <is>
          <t>USNYC</t>
        </is>
      </c>
      <c r="P34" t="inlineStr">
        <is>
          <t>RUBLT</t>
        </is>
      </c>
      <c r="U34" t="inlineStr">
        <is>
          <t>RUBLT</t>
        </is>
      </c>
      <c r="V34" t="inlineStr">
        <is>
          <t>RUBLT</t>
        </is>
      </c>
      <c r="W34" t="inlineStr">
        <is>
          <t>UNITED STATES</t>
        </is>
      </c>
      <c r="X34" t="inlineStr">
        <is>
          <t>Latin America</t>
        </is>
      </c>
      <c r="Y34" t="inlineStr">
        <is>
          <t>RUSSIA</t>
        </is>
      </c>
      <c r="Z34" t="inlineStr">
        <is>
          <t>External Review</t>
        </is>
      </c>
      <c r="AA34" t="inlineStr">
        <is>
          <t>HUB Shipping-Kaliningrad</t>
        </is>
      </c>
      <c r="AB34" t="inlineStr">
        <is>
          <t>Prepaid</t>
        </is>
      </c>
      <c r="AC34" t="inlineStr">
        <is>
          <t>MERCURY/25016E</t>
        </is>
      </c>
      <c r="AD34" t="inlineStr">
        <is>
          <t>SPARTA / SP1010109SB</t>
        </is>
      </c>
      <c r="AE34" t="inlineStr">
        <is>
          <t>LADEN BOOKING</t>
        </is>
      </c>
      <c r="AF34" t="inlineStr">
        <is>
          <t>Joao Ribeiro</t>
        </is>
      </c>
      <c r="AG34" t="inlineStr">
        <is>
          <t>RH40</t>
        </is>
      </c>
      <c r="AH34" t="inlineStr">
        <is>
          <t>NO</t>
        </is>
      </c>
      <c r="AI34" t="n">
        <v>40</v>
      </c>
      <c r="AJ34" t="n">
        <v>0</v>
      </c>
      <c r="AK34" t="n">
        <v>1</v>
      </c>
      <c r="AL34" t="inlineStr">
        <is>
          <t>ANON0000000</t>
        </is>
      </c>
      <c r="AM34" t="n">
        <v>-18</v>
      </c>
      <c r="AP34" t="inlineStr">
        <is>
          <t>Non Haz</t>
        </is>
      </c>
      <c r="AQ34" t="inlineStr">
        <is>
          <t>CY/CY</t>
        </is>
      </c>
      <c r="AT34" t="inlineStr">
        <is>
          <t>REF000000</t>
        </is>
      </c>
      <c r="AU34" t="n">
        <v>28000</v>
      </c>
      <c r="AV34" t="inlineStr">
        <is>
          <t>FROZEN MEAT &amp; FRUIT PULP</t>
        </is>
      </c>
      <c r="AX34" t="inlineStr">
        <is>
          <t>RSUAM122500009</t>
        </is>
      </c>
      <c r="AZ34" t="n">
        <v>2</v>
      </c>
      <c r="BA34" t="n">
        <v>25</v>
      </c>
      <c r="BB34" t="n">
        <v>15</v>
      </c>
      <c r="BC34" t="n">
        <v>9200</v>
      </c>
      <c r="BD34" t="inlineStr">
        <is>
          <t>No</t>
        </is>
      </c>
      <c r="BF34" t="inlineStr">
        <is>
          <t>ARTHA SHIPPING</t>
        </is>
      </c>
      <c r="BG34" t="inlineStr">
        <is>
          <t>USNYC</t>
        </is>
      </c>
      <c r="BH34" t="n">
        <v>0</v>
      </c>
      <c r="BI34" t="n">
        <v>1</v>
      </c>
      <c r="BJ34" t="n">
        <v>9200</v>
      </c>
      <c r="BK34" t="inlineStr">
        <is>
          <t>LINE</t>
        </is>
      </c>
      <c r="BL34" t="inlineStr">
        <is>
          <t>SEAL REEFER</t>
        </is>
      </c>
      <c r="BM34" t="inlineStr">
        <is>
          <t>SEAL REEFER</t>
        </is>
      </c>
    </row>
    <row r="35">
      <c r="A35" t="n">
        <v>34</v>
      </c>
      <c r="B35" t="inlineStr">
        <is>
          <t>FOX DRY</t>
        </is>
      </c>
      <c r="C35" t="inlineStr">
        <is>
          <t>REF000000</t>
        </is>
      </c>
      <c r="D35" t="inlineStr">
        <is>
          <t>REF000000</t>
        </is>
      </c>
      <c r="E35" t="inlineStr">
        <is>
          <t>11-DEC-2025</t>
        </is>
      </c>
      <c r="F35" t="inlineStr">
        <is>
          <t>FOX DRY</t>
        </is>
      </c>
      <c r="H35" t="inlineStr">
        <is>
          <t>AdminUAM</t>
        </is>
      </c>
      <c r="J35" t="n">
        <v>46037</v>
      </c>
      <c r="K35" t="n">
        <v>46033</v>
      </c>
      <c r="L35" t="n">
        <v>46037</v>
      </c>
      <c r="M35" t="inlineStr">
        <is>
          <t>REF000000</t>
        </is>
      </c>
      <c r="N35" t="inlineStr">
        <is>
          <t>USNFK</t>
        </is>
      </c>
      <c r="O35" t="inlineStr">
        <is>
          <t>USNFK</t>
        </is>
      </c>
      <c r="P35" t="inlineStr">
        <is>
          <t>RULED</t>
        </is>
      </c>
      <c r="U35" t="inlineStr">
        <is>
          <t>RULED</t>
        </is>
      </c>
      <c r="V35" t="inlineStr">
        <is>
          <t>RULED</t>
        </is>
      </c>
      <c r="W35" t="inlineStr">
        <is>
          <t>UNITED STATES</t>
        </is>
      </c>
      <c r="X35" t="inlineStr">
        <is>
          <t>Latin America</t>
        </is>
      </c>
      <c r="Y35" t="inlineStr">
        <is>
          <t>RUSSIA</t>
        </is>
      </c>
      <c r="Z35" t="inlineStr">
        <is>
          <t>External Review</t>
        </is>
      </c>
      <c r="AA35" t="inlineStr">
        <is>
          <t>HUB SHIPPING LLC-LED</t>
        </is>
      </c>
      <c r="AB35" t="inlineStr">
        <is>
          <t>Collect</t>
        </is>
      </c>
      <c r="AC35" t="inlineStr">
        <is>
          <t>MERCURY/25016E</t>
        </is>
      </c>
      <c r="AE35" t="inlineStr">
        <is>
          <t>LADEN BOOKING</t>
        </is>
      </c>
      <c r="AF35" t="inlineStr">
        <is>
          <t>RenniUAM</t>
        </is>
      </c>
      <c r="AG35" t="inlineStr">
        <is>
          <t>HC40</t>
        </is>
      </c>
      <c r="AH35" t="inlineStr">
        <is>
          <t>NO</t>
        </is>
      </c>
      <c r="AI35" t="n">
        <v>40</v>
      </c>
      <c r="AJ35" t="n">
        <v>0</v>
      </c>
      <c r="AK35" t="n">
        <v>1</v>
      </c>
      <c r="AL35" t="inlineStr">
        <is>
          <t>ANON0000000</t>
        </is>
      </c>
      <c r="AP35" t="inlineStr">
        <is>
          <t>Non Haz</t>
        </is>
      </c>
      <c r="AQ35" t="inlineStr">
        <is>
          <t>CY/CY</t>
        </is>
      </c>
      <c r="AT35" t="inlineStr">
        <is>
          <t>REF000000</t>
        </is>
      </c>
      <c r="AU35" t="n">
        <v>26000</v>
      </c>
      <c r="AV35" t="inlineStr">
        <is>
          <t>GENERAL COMMODITY</t>
        </is>
      </c>
      <c r="AX35" t="inlineStr">
        <is>
          <t>RSUAM112500015</t>
        </is>
      </c>
      <c r="AZ35" t="n">
        <v>0</v>
      </c>
      <c r="BA35" t="n">
        <v>14</v>
      </c>
      <c r="BB35" t="n">
        <v>14</v>
      </c>
      <c r="BC35" t="n">
        <v>2450</v>
      </c>
      <c r="BD35" t="inlineStr">
        <is>
          <t>Yes</t>
        </is>
      </c>
      <c r="BF35" t="inlineStr">
        <is>
          <t>ARTHA SHIPPING</t>
        </is>
      </c>
      <c r="BG35" t="inlineStr">
        <is>
          <t>RULED</t>
        </is>
      </c>
      <c r="BH35" t="n">
        <v>0</v>
      </c>
      <c r="BI35" t="n">
        <v>1</v>
      </c>
      <c r="BJ35" t="n">
        <v>2450</v>
      </c>
      <c r="BK35" t="inlineStr">
        <is>
          <t>LINE</t>
        </is>
      </c>
      <c r="BL35" t="inlineStr">
        <is>
          <t>FOX DRY</t>
        </is>
      </c>
      <c r="BM35" t="inlineStr">
        <is>
          <t>FOX DRY</t>
        </is>
      </c>
    </row>
    <row r="36">
      <c r="A36" t="n">
        <v>35</v>
      </c>
      <c r="B36" t="inlineStr">
        <is>
          <t>BISON DRY</t>
        </is>
      </c>
      <c r="C36" t="inlineStr">
        <is>
          <t>REF000000</t>
        </is>
      </c>
      <c r="D36" t="inlineStr">
        <is>
          <t>REF000000</t>
        </is>
      </c>
      <c r="E36" t="inlineStr">
        <is>
          <t>11-DEC-2025</t>
        </is>
      </c>
      <c r="F36" t="inlineStr">
        <is>
          <t>BISON DRY</t>
        </is>
      </c>
      <c r="G36" t="inlineStr">
        <is>
          <t>APO111201 Food Grade</t>
        </is>
      </c>
      <c r="H36" t="inlineStr">
        <is>
          <t>AdminUAM</t>
        </is>
      </c>
      <c r="J36" t="n">
        <v>46037</v>
      </c>
      <c r="K36" t="n">
        <v>46033</v>
      </c>
      <c r="L36" t="n">
        <v>46037</v>
      </c>
      <c r="M36" t="inlineStr">
        <is>
          <t>REF000000</t>
        </is>
      </c>
      <c r="N36" t="inlineStr">
        <is>
          <t>USNFK</t>
        </is>
      </c>
      <c r="O36" t="inlineStr">
        <is>
          <t>USNFK</t>
        </is>
      </c>
      <c r="P36" t="inlineStr">
        <is>
          <t>RULED</t>
        </is>
      </c>
      <c r="U36" t="inlineStr">
        <is>
          <t>RULED</t>
        </is>
      </c>
      <c r="V36" t="inlineStr">
        <is>
          <t>RULED</t>
        </is>
      </c>
      <c r="W36" t="inlineStr">
        <is>
          <t>UNITED STATES</t>
        </is>
      </c>
      <c r="X36" t="inlineStr">
        <is>
          <t>Latin America</t>
        </is>
      </c>
      <c r="Y36" t="inlineStr">
        <is>
          <t>RUSSIA</t>
        </is>
      </c>
      <c r="Z36" t="inlineStr">
        <is>
          <t>External Review</t>
        </is>
      </c>
      <c r="AA36" t="inlineStr">
        <is>
          <t>HUB SHIPPING LLC-LED</t>
        </is>
      </c>
      <c r="AB36" t="inlineStr">
        <is>
          <t>Collect</t>
        </is>
      </c>
      <c r="AC36" t="inlineStr">
        <is>
          <t>MERCURY/25016E</t>
        </is>
      </c>
      <c r="AE36" t="inlineStr">
        <is>
          <t>LADEN BOOKING</t>
        </is>
      </c>
      <c r="AF36" t="inlineStr">
        <is>
          <t>RenniUAM</t>
        </is>
      </c>
      <c r="AG36" t="inlineStr">
        <is>
          <t>DC20</t>
        </is>
      </c>
      <c r="AH36" t="inlineStr">
        <is>
          <t>NO</t>
        </is>
      </c>
      <c r="AI36" t="n">
        <v>20</v>
      </c>
      <c r="AJ36" t="n">
        <v>10</v>
      </c>
      <c r="AK36" t="n">
        <v>0</v>
      </c>
      <c r="AL36" t="inlineStr">
        <is>
          <t>ANON0000000,
ANON0000000,
ANON0000000,
ANON0000000,
ANON0000000,
ANON0000000,
ANON0000000,
ANON0000000,
ANON0000000,
ANON0000000</t>
        </is>
      </c>
      <c r="AP36" t="inlineStr">
        <is>
          <t>Non Haz</t>
        </is>
      </c>
      <c r="AQ36" t="inlineStr">
        <is>
          <t>CY/CY</t>
        </is>
      </c>
      <c r="AT36" t="inlineStr">
        <is>
          <t>REF000000</t>
        </is>
      </c>
      <c r="AU36" t="n">
        <v>26000</v>
      </c>
      <c r="AV36" t="inlineStr">
        <is>
          <t>GENERAL COMMODITY</t>
        </is>
      </c>
      <c r="AX36" t="inlineStr">
        <is>
          <t>RSUAM122500028</t>
        </is>
      </c>
      <c r="AZ36" t="n">
        <v>0</v>
      </c>
      <c r="BA36" t="n">
        <v>25</v>
      </c>
      <c r="BB36" t="n">
        <v>21</v>
      </c>
      <c r="BC36" t="n">
        <v>1750</v>
      </c>
      <c r="BD36" t="inlineStr">
        <is>
          <t>Yes</t>
        </is>
      </c>
      <c r="BF36" t="inlineStr">
        <is>
          <t>ARTHA SHIPPING</t>
        </is>
      </c>
      <c r="BG36" t="inlineStr">
        <is>
          <t>RULED</t>
        </is>
      </c>
      <c r="BH36" t="n">
        <v>10</v>
      </c>
      <c r="BI36" t="n">
        <v>0</v>
      </c>
      <c r="BJ36" t="n">
        <v>17500</v>
      </c>
      <c r="BK36" t="inlineStr">
        <is>
          <t>LINE</t>
        </is>
      </c>
      <c r="BL36" t="inlineStr">
        <is>
          <t>BISON DRY</t>
        </is>
      </c>
      <c r="BM36" t="inlineStr">
        <is>
          <t>BISON DRY</t>
        </is>
      </c>
    </row>
    <row r="37">
      <c r="A37" t="n">
        <v>36</v>
      </c>
      <c r="B37" t="inlineStr">
        <is>
          <t>MARLIN REEFER</t>
        </is>
      </c>
      <c r="C37" t="inlineStr">
        <is>
          <t>REF000000</t>
        </is>
      </c>
      <c r="D37" t="inlineStr">
        <is>
          <t>REF000000</t>
        </is>
      </c>
      <c r="E37" t="inlineStr">
        <is>
          <t>11-DEC-2025</t>
        </is>
      </c>
      <c r="F37" t="inlineStr">
        <is>
          <t>MARLIN REEFER</t>
        </is>
      </c>
      <c r="G37" t="inlineStr">
        <is>
          <t>FOODGRADE</t>
        </is>
      </c>
      <c r="H37" t="inlineStr">
        <is>
          <t>AdminUAM</t>
        </is>
      </c>
      <c r="J37" t="n">
        <v>46037</v>
      </c>
      <c r="K37" t="n">
        <v>46033</v>
      </c>
      <c r="L37" t="n">
        <v>46037</v>
      </c>
      <c r="M37" t="inlineStr">
        <is>
          <t>REF000000</t>
        </is>
      </c>
      <c r="N37" t="inlineStr">
        <is>
          <t>USNFK</t>
        </is>
      </c>
      <c r="O37" t="inlineStr">
        <is>
          <t>USNFK</t>
        </is>
      </c>
      <c r="P37" t="inlineStr">
        <is>
          <t>RULED</t>
        </is>
      </c>
      <c r="U37" t="inlineStr">
        <is>
          <t>RULED</t>
        </is>
      </c>
      <c r="V37" t="inlineStr">
        <is>
          <t>RULED</t>
        </is>
      </c>
      <c r="W37" t="inlineStr">
        <is>
          <t>UNITED STATES</t>
        </is>
      </c>
      <c r="X37" t="inlineStr">
        <is>
          <t>Latin America</t>
        </is>
      </c>
      <c r="Y37" t="inlineStr">
        <is>
          <t>RUSSIA</t>
        </is>
      </c>
      <c r="Z37" t="inlineStr">
        <is>
          <t>External Review</t>
        </is>
      </c>
      <c r="AA37" t="inlineStr">
        <is>
          <t>HUB SHIPPING LLC-LED</t>
        </is>
      </c>
      <c r="AB37" t="inlineStr">
        <is>
          <t>Collect</t>
        </is>
      </c>
      <c r="AC37" t="inlineStr">
        <is>
          <t>MERCURY/25016E</t>
        </is>
      </c>
      <c r="AE37" t="inlineStr">
        <is>
          <t>LADEN BOOKING</t>
        </is>
      </c>
      <c r="AF37" t="inlineStr">
        <is>
          <t>RenniUAM</t>
        </is>
      </c>
      <c r="AG37" t="inlineStr">
        <is>
          <t>DC20</t>
        </is>
      </c>
      <c r="AH37" t="inlineStr">
        <is>
          <t>NO</t>
        </is>
      </c>
      <c r="AI37" t="n">
        <v>20</v>
      </c>
      <c r="AJ37" t="n">
        <v>1</v>
      </c>
      <c r="AK37" t="n">
        <v>0</v>
      </c>
      <c r="AL37" t="inlineStr">
        <is>
          <t>ANON0000000</t>
        </is>
      </c>
      <c r="AP37" t="inlineStr">
        <is>
          <t>Non Haz</t>
        </is>
      </c>
      <c r="AQ37" t="inlineStr">
        <is>
          <t>CY/CY</t>
        </is>
      </c>
      <c r="AT37" t="inlineStr">
        <is>
          <t>REF000000</t>
        </is>
      </c>
      <c r="AU37" t="n">
        <v>26000</v>
      </c>
      <c r="AV37" t="inlineStr">
        <is>
          <t>GENERAL COMMODITY</t>
        </is>
      </c>
      <c r="AX37" t="inlineStr">
        <is>
          <t>MRG368669</t>
        </is>
      </c>
      <c r="AY37" t="inlineStr">
        <is>
          <t>LINE</t>
        </is>
      </c>
      <c r="AZ37" t="n">
        <v>0</v>
      </c>
      <c r="BA37" t="n">
        <v>14</v>
      </c>
      <c r="BB37" t="n">
        <v>14</v>
      </c>
      <c r="BC37" t="n">
        <v>3200</v>
      </c>
      <c r="BD37" t="inlineStr">
        <is>
          <t>Yes</t>
        </is>
      </c>
      <c r="BE37" t="inlineStr">
        <is>
          <t>FMC/RFLED/40792</t>
        </is>
      </c>
      <c r="BF37" t="inlineStr">
        <is>
          <t>ARTHA SHIPPING</t>
        </is>
      </c>
      <c r="BG37" t="inlineStr">
        <is>
          <t>RULED</t>
        </is>
      </c>
      <c r="BH37" t="n">
        <v>1</v>
      </c>
      <c r="BI37" t="n">
        <v>0</v>
      </c>
      <c r="BJ37" t="n">
        <v>3200</v>
      </c>
      <c r="BK37" t="inlineStr">
        <is>
          <t>LINE</t>
        </is>
      </c>
      <c r="BL37" t="inlineStr">
        <is>
          <t>MARLIN REEFER</t>
        </is>
      </c>
      <c r="BM37" t="inlineStr">
        <is>
          <t>MARLIN REEFER</t>
        </is>
      </c>
    </row>
    <row r="38">
      <c r="A38" t="n">
        <v>37</v>
      </c>
      <c r="B38" t="inlineStr">
        <is>
          <t>COYOTE DRY</t>
        </is>
      </c>
      <c r="C38" t="inlineStr">
        <is>
          <t>REF000000</t>
        </is>
      </c>
      <c r="D38" t="inlineStr">
        <is>
          <t>REF000000</t>
        </is>
      </c>
      <c r="E38" t="inlineStr">
        <is>
          <t>11-DEC-2025</t>
        </is>
      </c>
      <c r="F38" t="inlineStr">
        <is>
          <t>COYOTE DRY</t>
        </is>
      </c>
      <c r="G38" t="inlineStr">
        <is>
          <t>PREPAID</t>
        </is>
      </c>
      <c r="H38" t="inlineStr">
        <is>
          <t>Regional Operations_UNIMAR</t>
        </is>
      </c>
      <c r="J38" t="n">
        <v>46037</v>
      </c>
      <c r="K38" t="n">
        <v>46033</v>
      </c>
      <c r="L38" t="n">
        <v>46037</v>
      </c>
      <c r="M38" t="inlineStr">
        <is>
          <t>REF000000</t>
        </is>
      </c>
      <c r="N38" t="inlineStr">
        <is>
          <t>USNFK</t>
        </is>
      </c>
      <c r="O38" t="inlineStr">
        <is>
          <t>USNFK</t>
        </is>
      </c>
      <c r="P38" t="inlineStr">
        <is>
          <t>RULED</t>
        </is>
      </c>
      <c r="U38" t="inlineStr">
        <is>
          <t>RULED</t>
        </is>
      </c>
      <c r="V38" t="inlineStr">
        <is>
          <t>RULED</t>
        </is>
      </c>
      <c r="W38" t="inlineStr">
        <is>
          <t>UNITED STATES</t>
        </is>
      </c>
      <c r="X38" t="inlineStr">
        <is>
          <t>Latin America</t>
        </is>
      </c>
      <c r="Y38" t="inlineStr">
        <is>
          <t>RUSSIA</t>
        </is>
      </c>
      <c r="Z38" t="inlineStr">
        <is>
          <t>External Review</t>
        </is>
      </c>
      <c r="AA38" t="inlineStr">
        <is>
          <t>HUB SHIPPING LLC-LED</t>
        </is>
      </c>
      <c r="AB38" t="inlineStr">
        <is>
          <t>Prepaid</t>
        </is>
      </c>
      <c r="AC38" t="inlineStr">
        <is>
          <t>MERCURY/25016E</t>
        </is>
      </c>
      <c r="AE38" t="inlineStr">
        <is>
          <t>LADEN BOOKING</t>
        </is>
      </c>
      <c r="AF38" t="inlineStr">
        <is>
          <t>Maria Jessica Da Si</t>
        </is>
      </c>
      <c r="AG38" t="inlineStr">
        <is>
          <t>DC20</t>
        </is>
      </c>
      <c r="AH38" t="inlineStr">
        <is>
          <t>NO</t>
        </is>
      </c>
      <c r="AI38" t="n">
        <v>20</v>
      </c>
      <c r="AJ38" t="n">
        <v>1</v>
      </c>
      <c r="AK38" t="n">
        <v>0</v>
      </c>
      <c r="AL38" t="inlineStr">
        <is>
          <t>ANON0000000</t>
        </is>
      </c>
      <c r="AP38" t="inlineStr">
        <is>
          <t>Non Haz</t>
        </is>
      </c>
      <c r="AQ38" t="inlineStr">
        <is>
          <t>CY/CY</t>
        </is>
      </c>
      <c r="AT38" t="inlineStr">
        <is>
          <t>REF000000</t>
        </is>
      </c>
      <c r="AU38" t="n">
        <v>22000</v>
      </c>
      <c r="AV38" t="inlineStr">
        <is>
          <t>GENERAL COMMODITY</t>
        </is>
      </c>
      <c r="AX38" t="inlineStr">
        <is>
          <t>MRG368669</t>
        </is>
      </c>
      <c r="AY38" t="inlineStr">
        <is>
          <t>LINE</t>
        </is>
      </c>
      <c r="AZ38" t="n">
        <v>0</v>
      </c>
      <c r="BA38" t="n">
        <v>14</v>
      </c>
      <c r="BB38" t="n">
        <v>14</v>
      </c>
      <c r="BC38" t="n">
        <v>3200</v>
      </c>
      <c r="BD38" t="inlineStr">
        <is>
          <t>No</t>
        </is>
      </c>
      <c r="BF38" t="inlineStr">
        <is>
          <t>ARTHA SHIPPING</t>
        </is>
      </c>
      <c r="BG38" t="inlineStr">
        <is>
          <t>USNFK</t>
        </is>
      </c>
      <c r="BH38" t="n">
        <v>1</v>
      </c>
      <c r="BI38" t="n">
        <v>0</v>
      </c>
      <c r="BJ38" t="n">
        <v>3200</v>
      </c>
      <c r="BK38" t="inlineStr">
        <is>
          <t>LINE</t>
        </is>
      </c>
      <c r="BL38" t="inlineStr">
        <is>
          <t>COYOTE DRY</t>
        </is>
      </c>
      <c r="BM38" t="inlineStr">
        <is>
          <t>COYOTE DRY</t>
        </is>
      </c>
    </row>
    <row r="39">
      <c r="A39" t="n">
        <v>38</v>
      </c>
      <c r="B39" t="inlineStr">
        <is>
          <t>FALCON DRY</t>
        </is>
      </c>
      <c r="C39" t="inlineStr">
        <is>
          <t>REF000000</t>
        </is>
      </c>
      <c r="D39" t="inlineStr">
        <is>
          <t>REF000000</t>
        </is>
      </c>
      <c r="E39" t="inlineStr">
        <is>
          <t>11-DEC-2025</t>
        </is>
      </c>
      <c r="F39" t="inlineStr">
        <is>
          <t>FALCON DRY</t>
        </is>
      </c>
      <c r="G39" t="inlineStr">
        <is>
          <t>PREPAID</t>
        </is>
      </c>
      <c r="H39" t="inlineStr">
        <is>
          <t>Diego</t>
        </is>
      </c>
      <c r="J39" t="n">
        <v>46037</v>
      </c>
      <c r="K39" t="n">
        <v>46033</v>
      </c>
      <c r="L39" t="n">
        <v>46037</v>
      </c>
      <c r="M39" t="inlineStr">
        <is>
          <t>REF000000</t>
        </is>
      </c>
      <c r="N39" t="inlineStr">
        <is>
          <t>USNFK</t>
        </is>
      </c>
      <c r="O39" t="inlineStr">
        <is>
          <t>USNFK</t>
        </is>
      </c>
      <c r="P39" t="inlineStr">
        <is>
          <t>RULED</t>
        </is>
      </c>
      <c r="U39" t="inlineStr">
        <is>
          <t>RULED</t>
        </is>
      </c>
      <c r="V39" t="inlineStr">
        <is>
          <t>RULED</t>
        </is>
      </c>
      <c r="W39" t="inlineStr">
        <is>
          <t>UNITED STATES</t>
        </is>
      </c>
      <c r="X39" t="inlineStr">
        <is>
          <t>Latin America</t>
        </is>
      </c>
      <c r="Y39" t="inlineStr">
        <is>
          <t>RUSSIA</t>
        </is>
      </c>
      <c r="Z39" t="inlineStr">
        <is>
          <t>External Review</t>
        </is>
      </c>
      <c r="AA39" t="inlineStr">
        <is>
          <t>HUB SHIPPING LLC-LED</t>
        </is>
      </c>
      <c r="AB39" t="inlineStr">
        <is>
          <t>Prepaid</t>
        </is>
      </c>
      <c r="AC39" t="inlineStr">
        <is>
          <t>MERCURY/25016E</t>
        </is>
      </c>
      <c r="AE39" t="inlineStr">
        <is>
          <t>LADEN BOOKING</t>
        </is>
      </c>
      <c r="AF39" t="inlineStr">
        <is>
          <t>Maria Jessica Da Si</t>
        </is>
      </c>
      <c r="AG39" t="inlineStr">
        <is>
          <t>DC20</t>
        </is>
      </c>
      <c r="AH39" t="inlineStr">
        <is>
          <t>NO</t>
        </is>
      </c>
      <c r="AI39" t="n">
        <v>20</v>
      </c>
      <c r="AJ39" t="n">
        <v>1</v>
      </c>
      <c r="AK39" t="n">
        <v>0</v>
      </c>
      <c r="AL39" t="inlineStr">
        <is>
          <t>ANON0000000</t>
        </is>
      </c>
      <c r="AP39" t="inlineStr">
        <is>
          <t>Non Haz</t>
        </is>
      </c>
      <c r="AQ39" t="inlineStr">
        <is>
          <t>CY/CY</t>
        </is>
      </c>
      <c r="AT39" t="inlineStr">
        <is>
          <t>REF000000</t>
        </is>
      </c>
      <c r="AU39" t="n">
        <v>19200</v>
      </c>
      <c r="AV39" t="inlineStr">
        <is>
          <t>GENERAL COMMODITY</t>
        </is>
      </c>
      <c r="AX39" t="inlineStr">
        <is>
          <t>MRG368669</t>
        </is>
      </c>
      <c r="AY39" t="inlineStr">
        <is>
          <t>LINE</t>
        </is>
      </c>
      <c r="AZ39" t="n">
        <v>0</v>
      </c>
      <c r="BA39" t="n">
        <v>14</v>
      </c>
      <c r="BB39" t="n">
        <v>14</v>
      </c>
      <c r="BC39" t="n">
        <v>3200</v>
      </c>
      <c r="BD39" t="inlineStr">
        <is>
          <t>No</t>
        </is>
      </c>
      <c r="BF39" t="inlineStr">
        <is>
          <t>ARTHA SHIPPING</t>
        </is>
      </c>
      <c r="BG39" t="inlineStr">
        <is>
          <t>USNFK</t>
        </is>
      </c>
      <c r="BH39" t="n">
        <v>1</v>
      </c>
      <c r="BI39" t="n">
        <v>0</v>
      </c>
      <c r="BJ39" t="n">
        <v>3200</v>
      </c>
      <c r="BK39" t="inlineStr">
        <is>
          <t>LINE</t>
        </is>
      </c>
      <c r="BL39" t="inlineStr">
        <is>
          <t>FALCON DRY</t>
        </is>
      </c>
      <c r="BM39" t="inlineStr">
        <is>
          <t>FALCON DRY</t>
        </is>
      </c>
    </row>
    <row r="40">
      <c r="A40" t="n">
        <v>39</v>
      </c>
      <c r="B40" t="inlineStr">
        <is>
          <t>WOLF DRY</t>
        </is>
      </c>
      <c r="C40" t="inlineStr">
        <is>
          <t>REF000000</t>
        </is>
      </c>
      <c r="D40" t="inlineStr">
        <is>
          <t>REF000000</t>
        </is>
      </c>
      <c r="E40" t="inlineStr">
        <is>
          <t>11-DEC-2025</t>
        </is>
      </c>
      <c r="F40" t="inlineStr">
        <is>
          <t>WOLF DRY</t>
        </is>
      </c>
      <c r="G40" t="inlineStr">
        <is>
          <t>PREPAID FOODGRADE</t>
        </is>
      </c>
      <c r="H40" t="inlineStr">
        <is>
          <t>Diego</t>
        </is>
      </c>
      <c r="J40" t="n">
        <v>46037</v>
      </c>
      <c r="K40" t="n">
        <v>46033</v>
      </c>
      <c r="L40" t="n">
        <v>46037</v>
      </c>
      <c r="M40" t="inlineStr">
        <is>
          <t>REF000000</t>
        </is>
      </c>
      <c r="N40" t="inlineStr">
        <is>
          <t>USNFK</t>
        </is>
      </c>
      <c r="O40" t="inlineStr">
        <is>
          <t>USNFK</t>
        </is>
      </c>
      <c r="P40" t="inlineStr">
        <is>
          <t>RULED</t>
        </is>
      </c>
      <c r="U40" t="inlineStr">
        <is>
          <t>RULED</t>
        </is>
      </c>
      <c r="V40" t="inlineStr">
        <is>
          <t>RULED</t>
        </is>
      </c>
      <c r="W40" t="inlineStr">
        <is>
          <t>UNITED STATES</t>
        </is>
      </c>
      <c r="X40" t="inlineStr">
        <is>
          <t>Latin America</t>
        </is>
      </c>
      <c r="Y40" t="inlineStr">
        <is>
          <t>RUSSIA</t>
        </is>
      </c>
      <c r="Z40" t="inlineStr">
        <is>
          <t>External Review</t>
        </is>
      </c>
      <c r="AA40" t="inlineStr">
        <is>
          <t>HUB SHIPPING LLC-LED</t>
        </is>
      </c>
      <c r="AB40" t="inlineStr">
        <is>
          <t>Prepaid</t>
        </is>
      </c>
      <c r="AC40" t="inlineStr">
        <is>
          <t>MERCURY/25016E</t>
        </is>
      </c>
      <c r="AE40" t="inlineStr">
        <is>
          <t>LADEN BOOKING</t>
        </is>
      </c>
      <c r="AF40" t="inlineStr">
        <is>
          <t>Maria Jessica Da Si</t>
        </is>
      </c>
      <c r="AG40" t="inlineStr">
        <is>
          <t>DC20</t>
        </is>
      </c>
      <c r="AH40" t="inlineStr">
        <is>
          <t>NO</t>
        </is>
      </c>
      <c r="AI40" t="n">
        <v>20</v>
      </c>
      <c r="AJ40" t="n">
        <v>1</v>
      </c>
      <c r="AK40" t="n">
        <v>0</v>
      </c>
      <c r="AL40" t="inlineStr">
        <is>
          <t>ANON0000000</t>
        </is>
      </c>
      <c r="AP40" t="inlineStr">
        <is>
          <t>Non Haz</t>
        </is>
      </c>
      <c r="AQ40" t="inlineStr">
        <is>
          <t>CY/CY</t>
        </is>
      </c>
      <c r="AT40" t="inlineStr">
        <is>
          <t>REF000000</t>
        </is>
      </c>
      <c r="AU40" t="n">
        <v>19200</v>
      </c>
      <c r="AV40" t="inlineStr">
        <is>
          <t>GENERAL COMMODITY</t>
        </is>
      </c>
      <c r="AX40" t="inlineStr">
        <is>
          <t>MRG368669</t>
        </is>
      </c>
      <c r="AY40" t="inlineStr">
        <is>
          <t>LINE</t>
        </is>
      </c>
      <c r="AZ40" t="n">
        <v>0</v>
      </c>
      <c r="BA40" t="n">
        <v>14</v>
      </c>
      <c r="BB40" t="n">
        <v>14</v>
      </c>
      <c r="BC40" t="n">
        <v>3200</v>
      </c>
      <c r="BD40" t="inlineStr">
        <is>
          <t>No</t>
        </is>
      </c>
      <c r="BF40" t="inlineStr">
        <is>
          <t>ARTHA SHIPPING</t>
        </is>
      </c>
      <c r="BG40" t="inlineStr">
        <is>
          <t>USNFK</t>
        </is>
      </c>
      <c r="BH40" t="n">
        <v>1</v>
      </c>
      <c r="BI40" t="n">
        <v>0</v>
      </c>
      <c r="BJ40" t="n">
        <v>3200</v>
      </c>
      <c r="BK40" t="inlineStr">
        <is>
          <t>LINE</t>
        </is>
      </c>
      <c r="BL40" t="inlineStr">
        <is>
          <t>WOLF DRY</t>
        </is>
      </c>
      <c r="BM40" t="inlineStr">
        <is>
          <t>WOLF DRY</t>
        </is>
      </c>
    </row>
    <row r="41">
      <c r="A41" t="n">
        <v>40</v>
      </c>
      <c r="B41" t="inlineStr">
        <is>
          <t>SEAL REEFER</t>
        </is>
      </c>
      <c r="C41" t="inlineStr">
        <is>
          <t>REF000000</t>
        </is>
      </c>
      <c r="D41" t="inlineStr">
        <is>
          <t>REF000000</t>
        </is>
      </c>
      <c r="E41" t="inlineStr">
        <is>
          <t>12-DEC-2025</t>
        </is>
      </c>
      <c r="F41" t="inlineStr">
        <is>
          <t>SEAL REEFER</t>
        </is>
      </c>
      <c r="G41" t="inlineStr">
        <is>
          <t>PREPAID ABROAD</t>
        </is>
      </c>
      <c r="H41" t="inlineStr">
        <is>
          <t>Regional Operations_UNIMAR</t>
        </is>
      </c>
      <c r="J41" t="n">
        <v>46032</v>
      </c>
      <c r="K41" t="n">
        <v>46031</v>
      </c>
      <c r="L41" t="n">
        <v>46032</v>
      </c>
      <c r="M41" t="inlineStr">
        <is>
          <t>REF000000</t>
        </is>
      </c>
      <c r="N41" t="inlineStr">
        <is>
          <t>USHOU</t>
        </is>
      </c>
      <c r="O41" t="inlineStr">
        <is>
          <t>USHOU</t>
        </is>
      </c>
      <c r="P41" t="inlineStr">
        <is>
          <t>RUBLT</t>
        </is>
      </c>
      <c r="U41" t="inlineStr">
        <is>
          <t>RUBLT</t>
        </is>
      </c>
      <c r="V41" t="inlineStr">
        <is>
          <t>RUBLT</t>
        </is>
      </c>
      <c r="W41" t="inlineStr">
        <is>
          <t>UNITED STATES</t>
        </is>
      </c>
      <c r="X41" t="inlineStr">
        <is>
          <t>Latin America</t>
        </is>
      </c>
      <c r="Y41" t="inlineStr">
        <is>
          <t>RUSSIA</t>
        </is>
      </c>
      <c r="Z41" t="inlineStr">
        <is>
          <t>External Review</t>
        </is>
      </c>
      <c r="AA41" t="inlineStr">
        <is>
          <t>HUB Shipping-Kaliningrad</t>
        </is>
      </c>
      <c r="AB41" t="inlineStr">
        <is>
          <t>Prepaid</t>
        </is>
      </c>
      <c r="AC41" t="inlineStr">
        <is>
          <t>MERCURY/25016E</t>
        </is>
      </c>
      <c r="AD41" t="inlineStr">
        <is>
          <t>SPARTA / SP1010109SB</t>
        </is>
      </c>
      <c r="AE41" t="inlineStr">
        <is>
          <t>LADEN BOOKING</t>
        </is>
      </c>
      <c r="AF41" t="inlineStr">
        <is>
          <t>Joao Ribeiro</t>
        </is>
      </c>
      <c r="AG41" t="inlineStr">
        <is>
          <t>RH40</t>
        </is>
      </c>
      <c r="AH41" t="inlineStr">
        <is>
          <t>NO</t>
        </is>
      </c>
      <c r="AI41" t="n">
        <v>40</v>
      </c>
      <c r="AJ41" t="n">
        <v>0</v>
      </c>
      <c r="AK41" t="n">
        <v>5</v>
      </c>
      <c r="AL41" t="inlineStr">
        <is>
          <t>ANON0000000,
ANON0000000,
ANON0000000,
ANON0000000,
ANON0000000</t>
        </is>
      </c>
      <c r="AM41" t="inlineStr">
        <is>
          <t>-22,22,22,22</t>
        </is>
      </c>
      <c r="AP41" t="inlineStr">
        <is>
          <t>Non Haz</t>
        </is>
      </c>
      <c r="AQ41" t="inlineStr">
        <is>
          <t>CY/CY</t>
        </is>
      </c>
      <c r="AT41" t="inlineStr">
        <is>
          <t>REF000000,
REF000000,
REF000000,
REF000000,
REF000000</t>
        </is>
      </c>
      <c r="AU41" t="n">
        <v>28000</v>
      </c>
      <c r="AV41" t="inlineStr">
        <is>
          <t>FROZEN MEAT</t>
        </is>
      </c>
      <c r="AX41" t="inlineStr">
        <is>
          <t>RSUAM072500007</t>
        </is>
      </c>
      <c r="AZ41" t="n">
        <v>0</v>
      </c>
      <c r="BA41" t="n">
        <v>21</v>
      </c>
      <c r="BB41" t="n">
        <v>15</v>
      </c>
      <c r="BC41" t="n">
        <v>9600</v>
      </c>
      <c r="BD41" t="inlineStr">
        <is>
          <t>No</t>
        </is>
      </c>
      <c r="BF41" t="inlineStr">
        <is>
          <t>ARTHA SHIPPING</t>
        </is>
      </c>
      <c r="BG41" t="inlineStr">
        <is>
          <t>USHOU</t>
        </is>
      </c>
      <c r="BH41" t="n">
        <v>0</v>
      </c>
      <c r="BI41" t="n">
        <v>5</v>
      </c>
      <c r="BJ41" t="n">
        <v>48000</v>
      </c>
      <c r="BK41" t="inlineStr">
        <is>
          <t>LINE</t>
        </is>
      </c>
      <c r="BL41" t="inlineStr">
        <is>
          <t>SEAL REEFER</t>
        </is>
      </c>
      <c r="BM41" t="inlineStr">
        <is>
          <t>SEAL REEFER</t>
        </is>
      </c>
    </row>
    <row r="42">
      <c r="A42" t="n">
        <v>41</v>
      </c>
      <c r="B42" t="inlineStr">
        <is>
          <t>SHARK REEFER</t>
        </is>
      </c>
      <c r="C42" t="inlineStr">
        <is>
          <t>REF000000</t>
        </is>
      </c>
      <c r="D42" t="inlineStr">
        <is>
          <t>REF000000</t>
        </is>
      </c>
      <c r="E42" t="inlineStr">
        <is>
          <t>12-DEC-2025</t>
        </is>
      </c>
      <c r="F42" t="inlineStr">
        <is>
          <t>SHARK REEFER</t>
        </is>
      </c>
      <c r="G42" t="inlineStr">
        <is>
          <t>PREPAID</t>
        </is>
      </c>
      <c r="H42" t="inlineStr">
        <is>
          <t>Diego</t>
        </is>
      </c>
      <c r="J42" t="n">
        <v>46029</v>
      </c>
      <c r="K42" t="n">
        <v>46029</v>
      </c>
      <c r="L42" t="n">
        <v>46029</v>
      </c>
      <c r="M42" t="inlineStr">
        <is>
          <t>REF000000</t>
        </is>
      </c>
      <c r="N42" t="inlineStr">
        <is>
          <t>USNYC</t>
        </is>
      </c>
      <c r="O42" t="inlineStr">
        <is>
          <t>USNYC</t>
        </is>
      </c>
      <c r="P42" t="inlineStr">
        <is>
          <t>RUBLT</t>
        </is>
      </c>
      <c r="U42" t="inlineStr">
        <is>
          <t>RUBLT</t>
        </is>
      </c>
      <c r="V42" t="inlineStr">
        <is>
          <t>RUBLT</t>
        </is>
      </c>
      <c r="W42" t="inlineStr">
        <is>
          <t>UNITED STATES</t>
        </is>
      </c>
      <c r="X42" t="inlineStr">
        <is>
          <t>Latin America</t>
        </is>
      </c>
      <c r="Y42" t="inlineStr">
        <is>
          <t>RUSSIA</t>
        </is>
      </c>
      <c r="Z42" t="inlineStr">
        <is>
          <t>External Review</t>
        </is>
      </c>
      <c r="AA42" t="inlineStr">
        <is>
          <t>HUB Shipping-Kaliningrad</t>
        </is>
      </c>
      <c r="AB42" t="inlineStr">
        <is>
          <t>Prepaid</t>
        </is>
      </c>
      <c r="AC42" t="inlineStr">
        <is>
          <t>MERCURY/25016E</t>
        </is>
      </c>
      <c r="AD42" t="inlineStr">
        <is>
          <t>SPARTA / SP1010109SB</t>
        </is>
      </c>
      <c r="AE42" t="inlineStr">
        <is>
          <t>LADEN BOOKING</t>
        </is>
      </c>
      <c r="AF42" t="inlineStr">
        <is>
          <t>Joao Ribeiro</t>
        </is>
      </c>
      <c r="AG42" t="inlineStr">
        <is>
          <t>RH40</t>
        </is>
      </c>
      <c r="AH42" t="inlineStr">
        <is>
          <t>NO</t>
        </is>
      </c>
      <c r="AI42" t="n">
        <v>40</v>
      </c>
      <c r="AJ42" t="n">
        <v>0</v>
      </c>
      <c r="AK42" t="n">
        <v>1</v>
      </c>
      <c r="AL42" t="inlineStr">
        <is>
          <t>ANON0000000</t>
        </is>
      </c>
      <c r="AM42" t="n">
        <v>-22</v>
      </c>
      <c r="AP42" t="inlineStr">
        <is>
          <t>Non Haz</t>
        </is>
      </c>
      <c r="AQ42" t="inlineStr">
        <is>
          <t>CY/CY</t>
        </is>
      </c>
      <c r="AT42" t="inlineStr">
        <is>
          <t>REF000000</t>
        </is>
      </c>
      <c r="AU42" t="n">
        <v>28000</v>
      </c>
      <c r="AV42" t="inlineStr">
        <is>
          <t>FROZEN MEAT &amp; FRUIT PULP</t>
        </is>
      </c>
      <c r="AX42" t="inlineStr">
        <is>
          <t>RSUAM112500005</t>
        </is>
      </c>
      <c r="AZ42" t="n">
        <v>0</v>
      </c>
      <c r="BA42" t="n">
        <v>25</v>
      </c>
      <c r="BB42" t="n">
        <v>15</v>
      </c>
      <c r="BC42" t="n">
        <v>8600</v>
      </c>
      <c r="BD42" t="inlineStr">
        <is>
          <t>No</t>
        </is>
      </c>
      <c r="BF42" t="inlineStr">
        <is>
          <t>ARTHA SHIPPING</t>
        </is>
      </c>
      <c r="BG42" t="inlineStr">
        <is>
          <t>USNYC</t>
        </is>
      </c>
      <c r="BH42" t="n">
        <v>0</v>
      </c>
      <c r="BI42" t="n">
        <v>1</v>
      </c>
      <c r="BJ42" t="n">
        <v>8600</v>
      </c>
      <c r="BK42" t="inlineStr">
        <is>
          <t>LINE</t>
        </is>
      </c>
      <c r="BL42" t="inlineStr">
        <is>
          <t>SHARK REEFER</t>
        </is>
      </c>
      <c r="BM42" t="inlineStr">
        <is>
          <t>SHARK REEFER</t>
        </is>
      </c>
    </row>
    <row r="43">
      <c r="A43" t="n">
        <v>42</v>
      </c>
      <c r="B43" t="inlineStr">
        <is>
          <t>BISON DRY</t>
        </is>
      </c>
      <c r="C43" t="inlineStr">
        <is>
          <t>REF000000</t>
        </is>
      </c>
      <c r="D43" t="inlineStr">
        <is>
          <t>REF000000</t>
        </is>
      </c>
      <c r="E43" t="inlineStr">
        <is>
          <t>15-DEC-2025</t>
        </is>
      </c>
      <c r="F43" t="inlineStr">
        <is>
          <t>BISON DRY</t>
        </is>
      </c>
      <c r="H43" t="inlineStr">
        <is>
          <t>AdminUAM</t>
        </is>
      </c>
      <c r="J43" t="n">
        <v>46037</v>
      </c>
      <c r="K43" t="n">
        <v>46033</v>
      </c>
      <c r="L43" t="n">
        <v>46037</v>
      </c>
      <c r="M43" t="inlineStr">
        <is>
          <t>REF000000</t>
        </is>
      </c>
      <c r="N43" t="inlineStr">
        <is>
          <t>USNFK</t>
        </is>
      </c>
      <c r="O43" t="inlineStr">
        <is>
          <t>USNFK</t>
        </is>
      </c>
      <c r="P43" t="inlineStr">
        <is>
          <t>RULED</t>
        </is>
      </c>
      <c r="U43" t="inlineStr">
        <is>
          <t>RULED</t>
        </is>
      </c>
      <c r="V43" t="inlineStr">
        <is>
          <t>RULED</t>
        </is>
      </c>
      <c r="W43" t="inlineStr">
        <is>
          <t>UNITED STATES</t>
        </is>
      </c>
      <c r="X43" t="inlineStr">
        <is>
          <t>Latin America</t>
        </is>
      </c>
      <c r="Y43" t="inlineStr">
        <is>
          <t>RUSSIA</t>
        </is>
      </c>
      <c r="Z43" t="inlineStr">
        <is>
          <t>External Review</t>
        </is>
      </c>
      <c r="AA43" t="inlineStr">
        <is>
          <t>HUB SHIPPING LLC-LED</t>
        </is>
      </c>
      <c r="AB43" t="inlineStr">
        <is>
          <t>Collect</t>
        </is>
      </c>
      <c r="AC43" t="inlineStr">
        <is>
          <t>MERCURY/25016E</t>
        </is>
      </c>
      <c r="AE43" t="inlineStr">
        <is>
          <t>LADEN BOOKING</t>
        </is>
      </c>
      <c r="AF43" t="inlineStr">
        <is>
          <t>RenniUAM</t>
        </is>
      </c>
      <c r="AG43" t="inlineStr">
        <is>
          <t>DC20</t>
        </is>
      </c>
      <c r="AH43" t="inlineStr">
        <is>
          <t>NO</t>
        </is>
      </c>
      <c r="AI43" t="n">
        <v>20</v>
      </c>
      <c r="AJ43" t="n">
        <v>1</v>
      </c>
      <c r="AK43" t="n">
        <v>0</v>
      </c>
      <c r="AL43" t="inlineStr">
        <is>
          <t>ANON0000000</t>
        </is>
      </c>
      <c r="AP43" t="inlineStr">
        <is>
          <t>Non Haz</t>
        </is>
      </c>
      <c r="AQ43" t="inlineStr">
        <is>
          <t>CY/CY</t>
        </is>
      </c>
      <c r="AT43" t="inlineStr">
        <is>
          <t>REF000000</t>
        </is>
      </c>
      <c r="AU43" t="n">
        <v>23000</v>
      </c>
      <c r="AV43" t="inlineStr">
        <is>
          <t>GENERAL COMMODITY</t>
        </is>
      </c>
      <c r="AX43" t="inlineStr">
        <is>
          <t>RSUAM122500029</t>
        </is>
      </c>
      <c r="AZ43" t="n">
        <v>0</v>
      </c>
      <c r="BA43" t="n">
        <v>10</v>
      </c>
      <c r="BB43" t="n">
        <v>14</v>
      </c>
      <c r="BC43" t="n">
        <v>2750</v>
      </c>
      <c r="BD43" t="inlineStr">
        <is>
          <t>Yes</t>
        </is>
      </c>
      <c r="BF43" t="inlineStr">
        <is>
          <t>ARTHA SHIPPING</t>
        </is>
      </c>
      <c r="BG43" t="inlineStr">
        <is>
          <t>RULED</t>
        </is>
      </c>
      <c r="BH43" t="n">
        <v>1</v>
      </c>
      <c r="BI43" t="n">
        <v>0</v>
      </c>
      <c r="BJ43" t="n">
        <v>2750</v>
      </c>
      <c r="BK43" t="inlineStr">
        <is>
          <t>LINE</t>
        </is>
      </c>
      <c r="BL43" t="inlineStr">
        <is>
          <t>BISON DRY</t>
        </is>
      </c>
      <c r="BM43" t="inlineStr">
        <is>
          <t>BISON DRY</t>
        </is>
      </c>
    </row>
    <row r="44">
      <c r="A44" t="n">
        <v>43</v>
      </c>
      <c r="B44" t="inlineStr">
        <is>
          <t>MARLIN REEFER</t>
        </is>
      </c>
      <c r="C44" t="inlineStr">
        <is>
          <t>REF000000</t>
        </is>
      </c>
      <c r="D44" t="inlineStr">
        <is>
          <t>REF000000</t>
        </is>
      </c>
      <c r="E44" t="inlineStr">
        <is>
          <t>15-DEC-2025</t>
        </is>
      </c>
      <c r="F44" t="inlineStr">
        <is>
          <t>MARLIN REEFER</t>
        </is>
      </c>
      <c r="G44" t="inlineStr">
        <is>
          <t>PREPAID ABROAD</t>
        </is>
      </c>
      <c r="H44" t="inlineStr">
        <is>
          <t>Regional Operations_UNIMAR</t>
        </is>
      </c>
      <c r="J44" t="n">
        <v>46029</v>
      </c>
      <c r="K44" t="n">
        <v>46029</v>
      </c>
      <c r="L44" t="n">
        <v>46029</v>
      </c>
      <c r="M44" t="inlineStr">
        <is>
          <t>REF000000</t>
        </is>
      </c>
      <c r="N44" t="inlineStr">
        <is>
          <t>USNYC</t>
        </is>
      </c>
      <c r="O44" t="inlineStr">
        <is>
          <t>USNYC</t>
        </is>
      </c>
      <c r="P44" t="inlineStr">
        <is>
          <t>RUBLT</t>
        </is>
      </c>
      <c r="U44" t="inlineStr">
        <is>
          <t>RUBLT</t>
        </is>
      </c>
      <c r="V44" t="inlineStr">
        <is>
          <t>RUBLT</t>
        </is>
      </c>
      <c r="W44" t="inlineStr">
        <is>
          <t>UNITED STATES</t>
        </is>
      </c>
      <c r="X44" t="inlineStr">
        <is>
          <t>Latin America</t>
        </is>
      </c>
      <c r="Y44" t="inlineStr">
        <is>
          <t>RUSSIA</t>
        </is>
      </c>
      <c r="Z44" t="inlineStr">
        <is>
          <t>External Review</t>
        </is>
      </c>
      <c r="AA44" t="inlineStr">
        <is>
          <t>HUB Shipping-Kaliningrad</t>
        </is>
      </c>
      <c r="AB44" t="inlineStr">
        <is>
          <t>Prepaid</t>
        </is>
      </c>
      <c r="AC44" t="inlineStr">
        <is>
          <t>MERCURY/25016E</t>
        </is>
      </c>
      <c r="AD44" t="inlineStr">
        <is>
          <t>SPARTA / SP1010109SB</t>
        </is>
      </c>
      <c r="AE44" t="inlineStr">
        <is>
          <t>LADEN BOOKING</t>
        </is>
      </c>
      <c r="AF44" t="inlineStr">
        <is>
          <t>Joao Ribeiro</t>
        </is>
      </c>
      <c r="AG44" t="inlineStr">
        <is>
          <t>RH40</t>
        </is>
      </c>
      <c r="AH44" t="inlineStr">
        <is>
          <t>NO</t>
        </is>
      </c>
      <c r="AI44" t="n">
        <v>40</v>
      </c>
      <c r="AJ44" t="n">
        <v>0</v>
      </c>
      <c r="AK44" t="n">
        <v>1</v>
      </c>
      <c r="AL44" t="inlineStr">
        <is>
          <t>ANON0000000</t>
        </is>
      </c>
      <c r="AM44" t="n">
        <v>-18</v>
      </c>
      <c r="AP44" t="inlineStr">
        <is>
          <t>Non Haz</t>
        </is>
      </c>
      <c r="AQ44" t="inlineStr">
        <is>
          <t>CY/CY</t>
        </is>
      </c>
      <c r="AT44" t="inlineStr">
        <is>
          <t>REF000000</t>
        </is>
      </c>
      <c r="AU44" t="n">
        <v>28000</v>
      </c>
      <c r="AV44" t="inlineStr">
        <is>
          <t>FROZEN MEAT</t>
        </is>
      </c>
      <c r="AX44" t="inlineStr">
        <is>
          <t>RSUAM092500003</t>
        </is>
      </c>
      <c r="AZ44" t="n">
        <v>0</v>
      </c>
      <c r="BA44" t="n">
        <v>25</v>
      </c>
      <c r="BB44" t="n">
        <v>15</v>
      </c>
      <c r="BC44" t="n">
        <v>9350</v>
      </c>
      <c r="BD44" t="inlineStr">
        <is>
          <t>No</t>
        </is>
      </c>
      <c r="BF44" t="inlineStr">
        <is>
          <t>ARTHA SHIPPING</t>
        </is>
      </c>
      <c r="BG44" t="inlineStr">
        <is>
          <t>USNYC</t>
        </is>
      </c>
      <c r="BH44" t="n">
        <v>0</v>
      </c>
      <c r="BI44" t="n">
        <v>1</v>
      </c>
      <c r="BJ44" t="n">
        <v>9350</v>
      </c>
      <c r="BK44" t="inlineStr">
        <is>
          <t>LINE</t>
        </is>
      </c>
      <c r="BL44" t="inlineStr">
        <is>
          <t>MARLIN REEFER</t>
        </is>
      </c>
      <c r="BM44" t="inlineStr">
        <is>
          <t>MARLIN REEFER</t>
        </is>
      </c>
    </row>
    <row r="45">
      <c r="A45" t="n">
        <v>44</v>
      </c>
      <c r="B45" t="inlineStr">
        <is>
          <t>TURTLE REEFER</t>
        </is>
      </c>
      <c r="C45" t="inlineStr">
        <is>
          <t>REF000000</t>
        </is>
      </c>
      <c r="D45" t="inlineStr">
        <is>
          <t>REF000000</t>
        </is>
      </c>
      <c r="E45" t="inlineStr">
        <is>
          <t>15-DEC-2025</t>
        </is>
      </c>
      <c r="F45" t="inlineStr">
        <is>
          <t>TURTLE REEFER</t>
        </is>
      </c>
      <c r="G45" t="inlineStr">
        <is>
          <t>PREPAID ABROAD</t>
        </is>
      </c>
      <c r="H45" t="inlineStr">
        <is>
          <t>Diego</t>
        </is>
      </c>
      <c r="J45" t="n">
        <v>46037</v>
      </c>
      <c r="K45" t="n">
        <v>46033</v>
      </c>
      <c r="L45" t="n">
        <v>46037</v>
      </c>
      <c r="M45" t="inlineStr">
        <is>
          <t>REF000000</t>
        </is>
      </c>
      <c r="N45" t="inlineStr">
        <is>
          <t>USNFK</t>
        </is>
      </c>
      <c r="O45" t="inlineStr">
        <is>
          <t>USNFK</t>
        </is>
      </c>
      <c r="P45" t="inlineStr">
        <is>
          <t>RULED</t>
        </is>
      </c>
      <c r="U45" t="inlineStr">
        <is>
          <t>RULED</t>
        </is>
      </c>
      <c r="V45" t="inlineStr">
        <is>
          <t>RULED</t>
        </is>
      </c>
      <c r="W45" t="inlineStr">
        <is>
          <t>UNITED STATES</t>
        </is>
      </c>
      <c r="X45" t="inlineStr">
        <is>
          <t>Latin America</t>
        </is>
      </c>
      <c r="Y45" t="inlineStr">
        <is>
          <t>RUSSIA</t>
        </is>
      </c>
      <c r="Z45" t="inlineStr">
        <is>
          <t>External Review</t>
        </is>
      </c>
      <c r="AA45" t="inlineStr">
        <is>
          <t>HUB SHIPPING LLC-LED</t>
        </is>
      </c>
      <c r="AB45" t="inlineStr">
        <is>
          <t>Prepaid</t>
        </is>
      </c>
      <c r="AC45" t="inlineStr">
        <is>
          <t>MERCURY/25016E</t>
        </is>
      </c>
      <c r="AE45" t="inlineStr">
        <is>
          <t>LADEN BOOKING</t>
        </is>
      </c>
      <c r="AF45" t="inlineStr">
        <is>
          <t>Joao Ribeiro</t>
        </is>
      </c>
      <c r="AG45" t="inlineStr">
        <is>
          <t>RH40</t>
        </is>
      </c>
      <c r="AH45" t="inlineStr">
        <is>
          <t>NO</t>
        </is>
      </c>
      <c r="AI45" t="n">
        <v>40</v>
      </c>
      <c r="AJ45" t="n">
        <v>0</v>
      </c>
      <c r="AK45" t="n">
        <v>1</v>
      </c>
      <c r="AL45" t="inlineStr">
        <is>
          <t>ANON0000000</t>
        </is>
      </c>
      <c r="AM45" t="n">
        <v>-18</v>
      </c>
      <c r="AP45" t="inlineStr">
        <is>
          <t>Non Haz</t>
        </is>
      </c>
      <c r="AQ45" t="inlineStr">
        <is>
          <t>CY/CY</t>
        </is>
      </c>
      <c r="AT45" t="inlineStr">
        <is>
          <t>REF000000</t>
        </is>
      </c>
      <c r="AU45" t="n">
        <v>28000</v>
      </c>
      <c r="AV45" t="inlineStr">
        <is>
          <t>FROZEN MEAT &amp; FRUIT PULP</t>
        </is>
      </c>
      <c r="AX45" t="inlineStr">
        <is>
          <t>RSUAM112500002</t>
        </is>
      </c>
      <c r="AZ45" t="n">
        <v>5</v>
      </c>
      <c r="BA45" t="n">
        <v>25</v>
      </c>
      <c r="BB45" t="n">
        <v>15</v>
      </c>
      <c r="BC45" t="n">
        <v>7000</v>
      </c>
      <c r="BD45" t="inlineStr">
        <is>
          <t>No</t>
        </is>
      </c>
      <c r="BF45" t="inlineStr">
        <is>
          <t>ARTHA SHIPPING</t>
        </is>
      </c>
      <c r="BG45" t="inlineStr">
        <is>
          <t>USNFK</t>
        </is>
      </c>
      <c r="BH45" t="n">
        <v>0</v>
      </c>
      <c r="BI45" t="n">
        <v>1</v>
      </c>
      <c r="BJ45" t="n">
        <v>7000</v>
      </c>
      <c r="BK45" t="inlineStr">
        <is>
          <t>LINE</t>
        </is>
      </c>
      <c r="BL45" t="inlineStr">
        <is>
          <t>TURTLE REEFER</t>
        </is>
      </c>
      <c r="BM45" t="inlineStr">
        <is>
          <t>TURTLE REEFER</t>
        </is>
      </c>
    </row>
    <row r="46">
      <c r="A46" t="n">
        <v>45</v>
      </c>
      <c r="B46" t="inlineStr">
        <is>
          <t>ORCA REEFER</t>
        </is>
      </c>
      <c r="C46" t="inlineStr">
        <is>
          <t>REF000000</t>
        </is>
      </c>
      <c r="D46" t="inlineStr">
        <is>
          <t>REF000000</t>
        </is>
      </c>
      <c r="E46" t="inlineStr">
        <is>
          <t>15-DEC-2025</t>
        </is>
      </c>
      <c r="F46" t="inlineStr">
        <is>
          <t>ORCA REEFER</t>
        </is>
      </c>
      <c r="G46" t="inlineStr">
        <is>
          <t>PREPAID ABROAD</t>
        </is>
      </c>
      <c r="H46" t="inlineStr">
        <is>
          <t>Diego</t>
        </is>
      </c>
      <c r="J46" t="n">
        <v>46037</v>
      </c>
      <c r="K46" t="n">
        <v>46033</v>
      </c>
      <c r="L46" t="n">
        <v>46037</v>
      </c>
      <c r="M46" t="inlineStr">
        <is>
          <t>REF000000</t>
        </is>
      </c>
      <c r="N46" t="inlineStr">
        <is>
          <t>USNFK</t>
        </is>
      </c>
      <c r="O46" t="inlineStr">
        <is>
          <t>USNFK</t>
        </is>
      </c>
      <c r="P46" t="inlineStr">
        <is>
          <t>RULED</t>
        </is>
      </c>
      <c r="U46" t="inlineStr">
        <is>
          <t>RULED</t>
        </is>
      </c>
      <c r="V46" t="inlineStr">
        <is>
          <t>RULED</t>
        </is>
      </c>
      <c r="W46" t="inlineStr">
        <is>
          <t>UNITED STATES</t>
        </is>
      </c>
      <c r="X46" t="inlineStr">
        <is>
          <t>Latin America</t>
        </is>
      </c>
      <c r="Y46" t="inlineStr">
        <is>
          <t>RUSSIA</t>
        </is>
      </c>
      <c r="Z46" t="inlineStr">
        <is>
          <t>External Review</t>
        </is>
      </c>
      <c r="AA46" t="inlineStr">
        <is>
          <t>HUB SHIPPING LLC-LED</t>
        </is>
      </c>
      <c r="AB46" t="inlineStr">
        <is>
          <t>Prepaid</t>
        </is>
      </c>
      <c r="AC46" t="inlineStr">
        <is>
          <t>MERCURY/25016E</t>
        </is>
      </c>
      <c r="AE46" t="inlineStr">
        <is>
          <t>LADEN BOOKING</t>
        </is>
      </c>
      <c r="AF46" t="inlineStr">
        <is>
          <t>Joao Ribeiro</t>
        </is>
      </c>
      <c r="AG46" t="inlineStr">
        <is>
          <t>RH40</t>
        </is>
      </c>
      <c r="AH46" t="inlineStr">
        <is>
          <t>NO</t>
        </is>
      </c>
      <c r="AI46" t="n">
        <v>40</v>
      </c>
      <c r="AJ46" t="n">
        <v>0</v>
      </c>
      <c r="AK46" t="n">
        <v>1</v>
      </c>
      <c r="AL46" t="inlineStr">
        <is>
          <t>ANON0000000</t>
        </is>
      </c>
      <c r="AM46" t="n">
        <v>-18</v>
      </c>
      <c r="AP46" t="inlineStr">
        <is>
          <t>Non Haz</t>
        </is>
      </c>
      <c r="AQ46" t="inlineStr">
        <is>
          <t>CY/CY</t>
        </is>
      </c>
      <c r="AT46" t="inlineStr">
        <is>
          <t>REF000000</t>
        </is>
      </c>
      <c r="AU46" t="n">
        <v>28000</v>
      </c>
      <c r="AV46" t="inlineStr">
        <is>
          <t>FROZEN MEAT &amp; FRUIT PULP</t>
        </is>
      </c>
      <c r="AX46" t="inlineStr">
        <is>
          <t>RSUAM112500002</t>
        </is>
      </c>
      <c r="AZ46" t="n">
        <v>5</v>
      </c>
      <c r="BA46" t="n">
        <v>25</v>
      </c>
      <c r="BB46" t="n">
        <v>15</v>
      </c>
      <c r="BC46" t="n">
        <v>7000</v>
      </c>
      <c r="BD46" t="inlineStr">
        <is>
          <t>No</t>
        </is>
      </c>
      <c r="BF46" t="inlineStr">
        <is>
          <t>ARTHA SHIPPING</t>
        </is>
      </c>
      <c r="BG46" t="inlineStr">
        <is>
          <t>USNFK</t>
        </is>
      </c>
      <c r="BH46" t="n">
        <v>0</v>
      </c>
      <c r="BI46" t="n">
        <v>1</v>
      </c>
      <c r="BJ46" t="n">
        <v>7000</v>
      </c>
      <c r="BK46" t="inlineStr">
        <is>
          <t>LINE</t>
        </is>
      </c>
      <c r="BL46" t="inlineStr">
        <is>
          <t>ORCA REEFER</t>
        </is>
      </c>
      <c r="BM46" t="inlineStr">
        <is>
          <t>ORCA REEFER</t>
        </is>
      </c>
    </row>
    <row r="47">
      <c r="A47" t="n">
        <v>46</v>
      </c>
      <c r="B47" t="inlineStr">
        <is>
          <t>WOLF DRY</t>
        </is>
      </c>
      <c r="C47" t="inlineStr">
        <is>
          <t>REF000000</t>
        </is>
      </c>
      <c r="D47" t="inlineStr">
        <is>
          <t>REF000000</t>
        </is>
      </c>
      <c r="E47" t="inlineStr">
        <is>
          <t>16-DEC-2025</t>
        </is>
      </c>
      <c r="F47" t="inlineStr">
        <is>
          <t>WOLF DRY</t>
        </is>
      </c>
      <c r="G47" t="inlineStr">
        <is>
          <t>Food Grade</t>
        </is>
      </c>
      <c r="H47" t="inlineStr">
        <is>
          <t>AdminUAM</t>
        </is>
      </c>
      <c r="J47" t="inlineStr">
        <is>
          <t>25-FEB-2026</t>
        </is>
      </c>
      <c r="K47" t="inlineStr">
        <is>
          <t>19-FEB-2026</t>
        </is>
      </c>
      <c r="L47" t="inlineStr">
        <is>
          <t>25-FEB-2026</t>
        </is>
      </c>
      <c r="M47" t="inlineStr">
        <is>
          <t>REF000000</t>
        </is>
      </c>
      <c r="N47" t="inlineStr">
        <is>
          <t>USNFK</t>
        </is>
      </c>
      <c r="O47" t="inlineStr">
        <is>
          <t>USNFK</t>
        </is>
      </c>
      <c r="P47" t="inlineStr">
        <is>
          <t>RULED</t>
        </is>
      </c>
      <c r="U47" t="inlineStr">
        <is>
          <t>RULED</t>
        </is>
      </c>
      <c r="V47" t="inlineStr">
        <is>
          <t>RULED</t>
        </is>
      </c>
      <c r="W47" t="inlineStr">
        <is>
          <t>UNITED STATES</t>
        </is>
      </c>
      <c r="X47" t="inlineStr">
        <is>
          <t>Latin America</t>
        </is>
      </c>
      <c r="Y47" t="inlineStr">
        <is>
          <t>RUSSIA</t>
        </is>
      </c>
      <c r="Z47" t="inlineStr">
        <is>
          <t>External Review</t>
        </is>
      </c>
      <c r="AA47" t="inlineStr">
        <is>
          <t>HUB SHIPPING LLC-LED</t>
        </is>
      </c>
      <c r="AB47" t="inlineStr">
        <is>
          <t>Collect</t>
        </is>
      </c>
      <c r="AC47" t="inlineStr">
        <is>
          <t>LI DA XING/VOYAGE 1</t>
        </is>
      </c>
      <c r="AE47" t="inlineStr">
        <is>
          <t>LADEN BOOKING</t>
        </is>
      </c>
      <c r="AF47" t="inlineStr">
        <is>
          <t>RenniUAM</t>
        </is>
      </c>
      <c r="AG47" t="inlineStr">
        <is>
          <t>HC40</t>
        </is>
      </c>
      <c r="AH47" t="inlineStr">
        <is>
          <t>NO</t>
        </is>
      </c>
      <c r="AI47" t="n">
        <v>40</v>
      </c>
      <c r="AJ47" t="n">
        <v>0</v>
      </c>
      <c r="AK47" t="n">
        <v>2</v>
      </c>
      <c r="AL47" t="inlineStr">
        <is>
          <t>ANON0000000,
ANON0000000</t>
        </is>
      </c>
      <c r="AP47" t="inlineStr">
        <is>
          <t>Non Haz</t>
        </is>
      </c>
      <c r="AQ47" t="inlineStr">
        <is>
          <t>CY/CY</t>
        </is>
      </c>
      <c r="AT47" t="inlineStr">
        <is>
          <t>REF000000</t>
        </is>
      </c>
      <c r="AU47" t="n">
        <v>26000</v>
      </c>
      <c r="AV47" t="inlineStr">
        <is>
          <t>GENERAL COMMODITY</t>
        </is>
      </c>
      <c r="AX47" t="inlineStr">
        <is>
          <t>RSUAM122500027</t>
        </is>
      </c>
      <c r="AZ47" t="n">
        <v>0</v>
      </c>
      <c r="BA47" t="n">
        <v>14</v>
      </c>
      <c r="BB47" t="n">
        <v>14</v>
      </c>
      <c r="BC47" t="n">
        <v>2750</v>
      </c>
      <c r="BD47" t="inlineStr">
        <is>
          <t>Yes</t>
        </is>
      </c>
      <c r="BF47" t="inlineStr">
        <is>
          <t>ARTHA SHIPPING</t>
        </is>
      </c>
      <c r="BG47" t="inlineStr">
        <is>
          <t>RULED</t>
        </is>
      </c>
      <c r="BH47" t="n">
        <v>0</v>
      </c>
      <c r="BI47" t="n">
        <v>2</v>
      </c>
      <c r="BJ47" t="n">
        <v>5500</v>
      </c>
      <c r="BK47" t="inlineStr">
        <is>
          <t>LINE</t>
        </is>
      </c>
      <c r="BL47" t="inlineStr">
        <is>
          <t>WOLF DRY</t>
        </is>
      </c>
      <c r="BM47" t="inlineStr">
        <is>
          <t>WOLF DRY</t>
        </is>
      </c>
    </row>
    <row r="48">
      <c r="A48" t="n">
        <v>47</v>
      </c>
      <c r="B48" t="inlineStr">
        <is>
          <t>DEER DRY</t>
        </is>
      </c>
      <c r="C48" t="inlineStr">
        <is>
          <t>REF000000</t>
        </is>
      </c>
      <c r="D48" t="inlineStr">
        <is>
          <t>REF000000</t>
        </is>
      </c>
      <c r="E48" t="inlineStr">
        <is>
          <t>16-DEC-2025</t>
        </is>
      </c>
      <c r="F48" t="inlineStr">
        <is>
          <t>DEER DRY</t>
        </is>
      </c>
      <c r="G48" t="inlineStr">
        <is>
          <t>FOOD GRADE</t>
        </is>
      </c>
      <c r="H48" t="inlineStr">
        <is>
          <t>AdminUAM</t>
        </is>
      </c>
      <c r="J48" t="n">
        <v>46037</v>
      </c>
      <c r="K48" t="n">
        <v>46033</v>
      </c>
      <c r="L48" t="n">
        <v>46037</v>
      </c>
      <c r="M48" t="inlineStr">
        <is>
          <t>REF000000</t>
        </is>
      </c>
      <c r="N48" t="inlineStr">
        <is>
          <t>USNFK</t>
        </is>
      </c>
      <c r="O48" t="inlineStr">
        <is>
          <t>USNFK</t>
        </is>
      </c>
      <c r="P48" t="inlineStr">
        <is>
          <t>RULED</t>
        </is>
      </c>
      <c r="U48" t="inlineStr">
        <is>
          <t>RULED</t>
        </is>
      </c>
      <c r="V48" t="inlineStr">
        <is>
          <t>RULED</t>
        </is>
      </c>
      <c r="W48" t="inlineStr">
        <is>
          <t>UNITED STATES</t>
        </is>
      </c>
      <c r="X48" t="inlineStr">
        <is>
          <t>Latin America</t>
        </is>
      </c>
      <c r="Y48" t="inlineStr">
        <is>
          <t>RUSSIA</t>
        </is>
      </c>
      <c r="Z48" t="inlineStr">
        <is>
          <t>External Review</t>
        </is>
      </c>
      <c r="AA48" t="inlineStr">
        <is>
          <t>HUB SHIPPING LLC-LED</t>
        </is>
      </c>
      <c r="AB48" t="inlineStr">
        <is>
          <t>Collect</t>
        </is>
      </c>
      <c r="AC48" t="inlineStr">
        <is>
          <t>MERCURY/25016E</t>
        </is>
      </c>
      <c r="AE48" t="inlineStr">
        <is>
          <t>LADEN BOOKING</t>
        </is>
      </c>
      <c r="AF48" t="inlineStr">
        <is>
          <t>RenniUAM</t>
        </is>
      </c>
      <c r="AG48" t="inlineStr">
        <is>
          <t>DC20</t>
        </is>
      </c>
      <c r="AH48" t="inlineStr">
        <is>
          <t>NO</t>
        </is>
      </c>
      <c r="AI48" t="n">
        <v>20</v>
      </c>
      <c r="AJ48" t="n">
        <v>1</v>
      </c>
      <c r="AK48" t="n">
        <v>0</v>
      </c>
      <c r="AL48" t="inlineStr">
        <is>
          <t>ANON0000000</t>
        </is>
      </c>
      <c r="AP48" t="inlineStr">
        <is>
          <t>Non Haz</t>
        </is>
      </c>
      <c r="AQ48" t="inlineStr">
        <is>
          <t>CY/CY</t>
        </is>
      </c>
      <c r="AT48" t="inlineStr">
        <is>
          <t>REF000000</t>
        </is>
      </c>
      <c r="AU48" t="n">
        <v>26000</v>
      </c>
      <c r="AV48" t="inlineStr">
        <is>
          <t>GENERAL COMMODITY</t>
        </is>
      </c>
      <c r="AX48" t="inlineStr">
        <is>
          <t>MRG368669</t>
        </is>
      </c>
      <c r="AY48" t="inlineStr">
        <is>
          <t>LINE</t>
        </is>
      </c>
      <c r="AZ48" t="n">
        <v>0</v>
      </c>
      <c r="BA48" t="n">
        <v>14</v>
      </c>
      <c r="BB48" t="n">
        <v>14</v>
      </c>
      <c r="BC48" t="n">
        <v>3200</v>
      </c>
      <c r="BD48" t="inlineStr">
        <is>
          <t>Yes</t>
        </is>
      </c>
      <c r="BF48" t="inlineStr">
        <is>
          <t>ARTHA SHIPPING</t>
        </is>
      </c>
      <c r="BG48" t="inlineStr">
        <is>
          <t>RULED</t>
        </is>
      </c>
      <c r="BH48" t="n">
        <v>1</v>
      </c>
      <c r="BI48" t="n">
        <v>0</v>
      </c>
      <c r="BJ48" t="n">
        <v>3200</v>
      </c>
      <c r="BK48" t="inlineStr">
        <is>
          <t>LINE</t>
        </is>
      </c>
      <c r="BL48" t="inlineStr">
        <is>
          <t>DEER DRY</t>
        </is>
      </c>
      <c r="BM48" t="inlineStr">
        <is>
          <t>DEER DRY</t>
        </is>
      </c>
    </row>
    <row r="49">
      <c r="A49" t="n">
        <v>48</v>
      </c>
      <c r="B49" t="inlineStr">
        <is>
          <t>FOX DRY</t>
        </is>
      </c>
      <c r="C49" t="inlineStr">
        <is>
          <t>REF000000</t>
        </is>
      </c>
      <c r="D49" t="inlineStr">
        <is>
          <t>REF000000</t>
        </is>
      </c>
      <c r="E49" t="inlineStr">
        <is>
          <t>16-DEC-2025</t>
        </is>
      </c>
      <c r="F49" t="inlineStr">
        <is>
          <t>FOX DRY</t>
        </is>
      </c>
      <c r="G49" t="inlineStr">
        <is>
          <t>FOOD GRADE</t>
        </is>
      </c>
      <c r="H49" t="inlineStr">
        <is>
          <t>AdminUAM</t>
        </is>
      </c>
      <c r="J49" t="n">
        <v>46037</v>
      </c>
      <c r="K49" t="n">
        <v>46033</v>
      </c>
      <c r="L49" t="n">
        <v>46037</v>
      </c>
      <c r="M49" t="inlineStr">
        <is>
          <t>REF000000</t>
        </is>
      </c>
      <c r="N49" t="inlineStr">
        <is>
          <t>USNFK</t>
        </is>
      </c>
      <c r="O49" t="inlineStr">
        <is>
          <t>USNFK</t>
        </is>
      </c>
      <c r="P49" t="inlineStr">
        <is>
          <t>RULED</t>
        </is>
      </c>
      <c r="U49" t="inlineStr">
        <is>
          <t>RULED</t>
        </is>
      </c>
      <c r="V49" t="inlineStr">
        <is>
          <t>RULED</t>
        </is>
      </c>
      <c r="W49" t="inlineStr">
        <is>
          <t>UNITED STATES</t>
        </is>
      </c>
      <c r="X49" t="inlineStr">
        <is>
          <t>Latin America</t>
        </is>
      </c>
      <c r="Y49" t="inlineStr">
        <is>
          <t>RUSSIA</t>
        </is>
      </c>
      <c r="Z49" t="inlineStr">
        <is>
          <t>External Review</t>
        </is>
      </c>
      <c r="AA49" t="inlineStr">
        <is>
          <t>HUB SHIPPING LLC-LED</t>
        </is>
      </c>
      <c r="AB49" t="inlineStr">
        <is>
          <t>Collect</t>
        </is>
      </c>
      <c r="AC49" t="inlineStr">
        <is>
          <t>MERCURY/25016E</t>
        </is>
      </c>
      <c r="AE49" t="inlineStr">
        <is>
          <t>LADEN BOOKING</t>
        </is>
      </c>
      <c r="AF49" t="inlineStr">
        <is>
          <t>RenniUAM</t>
        </is>
      </c>
      <c r="AG49" t="inlineStr">
        <is>
          <t>DC20</t>
        </is>
      </c>
      <c r="AH49" t="inlineStr">
        <is>
          <t>NO</t>
        </is>
      </c>
      <c r="AI49" t="n">
        <v>20</v>
      </c>
      <c r="AJ49" t="n">
        <v>2</v>
      </c>
      <c r="AK49" t="n">
        <v>0</v>
      </c>
      <c r="AL49" t="inlineStr">
        <is>
          <t>ANON0000000,
ANON0000000</t>
        </is>
      </c>
      <c r="AP49" t="inlineStr">
        <is>
          <t>Non Haz</t>
        </is>
      </c>
      <c r="AQ49" t="inlineStr">
        <is>
          <t>CY/CY</t>
        </is>
      </c>
      <c r="AT49" t="inlineStr">
        <is>
          <t>REF000000</t>
        </is>
      </c>
      <c r="AU49" t="n">
        <v>26000</v>
      </c>
      <c r="AV49" t="inlineStr">
        <is>
          <t>GENERAL COMMODITY</t>
        </is>
      </c>
      <c r="AX49" t="inlineStr">
        <is>
          <t>MRG368669</t>
        </is>
      </c>
      <c r="AY49" t="inlineStr">
        <is>
          <t>LINE</t>
        </is>
      </c>
      <c r="AZ49" t="n">
        <v>0</v>
      </c>
      <c r="BA49" t="n">
        <v>14</v>
      </c>
      <c r="BB49" t="n">
        <v>14</v>
      </c>
      <c r="BC49" t="n">
        <v>3200</v>
      </c>
      <c r="BD49" t="inlineStr">
        <is>
          <t>Yes</t>
        </is>
      </c>
      <c r="BF49" t="inlineStr">
        <is>
          <t>ARTHA SHIPPING</t>
        </is>
      </c>
      <c r="BG49" t="inlineStr">
        <is>
          <t>RULED</t>
        </is>
      </c>
      <c r="BH49" t="n">
        <v>2</v>
      </c>
      <c r="BI49" t="n">
        <v>0</v>
      </c>
      <c r="BJ49" t="n">
        <v>6400</v>
      </c>
      <c r="BK49" t="inlineStr">
        <is>
          <t>LINE</t>
        </is>
      </c>
      <c r="BL49" t="inlineStr">
        <is>
          <t>FOX DRY</t>
        </is>
      </c>
      <c r="BM49" t="inlineStr">
        <is>
          <t>FOX DRY</t>
        </is>
      </c>
    </row>
    <row r="50">
      <c r="A50" t="n">
        <v>49</v>
      </c>
      <c r="B50" t="inlineStr">
        <is>
          <t>DOLPHIN REEFER</t>
        </is>
      </c>
      <c r="C50" t="inlineStr">
        <is>
          <t>REF000000</t>
        </is>
      </c>
      <c r="D50" t="inlineStr">
        <is>
          <t>REF000000</t>
        </is>
      </c>
      <c r="E50" t="inlineStr">
        <is>
          <t>17-DEC-2025</t>
        </is>
      </c>
      <c r="F50" t="inlineStr">
        <is>
          <t>DOLPHIN REEFER</t>
        </is>
      </c>
      <c r="G50" t="inlineStr">
        <is>
          <t>PREPAID ABROAD</t>
        </is>
      </c>
      <c r="H50" t="inlineStr">
        <is>
          <t>Regional Operations_UNIMAR</t>
        </is>
      </c>
      <c r="J50" t="n">
        <v>46029</v>
      </c>
      <c r="K50" t="n">
        <v>46029</v>
      </c>
      <c r="L50" t="n">
        <v>46029</v>
      </c>
      <c r="M50" t="inlineStr">
        <is>
          <t>REF000000</t>
        </is>
      </c>
      <c r="N50" t="inlineStr">
        <is>
          <t>USNYC</t>
        </is>
      </c>
      <c r="O50" t="inlineStr">
        <is>
          <t>USNYC</t>
        </is>
      </c>
      <c r="P50" t="inlineStr">
        <is>
          <t>RULED</t>
        </is>
      </c>
      <c r="U50" t="inlineStr">
        <is>
          <t>RULED</t>
        </is>
      </c>
      <c r="V50" t="inlineStr">
        <is>
          <t>RULED</t>
        </is>
      </c>
      <c r="W50" t="inlineStr">
        <is>
          <t>UNITED STATES</t>
        </is>
      </c>
      <c r="X50" t="inlineStr">
        <is>
          <t>Latin America</t>
        </is>
      </c>
      <c r="Y50" t="inlineStr">
        <is>
          <t>RUSSIA</t>
        </is>
      </c>
      <c r="Z50" t="inlineStr">
        <is>
          <t>External Review</t>
        </is>
      </c>
      <c r="AA50" t="inlineStr">
        <is>
          <t>HUB SHIPPING LLC-LED</t>
        </is>
      </c>
      <c r="AB50" t="inlineStr">
        <is>
          <t>Prepaid</t>
        </is>
      </c>
      <c r="AC50" t="inlineStr">
        <is>
          <t>MERCURY/25016E</t>
        </is>
      </c>
      <c r="AE50" t="inlineStr">
        <is>
          <t>LADEN BOOKING</t>
        </is>
      </c>
      <c r="AF50" t="inlineStr">
        <is>
          <t>Joao Ribeiro</t>
        </is>
      </c>
      <c r="AG50" t="inlineStr">
        <is>
          <t>RH40</t>
        </is>
      </c>
      <c r="AH50" t="inlineStr">
        <is>
          <t>NO</t>
        </is>
      </c>
      <c r="AI50" t="n">
        <v>40</v>
      </c>
      <c r="AJ50" t="n">
        <v>0</v>
      </c>
      <c r="AK50" t="n">
        <v>1</v>
      </c>
      <c r="AL50" t="inlineStr">
        <is>
          <t>ANON0000000</t>
        </is>
      </c>
      <c r="AM50" t="n">
        <v>-18</v>
      </c>
      <c r="AP50" t="inlineStr">
        <is>
          <t>Non Haz</t>
        </is>
      </c>
      <c r="AQ50" t="inlineStr">
        <is>
          <t>CY/CY</t>
        </is>
      </c>
      <c r="AT50" t="inlineStr">
        <is>
          <t>REF000000</t>
        </is>
      </c>
      <c r="AU50" t="n">
        <v>28000</v>
      </c>
      <c r="AV50" t="inlineStr">
        <is>
          <t>FROZEN MEAT</t>
        </is>
      </c>
      <c r="AX50" t="inlineStr">
        <is>
          <t>RSUAM112500001</t>
        </is>
      </c>
      <c r="AZ50" t="n">
        <v>0</v>
      </c>
      <c r="BA50" t="n">
        <v>25</v>
      </c>
      <c r="BB50" t="n">
        <v>15</v>
      </c>
      <c r="BC50" t="n">
        <v>8150</v>
      </c>
      <c r="BD50" t="inlineStr">
        <is>
          <t>No</t>
        </is>
      </c>
      <c r="BF50" t="inlineStr">
        <is>
          <t>ARTHA SHIPPING</t>
        </is>
      </c>
      <c r="BG50" t="inlineStr">
        <is>
          <t>USNYC</t>
        </is>
      </c>
      <c r="BH50" t="n">
        <v>0</v>
      </c>
      <c r="BI50" t="n">
        <v>1</v>
      </c>
      <c r="BJ50" t="n">
        <v>8150</v>
      </c>
      <c r="BK50" t="inlineStr">
        <is>
          <t>LINE</t>
        </is>
      </c>
      <c r="BL50" t="inlineStr">
        <is>
          <t>DOLPHIN REEFER</t>
        </is>
      </c>
      <c r="BM50" t="inlineStr">
        <is>
          <t>DOLPHIN REEFER</t>
        </is>
      </c>
    </row>
    <row r="51">
      <c r="A51" t="n">
        <v>50</v>
      </c>
      <c r="B51" t="inlineStr">
        <is>
          <t>EAGLE DRY</t>
        </is>
      </c>
      <c r="C51" t="inlineStr">
        <is>
          <t>REF000000</t>
        </is>
      </c>
      <c r="D51" t="inlineStr">
        <is>
          <t>REF000000</t>
        </is>
      </c>
      <c r="E51" t="inlineStr">
        <is>
          <t>17-DEC-2025</t>
        </is>
      </c>
      <c r="F51" t="inlineStr">
        <is>
          <t>EAGLE DRY</t>
        </is>
      </c>
      <c r="H51" t="inlineStr">
        <is>
          <t>AdminUAM</t>
        </is>
      </c>
      <c r="J51" t="n">
        <v>46037</v>
      </c>
      <c r="K51" t="n">
        <v>46033</v>
      </c>
      <c r="L51" t="n">
        <v>46037</v>
      </c>
      <c r="M51" t="inlineStr">
        <is>
          <t>REF000000</t>
        </is>
      </c>
      <c r="N51" t="inlineStr">
        <is>
          <t>USNFK</t>
        </is>
      </c>
      <c r="O51" t="inlineStr">
        <is>
          <t>USNFK</t>
        </is>
      </c>
      <c r="P51" t="inlineStr">
        <is>
          <t>RULED</t>
        </is>
      </c>
      <c r="U51" t="inlineStr">
        <is>
          <t>RULED</t>
        </is>
      </c>
      <c r="V51" t="inlineStr">
        <is>
          <t>RULED</t>
        </is>
      </c>
      <c r="W51" t="inlineStr">
        <is>
          <t>UNITED STATES</t>
        </is>
      </c>
      <c r="X51" t="inlineStr">
        <is>
          <t>Latin America</t>
        </is>
      </c>
      <c r="Y51" t="inlineStr">
        <is>
          <t>RUSSIA</t>
        </is>
      </c>
      <c r="Z51" t="inlineStr">
        <is>
          <t>External Review</t>
        </is>
      </c>
      <c r="AA51" t="inlineStr">
        <is>
          <t>HUB SHIPPING LLC-LED</t>
        </is>
      </c>
      <c r="AB51" t="inlineStr">
        <is>
          <t>Collect</t>
        </is>
      </c>
      <c r="AC51" t="inlineStr">
        <is>
          <t>MERCURY/25016E</t>
        </is>
      </c>
      <c r="AE51" t="inlineStr">
        <is>
          <t>LADEN BOOKING</t>
        </is>
      </c>
      <c r="AF51" t="inlineStr">
        <is>
          <t>RenniUAM</t>
        </is>
      </c>
      <c r="AG51" t="inlineStr">
        <is>
          <t>HC40</t>
        </is>
      </c>
      <c r="AH51" t="inlineStr">
        <is>
          <t>NO</t>
        </is>
      </c>
      <c r="AI51" t="n">
        <v>40</v>
      </c>
      <c r="AJ51" t="n">
        <v>0</v>
      </c>
      <c r="AK51" t="n">
        <v>1</v>
      </c>
      <c r="AL51" t="inlineStr">
        <is>
          <t>ANON0000000</t>
        </is>
      </c>
      <c r="AP51" t="inlineStr">
        <is>
          <t>Non Haz</t>
        </is>
      </c>
      <c r="AQ51" t="inlineStr">
        <is>
          <t>CY/CY</t>
        </is>
      </c>
      <c r="AT51" t="inlineStr">
        <is>
          <t>REF000000</t>
        </is>
      </c>
      <c r="AU51" t="n">
        <v>26000</v>
      </c>
      <c r="AV51" t="inlineStr">
        <is>
          <t>GENERAL COMMODITY</t>
        </is>
      </c>
      <c r="AX51" t="inlineStr">
        <is>
          <t>MRG368677</t>
        </is>
      </c>
      <c r="AY51" t="inlineStr">
        <is>
          <t>LINE</t>
        </is>
      </c>
      <c r="AZ51" t="n">
        <v>0</v>
      </c>
      <c r="BA51" t="n">
        <v>14</v>
      </c>
      <c r="BB51" t="n">
        <v>14</v>
      </c>
      <c r="BC51" t="n">
        <v>4400</v>
      </c>
      <c r="BD51" t="inlineStr">
        <is>
          <t>Yes</t>
        </is>
      </c>
      <c r="BF51" t="inlineStr">
        <is>
          <t>ARTHA SHIPPING</t>
        </is>
      </c>
      <c r="BG51" t="inlineStr">
        <is>
          <t>RULED</t>
        </is>
      </c>
      <c r="BH51" t="n">
        <v>0</v>
      </c>
      <c r="BI51" t="n">
        <v>1</v>
      </c>
      <c r="BJ51" t="n">
        <v>4400</v>
      </c>
      <c r="BK51" t="inlineStr">
        <is>
          <t>LINE</t>
        </is>
      </c>
      <c r="BL51" t="inlineStr">
        <is>
          <t>EAGLE DRY</t>
        </is>
      </c>
      <c r="BM51" t="inlineStr">
        <is>
          <t>EAGLE DRY</t>
        </is>
      </c>
    </row>
    <row r="52">
      <c r="A52" t="n">
        <v>51</v>
      </c>
      <c r="B52" t="inlineStr">
        <is>
          <t>COYOTE DRY</t>
        </is>
      </c>
      <c r="C52" t="inlineStr">
        <is>
          <t>REF000000</t>
        </is>
      </c>
      <c r="D52" t="inlineStr">
        <is>
          <t>REF000000</t>
        </is>
      </c>
      <c r="E52" t="inlineStr">
        <is>
          <t>17-DEC-2025</t>
        </is>
      </c>
      <c r="F52" t="inlineStr">
        <is>
          <t>COYOTE DRY</t>
        </is>
      </c>
      <c r="H52" t="inlineStr">
        <is>
          <t>AdminUAM</t>
        </is>
      </c>
      <c r="J52" t="inlineStr">
        <is>
          <t>25-FEB-2026</t>
        </is>
      </c>
      <c r="K52" t="inlineStr">
        <is>
          <t>19-FEB-2026</t>
        </is>
      </c>
      <c r="L52" t="inlineStr">
        <is>
          <t>25-FEB-2026</t>
        </is>
      </c>
      <c r="M52" t="inlineStr">
        <is>
          <t>REF000000</t>
        </is>
      </c>
      <c r="N52" t="inlineStr">
        <is>
          <t>USNFK</t>
        </is>
      </c>
      <c r="O52" t="inlineStr">
        <is>
          <t>USNFK</t>
        </is>
      </c>
      <c r="P52" t="inlineStr">
        <is>
          <t>RULED</t>
        </is>
      </c>
      <c r="U52" t="inlineStr">
        <is>
          <t>RULED</t>
        </is>
      </c>
      <c r="V52" t="inlineStr">
        <is>
          <t>RULED</t>
        </is>
      </c>
      <c r="W52" t="inlineStr">
        <is>
          <t>UNITED STATES</t>
        </is>
      </c>
      <c r="X52" t="inlineStr">
        <is>
          <t>Latin America</t>
        </is>
      </c>
      <c r="Y52" t="inlineStr">
        <is>
          <t>RUSSIA</t>
        </is>
      </c>
      <c r="Z52" t="inlineStr">
        <is>
          <t>External Review</t>
        </is>
      </c>
      <c r="AA52" t="inlineStr">
        <is>
          <t>HUB SHIPPING LLC-LED</t>
        </is>
      </c>
      <c r="AB52" t="inlineStr">
        <is>
          <t>Collect</t>
        </is>
      </c>
      <c r="AC52" t="inlineStr">
        <is>
          <t>LI DA XING/VOYAGE 1</t>
        </is>
      </c>
      <c r="AE52" t="inlineStr">
        <is>
          <t>LADEN BOOKING</t>
        </is>
      </c>
      <c r="AF52" t="inlineStr">
        <is>
          <t>RenniUAM</t>
        </is>
      </c>
      <c r="AG52" t="inlineStr">
        <is>
          <t>HC40</t>
        </is>
      </c>
      <c r="AH52" t="inlineStr">
        <is>
          <t>NO</t>
        </is>
      </c>
      <c r="AI52" t="n">
        <v>40</v>
      </c>
      <c r="AJ52" t="n">
        <v>0</v>
      </c>
      <c r="AK52" t="n">
        <v>2</v>
      </c>
      <c r="AL52" t="inlineStr">
        <is>
          <t>ANON0000000,
ANON0000000</t>
        </is>
      </c>
      <c r="AP52" t="inlineStr">
        <is>
          <t>Non Haz</t>
        </is>
      </c>
      <c r="AQ52" t="inlineStr">
        <is>
          <t>CY/CY</t>
        </is>
      </c>
      <c r="AT52" t="inlineStr">
        <is>
          <t>REF000000,
REF000000</t>
        </is>
      </c>
      <c r="AU52" t="n">
        <v>26000</v>
      </c>
      <c r="AV52" t="inlineStr">
        <is>
          <t>GENERAL COMMODITY</t>
        </is>
      </c>
      <c r="AX52" t="inlineStr">
        <is>
          <t>MRG382814</t>
        </is>
      </c>
      <c r="AY52" t="inlineStr">
        <is>
          <t>LINE</t>
        </is>
      </c>
      <c r="AZ52" t="n">
        <v>0</v>
      </c>
      <c r="BA52" t="n">
        <v>14</v>
      </c>
      <c r="BB52" t="n">
        <v>14</v>
      </c>
      <c r="BC52" t="n">
        <v>4400</v>
      </c>
      <c r="BD52" t="inlineStr">
        <is>
          <t>Yes</t>
        </is>
      </c>
      <c r="BF52" t="inlineStr">
        <is>
          <t>ARTHA SHIPPING</t>
        </is>
      </c>
      <c r="BG52" t="inlineStr">
        <is>
          <t>RULED</t>
        </is>
      </c>
      <c r="BH52" t="n">
        <v>0</v>
      </c>
      <c r="BI52" t="n">
        <v>2</v>
      </c>
      <c r="BJ52" t="n">
        <v>8800</v>
      </c>
      <c r="BK52" t="inlineStr">
        <is>
          <t>LINE</t>
        </is>
      </c>
      <c r="BL52" t="inlineStr">
        <is>
          <t>COYOTE DRY</t>
        </is>
      </c>
      <c r="BM52" t="inlineStr">
        <is>
          <t>COYOTE DRY</t>
        </is>
      </c>
    </row>
    <row r="53">
      <c r="A53" t="n">
        <v>52</v>
      </c>
      <c r="B53" t="inlineStr">
        <is>
          <t>FALCON DRY</t>
        </is>
      </c>
      <c r="C53" t="inlineStr">
        <is>
          <t>REF000000</t>
        </is>
      </c>
      <c r="D53" t="inlineStr">
        <is>
          <t>REF000000</t>
        </is>
      </c>
      <c r="E53" t="inlineStr">
        <is>
          <t>18-DEC-2025</t>
        </is>
      </c>
      <c r="F53" t="inlineStr">
        <is>
          <t>FALCON DRY</t>
        </is>
      </c>
      <c r="G53" t="inlineStr">
        <is>
          <t>Standard container.</t>
        </is>
      </c>
      <c r="H53" t="inlineStr">
        <is>
          <t>AdminUAM</t>
        </is>
      </c>
      <c r="J53" t="n">
        <v>46042</v>
      </c>
      <c r="K53" t="n">
        <v>46040</v>
      </c>
      <c r="L53" t="n">
        <v>46042</v>
      </c>
      <c r="M53" t="inlineStr">
        <is>
          <t>REF000000</t>
        </is>
      </c>
      <c r="N53" t="inlineStr">
        <is>
          <t>USNFK</t>
        </is>
      </c>
      <c r="O53" t="inlineStr">
        <is>
          <t>USNFK</t>
        </is>
      </c>
      <c r="P53" t="inlineStr">
        <is>
          <t>RUBLT</t>
        </is>
      </c>
      <c r="U53" t="inlineStr">
        <is>
          <t>RUBLT</t>
        </is>
      </c>
      <c r="V53" t="inlineStr">
        <is>
          <t>RUBLT</t>
        </is>
      </c>
      <c r="W53" t="inlineStr">
        <is>
          <t>UNITED STATES</t>
        </is>
      </c>
      <c r="X53" t="inlineStr">
        <is>
          <t>Latin America</t>
        </is>
      </c>
      <c r="Y53" t="inlineStr">
        <is>
          <t>RUSSIA</t>
        </is>
      </c>
      <c r="Z53" t="inlineStr">
        <is>
          <t>External Review</t>
        </is>
      </c>
      <c r="AA53" t="inlineStr">
        <is>
          <t>HUB Shipping-Kaliningrad</t>
        </is>
      </c>
      <c r="AB53" t="inlineStr">
        <is>
          <t>Collect</t>
        </is>
      </c>
      <c r="AC53" t="inlineStr">
        <is>
          <t>MERCURY/25016E</t>
        </is>
      </c>
      <c r="AD53" t="inlineStr">
        <is>
          <t>SPARTA / SP1010109SB</t>
        </is>
      </c>
      <c r="AE53" t="inlineStr">
        <is>
          <t>LADEN BOOKING</t>
        </is>
      </c>
      <c r="AF53" t="inlineStr">
        <is>
          <t>AndreyUAM</t>
        </is>
      </c>
      <c r="AG53" t="inlineStr">
        <is>
          <t>DC20</t>
        </is>
      </c>
      <c r="AH53" t="inlineStr">
        <is>
          <t>NO</t>
        </is>
      </c>
      <c r="AI53" t="n">
        <v>20</v>
      </c>
      <c r="AJ53" t="n">
        <v>1</v>
      </c>
      <c r="AK53" t="n">
        <v>0</v>
      </c>
      <c r="AL53" t="inlineStr">
        <is>
          <t>ANON0000000,
ANON0000000</t>
        </is>
      </c>
      <c r="AP53" t="inlineStr">
        <is>
          <t>Non Haz</t>
        </is>
      </c>
      <c r="AQ53" t="inlineStr">
        <is>
          <t>CY/CY</t>
        </is>
      </c>
      <c r="AT53" t="inlineStr">
        <is>
          <t>REF000000,
REF000000</t>
        </is>
      </c>
      <c r="AU53" t="n">
        <v>20000</v>
      </c>
      <c r="AV53" t="inlineStr">
        <is>
          <t>GENERAL COMMODITY</t>
        </is>
      </c>
      <c r="AX53" t="inlineStr">
        <is>
          <t>MRG368652</t>
        </is>
      </c>
      <c r="AY53" t="inlineStr">
        <is>
          <t>LINE</t>
        </is>
      </c>
      <c r="AZ53" t="n">
        <v>0</v>
      </c>
      <c r="BA53" t="n">
        <v>14</v>
      </c>
      <c r="BB53" t="n">
        <v>7</v>
      </c>
      <c r="BC53" t="n">
        <v>3600</v>
      </c>
      <c r="BD53" t="inlineStr">
        <is>
          <t>Yes</t>
        </is>
      </c>
      <c r="BF53" t="inlineStr">
        <is>
          <t>ARTHA SHIPPING</t>
        </is>
      </c>
      <c r="BG53" t="inlineStr">
        <is>
          <t>RUBLT</t>
        </is>
      </c>
      <c r="BH53" t="n">
        <v>1</v>
      </c>
      <c r="BI53" t="n">
        <v>0</v>
      </c>
      <c r="BJ53" t="n">
        <v>3600</v>
      </c>
      <c r="BK53" t="inlineStr">
        <is>
          <t>LINE</t>
        </is>
      </c>
      <c r="BL53" t="inlineStr">
        <is>
          <t>FALCON DRY</t>
        </is>
      </c>
      <c r="BM53" t="inlineStr">
        <is>
          <t>FALCON DRY</t>
        </is>
      </c>
    </row>
    <row r="54">
      <c r="A54" t="n">
        <v>53</v>
      </c>
      <c r="B54" t="inlineStr">
        <is>
          <t>WHALE REEFER</t>
        </is>
      </c>
      <c r="C54" t="inlineStr">
        <is>
          <t>REF000000</t>
        </is>
      </c>
      <c r="D54" t="inlineStr">
        <is>
          <t>REF000000</t>
        </is>
      </c>
      <c r="E54" t="inlineStr">
        <is>
          <t>19-DEC-2025</t>
        </is>
      </c>
      <c r="F54" t="inlineStr">
        <is>
          <t>WHALE REEFER</t>
        </is>
      </c>
      <c r="G54" t="inlineStr">
        <is>
          <t>PREPAID ABROAD</t>
        </is>
      </c>
      <c r="H54" t="inlineStr">
        <is>
          <t>Regional Operations_UNIMAR</t>
        </is>
      </c>
      <c r="J54" t="inlineStr">
        <is>
          <t>19-FEB-2026</t>
        </is>
      </c>
      <c r="K54" t="inlineStr">
        <is>
          <t>19-FEB-2026</t>
        </is>
      </c>
      <c r="L54" t="inlineStr">
        <is>
          <t>19-FEB-2026</t>
        </is>
      </c>
      <c r="M54" t="inlineStr">
        <is>
          <t>REF000000</t>
        </is>
      </c>
      <c r="N54" t="inlineStr">
        <is>
          <t>USHOU</t>
        </is>
      </c>
      <c r="O54" t="inlineStr">
        <is>
          <t>USHOU</t>
        </is>
      </c>
      <c r="P54" t="inlineStr">
        <is>
          <t>RUBLT</t>
        </is>
      </c>
      <c r="U54" t="inlineStr">
        <is>
          <t>RUBLT</t>
        </is>
      </c>
      <c r="V54" t="inlineStr">
        <is>
          <t>RUBLT</t>
        </is>
      </c>
      <c r="W54" t="inlineStr">
        <is>
          <t>UNITED STATES</t>
        </is>
      </c>
      <c r="X54" t="inlineStr">
        <is>
          <t>Latin America</t>
        </is>
      </c>
      <c r="Y54" t="inlineStr">
        <is>
          <t>RUSSIA</t>
        </is>
      </c>
      <c r="Z54" t="inlineStr">
        <is>
          <t>External Review</t>
        </is>
      </c>
      <c r="AA54" t="inlineStr">
        <is>
          <t>HUB Shipping-Kaliningrad</t>
        </is>
      </c>
      <c r="AB54" t="inlineStr">
        <is>
          <t>Prepaid</t>
        </is>
      </c>
      <c r="AC54" t="inlineStr">
        <is>
          <t>LI DA XING/VOYAGE 1</t>
        </is>
      </c>
      <c r="AE54" t="inlineStr">
        <is>
          <t>LADEN BOOKING</t>
        </is>
      </c>
      <c r="AF54" t="inlineStr">
        <is>
          <t>Joao Ribeiro</t>
        </is>
      </c>
      <c r="AG54" t="inlineStr">
        <is>
          <t>RH40</t>
        </is>
      </c>
      <c r="AH54" t="inlineStr">
        <is>
          <t>NO</t>
        </is>
      </c>
      <c r="AI54" t="n">
        <v>40</v>
      </c>
      <c r="AJ54" t="n">
        <v>0</v>
      </c>
      <c r="AK54" t="n">
        <v>1</v>
      </c>
      <c r="AL54" t="inlineStr">
        <is>
          <t>ANON0000000</t>
        </is>
      </c>
      <c r="AM54" t="n">
        <v>-22</v>
      </c>
      <c r="AP54" t="inlineStr">
        <is>
          <t>Non Haz</t>
        </is>
      </c>
      <c r="AQ54" t="inlineStr">
        <is>
          <t>CY/CY</t>
        </is>
      </c>
      <c r="AT54" t="inlineStr">
        <is>
          <t>REF000000</t>
        </is>
      </c>
      <c r="AU54" t="n">
        <v>28000</v>
      </c>
      <c r="AV54" t="inlineStr">
        <is>
          <t>FROZEN MEAT</t>
        </is>
      </c>
      <c r="AX54" t="inlineStr">
        <is>
          <t>RSUAM122500041</t>
        </is>
      </c>
      <c r="AZ54" t="n">
        <v>0</v>
      </c>
      <c r="BA54" t="n">
        <v>21</v>
      </c>
      <c r="BB54" t="n">
        <v>14</v>
      </c>
      <c r="BC54" t="n">
        <v>9350</v>
      </c>
      <c r="BD54" t="inlineStr">
        <is>
          <t>No</t>
        </is>
      </c>
      <c r="BF54" t="inlineStr">
        <is>
          <t>ARTHA SHIPPING</t>
        </is>
      </c>
      <c r="BG54" t="inlineStr">
        <is>
          <t>USHOU</t>
        </is>
      </c>
      <c r="BH54" t="n">
        <v>0</v>
      </c>
      <c r="BI54" t="n">
        <v>1</v>
      </c>
      <c r="BJ54" t="n">
        <v>9350</v>
      </c>
      <c r="BK54" t="inlineStr">
        <is>
          <t>LINE</t>
        </is>
      </c>
      <c r="BL54" t="inlineStr">
        <is>
          <t>WHALE REEFER</t>
        </is>
      </c>
      <c r="BM54" t="inlineStr">
        <is>
          <t>WHALE REEFER</t>
        </is>
      </c>
    </row>
    <row r="55">
      <c r="A55" t="n">
        <v>54</v>
      </c>
      <c r="B55" t="inlineStr">
        <is>
          <t>DEER DRY</t>
        </is>
      </c>
      <c r="C55" t="inlineStr">
        <is>
          <t>REF000000</t>
        </is>
      </c>
      <c r="D55" t="inlineStr">
        <is>
          <t>REF000000</t>
        </is>
      </c>
      <c r="E55" t="inlineStr">
        <is>
          <t>19-DEC-2025</t>
        </is>
      </c>
      <c r="F55" t="inlineStr">
        <is>
          <t>DEER DRY</t>
        </is>
      </c>
      <c r="H55" t="inlineStr">
        <is>
          <t>AdminUAM</t>
        </is>
      </c>
      <c r="J55" t="n">
        <v>46082</v>
      </c>
      <c r="K55" t="inlineStr">
        <is>
          <t>27-FEB-2026</t>
        </is>
      </c>
      <c r="L55" t="n">
        <v>46082</v>
      </c>
      <c r="M55" t="inlineStr">
        <is>
          <t>REF000000</t>
        </is>
      </c>
      <c r="N55" t="inlineStr">
        <is>
          <t>USNFK</t>
        </is>
      </c>
      <c r="O55" t="inlineStr">
        <is>
          <t>USNFK</t>
        </is>
      </c>
      <c r="P55" t="inlineStr">
        <is>
          <t>RULED</t>
        </is>
      </c>
      <c r="U55" t="inlineStr">
        <is>
          <t>RULED</t>
        </is>
      </c>
      <c r="V55" t="inlineStr">
        <is>
          <t>RULED</t>
        </is>
      </c>
      <c r="W55" t="inlineStr">
        <is>
          <t>UNITED STATES</t>
        </is>
      </c>
      <c r="X55" t="inlineStr">
        <is>
          <t>Latin America</t>
        </is>
      </c>
      <c r="Y55" t="inlineStr">
        <is>
          <t>RUSSIA</t>
        </is>
      </c>
      <c r="Z55" t="inlineStr">
        <is>
          <t>External Review</t>
        </is>
      </c>
      <c r="AA55" t="inlineStr">
        <is>
          <t>HUB SHIPPING LLC-LED</t>
        </is>
      </c>
      <c r="AB55" t="inlineStr">
        <is>
          <t>Collect</t>
        </is>
      </c>
      <c r="AC55" t="inlineStr">
        <is>
          <t>LI DA XING/VOYAGE 1</t>
        </is>
      </c>
      <c r="AE55" t="inlineStr">
        <is>
          <t>LADEN BOOKING</t>
        </is>
      </c>
      <c r="AF55" t="inlineStr">
        <is>
          <t>RenniUAM</t>
        </is>
      </c>
      <c r="AG55" t="inlineStr">
        <is>
          <t>HC40</t>
        </is>
      </c>
      <c r="AH55" t="inlineStr">
        <is>
          <t>NO</t>
        </is>
      </c>
      <c r="AI55" t="n">
        <v>40</v>
      </c>
      <c r="AJ55" t="n">
        <v>0</v>
      </c>
      <c r="AK55" t="n">
        <v>1</v>
      </c>
      <c r="AL55" t="inlineStr">
        <is>
          <t>ANON0000000</t>
        </is>
      </c>
      <c r="AP55" t="inlineStr">
        <is>
          <t>Non Haz</t>
        </is>
      </c>
      <c r="AQ55" t="inlineStr">
        <is>
          <t>CY/CY</t>
        </is>
      </c>
      <c r="AT55" t="inlineStr">
        <is>
          <t>REF000000</t>
        </is>
      </c>
      <c r="AU55" t="n">
        <v>26000</v>
      </c>
      <c r="AV55" t="inlineStr">
        <is>
          <t>GENERAL COMMODITY</t>
        </is>
      </c>
      <c r="AX55" t="inlineStr">
        <is>
          <t>MRG382813</t>
        </is>
      </c>
      <c r="AY55" t="inlineStr">
        <is>
          <t>LINE</t>
        </is>
      </c>
      <c r="AZ55" t="n">
        <v>0</v>
      </c>
      <c r="BA55" t="n">
        <v>14</v>
      </c>
      <c r="BB55" t="n">
        <v>14</v>
      </c>
      <c r="BC55" t="n">
        <v>4600</v>
      </c>
      <c r="BD55" t="inlineStr">
        <is>
          <t>Yes</t>
        </is>
      </c>
      <c r="BF55" t="inlineStr">
        <is>
          <t>ARTHA SHIPPING</t>
        </is>
      </c>
      <c r="BG55" t="inlineStr">
        <is>
          <t>RULED</t>
        </is>
      </c>
      <c r="BH55" t="n">
        <v>0</v>
      </c>
      <c r="BI55" t="n">
        <v>1</v>
      </c>
      <c r="BJ55" t="n">
        <v>4600</v>
      </c>
      <c r="BK55" t="inlineStr">
        <is>
          <t>LINE</t>
        </is>
      </c>
      <c r="BL55" t="inlineStr">
        <is>
          <t>DEER DRY</t>
        </is>
      </c>
      <c r="BM55" t="inlineStr">
        <is>
          <t>DEER DRY</t>
        </is>
      </c>
    </row>
    <row r="56">
      <c r="A56" t="n">
        <v>55</v>
      </c>
      <c r="B56" t="inlineStr">
        <is>
          <t>FOX DRY</t>
        </is>
      </c>
      <c r="C56" t="inlineStr">
        <is>
          <t>REF000000</t>
        </is>
      </c>
      <c r="D56" t="inlineStr">
        <is>
          <t>REF000000</t>
        </is>
      </c>
      <c r="E56" t="inlineStr">
        <is>
          <t>19-DEC-2025</t>
        </is>
      </c>
      <c r="F56" t="inlineStr">
        <is>
          <t>FOX DRY</t>
        </is>
      </c>
      <c r="H56" t="inlineStr">
        <is>
          <t>AdminUAM</t>
        </is>
      </c>
      <c r="J56" t="n">
        <v>46037</v>
      </c>
      <c r="K56" t="n">
        <v>46033</v>
      </c>
      <c r="L56" t="n">
        <v>46037</v>
      </c>
      <c r="M56" t="inlineStr">
        <is>
          <t>REF000000</t>
        </is>
      </c>
      <c r="N56" t="inlineStr">
        <is>
          <t>USNFK</t>
        </is>
      </c>
      <c r="O56" t="inlineStr">
        <is>
          <t>USNFK</t>
        </is>
      </c>
      <c r="P56" t="inlineStr">
        <is>
          <t>RULED</t>
        </is>
      </c>
      <c r="U56" t="inlineStr">
        <is>
          <t>RULED</t>
        </is>
      </c>
      <c r="V56" t="inlineStr">
        <is>
          <t>RULED</t>
        </is>
      </c>
      <c r="W56" t="inlineStr">
        <is>
          <t>UNITED STATES</t>
        </is>
      </c>
      <c r="X56" t="inlineStr">
        <is>
          <t>Latin America</t>
        </is>
      </c>
      <c r="Y56" t="inlineStr">
        <is>
          <t>RUSSIA</t>
        </is>
      </c>
      <c r="Z56" t="inlineStr">
        <is>
          <t>External Review</t>
        </is>
      </c>
      <c r="AA56" t="inlineStr">
        <is>
          <t>HUB SHIPPING LLC-LED</t>
        </is>
      </c>
      <c r="AB56" t="inlineStr">
        <is>
          <t>Collect</t>
        </is>
      </c>
      <c r="AC56" t="inlineStr">
        <is>
          <t>MERCURY/25016E</t>
        </is>
      </c>
      <c r="AE56" t="inlineStr">
        <is>
          <t>LADEN BOOKING</t>
        </is>
      </c>
      <c r="AF56" t="inlineStr">
        <is>
          <t>RenniUAM</t>
        </is>
      </c>
      <c r="AG56" t="inlineStr">
        <is>
          <t>HC40</t>
        </is>
      </c>
      <c r="AH56" t="inlineStr">
        <is>
          <t>NO</t>
        </is>
      </c>
      <c r="AI56" t="n">
        <v>40</v>
      </c>
      <c r="AJ56" t="n">
        <v>0</v>
      </c>
      <c r="AK56" t="n">
        <v>2</v>
      </c>
      <c r="AL56" t="inlineStr">
        <is>
          <t>ANON0000000,
ANON0000000</t>
        </is>
      </c>
      <c r="AP56" t="inlineStr">
        <is>
          <t>Non Haz</t>
        </is>
      </c>
      <c r="AQ56" t="inlineStr">
        <is>
          <t>CY/CY</t>
        </is>
      </c>
      <c r="AT56" t="inlineStr">
        <is>
          <t>REF000000</t>
        </is>
      </c>
      <c r="AU56" t="n">
        <v>26000</v>
      </c>
      <c r="AV56" t="inlineStr">
        <is>
          <t>GENERAL COMMODITY</t>
        </is>
      </c>
      <c r="AX56" t="inlineStr">
        <is>
          <t>RSUAM122500034</t>
        </is>
      </c>
      <c r="AZ56" t="n">
        <v>0</v>
      </c>
      <c r="BA56" t="n">
        <v>10</v>
      </c>
      <c r="BB56" t="n">
        <v>14</v>
      </c>
      <c r="BC56" t="n">
        <v>3000</v>
      </c>
      <c r="BD56" t="inlineStr">
        <is>
          <t>Yes</t>
        </is>
      </c>
      <c r="BF56" t="inlineStr">
        <is>
          <t>ARTHA SHIPPING</t>
        </is>
      </c>
      <c r="BG56" t="inlineStr">
        <is>
          <t>RULED</t>
        </is>
      </c>
      <c r="BH56" t="n">
        <v>0</v>
      </c>
      <c r="BI56" t="n">
        <v>2</v>
      </c>
      <c r="BJ56" t="n">
        <v>6000</v>
      </c>
      <c r="BK56" t="inlineStr">
        <is>
          <t>LINE</t>
        </is>
      </c>
      <c r="BL56" t="inlineStr">
        <is>
          <t>FOX DRY</t>
        </is>
      </c>
      <c r="BM56" t="inlineStr">
        <is>
          <t>FOX DRY</t>
        </is>
      </c>
    </row>
    <row r="57">
      <c r="A57" t="n">
        <v>56</v>
      </c>
      <c r="B57" t="inlineStr">
        <is>
          <t>DOLPHIN REEFER</t>
        </is>
      </c>
      <c r="C57" t="inlineStr">
        <is>
          <t>REF000000</t>
        </is>
      </c>
      <c r="D57" t="inlineStr">
        <is>
          <t>REF000000</t>
        </is>
      </c>
      <c r="E57" t="inlineStr">
        <is>
          <t>22-DEC-2025</t>
        </is>
      </c>
      <c r="F57" t="inlineStr">
        <is>
          <t>DOLPHIN REEFER</t>
        </is>
      </c>
      <c r="G57" t="inlineStr">
        <is>
          <t>Food Grade</t>
        </is>
      </c>
      <c r="H57" t="inlineStr">
        <is>
          <t>AdminUAM</t>
        </is>
      </c>
      <c r="J57" t="n">
        <v>46029</v>
      </c>
      <c r="K57" t="n">
        <v>46029</v>
      </c>
      <c r="L57" t="n">
        <v>46029</v>
      </c>
      <c r="M57" t="inlineStr">
        <is>
          <t>REF000000</t>
        </is>
      </c>
      <c r="N57" t="inlineStr">
        <is>
          <t>USNYC</t>
        </is>
      </c>
      <c r="O57" t="inlineStr">
        <is>
          <t>USNYC</t>
        </is>
      </c>
      <c r="P57" t="inlineStr">
        <is>
          <t>RULED</t>
        </is>
      </c>
      <c r="U57" t="inlineStr">
        <is>
          <t>RULED</t>
        </is>
      </c>
      <c r="V57" t="inlineStr">
        <is>
          <t>RULED</t>
        </is>
      </c>
      <c r="W57" t="inlineStr">
        <is>
          <t>UNITED STATES</t>
        </is>
      </c>
      <c r="X57" t="inlineStr">
        <is>
          <t>Latin America</t>
        </is>
      </c>
      <c r="Y57" t="inlineStr">
        <is>
          <t>RUSSIA</t>
        </is>
      </c>
      <c r="Z57" t="inlineStr">
        <is>
          <t>External Review</t>
        </is>
      </c>
      <c r="AA57" t="inlineStr">
        <is>
          <t>HUB SHIPPING LLC-LED</t>
        </is>
      </c>
      <c r="AB57" t="inlineStr">
        <is>
          <t>Collect</t>
        </is>
      </c>
      <c r="AC57" t="inlineStr">
        <is>
          <t>MERCURY/25016E</t>
        </is>
      </c>
      <c r="AE57" t="inlineStr">
        <is>
          <t>LADEN BOOKING</t>
        </is>
      </c>
      <c r="AF57" t="inlineStr">
        <is>
          <t>RenniUAM</t>
        </is>
      </c>
      <c r="AG57" t="inlineStr">
        <is>
          <t>HC40</t>
        </is>
      </c>
      <c r="AH57" t="inlineStr">
        <is>
          <t>NO</t>
        </is>
      </c>
      <c r="AI57" t="n">
        <v>40</v>
      </c>
      <c r="AJ57" t="n">
        <v>0</v>
      </c>
      <c r="AK57" t="n">
        <v>2</v>
      </c>
      <c r="AL57" t="inlineStr">
        <is>
          <t>ANON0000000,
ANON0000000</t>
        </is>
      </c>
      <c r="AP57" t="inlineStr">
        <is>
          <t>Non Haz</t>
        </is>
      </c>
      <c r="AQ57" t="inlineStr">
        <is>
          <t>CY/CY</t>
        </is>
      </c>
      <c r="AT57" t="inlineStr">
        <is>
          <t>REF000000</t>
        </is>
      </c>
      <c r="AU57" t="n">
        <v>26000</v>
      </c>
      <c r="AV57" t="inlineStr">
        <is>
          <t>GENERAL COMMODITY</t>
        </is>
      </c>
      <c r="AX57" t="inlineStr">
        <is>
          <t>RSUAM122500055</t>
        </is>
      </c>
      <c r="AZ57" t="n">
        <v>0</v>
      </c>
      <c r="BA57" t="n">
        <v>14</v>
      </c>
      <c r="BB57" t="n">
        <v>14</v>
      </c>
      <c r="BC57" t="n">
        <v>2800</v>
      </c>
      <c r="BD57" t="inlineStr">
        <is>
          <t>Yes</t>
        </is>
      </c>
      <c r="BF57" t="inlineStr">
        <is>
          <t>ARTHA SHIPPING</t>
        </is>
      </c>
      <c r="BG57" t="inlineStr">
        <is>
          <t>RULED</t>
        </is>
      </c>
      <c r="BH57" t="n">
        <v>0</v>
      </c>
      <c r="BI57" t="n">
        <v>2</v>
      </c>
      <c r="BJ57" t="n">
        <v>5600</v>
      </c>
      <c r="BK57" t="inlineStr">
        <is>
          <t>LINE</t>
        </is>
      </c>
      <c r="BL57" t="inlineStr">
        <is>
          <t>DOLPHIN REEFER</t>
        </is>
      </c>
      <c r="BM57" t="inlineStr">
        <is>
          <t>DOLPHIN REEFER</t>
        </is>
      </c>
    </row>
    <row r="58">
      <c r="A58" t="n">
        <v>57</v>
      </c>
      <c r="B58" t="inlineStr">
        <is>
          <t>MARLIN REEFER</t>
        </is>
      </c>
      <c r="C58" t="inlineStr">
        <is>
          <t>REF000000</t>
        </is>
      </c>
      <c r="D58" t="inlineStr">
        <is>
          <t>REF000000</t>
        </is>
      </c>
      <c r="E58" t="inlineStr">
        <is>
          <t>22-DEC-2025</t>
        </is>
      </c>
      <c r="F58" t="inlineStr">
        <is>
          <t>MARLIN REEFER</t>
        </is>
      </c>
      <c r="G58" t="inlineStr">
        <is>
          <t>Food Grade / EVI271101</t>
        </is>
      </c>
      <c r="H58" t="inlineStr">
        <is>
          <t>AdminUAM</t>
        </is>
      </c>
      <c r="J58" t="n">
        <v>46037</v>
      </c>
      <c r="K58" t="n">
        <v>46033</v>
      </c>
      <c r="L58" t="n">
        <v>46037</v>
      </c>
      <c r="M58" t="inlineStr">
        <is>
          <t>REF000000</t>
        </is>
      </c>
      <c r="N58" t="inlineStr">
        <is>
          <t>USNFK</t>
        </is>
      </c>
      <c r="O58" t="inlineStr">
        <is>
          <t>USNFK</t>
        </is>
      </c>
      <c r="P58" t="inlineStr">
        <is>
          <t>RULED</t>
        </is>
      </c>
      <c r="U58" t="inlineStr">
        <is>
          <t>RULED</t>
        </is>
      </c>
      <c r="V58" t="inlineStr">
        <is>
          <t>RULED</t>
        </is>
      </c>
      <c r="W58" t="inlineStr">
        <is>
          <t>UNITED STATES</t>
        </is>
      </c>
      <c r="X58" t="inlineStr">
        <is>
          <t>Latin America</t>
        </is>
      </c>
      <c r="Y58" t="inlineStr">
        <is>
          <t>RUSSIA</t>
        </is>
      </c>
      <c r="Z58" t="inlineStr">
        <is>
          <t>External Review</t>
        </is>
      </c>
      <c r="AA58" t="inlineStr">
        <is>
          <t>HUB SHIPPING LLC-LED</t>
        </is>
      </c>
      <c r="AB58" t="inlineStr">
        <is>
          <t>Collect</t>
        </is>
      </c>
      <c r="AC58" t="inlineStr">
        <is>
          <t>MERCURY/25016E</t>
        </is>
      </c>
      <c r="AE58" t="inlineStr">
        <is>
          <t>LADEN BOOKING</t>
        </is>
      </c>
      <c r="AF58" t="inlineStr">
        <is>
          <t>RenniUAM</t>
        </is>
      </c>
      <c r="AG58" t="inlineStr">
        <is>
          <t>HC40</t>
        </is>
      </c>
      <c r="AH58" t="inlineStr">
        <is>
          <t>NO</t>
        </is>
      </c>
      <c r="AI58" t="n">
        <v>40</v>
      </c>
      <c r="AJ58" t="n">
        <v>0</v>
      </c>
      <c r="AK58" t="n">
        <v>4</v>
      </c>
      <c r="AL58" t="inlineStr">
        <is>
          <t>ANON0000000,
ANON0000000,
ANON0000000,
ANON0000000</t>
        </is>
      </c>
      <c r="AP58" t="inlineStr">
        <is>
          <t>Non Haz</t>
        </is>
      </c>
      <c r="AQ58" t="inlineStr">
        <is>
          <t>CY/CY</t>
        </is>
      </c>
      <c r="AT58" t="inlineStr">
        <is>
          <t>REF000000</t>
        </is>
      </c>
      <c r="AU58" t="n">
        <v>26000</v>
      </c>
      <c r="AV58" t="inlineStr">
        <is>
          <t>GENERAL COMMODITY</t>
        </is>
      </c>
      <c r="AX58" t="inlineStr">
        <is>
          <t>MRG368677</t>
        </is>
      </c>
      <c r="AY58" t="inlineStr">
        <is>
          <t>LINE</t>
        </is>
      </c>
      <c r="AZ58" t="n">
        <v>0</v>
      </c>
      <c r="BA58" t="n">
        <v>14</v>
      </c>
      <c r="BB58" t="n">
        <v>14</v>
      </c>
      <c r="BC58" t="n">
        <v>3500</v>
      </c>
      <c r="BD58" t="inlineStr">
        <is>
          <t>Yes</t>
        </is>
      </c>
      <c r="BE58" t="inlineStr">
        <is>
          <t>FMC/RFLED/40802</t>
        </is>
      </c>
      <c r="BF58" t="inlineStr">
        <is>
          <t>ARTHA SHIPPING</t>
        </is>
      </c>
      <c r="BG58" t="inlineStr">
        <is>
          <t>RULED</t>
        </is>
      </c>
      <c r="BH58" t="n">
        <v>0</v>
      </c>
      <c r="BI58" t="n">
        <v>4</v>
      </c>
      <c r="BJ58" t="n">
        <v>14000</v>
      </c>
      <c r="BK58" t="inlineStr">
        <is>
          <t>LINE</t>
        </is>
      </c>
      <c r="BL58" t="inlineStr">
        <is>
          <t>MARLIN REEFER</t>
        </is>
      </c>
      <c r="BM58" t="inlineStr">
        <is>
          <t>MARLIN REEFER</t>
        </is>
      </c>
    </row>
    <row r="59">
      <c r="A59" t="n">
        <v>58</v>
      </c>
      <c r="B59" t="inlineStr">
        <is>
          <t>COYOTE DRY</t>
        </is>
      </c>
      <c r="C59" t="inlineStr">
        <is>
          <t>REF000000</t>
        </is>
      </c>
      <c r="D59" t="inlineStr">
        <is>
          <t>REF000000</t>
        </is>
      </c>
      <c r="E59" t="inlineStr">
        <is>
          <t>22-DEC-2025</t>
        </is>
      </c>
      <c r="F59" t="inlineStr">
        <is>
          <t>COYOTE DRY</t>
        </is>
      </c>
      <c r="H59" t="inlineStr">
        <is>
          <t>AdminUAM</t>
        </is>
      </c>
      <c r="J59" t="n">
        <v>46037</v>
      </c>
      <c r="K59" t="n">
        <v>46033</v>
      </c>
      <c r="L59" t="n">
        <v>46037</v>
      </c>
      <c r="M59" t="inlineStr">
        <is>
          <t>REF000000</t>
        </is>
      </c>
      <c r="N59" t="inlineStr">
        <is>
          <t>USNFK</t>
        </is>
      </c>
      <c r="O59" t="inlineStr">
        <is>
          <t>USNFK</t>
        </is>
      </c>
      <c r="P59" t="inlineStr">
        <is>
          <t>RULED</t>
        </is>
      </c>
      <c r="U59" t="inlineStr">
        <is>
          <t>RULED</t>
        </is>
      </c>
      <c r="V59" t="inlineStr">
        <is>
          <t>RULED</t>
        </is>
      </c>
      <c r="W59" t="inlineStr">
        <is>
          <t>UNITED STATES</t>
        </is>
      </c>
      <c r="X59" t="inlineStr">
        <is>
          <t>Latin America</t>
        </is>
      </c>
      <c r="Y59" t="inlineStr">
        <is>
          <t>RUSSIA</t>
        </is>
      </c>
      <c r="Z59" t="inlineStr">
        <is>
          <t>External Review</t>
        </is>
      </c>
      <c r="AA59" t="inlineStr">
        <is>
          <t>HUB SHIPPING LLC-LED</t>
        </is>
      </c>
      <c r="AB59" t="inlineStr">
        <is>
          <t>Collect</t>
        </is>
      </c>
      <c r="AC59" t="inlineStr">
        <is>
          <t>MERCURY/25016E</t>
        </is>
      </c>
      <c r="AE59" t="inlineStr">
        <is>
          <t>LADEN BOOKING</t>
        </is>
      </c>
      <c r="AF59" t="inlineStr">
        <is>
          <t>RenniUAM</t>
        </is>
      </c>
      <c r="AG59" t="inlineStr">
        <is>
          <t>DC20</t>
        </is>
      </c>
      <c r="AH59" t="inlineStr">
        <is>
          <t>NO</t>
        </is>
      </c>
      <c r="AI59" t="n">
        <v>20</v>
      </c>
      <c r="AJ59" t="n">
        <v>6</v>
      </c>
      <c r="AK59" t="n">
        <v>0</v>
      </c>
      <c r="AL59" t="inlineStr">
        <is>
          <t>ANON0000000,
ANON0000000,
ANON0000000,
ANON0000000,
ANON0000000,
ANON0000000</t>
        </is>
      </c>
      <c r="AP59" t="inlineStr">
        <is>
          <t>Non Haz</t>
        </is>
      </c>
      <c r="AQ59" t="inlineStr">
        <is>
          <t>CY/CY</t>
        </is>
      </c>
      <c r="AT59" t="inlineStr">
        <is>
          <t>REF000000</t>
        </is>
      </c>
      <c r="AU59" t="n">
        <v>23000</v>
      </c>
      <c r="AV59" t="inlineStr">
        <is>
          <t>GENERAL COMMODITY</t>
        </is>
      </c>
      <c r="AX59" t="inlineStr">
        <is>
          <t>RSUAM122500028</t>
        </is>
      </c>
      <c r="AZ59" t="n">
        <v>0</v>
      </c>
      <c r="BA59" t="n">
        <v>10</v>
      </c>
      <c r="BB59" t="n">
        <v>21</v>
      </c>
      <c r="BC59" t="n">
        <v>1750</v>
      </c>
      <c r="BD59" t="inlineStr">
        <is>
          <t>Yes</t>
        </is>
      </c>
      <c r="BF59" t="inlineStr">
        <is>
          <t>ARTHA SHIPPING</t>
        </is>
      </c>
      <c r="BG59" t="inlineStr">
        <is>
          <t>RULED</t>
        </is>
      </c>
      <c r="BH59" t="n">
        <v>6</v>
      </c>
      <c r="BI59" t="n">
        <v>0</v>
      </c>
      <c r="BJ59" t="n">
        <v>10500</v>
      </c>
      <c r="BK59" t="inlineStr">
        <is>
          <t>LINE</t>
        </is>
      </c>
      <c r="BL59" t="inlineStr">
        <is>
          <t>COYOTE DRY</t>
        </is>
      </c>
      <c r="BM59" t="inlineStr">
        <is>
          <t>COYOTE DRY</t>
        </is>
      </c>
    </row>
    <row r="60">
      <c r="A60" t="n">
        <v>59</v>
      </c>
      <c r="B60" t="inlineStr">
        <is>
          <t>FALCON DRY</t>
        </is>
      </c>
      <c r="C60" t="inlineStr">
        <is>
          <t>REF000000</t>
        </is>
      </c>
      <c r="D60" t="inlineStr">
        <is>
          <t>REF000000</t>
        </is>
      </c>
      <c r="E60" t="inlineStr">
        <is>
          <t>22-DEC-2025</t>
        </is>
      </c>
      <c r="F60" t="inlineStr">
        <is>
          <t>FALCON DRY</t>
        </is>
      </c>
      <c r="H60" t="inlineStr">
        <is>
          <t>AdminUAM</t>
        </is>
      </c>
      <c r="J60" t="n">
        <v>46082</v>
      </c>
      <c r="K60" t="inlineStr">
        <is>
          <t>27-FEB-2026</t>
        </is>
      </c>
      <c r="L60" t="n">
        <v>46082</v>
      </c>
      <c r="M60" t="inlineStr">
        <is>
          <t>REF000000</t>
        </is>
      </c>
      <c r="N60" t="inlineStr">
        <is>
          <t>USNFK</t>
        </is>
      </c>
      <c r="O60" t="inlineStr">
        <is>
          <t>USNFK</t>
        </is>
      </c>
      <c r="P60" t="inlineStr">
        <is>
          <t>RULED</t>
        </is>
      </c>
      <c r="U60" t="inlineStr">
        <is>
          <t>RULED</t>
        </is>
      </c>
      <c r="V60" t="inlineStr">
        <is>
          <t>RULED</t>
        </is>
      </c>
      <c r="W60" t="inlineStr">
        <is>
          <t>UNITED STATES</t>
        </is>
      </c>
      <c r="X60" t="inlineStr">
        <is>
          <t>Latin America</t>
        </is>
      </c>
      <c r="Y60" t="inlineStr">
        <is>
          <t>RUSSIA</t>
        </is>
      </c>
      <c r="Z60" t="inlineStr">
        <is>
          <t>External Review</t>
        </is>
      </c>
      <c r="AA60" t="inlineStr">
        <is>
          <t>HUB SHIPPING LLC-LED</t>
        </is>
      </c>
      <c r="AB60" t="inlineStr">
        <is>
          <t>Collect</t>
        </is>
      </c>
      <c r="AC60" t="inlineStr">
        <is>
          <t>LI DA XING/VOYAGE 1</t>
        </is>
      </c>
      <c r="AE60" t="inlineStr">
        <is>
          <t>LADEN BOOKING</t>
        </is>
      </c>
      <c r="AF60" t="inlineStr">
        <is>
          <t>RenniUAM</t>
        </is>
      </c>
      <c r="AG60" t="inlineStr">
        <is>
          <t>HC40</t>
        </is>
      </c>
      <c r="AH60" t="inlineStr">
        <is>
          <t>NO</t>
        </is>
      </c>
      <c r="AI60" t="n">
        <v>40</v>
      </c>
      <c r="AJ60" t="n">
        <v>0</v>
      </c>
      <c r="AK60" t="n">
        <v>2</v>
      </c>
      <c r="AL60" t="inlineStr">
        <is>
          <t>ANON0000000,
ANON0000000</t>
        </is>
      </c>
      <c r="AP60" t="inlineStr">
        <is>
          <t>Non Haz</t>
        </is>
      </c>
      <c r="AQ60" t="inlineStr">
        <is>
          <t>CY/CY</t>
        </is>
      </c>
      <c r="AT60" t="inlineStr">
        <is>
          <t>REF000000</t>
        </is>
      </c>
      <c r="AU60" t="n">
        <v>26000</v>
      </c>
      <c r="AV60" t="inlineStr">
        <is>
          <t>GENERAL COMMODITY</t>
        </is>
      </c>
      <c r="AX60" t="inlineStr">
        <is>
          <t>MRG382813</t>
        </is>
      </c>
      <c r="AY60" t="inlineStr">
        <is>
          <t>LINE</t>
        </is>
      </c>
      <c r="AZ60" t="n">
        <v>0</v>
      </c>
      <c r="BA60" t="n">
        <v>14</v>
      </c>
      <c r="BB60" t="n">
        <v>14</v>
      </c>
      <c r="BC60" t="n">
        <v>4600</v>
      </c>
      <c r="BD60" t="inlineStr">
        <is>
          <t>Yes</t>
        </is>
      </c>
      <c r="BF60" t="inlineStr">
        <is>
          <t>ARTHA SHIPPING</t>
        </is>
      </c>
      <c r="BG60" t="inlineStr">
        <is>
          <t>RULED</t>
        </is>
      </c>
      <c r="BH60" t="n">
        <v>0</v>
      </c>
      <c r="BI60" t="n">
        <v>2</v>
      </c>
      <c r="BJ60" t="n">
        <v>9200</v>
      </c>
      <c r="BK60" t="inlineStr">
        <is>
          <t>LINE</t>
        </is>
      </c>
      <c r="BL60" t="inlineStr">
        <is>
          <t>FALCON DRY</t>
        </is>
      </c>
      <c r="BM60" t="inlineStr">
        <is>
          <t>FALCON DRY</t>
        </is>
      </c>
    </row>
    <row r="61">
      <c r="A61" t="n">
        <v>60</v>
      </c>
      <c r="B61" t="inlineStr">
        <is>
          <t>WHALE REEFER</t>
        </is>
      </c>
      <c r="C61" t="inlineStr">
        <is>
          <t>REF000000</t>
        </is>
      </c>
      <c r="D61" t="inlineStr">
        <is>
          <t>REF000000</t>
        </is>
      </c>
      <c r="E61" t="inlineStr">
        <is>
          <t>22-DEC-2025</t>
        </is>
      </c>
      <c r="F61" t="inlineStr">
        <is>
          <t>WHALE REEFER</t>
        </is>
      </c>
      <c r="G61" t="inlineStr">
        <is>
          <t>PREPAID ABROAD</t>
        </is>
      </c>
      <c r="H61" t="inlineStr">
        <is>
          <t>Regional Operations_UNIMAR</t>
        </is>
      </c>
      <c r="J61" t="n">
        <v>46032</v>
      </c>
      <c r="K61" t="n">
        <v>46031</v>
      </c>
      <c r="L61" t="n">
        <v>46032</v>
      </c>
      <c r="M61" t="inlineStr">
        <is>
          <t>REF000000</t>
        </is>
      </c>
      <c r="N61" t="inlineStr">
        <is>
          <t>USHOU</t>
        </is>
      </c>
      <c r="O61" t="inlineStr">
        <is>
          <t>USHOU</t>
        </is>
      </c>
      <c r="P61" t="inlineStr">
        <is>
          <t>RUBLT</t>
        </is>
      </c>
      <c r="U61" t="inlineStr">
        <is>
          <t>RUBLT</t>
        </is>
      </c>
      <c r="V61" t="inlineStr">
        <is>
          <t>RUBLT</t>
        </is>
      </c>
      <c r="W61" t="inlineStr">
        <is>
          <t>UNITED STATES</t>
        </is>
      </c>
      <c r="X61" t="inlineStr">
        <is>
          <t>Latin America</t>
        </is>
      </c>
      <c r="Y61" t="inlineStr">
        <is>
          <t>RUSSIA</t>
        </is>
      </c>
      <c r="Z61" t="inlineStr">
        <is>
          <t>External Review</t>
        </is>
      </c>
      <c r="AA61" t="inlineStr">
        <is>
          <t>HUB Shipping-Kaliningrad</t>
        </is>
      </c>
      <c r="AB61" t="inlineStr">
        <is>
          <t>Prepaid</t>
        </is>
      </c>
      <c r="AC61" t="inlineStr">
        <is>
          <t>MERCURY/25016E</t>
        </is>
      </c>
      <c r="AD61" t="inlineStr">
        <is>
          <t>SPARTA / SP1010109SB</t>
        </is>
      </c>
      <c r="AE61" t="inlineStr">
        <is>
          <t>LADEN BOOKING</t>
        </is>
      </c>
      <c r="AF61" t="inlineStr">
        <is>
          <t>Joao Ribeiro</t>
        </is>
      </c>
      <c r="AG61" t="inlineStr">
        <is>
          <t>RH40</t>
        </is>
      </c>
      <c r="AH61" t="inlineStr">
        <is>
          <t>NO</t>
        </is>
      </c>
      <c r="AI61" t="n">
        <v>40</v>
      </c>
      <c r="AJ61" t="n">
        <v>0</v>
      </c>
      <c r="AK61" t="n">
        <v>1</v>
      </c>
      <c r="AL61" t="inlineStr">
        <is>
          <t>ANON0000000</t>
        </is>
      </c>
      <c r="AM61" t="n">
        <v>-18</v>
      </c>
      <c r="AP61" t="inlineStr">
        <is>
          <t>Non Haz</t>
        </is>
      </c>
      <c r="AQ61" t="inlineStr">
        <is>
          <t>CY/CY</t>
        </is>
      </c>
      <c r="AT61" t="inlineStr">
        <is>
          <t>REF000000</t>
        </is>
      </c>
      <c r="AU61" t="n">
        <v>27000</v>
      </c>
      <c r="AV61" t="inlineStr">
        <is>
          <t>FROZEN MEAT &amp; FRUIT PULP</t>
        </is>
      </c>
      <c r="AX61" t="inlineStr">
        <is>
          <t>RSUAM122500018</t>
        </is>
      </c>
      <c r="AZ61" t="n">
        <v>2</v>
      </c>
      <c r="BA61" t="n">
        <v>25</v>
      </c>
      <c r="BB61" t="n">
        <v>15</v>
      </c>
      <c r="BC61" t="n">
        <v>9200</v>
      </c>
      <c r="BD61" t="inlineStr">
        <is>
          <t>No</t>
        </is>
      </c>
      <c r="BF61" t="inlineStr">
        <is>
          <t>ARTHA SHIPPING</t>
        </is>
      </c>
      <c r="BG61" t="inlineStr">
        <is>
          <t>USHOU</t>
        </is>
      </c>
      <c r="BH61" t="n">
        <v>0</v>
      </c>
      <c r="BI61" t="n">
        <v>1</v>
      </c>
      <c r="BJ61" t="n">
        <v>9200</v>
      </c>
      <c r="BK61" t="inlineStr">
        <is>
          <t>LINE</t>
        </is>
      </c>
      <c r="BL61" t="inlineStr">
        <is>
          <t>WHALE REEFER</t>
        </is>
      </c>
      <c r="BM61" t="inlineStr">
        <is>
          <t>WHALE REEFER</t>
        </is>
      </c>
    </row>
    <row r="62">
      <c r="A62" t="n">
        <v>61</v>
      </c>
      <c r="B62" t="inlineStr">
        <is>
          <t>DEER DRY</t>
        </is>
      </c>
      <c r="C62" t="inlineStr">
        <is>
          <t>REF000000</t>
        </is>
      </c>
      <c r="D62" t="inlineStr">
        <is>
          <t>REF000000</t>
        </is>
      </c>
      <c r="E62" t="inlineStr">
        <is>
          <t>23-DEC-2025</t>
        </is>
      </c>
      <c r="F62" t="inlineStr">
        <is>
          <t>DEER DRY</t>
        </is>
      </c>
      <c r="G62" t="inlineStr">
        <is>
          <t>APO221202 Food Grade</t>
        </is>
      </c>
      <c r="H62" t="inlineStr">
        <is>
          <t>AdminUAM</t>
        </is>
      </c>
      <c r="J62" t="n">
        <v>46037</v>
      </c>
      <c r="K62" t="n">
        <v>46033</v>
      </c>
      <c r="L62" t="n">
        <v>46037</v>
      </c>
      <c r="M62" t="inlineStr">
        <is>
          <t>REF000000</t>
        </is>
      </c>
      <c r="N62" t="inlineStr">
        <is>
          <t>USNFK</t>
        </is>
      </c>
      <c r="O62" t="inlineStr">
        <is>
          <t>USNFK</t>
        </is>
      </c>
      <c r="P62" t="inlineStr">
        <is>
          <t>RULED</t>
        </is>
      </c>
      <c r="U62" t="inlineStr">
        <is>
          <t>RULED</t>
        </is>
      </c>
      <c r="V62" t="inlineStr">
        <is>
          <t>RULED</t>
        </is>
      </c>
      <c r="W62" t="inlineStr">
        <is>
          <t>UNITED STATES</t>
        </is>
      </c>
      <c r="X62" t="inlineStr">
        <is>
          <t>Latin America</t>
        </is>
      </c>
      <c r="Y62" t="inlineStr">
        <is>
          <t>RUSSIA</t>
        </is>
      </c>
      <c r="Z62" t="inlineStr">
        <is>
          <t>External Review</t>
        </is>
      </c>
      <c r="AA62" t="inlineStr">
        <is>
          <t>HUB SHIPPING LLC-LED</t>
        </is>
      </c>
      <c r="AB62" t="inlineStr">
        <is>
          <t>Collect</t>
        </is>
      </c>
      <c r="AC62" t="inlineStr">
        <is>
          <t>MERCURY/25016E</t>
        </is>
      </c>
      <c r="AE62" t="inlineStr">
        <is>
          <t>LADEN BOOKING</t>
        </is>
      </c>
      <c r="AF62" t="inlineStr">
        <is>
          <t>RenniUAM</t>
        </is>
      </c>
      <c r="AG62" t="inlineStr">
        <is>
          <t>DC20</t>
        </is>
      </c>
      <c r="AH62" t="inlineStr">
        <is>
          <t>NO</t>
        </is>
      </c>
      <c r="AI62" t="n">
        <v>20</v>
      </c>
      <c r="AJ62" t="n">
        <v>16</v>
      </c>
      <c r="AK62" t="n">
        <v>0</v>
      </c>
      <c r="AL62" t="inlineStr">
        <is>
          <t>ANON0000000,
ANON0000000,
ANON0000000,
ANON0000000,
ANON0000000,
ANON0000000,
ANON0000000,
ANON0000000,
ANON0000000,
ANON0000000,
ANON0000000,
ANON0000000,
ANON0000000,
ANON0000000,
ANON0000000,
ANON0000000</t>
        </is>
      </c>
      <c r="AP62" t="inlineStr">
        <is>
          <t>Non Haz</t>
        </is>
      </c>
      <c r="AQ62" t="inlineStr">
        <is>
          <t>CY/CY</t>
        </is>
      </c>
      <c r="AT62" t="inlineStr">
        <is>
          <t>REF000000</t>
        </is>
      </c>
      <c r="AU62" t="n">
        <v>26000</v>
      </c>
      <c r="AV62" t="inlineStr">
        <is>
          <t>GENERAL COMMODITY</t>
        </is>
      </c>
      <c r="AX62" t="inlineStr">
        <is>
          <t>RSUAM122500028</t>
        </is>
      </c>
      <c r="AZ62" t="n">
        <v>0</v>
      </c>
      <c r="BA62" t="n">
        <v>25</v>
      </c>
      <c r="BB62" t="n">
        <v>21</v>
      </c>
      <c r="BC62" t="n">
        <v>1750</v>
      </c>
      <c r="BD62" t="inlineStr">
        <is>
          <t>Yes</t>
        </is>
      </c>
      <c r="BF62" t="inlineStr">
        <is>
          <t>ARTHA SHIPPING</t>
        </is>
      </c>
      <c r="BG62" t="inlineStr">
        <is>
          <t>RULED</t>
        </is>
      </c>
      <c r="BH62" t="n">
        <v>16</v>
      </c>
      <c r="BI62" t="n">
        <v>0</v>
      </c>
      <c r="BJ62" t="n">
        <v>28000</v>
      </c>
      <c r="BK62" t="inlineStr">
        <is>
          <t>LINE</t>
        </is>
      </c>
      <c r="BL62" t="inlineStr">
        <is>
          <t>DEER DRY</t>
        </is>
      </c>
      <c r="BM62" t="inlineStr">
        <is>
          <t>DEER DRY</t>
        </is>
      </c>
    </row>
    <row r="63">
      <c r="A63" t="n">
        <v>62</v>
      </c>
      <c r="B63" t="inlineStr">
        <is>
          <t>SHARK REEFER</t>
        </is>
      </c>
      <c r="C63" t="inlineStr">
        <is>
          <t>REF000000</t>
        </is>
      </c>
      <c r="D63" t="inlineStr">
        <is>
          <t>REF000000</t>
        </is>
      </c>
      <c r="E63" t="inlineStr">
        <is>
          <t>23-DEC-2025</t>
        </is>
      </c>
      <c r="F63" t="inlineStr">
        <is>
          <t>SHARK REEFER</t>
        </is>
      </c>
      <c r="G63" t="inlineStr">
        <is>
          <t>PREPAID ABROAD</t>
        </is>
      </c>
      <c r="H63" t="inlineStr">
        <is>
          <t>Regional Operations_UNIMAR</t>
        </is>
      </c>
      <c r="J63" t="inlineStr">
        <is>
          <t>18-FEB-2026</t>
        </is>
      </c>
      <c r="K63" t="inlineStr">
        <is>
          <t>17-FEB-2026</t>
        </is>
      </c>
      <c r="L63" t="inlineStr">
        <is>
          <t>18-FEB-2026</t>
        </is>
      </c>
      <c r="M63" t="inlineStr">
        <is>
          <t>REF000000</t>
        </is>
      </c>
      <c r="N63" t="inlineStr">
        <is>
          <t>USNYC</t>
        </is>
      </c>
      <c r="O63" t="inlineStr">
        <is>
          <t>USNYC</t>
        </is>
      </c>
      <c r="P63" t="inlineStr">
        <is>
          <t>RULED</t>
        </is>
      </c>
      <c r="U63" t="inlineStr">
        <is>
          <t>RULED</t>
        </is>
      </c>
      <c r="V63" t="inlineStr">
        <is>
          <t>RULED</t>
        </is>
      </c>
      <c r="W63" t="inlineStr">
        <is>
          <t>UNITED STATES</t>
        </is>
      </c>
      <c r="X63" t="inlineStr">
        <is>
          <t>Latin America</t>
        </is>
      </c>
      <c r="Y63" t="inlineStr">
        <is>
          <t>RUSSIA</t>
        </is>
      </c>
      <c r="Z63" t="inlineStr">
        <is>
          <t>External Review</t>
        </is>
      </c>
      <c r="AA63" t="inlineStr">
        <is>
          <t>HUB SHIPPING LLC-LED</t>
        </is>
      </c>
      <c r="AB63" t="inlineStr">
        <is>
          <t>Prepaid</t>
        </is>
      </c>
      <c r="AC63" t="inlineStr">
        <is>
          <t>LI DA XING/VOYAGE 1</t>
        </is>
      </c>
      <c r="AE63" t="inlineStr">
        <is>
          <t>LADEN BOOKING</t>
        </is>
      </c>
      <c r="AF63" t="inlineStr">
        <is>
          <t>Joao Ribeiro</t>
        </is>
      </c>
      <c r="AG63" t="inlineStr">
        <is>
          <t>RH40</t>
        </is>
      </c>
      <c r="AH63" t="inlineStr">
        <is>
          <t>NO</t>
        </is>
      </c>
      <c r="AI63" t="n">
        <v>40</v>
      </c>
      <c r="AJ63" t="n">
        <v>0</v>
      </c>
      <c r="AK63" t="n">
        <v>1</v>
      </c>
      <c r="AL63" t="inlineStr">
        <is>
          <t>ANON0000000</t>
        </is>
      </c>
      <c r="AM63" t="n">
        <v>-18</v>
      </c>
      <c r="AP63" t="inlineStr">
        <is>
          <t>Non Haz</t>
        </is>
      </c>
      <c r="AQ63" t="inlineStr">
        <is>
          <t>CY/CY</t>
        </is>
      </c>
      <c r="AT63" t="inlineStr">
        <is>
          <t>REF000000</t>
        </is>
      </c>
      <c r="AU63" t="n">
        <v>28000</v>
      </c>
      <c r="AV63" t="inlineStr">
        <is>
          <t>FROZEN MEAT</t>
        </is>
      </c>
      <c r="AX63" t="inlineStr">
        <is>
          <t>RSUAM012600040</t>
        </is>
      </c>
      <c r="AZ63" t="n">
        <v>2</v>
      </c>
      <c r="BA63" t="n">
        <v>25</v>
      </c>
      <c r="BB63" t="n">
        <v>15</v>
      </c>
      <c r="BC63" t="n">
        <v>8150</v>
      </c>
      <c r="BD63" t="inlineStr">
        <is>
          <t>No</t>
        </is>
      </c>
      <c r="BF63" t="inlineStr">
        <is>
          <t>ARTHA SHIPPING</t>
        </is>
      </c>
      <c r="BG63" t="inlineStr">
        <is>
          <t>USNYC</t>
        </is>
      </c>
      <c r="BH63" t="n">
        <v>0</v>
      </c>
      <c r="BI63" t="n">
        <v>1</v>
      </c>
      <c r="BJ63" t="n">
        <v>8150</v>
      </c>
      <c r="BK63" t="inlineStr">
        <is>
          <t>LINE</t>
        </is>
      </c>
      <c r="BL63" t="inlineStr">
        <is>
          <t>SHARK REEFER</t>
        </is>
      </c>
      <c r="BM63" t="inlineStr">
        <is>
          <t>SHARK REEFER</t>
        </is>
      </c>
    </row>
    <row r="64">
      <c r="A64" t="n">
        <v>63</v>
      </c>
      <c r="B64" t="inlineStr">
        <is>
          <t>DOLPHIN REEFER</t>
        </is>
      </c>
      <c r="C64" t="inlineStr">
        <is>
          <t>REF000000</t>
        </is>
      </c>
      <c r="D64" t="inlineStr">
        <is>
          <t>REF000000</t>
        </is>
      </c>
      <c r="E64" t="inlineStr">
        <is>
          <t>26-DEC-2025</t>
        </is>
      </c>
      <c r="F64" t="inlineStr">
        <is>
          <t>DOLPHIN REEFER</t>
        </is>
      </c>
      <c r="G64" t="inlineStr">
        <is>
          <t>EVI261202 - FOOD GRADE</t>
        </is>
      </c>
      <c r="H64" t="inlineStr">
        <is>
          <t>AdminUAM</t>
        </is>
      </c>
      <c r="J64" t="n">
        <v>46037</v>
      </c>
      <c r="K64" t="n">
        <v>46033</v>
      </c>
      <c r="L64" t="n">
        <v>46037</v>
      </c>
      <c r="M64" t="inlineStr">
        <is>
          <t>REF000000</t>
        </is>
      </c>
      <c r="N64" t="inlineStr">
        <is>
          <t>USNFK</t>
        </is>
      </c>
      <c r="O64" t="inlineStr">
        <is>
          <t>USNFK</t>
        </is>
      </c>
      <c r="P64" t="inlineStr">
        <is>
          <t>RULED</t>
        </is>
      </c>
      <c r="U64" t="inlineStr">
        <is>
          <t>RULED</t>
        </is>
      </c>
      <c r="V64" t="inlineStr">
        <is>
          <t>RULED</t>
        </is>
      </c>
      <c r="W64" t="inlineStr">
        <is>
          <t>UNITED STATES</t>
        </is>
      </c>
      <c r="X64" t="inlineStr">
        <is>
          <t>Latin America</t>
        </is>
      </c>
      <c r="Y64" t="inlineStr">
        <is>
          <t>RUSSIA</t>
        </is>
      </c>
      <c r="Z64" t="inlineStr">
        <is>
          <t>External Review</t>
        </is>
      </c>
      <c r="AA64" t="inlineStr">
        <is>
          <t>HUB SHIPPING LLC-LED</t>
        </is>
      </c>
      <c r="AB64" t="inlineStr">
        <is>
          <t>Collect</t>
        </is>
      </c>
      <c r="AC64" t="inlineStr">
        <is>
          <t>MERCURY/25016E</t>
        </is>
      </c>
      <c r="AE64" t="inlineStr">
        <is>
          <t>LADEN BOOKING</t>
        </is>
      </c>
      <c r="AF64" t="inlineStr">
        <is>
          <t>RenniUAM</t>
        </is>
      </c>
      <c r="AG64" t="inlineStr">
        <is>
          <t>DC20</t>
        </is>
      </c>
      <c r="AH64" t="inlineStr">
        <is>
          <t>NO</t>
        </is>
      </c>
      <c r="AI64" t="n">
        <v>20</v>
      </c>
      <c r="AJ64" t="n">
        <v>4</v>
      </c>
      <c r="AK64" t="n">
        <v>0</v>
      </c>
      <c r="AL64" t="inlineStr">
        <is>
          <t>ANON0000000,
ANON0000000,
ANON0000000,
ANON0000000</t>
        </is>
      </c>
      <c r="AP64" t="inlineStr">
        <is>
          <t>Non Haz</t>
        </is>
      </c>
      <c r="AQ64" t="inlineStr">
        <is>
          <t>CY/CY</t>
        </is>
      </c>
      <c r="AT64" t="inlineStr">
        <is>
          <t>REF000000</t>
        </is>
      </c>
      <c r="AU64" t="n">
        <v>26000</v>
      </c>
      <c r="AV64" t="inlineStr">
        <is>
          <t>GENERAL COMMODITY</t>
        </is>
      </c>
      <c r="AX64" t="inlineStr">
        <is>
          <t>RSUAM122500057</t>
        </is>
      </c>
      <c r="AZ64" t="n">
        <v>0</v>
      </c>
      <c r="BA64" t="n">
        <v>14</v>
      </c>
      <c r="BB64" t="n">
        <v>14</v>
      </c>
      <c r="BC64" t="n">
        <v>2450</v>
      </c>
      <c r="BD64" t="inlineStr">
        <is>
          <t>Yes</t>
        </is>
      </c>
      <c r="BE64" t="inlineStr">
        <is>
          <t>FMC/RFHOP/40873</t>
        </is>
      </c>
      <c r="BF64" t="inlineStr">
        <is>
          <t>ARTHA SHIPPING</t>
        </is>
      </c>
      <c r="BG64" t="inlineStr">
        <is>
          <t>RULED</t>
        </is>
      </c>
      <c r="BH64" t="n">
        <v>4</v>
      </c>
      <c r="BI64" t="n">
        <v>0</v>
      </c>
      <c r="BJ64" t="n">
        <v>9800</v>
      </c>
      <c r="BK64" t="inlineStr">
        <is>
          <t>LINE</t>
        </is>
      </c>
      <c r="BL64" t="inlineStr">
        <is>
          <t>DOLPHIN REEFER</t>
        </is>
      </c>
      <c r="BM64" t="inlineStr">
        <is>
          <t>DOLPHIN REEFER</t>
        </is>
      </c>
    </row>
    <row r="65">
      <c r="A65" t="n">
        <v>64</v>
      </c>
      <c r="B65" t="inlineStr">
        <is>
          <t>MARLIN REEFER</t>
        </is>
      </c>
      <c r="C65" t="inlineStr">
        <is>
          <t>REF000000</t>
        </is>
      </c>
      <c r="D65" t="inlineStr">
        <is>
          <t>REF000000</t>
        </is>
      </c>
      <c r="E65" t="inlineStr">
        <is>
          <t>26-DEC-2025</t>
        </is>
      </c>
      <c r="F65" t="inlineStr">
        <is>
          <t>MARLIN REEFER</t>
        </is>
      </c>
      <c r="G65" t="inlineStr">
        <is>
          <t>PREPAID ABROAD</t>
        </is>
      </c>
      <c r="H65" t="inlineStr">
        <is>
          <t>Diego</t>
        </is>
      </c>
      <c r="J65" t="inlineStr">
        <is>
          <t>25-FEB-2026</t>
        </is>
      </c>
      <c r="K65" t="inlineStr">
        <is>
          <t>19-FEB-2026</t>
        </is>
      </c>
      <c r="L65" t="inlineStr">
        <is>
          <t>25-FEB-2026</t>
        </is>
      </c>
      <c r="M65" t="inlineStr">
        <is>
          <t>REF000000</t>
        </is>
      </c>
      <c r="N65" t="inlineStr">
        <is>
          <t>USNFK</t>
        </is>
      </c>
      <c r="O65" t="inlineStr">
        <is>
          <t>USNFK</t>
        </is>
      </c>
      <c r="P65" t="inlineStr">
        <is>
          <t>RULED</t>
        </is>
      </c>
      <c r="U65" t="inlineStr">
        <is>
          <t>RULED</t>
        </is>
      </c>
      <c r="V65" t="inlineStr">
        <is>
          <t>RULED</t>
        </is>
      </c>
      <c r="W65" t="inlineStr">
        <is>
          <t>UNITED STATES</t>
        </is>
      </c>
      <c r="X65" t="inlineStr">
        <is>
          <t>Latin America</t>
        </is>
      </c>
      <c r="Y65" t="inlineStr">
        <is>
          <t>RUSSIA</t>
        </is>
      </c>
      <c r="Z65" t="inlineStr">
        <is>
          <t>External Review</t>
        </is>
      </c>
      <c r="AA65" t="inlineStr">
        <is>
          <t>HUB SHIPPING LLC-LED</t>
        </is>
      </c>
      <c r="AB65" t="inlineStr">
        <is>
          <t>Prepaid</t>
        </is>
      </c>
      <c r="AC65" t="inlineStr">
        <is>
          <t>LI DA XING/VOYAGE 1</t>
        </is>
      </c>
      <c r="AE65" t="inlineStr">
        <is>
          <t>LADEN BOOKING</t>
        </is>
      </c>
      <c r="AF65" t="inlineStr">
        <is>
          <t>Joao Ribeiro</t>
        </is>
      </c>
      <c r="AG65" t="inlineStr">
        <is>
          <t>RH40</t>
        </is>
      </c>
      <c r="AH65" t="inlineStr">
        <is>
          <t>NO</t>
        </is>
      </c>
      <c r="AI65" t="n">
        <v>40</v>
      </c>
      <c r="AJ65" t="n">
        <v>0</v>
      </c>
      <c r="AK65" t="n">
        <v>1</v>
      </c>
      <c r="AL65" t="inlineStr">
        <is>
          <t>ANON0000000</t>
        </is>
      </c>
      <c r="AM65" t="n">
        <v>-18</v>
      </c>
      <c r="AP65" t="inlineStr">
        <is>
          <t>Non Haz</t>
        </is>
      </c>
      <c r="AQ65" t="inlineStr">
        <is>
          <t>CY/CY</t>
        </is>
      </c>
      <c r="AT65" t="inlineStr">
        <is>
          <t>REF000000</t>
        </is>
      </c>
      <c r="AU65" t="n">
        <v>28000</v>
      </c>
      <c r="AV65" t="inlineStr">
        <is>
          <t>FROZEN MEAT &amp; FRUIT PULP</t>
        </is>
      </c>
      <c r="AX65" t="inlineStr">
        <is>
          <t>RSUAM112500002</t>
        </is>
      </c>
      <c r="AZ65" t="n">
        <v>5</v>
      </c>
      <c r="BA65" t="n">
        <v>25</v>
      </c>
      <c r="BB65" t="n">
        <v>15</v>
      </c>
      <c r="BC65" t="n">
        <v>7000</v>
      </c>
      <c r="BD65" t="inlineStr">
        <is>
          <t>No</t>
        </is>
      </c>
      <c r="BF65" t="inlineStr">
        <is>
          <t>ARTHA SHIPPING</t>
        </is>
      </c>
      <c r="BG65" t="inlineStr">
        <is>
          <t>USNFK</t>
        </is>
      </c>
      <c r="BH65" t="n">
        <v>0</v>
      </c>
      <c r="BI65" t="n">
        <v>1</v>
      </c>
      <c r="BJ65" t="n">
        <v>7000</v>
      </c>
      <c r="BK65" t="inlineStr">
        <is>
          <t>LINE</t>
        </is>
      </c>
      <c r="BL65" t="inlineStr">
        <is>
          <t>MARLIN REEFER</t>
        </is>
      </c>
      <c r="BM65" t="inlineStr">
        <is>
          <t>MARLIN REEFER</t>
        </is>
      </c>
    </row>
    <row r="66">
      <c r="A66" t="n">
        <v>65</v>
      </c>
      <c r="B66" t="inlineStr">
        <is>
          <t>TURTLE REEFER</t>
        </is>
      </c>
      <c r="C66" t="inlineStr">
        <is>
          <t>REF000000</t>
        </is>
      </c>
      <c r="D66" t="inlineStr">
        <is>
          <t>REF000000</t>
        </is>
      </c>
      <c r="E66" t="inlineStr">
        <is>
          <t>26-DEC-2025</t>
        </is>
      </c>
      <c r="F66" t="inlineStr">
        <is>
          <t>TURTLE REEFER</t>
        </is>
      </c>
      <c r="G66" t="inlineStr">
        <is>
          <t>PREPAID ABROAD</t>
        </is>
      </c>
      <c r="H66" t="inlineStr">
        <is>
          <t>Diego</t>
        </is>
      </c>
      <c r="J66" t="n">
        <v>46037</v>
      </c>
      <c r="K66" t="n">
        <v>46033</v>
      </c>
      <c r="L66" t="n">
        <v>46037</v>
      </c>
      <c r="M66" t="inlineStr">
        <is>
          <t>REF000000</t>
        </is>
      </c>
      <c r="N66" t="inlineStr">
        <is>
          <t>USNFK</t>
        </is>
      </c>
      <c r="O66" t="inlineStr">
        <is>
          <t>USNFK</t>
        </is>
      </c>
      <c r="P66" t="inlineStr">
        <is>
          <t>RULED</t>
        </is>
      </c>
      <c r="U66" t="inlineStr">
        <is>
          <t>RULED</t>
        </is>
      </c>
      <c r="V66" t="inlineStr">
        <is>
          <t>RULED</t>
        </is>
      </c>
      <c r="W66" t="inlineStr">
        <is>
          <t>UNITED STATES</t>
        </is>
      </c>
      <c r="X66" t="inlineStr">
        <is>
          <t>Latin America</t>
        </is>
      </c>
      <c r="Y66" t="inlineStr">
        <is>
          <t>RUSSIA</t>
        </is>
      </c>
      <c r="Z66" t="inlineStr">
        <is>
          <t>External Review</t>
        </is>
      </c>
      <c r="AA66" t="inlineStr">
        <is>
          <t>HUB SHIPPING LLC-LED</t>
        </is>
      </c>
      <c r="AB66" t="inlineStr">
        <is>
          <t>Prepaid</t>
        </is>
      </c>
      <c r="AC66" t="inlineStr">
        <is>
          <t>MERCURY/25016E</t>
        </is>
      </c>
      <c r="AE66" t="inlineStr">
        <is>
          <t>LADEN BOOKING</t>
        </is>
      </c>
      <c r="AF66" t="inlineStr">
        <is>
          <t>Joao Ribeiro</t>
        </is>
      </c>
      <c r="AG66" t="inlineStr">
        <is>
          <t>RH40</t>
        </is>
      </c>
      <c r="AH66" t="inlineStr">
        <is>
          <t>NO</t>
        </is>
      </c>
      <c r="AI66" t="n">
        <v>40</v>
      </c>
      <c r="AJ66" t="n">
        <v>0</v>
      </c>
      <c r="AK66" t="n">
        <v>1</v>
      </c>
      <c r="AL66" t="inlineStr">
        <is>
          <t>ANON0000000</t>
        </is>
      </c>
      <c r="AM66" t="n">
        <v>-18</v>
      </c>
      <c r="AP66" t="inlineStr">
        <is>
          <t>Non Haz</t>
        </is>
      </c>
      <c r="AQ66" t="inlineStr">
        <is>
          <t>CY/CY</t>
        </is>
      </c>
      <c r="AT66" t="inlineStr">
        <is>
          <t>REF000000</t>
        </is>
      </c>
      <c r="AU66" t="n">
        <v>28000</v>
      </c>
      <c r="AV66" t="inlineStr">
        <is>
          <t>FROZEN MEAT &amp; FRUIT PULP</t>
        </is>
      </c>
      <c r="AX66" t="inlineStr">
        <is>
          <t>RSUAM112500002</t>
        </is>
      </c>
      <c r="AZ66" t="n">
        <v>5</v>
      </c>
      <c r="BA66" t="n">
        <v>25</v>
      </c>
      <c r="BB66" t="n">
        <v>15</v>
      </c>
      <c r="BC66" t="n">
        <v>7000</v>
      </c>
      <c r="BD66" t="inlineStr">
        <is>
          <t>No</t>
        </is>
      </c>
      <c r="BF66" t="inlineStr">
        <is>
          <t>ARTHA SHIPPING</t>
        </is>
      </c>
      <c r="BG66" t="inlineStr">
        <is>
          <t>USNFK</t>
        </is>
      </c>
      <c r="BH66" t="n">
        <v>0</v>
      </c>
      <c r="BI66" t="n">
        <v>1</v>
      </c>
      <c r="BJ66" t="n">
        <v>7000</v>
      </c>
      <c r="BK66" t="inlineStr">
        <is>
          <t>LINE</t>
        </is>
      </c>
      <c r="BL66" t="inlineStr">
        <is>
          <t>TURTLE REEFER</t>
        </is>
      </c>
      <c r="BM66" t="inlineStr">
        <is>
          <t>TURTLE REEFER</t>
        </is>
      </c>
    </row>
    <row r="67">
      <c r="A67" t="n">
        <v>66</v>
      </c>
      <c r="B67" t="inlineStr">
        <is>
          <t>ORCA REEFER</t>
        </is>
      </c>
      <c r="C67" t="inlineStr">
        <is>
          <t>REF000000</t>
        </is>
      </c>
      <c r="D67" t="inlineStr">
        <is>
          <t>REF000000</t>
        </is>
      </c>
      <c r="E67" t="inlineStr">
        <is>
          <t>29-DEC-2025</t>
        </is>
      </c>
      <c r="F67" t="inlineStr">
        <is>
          <t>ORCA REEFER</t>
        </is>
      </c>
      <c r="G67" t="inlineStr">
        <is>
          <t>APO291201 - Food Grade</t>
        </is>
      </c>
      <c r="H67" t="inlineStr">
        <is>
          <t>AdminUAM</t>
        </is>
      </c>
      <c r="J67" t="inlineStr">
        <is>
          <t>18-FEB-2026</t>
        </is>
      </c>
      <c r="K67" t="inlineStr">
        <is>
          <t>17-FEB-2026</t>
        </is>
      </c>
      <c r="L67" t="inlineStr">
        <is>
          <t>18-FEB-2026</t>
        </is>
      </c>
      <c r="M67" t="inlineStr">
        <is>
          <t>REF000000</t>
        </is>
      </c>
      <c r="N67" t="inlineStr">
        <is>
          <t>USNYC</t>
        </is>
      </c>
      <c r="O67" t="inlineStr">
        <is>
          <t>USNYC</t>
        </is>
      </c>
      <c r="P67" t="inlineStr">
        <is>
          <t>RULED</t>
        </is>
      </c>
      <c r="U67" t="inlineStr">
        <is>
          <t>RULED</t>
        </is>
      </c>
      <c r="V67" t="inlineStr">
        <is>
          <t>RULED</t>
        </is>
      </c>
      <c r="W67" t="inlineStr">
        <is>
          <t>UNITED STATES</t>
        </is>
      </c>
      <c r="X67" t="inlineStr">
        <is>
          <t>Latin America</t>
        </is>
      </c>
      <c r="Y67" t="inlineStr">
        <is>
          <t>RUSSIA</t>
        </is>
      </c>
      <c r="Z67" t="inlineStr">
        <is>
          <t>External Review</t>
        </is>
      </c>
      <c r="AA67" t="inlineStr">
        <is>
          <t>HUB SHIPPING LLC-LED</t>
        </is>
      </c>
      <c r="AB67" t="inlineStr">
        <is>
          <t>Collect</t>
        </is>
      </c>
      <c r="AC67" t="inlineStr">
        <is>
          <t>LI DA XING/VOYAGE 1</t>
        </is>
      </c>
      <c r="AE67" t="inlineStr">
        <is>
          <t>LADEN BOOKING</t>
        </is>
      </c>
      <c r="AF67" t="inlineStr">
        <is>
          <t>RenniUAM</t>
        </is>
      </c>
      <c r="AG67" t="inlineStr">
        <is>
          <t>DC20</t>
        </is>
      </c>
      <c r="AH67" t="inlineStr">
        <is>
          <t>NO</t>
        </is>
      </c>
      <c r="AI67" t="n">
        <v>20</v>
      </c>
      <c r="AJ67" t="n">
        <v>10</v>
      </c>
      <c r="AK67" t="n">
        <v>0</v>
      </c>
      <c r="AL67" t="inlineStr">
        <is>
          <t>ANON0000000,
ANON0000000,
ANON0000000,
ANON0000000,
ANON0000000,
ANON0000000,
ANON0000000,
ANON0000000,
ANON0000000,
ANON0000000</t>
        </is>
      </c>
      <c r="AP67" t="inlineStr">
        <is>
          <t>Non Haz</t>
        </is>
      </c>
      <c r="AQ67" t="inlineStr">
        <is>
          <t>CY/CY</t>
        </is>
      </c>
      <c r="AT67" t="inlineStr">
        <is>
          <t>REF000000</t>
        </is>
      </c>
      <c r="AU67" t="n">
        <v>23000</v>
      </c>
      <c r="AV67" t="inlineStr">
        <is>
          <t>GENERAL COMMODITY</t>
        </is>
      </c>
      <c r="AX67" t="inlineStr">
        <is>
          <t>RSUAM012600049</t>
        </is>
      </c>
      <c r="AZ67" t="n">
        <v>0</v>
      </c>
      <c r="BA67" t="n">
        <v>14</v>
      </c>
      <c r="BB67" t="n">
        <v>21</v>
      </c>
      <c r="BC67" t="n">
        <v>1750</v>
      </c>
      <c r="BD67" t="inlineStr">
        <is>
          <t>Yes</t>
        </is>
      </c>
      <c r="BF67" t="inlineStr">
        <is>
          <t>ARTHA SHIPPING</t>
        </is>
      </c>
      <c r="BG67" t="inlineStr">
        <is>
          <t>RULED</t>
        </is>
      </c>
      <c r="BH67" t="n">
        <v>10</v>
      </c>
      <c r="BI67" t="n">
        <v>0</v>
      </c>
      <c r="BJ67" t="n">
        <v>17500</v>
      </c>
      <c r="BK67" t="inlineStr">
        <is>
          <t>LINE</t>
        </is>
      </c>
      <c r="BL67" t="inlineStr">
        <is>
          <t>ORCA REEFER</t>
        </is>
      </c>
      <c r="BM67" t="inlineStr">
        <is>
          <t>ORCA REEFER</t>
        </is>
      </c>
    </row>
    <row r="68">
      <c r="A68" t="n">
        <v>67</v>
      </c>
      <c r="B68" t="inlineStr">
        <is>
          <t>WHALE REEFER</t>
        </is>
      </c>
      <c r="C68" t="inlineStr">
        <is>
          <t>REF000000</t>
        </is>
      </c>
      <c r="D68" t="inlineStr">
        <is>
          <t>REF000000</t>
        </is>
      </c>
      <c r="E68" t="inlineStr">
        <is>
          <t>29-DEC-2025</t>
        </is>
      </c>
      <c r="F68" t="inlineStr">
        <is>
          <t>WHALE REEFER</t>
        </is>
      </c>
      <c r="G68" t="inlineStr">
        <is>
          <t>PREPAID ABROAD</t>
        </is>
      </c>
      <c r="H68" t="inlineStr">
        <is>
          <t>Regional Operations_UNIMAR</t>
        </is>
      </c>
      <c r="J68" t="inlineStr">
        <is>
          <t>18-FEB-2026</t>
        </is>
      </c>
      <c r="K68" t="inlineStr">
        <is>
          <t>17-FEB-2026</t>
        </is>
      </c>
      <c r="L68" t="inlineStr">
        <is>
          <t>18-FEB-2026</t>
        </is>
      </c>
      <c r="M68" t="inlineStr">
        <is>
          <t>REF000000</t>
        </is>
      </c>
      <c r="N68" t="inlineStr">
        <is>
          <t>USNYC</t>
        </is>
      </c>
      <c r="O68" t="inlineStr">
        <is>
          <t>USNYC</t>
        </is>
      </c>
      <c r="P68" t="inlineStr">
        <is>
          <t>RUBLT</t>
        </is>
      </c>
      <c r="U68" t="inlineStr">
        <is>
          <t>RUBLT</t>
        </is>
      </c>
      <c r="V68" t="inlineStr">
        <is>
          <t>RUBLT</t>
        </is>
      </c>
      <c r="W68" t="inlineStr">
        <is>
          <t>UNITED STATES</t>
        </is>
      </c>
      <c r="X68" t="inlineStr">
        <is>
          <t>Latin America</t>
        </is>
      </c>
      <c r="Y68" t="inlineStr">
        <is>
          <t>RUSSIA</t>
        </is>
      </c>
      <c r="Z68" t="inlineStr">
        <is>
          <t>External Review</t>
        </is>
      </c>
      <c r="AA68" t="inlineStr">
        <is>
          <t>HUB Shipping-Kaliningrad</t>
        </is>
      </c>
      <c r="AB68" t="inlineStr">
        <is>
          <t>Prepaid</t>
        </is>
      </c>
      <c r="AC68" t="inlineStr">
        <is>
          <t>LI DA XING/VOYAGE 1</t>
        </is>
      </c>
      <c r="AE68" t="inlineStr">
        <is>
          <t>LADEN BOOKING</t>
        </is>
      </c>
      <c r="AF68" t="inlineStr">
        <is>
          <t>Joao Ribeiro</t>
        </is>
      </c>
      <c r="AG68" t="inlineStr">
        <is>
          <t>RH40</t>
        </is>
      </c>
      <c r="AH68" t="inlineStr">
        <is>
          <t>NO</t>
        </is>
      </c>
      <c r="AI68" t="n">
        <v>40</v>
      </c>
      <c r="AJ68" t="n">
        <v>0</v>
      </c>
      <c r="AK68" t="n">
        <v>1</v>
      </c>
      <c r="AL68" t="inlineStr">
        <is>
          <t>ANON0000000</t>
        </is>
      </c>
      <c r="AM68" t="n">
        <v>-18</v>
      </c>
      <c r="AP68" t="inlineStr">
        <is>
          <t>Non Haz</t>
        </is>
      </c>
      <c r="AQ68" t="inlineStr">
        <is>
          <t>CY/CY</t>
        </is>
      </c>
      <c r="AT68" t="inlineStr">
        <is>
          <t>REF000000</t>
        </is>
      </c>
      <c r="AU68" t="n">
        <v>28000</v>
      </c>
      <c r="AV68" t="inlineStr">
        <is>
          <t>FROZEN MEAT</t>
        </is>
      </c>
      <c r="AX68" t="inlineStr">
        <is>
          <t>RSUAM012600044</t>
        </is>
      </c>
      <c r="AZ68" t="n">
        <v>2</v>
      </c>
      <c r="BA68" t="n">
        <v>25</v>
      </c>
      <c r="BB68" t="n">
        <v>15</v>
      </c>
      <c r="BC68" t="n">
        <v>9350</v>
      </c>
      <c r="BD68" t="inlineStr">
        <is>
          <t>No</t>
        </is>
      </c>
      <c r="BF68" t="inlineStr">
        <is>
          <t>ARTHA SHIPPING</t>
        </is>
      </c>
      <c r="BG68" t="inlineStr">
        <is>
          <t>USNYC</t>
        </is>
      </c>
      <c r="BH68" t="n">
        <v>0</v>
      </c>
      <c r="BI68" t="n">
        <v>1</v>
      </c>
      <c r="BJ68" t="n">
        <v>9350</v>
      </c>
      <c r="BK68" t="inlineStr">
        <is>
          <t>LINE</t>
        </is>
      </c>
      <c r="BL68" t="inlineStr">
        <is>
          <t>WHALE REEFER</t>
        </is>
      </c>
      <c r="BM68" t="inlineStr">
        <is>
          <t>WHALE REEFER</t>
        </is>
      </c>
    </row>
    <row r="69">
      <c r="A69" t="n">
        <v>68</v>
      </c>
      <c r="B69" t="inlineStr">
        <is>
          <t>DEER DRY</t>
        </is>
      </c>
      <c r="C69" t="inlineStr">
        <is>
          <t>REF000000</t>
        </is>
      </c>
      <c r="D69" t="inlineStr">
        <is>
          <t>REF000000</t>
        </is>
      </c>
      <c r="E69" t="inlineStr">
        <is>
          <t>30-DEC-2025</t>
        </is>
      </c>
      <c r="F69" t="inlineStr">
        <is>
          <t>DEER DRY</t>
        </is>
      </c>
      <c r="H69" t="inlineStr">
        <is>
          <t>AdminUAM</t>
        </is>
      </c>
      <c r="J69" t="inlineStr">
        <is>
          <t>25-FEB-2026</t>
        </is>
      </c>
      <c r="K69" t="inlineStr">
        <is>
          <t>19-FEB-2026</t>
        </is>
      </c>
      <c r="L69" t="inlineStr">
        <is>
          <t>25-FEB-2026</t>
        </is>
      </c>
      <c r="M69" t="inlineStr">
        <is>
          <t>REF000000</t>
        </is>
      </c>
      <c r="N69" t="inlineStr">
        <is>
          <t>USNFK</t>
        </is>
      </c>
      <c r="O69" t="inlineStr">
        <is>
          <t>USNFK</t>
        </is>
      </c>
      <c r="P69" t="inlineStr">
        <is>
          <t>RULED</t>
        </is>
      </c>
      <c r="U69" t="inlineStr">
        <is>
          <t>RULED</t>
        </is>
      </c>
      <c r="V69" t="inlineStr">
        <is>
          <t>RULED</t>
        </is>
      </c>
      <c r="W69" t="inlineStr">
        <is>
          <t>UNITED STATES</t>
        </is>
      </c>
      <c r="X69" t="inlineStr">
        <is>
          <t>Latin America</t>
        </is>
      </c>
      <c r="Y69" t="inlineStr">
        <is>
          <t>RUSSIA</t>
        </is>
      </c>
      <c r="Z69" t="inlineStr">
        <is>
          <t>External Review</t>
        </is>
      </c>
      <c r="AA69" t="inlineStr">
        <is>
          <t>HUB SHIPPING LLC-LED</t>
        </is>
      </c>
      <c r="AB69" t="inlineStr">
        <is>
          <t>Collect</t>
        </is>
      </c>
      <c r="AC69" t="inlineStr">
        <is>
          <t>LI DA XING/VOYAGE 1</t>
        </is>
      </c>
      <c r="AE69" t="inlineStr">
        <is>
          <t>LADEN BOOKING</t>
        </is>
      </c>
      <c r="AF69" t="inlineStr">
        <is>
          <t>RenniUAM</t>
        </is>
      </c>
      <c r="AG69" t="inlineStr">
        <is>
          <t>HC40</t>
        </is>
      </c>
      <c r="AH69" t="inlineStr">
        <is>
          <t>NO</t>
        </is>
      </c>
      <c r="AI69" t="n">
        <v>40</v>
      </c>
      <c r="AJ69" t="n">
        <v>0</v>
      </c>
      <c r="AK69" t="n">
        <v>1</v>
      </c>
      <c r="AL69" t="inlineStr">
        <is>
          <t>ANON0000000</t>
        </is>
      </c>
      <c r="AP69" t="inlineStr">
        <is>
          <t>Non Haz</t>
        </is>
      </c>
      <c r="AQ69" t="inlineStr">
        <is>
          <t>CY/CY</t>
        </is>
      </c>
      <c r="AT69" t="inlineStr">
        <is>
          <t>REF000000</t>
        </is>
      </c>
      <c r="AU69" t="n">
        <v>26000</v>
      </c>
      <c r="AV69" t="inlineStr">
        <is>
          <t>GENERAL COMMODITY</t>
        </is>
      </c>
      <c r="AX69" t="inlineStr">
        <is>
          <t>MRG382814</t>
        </is>
      </c>
      <c r="AY69" t="inlineStr">
        <is>
          <t>LINE</t>
        </is>
      </c>
      <c r="AZ69" t="n">
        <v>0</v>
      </c>
      <c r="BA69" t="n">
        <v>14</v>
      </c>
      <c r="BB69" t="n">
        <v>14</v>
      </c>
      <c r="BC69" t="n">
        <v>4400</v>
      </c>
      <c r="BD69" t="inlineStr">
        <is>
          <t>Yes</t>
        </is>
      </c>
      <c r="BF69" t="inlineStr">
        <is>
          <t>ARTHA SHIPPING</t>
        </is>
      </c>
      <c r="BG69" t="inlineStr">
        <is>
          <t>RULED</t>
        </is>
      </c>
      <c r="BH69" t="n">
        <v>0</v>
      </c>
      <c r="BI69" t="n">
        <v>1</v>
      </c>
      <c r="BJ69" t="n">
        <v>4400</v>
      </c>
      <c r="BK69" t="inlineStr">
        <is>
          <t>LINE</t>
        </is>
      </c>
      <c r="BL69" t="inlineStr">
        <is>
          <t>DEER DRY</t>
        </is>
      </c>
      <c r="BM69" t="inlineStr">
        <is>
          <t>DEER DRY</t>
        </is>
      </c>
    </row>
    <row r="70">
      <c r="A70" t="n">
        <v>69</v>
      </c>
      <c r="B70" t="inlineStr">
        <is>
          <t>SHARK REEFER</t>
        </is>
      </c>
      <c r="C70" t="inlineStr">
        <is>
          <t>REF000000</t>
        </is>
      </c>
      <c r="D70" t="inlineStr">
        <is>
          <t>REF000000</t>
        </is>
      </c>
      <c r="E70" t="n">
        <v>46027</v>
      </c>
      <c r="F70" t="inlineStr">
        <is>
          <t>SHARK REEFER</t>
        </is>
      </c>
      <c r="G70" t="inlineStr">
        <is>
          <t>PREPAID ABROAD</t>
        </is>
      </c>
      <c r="H70" t="inlineStr">
        <is>
          <t>Regional Operations_UNIMAR</t>
        </is>
      </c>
      <c r="J70" t="inlineStr">
        <is>
          <t>19-FEB-2026</t>
        </is>
      </c>
      <c r="K70" t="inlineStr">
        <is>
          <t>19-FEB-2026</t>
        </is>
      </c>
      <c r="L70" t="inlineStr">
        <is>
          <t>19-FEB-2026</t>
        </is>
      </c>
      <c r="M70" t="inlineStr">
        <is>
          <t>REF000000</t>
        </is>
      </c>
      <c r="N70" t="inlineStr">
        <is>
          <t>USHOU</t>
        </is>
      </c>
      <c r="O70" t="inlineStr">
        <is>
          <t>USHOU</t>
        </is>
      </c>
      <c r="P70" t="inlineStr">
        <is>
          <t>RUBLT</t>
        </is>
      </c>
      <c r="U70" t="inlineStr">
        <is>
          <t>RUBLT</t>
        </is>
      </c>
      <c r="V70" t="inlineStr">
        <is>
          <t>RUBLT</t>
        </is>
      </c>
      <c r="W70" t="inlineStr">
        <is>
          <t>UNITED STATES</t>
        </is>
      </c>
      <c r="X70" t="inlineStr">
        <is>
          <t>Latin America</t>
        </is>
      </c>
      <c r="Y70" t="inlineStr">
        <is>
          <t>RUSSIA</t>
        </is>
      </c>
      <c r="Z70" t="inlineStr">
        <is>
          <t>External Review</t>
        </is>
      </c>
      <c r="AA70" t="inlineStr">
        <is>
          <t>HUB Shipping-Kaliningrad</t>
        </is>
      </c>
      <c r="AB70" t="inlineStr">
        <is>
          <t>Prepaid</t>
        </is>
      </c>
      <c r="AC70" t="inlineStr">
        <is>
          <t>LI DA XING/VOYAGE 1</t>
        </is>
      </c>
      <c r="AE70" t="inlineStr">
        <is>
          <t>LADEN BOOKING</t>
        </is>
      </c>
      <c r="AF70" t="inlineStr">
        <is>
          <t>Joao Ribeiro</t>
        </is>
      </c>
      <c r="AG70" t="inlineStr">
        <is>
          <t>RH40</t>
        </is>
      </c>
      <c r="AH70" t="inlineStr">
        <is>
          <t>NO</t>
        </is>
      </c>
      <c r="AI70" t="n">
        <v>40</v>
      </c>
      <c r="AJ70" t="n">
        <v>0</v>
      </c>
      <c r="AK70" t="n">
        <v>8</v>
      </c>
      <c r="AL70" t="inlineStr">
        <is>
          <t>ANON0000000,
ANON0000000,
ANON0000000,
ANON0000000,
ANON0000000,
ANON0000000,
ANON0000000,
ANON0000000</t>
        </is>
      </c>
      <c r="AM70" t="n">
        <v>-22.22</v>
      </c>
      <c r="AP70" t="inlineStr">
        <is>
          <t>Non Haz</t>
        </is>
      </c>
      <c r="AQ70" t="inlineStr">
        <is>
          <t>CY/CY</t>
        </is>
      </c>
      <c r="AT70" t="inlineStr">
        <is>
          <t>REF000000,
REF000000,
REF000000,
REF000000,
REF000000,
REF000000,
REF000000,
REF000000</t>
        </is>
      </c>
      <c r="AU70" t="n">
        <v>28000</v>
      </c>
      <c r="AV70" t="inlineStr">
        <is>
          <t>FROZEN MEAT</t>
        </is>
      </c>
      <c r="AX70" t="inlineStr">
        <is>
          <t>RSUAM022600006</t>
        </is>
      </c>
      <c r="AZ70" t="n">
        <v>4</v>
      </c>
      <c r="BA70" t="n">
        <v>30</v>
      </c>
      <c r="BB70" t="n">
        <v>10</v>
      </c>
      <c r="BC70" t="n">
        <v>9620</v>
      </c>
      <c r="BD70" t="inlineStr">
        <is>
          <t>No</t>
        </is>
      </c>
      <c r="BF70" t="inlineStr">
        <is>
          <t>ARTHA SHIPPING</t>
        </is>
      </c>
      <c r="BG70" t="inlineStr">
        <is>
          <t>USHOU</t>
        </is>
      </c>
      <c r="BH70" t="n">
        <v>0</v>
      </c>
      <c r="BI70" t="n">
        <v>8</v>
      </c>
      <c r="BJ70" t="n">
        <v>76960</v>
      </c>
      <c r="BK70" t="inlineStr">
        <is>
          <t>LINE</t>
        </is>
      </c>
      <c r="BL70" t="inlineStr">
        <is>
          <t>SHARK REEFER</t>
        </is>
      </c>
      <c r="BM70" t="inlineStr">
        <is>
          <t>SHARK REEFER</t>
        </is>
      </c>
    </row>
    <row r="71">
      <c r="A71" t="n">
        <v>70</v>
      </c>
      <c r="B71" t="inlineStr">
        <is>
          <t>DOLPHIN REEFER</t>
        </is>
      </c>
      <c r="C71" t="inlineStr">
        <is>
          <t>REF000000</t>
        </is>
      </c>
      <c r="D71" t="inlineStr">
        <is>
          <t>REF000000</t>
        </is>
      </c>
      <c r="E71" t="n">
        <v>46028</v>
      </c>
      <c r="F71" t="inlineStr">
        <is>
          <t>DOLPHIN REEFER</t>
        </is>
      </c>
      <c r="G71" t="inlineStr">
        <is>
          <t>PREPAID</t>
        </is>
      </c>
      <c r="H71" t="inlineStr">
        <is>
          <t>Diego</t>
        </is>
      </c>
      <c r="J71" t="inlineStr">
        <is>
          <t>25-FEB-2026</t>
        </is>
      </c>
      <c r="K71" t="inlineStr">
        <is>
          <t>19-FEB-2026</t>
        </is>
      </c>
      <c r="L71" t="inlineStr">
        <is>
          <t>25-FEB-2026</t>
        </is>
      </c>
      <c r="M71" t="inlineStr">
        <is>
          <t>REF000000</t>
        </is>
      </c>
      <c r="N71" t="inlineStr">
        <is>
          <t>USNFK</t>
        </is>
      </c>
      <c r="O71" t="inlineStr">
        <is>
          <t>USNFK</t>
        </is>
      </c>
      <c r="P71" t="inlineStr">
        <is>
          <t>RULED</t>
        </is>
      </c>
      <c r="U71" t="inlineStr">
        <is>
          <t>RULED</t>
        </is>
      </c>
      <c r="V71" t="inlineStr">
        <is>
          <t>RULED</t>
        </is>
      </c>
      <c r="W71" t="inlineStr">
        <is>
          <t>UNITED STATES</t>
        </is>
      </c>
      <c r="X71" t="inlineStr">
        <is>
          <t>Latin America</t>
        </is>
      </c>
      <c r="Y71" t="inlineStr">
        <is>
          <t>RUSSIA</t>
        </is>
      </c>
      <c r="Z71" t="inlineStr">
        <is>
          <t>External Review</t>
        </is>
      </c>
      <c r="AA71" t="inlineStr">
        <is>
          <t>HUB SHIPPING LLC-LED</t>
        </is>
      </c>
      <c r="AB71" t="inlineStr">
        <is>
          <t>Prepaid</t>
        </is>
      </c>
      <c r="AC71" t="inlineStr">
        <is>
          <t>LI DA XING/VOYAGE 1</t>
        </is>
      </c>
      <c r="AE71" t="inlineStr">
        <is>
          <t>LADEN BOOKING</t>
        </is>
      </c>
      <c r="AF71" t="inlineStr">
        <is>
          <t>Joao Ribeiro</t>
        </is>
      </c>
      <c r="AG71" t="inlineStr">
        <is>
          <t>RH40</t>
        </is>
      </c>
      <c r="AH71" t="inlineStr">
        <is>
          <t>NO</t>
        </is>
      </c>
      <c r="AI71" t="n">
        <v>40</v>
      </c>
      <c r="AJ71" t="n">
        <v>0</v>
      </c>
      <c r="AK71" t="n">
        <v>1</v>
      </c>
      <c r="AL71" t="inlineStr">
        <is>
          <t>ANON0000000</t>
        </is>
      </c>
      <c r="AM71" t="n">
        <v>-18</v>
      </c>
      <c r="AP71" t="inlineStr">
        <is>
          <t>Non Haz</t>
        </is>
      </c>
      <c r="AQ71" t="inlineStr">
        <is>
          <t>CY/CY</t>
        </is>
      </c>
      <c r="AT71" t="inlineStr">
        <is>
          <t>REF000000</t>
        </is>
      </c>
      <c r="AU71" t="n">
        <v>28000</v>
      </c>
      <c r="AV71" t="inlineStr">
        <is>
          <t>FROZEN MEAT &amp; FRUIT PULP</t>
        </is>
      </c>
      <c r="AX71" t="inlineStr">
        <is>
          <t>RSUAM112500002</t>
        </is>
      </c>
      <c r="AZ71" t="n">
        <v>5</v>
      </c>
      <c r="BA71" t="n">
        <v>25</v>
      </c>
      <c r="BB71" t="n">
        <v>15</v>
      </c>
      <c r="BC71" t="n">
        <v>7000</v>
      </c>
      <c r="BD71" t="inlineStr">
        <is>
          <t>No</t>
        </is>
      </c>
      <c r="BF71" t="inlineStr">
        <is>
          <t>ARTHA SHIPPING</t>
        </is>
      </c>
      <c r="BG71" t="inlineStr">
        <is>
          <t>USNFK</t>
        </is>
      </c>
      <c r="BH71" t="n">
        <v>0</v>
      </c>
      <c r="BI71" t="n">
        <v>1</v>
      </c>
      <c r="BJ71" t="n">
        <v>7000</v>
      </c>
      <c r="BK71" t="inlineStr">
        <is>
          <t>LINE</t>
        </is>
      </c>
      <c r="BL71" t="inlineStr">
        <is>
          <t>DOLPHIN REEFER</t>
        </is>
      </c>
      <c r="BM71" t="inlineStr">
        <is>
          <t>DOLPHIN REEFER</t>
        </is>
      </c>
    </row>
    <row r="72">
      <c r="A72" t="n">
        <v>71</v>
      </c>
      <c r="B72" t="inlineStr">
        <is>
          <t>MARLIN REEFER</t>
        </is>
      </c>
      <c r="C72" t="inlineStr">
        <is>
          <t>REF000000</t>
        </is>
      </c>
      <c r="D72" t="inlineStr">
        <is>
          <t>REF000000</t>
        </is>
      </c>
      <c r="E72" t="n">
        <v>46035</v>
      </c>
      <c r="F72" t="inlineStr">
        <is>
          <t>MARLIN REEFER</t>
        </is>
      </c>
      <c r="G72" t="inlineStr">
        <is>
          <t>EVI311003 - Food Grade</t>
        </is>
      </c>
      <c r="H72" t="inlineStr">
        <is>
          <t>AdminUAM</t>
        </is>
      </c>
      <c r="J72" t="inlineStr">
        <is>
          <t>18-FEB-2026</t>
        </is>
      </c>
      <c r="K72" t="inlineStr">
        <is>
          <t>17-FEB-2026</t>
        </is>
      </c>
      <c r="L72" t="inlineStr">
        <is>
          <t>18-FEB-2026</t>
        </is>
      </c>
      <c r="M72" t="inlineStr">
        <is>
          <t>REF000000</t>
        </is>
      </c>
      <c r="N72" t="inlineStr">
        <is>
          <t>USNYC</t>
        </is>
      </c>
      <c r="O72" t="inlineStr">
        <is>
          <t>USNYC</t>
        </is>
      </c>
      <c r="P72" t="inlineStr">
        <is>
          <t>RULED</t>
        </is>
      </c>
      <c r="U72" t="inlineStr">
        <is>
          <t>RULED</t>
        </is>
      </c>
      <c r="V72" t="inlineStr">
        <is>
          <t>RULED</t>
        </is>
      </c>
      <c r="W72" t="inlineStr">
        <is>
          <t>UNITED STATES</t>
        </is>
      </c>
      <c r="X72" t="inlineStr">
        <is>
          <t>Latin America</t>
        </is>
      </c>
      <c r="Y72" t="inlineStr">
        <is>
          <t>RUSSIA</t>
        </is>
      </c>
      <c r="Z72" t="inlineStr">
        <is>
          <t>External Review</t>
        </is>
      </c>
      <c r="AA72" t="inlineStr">
        <is>
          <t>HUB SHIPPING LLC-LED</t>
        </is>
      </c>
      <c r="AB72" t="inlineStr">
        <is>
          <t>Collect</t>
        </is>
      </c>
      <c r="AC72" t="inlineStr">
        <is>
          <t>LI DA XING/VOYAGE 1</t>
        </is>
      </c>
      <c r="AE72" t="inlineStr">
        <is>
          <t>LADEN BOOKING</t>
        </is>
      </c>
      <c r="AF72" t="inlineStr">
        <is>
          <t>RenniUAM</t>
        </is>
      </c>
      <c r="AG72" t="inlineStr">
        <is>
          <t>DC20</t>
        </is>
      </c>
      <c r="AH72" t="inlineStr">
        <is>
          <t>NO</t>
        </is>
      </c>
      <c r="AI72" t="n">
        <v>20</v>
      </c>
      <c r="AJ72" t="n">
        <v>10</v>
      </c>
      <c r="AK72" t="n">
        <v>0</v>
      </c>
      <c r="AL72" t="inlineStr">
        <is>
          <t>ANON0000000,
ANON0000000,
ANON0000000,
ANON0000000,
ANON0000000,
ANON0000000,
ANON0000000,
ANON0000000,
ANON0000000,
ANON0000000</t>
        </is>
      </c>
      <c r="AP72" t="inlineStr">
        <is>
          <t>Non Haz</t>
        </is>
      </c>
      <c r="AQ72" t="inlineStr">
        <is>
          <t>CY/CY</t>
        </is>
      </c>
      <c r="AT72" t="inlineStr">
        <is>
          <t>REF000000</t>
        </is>
      </c>
      <c r="AU72" t="n">
        <v>23000</v>
      </c>
      <c r="AV72" t="inlineStr">
        <is>
          <t>GENERAL COMMODITY</t>
        </is>
      </c>
      <c r="AX72" t="inlineStr">
        <is>
          <t>RSUAM012600049</t>
        </is>
      </c>
      <c r="AZ72" t="n">
        <v>0</v>
      </c>
      <c r="BA72" t="n">
        <v>14</v>
      </c>
      <c r="BB72" t="n">
        <v>21</v>
      </c>
      <c r="BC72" t="n">
        <v>1750</v>
      </c>
      <c r="BD72" t="inlineStr">
        <is>
          <t>Yes</t>
        </is>
      </c>
      <c r="BF72" t="inlineStr">
        <is>
          <t>ARTHA SHIPPING</t>
        </is>
      </c>
      <c r="BG72" t="inlineStr">
        <is>
          <t>RULED</t>
        </is>
      </c>
      <c r="BH72" t="n">
        <v>10</v>
      </c>
      <c r="BI72" t="n">
        <v>0</v>
      </c>
      <c r="BJ72" t="n">
        <v>17500</v>
      </c>
      <c r="BK72" t="inlineStr">
        <is>
          <t>LINE</t>
        </is>
      </c>
      <c r="BL72" t="inlineStr">
        <is>
          <t>MARLIN REEFER</t>
        </is>
      </c>
      <c r="BM72" t="inlineStr">
        <is>
          <t>MARLIN REEFER</t>
        </is>
      </c>
    </row>
    <row r="73">
      <c r="A73" t="n">
        <v>72</v>
      </c>
      <c r="B73" t="inlineStr">
        <is>
          <t>TURTLE REEFER</t>
        </is>
      </c>
      <c r="C73" t="inlineStr">
        <is>
          <t>REF000000</t>
        </is>
      </c>
      <c r="D73" t="inlineStr">
        <is>
          <t>REF000000</t>
        </is>
      </c>
      <c r="E73" t="n">
        <v>46035</v>
      </c>
      <c r="F73" t="inlineStr">
        <is>
          <t>TURTLE REEFER</t>
        </is>
      </c>
      <c r="G73" t="inlineStr">
        <is>
          <t>EVI311003 - Food Grade</t>
        </is>
      </c>
      <c r="H73" t="inlineStr">
        <is>
          <t>AdminUAM</t>
        </is>
      </c>
      <c r="J73" t="inlineStr">
        <is>
          <t>18-FEB-2026</t>
        </is>
      </c>
      <c r="K73" t="inlineStr">
        <is>
          <t>17-FEB-2026</t>
        </is>
      </c>
      <c r="L73" t="inlineStr">
        <is>
          <t>18-FEB-2026</t>
        </is>
      </c>
      <c r="M73" t="inlineStr">
        <is>
          <t>REF000000</t>
        </is>
      </c>
      <c r="N73" t="inlineStr">
        <is>
          <t>USNYC</t>
        </is>
      </c>
      <c r="O73" t="inlineStr">
        <is>
          <t>USNYC</t>
        </is>
      </c>
      <c r="P73" t="inlineStr">
        <is>
          <t>RULED</t>
        </is>
      </c>
      <c r="U73" t="inlineStr">
        <is>
          <t>RULED</t>
        </is>
      </c>
      <c r="V73" t="inlineStr">
        <is>
          <t>RULED</t>
        </is>
      </c>
      <c r="W73" t="inlineStr">
        <is>
          <t>UNITED STATES</t>
        </is>
      </c>
      <c r="X73" t="inlineStr">
        <is>
          <t>Latin America</t>
        </is>
      </c>
      <c r="Y73" t="inlineStr">
        <is>
          <t>RUSSIA</t>
        </is>
      </c>
      <c r="Z73" t="inlineStr">
        <is>
          <t>External Review</t>
        </is>
      </c>
      <c r="AA73" t="inlineStr">
        <is>
          <t>HUB SHIPPING LLC-LED</t>
        </is>
      </c>
      <c r="AB73" t="inlineStr">
        <is>
          <t>Collect</t>
        </is>
      </c>
      <c r="AC73" t="inlineStr">
        <is>
          <t>LI DA XING/VOYAGE 1</t>
        </is>
      </c>
      <c r="AE73" t="inlineStr">
        <is>
          <t>LADEN BOOKING</t>
        </is>
      </c>
      <c r="AF73" t="inlineStr">
        <is>
          <t>RenniUAM</t>
        </is>
      </c>
      <c r="AG73" t="inlineStr">
        <is>
          <t>DC20</t>
        </is>
      </c>
      <c r="AH73" t="inlineStr">
        <is>
          <t>NO</t>
        </is>
      </c>
      <c r="AI73" t="n">
        <v>20</v>
      </c>
      <c r="AJ73" t="n">
        <v>12</v>
      </c>
      <c r="AK73" t="n">
        <v>0</v>
      </c>
      <c r="AL73" t="inlineStr">
        <is>
          <t>ANON0000000,
ANON0000000,
ANON0000000,
ANON0000000,
ANON0000000,
ANON0000000,
ANON0000000,
ANON0000000,
ANON0000000,
ANON0000000,
ANON0000000,
ANON0000000</t>
        </is>
      </c>
      <c r="AP73" t="inlineStr">
        <is>
          <t>Non Haz</t>
        </is>
      </c>
      <c r="AQ73" t="inlineStr">
        <is>
          <t>CY/CY</t>
        </is>
      </c>
      <c r="AT73" t="inlineStr">
        <is>
          <t>REF000000</t>
        </is>
      </c>
      <c r="AU73" t="n">
        <v>23000</v>
      </c>
      <c r="AV73" t="inlineStr">
        <is>
          <t>GENERAL COMMODITY</t>
        </is>
      </c>
      <c r="AX73" t="inlineStr">
        <is>
          <t>RSUAM012600049</t>
        </is>
      </c>
      <c r="AZ73" t="n">
        <v>0</v>
      </c>
      <c r="BA73" t="n">
        <v>14</v>
      </c>
      <c r="BB73" t="n">
        <v>21</v>
      </c>
      <c r="BC73" t="n">
        <v>1750</v>
      </c>
      <c r="BD73" t="inlineStr">
        <is>
          <t>Yes</t>
        </is>
      </c>
      <c r="BF73" t="inlineStr">
        <is>
          <t>ARTHA SHIPPING</t>
        </is>
      </c>
      <c r="BG73" t="inlineStr">
        <is>
          <t>RULED</t>
        </is>
      </c>
      <c r="BH73" t="n">
        <v>12</v>
      </c>
      <c r="BI73" t="n">
        <v>0</v>
      </c>
      <c r="BJ73" t="n">
        <v>21000</v>
      </c>
      <c r="BK73" t="inlineStr">
        <is>
          <t>LINE</t>
        </is>
      </c>
      <c r="BL73" t="inlineStr">
        <is>
          <t>TURTLE REEFER</t>
        </is>
      </c>
      <c r="BM73" t="inlineStr">
        <is>
          <t>TURTLE REEFER</t>
        </is>
      </c>
    </row>
    <row r="74">
      <c r="A74" t="n">
        <v>73</v>
      </c>
      <c r="B74" t="inlineStr">
        <is>
          <t>ORCA REEFER</t>
        </is>
      </c>
      <c r="C74" t="inlineStr">
        <is>
          <t>REF000000</t>
        </is>
      </c>
      <c r="D74" t="inlineStr">
        <is>
          <t>REF000000</t>
        </is>
      </c>
      <c r="E74" t="n">
        <v>46035</v>
      </c>
      <c r="F74" t="inlineStr">
        <is>
          <t>ORCA REEFER</t>
        </is>
      </c>
      <c r="G74" t="inlineStr">
        <is>
          <t>APO120111 - Food Grade</t>
        </is>
      </c>
      <c r="H74" t="inlineStr">
        <is>
          <t>AdminUAM</t>
        </is>
      </c>
      <c r="J74" t="inlineStr">
        <is>
          <t>18-FEB-2026</t>
        </is>
      </c>
      <c r="K74" t="inlineStr">
        <is>
          <t>17-FEB-2026</t>
        </is>
      </c>
      <c r="L74" t="inlineStr">
        <is>
          <t>18-FEB-2026</t>
        </is>
      </c>
      <c r="M74" t="inlineStr">
        <is>
          <t>REF000000</t>
        </is>
      </c>
      <c r="N74" t="inlineStr">
        <is>
          <t>USNYC</t>
        </is>
      </c>
      <c r="O74" t="inlineStr">
        <is>
          <t>USNYC</t>
        </is>
      </c>
      <c r="P74" t="inlineStr">
        <is>
          <t>RULED</t>
        </is>
      </c>
      <c r="U74" t="inlineStr">
        <is>
          <t>RULED</t>
        </is>
      </c>
      <c r="V74" t="inlineStr">
        <is>
          <t>RULED</t>
        </is>
      </c>
      <c r="W74" t="inlineStr">
        <is>
          <t>UNITED STATES</t>
        </is>
      </c>
      <c r="X74" t="inlineStr">
        <is>
          <t>Latin America</t>
        </is>
      </c>
      <c r="Y74" t="inlineStr">
        <is>
          <t>RUSSIA</t>
        </is>
      </c>
      <c r="Z74" t="inlineStr">
        <is>
          <t>External Review</t>
        </is>
      </c>
      <c r="AA74" t="inlineStr">
        <is>
          <t>HUB SHIPPING LLC-LED</t>
        </is>
      </c>
      <c r="AB74" t="inlineStr">
        <is>
          <t>Collect</t>
        </is>
      </c>
      <c r="AC74" t="inlineStr">
        <is>
          <t>LI DA XING/VOYAGE 1</t>
        </is>
      </c>
      <c r="AE74" t="inlineStr">
        <is>
          <t>LADEN BOOKING</t>
        </is>
      </c>
      <c r="AF74" t="inlineStr">
        <is>
          <t>RenniUAM</t>
        </is>
      </c>
      <c r="AG74" t="inlineStr">
        <is>
          <t>DC20</t>
        </is>
      </c>
      <c r="AH74" t="inlineStr">
        <is>
          <t>NO</t>
        </is>
      </c>
      <c r="AI74" t="n">
        <v>20</v>
      </c>
      <c r="AJ74" t="n">
        <v>12</v>
      </c>
      <c r="AK74" t="n">
        <v>0</v>
      </c>
      <c r="AL74" t="inlineStr">
        <is>
          <t>ANON0000000,
ANON0000000,
ANON0000000,
ANON0000000,
ANON0000000,
ANON0000000,
ANON0000000,
ANON0000000,
ANON0000000,
ANON0000000,
ANON0000000,
ANON0000000</t>
        </is>
      </c>
      <c r="AP74" t="inlineStr">
        <is>
          <t>Non Haz</t>
        </is>
      </c>
      <c r="AQ74" t="inlineStr">
        <is>
          <t>CY/CY</t>
        </is>
      </c>
      <c r="AT74" t="inlineStr">
        <is>
          <t>REF000000</t>
        </is>
      </c>
      <c r="AU74" t="n">
        <v>23000</v>
      </c>
      <c r="AV74" t="inlineStr">
        <is>
          <t>GENERAL COMMODITY</t>
        </is>
      </c>
      <c r="AX74" t="inlineStr">
        <is>
          <t>RSUAM012600049</t>
        </is>
      </c>
      <c r="AZ74" t="n">
        <v>0</v>
      </c>
      <c r="BA74" t="n">
        <v>14</v>
      </c>
      <c r="BB74" t="n">
        <v>21</v>
      </c>
      <c r="BC74" t="n">
        <v>1750</v>
      </c>
      <c r="BD74" t="inlineStr">
        <is>
          <t>Yes</t>
        </is>
      </c>
      <c r="BF74" t="inlineStr">
        <is>
          <t>ARTHA SHIPPING</t>
        </is>
      </c>
      <c r="BG74" t="inlineStr">
        <is>
          <t>RULED</t>
        </is>
      </c>
      <c r="BH74" t="n">
        <v>12</v>
      </c>
      <c r="BI74" t="n">
        <v>0</v>
      </c>
      <c r="BJ74" t="n">
        <v>21000</v>
      </c>
      <c r="BK74" t="inlineStr">
        <is>
          <t>LINE</t>
        </is>
      </c>
      <c r="BL74" t="inlineStr">
        <is>
          <t>ORCA REEFER</t>
        </is>
      </c>
      <c r="BM74" t="inlineStr">
        <is>
          <t>ORCA REEFER</t>
        </is>
      </c>
    </row>
    <row r="75">
      <c r="A75" t="n">
        <v>74</v>
      </c>
      <c r="B75" t="inlineStr">
        <is>
          <t>WHALE REEFER</t>
        </is>
      </c>
      <c r="C75" t="inlineStr">
        <is>
          <t>REF000000</t>
        </is>
      </c>
      <c r="D75" t="inlineStr">
        <is>
          <t>REF000000</t>
        </is>
      </c>
      <c r="E75" t="n">
        <v>46036</v>
      </c>
      <c r="F75" t="inlineStr">
        <is>
          <t>WHALE REEFER</t>
        </is>
      </c>
      <c r="H75" t="inlineStr">
        <is>
          <t>AdminUAM</t>
        </is>
      </c>
      <c r="J75" t="inlineStr">
        <is>
          <t>25-FEB-2026</t>
        </is>
      </c>
      <c r="K75" t="inlineStr">
        <is>
          <t>19-FEB-2026</t>
        </is>
      </c>
      <c r="L75" t="inlineStr">
        <is>
          <t>25-FEB-2026</t>
        </is>
      </c>
      <c r="M75" t="inlineStr">
        <is>
          <t>REF000000</t>
        </is>
      </c>
      <c r="N75" t="inlineStr">
        <is>
          <t>USNFK</t>
        </is>
      </c>
      <c r="O75" t="inlineStr">
        <is>
          <t>USNFK</t>
        </is>
      </c>
      <c r="P75" t="inlineStr">
        <is>
          <t>RULED</t>
        </is>
      </c>
      <c r="U75" t="inlineStr">
        <is>
          <t>RULED</t>
        </is>
      </c>
      <c r="V75" t="inlineStr">
        <is>
          <t>RULED</t>
        </is>
      </c>
      <c r="W75" t="inlineStr">
        <is>
          <t>UNITED STATES</t>
        </is>
      </c>
      <c r="X75" t="inlineStr">
        <is>
          <t>Latin America</t>
        </is>
      </c>
      <c r="Y75" t="inlineStr">
        <is>
          <t>RUSSIA</t>
        </is>
      </c>
      <c r="Z75" t="inlineStr">
        <is>
          <t>External Review</t>
        </is>
      </c>
      <c r="AA75" t="inlineStr">
        <is>
          <t>HUB SHIPPING LLC-LED</t>
        </is>
      </c>
      <c r="AB75" t="inlineStr">
        <is>
          <t>Collect</t>
        </is>
      </c>
      <c r="AC75" t="inlineStr">
        <is>
          <t>LI DA XING/VOYAGE 1</t>
        </is>
      </c>
      <c r="AE75" t="inlineStr">
        <is>
          <t>LADEN BOOKING</t>
        </is>
      </c>
      <c r="AF75" t="inlineStr">
        <is>
          <t>RenniUAM</t>
        </is>
      </c>
      <c r="AG75" t="inlineStr">
        <is>
          <t>DC20</t>
        </is>
      </c>
      <c r="AH75" t="inlineStr">
        <is>
          <t>NO</t>
        </is>
      </c>
      <c r="AI75" t="n">
        <v>20</v>
      </c>
      <c r="AJ75" t="n">
        <v>12</v>
      </c>
      <c r="AK75" t="n">
        <v>0</v>
      </c>
      <c r="AL75" t="inlineStr">
        <is>
          <t>ANON0000000,
ANON0000000,
ANON0000000,
ANON0000000,
ANON0000000,
ANON0000000,
ANON0000000,
ANON0000000,
ANON0000000,
ANON0000000,
ANON0000000,
ANON0000000</t>
        </is>
      </c>
      <c r="AP75" t="inlineStr">
        <is>
          <t>Non Haz</t>
        </is>
      </c>
      <c r="AQ75" t="inlineStr">
        <is>
          <t>CY/CY</t>
        </is>
      </c>
      <c r="AT75" t="inlineStr">
        <is>
          <t>REF000000</t>
        </is>
      </c>
      <c r="AU75" t="n">
        <v>23000</v>
      </c>
      <c r="AV75" t="inlineStr">
        <is>
          <t>GENERAL COMMODITY</t>
        </is>
      </c>
      <c r="AX75" t="inlineStr">
        <is>
          <t>RSUAM012600050</t>
        </is>
      </c>
      <c r="AZ75" t="n">
        <v>0</v>
      </c>
      <c r="BA75" t="n">
        <v>14</v>
      </c>
      <c r="BB75" t="n">
        <v>21</v>
      </c>
      <c r="BC75" t="n">
        <v>1750</v>
      </c>
      <c r="BD75" t="inlineStr">
        <is>
          <t>Yes</t>
        </is>
      </c>
      <c r="BE75" t="inlineStr">
        <is>
          <t>FMC/RFLED/42143</t>
        </is>
      </c>
      <c r="BF75" t="inlineStr">
        <is>
          <t>ARTHA SHIPPING</t>
        </is>
      </c>
      <c r="BG75" t="inlineStr">
        <is>
          <t>RULED</t>
        </is>
      </c>
      <c r="BH75" t="n">
        <v>12</v>
      </c>
      <c r="BI75" t="n">
        <v>0</v>
      </c>
      <c r="BJ75" t="n">
        <v>21000</v>
      </c>
      <c r="BK75" t="inlineStr">
        <is>
          <t>LINE</t>
        </is>
      </c>
      <c r="BL75" t="inlineStr">
        <is>
          <t>WHALE REEFER</t>
        </is>
      </c>
      <c r="BM75" t="inlineStr">
        <is>
          <t>WHALE REEFER</t>
        </is>
      </c>
    </row>
    <row r="76">
      <c r="A76" t="n">
        <v>75</v>
      </c>
      <c r="B76" t="inlineStr">
        <is>
          <t>SEAL REEFER</t>
        </is>
      </c>
      <c r="C76" t="inlineStr">
        <is>
          <t>REF000000</t>
        </is>
      </c>
      <c r="D76" t="inlineStr">
        <is>
          <t>REF000000</t>
        </is>
      </c>
      <c r="E76" t="n">
        <v>46037</v>
      </c>
      <c r="F76" t="inlineStr">
        <is>
          <t>SEAL REEFER</t>
        </is>
      </c>
      <c r="G76" t="inlineStr">
        <is>
          <t>EVI150101 - Food Grade</t>
        </is>
      </c>
      <c r="H76" t="inlineStr">
        <is>
          <t>AdminUAM</t>
        </is>
      </c>
      <c r="J76" t="inlineStr">
        <is>
          <t>18-FEB-2026</t>
        </is>
      </c>
      <c r="K76" t="inlineStr">
        <is>
          <t>17-FEB-2026</t>
        </is>
      </c>
      <c r="L76" t="inlineStr">
        <is>
          <t>18-FEB-2026</t>
        </is>
      </c>
      <c r="M76" t="inlineStr">
        <is>
          <t>REF000000</t>
        </is>
      </c>
      <c r="N76" t="inlineStr">
        <is>
          <t>USNYC</t>
        </is>
      </c>
      <c r="O76" t="inlineStr">
        <is>
          <t>USNYC</t>
        </is>
      </c>
      <c r="P76" t="inlineStr">
        <is>
          <t>RULED</t>
        </is>
      </c>
      <c r="U76" t="inlineStr">
        <is>
          <t>RULED</t>
        </is>
      </c>
      <c r="V76" t="inlineStr">
        <is>
          <t>RULED</t>
        </is>
      </c>
      <c r="W76" t="inlineStr">
        <is>
          <t>UNITED STATES</t>
        </is>
      </c>
      <c r="X76" t="inlineStr">
        <is>
          <t>Latin America</t>
        </is>
      </c>
      <c r="Y76" t="inlineStr">
        <is>
          <t>RUSSIA</t>
        </is>
      </c>
      <c r="Z76" t="inlineStr">
        <is>
          <t>External Review</t>
        </is>
      </c>
      <c r="AA76" t="inlineStr">
        <is>
          <t>HUB SHIPPING LLC-LED</t>
        </is>
      </c>
      <c r="AB76" t="inlineStr">
        <is>
          <t>Collect</t>
        </is>
      </c>
      <c r="AC76" t="inlineStr">
        <is>
          <t>LI DA XING/VOYAGE 1</t>
        </is>
      </c>
      <c r="AE76" t="inlineStr">
        <is>
          <t>LADEN BOOKING</t>
        </is>
      </c>
      <c r="AF76" t="inlineStr">
        <is>
          <t>RenniUAM</t>
        </is>
      </c>
      <c r="AG76" t="inlineStr">
        <is>
          <t>DC20</t>
        </is>
      </c>
      <c r="AH76" t="inlineStr">
        <is>
          <t>NO</t>
        </is>
      </c>
      <c r="AI76" t="n">
        <v>20</v>
      </c>
      <c r="AJ76" t="n">
        <v>10</v>
      </c>
      <c r="AK76" t="n">
        <v>0</v>
      </c>
      <c r="AL76" t="inlineStr">
        <is>
          <t>ANON0000000,
ANON0000000,
ANON0000000,
ANON0000000,
ANON0000000,
ANON0000000,
ANON0000000,
ANON0000000,
ANON0000000,
ANON0000000</t>
        </is>
      </c>
      <c r="AP76" t="inlineStr">
        <is>
          <t>Non Haz</t>
        </is>
      </c>
      <c r="AQ76" t="inlineStr">
        <is>
          <t>CY/CY</t>
        </is>
      </c>
      <c r="AT76" t="inlineStr">
        <is>
          <t>REF000000</t>
        </is>
      </c>
      <c r="AU76" t="n">
        <v>23000</v>
      </c>
      <c r="AV76" t="inlineStr">
        <is>
          <t>GENERAL COMMODITY</t>
        </is>
      </c>
      <c r="AX76" t="inlineStr">
        <is>
          <t>RSUAM012600049</t>
        </is>
      </c>
      <c r="AZ76" t="n">
        <v>0</v>
      </c>
      <c r="BA76" t="n">
        <v>14</v>
      </c>
      <c r="BB76" t="n">
        <v>21</v>
      </c>
      <c r="BC76" t="n">
        <v>1750</v>
      </c>
      <c r="BD76" t="inlineStr">
        <is>
          <t>Yes</t>
        </is>
      </c>
      <c r="BF76" t="inlineStr">
        <is>
          <t>ARTHA SHIPPING</t>
        </is>
      </c>
      <c r="BG76" t="inlineStr">
        <is>
          <t>RULED</t>
        </is>
      </c>
      <c r="BH76" t="n">
        <v>10</v>
      </c>
      <c r="BI76" t="n">
        <v>0</v>
      </c>
      <c r="BJ76" t="n">
        <v>17500</v>
      </c>
      <c r="BK76" t="inlineStr">
        <is>
          <t>LINE</t>
        </is>
      </c>
      <c r="BL76" t="inlineStr">
        <is>
          <t>SEAL REEFER</t>
        </is>
      </c>
      <c r="BM76" t="inlineStr">
        <is>
          <t>SEAL REEFER</t>
        </is>
      </c>
    </row>
    <row r="77">
      <c r="A77" t="n">
        <v>76</v>
      </c>
      <c r="B77" t="inlineStr">
        <is>
          <t>SHARK REEFER</t>
        </is>
      </c>
      <c r="C77" t="inlineStr">
        <is>
          <t>REF000000</t>
        </is>
      </c>
      <c r="D77" t="inlineStr">
        <is>
          <t>REF000000</t>
        </is>
      </c>
      <c r="E77" t="n">
        <v>46037</v>
      </c>
      <c r="F77" t="inlineStr">
        <is>
          <t>SHARK REEFER</t>
        </is>
      </c>
      <c r="H77" t="inlineStr">
        <is>
          <t>AdminUAM</t>
        </is>
      </c>
      <c r="J77" t="inlineStr">
        <is>
          <t>25-FEB-2026</t>
        </is>
      </c>
      <c r="K77" t="inlineStr">
        <is>
          <t>19-FEB-2026</t>
        </is>
      </c>
      <c r="L77" t="inlineStr">
        <is>
          <t>25-FEB-2026</t>
        </is>
      </c>
      <c r="M77" t="inlineStr">
        <is>
          <t>REF000000</t>
        </is>
      </c>
      <c r="N77" t="inlineStr">
        <is>
          <t>USNFK</t>
        </is>
      </c>
      <c r="O77" t="inlineStr">
        <is>
          <t>USNFK</t>
        </is>
      </c>
      <c r="P77" t="inlineStr">
        <is>
          <t>RULED</t>
        </is>
      </c>
      <c r="U77" t="inlineStr">
        <is>
          <t>RULED</t>
        </is>
      </c>
      <c r="V77" t="inlineStr">
        <is>
          <t>RULED</t>
        </is>
      </c>
      <c r="W77" t="inlineStr">
        <is>
          <t>UNITED STATES</t>
        </is>
      </c>
      <c r="X77" t="inlineStr">
        <is>
          <t>Latin America</t>
        </is>
      </c>
      <c r="Y77" t="inlineStr">
        <is>
          <t>RUSSIA</t>
        </is>
      </c>
      <c r="Z77" t="inlineStr">
        <is>
          <t>External Review</t>
        </is>
      </c>
      <c r="AA77" t="inlineStr">
        <is>
          <t>HUB SHIPPING LLC-LED</t>
        </is>
      </c>
      <c r="AB77" t="inlineStr">
        <is>
          <t>Collect</t>
        </is>
      </c>
      <c r="AC77" t="inlineStr">
        <is>
          <t>LI DA XING/VOYAGE 1</t>
        </is>
      </c>
      <c r="AE77" t="inlineStr">
        <is>
          <t>LADEN BOOKING</t>
        </is>
      </c>
      <c r="AF77" t="inlineStr">
        <is>
          <t>RenniUAM</t>
        </is>
      </c>
      <c r="AG77" t="inlineStr">
        <is>
          <t>DC20</t>
        </is>
      </c>
      <c r="AH77" t="inlineStr">
        <is>
          <t>NO</t>
        </is>
      </c>
      <c r="AI77" t="n">
        <v>20</v>
      </c>
      <c r="AJ77" t="n">
        <v>12</v>
      </c>
      <c r="AK77" t="n">
        <v>0</v>
      </c>
      <c r="AL77" t="inlineStr">
        <is>
          <t>ANON0000000,
ANON0000000,
ANON0000000,
ANON0000000,
ANON0000000,
ANON0000000,
ANON0000000,
ANON0000000,
ANON0000000,
ANON0000000,
ANON0000000,
ANON0000000</t>
        </is>
      </c>
      <c r="AP77" t="inlineStr">
        <is>
          <t>Non Haz</t>
        </is>
      </c>
      <c r="AQ77" t="inlineStr">
        <is>
          <t>CY/CY</t>
        </is>
      </c>
      <c r="AT77" t="inlineStr">
        <is>
          <t>REF000000</t>
        </is>
      </c>
      <c r="AU77" t="n">
        <v>23000</v>
      </c>
      <c r="AV77" t="inlineStr">
        <is>
          <t>GENERAL COMMODITY</t>
        </is>
      </c>
      <c r="AX77" t="inlineStr">
        <is>
          <t>RSUAM012600051</t>
        </is>
      </c>
      <c r="AZ77" t="n">
        <v>0</v>
      </c>
      <c r="BA77" t="n">
        <v>14</v>
      </c>
      <c r="BB77" t="n">
        <v>21</v>
      </c>
      <c r="BC77" t="n">
        <v>1750</v>
      </c>
      <c r="BD77" t="inlineStr">
        <is>
          <t>Yes</t>
        </is>
      </c>
      <c r="BE77" t="inlineStr">
        <is>
          <t>FMC/RFLED/42136</t>
        </is>
      </c>
      <c r="BF77" t="inlineStr">
        <is>
          <t>ARTHA SHIPPING</t>
        </is>
      </c>
      <c r="BG77" t="inlineStr">
        <is>
          <t>RULED</t>
        </is>
      </c>
      <c r="BH77" t="n">
        <v>12</v>
      </c>
      <c r="BI77" t="n">
        <v>0</v>
      </c>
      <c r="BJ77" t="n">
        <v>21000</v>
      </c>
      <c r="BK77" t="inlineStr">
        <is>
          <t>LINE</t>
        </is>
      </c>
      <c r="BL77" t="inlineStr">
        <is>
          <t>SHARK REEFER</t>
        </is>
      </c>
      <c r="BM77" t="inlineStr">
        <is>
          <t>SHARK REEFER</t>
        </is>
      </c>
    </row>
    <row r="78">
      <c r="A78" t="n">
        <v>77</v>
      </c>
      <c r="B78" t="inlineStr">
        <is>
          <t>BISON DRY</t>
        </is>
      </c>
      <c r="C78" t="inlineStr">
        <is>
          <t>REF000000</t>
        </is>
      </c>
      <c r="D78" t="inlineStr">
        <is>
          <t>REF000000</t>
        </is>
      </c>
      <c r="E78" t="n">
        <v>46037</v>
      </c>
      <c r="F78" t="inlineStr">
        <is>
          <t>BISON DRY</t>
        </is>
      </c>
      <c r="H78" t="inlineStr">
        <is>
          <t>AdminUAM</t>
        </is>
      </c>
      <c r="J78" t="inlineStr">
        <is>
          <t>10-APR-2026</t>
        </is>
      </c>
      <c r="K78" t="inlineStr">
        <is>
          <t>05-APR-2026</t>
        </is>
      </c>
      <c r="M78" t="inlineStr">
        <is>
          <t>REF000000</t>
        </is>
      </c>
      <c r="N78" t="inlineStr">
        <is>
          <t>USNFK</t>
        </is>
      </c>
      <c r="O78" t="inlineStr">
        <is>
          <t>USNFK</t>
        </is>
      </c>
      <c r="P78" t="inlineStr">
        <is>
          <t>RULED</t>
        </is>
      </c>
      <c r="U78" t="inlineStr">
        <is>
          <t>RULED</t>
        </is>
      </c>
      <c r="V78" t="inlineStr">
        <is>
          <t>RULED</t>
        </is>
      </c>
      <c r="W78" t="inlineStr">
        <is>
          <t>UNITED STATES</t>
        </is>
      </c>
      <c r="X78" t="inlineStr">
        <is>
          <t>Latin America</t>
        </is>
      </c>
      <c r="Y78" t="inlineStr">
        <is>
          <t>RUSSIA</t>
        </is>
      </c>
      <c r="Z78" t="inlineStr">
        <is>
          <t>External Review</t>
        </is>
      </c>
      <c r="AA78" t="inlineStr">
        <is>
          <t>HUB SHIPPING LLC-LED</t>
        </is>
      </c>
      <c r="AB78" t="inlineStr">
        <is>
          <t>Collect</t>
        </is>
      </c>
      <c r="AC78" t="inlineStr">
        <is>
          <t>MERCURY / VOYAGE 1</t>
        </is>
      </c>
      <c r="AE78" t="inlineStr">
        <is>
          <t>LADEN BOOKING</t>
        </is>
      </c>
      <c r="AF78" t="inlineStr">
        <is>
          <t>RenniUAM</t>
        </is>
      </c>
      <c r="AG78" t="inlineStr">
        <is>
          <t>DC20</t>
        </is>
      </c>
      <c r="AH78" t="inlineStr">
        <is>
          <t>NO</t>
        </is>
      </c>
      <c r="AI78" t="n">
        <v>20</v>
      </c>
      <c r="AJ78" t="n">
        <v>20</v>
      </c>
      <c r="AK78" t="n">
        <v>0</v>
      </c>
      <c r="AL78" t="inlineStr">
        <is>
          <t>ANON0000000,
ANON0000000,
ANON0000000,
ANON0000000,
ANON0000000,
ANON0000000,
ANON0000000,
ANON0000000,
ANON0000000,
ANON0000000,
ANON0000000,
ANON0000000,
ANON0000000,
ANON0000000,
ANON0000000,
ANON0000000,
ANON0000000,
ANON0000000,
ANON0000000,
ANON0000000</t>
        </is>
      </c>
      <c r="AP78" t="inlineStr">
        <is>
          <t>Non Haz</t>
        </is>
      </c>
      <c r="AQ78" t="inlineStr">
        <is>
          <t>CY/CY</t>
        </is>
      </c>
      <c r="AT78" t="inlineStr">
        <is>
          <t>REF000000</t>
        </is>
      </c>
      <c r="AU78" t="n">
        <v>23000</v>
      </c>
      <c r="AV78" t="inlineStr">
        <is>
          <t>GENERAL COMMODITY</t>
        </is>
      </c>
      <c r="AX78" t="inlineStr">
        <is>
          <t>RSUAM012600053</t>
        </is>
      </c>
      <c r="AZ78" t="n">
        <v>0</v>
      </c>
      <c r="BA78" t="n">
        <v>14</v>
      </c>
      <c r="BB78" t="n">
        <v>21</v>
      </c>
      <c r="BC78" t="n">
        <v>1750</v>
      </c>
      <c r="BD78" t="inlineStr">
        <is>
          <t>Yes</t>
        </is>
      </c>
      <c r="BG78" t="inlineStr">
        <is>
          <t>RULED</t>
        </is>
      </c>
      <c r="BH78" t="n">
        <v>20</v>
      </c>
      <c r="BI78" t="n">
        <v>0</v>
      </c>
      <c r="BJ78" t="n">
        <v>35000</v>
      </c>
      <c r="BK78" t="inlineStr">
        <is>
          <t>LINE</t>
        </is>
      </c>
      <c r="BL78" t="inlineStr">
        <is>
          <t>BISON DRY</t>
        </is>
      </c>
      <c r="BM78" t="inlineStr">
        <is>
          <t>BISON DRY</t>
        </is>
      </c>
    </row>
    <row r="79">
      <c r="A79" t="n">
        <v>78</v>
      </c>
      <c r="B79" t="inlineStr">
        <is>
          <t>EAGLE DRY</t>
        </is>
      </c>
      <c r="C79" t="inlineStr">
        <is>
          <t>REF000000</t>
        </is>
      </c>
      <c r="D79" t="inlineStr">
        <is>
          <t>REF000000</t>
        </is>
      </c>
      <c r="E79" t="n">
        <v>46037</v>
      </c>
      <c r="F79" t="inlineStr">
        <is>
          <t>EAGLE DRY</t>
        </is>
      </c>
      <c r="G79" t="inlineStr">
        <is>
          <t>EVI150108 - Food Grade</t>
        </is>
      </c>
      <c r="H79" t="inlineStr">
        <is>
          <t>AdminUAM</t>
        </is>
      </c>
      <c r="J79" t="inlineStr">
        <is>
          <t>10-APR-2026</t>
        </is>
      </c>
      <c r="K79" t="inlineStr">
        <is>
          <t>05-APR-2026</t>
        </is>
      </c>
      <c r="M79" t="inlineStr">
        <is>
          <t>REF000000</t>
        </is>
      </c>
      <c r="N79" t="inlineStr">
        <is>
          <t>USNFK</t>
        </is>
      </c>
      <c r="O79" t="inlineStr">
        <is>
          <t>USNFK</t>
        </is>
      </c>
      <c r="P79" t="inlineStr">
        <is>
          <t>RULED</t>
        </is>
      </c>
      <c r="U79" t="inlineStr">
        <is>
          <t>RULED</t>
        </is>
      </c>
      <c r="V79" t="inlineStr">
        <is>
          <t>RULED</t>
        </is>
      </c>
      <c r="W79" t="inlineStr">
        <is>
          <t>UNITED STATES</t>
        </is>
      </c>
      <c r="X79" t="inlineStr">
        <is>
          <t>Latin America</t>
        </is>
      </c>
      <c r="Y79" t="inlineStr">
        <is>
          <t>RUSSIA</t>
        </is>
      </c>
      <c r="Z79" t="inlineStr">
        <is>
          <t>External Review</t>
        </is>
      </c>
      <c r="AA79" t="inlineStr">
        <is>
          <t>HUB SHIPPING LLC-LED</t>
        </is>
      </c>
      <c r="AB79" t="inlineStr">
        <is>
          <t>Collect</t>
        </is>
      </c>
      <c r="AC79" t="inlineStr">
        <is>
          <t>MERCURY / VOYAGE 1</t>
        </is>
      </c>
      <c r="AE79" t="inlineStr">
        <is>
          <t>LADEN BOOKING</t>
        </is>
      </c>
      <c r="AF79" t="inlineStr">
        <is>
          <t>RenniUAM</t>
        </is>
      </c>
      <c r="AG79" t="inlineStr">
        <is>
          <t>HC40</t>
        </is>
      </c>
      <c r="AH79" t="inlineStr">
        <is>
          <t>NO</t>
        </is>
      </c>
      <c r="AI79" t="n">
        <v>40</v>
      </c>
      <c r="AJ79" t="n">
        <v>0</v>
      </c>
      <c r="AK79" t="n">
        <v>8</v>
      </c>
      <c r="AL79" t="inlineStr">
        <is>
          <t>ANON0000000,
ANON0000000,
ANON0000000,
ANON0000000,
ANON0000000,
ANON0000000,
ANON0000000,
ANON0000000</t>
        </is>
      </c>
      <c r="AP79" t="inlineStr">
        <is>
          <t>Non Haz</t>
        </is>
      </c>
      <c r="AQ79" t="inlineStr">
        <is>
          <t>CY/CY</t>
        </is>
      </c>
      <c r="AT79" t="inlineStr">
        <is>
          <t>REF000000</t>
        </is>
      </c>
      <c r="AU79" t="n">
        <v>26000</v>
      </c>
      <c r="AV79" t="inlineStr">
        <is>
          <t>GENERAL COMMODITY</t>
        </is>
      </c>
      <c r="AX79" t="inlineStr">
        <is>
          <t>RSUAM122500027</t>
        </is>
      </c>
      <c r="AZ79" t="n">
        <v>0</v>
      </c>
      <c r="BA79" t="n">
        <v>14</v>
      </c>
      <c r="BB79" t="n">
        <v>14</v>
      </c>
      <c r="BC79" t="n">
        <v>2750</v>
      </c>
      <c r="BD79" t="inlineStr">
        <is>
          <t>Yes</t>
        </is>
      </c>
      <c r="BG79" t="inlineStr">
        <is>
          <t>RULED</t>
        </is>
      </c>
      <c r="BH79" t="n">
        <v>0</v>
      </c>
      <c r="BI79" t="n">
        <v>8</v>
      </c>
      <c r="BJ79" t="n">
        <v>22000</v>
      </c>
      <c r="BK79" t="inlineStr">
        <is>
          <t>LINE</t>
        </is>
      </c>
      <c r="BL79" t="inlineStr">
        <is>
          <t>EAGLE DRY</t>
        </is>
      </c>
      <c r="BM79" t="inlineStr">
        <is>
          <t>EAGLE DRY</t>
        </is>
      </c>
    </row>
    <row r="80">
      <c r="A80" t="n">
        <v>79</v>
      </c>
      <c r="B80" t="inlineStr">
        <is>
          <t>COYOTE DRY</t>
        </is>
      </c>
      <c r="C80" t="inlineStr">
        <is>
          <t>REF000000</t>
        </is>
      </c>
      <c r="D80" t="inlineStr">
        <is>
          <t>REF000000</t>
        </is>
      </c>
      <c r="E80" t="n">
        <v>46037</v>
      </c>
      <c r="F80" t="inlineStr">
        <is>
          <t>COYOTE DRY</t>
        </is>
      </c>
      <c r="G80" t="inlineStr">
        <is>
          <t>EVI150109 - Food Grade</t>
        </is>
      </c>
      <c r="H80" t="inlineStr">
        <is>
          <t>AdminUAM</t>
        </is>
      </c>
      <c r="J80" t="inlineStr">
        <is>
          <t>25-FEB-2026</t>
        </is>
      </c>
      <c r="K80" t="inlineStr">
        <is>
          <t>19-FEB-2026</t>
        </is>
      </c>
      <c r="L80" t="inlineStr">
        <is>
          <t>25-FEB-2026</t>
        </is>
      </c>
      <c r="M80" t="inlineStr">
        <is>
          <t>REF000000</t>
        </is>
      </c>
      <c r="N80" t="inlineStr">
        <is>
          <t>USNFK</t>
        </is>
      </c>
      <c r="O80" t="inlineStr">
        <is>
          <t>USNFK</t>
        </is>
      </c>
      <c r="P80" t="inlineStr">
        <is>
          <t>RULED</t>
        </is>
      </c>
      <c r="U80" t="inlineStr">
        <is>
          <t>RULED</t>
        </is>
      </c>
      <c r="V80" t="inlineStr">
        <is>
          <t>RULED</t>
        </is>
      </c>
      <c r="W80" t="inlineStr">
        <is>
          <t>UNITED STATES</t>
        </is>
      </c>
      <c r="X80" t="inlineStr">
        <is>
          <t>Latin America</t>
        </is>
      </c>
      <c r="Y80" t="inlineStr">
        <is>
          <t>RUSSIA</t>
        </is>
      </c>
      <c r="Z80" t="inlineStr">
        <is>
          <t>External Review</t>
        </is>
      </c>
      <c r="AA80" t="inlineStr">
        <is>
          <t>HUB SHIPPING LLC-LED</t>
        </is>
      </c>
      <c r="AB80" t="inlineStr">
        <is>
          <t>Collect</t>
        </is>
      </c>
      <c r="AC80" t="inlineStr">
        <is>
          <t>LI DA XING/VOYAGE 1</t>
        </is>
      </c>
      <c r="AE80" t="inlineStr">
        <is>
          <t>LADEN BOOKING</t>
        </is>
      </c>
      <c r="AF80" t="inlineStr">
        <is>
          <t>RenniUAM</t>
        </is>
      </c>
      <c r="AG80" t="inlineStr">
        <is>
          <t>HC40</t>
        </is>
      </c>
      <c r="AH80" t="inlineStr">
        <is>
          <t>NO</t>
        </is>
      </c>
      <c r="AI80" t="n">
        <v>40</v>
      </c>
      <c r="AJ80" t="n">
        <v>0</v>
      </c>
      <c r="AK80" t="n">
        <v>9</v>
      </c>
      <c r="AL80" t="inlineStr">
        <is>
          <t>ANON0000000,
ANON0000000,
ANON0000000,
ANON0000000,
ANON0000000,
ANON0000000,
ANON0000000,
ANON0000000,
ANON0000000</t>
        </is>
      </c>
      <c r="AP80" t="inlineStr">
        <is>
          <t>Non Haz</t>
        </is>
      </c>
      <c r="AQ80" t="inlineStr">
        <is>
          <t>CY/CY</t>
        </is>
      </c>
      <c r="AT80" t="inlineStr">
        <is>
          <t>REF000000</t>
        </is>
      </c>
      <c r="AU80" t="n">
        <v>26000</v>
      </c>
      <c r="AV80" t="inlineStr">
        <is>
          <t>GENERAL COMMODITY</t>
        </is>
      </c>
      <c r="AX80" t="inlineStr">
        <is>
          <t>RSUAM122500027</t>
        </is>
      </c>
      <c r="AZ80" t="n">
        <v>0</v>
      </c>
      <c r="BA80" t="n">
        <v>14</v>
      </c>
      <c r="BB80" t="n">
        <v>14</v>
      </c>
      <c r="BC80" t="n">
        <v>2750</v>
      </c>
      <c r="BD80" t="inlineStr">
        <is>
          <t>Yes</t>
        </is>
      </c>
      <c r="BF80" t="inlineStr">
        <is>
          <t>ARTHA SHIPPING</t>
        </is>
      </c>
      <c r="BG80" t="inlineStr">
        <is>
          <t>RULED</t>
        </is>
      </c>
      <c r="BH80" t="n">
        <v>0</v>
      </c>
      <c r="BI80" t="n">
        <v>9</v>
      </c>
      <c r="BJ80" t="n">
        <v>24750</v>
      </c>
      <c r="BK80" t="inlineStr">
        <is>
          <t>LINE</t>
        </is>
      </c>
      <c r="BL80" t="inlineStr">
        <is>
          <t>COYOTE DRY</t>
        </is>
      </c>
      <c r="BM80" t="inlineStr">
        <is>
          <t>COYOTE DRY</t>
        </is>
      </c>
    </row>
    <row r="81">
      <c r="A81" t="n">
        <v>80</v>
      </c>
      <c r="B81" t="inlineStr">
        <is>
          <t>ORCA REEFER</t>
        </is>
      </c>
      <c r="C81" t="inlineStr">
        <is>
          <t>REF000000</t>
        </is>
      </c>
      <c r="D81" t="inlineStr">
        <is>
          <t>REF000000</t>
        </is>
      </c>
      <c r="E81" t="n">
        <v>46037</v>
      </c>
      <c r="F81" t="inlineStr">
        <is>
          <t>ORCA REEFER</t>
        </is>
      </c>
      <c r="G81" t="inlineStr">
        <is>
          <t>PREPAID</t>
        </is>
      </c>
      <c r="H81" t="inlineStr">
        <is>
          <t>Diego</t>
        </is>
      </c>
      <c r="J81" t="inlineStr">
        <is>
          <t>18-FEB-2026</t>
        </is>
      </c>
      <c r="K81" t="inlineStr">
        <is>
          <t>17-FEB-2026</t>
        </is>
      </c>
      <c r="L81" t="inlineStr">
        <is>
          <t>18-FEB-2026</t>
        </is>
      </c>
      <c r="M81" t="inlineStr">
        <is>
          <t>REF000000</t>
        </is>
      </c>
      <c r="N81" t="inlineStr">
        <is>
          <t>USNYC</t>
        </is>
      </c>
      <c r="O81" t="inlineStr">
        <is>
          <t>USNYC</t>
        </is>
      </c>
      <c r="P81" t="inlineStr">
        <is>
          <t>RUBLT</t>
        </is>
      </c>
      <c r="U81" t="inlineStr">
        <is>
          <t>RUBLT</t>
        </is>
      </c>
      <c r="V81" t="inlineStr">
        <is>
          <t>RUBLT</t>
        </is>
      </c>
      <c r="W81" t="inlineStr">
        <is>
          <t>UNITED STATES</t>
        </is>
      </c>
      <c r="X81" t="inlineStr">
        <is>
          <t>Latin America</t>
        </is>
      </c>
      <c r="Y81" t="inlineStr">
        <is>
          <t>RUSSIA</t>
        </is>
      </c>
      <c r="Z81" t="inlineStr">
        <is>
          <t>External Review</t>
        </is>
      </c>
      <c r="AA81" t="inlineStr">
        <is>
          <t>HUB Shipping-Kaliningrad</t>
        </is>
      </c>
      <c r="AB81" t="inlineStr">
        <is>
          <t>Prepaid</t>
        </is>
      </c>
      <c r="AC81" t="inlineStr">
        <is>
          <t>LI DA XING/VOYAGE 1</t>
        </is>
      </c>
      <c r="AE81" t="inlineStr">
        <is>
          <t>LADEN BOOKING</t>
        </is>
      </c>
      <c r="AF81" t="inlineStr">
        <is>
          <t>Joao Ribeiro</t>
        </is>
      </c>
      <c r="AG81" t="inlineStr">
        <is>
          <t>RH40</t>
        </is>
      </c>
      <c r="AH81" t="inlineStr">
        <is>
          <t>NO</t>
        </is>
      </c>
      <c r="AI81" t="n">
        <v>40</v>
      </c>
      <c r="AJ81" t="n">
        <v>0</v>
      </c>
      <c r="AK81" t="n">
        <v>1</v>
      </c>
      <c r="AL81" t="inlineStr">
        <is>
          <t>ANON0000000</t>
        </is>
      </c>
      <c r="AM81" t="n">
        <v>-22</v>
      </c>
      <c r="AP81" t="inlineStr">
        <is>
          <t>Non Haz</t>
        </is>
      </c>
      <c r="AQ81" t="inlineStr">
        <is>
          <t>CY/CY</t>
        </is>
      </c>
      <c r="AT81" t="inlineStr">
        <is>
          <t>REF000000</t>
        </is>
      </c>
      <c r="AU81" t="n">
        <v>28000</v>
      </c>
      <c r="AV81" t="inlineStr">
        <is>
          <t>FROZEN MEAT &amp; FRUIT PULP</t>
        </is>
      </c>
      <c r="AX81" t="inlineStr">
        <is>
          <t>RSUAM112500005</t>
        </is>
      </c>
      <c r="AZ81" t="n">
        <v>0</v>
      </c>
      <c r="BA81" t="n">
        <v>25</v>
      </c>
      <c r="BB81" t="n">
        <v>15</v>
      </c>
      <c r="BC81" t="n">
        <v>8600</v>
      </c>
      <c r="BD81" t="inlineStr">
        <is>
          <t>No</t>
        </is>
      </c>
      <c r="BF81" t="inlineStr">
        <is>
          <t>ARTHA SHIPPING</t>
        </is>
      </c>
      <c r="BG81" t="inlineStr">
        <is>
          <t>USNYC</t>
        </is>
      </c>
      <c r="BH81" t="n">
        <v>0</v>
      </c>
      <c r="BI81" t="n">
        <v>1</v>
      </c>
      <c r="BJ81" t="n">
        <v>8600</v>
      </c>
      <c r="BK81" t="inlineStr">
        <is>
          <t>LINE</t>
        </is>
      </c>
      <c r="BL81" t="inlineStr">
        <is>
          <t>ORCA REEFER</t>
        </is>
      </c>
      <c r="BM81" t="inlineStr">
        <is>
          <t>ORCA REEFER</t>
        </is>
      </c>
    </row>
    <row r="82">
      <c r="A82" t="n">
        <v>81</v>
      </c>
      <c r="B82" t="inlineStr">
        <is>
          <t>WOLF DRY</t>
        </is>
      </c>
      <c r="C82" t="inlineStr">
        <is>
          <t>REF000000</t>
        </is>
      </c>
      <c r="D82" t="inlineStr">
        <is>
          <t>REF000000</t>
        </is>
      </c>
      <c r="E82" t="n">
        <v>46038</v>
      </c>
      <c r="F82" t="inlineStr">
        <is>
          <t>WOLF DRY</t>
        </is>
      </c>
      <c r="G82" t="inlineStr">
        <is>
          <t>EVI160101</t>
        </is>
      </c>
      <c r="H82" t="inlineStr">
        <is>
          <t>AdminUAM</t>
        </is>
      </c>
      <c r="J82" t="n">
        <v>46085</v>
      </c>
      <c r="K82" t="n">
        <v>46083</v>
      </c>
      <c r="L82" t="n">
        <v>46085</v>
      </c>
      <c r="M82" t="inlineStr">
        <is>
          <t>REF000000</t>
        </is>
      </c>
      <c r="N82" t="inlineStr">
        <is>
          <t>USNFK</t>
        </is>
      </c>
      <c r="O82" t="inlineStr">
        <is>
          <t>USNFK</t>
        </is>
      </c>
      <c r="P82" t="inlineStr">
        <is>
          <t>RULED</t>
        </is>
      </c>
      <c r="U82" t="inlineStr">
        <is>
          <t>RULED</t>
        </is>
      </c>
      <c r="V82" t="inlineStr">
        <is>
          <t>RULED</t>
        </is>
      </c>
      <c r="W82" t="inlineStr">
        <is>
          <t>UNITED STATES</t>
        </is>
      </c>
      <c r="X82" t="inlineStr">
        <is>
          <t>Latin America</t>
        </is>
      </c>
      <c r="Y82" t="inlineStr">
        <is>
          <t>RUSSIA</t>
        </is>
      </c>
      <c r="Z82" t="inlineStr">
        <is>
          <t>External Review</t>
        </is>
      </c>
      <c r="AA82" t="inlineStr">
        <is>
          <t>HUB SHIPPING LLC-LED</t>
        </is>
      </c>
      <c r="AB82" t="inlineStr">
        <is>
          <t>Collect</t>
        </is>
      </c>
      <c r="AC82" t="inlineStr">
        <is>
          <t>MYD TIANJIN/27BRASTP</t>
        </is>
      </c>
      <c r="AE82" t="inlineStr">
        <is>
          <t>LADEN BOOKING</t>
        </is>
      </c>
      <c r="AF82" t="inlineStr">
        <is>
          <t>RenniUAM</t>
        </is>
      </c>
      <c r="AG82" t="inlineStr">
        <is>
          <t>DC20</t>
        </is>
      </c>
      <c r="AH82" t="inlineStr">
        <is>
          <t>NO</t>
        </is>
      </c>
      <c r="AI82" t="n">
        <v>20</v>
      </c>
      <c r="AJ82" t="n">
        <v>1</v>
      </c>
      <c r="AK82" t="n">
        <v>0</v>
      </c>
      <c r="AL82" t="inlineStr">
        <is>
          <t>ANON0000000</t>
        </is>
      </c>
      <c r="AP82" t="inlineStr">
        <is>
          <t>Non Haz</t>
        </is>
      </c>
      <c r="AQ82" t="inlineStr">
        <is>
          <t>CY/CY</t>
        </is>
      </c>
      <c r="AT82" t="inlineStr">
        <is>
          <t>REF000000</t>
        </is>
      </c>
      <c r="AU82" t="n">
        <v>23000</v>
      </c>
      <c r="AV82" t="inlineStr">
        <is>
          <t>GENERAL COMMODITY</t>
        </is>
      </c>
      <c r="AX82" t="inlineStr">
        <is>
          <t>MRG395753</t>
        </is>
      </c>
      <c r="AY82" t="inlineStr">
        <is>
          <t>LINE</t>
        </is>
      </c>
      <c r="AZ82" t="n">
        <v>0</v>
      </c>
      <c r="BA82" t="n">
        <v>14</v>
      </c>
      <c r="BB82" t="n">
        <v>14</v>
      </c>
      <c r="BC82" t="n">
        <v>3200</v>
      </c>
      <c r="BD82" t="inlineStr">
        <is>
          <t>Yes</t>
        </is>
      </c>
      <c r="BF82" t="inlineStr">
        <is>
          <t>ARTHA SHIPPING</t>
        </is>
      </c>
      <c r="BG82" t="inlineStr">
        <is>
          <t>RULED</t>
        </is>
      </c>
      <c r="BH82" t="n">
        <v>1</v>
      </c>
      <c r="BI82" t="n">
        <v>0</v>
      </c>
      <c r="BJ82" t="n">
        <v>3200</v>
      </c>
      <c r="BK82" t="inlineStr">
        <is>
          <t>LINE</t>
        </is>
      </c>
      <c r="BL82" t="inlineStr">
        <is>
          <t>WOLF DRY</t>
        </is>
      </c>
      <c r="BM82" t="inlineStr">
        <is>
          <t>WOLF DRY</t>
        </is>
      </c>
    </row>
    <row r="83">
      <c r="A83" t="n">
        <v>82</v>
      </c>
      <c r="B83" t="inlineStr">
        <is>
          <t>SEAL REEFER</t>
        </is>
      </c>
      <c r="C83" t="inlineStr">
        <is>
          <t>REF000000</t>
        </is>
      </c>
      <c r="D83" t="inlineStr">
        <is>
          <t>REF000000</t>
        </is>
      </c>
      <c r="E83" t="n">
        <v>46041</v>
      </c>
      <c r="F83" t="inlineStr">
        <is>
          <t>SEAL REEFER</t>
        </is>
      </c>
      <c r="G83" t="inlineStr">
        <is>
          <t>PREPAID</t>
        </is>
      </c>
      <c r="H83" t="inlineStr">
        <is>
          <t>Diego</t>
        </is>
      </c>
      <c r="J83" t="inlineStr">
        <is>
          <t>10-APR-2026</t>
        </is>
      </c>
      <c r="K83" t="inlineStr">
        <is>
          <t>06-APR-2026</t>
        </is>
      </c>
      <c r="L83" t="inlineStr">
        <is>
          <t>10-APR-2026</t>
        </is>
      </c>
      <c r="M83" t="inlineStr">
        <is>
          <t>REF000000</t>
        </is>
      </c>
      <c r="N83" t="inlineStr">
        <is>
          <t>USNYC</t>
        </is>
      </c>
      <c r="O83" t="inlineStr">
        <is>
          <t>USNYC</t>
        </is>
      </c>
      <c r="P83" t="inlineStr">
        <is>
          <t>RUBLT</t>
        </is>
      </c>
      <c r="U83" t="inlineStr">
        <is>
          <t>RUBLT</t>
        </is>
      </c>
      <c r="V83" t="inlineStr">
        <is>
          <t>RUBLT</t>
        </is>
      </c>
      <c r="W83" t="inlineStr">
        <is>
          <t>UNITED STATES</t>
        </is>
      </c>
      <c r="X83" t="inlineStr">
        <is>
          <t>Latin America</t>
        </is>
      </c>
      <c r="Y83" t="inlineStr">
        <is>
          <t>RUSSIA</t>
        </is>
      </c>
      <c r="Z83" t="inlineStr">
        <is>
          <t>External Review</t>
        </is>
      </c>
      <c r="AA83" t="inlineStr">
        <is>
          <t>HUB Shipping-Kaliningrad</t>
        </is>
      </c>
      <c r="AB83" t="inlineStr">
        <is>
          <t>Prepaid</t>
        </is>
      </c>
      <c r="AC83" t="inlineStr">
        <is>
          <t>MERCURY / VOYAGE 1</t>
        </is>
      </c>
      <c r="AE83" t="inlineStr">
        <is>
          <t>LADEN BOOKING</t>
        </is>
      </c>
      <c r="AF83" t="inlineStr">
        <is>
          <t>Joao Ribeiro</t>
        </is>
      </c>
      <c r="AG83" t="inlineStr">
        <is>
          <t>RH40</t>
        </is>
      </c>
      <c r="AH83" t="inlineStr">
        <is>
          <t>NO</t>
        </is>
      </c>
      <c r="AI83" t="n">
        <v>40</v>
      </c>
      <c r="AJ83" t="n">
        <v>0</v>
      </c>
      <c r="AK83" t="n">
        <v>1</v>
      </c>
      <c r="AL83" t="inlineStr">
        <is>
          <t>ANON0000000</t>
        </is>
      </c>
      <c r="AM83" t="n">
        <v>-24</v>
      </c>
      <c r="AP83" t="inlineStr">
        <is>
          <t>Non Haz</t>
        </is>
      </c>
      <c r="AQ83" t="inlineStr">
        <is>
          <t>CY/CY</t>
        </is>
      </c>
      <c r="AT83" t="inlineStr">
        <is>
          <t>REF000000</t>
        </is>
      </c>
      <c r="AU83" t="n">
        <v>28000</v>
      </c>
      <c r="AV83" t="inlineStr">
        <is>
          <t>FROZEN MEAT &amp; FRUIT PULP</t>
        </is>
      </c>
      <c r="AX83" t="inlineStr">
        <is>
          <t>RSUAM112500005</t>
        </is>
      </c>
      <c r="AZ83" t="n">
        <v>0</v>
      </c>
      <c r="BA83" t="n">
        <v>25</v>
      </c>
      <c r="BB83" t="n">
        <v>15</v>
      </c>
      <c r="BC83" t="n">
        <v>8600</v>
      </c>
      <c r="BD83" t="inlineStr">
        <is>
          <t>No</t>
        </is>
      </c>
      <c r="BF83" t="inlineStr">
        <is>
          <t>ARTHA SHIPPING</t>
        </is>
      </c>
      <c r="BG83" t="inlineStr">
        <is>
          <t>USNYC</t>
        </is>
      </c>
      <c r="BH83" t="n">
        <v>0</v>
      </c>
      <c r="BI83" t="n">
        <v>1</v>
      </c>
      <c r="BJ83" t="n">
        <v>8600</v>
      </c>
      <c r="BK83" t="inlineStr">
        <is>
          <t>LINE</t>
        </is>
      </c>
      <c r="BL83" t="inlineStr">
        <is>
          <t>SEAL REEFER</t>
        </is>
      </c>
      <c r="BM83" t="inlineStr">
        <is>
          <t>SEAL REEFER</t>
        </is>
      </c>
    </row>
    <row r="84">
      <c r="A84" t="n">
        <v>83</v>
      </c>
      <c r="B84" t="inlineStr">
        <is>
          <t>SHARK REEFER</t>
        </is>
      </c>
      <c r="C84" t="inlineStr">
        <is>
          <t>REF000000</t>
        </is>
      </c>
      <c r="D84" t="inlineStr">
        <is>
          <t>REF000000</t>
        </is>
      </c>
      <c r="E84" t="n">
        <v>46041</v>
      </c>
      <c r="F84" t="inlineStr">
        <is>
          <t>SHARK REEFER</t>
        </is>
      </c>
      <c r="G84" t="inlineStr">
        <is>
          <t>PREPAID ABROAD</t>
        </is>
      </c>
      <c r="H84" t="inlineStr">
        <is>
          <t>Regional Operations_UNIMAR</t>
        </is>
      </c>
      <c r="J84" t="inlineStr">
        <is>
          <t>18-FEB-2026</t>
        </is>
      </c>
      <c r="K84" t="inlineStr">
        <is>
          <t>17-FEB-2026</t>
        </is>
      </c>
      <c r="L84" t="inlineStr">
        <is>
          <t>18-FEB-2026</t>
        </is>
      </c>
      <c r="M84" t="inlineStr">
        <is>
          <t>REF000000</t>
        </is>
      </c>
      <c r="N84" t="inlineStr">
        <is>
          <t>USNYC</t>
        </is>
      </c>
      <c r="O84" t="inlineStr">
        <is>
          <t>USNYC</t>
        </is>
      </c>
      <c r="P84" t="inlineStr">
        <is>
          <t>RUBLT</t>
        </is>
      </c>
      <c r="U84" t="inlineStr">
        <is>
          <t>RUBLT</t>
        </is>
      </c>
      <c r="V84" t="inlineStr">
        <is>
          <t>RUBLT</t>
        </is>
      </c>
      <c r="W84" t="inlineStr">
        <is>
          <t>UNITED STATES</t>
        </is>
      </c>
      <c r="X84" t="inlineStr">
        <is>
          <t>Latin America</t>
        </is>
      </c>
      <c r="Y84" t="inlineStr">
        <is>
          <t>RUSSIA</t>
        </is>
      </c>
      <c r="Z84" t="inlineStr">
        <is>
          <t>External Review</t>
        </is>
      </c>
      <c r="AA84" t="inlineStr">
        <is>
          <t>HUB Shipping-Kaliningrad</t>
        </is>
      </c>
      <c r="AB84" t="inlineStr">
        <is>
          <t>Prepaid</t>
        </is>
      </c>
      <c r="AC84" t="inlineStr">
        <is>
          <t>LI DA XING/VOYAGE 1</t>
        </is>
      </c>
      <c r="AE84" t="inlineStr">
        <is>
          <t>LADEN BOOKING</t>
        </is>
      </c>
      <c r="AF84" t="inlineStr">
        <is>
          <t>Joao Ribeiro</t>
        </is>
      </c>
      <c r="AG84" t="inlineStr">
        <is>
          <t>RH40</t>
        </is>
      </c>
      <c r="AH84" t="inlineStr">
        <is>
          <t>NO</t>
        </is>
      </c>
      <c r="AI84" t="n">
        <v>40</v>
      </c>
      <c r="AJ84" t="n">
        <v>0</v>
      </c>
      <c r="AK84" t="n">
        <v>1</v>
      </c>
      <c r="AL84" t="inlineStr">
        <is>
          <t>ANON0000000</t>
        </is>
      </c>
      <c r="AM84" t="n">
        <v>-18</v>
      </c>
      <c r="AP84" t="inlineStr">
        <is>
          <t>Non Haz</t>
        </is>
      </c>
      <c r="AQ84" t="inlineStr">
        <is>
          <t>CY/CY</t>
        </is>
      </c>
      <c r="AT84" t="inlineStr">
        <is>
          <t>REF000000</t>
        </is>
      </c>
      <c r="AU84" t="n">
        <v>29000</v>
      </c>
      <c r="AV84" t="inlineStr">
        <is>
          <t>FROZEN MEAT</t>
        </is>
      </c>
      <c r="AX84" t="inlineStr">
        <is>
          <t>RSUAM012600023</t>
        </is>
      </c>
      <c r="AZ84" t="n">
        <v>5</v>
      </c>
      <c r="BA84" t="n">
        <v>30</v>
      </c>
      <c r="BB84" t="n">
        <v>15</v>
      </c>
      <c r="BC84" t="n">
        <v>9100</v>
      </c>
      <c r="BD84" t="inlineStr">
        <is>
          <t>No</t>
        </is>
      </c>
      <c r="BF84" t="inlineStr">
        <is>
          <t>ARTHA SHIPPING</t>
        </is>
      </c>
      <c r="BG84" t="inlineStr">
        <is>
          <t>USNYC</t>
        </is>
      </c>
      <c r="BH84" t="n">
        <v>0</v>
      </c>
      <c r="BI84" t="n">
        <v>1</v>
      </c>
      <c r="BJ84" t="n">
        <v>9100</v>
      </c>
      <c r="BK84" t="inlineStr">
        <is>
          <t>LINE</t>
        </is>
      </c>
      <c r="BL84" t="inlineStr">
        <is>
          <t>SHARK REEFER</t>
        </is>
      </c>
      <c r="BM84" t="inlineStr">
        <is>
          <t>SHARK REEFER</t>
        </is>
      </c>
    </row>
    <row r="85">
      <c r="A85" t="n">
        <v>84</v>
      </c>
      <c r="B85" t="inlineStr">
        <is>
          <t>DOLPHIN REEFER</t>
        </is>
      </c>
      <c r="C85" t="inlineStr">
        <is>
          <t>REF000000</t>
        </is>
      </c>
      <c r="D85" t="inlineStr">
        <is>
          <t>REF000000</t>
        </is>
      </c>
      <c r="E85" t="n">
        <v>46041</v>
      </c>
      <c r="F85" t="inlineStr">
        <is>
          <t>DOLPHIN REEFER</t>
        </is>
      </c>
      <c r="G85" t="inlineStr">
        <is>
          <t>PREPAID ABROAD</t>
        </is>
      </c>
      <c r="H85" t="inlineStr">
        <is>
          <t>Regional Operations_UNIMAR</t>
        </is>
      </c>
      <c r="J85" t="inlineStr">
        <is>
          <t>18-FEB-2026</t>
        </is>
      </c>
      <c r="K85" t="inlineStr">
        <is>
          <t>17-FEB-2026</t>
        </is>
      </c>
      <c r="L85" t="inlineStr">
        <is>
          <t>18-FEB-2026</t>
        </is>
      </c>
      <c r="M85" t="inlineStr">
        <is>
          <t>REF000000</t>
        </is>
      </c>
      <c r="N85" t="inlineStr">
        <is>
          <t>USNYC</t>
        </is>
      </c>
      <c r="O85" t="inlineStr">
        <is>
          <t>USNYC</t>
        </is>
      </c>
      <c r="P85" t="inlineStr">
        <is>
          <t>RUBLT</t>
        </is>
      </c>
      <c r="U85" t="inlineStr">
        <is>
          <t>RUBLT</t>
        </is>
      </c>
      <c r="V85" t="inlineStr">
        <is>
          <t>RUBLT</t>
        </is>
      </c>
      <c r="W85" t="inlineStr">
        <is>
          <t>UNITED STATES</t>
        </is>
      </c>
      <c r="X85" t="inlineStr">
        <is>
          <t>Latin America</t>
        </is>
      </c>
      <c r="Y85" t="inlineStr">
        <is>
          <t>RUSSIA</t>
        </is>
      </c>
      <c r="Z85" t="inlineStr">
        <is>
          <t>External Review</t>
        </is>
      </c>
      <c r="AA85" t="inlineStr">
        <is>
          <t>HUB Shipping-Kaliningrad</t>
        </is>
      </c>
      <c r="AB85" t="inlineStr">
        <is>
          <t>Prepaid</t>
        </is>
      </c>
      <c r="AC85" t="inlineStr">
        <is>
          <t>LI DA XING/VOYAGE 1</t>
        </is>
      </c>
      <c r="AE85" t="inlineStr">
        <is>
          <t>LADEN BOOKING</t>
        </is>
      </c>
      <c r="AF85" t="inlineStr">
        <is>
          <t>Joao Ribeiro</t>
        </is>
      </c>
      <c r="AG85" t="inlineStr">
        <is>
          <t>RH40</t>
        </is>
      </c>
      <c r="AH85" t="inlineStr">
        <is>
          <t>NO</t>
        </is>
      </c>
      <c r="AI85" t="n">
        <v>40</v>
      </c>
      <c r="AJ85" t="n">
        <v>0</v>
      </c>
      <c r="AK85" t="n">
        <v>1</v>
      </c>
      <c r="AL85" t="inlineStr">
        <is>
          <t>ANON0000000</t>
        </is>
      </c>
      <c r="AM85" t="n">
        <v>-18</v>
      </c>
      <c r="AP85" t="inlineStr">
        <is>
          <t>Non Haz</t>
        </is>
      </c>
      <c r="AQ85" t="inlineStr">
        <is>
          <t>CY/CY</t>
        </is>
      </c>
      <c r="AT85" t="inlineStr">
        <is>
          <t>REF000000</t>
        </is>
      </c>
      <c r="AU85" t="n">
        <v>29000</v>
      </c>
      <c r="AV85" t="inlineStr">
        <is>
          <t>FROZEN MEAT</t>
        </is>
      </c>
      <c r="AX85" t="inlineStr">
        <is>
          <t>RSUAM012600023</t>
        </is>
      </c>
      <c r="AZ85" t="n">
        <v>5</v>
      </c>
      <c r="BA85" t="n">
        <v>30</v>
      </c>
      <c r="BB85" t="n">
        <v>15</v>
      </c>
      <c r="BC85" t="n">
        <v>9100</v>
      </c>
      <c r="BD85" t="inlineStr">
        <is>
          <t>No</t>
        </is>
      </c>
      <c r="BF85" t="inlineStr">
        <is>
          <t>ARTHA SHIPPING</t>
        </is>
      </c>
      <c r="BG85" t="inlineStr">
        <is>
          <t>USNYC</t>
        </is>
      </c>
      <c r="BH85" t="n">
        <v>0</v>
      </c>
      <c r="BI85" t="n">
        <v>1</v>
      </c>
      <c r="BJ85" t="n">
        <v>9100</v>
      </c>
      <c r="BK85" t="inlineStr">
        <is>
          <t>LINE</t>
        </is>
      </c>
      <c r="BL85" t="inlineStr">
        <is>
          <t>DOLPHIN REEFER</t>
        </is>
      </c>
      <c r="BM85" t="inlineStr">
        <is>
          <t>DOLPHIN REEFER</t>
        </is>
      </c>
    </row>
    <row r="86">
      <c r="A86" t="n">
        <v>85</v>
      </c>
      <c r="B86" t="inlineStr">
        <is>
          <t>EAGLE DRY</t>
        </is>
      </c>
      <c r="C86" t="inlineStr">
        <is>
          <t>REF000000</t>
        </is>
      </c>
      <c r="D86" t="inlineStr">
        <is>
          <t>REF000000</t>
        </is>
      </c>
      <c r="E86" t="n">
        <v>46042</v>
      </c>
      <c r="F86" t="inlineStr">
        <is>
          <t>EAGLE DRY</t>
        </is>
      </c>
      <c r="G86" t="inlineStr">
        <is>
          <t>EVI200103 / Food Grade</t>
        </is>
      </c>
      <c r="H86" t="inlineStr">
        <is>
          <t>AdminUAM</t>
        </is>
      </c>
      <c r="J86" t="inlineStr">
        <is>
          <t>25-FEB-2026</t>
        </is>
      </c>
      <c r="K86" t="inlineStr">
        <is>
          <t>19-FEB-2026</t>
        </is>
      </c>
      <c r="L86" t="inlineStr">
        <is>
          <t>25-FEB-2026</t>
        </is>
      </c>
      <c r="M86" t="inlineStr">
        <is>
          <t>REF000000</t>
        </is>
      </c>
      <c r="N86" t="inlineStr">
        <is>
          <t>USNFK</t>
        </is>
      </c>
      <c r="O86" t="inlineStr">
        <is>
          <t>USNFK</t>
        </is>
      </c>
      <c r="P86" t="inlineStr">
        <is>
          <t>RULED</t>
        </is>
      </c>
      <c r="U86" t="inlineStr">
        <is>
          <t>RULED</t>
        </is>
      </c>
      <c r="V86" t="inlineStr">
        <is>
          <t>RULED</t>
        </is>
      </c>
      <c r="W86" t="inlineStr">
        <is>
          <t>UNITED STATES</t>
        </is>
      </c>
      <c r="X86" t="inlineStr">
        <is>
          <t>Latin America</t>
        </is>
      </c>
      <c r="Y86" t="inlineStr">
        <is>
          <t>RUSSIA</t>
        </is>
      </c>
      <c r="Z86" t="inlineStr">
        <is>
          <t>External Review</t>
        </is>
      </c>
      <c r="AA86" t="inlineStr">
        <is>
          <t>HUB SHIPPING LLC-LED</t>
        </is>
      </c>
      <c r="AB86" t="inlineStr">
        <is>
          <t>Collect</t>
        </is>
      </c>
      <c r="AC86" t="inlineStr">
        <is>
          <t>LI DA XING/VOYAGE 1</t>
        </is>
      </c>
      <c r="AE86" t="inlineStr">
        <is>
          <t>LADEN BOOKING</t>
        </is>
      </c>
      <c r="AF86" t="inlineStr">
        <is>
          <t>RenniUAM</t>
        </is>
      </c>
      <c r="AG86" t="inlineStr">
        <is>
          <t>DC20</t>
        </is>
      </c>
      <c r="AH86" t="inlineStr">
        <is>
          <t>NO</t>
        </is>
      </c>
      <c r="AI86" t="n">
        <v>20</v>
      </c>
      <c r="AJ86" t="n">
        <v>1</v>
      </c>
      <c r="AK86" t="n">
        <v>0</v>
      </c>
      <c r="AL86" t="inlineStr">
        <is>
          <t>ANON0000000</t>
        </is>
      </c>
      <c r="AP86" t="inlineStr">
        <is>
          <t>Non Haz</t>
        </is>
      </c>
      <c r="AQ86" t="inlineStr">
        <is>
          <t>CY/CY</t>
        </is>
      </c>
      <c r="AT86" t="inlineStr">
        <is>
          <t>REF000000</t>
        </is>
      </c>
      <c r="AU86" t="n">
        <v>26000</v>
      </c>
      <c r="AV86" t="inlineStr">
        <is>
          <t>GENERAL COMMODITY</t>
        </is>
      </c>
      <c r="AX86" t="inlineStr">
        <is>
          <t>MRG382806</t>
        </is>
      </c>
      <c r="AY86" t="inlineStr">
        <is>
          <t>LINE</t>
        </is>
      </c>
      <c r="AZ86" t="n">
        <v>0</v>
      </c>
      <c r="BA86" t="n">
        <v>14</v>
      </c>
      <c r="BB86" t="n">
        <v>14</v>
      </c>
      <c r="BC86" t="n">
        <v>3200</v>
      </c>
      <c r="BD86" t="inlineStr">
        <is>
          <t>Yes</t>
        </is>
      </c>
      <c r="BF86" t="inlineStr">
        <is>
          <t>ARTHA SHIPPING</t>
        </is>
      </c>
      <c r="BG86" t="inlineStr">
        <is>
          <t>RULED</t>
        </is>
      </c>
      <c r="BH86" t="n">
        <v>1</v>
      </c>
      <c r="BI86" t="n">
        <v>0</v>
      </c>
      <c r="BJ86" t="n">
        <v>3200</v>
      </c>
      <c r="BK86" t="inlineStr">
        <is>
          <t>LINE</t>
        </is>
      </c>
      <c r="BL86" t="inlineStr">
        <is>
          <t>EAGLE DRY</t>
        </is>
      </c>
      <c r="BM86" t="inlineStr">
        <is>
          <t>EAGLE DRY</t>
        </is>
      </c>
    </row>
    <row r="87">
      <c r="A87" t="n">
        <v>86</v>
      </c>
      <c r="B87" t="inlineStr">
        <is>
          <t>COYOTE DRY</t>
        </is>
      </c>
      <c r="C87" t="inlineStr">
        <is>
          <t>REF000000</t>
        </is>
      </c>
      <c r="D87" t="inlineStr">
        <is>
          <t>REF000000</t>
        </is>
      </c>
      <c r="E87" t="n">
        <v>46042</v>
      </c>
      <c r="F87" t="inlineStr">
        <is>
          <t>COYOTE DRY</t>
        </is>
      </c>
      <c r="G87" t="inlineStr">
        <is>
          <t>EVI200104 / Food Grade</t>
        </is>
      </c>
      <c r="H87" t="inlineStr">
        <is>
          <t>AdminUAM</t>
        </is>
      </c>
      <c r="J87" t="inlineStr">
        <is>
          <t>10-APR-2026</t>
        </is>
      </c>
      <c r="K87" t="inlineStr">
        <is>
          <t>05-APR-2026</t>
        </is>
      </c>
      <c r="M87" t="inlineStr">
        <is>
          <t>REF000000</t>
        </is>
      </c>
      <c r="N87" t="inlineStr">
        <is>
          <t>USNFK</t>
        </is>
      </c>
      <c r="O87" t="inlineStr">
        <is>
          <t>USNFK</t>
        </is>
      </c>
      <c r="P87" t="inlineStr">
        <is>
          <t>RULED</t>
        </is>
      </c>
      <c r="U87" t="inlineStr">
        <is>
          <t>RULED</t>
        </is>
      </c>
      <c r="V87" t="inlineStr">
        <is>
          <t>RULED</t>
        </is>
      </c>
      <c r="W87" t="inlineStr">
        <is>
          <t>UNITED STATES</t>
        </is>
      </c>
      <c r="X87" t="inlineStr">
        <is>
          <t>Latin America</t>
        </is>
      </c>
      <c r="Y87" t="inlineStr">
        <is>
          <t>RUSSIA</t>
        </is>
      </c>
      <c r="Z87" t="inlineStr">
        <is>
          <t>External Review</t>
        </is>
      </c>
      <c r="AA87" t="inlineStr">
        <is>
          <t>HUB SHIPPING LLC-LED</t>
        </is>
      </c>
      <c r="AB87" t="inlineStr">
        <is>
          <t>Collect</t>
        </is>
      </c>
      <c r="AC87" t="inlineStr">
        <is>
          <t>MERCURY / VOYAGE 1</t>
        </is>
      </c>
      <c r="AE87" t="inlineStr">
        <is>
          <t>LADEN BOOKING</t>
        </is>
      </c>
      <c r="AF87" t="inlineStr">
        <is>
          <t>RenniUAM</t>
        </is>
      </c>
      <c r="AG87" t="inlineStr">
        <is>
          <t>DC20</t>
        </is>
      </c>
      <c r="AH87" t="inlineStr">
        <is>
          <t>NO</t>
        </is>
      </c>
      <c r="AI87" t="n">
        <v>20</v>
      </c>
      <c r="AJ87" t="n">
        <v>2</v>
      </c>
      <c r="AK87" t="n">
        <v>0</v>
      </c>
      <c r="AL87" t="inlineStr">
        <is>
          <t>ANON0000000,
ANON0000000</t>
        </is>
      </c>
      <c r="AP87" t="inlineStr">
        <is>
          <t>Non Haz</t>
        </is>
      </c>
      <c r="AQ87" t="inlineStr">
        <is>
          <t>CY/CY</t>
        </is>
      </c>
      <c r="AT87" t="inlineStr">
        <is>
          <t>REF000000</t>
        </is>
      </c>
      <c r="AU87" t="n">
        <v>26000</v>
      </c>
      <c r="AV87" t="inlineStr">
        <is>
          <t>GENERAL COMMODITY</t>
        </is>
      </c>
      <c r="AX87" t="inlineStr">
        <is>
          <t>MRG401669</t>
        </is>
      </c>
      <c r="AY87" t="inlineStr">
        <is>
          <t>LINE</t>
        </is>
      </c>
      <c r="AZ87" t="n">
        <v>0</v>
      </c>
      <c r="BA87" t="n">
        <v>14</v>
      </c>
      <c r="BB87" t="n">
        <v>14</v>
      </c>
      <c r="BC87" t="n">
        <v>3200</v>
      </c>
      <c r="BD87" t="inlineStr">
        <is>
          <t>Yes</t>
        </is>
      </c>
      <c r="BG87" t="inlineStr">
        <is>
          <t>RULED</t>
        </is>
      </c>
      <c r="BH87" t="n">
        <v>2</v>
      </c>
      <c r="BI87" t="n">
        <v>0</v>
      </c>
      <c r="BJ87" t="n">
        <v>6400</v>
      </c>
      <c r="BK87" t="inlineStr">
        <is>
          <t>LINE</t>
        </is>
      </c>
      <c r="BL87" t="inlineStr">
        <is>
          <t>COYOTE DRY</t>
        </is>
      </c>
      <c r="BM87" t="inlineStr">
        <is>
          <t>COYOTE DRY</t>
        </is>
      </c>
    </row>
    <row r="88">
      <c r="A88" t="n">
        <v>87</v>
      </c>
      <c r="B88" t="inlineStr">
        <is>
          <t>FALCON DRY</t>
        </is>
      </c>
      <c r="C88" t="inlineStr">
        <is>
          <t>REF000000</t>
        </is>
      </c>
      <c r="D88" t="inlineStr">
        <is>
          <t>REF000000</t>
        </is>
      </c>
      <c r="E88" t="n">
        <v>46042</v>
      </c>
      <c r="F88" t="inlineStr">
        <is>
          <t>FALCON DRY</t>
        </is>
      </c>
      <c r="G88" t="inlineStr">
        <is>
          <t>EVI200105 / Food Grade</t>
        </is>
      </c>
      <c r="H88" t="inlineStr">
        <is>
          <t>AdminUAM</t>
        </is>
      </c>
      <c r="J88" t="inlineStr">
        <is>
          <t>10-APR-2026</t>
        </is>
      </c>
      <c r="K88" t="inlineStr">
        <is>
          <t>05-APR-2026</t>
        </is>
      </c>
      <c r="M88" t="inlineStr">
        <is>
          <t>REF000000</t>
        </is>
      </c>
      <c r="N88" t="inlineStr">
        <is>
          <t>USNFK</t>
        </is>
      </c>
      <c r="O88" t="inlineStr">
        <is>
          <t>USNFK</t>
        </is>
      </c>
      <c r="P88" t="inlineStr">
        <is>
          <t>RULED</t>
        </is>
      </c>
      <c r="U88" t="inlineStr">
        <is>
          <t>RULED</t>
        </is>
      </c>
      <c r="V88" t="inlineStr">
        <is>
          <t>RULED</t>
        </is>
      </c>
      <c r="W88" t="inlineStr">
        <is>
          <t>UNITED STATES</t>
        </is>
      </c>
      <c r="X88" t="inlineStr">
        <is>
          <t>Latin America</t>
        </is>
      </c>
      <c r="Y88" t="inlineStr">
        <is>
          <t>RUSSIA</t>
        </is>
      </c>
      <c r="Z88" t="inlineStr">
        <is>
          <t>External Review</t>
        </is>
      </c>
      <c r="AA88" t="inlineStr">
        <is>
          <t>HUB SHIPPING LLC-LED</t>
        </is>
      </c>
      <c r="AB88" t="inlineStr">
        <is>
          <t>Collect</t>
        </is>
      </c>
      <c r="AC88" t="inlineStr">
        <is>
          <t>MERCURY / VOYAGE 1</t>
        </is>
      </c>
      <c r="AE88" t="inlineStr">
        <is>
          <t>LADEN BOOKING</t>
        </is>
      </c>
      <c r="AF88" t="inlineStr">
        <is>
          <t>RenniUAM</t>
        </is>
      </c>
      <c r="AG88" t="inlineStr">
        <is>
          <t>DC20</t>
        </is>
      </c>
      <c r="AH88" t="inlineStr">
        <is>
          <t>NO</t>
        </is>
      </c>
      <c r="AI88" t="n">
        <v>20</v>
      </c>
      <c r="AJ88" t="n">
        <v>1</v>
      </c>
      <c r="AK88" t="n">
        <v>0</v>
      </c>
      <c r="AL88" t="inlineStr">
        <is>
          <t>ANON0000000</t>
        </is>
      </c>
      <c r="AP88" t="inlineStr">
        <is>
          <t>Non Haz</t>
        </is>
      </c>
      <c r="AQ88" t="inlineStr">
        <is>
          <t>CY/CY</t>
        </is>
      </c>
      <c r="AT88" t="inlineStr">
        <is>
          <t>REF000000</t>
        </is>
      </c>
      <c r="AU88" t="n">
        <v>26000</v>
      </c>
      <c r="AV88" t="inlineStr">
        <is>
          <t>GENERAL COMMODITY</t>
        </is>
      </c>
      <c r="AX88" t="inlineStr">
        <is>
          <t>MRG401669</t>
        </is>
      </c>
      <c r="AY88" t="inlineStr">
        <is>
          <t>LINE</t>
        </is>
      </c>
      <c r="AZ88" t="n">
        <v>0</v>
      </c>
      <c r="BA88" t="n">
        <v>14</v>
      </c>
      <c r="BB88" t="n">
        <v>14</v>
      </c>
      <c r="BC88" t="n">
        <v>3200</v>
      </c>
      <c r="BD88" t="inlineStr">
        <is>
          <t>Yes</t>
        </is>
      </c>
      <c r="BG88" t="inlineStr">
        <is>
          <t>RULED</t>
        </is>
      </c>
      <c r="BH88" t="n">
        <v>1</v>
      </c>
      <c r="BI88" t="n">
        <v>0</v>
      </c>
      <c r="BJ88" t="n">
        <v>3200</v>
      </c>
      <c r="BK88" t="inlineStr">
        <is>
          <t>LINE</t>
        </is>
      </c>
      <c r="BL88" t="inlineStr">
        <is>
          <t>FALCON DRY</t>
        </is>
      </c>
      <c r="BM88" t="inlineStr">
        <is>
          <t>FALCON DRY</t>
        </is>
      </c>
    </row>
    <row r="89">
      <c r="A89" t="n">
        <v>88</v>
      </c>
      <c r="B89" t="inlineStr">
        <is>
          <t>WHALE REEFER</t>
        </is>
      </c>
      <c r="C89" t="inlineStr">
        <is>
          <t>REF000000</t>
        </is>
      </c>
      <c r="D89" t="inlineStr">
        <is>
          <t>REF000000</t>
        </is>
      </c>
      <c r="E89" t="n">
        <v>46042</v>
      </c>
      <c r="F89" t="inlineStr">
        <is>
          <t>WHALE REEFER</t>
        </is>
      </c>
      <c r="H89" t="inlineStr">
        <is>
          <t>AdminUAM</t>
        </is>
      </c>
      <c r="J89" t="inlineStr">
        <is>
          <t>18-FEB-2026</t>
        </is>
      </c>
      <c r="K89" t="inlineStr">
        <is>
          <t>17-FEB-2026</t>
        </is>
      </c>
      <c r="L89" t="inlineStr">
        <is>
          <t>18-FEB-2026</t>
        </is>
      </c>
      <c r="M89" t="inlineStr">
        <is>
          <t>REF000000</t>
        </is>
      </c>
      <c r="N89" t="inlineStr">
        <is>
          <t>USNYC</t>
        </is>
      </c>
      <c r="O89" t="inlineStr">
        <is>
          <t>USNYC</t>
        </is>
      </c>
      <c r="P89" t="inlineStr">
        <is>
          <t>RULED</t>
        </is>
      </c>
      <c r="U89" t="inlineStr">
        <is>
          <t>RULED</t>
        </is>
      </c>
      <c r="V89" t="inlineStr">
        <is>
          <t>RULED</t>
        </is>
      </c>
      <c r="W89" t="inlineStr">
        <is>
          <t>UNITED STATES</t>
        </is>
      </c>
      <c r="X89" t="inlineStr">
        <is>
          <t>Latin America</t>
        </is>
      </c>
      <c r="Y89" t="inlineStr">
        <is>
          <t>RUSSIA</t>
        </is>
      </c>
      <c r="Z89" t="inlineStr">
        <is>
          <t>External Review</t>
        </is>
      </c>
      <c r="AA89" t="inlineStr">
        <is>
          <t>HUB SHIPPING LLC-LED</t>
        </is>
      </c>
      <c r="AB89" t="inlineStr">
        <is>
          <t>Collect</t>
        </is>
      </c>
      <c r="AC89" t="inlineStr">
        <is>
          <t>LI DA XING/VOYAGE 1</t>
        </is>
      </c>
      <c r="AE89" t="inlineStr">
        <is>
          <t>LADEN BOOKING</t>
        </is>
      </c>
      <c r="AF89" t="inlineStr">
        <is>
          <t>RenniUAM</t>
        </is>
      </c>
      <c r="AG89" t="inlineStr">
        <is>
          <t>HC40</t>
        </is>
      </c>
      <c r="AH89" t="inlineStr">
        <is>
          <t>NO</t>
        </is>
      </c>
      <c r="AI89" t="n">
        <v>40</v>
      </c>
      <c r="AJ89" t="n">
        <v>0</v>
      </c>
      <c r="AK89" t="n">
        <v>2</v>
      </c>
      <c r="AL89" t="inlineStr">
        <is>
          <t>ANON0000000,
ANON0000000</t>
        </is>
      </c>
      <c r="AP89" t="inlineStr">
        <is>
          <t>Non Haz</t>
        </is>
      </c>
      <c r="AQ89" t="inlineStr">
        <is>
          <t>CY/CY</t>
        </is>
      </c>
      <c r="AT89" t="inlineStr">
        <is>
          <t>REF000000</t>
        </is>
      </c>
      <c r="AU89" t="n">
        <v>26000</v>
      </c>
      <c r="AV89" t="inlineStr">
        <is>
          <t>GENERAL COMMODITY</t>
        </is>
      </c>
      <c r="AX89" t="inlineStr">
        <is>
          <t>RSUAM012600033</t>
        </is>
      </c>
      <c r="AZ89" t="n">
        <v>0</v>
      </c>
      <c r="BA89" t="n">
        <v>14</v>
      </c>
      <c r="BB89" t="n">
        <v>14</v>
      </c>
      <c r="BC89" t="n">
        <v>2800</v>
      </c>
      <c r="BD89" t="inlineStr">
        <is>
          <t>Yes</t>
        </is>
      </c>
      <c r="BF89" t="inlineStr">
        <is>
          <t>ARTHA SHIPPING</t>
        </is>
      </c>
      <c r="BG89" t="inlineStr">
        <is>
          <t>RULED</t>
        </is>
      </c>
      <c r="BH89" t="n">
        <v>0</v>
      </c>
      <c r="BI89" t="n">
        <v>2</v>
      </c>
      <c r="BJ89" t="n">
        <v>5600</v>
      </c>
      <c r="BK89" t="inlineStr">
        <is>
          <t>LINE</t>
        </is>
      </c>
      <c r="BL89" t="inlineStr">
        <is>
          <t>WHALE REEFER</t>
        </is>
      </c>
      <c r="BM89" t="inlineStr">
        <is>
          <t>WHALE REEFER</t>
        </is>
      </c>
    </row>
    <row r="90">
      <c r="A90" t="n">
        <v>89</v>
      </c>
      <c r="B90" t="inlineStr">
        <is>
          <t>DEER DRY</t>
        </is>
      </c>
      <c r="C90" t="inlineStr">
        <is>
          <t>REF000000</t>
        </is>
      </c>
      <c r="D90" t="inlineStr">
        <is>
          <t>REF000000</t>
        </is>
      </c>
      <c r="E90" t="n">
        <v>46042</v>
      </c>
      <c r="F90" t="inlineStr">
        <is>
          <t>DEER DRY</t>
        </is>
      </c>
      <c r="H90" t="inlineStr">
        <is>
          <t>AdminUAM</t>
        </is>
      </c>
      <c r="J90" t="inlineStr">
        <is>
          <t>25-FEB-2026</t>
        </is>
      </c>
      <c r="K90" t="inlineStr">
        <is>
          <t>19-FEB-2026</t>
        </is>
      </c>
      <c r="L90" t="inlineStr">
        <is>
          <t>25-FEB-2026</t>
        </is>
      </c>
      <c r="M90" t="inlineStr">
        <is>
          <t>REF000000</t>
        </is>
      </c>
      <c r="N90" t="inlineStr">
        <is>
          <t>USNFK</t>
        </is>
      </c>
      <c r="O90" t="inlineStr">
        <is>
          <t>USNFK</t>
        </is>
      </c>
      <c r="P90" t="inlineStr">
        <is>
          <t>RULED</t>
        </is>
      </c>
      <c r="U90" t="inlineStr">
        <is>
          <t>RULED</t>
        </is>
      </c>
      <c r="V90" t="inlineStr">
        <is>
          <t>RULED</t>
        </is>
      </c>
      <c r="W90" t="inlineStr">
        <is>
          <t>UNITED STATES</t>
        </is>
      </c>
      <c r="X90" t="inlineStr">
        <is>
          <t>Latin America</t>
        </is>
      </c>
      <c r="Y90" t="inlineStr">
        <is>
          <t>RUSSIA</t>
        </is>
      </c>
      <c r="Z90" t="inlineStr">
        <is>
          <t>External Review</t>
        </is>
      </c>
      <c r="AA90" t="inlineStr">
        <is>
          <t>HUB SHIPPING LLC-LED</t>
        </is>
      </c>
      <c r="AB90" t="inlineStr">
        <is>
          <t>Collect</t>
        </is>
      </c>
      <c r="AC90" t="inlineStr">
        <is>
          <t>LI DA XING/VOYAGE 1</t>
        </is>
      </c>
      <c r="AE90" t="inlineStr">
        <is>
          <t>LADEN BOOKING</t>
        </is>
      </c>
      <c r="AF90" t="inlineStr">
        <is>
          <t>RenniUAM</t>
        </is>
      </c>
      <c r="AG90" t="inlineStr">
        <is>
          <t>HC40</t>
        </is>
      </c>
      <c r="AH90" t="inlineStr">
        <is>
          <t>NO</t>
        </is>
      </c>
      <c r="AI90" t="n">
        <v>40</v>
      </c>
      <c r="AJ90" t="n">
        <v>0</v>
      </c>
      <c r="AK90" t="n">
        <v>2</v>
      </c>
      <c r="AL90" t="inlineStr">
        <is>
          <t>ANON0000000,
ANON0000000</t>
        </is>
      </c>
      <c r="AP90" t="inlineStr">
        <is>
          <t>Non Haz</t>
        </is>
      </c>
      <c r="AQ90" t="inlineStr">
        <is>
          <t>CY/CY</t>
        </is>
      </c>
      <c r="AT90" t="inlineStr">
        <is>
          <t>REF000000</t>
        </is>
      </c>
      <c r="AU90" t="n">
        <v>26000</v>
      </c>
      <c r="AV90" t="inlineStr">
        <is>
          <t>GENERAL COMMODITY</t>
        </is>
      </c>
      <c r="AX90" t="inlineStr">
        <is>
          <t>RSUAM012600034</t>
        </is>
      </c>
      <c r="AZ90" t="n">
        <v>0</v>
      </c>
      <c r="BA90" t="n">
        <v>14</v>
      </c>
      <c r="BB90" t="n">
        <v>14</v>
      </c>
      <c r="BC90" t="n">
        <v>2800</v>
      </c>
      <c r="BD90" t="inlineStr">
        <is>
          <t>Yes</t>
        </is>
      </c>
      <c r="BF90" t="inlineStr">
        <is>
          <t>ARTHA SHIPPING</t>
        </is>
      </c>
      <c r="BG90" t="inlineStr">
        <is>
          <t>RULED</t>
        </is>
      </c>
      <c r="BH90" t="n">
        <v>0</v>
      </c>
      <c r="BI90" t="n">
        <v>2</v>
      </c>
      <c r="BJ90" t="n">
        <v>5600</v>
      </c>
      <c r="BK90" t="inlineStr">
        <is>
          <t>LINE</t>
        </is>
      </c>
      <c r="BL90" t="inlineStr">
        <is>
          <t>DEER DRY</t>
        </is>
      </c>
      <c r="BM90" t="inlineStr">
        <is>
          <t>DEER DRY</t>
        </is>
      </c>
    </row>
    <row r="91">
      <c r="A91" t="n">
        <v>90</v>
      </c>
      <c r="B91" t="inlineStr">
        <is>
          <t>FOX DRY</t>
        </is>
      </c>
      <c r="C91" t="inlineStr">
        <is>
          <t>REF000000</t>
        </is>
      </c>
      <c r="D91" t="inlineStr">
        <is>
          <t>REF000000</t>
        </is>
      </c>
      <c r="E91" t="n">
        <v>46042</v>
      </c>
      <c r="F91" t="inlineStr">
        <is>
          <t>FOX DRY</t>
        </is>
      </c>
      <c r="G91" t="inlineStr">
        <is>
          <t>APO190101 Food Grade</t>
        </is>
      </c>
      <c r="H91" t="inlineStr">
        <is>
          <t>AdminUAM</t>
        </is>
      </c>
      <c r="J91" t="inlineStr">
        <is>
          <t>25-FEB-2026</t>
        </is>
      </c>
      <c r="K91" t="inlineStr">
        <is>
          <t>19-FEB-2026</t>
        </is>
      </c>
      <c r="L91" t="inlineStr">
        <is>
          <t>25-FEB-2026</t>
        </is>
      </c>
      <c r="M91" t="inlineStr">
        <is>
          <t>REF000000</t>
        </is>
      </c>
      <c r="N91" t="inlineStr">
        <is>
          <t>USNFK</t>
        </is>
      </c>
      <c r="O91" t="inlineStr">
        <is>
          <t>USNFK</t>
        </is>
      </c>
      <c r="P91" t="inlineStr">
        <is>
          <t>RULED</t>
        </is>
      </c>
      <c r="U91" t="inlineStr">
        <is>
          <t>RULED</t>
        </is>
      </c>
      <c r="V91" t="inlineStr">
        <is>
          <t>RULED</t>
        </is>
      </c>
      <c r="W91" t="inlineStr">
        <is>
          <t>UNITED STATES</t>
        </is>
      </c>
      <c r="X91" t="inlineStr">
        <is>
          <t>Latin America</t>
        </is>
      </c>
      <c r="Y91" t="inlineStr">
        <is>
          <t>RUSSIA</t>
        </is>
      </c>
      <c r="Z91" t="inlineStr">
        <is>
          <t>External Review</t>
        </is>
      </c>
      <c r="AA91" t="inlineStr">
        <is>
          <t>HUB SHIPPING LLC-LED</t>
        </is>
      </c>
      <c r="AB91" t="inlineStr">
        <is>
          <t>Collect</t>
        </is>
      </c>
      <c r="AC91" t="inlineStr">
        <is>
          <t>LI DA XING/VOYAGE 1</t>
        </is>
      </c>
      <c r="AE91" t="inlineStr">
        <is>
          <t>LADEN BOOKING</t>
        </is>
      </c>
      <c r="AF91" t="inlineStr">
        <is>
          <t>RenniUAM</t>
        </is>
      </c>
      <c r="AG91" t="inlineStr">
        <is>
          <t>DC20</t>
        </is>
      </c>
      <c r="AH91" t="inlineStr">
        <is>
          <t>NO</t>
        </is>
      </c>
      <c r="AI91" t="n">
        <v>20</v>
      </c>
      <c r="AJ91" t="n">
        <v>2</v>
      </c>
      <c r="AK91" t="n">
        <v>0</v>
      </c>
      <c r="AL91" t="inlineStr">
        <is>
          <t>ANON0000000,
ANON0000000</t>
        </is>
      </c>
      <c r="AP91" t="inlineStr">
        <is>
          <t>Non Haz</t>
        </is>
      </c>
      <c r="AQ91" t="inlineStr">
        <is>
          <t>CY/CY</t>
        </is>
      </c>
      <c r="AT91" t="inlineStr">
        <is>
          <t>REF000000</t>
        </is>
      </c>
      <c r="AU91" t="n">
        <v>26000</v>
      </c>
      <c r="AV91" t="inlineStr">
        <is>
          <t>GENERAL COMMODITY</t>
        </is>
      </c>
      <c r="AX91" t="inlineStr">
        <is>
          <t>RSUAM012600052</t>
        </is>
      </c>
      <c r="AZ91" t="n">
        <v>0</v>
      </c>
      <c r="BA91" t="n">
        <v>14</v>
      </c>
      <c r="BB91" t="n">
        <v>21</v>
      </c>
      <c r="BC91" t="n">
        <v>1750</v>
      </c>
      <c r="BD91" t="inlineStr">
        <is>
          <t>Yes</t>
        </is>
      </c>
      <c r="BF91" t="inlineStr">
        <is>
          <t>ARTHA SHIPPING</t>
        </is>
      </c>
      <c r="BG91" t="inlineStr">
        <is>
          <t>RULED</t>
        </is>
      </c>
      <c r="BH91" t="n">
        <v>2</v>
      </c>
      <c r="BI91" t="n">
        <v>0</v>
      </c>
      <c r="BJ91" t="n">
        <v>3500</v>
      </c>
      <c r="BK91" t="inlineStr">
        <is>
          <t>LINE</t>
        </is>
      </c>
      <c r="BL91" t="inlineStr">
        <is>
          <t>FOX DRY</t>
        </is>
      </c>
      <c r="BM91" t="inlineStr">
        <is>
          <t>FOX DRY</t>
        </is>
      </c>
    </row>
    <row r="92">
      <c r="A92" t="n">
        <v>91</v>
      </c>
      <c r="B92" t="inlineStr">
        <is>
          <t>DOLPHIN REEFER</t>
        </is>
      </c>
      <c r="C92" t="inlineStr">
        <is>
          <t>REF000000</t>
        </is>
      </c>
      <c r="D92" t="inlineStr">
        <is>
          <t>REF000000</t>
        </is>
      </c>
      <c r="E92" t="n">
        <v>46043</v>
      </c>
      <c r="F92" t="inlineStr">
        <is>
          <t>DOLPHIN REEFER</t>
        </is>
      </c>
      <c r="G92" t="inlineStr">
        <is>
          <t>PREPAID ABROAD</t>
        </is>
      </c>
      <c r="H92" t="inlineStr">
        <is>
          <t>Regional Operations_UNIMAR</t>
        </is>
      </c>
      <c r="J92" t="inlineStr">
        <is>
          <t>19-FEB-2026</t>
        </is>
      </c>
      <c r="K92" t="inlineStr">
        <is>
          <t>19-FEB-2026</t>
        </is>
      </c>
      <c r="L92" t="inlineStr">
        <is>
          <t>19-FEB-2026</t>
        </is>
      </c>
      <c r="M92" t="inlineStr">
        <is>
          <t>REF000000</t>
        </is>
      </c>
      <c r="N92" t="inlineStr">
        <is>
          <t>USHOU</t>
        </is>
      </c>
      <c r="O92" t="inlineStr">
        <is>
          <t>USHOU</t>
        </is>
      </c>
      <c r="P92" t="inlineStr">
        <is>
          <t>RUBLT</t>
        </is>
      </c>
      <c r="U92" t="inlineStr">
        <is>
          <t>RUBLT</t>
        </is>
      </c>
      <c r="V92" t="inlineStr">
        <is>
          <t>RUBLT</t>
        </is>
      </c>
      <c r="W92" t="inlineStr">
        <is>
          <t>UNITED STATES</t>
        </is>
      </c>
      <c r="X92" t="inlineStr">
        <is>
          <t>Latin America</t>
        </is>
      </c>
      <c r="Y92" t="inlineStr">
        <is>
          <t>RUSSIA</t>
        </is>
      </c>
      <c r="Z92" t="inlineStr">
        <is>
          <t>External Review</t>
        </is>
      </c>
      <c r="AA92" t="inlineStr">
        <is>
          <t>HUB Shipping-Kaliningrad</t>
        </is>
      </c>
      <c r="AB92" t="inlineStr">
        <is>
          <t>Prepaid</t>
        </is>
      </c>
      <c r="AC92" t="inlineStr">
        <is>
          <t>LI DA XING/VOYAGE 1</t>
        </is>
      </c>
      <c r="AE92" t="inlineStr">
        <is>
          <t>LADEN BOOKING</t>
        </is>
      </c>
      <c r="AF92" t="inlineStr">
        <is>
          <t>Joao Ribeiro</t>
        </is>
      </c>
      <c r="AG92" t="inlineStr">
        <is>
          <t>RH40</t>
        </is>
      </c>
      <c r="AH92" t="inlineStr">
        <is>
          <t>NO</t>
        </is>
      </c>
      <c r="AI92" t="n">
        <v>40</v>
      </c>
      <c r="AJ92" t="n">
        <v>0</v>
      </c>
      <c r="AK92" t="n">
        <v>1</v>
      </c>
      <c r="AL92" t="inlineStr">
        <is>
          <t>ANON0000000</t>
        </is>
      </c>
      <c r="AM92" t="n">
        <v>-22</v>
      </c>
      <c r="AP92" t="inlineStr">
        <is>
          <t>Non Haz</t>
        </is>
      </c>
      <c r="AQ92" t="inlineStr">
        <is>
          <t>CY/CY</t>
        </is>
      </c>
      <c r="AT92" t="inlineStr">
        <is>
          <t>REF000000</t>
        </is>
      </c>
      <c r="AU92" t="n">
        <v>27000</v>
      </c>
      <c r="AV92" t="inlineStr">
        <is>
          <t>FROZEN MEAT &amp; FRUIT PULP</t>
        </is>
      </c>
      <c r="AX92" t="inlineStr">
        <is>
          <t>RSUAM122500018</t>
        </is>
      </c>
      <c r="AZ92" t="n">
        <v>2</v>
      </c>
      <c r="BA92" t="n">
        <v>25</v>
      </c>
      <c r="BB92" t="n">
        <v>15</v>
      </c>
      <c r="BC92" t="n">
        <v>9200</v>
      </c>
      <c r="BD92" t="inlineStr">
        <is>
          <t>No</t>
        </is>
      </c>
      <c r="BF92" t="inlineStr">
        <is>
          <t>ARTHA SHIPPING</t>
        </is>
      </c>
      <c r="BG92" t="inlineStr">
        <is>
          <t>USHOU</t>
        </is>
      </c>
      <c r="BH92" t="n">
        <v>0</v>
      </c>
      <c r="BI92" t="n">
        <v>1</v>
      </c>
      <c r="BJ92" t="n">
        <v>9200</v>
      </c>
      <c r="BK92" t="inlineStr">
        <is>
          <t>LINE</t>
        </is>
      </c>
      <c r="BL92" t="inlineStr">
        <is>
          <t>DOLPHIN REEFER</t>
        </is>
      </c>
      <c r="BM92" t="inlineStr">
        <is>
          <t>DOLPHIN REEFER</t>
        </is>
      </c>
    </row>
    <row r="93">
      <c r="A93" t="n">
        <v>92</v>
      </c>
      <c r="B93" t="inlineStr">
        <is>
          <t>MARLIN REEFER</t>
        </is>
      </c>
      <c r="C93" t="inlineStr">
        <is>
          <t>REF000000</t>
        </is>
      </c>
      <c r="D93" t="inlineStr">
        <is>
          <t>REF000000</t>
        </is>
      </c>
      <c r="E93" t="n">
        <v>46043</v>
      </c>
      <c r="F93" t="inlineStr">
        <is>
          <t>MARLIN REEFER</t>
        </is>
      </c>
      <c r="G93" t="inlineStr">
        <is>
          <t>PREPAID ABROAD</t>
        </is>
      </c>
      <c r="H93" t="inlineStr">
        <is>
          <t>Regional Operations_UNIMAR</t>
        </is>
      </c>
      <c r="J93" t="inlineStr">
        <is>
          <t>10-APR-2026</t>
        </is>
      </c>
      <c r="K93" t="inlineStr">
        <is>
          <t>06-APR-2026</t>
        </is>
      </c>
      <c r="L93" t="inlineStr">
        <is>
          <t>10-APR-2026</t>
        </is>
      </c>
      <c r="M93" t="inlineStr">
        <is>
          <t>REF000000</t>
        </is>
      </c>
      <c r="N93" t="inlineStr">
        <is>
          <t>USNYC</t>
        </is>
      </c>
      <c r="O93" t="inlineStr">
        <is>
          <t>USNYC</t>
        </is>
      </c>
      <c r="P93" t="inlineStr">
        <is>
          <t>RUBLT</t>
        </is>
      </c>
      <c r="U93" t="inlineStr">
        <is>
          <t>RUBLT</t>
        </is>
      </c>
      <c r="V93" t="inlineStr">
        <is>
          <t>RUBLT</t>
        </is>
      </c>
      <c r="W93" t="inlineStr">
        <is>
          <t>UNITED STATES</t>
        </is>
      </c>
      <c r="X93" t="inlineStr">
        <is>
          <t>Latin America</t>
        </is>
      </c>
      <c r="Y93" t="inlineStr">
        <is>
          <t>RUSSIA</t>
        </is>
      </c>
      <c r="Z93" t="inlineStr">
        <is>
          <t>External Review</t>
        </is>
      </c>
      <c r="AA93" t="inlineStr">
        <is>
          <t>HUB Shipping-Kaliningrad</t>
        </is>
      </c>
      <c r="AB93" t="inlineStr">
        <is>
          <t>Prepaid</t>
        </is>
      </c>
      <c r="AC93" t="inlineStr">
        <is>
          <t>MERCURY / VOYAGE 1</t>
        </is>
      </c>
      <c r="AE93" t="inlineStr">
        <is>
          <t>LADEN BOOKING</t>
        </is>
      </c>
      <c r="AF93" t="inlineStr">
        <is>
          <t>Joao Ribeiro</t>
        </is>
      </c>
      <c r="AG93" t="inlineStr">
        <is>
          <t>RH40</t>
        </is>
      </c>
      <c r="AH93" t="inlineStr">
        <is>
          <t>NO</t>
        </is>
      </c>
      <c r="AI93" t="n">
        <v>40</v>
      </c>
      <c r="AJ93" t="n">
        <v>0</v>
      </c>
      <c r="AK93" t="n">
        <v>1</v>
      </c>
      <c r="AL93" t="inlineStr">
        <is>
          <t>ANON0000000</t>
        </is>
      </c>
      <c r="AM93" t="n">
        <v>-22</v>
      </c>
      <c r="AP93" t="inlineStr">
        <is>
          <t>Non Haz</t>
        </is>
      </c>
      <c r="AQ93" t="inlineStr">
        <is>
          <t>CY/CY</t>
        </is>
      </c>
      <c r="AT93" t="inlineStr">
        <is>
          <t>REF000000</t>
        </is>
      </c>
      <c r="AU93" t="n">
        <v>27000</v>
      </c>
      <c r="AV93" t="inlineStr">
        <is>
          <t>FROZEN MEAT &amp; FRUIT PULP</t>
        </is>
      </c>
      <c r="AX93" t="inlineStr">
        <is>
          <t>RSUAM122500017</t>
        </is>
      </c>
      <c r="AZ93" t="n">
        <v>2</v>
      </c>
      <c r="BA93" t="n">
        <v>25</v>
      </c>
      <c r="BB93" t="n">
        <v>15</v>
      </c>
      <c r="BC93" t="n">
        <v>9200</v>
      </c>
      <c r="BD93" t="inlineStr">
        <is>
          <t>No</t>
        </is>
      </c>
      <c r="BF93" t="inlineStr">
        <is>
          <t>ARTHA SHIPPING</t>
        </is>
      </c>
      <c r="BG93" t="inlineStr">
        <is>
          <t>USNYC</t>
        </is>
      </c>
      <c r="BH93" t="n">
        <v>0</v>
      </c>
      <c r="BI93" t="n">
        <v>1</v>
      </c>
      <c r="BJ93" t="n">
        <v>9200</v>
      </c>
      <c r="BK93" t="inlineStr">
        <is>
          <t>LINE</t>
        </is>
      </c>
      <c r="BL93" t="inlineStr">
        <is>
          <t>MARLIN REEFER</t>
        </is>
      </c>
      <c r="BM93" t="inlineStr">
        <is>
          <t>MARLIN REEFER</t>
        </is>
      </c>
    </row>
    <row r="94">
      <c r="A94" t="n">
        <v>93</v>
      </c>
      <c r="B94" t="inlineStr">
        <is>
          <t>TURTLE REEFER</t>
        </is>
      </c>
      <c r="C94" t="inlineStr">
        <is>
          <t>REF000000</t>
        </is>
      </c>
      <c r="D94" t="inlineStr">
        <is>
          <t>REF000000</t>
        </is>
      </c>
      <c r="E94" t="n">
        <v>46045</v>
      </c>
      <c r="F94" t="inlineStr">
        <is>
          <t>TURTLE REEFER</t>
        </is>
      </c>
      <c r="G94" t="inlineStr">
        <is>
          <t>PREPAID ABROAD</t>
        </is>
      </c>
      <c r="H94" t="inlineStr">
        <is>
          <t>Regional Operations_UNIMAR</t>
        </is>
      </c>
      <c r="J94" t="inlineStr">
        <is>
          <t>18-FEB-2026</t>
        </is>
      </c>
      <c r="K94" t="inlineStr">
        <is>
          <t>17-FEB-2026</t>
        </is>
      </c>
      <c r="L94" t="inlineStr">
        <is>
          <t>18-FEB-2026</t>
        </is>
      </c>
      <c r="M94" t="inlineStr">
        <is>
          <t>REF000000</t>
        </is>
      </c>
      <c r="N94" t="inlineStr">
        <is>
          <t>USNYC</t>
        </is>
      </c>
      <c r="O94" t="inlineStr">
        <is>
          <t>USNYC</t>
        </is>
      </c>
      <c r="P94" t="inlineStr">
        <is>
          <t>RUBLT</t>
        </is>
      </c>
      <c r="U94" t="inlineStr">
        <is>
          <t>RUBLT</t>
        </is>
      </c>
      <c r="V94" t="inlineStr">
        <is>
          <t>RUBLT</t>
        </is>
      </c>
      <c r="W94" t="inlineStr">
        <is>
          <t>UNITED STATES</t>
        </is>
      </c>
      <c r="X94" t="inlineStr">
        <is>
          <t>Latin America</t>
        </is>
      </c>
      <c r="Y94" t="inlineStr">
        <is>
          <t>RUSSIA</t>
        </is>
      </c>
      <c r="Z94" t="inlineStr">
        <is>
          <t>External Review</t>
        </is>
      </c>
      <c r="AA94" t="inlineStr">
        <is>
          <t>HUB Shipping-Kaliningrad</t>
        </is>
      </c>
      <c r="AB94" t="inlineStr">
        <is>
          <t>Prepaid</t>
        </is>
      </c>
      <c r="AC94" t="inlineStr">
        <is>
          <t>LI DA XING/VOYAGE 1</t>
        </is>
      </c>
      <c r="AE94" t="inlineStr">
        <is>
          <t>LADEN BOOKING</t>
        </is>
      </c>
      <c r="AF94" t="inlineStr">
        <is>
          <t>Joao Ribeiro</t>
        </is>
      </c>
      <c r="AG94" t="inlineStr">
        <is>
          <t>RH40</t>
        </is>
      </c>
      <c r="AH94" t="inlineStr">
        <is>
          <t>NO</t>
        </is>
      </c>
      <c r="AI94" t="n">
        <v>40</v>
      </c>
      <c r="AJ94" t="n">
        <v>0</v>
      </c>
      <c r="AK94" t="n">
        <v>1</v>
      </c>
      <c r="AL94" t="inlineStr">
        <is>
          <t>ANON0000000</t>
        </is>
      </c>
      <c r="AM94" t="n">
        <v>-22</v>
      </c>
      <c r="AP94" t="inlineStr">
        <is>
          <t>Non Haz</t>
        </is>
      </c>
      <c r="AQ94" t="inlineStr">
        <is>
          <t>CY/CY</t>
        </is>
      </c>
      <c r="AT94" t="inlineStr">
        <is>
          <t>REF000000</t>
        </is>
      </c>
      <c r="AU94" t="n">
        <v>27000</v>
      </c>
      <c r="AV94" t="inlineStr">
        <is>
          <t>FROZEN MEAT &amp; FRUIT PULP</t>
        </is>
      </c>
      <c r="AX94" t="inlineStr">
        <is>
          <t>RSUAM122500017</t>
        </is>
      </c>
      <c r="AZ94" t="n">
        <v>2</v>
      </c>
      <c r="BA94" t="n">
        <v>25</v>
      </c>
      <c r="BB94" t="n">
        <v>15</v>
      </c>
      <c r="BC94" t="n">
        <v>9200</v>
      </c>
      <c r="BD94" t="inlineStr">
        <is>
          <t>No</t>
        </is>
      </c>
      <c r="BF94" t="inlineStr">
        <is>
          <t>ARTHA SHIPPING</t>
        </is>
      </c>
      <c r="BG94" t="inlineStr">
        <is>
          <t>USNYC</t>
        </is>
      </c>
      <c r="BH94" t="n">
        <v>0</v>
      </c>
      <c r="BI94" t="n">
        <v>1</v>
      </c>
      <c r="BJ94" t="n">
        <v>9200</v>
      </c>
      <c r="BK94" t="inlineStr">
        <is>
          <t>LINE</t>
        </is>
      </c>
      <c r="BL94" t="inlineStr">
        <is>
          <t>TURTLE REEFER</t>
        </is>
      </c>
      <c r="BM94" t="inlineStr">
        <is>
          <t>TURTLE REEFER</t>
        </is>
      </c>
    </row>
    <row r="95">
      <c r="A95" t="n">
        <v>94</v>
      </c>
      <c r="B95" t="inlineStr">
        <is>
          <t>FALCON DRY</t>
        </is>
      </c>
      <c r="C95" t="inlineStr">
        <is>
          <t>REF000000</t>
        </is>
      </c>
      <c r="D95" t="inlineStr">
        <is>
          <t>REF000000</t>
        </is>
      </c>
      <c r="E95" t="n">
        <v>46045</v>
      </c>
      <c r="F95" t="inlineStr">
        <is>
          <t>FALCON DRY</t>
        </is>
      </c>
      <c r="H95" t="inlineStr">
        <is>
          <t>AdminUAM</t>
        </is>
      </c>
      <c r="J95" t="inlineStr">
        <is>
          <t>25-FEB-2026</t>
        </is>
      </c>
      <c r="K95" t="inlineStr">
        <is>
          <t>19-FEB-2026</t>
        </is>
      </c>
      <c r="L95" t="inlineStr">
        <is>
          <t>25-FEB-2026</t>
        </is>
      </c>
      <c r="M95" t="inlineStr">
        <is>
          <t>REF000000</t>
        </is>
      </c>
      <c r="N95" t="inlineStr">
        <is>
          <t>USNFK</t>
        </is>
      </c>
      <c r="O95" t="inlineStr">
        <is>
          <t>USNFK</t>
        </is>
      </c>
      <c r="P95" t="inlineStr">
        <is>
          <t>RULED</t>
        </is>
      </c>
      <c r="U95" t="inlineStr">
        <is>
          <t>RULED</t>
        </is>
      </c>
      <c r="V95" t="inlineStr">
        <is>
          <t>RULED</t>
        </is>
      </c>
      <c r="W95" t="inlineStr">
        <is>
          <t>UNITED STATES</t>
        </is>
      </c>
      <c r="X95" t="inlineStr">
        <is>
          <t>Latin America</t>
        </is>
      </c>
      <c r="Y95" t="inlineStr">
        <is>
          <t>RUSSIA</t>
        </is>
      </c>
      <c r="Z95" t="inlineStr">
        <is>
          <t>External Review</t>
        </is>
      </c>
      <c r="AA95" t="inlineStr">
        <is>
          <t>HUB SHIPPING LLC-LED</t>
        </is>
      </c>
      <c r="AB95" t="inlineStr">
        <is>
          <t>Collect</t>
        </is>
      </c>
      <c r="AC95" t="inlineStr">
        <is>
          <t>LI DA XING/VOYAGE 1</t>
        </is>
      </c>
      <c r="AE95" t="inlineStr">
        <is>
          <t>LADEN BOOKING</t>
        </is>
      </c>
      <c r="AF95" t="inlineStr">
        <is>
          <t>RenniUAM</t>
        </is>
      </c>
      <c r="AG95" t="inlineStr">
        <is>
          <t>HC40</t>
        </is>
      </c>
      <c r="AH95" t="inlineStr">
        <is>
          <t>NO</t>
        </is>
      </c>
      <c r="AI95" t="n">
        <v>40</v>
      </c>
      <c r="AJ95" t="n">
        <v>0</v>
      </c>
      <c r="AK95" t="n">
        <v>1</v>
      </c>
      <c r="AL95" t="inlineStr">
        <is>
          <t>ANON0000000</t>
        </is>
      </c>
      <c r="AP95" t="inlineStr">
        <is>
          <t>Non Haz</t>
        </is>
      </c>
      <c r="AQ95" t="inlineStr">
        <is>
          <t>CY/CY</t>
        </is>
      </c>
      <c r="AT95" t="inlineStr">
        <is>
          <t>REF000000</t>
        </is>
      </c>
      <c r="AU95" t="n">
        <v>26000</v>
      </c>
      <c r="AV95" t="inlineStr">
        <is>
          <t>GENERAL COMMODITY</t>
        </is>
      </c>
      <c r="AX95" t="inlineStr">
        <is>
          <t>MRG382814</t>
        </is>
      </c>
      <c r="AY95" t="inlineStr">
        <is>
          <t>LINE</t>
        </is>
      </c>
      <c r="AZ95" t="n">
        <v>0</v>
      </c>
      <c r="BA95" t="n">
        <v>14</v>
      </c>
      <c r="BB95" t="n">
        <v>14</v>
      </c>
      <c r="BC95" t="n">
        <v>4400</v>
      </c>
      <c r="BD95" t="inlineStr">
        <is>
          <t>Yes</t>
        </is>
      </c>
      <c r="BF95" t="inlineStr">
        <is>
          <t>ARTHA SHIPPING</t>
        </is>
      </c>
      <c r="BG95" t="inlineStr">
        <is>
          <t>RULED</t>
        </is>
      </c>
      <c r="BH95" t="n">
        <v>0</v>
      </c>
      <c r="BI95" t="n">
        <v>1</v>
      </c>
      <c r="BJ95" t="n">
        <v>4400</v>
      </c>
      <c r="BK95" t="inlineStr">
        <is>
          <t>LINE</t>
        </is>
      </c>
      <c r="BL95" t="inlineStr">
        <is>
          <t>FALCON DRY</t>
        </is>
      </c>
      <c r="BM95" t="inlineStr">
        <is>
          <t>FALCON DRY</t>
        </is>
      </c>
    </row>
    <row r="96">
      <c r="A96" t="n">
        <v>95</v>
      </c>
      <c r="B96" t="inlineStr">
        <is>
          <t>WHALE REEFER</t>
        </is>
      </c>
      <c r="C96" t="inlineStr">
        <is>
          <t>REF000000</t>
        </is>
      </c>
      <c r="D96" t="inlineStr">
        <is>
          <t>REF000000</t>
        </is>
      </c>
      <c r="E96" t="n">
        <v>46045</v>
      </c>
      <c r="F96" t="inlineStr">
        <is>
          <t>WHALE REEFER</t>
        </is>
      </c>
      <c r="G96" t="inlineStr">
        <is>
          <t>PREPAID ABROAD</t>
        </is>
      </c>
      <c r="H96" t="inlineStr">
        <is>
          <t>Diego</t>
        </is>
      </c>
      <c r="J96" t="inlineStr">
        <is>
          <t>25-FEB-2026</t>
        </is>
      </c>
      <c r="K96" t="inlineStr">
        <is>
          <t>19-FEB-2026</t>
        </is>
      </c>
      <c r="L96" t="inlineStr">
        <is>
          <t>25-FEB-2026</t>
        </is>
      </c>
      <c r="M96" t="inlineStr">
        <is>
          <t>REF000000</t>
        </is>
      </c>
      <c r="N96" t="inlineStr">
        <is>
          <t>USNFK</t>
        </is>
      </c>
      <c r="O96" t="inlineStr">
        <is>
          <t>USNFK</t>
        </is>
      </c>
      <c r="P96" t="inlineStr">
        <is>
          <t>RULED</t>
        </is>
      </c>
      <c r="U96" t="inlineStr">
        <is>
          <t>RULED</t>
        </is>
      </c>
      <c r="V96" t="inlineStr">
        <is>
          <t>RULED</t>
        </is>
      </c>
      <c r="W96" t="inlineStr">
        <is>
          <t>UNITED STATES</t>
        </is>
      </c>
      <c r="X96" t="inlineStr">
        <is>
          <t>Latin America</t>
        </is>
      </c>
      <c r="Y96" t="inlineStr">
        <is>
          <t>RUSSIA</t>
        </is>
      </c>
      <c r="Z96" t="inlineStr">
        <is>
          <t>External Review</t>
        </is>
      </c>
      <c r="AA96" t="inlineStr">
        <is>
          <t>HUB SHIPPING LLC-LED</t>
        </is>
      </c>
      <c r="AB96" t="inlineStr">
        <is>
          <t>Prepaid</t>
        </is>
      </c>
      <c r="AC96" t="inlineStr">
        <is>
          <t>LI DA XING/VOYAGE 1</t>
        </is>
      </c>
      <c r="AE96" t="inlineStr">
        <is>
          <t>LADEN BOOKING</t>
        </is>
      </c>
      <c r="AF96" t="inlineStr">
        <is>
          <t>Joao Ribeiro</t>
        </is>
      </c>
      <c r="AG96" t="inlineStr">
        <is>
          <t>RH40</t>
        </is>
      </c>
      <c r="AH96" t="inlineStr">
        <is>
          <t>NO</t>
        </is>
      </c>
      <c r="AI96" t="n">
        <v>40</v>
      </c>
      <c r="AJ96" t="n">
        <v>0</v>
      </c>
      <c r="AK96" t="n">
        <v>1</v>
      </c>
      <c r="AL96" t="inlineStr">
        <is>
          <t>ANON0000000</t>
        </is>
      </c>
      <c r="AM96" t="n">
        <v>-18</v>
      </c>
      <c r="AP96" t="inlineStr">
        <is>
          <t>Non Haz</t>
        </is>
      </c>
      <c r="AQ96" t="inlineStr">
        <is>
          <t>CY/CY</t>
        </is>
      </c>
      <c r="AT96" t="inlineStr">
        <is>
          <t>REF000000</t>
        </is>
      </c>
      <c r="AU96" t="n">
        <v>28000</v>
      </c>
      <c r="AV96" t="inlineStr">
        <is>
          <t>FROZEN MEAT &amp; FRUIT PULP</t>
        </is>
      </c>
      <c r="AX96" t="inlineStr">
        <is>
          <t>RSUAM112500002</t>
        </is>
      </c>
      <c r="AZ96" t="n">
        <v>5</v>
      </c>
      <c r="BA96" t="n">
        <v>25</v>
      </c>
      <c r="BB96" t="n">
        <v>15</v>
      </c>
      <c r="BC96" t="n">
        <v>7000</v>
      </c>
      <c r="BD96" t="inlineStr">
        <is>
          <t>No</t>
        </is>
      </c>
      <c r="BF96" t="inlineStr">
        <is>
          <t>ARTHA SHIPPING</t>
        </is>
      </c>
      <c r="BG96" t="inlineStr">
        <is>
          <t>USNFK</t>
        </is>
      </c>
      <c r="BH96" t="n">
        <v>0</v>
      </c>
      <c r="BI96" t="n">
        <v>1</v>
      </c>
      <c r="BJ96" t="n">
        <v>7000</v>
      </c>
      <c r="BK96" t="inlineStr">
        <is>
          <t>LINE</t>
        </is>
      </c>
      <c r="BL96" t="inlineStr">
        <is>
          <t>WHALE REEFER</t>
        </is>
      </c>
      <c r="BM96" t="inlineStr">
        <is>
          <t>WHALE REEFER</t>
        </is>
      </c>
    </row>
    <row r="97">
      <c r="A97" t="n">
        <v>96</v>
      </c>
      <c r="B97" t="inlineStr">
        <is>
          <t>SEAL REEFER</t>
        </is>
      </c>
      <c r="C97" t="inlineStr">
        <is>
          <t>REF000000</t>
        </is>
      </c>
      <c r="D97" t="inlineStr">
        <is>
          <t>REF000000</t>
        </is>
      </c>
      <c r="E97" t="n">
        <v>46045</v>
      </c>
      <c r="F97" t="inlineStr">
        <is>
          <t>SEAL REEFER</t>
        </is>
      </c>
      <c r="G97" t="inlineStr">
        <is>
          <t>PREPAID ABROAD</t>
        </is>
      </c>
      <c r="H97" t="inlineStr">
        <is>
          <t>Diego</t>
        </is>
      </c>
      <c r="J97" t="inlineStr">
        <is>
          <t>25-FEB-2026</t>
        </is>
      </c>
      <c r="K97" t="inlineStr">
        <is>
          <t>19-FEB-2026</t>
        </is>
      </c>
      <c r="L97" t="inlineStr">
        <is>
          <t>25-FEB-2026</t>
        </is>
      </c>
      <c r="M97" t="inlineStr">
        <is>
          <t>REF000000</t>
        </is>
      </c>
      <c r="N97" t="inlineStr">
        <is>
          <t>USNFK</t>
        </is>
      </c>
      <c r="O97" t="inlineStr">
        <is>
          <t>USNFK</t>
        </is>
      </c>
      <c r="P97" t="inlineStr">
        <is>
          <t>RULED</t>
        </is>
      </c>
      <c r="U97" t="inlineStr">
        <is>
          <t>RULED</t>
        </is>
      </c>
      <c r="V97" t="inlineStr">
        <is>
          <t>RULED</t>
        </is>
      </c>
      <c r="W97" t="inlineStr">
        <is>
          <t>UNITED STATES</t>
        </is>
      </c>
      <c r="X97" t="inlineStr">
        <is>
          <t>Latin America</t>
        </is>
      </c>
      <c r="Y97" t="inlineStr">
        <is>
          <t>RUSSIA</t>
        </is>
      </c>
      <c r="Z97" t="inlineStr">
        <is>
          <t>External Review</t>
        </is>
      </c>
      <c r="AA97" t="inlineStr">
        <is>
          <t>HUB SHIPPING LLC-LED</t>
        </is>
      </c>
      <c r="AB97" t="inlineStr">
        <is>
          <t>Prepaid</t>
        </is>
      </c>
      <c r="AC97" t="inlineStr">
        <is>
          <t>LI DA XING/VOYAGE 1</t>
        </is>
      </c>
      <c r="AE97" t="inlineStr">
        <is>
          <t>LADEN BOOKING</t>
        </is>
      </c>
      <c r="AF97" t="inlineStr">
        <is>
          <t>Joao Ribeiro</t>
        </is>
      </c>
      <c r="AG97" t="inlineStr">
        <is>
          <t>RH40</t>
        </is>
      </c>
      <c r="AH97" t="inlineStr">
        <is>
          <t>NO</t>
        </is>
      </c>
      <c r="AI97" t="n">
        <v>40</v>
      </c>
      <c r="AJ97" t="n">
        <v>0</v>
      </c>
      <c r="AK97" t="n">
        <v>1</v>
      </c>
      <c r="AL97" t="inlineStr">
        <is>
          <t>ANON0000000</t>
        </is>
      </c>
      <c r="AM97" t="n">
        <v>-18</v>
      </c>
      <c r="AP97" t="inlineStr">
        <is>
          <t>Non Haz</t>
        </is>
      </c>
      <c r="AQ97" t="inlineStr">
        <is>
          <t>CY/CY</t>
        </is>
      </c>
      <c r="AT97" t="inlineStr">
        <is>
          <t>REF000000</t>
        </is>
      </c>
      <c r="AU97" t="n">
        <v>28000</v>
      </c>
      <c r="AV97" t="inlineStr">
        <is>
          <t>FROZEN MEAT &amp; FRUIT PULP</t>
        </is>
      </c>
      <c r="AX97" t="inlineStr">
        <is>
          <t>RSUAM112500002</t>
        </is>
      </c>
      <c r="AZ97" t="n">
        <v>5</v>
      </c>
      <c r="BA97" t="n">
        <v>25</v>
      </c>
      <c r="BB97" t="n">
        <v>15</v>
      </c>
      <c r="BC97" t="n">
        <v>7000</v>
      </c>
      <c r="BD97" t="inlineStr">
        <is>
          <t>No</t>
        </is>
      </c>
      <c r="BF97" t="inlineStr">
        <is>
          <t>ARTHA SHIPPING</t>
        </is>
      </c>
      <c r="BG97" t="inlineStr">
        <is>
          <t>USNFK</t>
        </is>
      </c>
      <c r="BH97" t="n">
        <v>0</v>
      </c>
      <c r="BI97" t="n">
        <v>1</v>
      </c>
      <c r="BJ97" t="n">
        <v>7000</v>
      </c>
      <c r="BK97" t="inlineStr">
        <is>
          <t>LINE</t>
        </is>
      </c>
      <c r="BL97" t="inlineStr">
        <is>
          <t>SEAL REEFER</t>
        </is>
      </c>
      <c r="BM97" t="inlineStr">
        <is>
          <t>SEAL REEFER</t>
        </is>
      </c>
    </row>
    <row r="98">
      <c r="A98" t="n">
        <v>97</v>
      </c>
      <c r="B98" t="inlineStr">
        <is>
          <t>SHARK REEFER</t>
        </is>
      </c>
      <c r="C98" t="inlineStr">
        <is>
          <t>REF000000</t>
        </is>
      </c>
      <c r="D98" t="inlineStr">
        <is>
          <t>REF000000</t>
        </is>
      </c>
      <c r="E98" t="n">
        <v>46045</v>
      </c>
      <c r="F98" t="inlineStr">
        <is>
          <t>SHARK REEFER</t>
        </is>
      </c>
      <c r="G98" t="inlineStr">
        <is>
          <t>PREPAID ABROAD</t>
        </is>
      </c>
      <c r="H98" t="inlineStr">
        <is>
          <t>Diego</t>
        </is>
      </c>
      <c r="J98" t="inlineStr">
        <is>
          <t>25-FEB-2026</t>
        </is>
      </c>
      <c r="K98" t="inlineStr">
        <is>
          <t>19-FEB-2026</t>
        </is>
      </c>
      <c r="L98" t="inlineStr">
        <is>
          <t>25-FEB-2026</t>
        </is>
      </c>
      <c r="M98" t="inlineStr">
        <is>
          <t>REF000000</t>
        </is>
      </c>
      <c r="N98" t="inlineStr">
        <is>
          <t>USNFK</t>
        </is>
      </c>
      <c r="O98" t="inlineStr">
        <is>
          <t>USNFK</t>
        </is>
      </c>
      <c r="P98" t="inlineStr">
        <is>
          <t>RULED</t>
        </is>
      </c>
      <c r="U98" t="inlineStr">
        <is>
          <t>RULED</t>
        </is>
      </c>
      <c r="V98" t="inlineStr">
        <is>
          <t>RULED</t>
        </is>
      </c>
      <c r="W98" t="inlineStr">
        <is>
          <t>UNITED STATES</t>
        </is>
      </c>
      <c r="X98" t="inlineStr">
        <is>
          <t>Latin America</t>
        </is>
      </c>
      <c r="Y98" t="inlineStr">
        <is>
          <t>RUSSIA</t>
        </is>
      </c>
      <c r="Z98" t="inlineStr">
        <is>
          <t>External Review</t>
        </is>
      </c>
      <c r="AA98" t="inlineStr">
        <is>
          <t>HUB SHIPPING LLC-LED</t>
        </is>
      </c>
      <c r="AB98" t="inlineStr">
        <is>
          <t>Prepaid</t>
        </is>
      </c>
      <c r="AC98" t="inlineStr">
        <is>
          <t>LI DA XING/VOYAGE 1</t>
        </is>
      </c>
      <c r="AE98" t="inlineStr">
        <is>
          <t>LADEN BOOKING</t>
        </is>
      </c>
      <c r="AF98" t="inlineStr">
        <is>
          <t>Joao Ribeiro</t>
        </is>
      </c>
      <c r="AG98" t="inlineStr">
        <is>
          <t>RH40</t>
        </is>
      </c>
      <c r="AH98" t="inlineStr">
        <is>
          <t>NO</t>
        </is>
      </c>
      <c r="AI98" t="n">
        <v>40</v>
      </c>
      <c r="AJ98" t="n">
        <v>0</v>
      </c>
      <c r="AK98" t="n">
        <v>1</v>
      </c>
      <c r="AL98" t="inlineStr">
        <is>
          <t>ANON0000000</t>
        </is>
      </c>
      <c r="AM98" t="n">
        <v>-18</v>
      </c>
      <c r="AP98" t="inlineStr">
        <is>
          <t>Non Haz</t>
        </is>
      </c>
      <c r="AQ98" t="inlineStr">
        <is>
          <t>CY/CY</t>
        </is>
      </c>
      <c r="AT98" t="inlineStr">
        <is>
          <t>REF000000</t>
        </is>
      </c>
      <c r="AU98" t="n">
        <v>28000</v>
      </c>
      <c r="AV98" t="inlineStr">
        <is>
          <t>FROZEN MEAT &amp; FRUIT PULP</t>
        </is>
      </c>
      <c r="AX98" t="inlineStr">
        <is>
          <t>RSUAM112500002</t>
        </is>
      </c>
      <c r="AZ98" t="n">
        <v>5</v>
      </c>
      <c r="BA98" t="n">
        <v>25</v>
      </c>
      <c r="BB98" t="n">
        <v>15</v>
      </c>
      <c r="BC98" t="n">
        <v>7000</v>
      </c>
      <c r="BD98" t="inlineStr">
        <is>
          <t>No</t>
        </is>
      </c>
      <c r="BF98" t="inlineStr">
        <is>
          <t>ARTHA SHIPPING</t>
        </is>
      </c>
      <c r="BG98" t="inlineStr">
        <is>
          <t>USNFK</t>
        </is>
      </c>
      <c r="BH98" t="n">
        <v>0</v>
      </c>
      <c r="BI98" t="n">
        <v>1</v>
      </c>
      <c r="BJ98" t="n">
        <v>7000</v>
      </c>
      <c r="BK98" t="inlineStr">
        <is>
          <t>LINE</t>
        </is>
      </c>
      <c r="BL98" t="inlineStr">
        <is>
          <t>SHARK REEFER</t>
        </is>
      </c>
      <c r="BM98" t="inlineStr">
        <is>
          <t>SHARK REEFER</t>
        </is>
      </c>
    </row>
    <row r="99">
      <c r="A99" t="n">
        <v>98</v>
      </c>
      <c r="B99" t="inlineStr">
        <is>
          <t>DOLPHIN REEFER</t>
        </is>
      </c>
      <c r="C99" t="inlineStr">
        <is>
          <t>REF000000</t>
        </is>
      </c>
      <c r="D99" t="inlineStr">
        <is>
          <t>REF000000</t>
        </is>
      </c>
      <c r="E99" t="n">
        <v>46045</v>
      </c>
      <c r="F99" t="inlineStr">
        <is>
          <t>DOLPHIN REEFER</t>
        </is>
      </c>
      <c r="G99" t="inlineStr">
        <is>
          <t>PREPAID ABROAD</t>
        </is>
      </c>
      <c r="H99" t="inlineStr">
        <is>
          <t>Diego</t>
        </is>
      </c>
      <c r="J99" t="inlineStr">
        <is>
          <t>25-FEB-2026</t>
        </is>
      </c>
      <c r="K99" t="inlineStr">
        <is>
          <t>19-FEB-2026</t>
        </is>
      </c>
      <c r="L99" t="inlineStr">
        <is>
          <t>25-FEB-2026</t>
        </is>
      </c>
      <c r="M99" t="inlineStr">
        <is>
          <t>REF000000</t>
        </is>
      </c>
      <c r="N99" t="inlineStr">
        <is>
          <t>USNFK</t>
        </is>
      </c>
      <c r="O99" t="inlineStr">
        <is>
          <t>USNFK</t>
        </is>
      </c>
      <c r="P99" t="inlineStr">
        <is>
          <t>RULED</t>
        </is>
      </c>
      <c r="U99" t="inlineStr">
        <is>
          <t>RULED</t>
        </is>
      </c>
      <c r="V99" t="inlineStr">
        <is>
          <t>RULED</t>
        </is>
      </c>
      <c r="W99" t="inlineStr">
        <is>
          <t>UNITED STATES</t>
        </is>
      </c>
      <c r="X99" t="inlineStr">
        <is>
          <t>Latin America</t>
        </is>
      </c>
      <c r="Y99" t="inlineStr">
        <is>
          <t>RUSSIA</t>
        </is>
      </c>
      <c r="Z99" t="inlineStr">
        <is>
          <t>External Review</t>
        </is>
      </c>
      <c r="AA99" t="inlineStr">
        <is>
          <t>HUB SHIPPING LLC-LED</t>
        </is>
      </c>
      <c r="AB99" t="inlineStr">
        <is>
          <t>Prepaid</t>
        </is>
      </c>
      <c r="AC99" t="inlineStr">
        <is>
          <t>LI DA XING/VOYAGE 1</t>
        </is>
      </c>
      <c r="AE99" t="inlineStr">
        <is>
          <t>LADEN BOOKING</t>
        </is>
      </c>
      <c r="AF99" t="inlineStr">
        <is>
          <t>Joao Ribeiro</t>
        </is>
      </c>
      <c r="AG99" t="inlineStr">
        <is>
          <t>RH40</t>
        </is>
      </c>
      <c r="AH99" t="inlineStr">
        <is>
          <t>NO</t>
        </is>
      </c>
      <c r="AI99" t="n">
        <v>40</v>
      </c>
      <c r="AJ99" t="n">
        <v>0</v>
      </c>
      <c r="AK99" t="n">
        <v>1</v>
      </c>
      <c r="AL99" t="inlineStr">
        <is>
          <t>ANON0000000</t>
        </is>
      </c>
      <c r="AM99" t="n">
        <v>-18</v>
      </c>
      <c r="AP99" t="inlineStr">
        <is>
          <t>Non Haz</t>
        </is>
      </c>
      <c r="AQ99" t="inlineStr">
        <is>
          <t>CY/CY</t>
        </is>
      </c>
      <c r="AT99" t="inlineStr">
        <is>
          <t>REF000000</t>
        </is>
      </c>
      <c r="AU99" t="n">
        <v>28000</v>
      </c>
      <c r="AV99" t="inlineStr">
        <is>
          <t>FROZEN MEAT &amp; FRUIT PULP</t>
        </is>
      </c>
      <c r="AX99" t="inlineStr">
        <is>
          <t>RSUAM112500002</t>
        </is>
      </c>
      <c r="AZ99" t="n">
        <v>5</v>
      </c>
      <c r="BA99" t="n">
        <v>25</v>
      </c>
      <c r="BB99" t="n">
        <v>15</v>
      </c>
      <c r="BC99" t="n">
        <v>7000</v>
      </c>
      <c r="BD99" t="inlineStr">
        <is>
          <t>No</t>
        </is>
      </c>
      <c r="BF99" t="inlineStr">
        <is>
          <t>ARTHA SHIPPING</t>
        </is>
      </c>
      <c r="BG99" t="inlineStr">
        <is>
          <t>USNFK</t>
        </is>
      </c>
      <c r="BH99" t="n">
        <v>0</v>
      </c>
      <c r="BI99" t="n">
        <v>1</v>
      </c>
      <c r="BJ99" t="n">
        <v>7000</v>
      </c>
      <c r="BK99" t="inlineStr">
        <is>
          <t>LINE</t>
        </is>
      </c>
      <c r="BL99" t="inlineStr">
        <is>
          <t>DOLPHIN REEFER</t>
        </is>
      </c>
      <c r="BM99" t="inlineStr">
        <is>
          <t>DOLPHIN REEFER</t>
        </is>
      </c>
    </row>
    <row r="100">
      <c r="A100" t="n">
        <v>99</v>
      </c>
      <c r="B100" t="inlineStr">
        <is>
          <t>MARLIN REEFER</t>
        </is>
      </c>
      <c r="C100" t="inlineStr">
        <is>
          <t>REF000000</t>
        </is>
      </c>
      <c r="D100" t="inlineStr">
        <is>
          <t>REF000000</t>
        </is>
      </c>
      <c r="E100" t="n">
        <v>46048</v>
      </c>
      <c r="F100" t="inlineStr">
        <is>
          <t>MARLIN REEFER</t>
        </is>
      </c>
      <c r="G100" t="inlineStr">
        <is>
          <t>PREPAID ABROAD</t>
        </is>
      </c>
      <c r="H100" t="inlineStr">
        <is>
          <t>Regional Operations_UNIMAR</t>
        </is>
      </c>
      <c r="J100" t="inlineStr">
        <is>
          <t>18-FEB-2026</t>
        </is>
      </c>
      <c r="K100" t="inlineStr">
        <is>
          <t>17-FEB-2026</t>
        </is>
      </c>
      <c r="L100" t="inlineStr">
        <is>
          <t>18-FEB-2026</t>
        </is>
      </c>
      <c r="M100" t="inlineStr">
        <is>
          <t>REF000000</t>
        </is>
      </c>
      <c r="N100" t="inlineStr">
        <is>
          <t>USNYC</t>
        </is>
      </c>
      <c r="O100" t="inlineStr">
        <is>
          <t>USNYC</t>
        </is>
      </c>
      <c r="P100" t="inlineStr">
        <is>
          <t>RUBLT</t>
        </is>
      </c>
      <c r="U100" t="inlineStr">
        <is>
          <t>RUBLT</t>
        </is>
      </c>
      <c r="V100" t="inlineStr">
        <is>
          <t>RUBLT</t>
        </is>
      </c>
      <c r="W100" t="inlineStr">
        <is>
          <t>UNITED STATES</t>
        </is>
      </c>
      <c r="X100" t="inlineStr">
        <is>
          <t>Latin America</t>
        </is>
      </c>
      <c r="Y100" t="inlineStr">
        <is>
          <t>RUSSIA</t>
        </is>
      </c>
      <c r="Z100" t="inlineStr">
        <is>
          <t>External Review</t>
        </is>
      </c>
      <c r="AA100" t="inlineStr">
        <is>
          <t>HUB Shipping-Kaliningrad</t>
        </is>
      </c>
      <c r="AB100" t="inlineStr">
        <is>
          <t>Prepaid</t>
        </is>
      </c>
      <c r="AC100" t="inlineStr">
        <is>
          <t>LI DA XING/VOYAGE 1</t>
        </is>
      </c>
      <c r="AE100" t="inlineStr">
        <is>
          <t>LADEN BOOKING</t>
        </is>
      </c>
      <c r="AF100" t="inlineStr">
        <is>
          <t>Joao Ribeiro</t>
        </is>
      </c>
      <c r="AG100" t="inlineStr">
        <is>
          <t>RH40</t>
        </is>
      </c>
      <c r="AH100" t="inlineStr">
        <is>
          <t>NO</t>
        </is>
      </c>
      <c r="AI100" t="n">
        <v>40</v>
      </c>
      <c r="AJ100" t="n">
        <v>0</v>
      </c>
      <c r="AK100" t="n">
        <v>1</v>
      </c>
      <c r="AL100" t="inlineStr">
        <is>
          <t>ANON0000000</t>
        </is>
      </c>
      <c r="AM100" t="n">
        <v>-18</v>
      </c>
      <c r="AP100" t="inlineStr">
        <is>
          <t>Non Haz</t>
        </is>
      </c>
      <c r="AQ100" t="inlineStr">
        <is>
          <t>CY/CY</t>
        </is>
      </c>
      <c r="AT100" t="inlineStr">
        <is>
          <t>REF000000</t>
        </is>
      </c>
      <c r="AU100" t="n">
        <v>28000</v>
      </c>
      <c r="AV100" t="inlineStr">
        <is>
          <t>FROZEN MEAT</t>
        </is>
      </c>
      <c r="AX100" t="inlineStr">
        <is>
          <t>RSUAM012600044</t>
        </is>
      </c>
      <c r="AZ100" t="n">
        <v>2</v>
      </c>
      <c r="BA100" t="n">
        <v>25</v>
      </c>
      <c r="BB100" t="n">
        <v>15</v>
      </c>
      <c r="BC100" t="n">
        <v>9350</v>
      </c>
      <c r="BD100" t="inlineStr">
        <is>
          <t>No</t>
        </is>
      </c>
      <c r="BF100" t="inlineStr">
        <is>
          <t>ARTHA SHIPPING</t>
        </is>
      </c>
      <c r="BG100" t="inlineStr">
        <is>
          <t>USNYC</t>
        </is>
      </c>
      <c r="BH100" t="n">
        <v>0</v>
      </c>
      <c r="BI100" t="n">
        <v>1</v>
      </c>
      <c r="BJ100" t="n">
        <v>9350</v>
      </c>
      <c r="BK100" t="inlineStr">
        <is>
          <t>LINE</t>
        </is>
      </c>
      <c r="BL100" t="inlineStr">
        <is>
          <t>MARLIN REEFER</t>
        </is>
      </c>
      <c r="BM100" t="inlineStr">
        <is>
          <t>MARLIN REEFER</t>
        </is>
      </c>
    </row>
    <row r="101">
      <c r="A101" t="n">
        <v>100</v>
      </c>
      <c r="B101" t="inlineStr">
        <is>
          <t>TURTLE REEFER</t>
        </is>
      </c>
      <c r="C101" t="inlineStr">
        <is>
          <t>REF000000</t>
        </is>
      </c>
      <c r="D101" t="inlineStr">
        <is>
          <t>REF000000</t>
        </is>
      </c>
      <c r="E101" t="n">
        <v>46049</v>
      </c>
      <c r="F101" t="inlineStr">
        <is>
          <t>TURTLE REEFER</t>
        </is>
      </c>
      <c r="G101" t="inlineStr">
        <is>
          <t>PREPAID ABROAD</t>
        </is>
      </c>
      <c r="H101" t="inlineStr">
        <is>
          <t>Regional Operations_UNIMAR</t>
        </is>
      </c>
      <c r="J101" t="inlineStr">
        <is>
          <t>18-FEB-2026</t>
        </is>
      </c>
      <c r="K101" t="inlineStr">
        <is>
          <t>17-FEB-2026</t>
        </is>
      </c>
      <c r="L101" t="inlineStr">
        <is>
          <t>18-FEB-2026</t>
        </is>
      </c>
      <c r="M101" t="inlineStr">
        <is>
          <t>REF000000</t>
        </is>
      </c>
      <c r="N101" t="inlineStr">
        <is>
          <t>USNYC</t>
        </is>
      </c>
      <c r="O101" t="inlineStr">
        <is>
          <t>USNYC</t>
        </is>
      </c>
      <c r="P101" t="inlineStr">
        <is>
          <t>RULED</t>
        </is>
      </c>
      <c r="U101" t="inlineStr">
        <is>
          <t>RULED</t>
        </is>
      </c>
      <c r="V101" t="inlineStr">
        <is>
          <t>RULED</t>
        </is>
      </c>
      <c r="W101" t="inlineStr">
        <is>
          <t>UNITED STATES</t>
        </is>
      </c>
      <c r="X101" t="inlineStr">
        <is>
          <t>Latin America</t>
        </is>
      </c>
      <c r="Y101" t="inlineStr">
        <is>
          <t>RUSSIA</t>
        </is>
      </c>
      <c r="Z101" t="inlineStr">
        <is>
          <t>External Review</t>
        </is>
      </c>
      <c r="AA101" t="inlineStr">
        <is>
          <t>HUB SHIPPING LLC-LED</t>
        </is>
      </c>
      <c r="AB101" t="inlineStr">
        <is>
          <t>Prepaid</t>
        </is>
      </c>
      <c r="AC101" t="inlineStr">
        <is>
          <t>LI DA XING/VOYAGE 1</t>
        </is>
      </c>
      <c r="AE101" t="inlineStr">
        <is>
          <t>LADEN BOOKING</t>
        </is>
      </c>
      <c r="AF101" t="inlineStr">
        <is>
          <t>Joao Ribeiro</t>
        </is>
      </c>
      <c r="AG101" t="inlineStr">
        <is>
          <t>RH40</t>
        </is>
      </c>
      <c r="AH101" t="inlineStr">
        <is>
          <t>NO</t>
        </is>
      </c>
      <c r="AI101" t="n">
        <v>40</v>
      </c>
      <c r="AJ101" t="n">
        <v>0</v>
      </c>
      <c r="AK101" t="n">
        <v>1</v>
      </c>
      <c r="AL101" t="inlineStr">
        <is>
          <t>ANON0000000</t>
        </is>
      </c>
      <c r="AM101" t="n">
        <v>-18</v>
      </c>
      <c r="AP101" t="inlineStr">
        <is>
          <t>Non Haz</t>
        </is>
      </c>
      <c r="AQ101" t="inlineStr">
        <is>
          <t>CY/CY</t>
        </is>
      </c>
      <c r="AT101" t="inlineStr">
        <is>
          <t>REF000000</t>
        </is>
      </c>
      <c r="AU101" t="n">
        <v>29000</v>
      </c>
      <c r="AV101" t="inlineStr">
        <is>
          <t>FROZEN MEAT</t>
        </is>
      </c>
      <c r="AX101" t="inlineStr">
        <is>
          <t>RSUAM012600019</t>
        </is>
      </c>
      <c r="AZ101" t="n">
        <v>5</v>
      </c>
      <c r="BA101" t="n">
        <v>30</v>
      </c>
      <c r="BB101" t="n">
        <v>15</v>
      </c>
      <c r="BC101" t="n">
        <v>7000</v>
      </c>
      <c r="BD101" t="inlineStr">
        <is>
          <t>No</t>
        </is>
      </c>
      <c r="BF101" t="inlineStr">
        <is>
          <t>ARTHA SHIPPING</t>
        </is>
      </c>
      <c r="BG101" t="inlineStr">
        <is>
          <t>USNYC</t>
        </is>
      </c>
      <c r="BH101" t="n">
        <v>0</v>
      </c>
      <c r="BI101" t="n">
        <v>1</v>
      </c>
      <c r="BJ101" t="n">
        <v>7000</v>
      </c>
      <c r="BK101" t="inlineStr">
        <is>
          <t>LINE</t>
        </is>
      </c>
      <c r="BL101" t="inlineStr">
        <is>
          <t>TURTLE REEFER</t>
        </is>
      </c>
      <c r="BM101" t="inlineStr">
        <is>
          <t>TURTLE REEFER</t>
        </is>
      </c>
    </row>
    <row r="102">
      <c r="A102" t="n">
        <v>101</v>
      </c>
      <c r="B102" t="inlineStr">
        <is>
          <t>ORCA REEFER</t>
        </is>
      </c>
      <c r="C102" t="inlineStr">
        <is>
          <t>REF000000</t>
        </is>
      </c>
      <c r="D102" t="inlineStr">
        <is>
          <t>REF000000</t>
        </is>
      </c>
      <c r="E102" t="n">
        <v>46049</v>
      </c>
      <c r="F102" t="inlineStr">
        <is>
          <t>ORCA REEFER</t>
        </is>
      </c>
      <c r="G102" t="inlineStr">
        <is>
          <t>PREPAID ABROAD</t>
        </is>
      </c>
      <c r="H102" t="inlineStr">
        <is>
          <t>Regional Operations_UNIMAR</t>
        </is>
      </c>
      <c r="J102" t="inlineStr">
        <is>
          <t>18-FEB-2026</t>
        </is>
      </c>
      <c r="K102" t="inlineStr">
        <is>
          <t>17-FEB-2026</t>
        </is>
      </c>
      <c r="L102" t="inlineStr">
        <is>
          <t>18-FEB-2026</t>
        </is>
      </c>
      <c r="M102" t="inlineStr">
        <is>
          <t>REF000000</t>
        </is>
      </c>
      <c r="N102" t="inlineStr">
        <is>
          <t>USNYC</t>
        </is>
      </c>
      <c r="O102" t="inlineStr">
        <is>
          <t>USNYC</t>
        </is>
      </c>
      <c r="P102" t="inlineStr">
        <is>
          <t>RULED</t>
        </is>
      </c>
      <c r="U102" t="inlineStr">
        <is>
          <t>RULED</t>
        </is>
      </c>
      <c r="V102" t="inlineStr">
        <is>
          <t>RULED</t>
        </is>
      </c>
      <c r="W102" t="inlineStr">
        <is>
          <t>UNITED STATES</t>
        </is>
      </c>
      <c r="X102" t="inlineStr">
        <is>
          <t>Latin America</t>
        </is>
      </c>
      <c r="Y102" t="inlineStr">
        <is>
          <t>RUSSIA</t>
        </is>
      </c>
      <c r="Z102" t="inlineStr">
        <is>
          <t>External Review</t>
        </is>
      </c>
      <c r="AA102" t="inlineStr">
        <is>
          <t>HUB SHIPPING LLC-LED</t>
        </is>
      </c>
      <c r="AB102" t="inlineStr">
        <is>
          <t>Prepaid</t>
        </is>
      </c>
      <c r="AC102" t="inlineStr">
        <is>
          <t>LI DA XING/VOYAGE 1</t>
        </is>
      </c>
      <c r="AE102" t="inlineStr">
        <is>
          <t>LADEN BOOKING</t>
        </is>
      </c>
      <c r="AF102" t="inlineStr">
        <is>
          <t>Joao Ribeiro</t>
        </is>
      </c>
      <c r="AG102" t="inlineStr">
        <is>
          <t>RH40</t>
        </is>
      </c>
      <c r="AH102" t="inlineStr">
        <is>
          <t>NO</t>
        </is>
      </c>
      <c r="AI102" t="n">
        <v>40</v>
      </c>
      <c r="AJ102" t="n">
        <v>0</v>
      </c>
      <c r="AK102" t="n">
        <v>1</v>
      </c>
      <c r="AL102" t="inlineStr">
        <is>
          <t>ANON0000000</t>
        </is>
      </c>
      <c r="AM102" t="n">
        <v>-18</v>
      </c>
      <c r="AP102" t="inlineStr">
        <is>
          <t>Non Haz</t>
        </is>
      </c>
      <c r="AQ102" t="inlineStr">
        <is>
          <t>CY/CY</t>
        </is>
      </c>
      <c r="AT102" t="inlineStr">
        <is>
          <t>REF000000</t>
        </is>
      </c>
      <c r="AU102" t="n">
        <v>29000</v>
      </c>
      <c r="AV102" t="inlineStr">
        <is>
          <t>FROZEN MEAT</t>
        </is>
      </c>
      <c r="AX102" t="inlineStr">
        <is>
          <t>RSUAM012600019</t>
        </is>
      </c>
      <c r="AZ102" t="n">
        <v>5</v>
      </c>
      <c r="BA102" t="n">
        <v>30</v>
      </c>
      <c r="BB102" t="n">
        <v>15</v>
      </c>
      <c r="BC102" t="n">
        <v>7000</v>
      </c>
      <c r="BD102" t="inlineStr">
        <is>
          <t>No</t>
        </is>
      </c>
      <c r="BF102" t="inlineStr">
        <is>
          <t>ARTHA SHIPPING</t>
        </is>
      </c>
      <c r="BG102" t="inlineStr">
        <is>
          <t>USNYC</t>
        </is>
      </c>
      <c r="BH102" t="n">
        <v>0</v>
      </c>
      <c r="BI102" t="n">
        <v>1</v>
      </c>
      <c r="BJ102" t="n">
        <v>7000</v>
      </c>
      <c r="BK102" t="inlineStr">
        <is>
          <t>LINE</t>
        </is>
      </c>
      <c r="BL102" t="inlineStr">
        <is>
          <t>ORCA REEFER</t>
        </is>
      </c>
      <c r="BM102" t="inlineStr">
        <is>
          <t>ORCA REEFER</t>
        </is>
      </c>
    </row>
    <row r="103">
      <c r="A103" t="n">
        <v>102</v>
      </c>
      <c r="B103" t="inlineStr">
        <is>
          <t>WOLF DRY</t>
        </is>
      </c>
      <c r="C103" t="inlineStr">
        <is>
          <t>REF000000</t>
        </is>
      </c>
      <c r="D103" t="inlineStr">
        <is>
          <t>REF000000</t>
        </is>
      </c>
      <c r="E103" t="n">
        <v>46049</v>
      </c>
      <c r="F103" t="inlineStr">
        <is>
          <t>WOLF DRY</t>
        </is>
      </c>
      <c r="H103" t="inlineStr">
        <is>
          <t>AdminUAM</t>
        </is>
      </c>
      <c r="J103" t="inlineStr">
        <is>
          <t>25-FEB-2026</t>
        </is>
      </c>
      <c r="K103" t="inlineStr">
        <is>
          <t>19-FEB-2026</t>
        </is>
      </c>
      <c r="L103" t="inlineStr">
        <is>
          <t>25-FEB-2026</t>
        </is>
      </c>
      <c r="M103" t="inlineStr">
        <is>
          <t>REF000000</t>
        </is>
      </c>
      <c r="N103" t="inlineStr">
        <is>
          <t>USNFK</t>
        </is>
      </c>
      <c r="O103" t="inlineStr">
        <is>
          <t>USNFK</t>
        </is>
      </c>
      <c r="P103" t="inlineStr">
        <is>
          <t>RULED</t>
        </is>
      </c>
      <c r="U103" t="inlineStr">
        <is>
          <t>RULED</t>
        </is>
      </c>
      <c r="V103" t="inlineStr">
        <is>
          <t>RULED</t>
        </is>
      </c>
      <c r="W103" t="inlineStr">
        <is>
          <t>UNITED STATES</t>
        </is>
      </c>
      <c r="X103" t="inlineStr">
        <is>
          <t>Latin America</t>
        </is>
      </c>
      <c r="Y103" t="inlineStr">
        <is>
          <t>RUSSIA</t>
        </is>
      </c>
      <c r="Z103" t="inlineStr">
        <is>
          <t>External Review</t>
        </is>
      </c>
      <c r="AA103" t="inlineStr">
        <is>
          <t>HUB SHIPPING LLC-LED</t>
        </is>
      </c>
      <c r="AB103" t="inlineStr">
        <is>
          <t>Collect</t>
        </is>
      </c>
      <c r="AC103" t="inlineStr">
        <is>
          <t>LI DA XING/VOYAGE 1</t>
        </is>
      </c>
      <c r="AE103" t="inlineStr">
        <is>
          <t>LADEN BOOKING</t>
        </is>
      </c>
      <c r="AF103" t="inlineStr">
        <is>
          <t>RenniUAM</t>
        </is>
      </c>
      <c r="AG103" t="inlineStr">
        <is>
          <t>DC20</t>
        </is>
      </c>
      <c r="AH103" t="inlineStr">
        <is>
          <t>NO</t>
        </is>
      </c>
      <c r="AI103" t="n">
        <v>20</v>
      </c>
      <c r="AJ103" t="n">
        <v>2</v>
      </c>
      <c r="AK103" t="n">
        <v>0</v>
      </c>
      <c r="AL103" t="inlineStr">
        <is>
          <t>ANON0000000,
ANON0000000</t>
        </is>
      </c>
      <c r="AP103" t="inlineStr">
        <is>
          <t>Non Haz</t>
        </is>
      </c>
      <c r="AQ103" t="inlineStr">
        <is>
          <t>CY/CY</t>
        </is>
      </c>
      <c r="AT103" t="inlineStr">
        <is>
          <t>REF000000</t>
        </is>
      </c>
      <c r="AU103" t="n">
        <v>23000</v>
      </c>
      <c r="AV103" t="inlineStr">
        <is>
          <t>GENERAL COMMODITY</t>
        </is>
      </c>
      <c r="AX103" t="inlineStr">
        <is>
          <t>RSUAM122500029</t>
        </is>
      </c>
      <c r="AZ103" t="n">
        <v>0</v>
      </c>
      <c r="BA103" t="n">
        <v>10</v>
      </c>
      <c r="BB103" t="n">
        <v>14</v>
      </c>
      <c r="BC103" t="n">
        <v>2750</v>
      </c>
      <c r="BD103" t="inlineStr">
        <is>
          <t>Yes</t>
        </is>
      </c>
      <c r="BF103" t="inlineStr">
        <is>
          <t>ARTHA SHIPPING</t>
        </is>
      </c>
      <c r="BG103" t="inlineStr">
        <is>
          <t>RULED</t>
        </is>
      </c>
      <c r="BH103" t="n">
        <v>2</v>
      </c>
      <c r="BI103" t="n">
        <v>0</v>
      </c>
      <c r="BJ103" t="n">
        <v>5500</v>
      </c>
      <c r="BK103" t="inlineStr">
        <is>
          <t>LINE</t>
        </is>
      </c>
      <c r="BL103" t="inlineStr">
        <is>
          <t>WOLF DRY</t>
        </is>
      </c>
      <c r="BM103" t="inlineStr">
        <is>
          <t>WOLF DRY</t>
        </is>
      </c>
    </row>
    <row r="104">
      <c r="A104" t="n">
        <v>103</v>
      </c>
      <c r="B104" t="inlineStr">
        <is>
          <t>SEAL REEFER</t>
        </is>
      </c>
      <c r="C104" t="inlineStr">
        <is>
          <t>REF000000</t>
        </is>
      </c>
      <c r="D104" t="inlineStr">
        <is>
          <t>REF000000</t>
        </is>
      </c>
      <c r="E104" t="n">
        <v>46049</v>
      </c>
      <c r="F104" t="inlineStr">
        <is>
          <t>SEAL REEFER</t>
        </is>
      </c>
      <c r="G104" t="inlineStr">
        <is>
          <t>PREPAID ABROAD</t>
        </is>
      </c>
      <c r="H104" t="inlineStr">
        <is>
          <t>Regional Operations_UNIMAR</t>
        </is>
      </c>
      <c r="J104" t="inlineStr">
        <is>
          <t>25-FEB-2026</t>
        </is>
      </c>
      <c r="K104" t="inlineStr">
        <is>
          <t>19-FEB-2026</t>
        </is>
      </c>
      <c r="L104" t="inlineStr">
        <is>
          <t>25-FEB-2026</t>
        </is>
      </c>
      <c r="M104" t="inlineStr">
        <is>
          <t>REF000000</t>
        </is>
      </c>
      <c r="N104" t="inlineStr">
        <is>
          <t>USNFK</t>
        </is>
      </c>
      <c r="O104" t="inlineStr">
        <is>
          <t>USNFK</t>
        </is>
      </c>
      <c r="P104" t="inlineStr">
        <is>
          <t>RUBLT</t>
        </is>
      </c>
      <c r="U104" t="inlineStr">
        <is>
          <t>RUBLT</t>
        </is>
      </c>
      <c r="V104" t="inlineStr">
        <is>
          <t>RUBLT</t>
        </is>
      </c>
      <c r="W104" t="inlineStr">
        <is>
          <t>UNITED STATES</t>
        </is>
      </c>
      <c r="X104" t="inlineStr">
        <is>
          <t>Latin America</t>
        </is>
      </c>
      <c r="Y104" t="inlineStr">
        <is>
          <t>RUSSIA</t>
        </is>
      </c>
      <c r="Z104" t="inlineStr">
        <is>
          <t>External Review</t>
        </is>
      </c>
      <c r="AA104" t="inlineStr">
        <is>
          <t>HUB Shipping-Kaliningrad</t>
        </is>
      </c>
      <c r="AB104" t="inlineStr">
        <is>
          <t>Prepaid</t>
        </is>
      </c>
      <c r="AC104" t="inlineStr">
        <is>
          <t>LI DA XING/VOYAGE 1</t>
        </is>
      </c>
      <c r="AE104" t="inlineStr">
        <is>
          <t>LADEN BOOKING</t>
        </is>
      </c>
      <c r="AF104" t="inlineStr">
        <is>
          <t>Joao Ribeiro</t>
        </is>
      </c>
      <c r="AG104" t="inlineStr">
        <is>
          <t>RH40</t>
        </is>
      </c>
      <c r="AH104" t="inlineStr">
        <is>
          <t>NO</t>
        </is>
      </c>
      <c r="AI104" t="n">
        <v>40</v>
      </c>
      <c r="AJ104" t="n">
        <v>0</v>
      </c>
      <c r="AK104" t="n">
        <v>1</v>
      </c>
      <c r="AL104" t="inlineStr">
        <is>
          <t>ANON0000000</t>
        </is>
      </c>
      <c r="AM104" t="n">
        <v>-18</v>
      </c>
      <c r="AP104" t="inlineStr">
        <is>
          <t>Non Haz</t>
        </is>
      </c>
      <c r="AQ104" t="inlineStr">
        <is>
          <t>CY/CY</t>
        </is>
      </c>
      <c r="AT104" t="inlineStr">
        <is>
          <t>REF000000</t>
        </is>
      </c>
      <c r="AU104" t="n">
        <v>29000</v>
      </c>
      <c r="AV104" t="inlineStr">
        <is>
          <t>FROZEN MEAT</t>
        </is>
      </c>
      <c r="AX104" t="inlineStr">
        <is>
          <t>RSUAM012600022</t>
        </is>
      </c>
      <c r="AZ104" t="n">
        <v>5</v>
      </c>
      <c r="BA104" t="n">
        <v>30</v>
      </c>
      <c r="BB104" t="n">
        <v>15</v>
      </c>
      <c r="BC104" t="n">
        <v>9100</v>
      </c>
      <c r="BD104" t="inlineStr">
        <is>
          <t>No</t>
        </is>
      </c>
      <c r="BF104" t="inlineStr">
        <is>
          <t>ARTHA SHIPPING</t>
        </is>
      </c>
      <c r="BG104" t="inlineStr">
        <is>
          <t>USNFK</t>
        </is>
      </c>
      <c r="BH104" t="n">
        <v>0</v>
      </c>
      <c r="BI104" t="n">
        <v>1</v>
      </c>
      <c r="BJ104" t="n">
        <v>9100</v>
      </c>
      <c r="BK104" t="inlineStr">
        <is>
          <t>LINE</t>
        </is>
      </c>
      <c r="BL104" t="inlineStr">
        <is>
          <t>SEAL REEFER</t>
        </is>
      </c>
      <c r="BM104" t="inlineStr">
        <is>
          <t>SEAL REEFER</t>
        </is>
      </c>
    </row>
    <row r="105">
      <c r="A105" t="n">
        <v>104</v>
      </c>
      <c r="B105" t="inlineStr">
        <is>
          <t>SHARK REEFER</t>
        </is>
      </c>
      <c r="C105" t="inlineStr">
        <is>
          <t>REF000000</t>
        </is>
      </c>
      <c r="D105" t="inlineStr">
        <is>
          <t>REF000000</t>
        </is>
      </c>
      <c r="E105" t="n">
        <v>46049</v>
      </c>
      <c r="F105" t="inlineStr">
        <is>
          <t>SHARK REEFER</t>
        </is>
      </c>
      <c r="G105" t="inlineStr">
        <is>
          <t>PREPAID ABROAD</t>
        </is>
      </c>
      <c r="H105" t="inlineStr">
        <is>
          <t>Regional Operations_UNIMAR</t>
        </is>
      </c>
      <c r="J105" t="inlineStr">
        <is>
          <t>19-FEB-2026</t>
        </is>
      </c>
      <c r="K105" t="inlineStr">
        <is>
          <t>19-FEB-2026</t>
        </is>
      </c>
      <c r="L105" t="inlineStr">
        <is>
          <t>19-FEB-2026</t>
        </is>
      </c>
      <c r="M105" t="inlineStr">
        <is>
          <t>REF000000</t>
        </is>
      </c>
      <c r="N105" t="inlineStr">
        <is>
          <t>USHOU</t>
        </is>
      </c>
      <c r="O105" t="inlineStr">
        <is>
          <t>USHOU</t>
        </is>
      </c>
      <c r="P105" t="inlineStr">
        <is>
          <t>RUBLT</t>
        </is>
      </c>
      <c r="U105" t="inlineStr">
        <is>
          <t>RUBLT</t>
        </is>
      </c>
      <c r="V105" t="inlineStr">
        <is>
          <t>RUBLT</t>
        </is>
      </c>
      <c r="W105" t="inlineStr">
        <is>
          <t>UNITED STATES</t>
        </is>
      </c>
      <c r="X105" t="inlineStr">
        <is>
          <t>Latin America</t>
        </is>
      </c>
      <c r="Y105" t="inlineStr">
        <is>
          <t>RUSSIA</t>
        </is>
      </c>
      <c r="Z105" t="inlineStr">
        <is>
          <t>External Review</t>
        </is>
      </c>
      <c r="AA105" t="inlineStr">
        <is>
          <t>HUB Shipping-Kaliningrad</t>
        </is>
      </c>
      <c r="AB105" t="inlineStr">
        <is>
          <t>Prepaid</t>
        </is>
      </c>
      <c r="AC105" t="inlineStr">
        <is>
          <t>LI DA XING/VOYAGE 1</t>
        </is>
      </c>
      <c r="AE105" t="inlineStr">
        <is>
          <t>LADEN BOOKING</t>
        </is>
      </c>
      <c r="AF105" t="inlineStr">
        <is>
          <t>Joao Ribeiro</t>
        </is>
      </c>
      <c r="AG105" t="inlineStr">
        <is>
          <t>RH40</t>
        </is>
      </c>
      <c r="AH105" t="inlineStr">
        <is>
          <t>NO</t>
        </is>
      </c>
      <c r="AI105" t="n">
        <v>40</v>
      </c>
      <c r="AJ105" t="n">
        <v>0</v>
      </c>
      <c r="AK105" t="n">
        <v>1</v>
      </c>
      <c r="AL105" t="inlineStr">
        <is>
          <t>ANON0000000</t>
        </is>
      </c>
      <c r="AM105" t="n">
        <v>-22</v>
      </c>
      <c r="AP105" t="inlineStr">
        <is>
          <t>Non Haz</t>
        </is>
      </c>
      <c r="AQ105" t="inlineStr">
        <is>
          <t>CY/CY</t>
        </is>
      </c>
      <c r="AT105" t="inlineStr">
        <is>
          <t>REF000000</t>
        </is>
      </c>
      <c r="AU105" t="n">
        <v>27000</v>
      </c>
      <c r="AV105" t="inlineStr">
        <is>
          <t>FROZEN MEAT &amp; FRUIT PULP</t>
        </is>
      </c>
      <c r="AX105" t="inlineStr">
        <is>
          <t>RSUAM122500018</t>
        </is>
      </c>
      <c r="AZ105" t="n">
        <v>2</v>
      </c>
      <c r="BA105" t="n">
        <v>25</v>
      </c>
      <c r="BB105" t="n">
        <v>15</v>
      </c>
      <c r="BC105" t="n">
        <v>9200</v>
      </c>
      <c r="BD105" t="inlineStr">
        <is>
          <t>No</t>
        </is>
      </c>
      <c r="BF105" t="inlineStr">
        <is>
          <t>ARTHA SHIPPING</t>
        </is>
      </c>
      <c r="BG105" t="inlineStr">
        <is>
          <t>USHOU</t>
        </is>
      </c>
      <c r="BH105" t="n">
        <v>0</v>
      </c>
      <c r="BI105" t="n">
        <v>1</v>
      </c>
      <c r="BJ105" t="n">
        <v>9200</v>
      </c>
      <c r="BK105" t="inlineStr">
        <is>
          <t>LINE</t>
        </is>
      </c>
      <c r="BL105" t="inlineStr">
        <is>
          <t>SHARK REEFER</t>
        </is>
      </c>
      <c r="BM105" t="inlineStr">
        <is>
          <t>SHARK REEFER</t>
        </is>
      </c>
    </row>
    <row r="106">
      <c r="A106" t="n">
        <v>105</v>
      </c>
      <c r="B106" t="inlineStr">
        <is>
          <t>DOLPHIN REEFER</t>
        </is>
      </c>
      <c r="C106" t="inlineStr">
        <is>
          <t>REF000000</t>
        </is>
      </c>
      <c r="D106" t="inlineStr">
        <is>
          <t>REF000000</t>
        </is>
      </c>
      <c r="E106" t="n">
        <v>46049</v>
      </c>
      <c r="F106" t="inlineStr">
        <is>
          <t>DOLPHIN REEFER</t>
        </is>
      </c>
      <c r="H106" t="inlineStr">
        <is>
          <t>AdminUAM</t>
        </is>
      </c>
      <c r="J106" t="inlineStr">
        <is>
          <t>25-FEB-2026</t>
        </is>
      </c>
      <c r="K106" t="inlineStr">
        <is>
          <t>19-FEB-2026</t>
        </is>
      </c>
      <c r="L106" t="inlineStr">
        <is>
          <t>25-FEB-2026</t>
        </is>
      </c>
      <c r="M106" t="inlineStr">
        <is>
          <t>REF000000</t>
        </is>
      </c>
      <c r="N106" t="inlineStr">
        <is>
          <t>USNFK</t>
        </is>
      </c>
      <c r="O106" t="inlineStr">
        <is>
          <t>USNFK</t>
        </is>
      </c>
      <c r="P106" t="inlineStr">
        <is>
          <t>RULED</t>
        </is>
      </c>
      <c r="U106" t="inlineStr">
        <is>
          <t>RULED</t>
        </is>
      </c>
      <c r="V106" t="inlineStr">
        <is>
          <t>RULED</t>
        </is>
      </c>
      <c r="W106" t="inlineStr">
        <is>
          <t>UNITED STATES</t>
        </is>
      </c>
      <c r="X106" t="inlineStr">
        <is>
          <t>Latin America</t>
        </is>
      </c>
      <c r="Y106" t="inlineStr">
        <is>
          <t>RUSSIA</t>
        </is>
      </c>
      <c r="Z106" t="inlineStr">
        <is>
          <t>External Review</t>
        </is>
      </c>
      <c r="AA106" t="inlineStr">
        <is>
          <t>HUB SHIPPING LLC-LED</t>
        </is>
      </c>
      <c r="AB106" t="inlineStr">
        <is>
          <t>Collect</t>
        </is>
      </c>
      <c r="AC106" t="inlineStr">
        <is>
          <t>LI DA XING/VOYAGE 1</t>
        </is>
      </c>
      <c r="AE106" t="inlineStr">
        <is>
          <t>LADEN BOOKING</t>
        </is>
      </c>
      <c r="AF106" t="inlineStr">
        <is>
          <t>RenniUAM</t>
        </is>
      </c>
      <c r="AG106" t="inlineStr">
        <is>
          <t>DC20</t>
        </is>
      </c>
      <c r="AH106" t="inlineStr">
        <is>
          <t>NO</t>
        </is>
      </c>
      <c r="AI106" t="n">
        <v>20</v>
      </c>
      <c r="AJ106" t="n">
        <v>1</v>
      </c>
      <c r="AK106" t="n">
        <v>0</v>
      </c>
      <c r="AL106" t="inlineStr">
        <is>
          <t>ANON0000000</t>
        </is>
      </c>
      <c r="AP106" t="inlineStr">
        <is>
          <t>Non Haz</t>
        </is>
      </c>
      <c r="AQ106" t="inlineStr">
        <is>
          <t>CY/CY</t>
        </is>
      </c>
      <c r="AT106" t="inlineStr">
        <is>
          <t>REF000000</t>
        </is>
      </c>
      <c r="AU106" t="n">
        <v>25000</v>
      </c>
      <c r="AV106" t="inlineStr">
        <is>
          <t>GENERAL COMMODITY</t>
        </is>
      </c>
      <c r="AX106" t="inlineStr">
        <is>
          <t>MRG382806</t>
        </is>
      </c>
      <c r="AY106" t="inlineStr">
        <is>
          <t>LINE</t>
        </is>
      </c>
      <c r="AZ106" t="n">
        <v>0</v>
      </c>
      <c r="BA106" t="n">
        <v>14</v>
      </c>
      <c r="BB106" t="n">
        <v>14</v>
      </c>
      <c r="BC106" t="n">
        <v>3200</v>
      </c>
      <c r="BD106" t="inlineStr">
        <is>
          <t>Yes</t>
        </is>
      </c>
      <c r="BE106" t="inlineStr">
        <is>
          <t>FMC/RFLED/42413</t>
        </is>
      </c>
      <c r="BF106" t="inlineStr">
        <is>
          <t>ARTHA SHIPPING</t>
        </is>
      </c>
      <c r="BG106" t="inlineStr">
        <is>
          <t>RULED</t>
        </is>
      </c>
      <c r="BH106" t="n">
        <v>1</v>
      </c>
      <c r="BI106" t="n">
        <v>0</v>
      </c>
      <c r="BJ106" t="n">
        <v>3200</v>
      </c>
      <c r="BK106" t="inlineStr">
        <is>
          <t>LINE</t>
        </is>
      </c>
      <c r="BL106" t="inlineStr">
        <is>
          <t>DOLPHIN REEFER</t>
        </is>
      </c>
      <c r="BM106" t="inlineStr">
        <is>
          <t>DOLPHIN REEFER</t>
        </is>
      </c>
    </row>
    <row r="107">
      <c r="A107" t="n">
        <v>106</v>
      </c>
      <c r="B107" t="inlineStr">
        <is>
          <t>EAGLE DRY</t>
        </is>
      </c>
      <c r="C107" t="inlineStr">
        <is>
          <t>REF000000</t>
        </is>
      </c>
      <c r="D107" t="inlineStr">
        <is>
          <t>REF000000</t>
        </is>
      </c>
      <c r="E107" t="n">
        <v>46050</v>
      </c>
      <c r="F107" t="inlineStr">
        <is>
          <t>EAGLE DRY</t>
        </is>
      </c>
      <c r="H107" t="inlineStr">
        <is>
          <t>AdminUAM</t>
        </is>
      </c>
      <c r="J107" t="n">
        <v>46082</v>
      </c>
      <c r="K107" t="inlineStr">
        <is>
          <t>27-FEB-2026</t>
        </is>
      </c>
      <c r="L107" t="n">
        <v>46082</v>
      </c>
      <c r="M107" t="inlineStr">
        <is>
          <t>REF000000</t>
        </is>
      </c>
      <c r="N107" t="inlineStr">
        <is>
          <t>USNFK</t>
        </is>
      </c>
      <c r="O107" t="inlineStr">
        <is>
          <t>USNFK</t>
        </is>
      </c>
      <c r="P107" t="inlineStr">
        <is>
          <t>RULED</t>
        </is>
      </c>
      <c r="U107" t="inlineStr">
        <is>
          <t>RULED</t>
        </is>
      </c>
      <c r="V107" t="inlineStr">
        <is>
          <t>RULED</t>
        </is>
      </c>
      <c r="W107" t="inlineStr">
        <is>
          <t>UNITED STATES</t>
        </is>
      </c>
      <c r="X107" t="inlineStr">
        <is>
          <t>Latin America</t>
        </is>
      </c>
      <c r="Y107" t="inlineStr">
        <is>
          <t>RUSSIA</t>
        </is>
      </c>
      <c r="Z107" t="inlineStr">
        <is>
          <t>External Review</t>
        </is>
      </c>
      <c r="AA107" t="inlineStr">
        <is>
          <t>HUB SHIPPING LLC-LED</t>
        </is>
      </c>
      <c r="AB107" t="inlineStr">
        <is>
          <t>Collect</t>
        </is>
      </c>
      <c r="AC107" t="inlineStr">
        <is>
          <t>LI DA XING/VOYAGE 1</t>
        </is>
      </c>
      <c r="AE107" t="inlineStr">
        <is>
          <t>LADEN BOOKING</t>
        </is>
      </c>
      <c r="AF107" t="inlineStr">
        <is>
          <t>RenniUAM</t>
        </is>
      </c>
      <c r="AG107" t="inlineStr">
        <is>
          <t>HC40</t>
        </is>
      </c>
      <c r="AH107" t="inlineStr">
        <is>
          <t>NO</t>
        </is>
      </c>
      <c r="AI107" t="n">
        <v>40</v>
      </c>
      <c r="AJ107" t="n">
        <v>0</v>
      </c>
      <c r="AK107" t="n">
        <v>1</v>
      </c>
      <c r="AL107" t="inlineStr">
        <is>
          <t>ANON0000000</t>
        </is>
      </c>
      <c r="AP107" t="inlineStr">
        <is>
          <t>Non Haz</t>
        </is>
      </c>
      <c r="AQ107" t="inlineStr">
        <is>
          <t>CY/CY</t>
        </is>
      </c>
      <c r="AT107" t="inlineStr">
        <is>
          <t>REF000000</t>
        </is>
      </c>
      <c r="AU107" t="n">
        <v>23000</v>
      </c>
      <c r="AV107" t="inlineStr">
        <is>
          <t>GENERAL COMMODITY</t>
        </is>
      </c>
      <c r="AX107" t="inlineStr">
        <is>
          <t>MRG382813</t>
        </is>
      </c>
      <c r="AY107" t="inlineStr">
        <is>
          <t>LINE</t>
        </is>
      </c>
      <c r="AZ107" t="n">
        <v>0</v>
      </c>
      <c r="BA107" t="n">
        <v>14</v>
      </c>
      <c r="BB107" t="n">
        <v>14</v>
      </c>
      <c r="BC107" t="n">
        <v>4600</v>
      </c>
      <c r="BD107" t="inlineStr">
        <is>
          <t>Yes</t>
        </is>
      </c>
      <c r="BF107" t="inlineStr">
        <is>
          <t>ARTHA SHIPPING</t>
        </is>
      </c>
      <c r="BG107" t="inlineStr">
        <is>
          <t>RULED</t>
        </is>
      </c>
      <c r="BH107" t="n">
        <v>0</v>
      </c>
      <c r="BI107" t="n">
        <v>1</v>
      </c>
      <c r="BJ107" t="n">
        <v>4600</v>
      </c>
      <c r="BK107" t="inlineStr">
        <is>
          <t>LINE</t>
        </is>
      </c>
      <c r="BL107" t="inlineStr">
        <is>
          <t>EAGLE DRY</t>
        </is>
      </c>
      <c r="BM107" t="inlineStr">
        <is>
          <t>EAGLE DRY</t>
        </is>
      </c>
    </row>
    <row r="108">
      <c r="A108" t="n">
        <v>107</v>
      </c>
      <c r="B108" t="inlineStr">
        <is>
          <t>TURTLE REEFER</t>
        </is>
      </c>
      <c r="C108" t="inlineStr">
        <is>
          <t>REF000000</t>
        </is>
      </c>
      <c r="D108" t="inlineStr">
        <is>
          <t>REF000000</t>
        </is>
      </c>
      <c r="E108" t="n">
        <v>46050</v>
      </c>
      <c r="F108" t="inlineStr">
        <is>
          <t>TURTLE REEFER</t>
        </is>
      </c>
      <c r="G108" t="inlineStr">
        <is>
          <t>PREPAID ABROAD</t>
        </is>
      </c>
      <c r="H108" t="inlineStr">
        <is>
          <t>Regional Operations_UNIMAR</t>
        </is>
      </c>
      <c r="J108" t="inlineStr">
        <is>
          <t>18-FEB-2026</t>
        </is>
      </c>
      <c r="K108" t="inlineStr">
        <is>
          <t>17-FEB-2026</t>
        </is>
      </c>
      <c r="L108" t="inlineStr">
        <is>
          <t>18-FEB-2026</t>
        </is>
      </c>
      <c r="M108" t="inlineStr">
        <is>
          <t>REF000000</t>
        </is>
      </c>
      <c r="N108" t="inlineStr">
        <is>
          <t>USNYC</t>
        </is>
      </c>
      <c r="O108" t="inlineStr">
        <is>
          <t>USNYC</t>
        </is>
      </c>
      <c r="P108" t="inlineStr">
        <is>
          <t>RUBLT</t>
        </is>
      </c>
      <c r="U108" t="inlineStr">
        <is>
          <t>RUBLT</t>
        </is>
      </c>
      <c r="V108" t="inlineStr">
        <is>
          <t>RUBLT</t>
        </is>
      </c>
      <c r="W108" t="inlineStr">
        <is>
          <t>UNITED STATES</t>
        </is>
      </c>
      <c r="X108" t="inlineStr">
        <is>
          <t>Latin America</t>
        </is>
      </c>
      <c r="Y108" t="inlineStr">
        <is>
          <t>RUSSIA</t>
        </is>
      </c>
      <c r="Z108" t="inlineStr">
        <is>
          <t>External Review</t>
        </is>
      </c>
      <c r="AA108" t="inlineStr">
        <is>
          <t>HUB Shipping-Kaliningrad</t>
        </is>
      </c>
      <c r="AB108" t="inlineStr">
        <is>
          <t>Prepaid</t>
        </is>
      </c>
      <c r="AC108" t="inlineStr">
        <is>
          <t>LI DA XING/VOYAGE 1</t>
        </is>
      </c>
      <c r="AE108" t="inlineStr">
        <is>
          <t>LADEN BOOKING</t>
        </is>
      </c>
      <c r="AF108" t="inlineStr">
        <is>
          <t>Joao Ribeiro</t>
        </is>
      </c>
      <c r="AG108" t="inlineStr">
        <is>
          <t>RH40</t>
        </is>
      </c>
      <c r="AH108" t="inlineStr">
        <is>
          <t>NO</t>
        </is>
      </c>
      <c r="AI108" t="n">
        <v>40</v>
      </c>
      <c r="AJ108" t="n">
        <v>0</v>
      </c>
      <c r="AK108" t="n">
        <v>1</v>
      </c>
      <c r="AL108" t="inlineStr">
        <is>
          <t>ANON0000000</t>
        </is>
      </c>
      <c r="AM108" t="n">
        <v>-18</v>
      </c>
      <c r="AP108" t="inlineStr">
        <is>
          <t>Non Haz</t>
        </is>
      </c>
      <c r="AQ108" t="inlineStr">
        <is>
          <t>CY/CY</t>
        </is>
      </c>
      <c r="AT108" t="inlineStr">
        <is>
          <t>REF000000</t>
        </is>
      </c>
      <c r="AU108" t="n">
        <v>29000</v>
      </c>
      <c r="AV108" t="inlineStr">
        <is>
          <t>FROZEN MEAT</t>
        </is>
      </c>
      <c r="AX108" t="inlineStr">
        <is>
          <t>RSUAM012600023</t>
        </is>
      </c>
      <c r="AZ108" t="n">
        <v>5</v>
      </c>
      <c r="BA108" t="n">
        <v>30</v>
      </c>
      <c r="BB108" t="n">
        <v>15</v>
      </c>
      <c r="BC108" t="n">
        <v>9100</v>
      </c>
      <c r="BD108" t="inlineStr">
        <is>
          <t>No</t>
        </is>
      </c>
      <c r="BF108" t="inlineStr">
        <is>
          <t>ARTHA SHIPPING</t>
        </is>
      </c>
      <c r="BG108" t="inlineStr">
        <is>
          <t>USNYC</t>
        </is>
      </c>
      <c r="BH108" t="n">
        <v>0</v>
      </c>
      <c r="BI108" t="n">
        <v>1</v>
      </c>
      <c r="BJ108" t="n">
        <v>9100</v>
      </c>
      <c r="BK108" t="inlineStr">
        <is>
          <t>LINE</t>
        </is>
      </c>
      <c r="BL108" t="inlineStr">
        <is>
          <t>TURTLE REEFER</t>
        </is>
      </c>
      <c r="BM108" t="inlineStr">
        <is>
          <t>TURTLE REEFER</t>
        </is>
      </c>
    </row>
    <row r="109">
      <c r="A109" t="n">
        <v>108</v>
      </c>
      <c r="B109" t="inlineStr">
        <is>
          <t>ORCA REEFER</t>
        </is>
      </c>
      <c r="C109" t="inlineStr">
        <is>
          <t>REF000000</t>
        </is>
      </c>
      <c r="D109" t="inlineStr">
        <is>
          <t>REF000000</t>
        </is>
      </c>
      <c r="E109" t="n">
        <v>46050</v>
      </c>
      <c r="F109" t="inlineStr">
        <is>
          <t>ORCA REEFER</t>
        </is>
      </c>
      <c r="G109" t="inlineStr">
        <is>
          <t>PREPAID</t>
        </is>
      </c>
      <c r="H109" t="inlineStr">
        <is>
          <t>Regional Operations_UNIMAR</t>
        </is>
      </c>
      <c r="J109" t="inlineStr">
        <is>
          <t>25-FEB-2026</t>
        </is>
      </c>
      <c r="K109" t="inlineStr">
        <is>
          <t>19-FEB-2026</t>
        </is>
      </c>
      <c r="L109" t="inlineStr">
        <is>
          <t>25-FEB-2026</t>
        </is>
      </c>
      <c r="M109" t="inlineStr">
        <is>
          <t>REF000000</t>
        </is>
      </c>
      <c r="N109" t="inlineStr">
        <is>
          <t>USNFK</t>
        </is>
      </c>
      <c r="O109" t="inlineStr">
        <is>
          <t>USNFK</t>
        </is>
      </c>
      <c r="P109" t="inlineStr">
        <is>
          <t>RULED</t>
        </is>
      </c>
      <c r="U109" t="inlineStr">
        <is>
          <t>RULED</t>
        </is>
      </c>
      <c r="V109" t="inlineStr">
        <is>
          <t>RULED</t>
        </is>
      </c>
      <c r="W109" t="inlineStr">
        <is>
          <t>UNITED STATES</t>
        </is>
      </c>
      <c r="X109" t="inlineStr">
        <is>
          <t>Latin America</t>
        </is>
      </c>
      <c r="Y109" t="inlineStr">
        <is>
          <t>RUSSIA</t>
        </is>
      </c>
      <c r="Z109" t="inlineStr">
        <is>
          <t>External Review</t>
        </is>
      </c>
      <c r="AA109" t="inlineStr">
        <is>
          <t>HUB SHIPPING LLC-LED</t>
        </is>
      </c>
      <c r="AB109" t="inlineStr">
        <is>
          <t>Prepaid</t>
        </is>
      </c>
      <c r="AC109" t="inlineStr">
        <is>
          <t>LI DA XING/VOYAGE 1</t>
        </is>
      </c>
      <c r="AE109" t="inlineStr">
        <is>
          <t>LADEN BOOKING</t>
        </is>
      </c>
      <c r="AF109" t="inlineStr">
        <is>
          <t>Joao Ribeiro</t>
        </is>
      </c>
      <c r="AG109" t="inlineStr">
        <is>
          <t>RH40</t>
        </is>
      </c>
      <c r="AH109" t="inlineStr">
        <is>
          <t>NO</t>
        </is>
      </c>
      <c r="AI109" t="n">
        <v>40</v>
      </c>
      <c r="AJ109" t="n">
        <v>0</v>
      </c>
      <c r="AK109" t="n">
        <v>1</v>
      </c>
      <c r="AL109" t="inlineStr">
        <is>
          <t>ANON0000000</t>
        </is>
      </c>
      <c r="AM109" t="n">
        <v>-18</v>
      </c>
      <c r="AP109" t="inlineStr">
        <is>
          <t>Non Haz</t>
        </is>
      </c>
      <c r="AQ109" t="inlineStr">
        <is>
          <t>CY/CY</t>
        </is>
      </c>
      <c r="AT109" t="inlineStr">
        <is>
          <t>REF000000</t>
        </is>
      </c>
      <c r="AU109" t="n">
        <v>28000</v>
      </c>
      <c r="AV109" t="inlineStr">
        <is>
          <t>FROZEN MEAT</t>
        </is>
      </c>
      <c r="AX109" t="inlineStr">
        <is>
          <t>RSUAM012600007</t>
        </is>
      </c>
      <c r="AZ109" t="n">
        <v>5</v>
      </c>
      <c r="BA109" t="n">
        <v>21</v>
      </c>
      <c r="BB109" t="n">
        <v>10</v>
      </c>
      <c r="BC109" t="n">
        <v>8150</v>
      </c>
      <c r="BD109" t="inlineStr">
        <is>
          <t>No</t>
        </is>
      </c>
      <c r="BF109" t="inlineStr">
        <is>
          <t>ARTHA SHIPPING</t>
        </is>
      </c>
      <c r="BG109" t="inlineStr">
        <is>
          <t>USNFK</t>
        </is>
      </c>
      <c r="BH109" t="n">
        <v>0</v>
      </c>
      <c r="BI109" t="n">
        <v>1</v>
      </c>
      <c r="BJ109" t="n">
        <v>8150</v>
      </c>
      <c r="BK109" t="inlineStr">
        <is>
          <t>LINE</t>
        </is>
      </c>
      <c r="BL109" t="inlineStr">
        <is>
          <t>ORCA REEFER</t>
        </is>
      </c>
      <c r="BM109" t="inlineStr">
        <is>
          <t>ORCA REEFER</t>
        </is>
      </c>
    </row>
    <row r="110">
      <c r="A110" t="n">
        <v>109</v>
      </c>
      <c r="B110" t="inlineStr">
        <is>
          <t>WHALE REEFER</t>
        </is>
      </c>
      <c r="C110" t="inlineStr">
        <is>
          <t>REF000000</t>
        </is>
      </c>
      <c r="D110" t="inlineStr">
        <is>
          <t>REF000000</t>
        </is>
      </c>
      <c r="E110" t="n">
        <v>46051</v>
      </c>
      <c r="F110" t="inlineStr">
        <is>
          <t>WHALE REEFER</t>
        </is>
      </c>
      <c r="H110" t="inlineStr">
        <is>
          <t>AdminUAM</t>
        </is>
      </c>
      <c r="J110" t="n">
        <v>46082</v>
      </c>
      <c r="K110" t="inlineStr">
        <is>
          <t>27-FEB-2026</t>
        </is>
      </c>
      <c r="L110" t="n">
        <v>46082</v>
      </c>
      <c r="M110" t="inlineStr">
        <is>
          <t>REF000000</t>
        </is>
      </c>
      <c r="N110" t="inlineStr">
        <is>
          <t>USNFK</t>
        </is>
      </c>
      <c r="O110" t="inlineStr">
        <is>
          <t>USNFK</t>
        </is>
      </c>
      <c r="P110" t="inlineStr">
        <is>
          <t>RULED</t>
        </is>
      </c>
      <c r="U110" t="inlineStr">
        <is>
          <t>RULED</t>
        </is>
      </c>
      <c r="V110" t="inlineStr">
        <is>
          <t>RUMOW</t>
        </is>
      </c>
      <c r="W110" t="inlineStr">
        <is>
          <t>UNITED STATES</t>
        </is>
      </c>
      <c r="X110" t="inlineStr">
        <is>
          <t>Latin America</t>
        </is>
      </c>
      <c r="Y110" t="inlineStr">
        <is>
          <t>RUSSIA</t>
        </is>
      </c>
      <c r="Z110" t="inlineStr">
        <is>
          <t>External Review</t>
        </is>
      </c>
      <c r="AA110" t="inlineStr">
        <is>
          <t>HUB SHIPPING LLC-LED</t>
        </is>
      </c>
      <c r="AB110" t="inlineStr">
        <is>
          <t>Collect</t>
        </is>
      </c>
      <c r="AC110" t="inlineStr">
        <is>
          <t>LI DA XING/VOYAGE 1</t>
        </is>
      </c>
      <c r="AE110" t="inlineStr">
        <is>
          <t>LADEN BOOKING</t>
        </is>
      </c>
      <c r="AF110" t="inlineStr">
        <is>
          <t>RenniUAM</t>
        </is>
      </c>
      <c r="AG110" t="inlineStr">
        <is>
          <t>HC40</t>
        </is>
      </c>
      <c r="AH110" t="inlineStr">
        <is>
          <t>NO</t>
        </is>
      </c>
      <c r="AI110" t="n">
        <v>40</v>
      </c>
      <c r="AJ110" t="n">
        <v>0</v>
      </c>
      <c r="AK110" t="n">
        <v>1</v>
      </c>
      <c r="AL110" t="inlineStr">
        <is>
          <t>ANON0000000</t>
        </is>
      </c>
      <c r="AP110" t="inlineStr">
        <is>
          <t>Non Haz</t>
        </is>
      </c>
      <c r="AQ110" t="inlineStr">
        <is>
          <t>CY/DOOR</t>
        </is>
      </c>
      <c r="AT110" t="inlineStr">
        <is>
          <t>REF000000</t>
        </is>
      </c>
      <c r="AU110" t="n">
        <v>26000</v>
      </c>
      <c r="AV110" t="inlineStr">
        <is>
          <t>GENERAL COMMODITY</t>
        </is>
      </c>
      <c r="AX110" t="inlineStr">
        <is>
          <t>RSUAM012600047</t>
        </is>
      </c>
      <c r="AZ110" t="n">
        <v>0</v>
      </c>
      <c r="BA110" t="n">
        <v>14</v>
      </c>
      <c r="BB110" t="n">
        <v>14</v>
      </c>
      <c r="BC110" t="n">
        <v>4600</v>
      </c>
      <c r="BD110" t="inlineStr">
        <is>
          <t>Yes</t>
        </is>
      </c>
      <c r="BE110" t="inlineStr">
        <is>
          <t>FMC/RFLED/43185</t>
        </is>
      </c>
      <c r="BF110" t="inlineStr">
        <is>
          <t>ARTHA SHIPPING</t>
        </is>
      </c>
      <c r="BG110" t="inlineStr">
        <is>
          <t>RULED</t>
        </is>
      </c>
      <c r="BH110" t="n">
        <v>0</v>
      </c>
      <c r="BI110" t="n">
        <v>1</v>
      </c>
      <c r="BJ110" t="n">
        <v>4600</v>
      </c>
      <c r="BK110" t="inlineStr">
        <is>
          <t>LINE</t>
        </is>
      </c>
      <c r="BL110" t="inlineStr">
        <is>
          <t>WHALE REEFER</t>
        </is>
      </c>
      <c r="BM110" t="inlineStr">
        <is>
          <t>WHALE REEFER</t>
        </is>
      </c>
    </row>
    <row r="111">
      <c r="A111" t="n">
        <v>110</v>
      </c>
      <c r="B111" t="inlineStr">
        <is>
          <t>SEAL REEFER</t>
        </is>
      </c>
      <c r="C111" t="inlineStr">
        <is>
          <t>REF000000</t>
        </is>
      </c>
      <c r="D111" t="inlineStr">
        <is>
          <t>REF000000</t>
        </is>
      </c>
      <c r="E111" t="n">
        <v>46051</v>
      </c>
      <c r="F111" t="inlineStr">
        <is>
          <t>SEAL REEFER</t>
        </is>
      </c>
      <c r="G111" t="inlineStr">
        <is>
          <t>PREPAID ABROAD</t>
        </is>
      </c>
      <c r="H111" t="inlineStr">
        <is>
          <t>Regional Operations_UNIMAR</t>
        </is>
      </c>
      <c r="J111" t="inlineStr">
        <is>
          <t>18-FEB-2026</t>
        </is>
      </c>
      <c r="K111" t="inlineStr">
        <is>
          <t>17-FEB-2026</t>
        </is>
      </c>
      <c r="L111" t="inlineStr">
        <is>
          <t>18-FEB-2026</t>
        </is>
      </c>
      <c r="M111" t="inlineStr">
        <is>
          <t>REF000000</t>
        </is>
      </c>
      <c r="N111" t="inlineStr">
        <is>
          <t>USNYC</t>
        </is>
      </c>
      <c r="O111" t="inlineStr">
        <is>
          <t>USNYC</t>
        </is>
      </c>
      <c r="P111" t="inlineStr">
        <is>
          <t>RUBLT</t>
        </is>
      </c>
      <c r="U111" t="inlineStr">
        <is>
          <t>RUBLT</t>
        </is>
      </c>
      <c r="V111" t="inlineStr">
        <is>
          <t>RUBLT</t>
        </is>
      </c>
      <c r="W111" t="inlineStr">
        <is>
          <t>UNITED STATES</t>
        </is>
      </c>
      <c r="X111" t="inlineStr">
        <is>
          <t>Latin America</t>
        </is>
      </c>
      <c r="Y111" t="inlineStr">
        <is>
          <t>RUSSIA</t>
        </is>
      </c>
      <c r="Z111" t="inlineStr">
        <is>
          <t>External Review</t>
        </is>
      </c>
      <c r="AA111" t="inlineStr">
        <is>
          <t>HUB Shipping-Kaliningrad</t>
        </is>
      </c>
      <c r="AB111" t="inlineStr">
        <is>
          <t>Prepaid</t>
        </is>
      </c>
      <c r="AC111" t="inlineStr">
        <is>
          <t>LI DA XING/VOYAGE 1</t>
        </is>
      </c>
      <c r="AE111" t="inlineStr">
        <is>
          <t>LADEN BOOKING</t>
        </is>
      </c>
      <c r="AF111" t="inlineStr">
        <is>
          <t>Joao Ribeiro</t>
        </is>
      </c>
      <c r="AG111" t="inlineStr">
        <is>
          <t>RH40</t>
        </is>
      </c>
      <c r="AH111" t="inlineStr">
        <is>
          <t>NO</t>
        </is>
      </c>
      <c r="AI111" t="n">
        <v>40</v>
      </c>
      <c r="AJ111" t="n">
        <v>0</v>
      </c>
      <c r="AK111" t="n">
        <v>1</v>
      </c>
      <c r="AL111" t="inlineStr">
        <is>
          <t>ANON0000000</t>
        </is>
      </c>
      <c r="AM111" t="n">
        <v>-18</v>
      </c>
      <c r="AP111" t="inlineStr">
        <is>
          <t>Non Haz</t>
        </is>
      </c>
      <c r="AQ111" t="inlineStr">
        <is>
          <t>CY/CY</t>
        </is>
      </c>
      <c r="AT111" t="inlineStr">
        <is>
          <t>REF000000</t>
        </is>
      </c>
      <c r="AU111" t="n">
        <v>28000</v>
      </c>
      <c r="AV111" t="inlineStr">
        <is>
          <t>FROZEN MEAT</t>
        </is>
      </c>
      <c r="AX111" t="inlineStr">
        <is>
          <t>RSUAM012600044</t>
        </is>
      </c>
      <c r="AZ111" t="n">
        <v>2</v>
      </c>
      <c r="BA111" t="n">
        <v>25</v>
      </c>
      <c r="BB111" t="n">
        <v>15</v>
      </c>
      <c r="BC111" t="n">
        <v>9350</v>
      </c>
      <c r="BD111" t="inlineStr">
        <is>
          <t>No</t>
        </is>
      </c>
      <c r="BF111" t="inlineStr">
        <is>
          <t>ARTHA SHIPPING</t>
        </is>
      </c>
      <c r="BG111" t="inlineStr">
        <is>
          <t>USNYC</t>
        </is>
      </c>
      <c r="BH111" t="n">
        <v>0</v>
      </c>
      <c r="BI111" t="n">
        <v>1</v>
      </c>
      <c r="BJ111" t="n">
        <v>9350</v>
      </c>
      <c r="BK111" t="inlineStr">
        <is>
          <t>LINE</t>
        </is>
      </c>
      <c r="BL111" t="inlineStr">
        <is>
          <t>SEAL REEFER</t>
        </is>
      </c>
      <c r="BM111" t="inlineStr">
        <is>
          <t>SEAL REEFER</t>
        </is>
      </c>
    </row>
    <row r="112">
      <c r="A112" t="n">
        <v>111</v>
      </c>
      <c r="B112" t="inlineStr">
        <is>
          <t>FOX DRY</t>
        </is>
      </c>
      <c r="C112" t="inlineStr">
        <is>
          <t>REF000000</t>
        </is>
      </c>
      <c r="D112" t="inlineStr">
        <is>
          <t>REF000000</t>
        </is>
      </c>
      <c r="E112" t="n">
        <v>46052</v>
      </c>
      <c r="F112" t="inlineStr">
        <is>
          <t>FOX DRY</t>
        </is>
      </c>
      <c r="H112" t="inlineStr">
        <is>
          <t>AdminUAM</t>
        </is>
      </c>
      <c r="J112" t="inlineStr">
        <is>
          <t>23-APR-2026</t>
        </is>
      </c>
      <c r="K112" t="inlineStr">
        <is>
          <t>23-APR-2026</t>
        </is>
      </c>
      <c r="M112" t="inlineStr">
        <is>
          <t>REF000000</t>
        </is>
      </c>
      <c r="N112" t="inlineStr">
        <is>
          <t>USNFK</t>
        </is>
      </c>
      <c r="O112" t="inlineStr">
        <is>
          <t>USNFK</t>
        </is>
      </c>
      <c r="P112" t="inlineStr">
        <is>
          <t>RULED</t>
        </is>
      </c>
      <c r="U112" t="inlineStr">
        <is>
          <t>RULED</t>
        </is>
      </c>
      <c r="V112" t="inlineStr">
        <is>
          <t>RULED</t>
        </is>
      </c>
      <c r="W112" t="inlineStr">
        <is>
          <t>UNITED STATES</t>
        </is>
      </c>
      <c r="X112" t="inlineStr">
        <is>
          <t>Latin America</t>
        </is>
      </c>
      <c r="Y112" t="inlineStr">
        <is>
          <t>RUSSIA</t>
        </is>
      </c>
      <c r="Z112" t="inlineStr">
        <is>
          <t>External Review</t>
        </is>
      </c>
      <c r="AA112" t="inlineStr">
        <is>
          <t>HUB SHIPPING LLC-LED</t>
        </is>
      </c>
      <c r="AB112" t="inlineStr">
        <is>
          <t>Collect</t>
        </is>
      </c>
      <c r="AC112" t="inlineStr">
        <is>
          <t>VENUS / VOYAGE 2</t>
        </is>
      </c>
      <c r="AE112" t="inlineStr">
        <is>
          <t>LADEN BOOKING</t>
        </is>
      </c>
      <c r="AF112" t="inlineStr">
        <is>
          <t>RenniUAM</t>
        </is>
      </c>
      <c r="AG112" t="inlineStr">
        <is>
          <t>DC20</t>
        </is>
      </c>
      <c r="AH112" t="inlineStr">
        <is>
          <t>NO</t>
        </is>
      </c>
      <c r="AI112" t="n">
        <v>20</v>
      </c>
      <c r="AJ112" t="n">
        <v>1</v>
      </c>
      <c r="AK112" t="n">
        <v>0</v>
      </c>
      <c r="AP112" t="inlineStr">
        <is>
          <t>Non Haz</t>
        </is>
      </c>
      <c r="AQ112" t="inlineStr">
        <is>
          <t>CY/CY</t>
        </is>
      </c>
      <c r="AU112" t="n">
        <v>23000</v>
      </c>
      <c r="AV112" t="inlineStr">
        <is>
          <t>GENERAL COMMODITY</t>
        </is>
      </c>
      <c r="AX112" t="inlineStr">
        <is>
          <t>MRG422781</t>
        </is>
      </c>
      <c r="AY112" t="inlineStr">
        <is>
          <t>LINE</t>
        </is>
      </c>
      <c r="AZ112" t="n">
        <v>0</v>
      </c>
      <c r="BA112" t="n">
        <v>14</v>
      </c>
      <c r="BB112" t="n">
        <v>14</v>
      </c>
      <c r="BC112" t="n">
        <v>3400</v>
      </c>
      <c r="BD112" t="inlineStr">
        <is>
          <t>Yes</t>
        </is>
      </c>
      <c r="BG112" t="inlineStr">
        <is>
          <t>RULED</t>
        </is>
      </c>
      <c r="BH112" t="n">
        <v>0</v>
      </c>
      <c r="BI112" t="n">
        <v>0</v>
      </c>
      <c r="BJ112" t="inlineStr">
        <is>
          <t xml:space="preserve"> 0</t>
        </is>
      </c>
      <c r="BK112" t="inlineStr">
        <is>
          <t>LINE</t>
        </is>
      </c>
      <c r="BL112" t="inlineStr">
        <is>
          <t>FOX DRY</t>
        </is>
      </c>
      <c r="BM112" t="inlineStr">
        <is>
          <t>FOX DRY</t>
        </is>
      </c>
    </row>
    <row r="113">
      <c r="A113" t="n">
        <v>112</v>
      </c>
      <c r="B113" t="inlineStr">
        <is>
          <t>DOLPHIN REEFER</t>
        </is>
      </c>
      <c r="C113" t="inlineStr">
        <is>
          <t>REF000000</t>
        </is>
      </c>
      <c r="D113" t="inlineStr">
        <is>
          <t>REF000000</t>
        </is>
      </c>
      <c r="E113" t="n">
        <v>46052</v>
      </c>
      <c r="F113" t="inlineStr">
        <is>
          <t>DOLPHIN REEFER</t>
        </is>
      </c>
      <c r="G113" t="inlineStr">
        <is>
          <t>PREPAID</t>
        </is>
      </c>
      <c r="H113" t="inlineStr">
        <is>
          <t>Diego</t>
        </is>
      </c>
      <c r="J113" t="inlineStr">
        <is>
          <t>25-FEB-2026</t>
        </is>
      </c>
      <c r="K113" t="inlineStr">
        <is>
          <t>19-FEB-2026</t>
        </is>
      </c>
      <c r="L113" t="inlineStr">
        <is>
          <t>25-FEB-2026</t>
        </is>
      </c>
      <c r="M113" t="inlineStr">
        <is>
          <t>REF000000</t>
        </is>
      </c>
      <c r="N113" t="inlineStr">
        <is>
          <t>USNFK</t>
        </is>
      </c>
      <c r="O113" t="inlineStr">
        <is>
          <t>USNFK</t>
        </is>
      </c>
      <c r="P113" t="inlineStr">
        <is>
          <t>RULED</t>
        </is>
      </c>
      <c r="U113" t="inlineStr">
        <is>
          <t>RULED</t>
        </is>
      </c>
      <c r="V113" t="inlineStr">
        <is>
          <t>RULED</t>
        </is>
      </c>
      <c r="W113" t="inlineStr">
        <is>
          <t>UNITED STATES</t>
        </is>
      </c>
      <c r="X113" t="inlineStr">
        <is>
          <t>Latin America</t>
        </is>
      </c>
      <c r="Y113" t="inlineStr">
        <is>
          <t>RUSSIA</t>
        </is>
      </c>
      <c r="Z113" t="inlineStr">
        <is>
          <t>External Review</t>
        </is>
      </c>
      <c r="AA113" t="inlineStr">
        <is>
          <t>HUB SHIPPING LLC-LED</t>
        </is>
      </c>
      <c r="AB113" t="inlineStr">
        <is>
          <t>Prepaid</t>
        </is>
      </c>
      <c r="AC113" t="inlineStr">
        <is>
          <t>LI DA XING/VOYAGE 1</t>
        </is>
      </c>
      <c r="AE113" t="inlineStr">
        <is>
          <t>LADEN BOOKING</t>
        </is>
      </c>
      <c r="AF113" t="inlineStr">
        <is>
          <t>Joao Ribeiro</t>
        </is>
      </c>
      <c r="AG113" t="inlineStr">
        <is>
          <t>RH40</t>
        </is>
      </c>
      <c r="AH113" t="inlineStr">
        <is>
          <t>NO</t>
        </is>
      </c>
      <c r="AI113" t="n">
        <v>40</v>
      </c>
      <c r="AJ113" t="n">
        <v>0</v>
      </c>
      <c r="AK113" t="n">
        <v>1</v>
      </c>
      <c r="AL113" t="inlineStr">
        <is>
          <t>ANON0000000</t>
        </is>
      </c>
      <c r="AM113" t="n">
        <v>-18</v>
      </c>
      <c r="AP113" t="inlineStr">
        <is>
          <t>Non Haz</t>
        </is>
      </c>
      <c r="AQ113" t="inlineStr">
        <is>
          <t>CY/CY</t>
        </is>
      </c>
      <c r="AT113" t="inlineStr">
        <is>
          <t>REF000000</t>
        </is>
      </c>
      <c r="AU113" t="n">
        <v>28000</v>
      </c>
      <c r="AV113" t="inlineStr">
        <is>
          <t>FROZEN MEAT &amp; FRUIT PULP</t>
        </is>
      </c>
      <c r="AX113" t="inlineStr">
        <is>
          <t>RSUAM112500002</t>
        </is>
      </c>
      <c r="AZ113" t="n">
        <v>5</v>
      </c>
      <c r="BA113" t="n">
        <v>25</v>
      </c>
      <c r="BB113" t="n">
        <v>15</v>
      </c>
      <c r="BC113" t="n">
        <v>7000</v>
      </c>
      <c r="BD113" t="inlineStr">
        <is>
          <t>No</t>
        </is>
      </c>
      <c r="BF113" t="inlineStr">
        <is>
          <t>ARTHA SHIPPING</t>
        </is>
      </c>
      <c r="BG113" t="inlineStr">
        <is>
          <t>USNFK</t>
        </is>
      </c>
      <c r="BH113" t="n">
        <v>0</v>
      </c>
      <c r="BI113" t="n">
        <v>1</v>
      </c>
      <c r="BJ113" t="n">
        <v>7000</v>
      </c>
      <c r="BK113" t="inlineStr">
        <is>
          <t>LINE</t>
        </is>
      </c>
      <c r="BL113" t="inlineStr">
        <is>
          <t>DOLPHIN REEFER</t>
        </is>
      </c>
      <c r="BM113" t="inlineStr">
        <is>
          <t>DOLPHIN REEFER</t>
        </is>
      </c>
    </row>
    <row r="114">
      <c r="A114" t="n">
        <v>113</v>
      </c>
      <c r="B114" t="inlineStr">
        <is>
          <t>MARLIN REEFER</t>
        </is>
      </c>
      <c r="C114" t="inlineStr">
        <is>
          <t>REF000000</t>
        </is>
      </c>
      <c r="D114" t="inlineStr">
        <is>
          <t>REF000000</t>
        </is>
      </c>
      <c r="E114" t="n">
        <v>46052</v>
      </c>
      <c r="F114" t="inlineStr">
        <is>
          <t>MARLIN REEFER</t>
        </is>
      </c>
      <c r="G114" t="inlineStr">
        <is>
          <t>PREPAID ABROAD</t>
        </is>
      </c>
      <c r="H114" t="inlineStr">
        <is>
          <t>Regional Operations_UNIMAR</t>
        </is>
      </c>
      <c r="J114" t="inlineStr">
        <is>
          <t>10-APR-2026</t>
        </is>
      </c>
      <c r="K114" t="inlineStr">
        <is>
          <t>06-APR-2026</t>
        </is>
      </c>
      <c r="L114" t="inlineStr">
        <is>
          <t>10-APR-2026</t>
        </is>
      </c>
      <c r="M114" t="inlineStr">
        <is>
          <t>REF000000</t>
        </is>
      </c>
      <c r="N114" t="inlineStr">
        <is>
          <t>USNYC</t>
        </is>
      </c>
      <c r="O114" t="inlineStr">
        <is>
          <t>USNYC</t>
        </is>
      </c>
      <c r="P114" t="inlineStr">
        <is>
          <t>RUBLT</t>
        </is>
      </c>
      <c r="U114" t="inlineStr">
        <is>
          <t>RUBLT</t>
        </is>
      </c>
      <c r="V114" t="inlineStr">
        <is>
          <t>RUBLT</t>
        </is>
      </c>
      <c r="W114" t="inlineStr">
        <is>
          <t>UNITED STATES</t>
        </is>
      </c>
      <c r="X114" t="inlineStr">
        <is>
          <t>Latin America</t>
        </is>
      </c>
      <c r="Y114" t="inlineStr">
        <is>
          <t>RUSSIA</t>
        </is>
      </c>
      <c r="Z114" t="inlineStr">
        <is>
          <t>External Review</t>
        </is>
      </c>
      <c r="AA114" t="inlineStr">
        <is>
          <t>HUB Shipping-Kaliningrad</t>
        </is>
      </c>
      <c r="AB114" t="inlineStr">
        <is>
          <t>Prepaid</t>
        </is>
      </c>
      <c r="AC114" t="inlineStr">
        <is>
          <t>MERCURY / VOYAGE 1</t>
        </is>
      </c>
      <c r="AE114" t="inlineStr">
        <is>
          <t>LADEN BOOKING</t>
        </is>
      </c>
      <c r="AF114" t="inlineStr">
        <is>
          <t>Joao Ribeiro</t>
        </is>
      </c>
      <c r="AG114" t="inlineStr">
        <is>
          <t>RH40</t>
        </is>
      </c>
      <c r="AH114" t="inlineStr">
        <is>
          <t>NO</t>
        </is>
      </c>
      <c r="AI114" t="n">
        <v>40</v>
      </c>
      <c r="AJ114" t="n">
        <v>0</v>
      </c>
      <c r="AK114" t="n">
        <v>1</v>
      </c>
      <c r="AL114" t="inlineStr">
        <is>
          <t>ANON0000000</t>
        </is>
      </c>
      <c r="AM114" t="n">
        <v>-18</v>
      </c>
      <c r="AP114" t="inlineStr">
        <is>
          <t>Non Haz</t>
        </is>
      </c>
      <c r="AQ114" t="inlineStr">
        <is>
          <t>CY/CY</t>
        </is>
      </c>
      <c r="AT114" t="inlineStr">
        <is>
          <t>REF000000</t>
        </is>
      </c>
      <c r="AU114" t="n">
        <v>28000</v>
      </c>
      <c r="AV114" t="inlineStr">
        <is>
          <t>FROZEN MEAT</t>
        </is>
      </c>
      <c r="AX114" t="inlineStr">
        <is>
          <t>RSUAM012600044</t>
        </is>
      </c>
      <c r="AZ114" t="n">
        <v>2</v>
      </c>
      <c r="BA114" t="n">
        <v>25</v>
      </c>
      <c r="BB114" t="n">
        <v>15</v>
      </c>
      <c r="BC114" t="n">
        <v>9350</v>
      </c>
      <c r="BD114" t="inlineStr">
        <is>
          <t>No</t>
        </is>
      </c>
      <c r="BF114" t="inlineStr">
        <is>
          <t>ARTHA SHIPPING</t>
        </is>
      </c>
      <c r="BG114" t="inlineStr">
        <is>
          <t>USNYC</t>
        </is>
      </c>
      <c r="BH114" t="n">
        <v>0</v>
      </c>
      <c r="BI114" t="n">
        <v>1</v>
      </c>
      <c r="BJ114" t="n">
        <v>9350</v>
      </c>
      <c r="BK114" t="inlineStr">
        <is>
          <t>LINE</t>
        </is>
      </c>
      <c r="BL114" t="inlineStr">
        <is>
          <t>MARLIN REEFER</t>
        </is>
      </c>
      <c r="BM114" t="inlineStr">
        <is>
          <t>MARLIN REEFER</t>
        </is>
      </c>
    </row>
    <row r="115">
      <c r="A115" t="n">
        <v>114</v>
      </c>
      <c r="B115" t="inlineStr">
        <is>
          <t>TURTLE REEFER</t>
        </is>
      </c>
      <c r="C115" t="inlineStr">
        <is>
          <t>REF000000</t>
        </is>
      </c>
      <c r="D115" t="inlineStr">
        <is>
          <t>REF000000</t>
        </is>
      </c>
      <c r="E115" t="n">
        <v>46052</v>
      </c>
      <c r="F115" t="inlineStr">
        <is>
          <t>TURTLE REEFER</t>
        </is>
      </c>
      <c r="G115" t="inlineStr">
        <is>
          <t>PREPAID ABROAD</t>
        </is>
      </c>
      <c r="H115" t="inlineStr">
        <is>
          <t>Diego</t>
        </is>
      </c>
      <c r="J115" t="inlineStr">
        <is>
          <t>25-FEB-2026</t>
        </is>
      </c>
      <c r="K115" t="inlineStr">
        <is>
          <t>19-FEB-2026</t>
        </is>
      </c>
      <c r="L115" t="inlineStr">
        <is>
          <t>25-FEB-2026</t>
        </is>
      </c>
      <c r="M115" t="inlineStr">
        <is>
          <t>REF000000</t>
        </is>
      </c>
      <c r="N115" t="inlineStr">
        <is>
          <t>USNFK</t>
        </is>
      </c>
      <c r="O115" t="inlineStr">
        <is>
          <t>USNFK</t>
        </is>
      </c>
      <c r="P115" t="inlineStr">
        <is>
          <t>RULED</t>
        </is>
      </c>
      <c r="U115" t="inlineStr">
        <is>
          <t>RULED</t>
        </is>
      </c>
      <c r="V115" t="inlineStr">
        <is>
          <t>RULED</t>
        </is>
      </c>
      <c r="W115" t="inlineStr">
        <is>
          <t>UNITED STATES</t>
        </is>
      </c>
      <c r="X115" t="inlineStr">
        <is>
          <t>Latin America</t>
        </is>
      </c>
      <c r="Y115" t="inlineStr">
        <is>
          <t>RUSSIA</t>
        </is>
      </c>
      <c r="Z115" t="inlineStr">
        <is>
          <t>External Review</t>
        </is>
      </c>
      <c r="AA115" t="inlineStr">
        <is>
          <t>HUB SHIPPING LLC-LED</t>
        </is>
      </c>
      <c r="AB115" t="inlineStr">
        <is>
          <t>Prepaid</t>
        </is>
      </c>
      <c r="AC115" t="inlineStr">
        <is>
          <t>LI DA XING/VOYAGE 1</t>
        </is>
      </c>
      <c r="AE115" t="inlineStr">
        <is>
          <t>LADEN BOOKING</t>
        </is>
      </c>
      <c r="AF115" t="inlineStr">
        <is>
          <t>Joao Ribeiro</t>
        </is>
      </c>
      <c r="AG115" t="inlineStr">
        <is>
          <t>RH40</t>
        </is>
      </c>
      <c r="AH115" t="inlineStr">
        <is>
          <t>NO</t>
        </is>
      </c>
      <c r="AI115" t="n">
        <v>40</v>
      </c>
      <c r="AJ115" t="n">
        <v>0</v>
      </c>
      <c r="AK115" t="n">
        <v>1</v>
      </c>
      <c r="AL115" t="inlineStr">
        <is>
          <t>ANON0000000</t>
        </is>
      </c>
      <c r="AM115" t="n">
        <v>-18</v>
      </c>
      <c r="AP115" t="inlineStr">
        <is>
          <t>Non Haz</t>
        </is>
      </c>
      <c r="AQ115" t="inlineStr">
        <is>
          <t>CY/CY</t>
        </is>
      </c>
      <c r="AT115" t="inlineStr">
        <is>
          <t>REF000000</t>
        </is>
      </c>
      <c r="AU115" t="n">
        <v>28000</v>
      </c>
      <c r="AV115" t="inlineStr">
        <is>
          <t>FROZEN MEAT &amp; FRUIT PULP</t>
        </is>
      </c>
      <c r="AX115" t="inlineStr">
        <is>
          <t>RSUAM112500002</t>
        </is>
      </c>
      <c r="AZ115" t="n">
        <v>5</v>
      </c>
      <c r="BA115" t="n">
        <v>25</v>
      </c>
      <c r="BB115" t="n">
        <v>15</v>
      </c>
      <c r="BC115" t="n">
        <v>7000</v>
      </c>
      <c r="BD115" t="inlineStr">
        <is>
          <t>No</t>
        </is>
      </c>
      <c r="BF115" t="inlineStr">
        <is>
          <t>ARTHA SHIPPING</t>
        </is>
      </c>
      <c r="BG115" t="inlineStr">
        <is>
          <t>USNFK</t>
        </is>
      </c>
      <c r="BH115" t="n">
        <v>0</v>
      </c>
      <c r="BI115" t="n">
        <v>1</v>
      </c>
      <c r="BJ115" t="n">
        <v>7000</v>
      </c>
      <c r="BK115" t="inlineStr">
        <is>
          <t>LINE</t>
        </is>
      </c>
      <c r="BL115" t="inlineStr">
        <is>
          <t>TURTLE REEFER</t>
        </is>
      </c>
      <c r="BM115" t="inlineStr">
        <is>
          <t>TURTLE REEFER</t>
        </is>
      </c>
    </row>
    <row r="116">
      <c r="A116" t="n">
        <v>115</v>
      </c>
      <c r="B116" t="inlineStr">
        <is>
          <t>ORCA REEFER</t>
        </is>
      </c>
      <c r="C116" t="inlineStr">
        <is>
          <t>REF000000</t>
        </is>
      </c>
      <c r="D116" t="inlineStr">
        <is>
          <t>REF000000</t>
        </is>
      </c>
      <c r="E116" t="n">
        <v>46052</v>
      </c>
      <c r="F116" t="inlineStr">
        <is>
          <t>ORCA REEFER</t>
        </is>
      </c>
      <c r="G116" t="inlineStr">
        <is>
          <t>PREPAID ABROAD</t>
        </is>
      </c>
      <c r="H116" t="inlineStr">
        <is>
          <t>Diego</t>
        </is>
      </c>
      <c r="J116" t="inlineStr">
        <is>
          <t>25-FEB-2026</t>
        </is>
      </c>
      <c r="K116" t="inlineStr">
        <is>
          <t>19-FEB-2026</t>
        </is>
      </c>
      <c r="L116" t="inlineStr">
        <is>
          <t>25-FEB-2026</t>
        </is>
      </c>
      <c r="M116" t="inlineStr">
        <is>
          <t>REF000000</t>
        </is>
      </c>
      <c r="N116" t="inlineStr">
        <is>
          <t>USNFK</t>
        </is>
      </c>
      <c r="O116" t="inlineStr">
        <is>
          <t>USNFK</t>
        </is>
      </c>
      <c r="P116" t="inlineStr">
        <is>
          <t>RULED</t>
        </is>
      </c>
      <c r="U116" t="inlineStr">
        <is>
          <t>RULED</t>
        </is>
      </c>
      <c r="V116" t="inlineStr">
        <is>
          <t>RULED</t>
        </is>
      </c>
      <c r="W116" t="inlineStr">
        <is>
          <t>UNITED STATES</t>
        </is>
      </c>
      <c r="X116" t="inlineStr">
        <is>
          <t>Latin America</t>
        </is>
      </c>
      <c r="Y116" t="inlineStr">
        <is>
          <t>RUSSIA</t>
        </is>
      </c>
      <c r="Z116" t="inlineStr">
        <is>
          <t>External Review</t>
        </is>
      </c>
      <c r="AA116" t="inlineStr">
        <is>
          <t>HUB SHIPPING LLC-LED</t>
        </is>
      </c>
      <c r="AB116" t="inlineStr">
        <is>
          <t>Prepaid</t>
        </is>
      </c>
      <c r="AC116" t="inlineStr">
        <is>
          <t>LI DA XING/VOYAGE 1</t>
        </is>
      </c>
      <c r="AE116" t="inlineStr">
        <is>
          <t>LADEN BOOKING</t>
        </is>
      </c>
      <c r="AF116" t="inlineStr">
        <is>
          <t>Joao Ribeiro</t>
        </is>
      </c>
      <c r="AG116" t="inlineStr">
        <is>
          <t>RH40</t>
        </is>
      </c>
      <c r="AH116" t="inlineStr">
        <is>
          <t>NO</t>
        </is>
      </c>
      <c r="AI116" t="n">
        <v>40</v>
      </c>
      <c r="AJ116" t="n">
        <v>0</v>
      </c>
      <c r="AK116" t="n">
        <v>1</v>
      </c>
      <c r="AL116" t="inlineStr">
        <is>
          <t>ANON0000000</t>
        </is>
      </c>
      <c r="AM116" t="n">
        <v>-18</v>
      </c>
      <c r="AP116" t="inlineStr">
        <is>
          <t>Non Haz</t>
        </is>
      </c>
      <c r="AQ116" t="inlineStr">
        <is>
          <t>CY/CY</t>
        </is>
      </c>
      <c r="AT116" t="inlineStr">
        <is>
          <t>REF000000</t>
        </is>
      </c>
      <c r="AU116" t="n">
        <v>28000</v>
      </c>
      <c r="AV116" t="inlineStr">
        <is>
          <t>FROZEN MEAT &amp; FRUIT PULP</t>
        </is>
      </c>
      <c r="AX116" t="inlineStr">
        <is>
          <t>RSUAM112500002</t>
        </is>
      </c>
      <c r="AZ116" t="n">
        <v>5</v>
      </c>
      <c r="BA116" t="n">
        <v>25</v>
      </c>
      <c r="BB116" t="n">
        <v>15</v>
      </c>
      <c r="BC116" t="n">
        <v>7000</v>
      </c>
      <c r="BD116" t="inlineStr">
        <is>
          <t>No</t>
        </is>
      </c>
      <c r="BF116" t="inlineStr">
        <is>
          <t>ARTHA SHIPPING</t>
        </is>
      </c>
      <c r="BG116" t="inlineStr">
        <is>
          <t>USNFK</t>
        </is>
      </c>
      <c r="BH116" t="n">
        <v>0</v>
      </c>
      <c r="BI116" t="n">
        <v>1</v>
      </c>
      <c r="BJ116" t="n">
        <v>7000</v>
      </c>
      <c r="BK116" t="inlineStr">
        <is>
          <t>LINE</t>
        </is>
      </c>
      <c r="BL116" t="inlineStr">
        <is>
          <t>ORCA REEFER</t>
        </is>
      </c>
      <c r="BM116" t="inlineStr">
        <is>
          <t>ORCA REEFER</t>
        </is>
      </c>
    </row>
    <row r="117">
      <c r="A117" t="n">
        <v>116</v>
      </c>
      <c r="B117" t="inlineStr">
        <is>
          <t>WHALE REEFER</t>
        </is>
      </c>
      <c r="C117" t="inlineStr">
        <is>
          <t>REF000000</t>
        </is>
      </c>
      <c r="D117" t="inlineStr">
        <is>
          <t>REF000000</t>
        </is>
      </c>
      <c r="E117" t="n">
        <v>46052</v>
      </c>
      <c r="F117" t="inlineStr">
        <is>
          <t>WHALE REEFER</t>
        </is>
      </c>
      <c r="G117" t="inlineStr">
        <is>
          <t>PREPAID ABROAD</t>
        </is>
      </c>
      <c r="H117" t="inlineStr">
        <is>
          <t>Diego</t>
        </is>
      </c>
      <c r="J117" t="inlineStr">
        <is>
          <t>25-FEB-2026</t>
        </is>
      </c>
      <c r="K117" t="inlineStr">
        <is>
          <t>19-FEB-2026</t>
        </is>
      </c>
      <c r="L117" t="inlineStr">
        <is>
          <t>25-FEB-2026</t>
        </is>
      </c>
      <c r="M117" t="inlineStr">
        <is>
          <t>REF000000</t>
        </is>
      </c>
      <c r="N117" t="inlineStr">
        <is>
          <t>USNFK</t>
        </is>
      </c>
      <c r="O117" t="inlineStr">
        <is>
          <t>USNFK</t>
        </is>
      </c>
      <c r="P117" t="inlineStr">
        <is>
          <t>RULED</t>
        </is>
      </c>
      <c r="U117" t="inlineStr">
        <is>
          <t>RULED</t>
        </is>
      </c>
      <c r="V117" t="inlineStr">
        <is>
          <t>RULED</t>
        </is>
      </c>
      <c r="W117" t="inlineStr">
        <is>
          <t>UNITED STATES</t>
        </is>
      </c>
      <c r="X117" t="inlineStr">
        <is>
          <t>Latin America</t>
        </is>
      </c>
      <c r="Y117" t="inlineStr">
        <is>
          <t>RUSSIA</t>
        </is>
      </c>
      <c r="Z117" t="inlineStr">
        <is>
          <t>External Review</t>
        </is>
      </c>
      <c r="AA117" t="inlineStr">
        <is>
          <t>HUB SHIPPING LLC-LED</t>
        </is>
      </c>
      <c r="AB117" t="inlineStr">
        <is>
          <t>Prepaid</t>
        </is>
      </c>
      <c r="AC117" t="inlineStr">
        <is>
          <t>LI DA XING/VOYAGE 1</t>
        </is>
      </c>
      <c r="AE117" t="inlineStr">
        <is>
          <t>LADEN BOOKING</t>
        </is>
      </c>
      <c r="AF117" t="inlineStr">
        <is>
          <t>Joao Ribeiro</t>
        </is>
      </c>
      <c r="AG117" t="inlineStr">
        <is>
          <t>RH40</t>
        </is>
      </c>
      <c r="AH117" t="inlineStr">
        <is>
          <t>NO</t>
        </is>
      </c>
      <c r="AI117" t="n">
        <v>40</v>
      </c>
      <c r="AJ117" t="n">
        <v>0</v>
      </c>
      <c r="AK117" t="n">
        <v>1</v>
      </c>
      <c r="AL117" t="inlineStr">
        <is>
          <t>ANON0000000</t>
        </is>
      </c>
      <c r="AM117" t="n">
        <v>-18</v>
      </c>
      <c r="AP117" t="inlineStr">
        <is>
          <t>Non Haz</t>
        </is>
      </c>
      <c r="AQ117" t="inlineStr">
        <is>
          <t>CY/CY</t>
        </is>
      </c>
      <c r="AT117" t="inlineStr">
        <is>
          <t>REF000000</t>
        </is>
      </c>
      <c r="AU117" t="n">
        <v>28000</v>
      </c>
      <c r="AV117" t="inlineStr">
        <is>
          <t>FROZEN MEAT &amp; FRUIT PULP</t>
        </is>
      </c>
      <c r="AX117" t="inlineStr">
        <is>
          <t>RSUAM112500002</t>
        </is>
      </c>
      <c r="AZ117" t="n">
        <v>5</v>
      </c>
      <c r="BA117" t="n">
        <v>25</v>
      </c>
      <c r="BB117" t="n">
        <v>15</v>
      </c>
      <c r="BC117" t="n">
        <v>7000</v>
      </c>
      <c r="BD117" t="inlineStr">
        <is>
          <t>No</t>
        </is>
      </c>
      <c r="BF117" t="inlineStr">
        <is>
          <t>ARTHA SHIPPING</t>
        </is>
      </c>
      <c r="BG117" t="inlineStr">
        <is>
          <t>USNFK</t>
        </is>
      </c>
      <c r="BH117" t="n">
        <v>0</v>
      </c>
      <c r="BI117" t="n">
        <v>1</v>
      </c>
      <c r="BJ117" t="n">
        <v>7000</v>
      </c>
      <c r="BK117" t="inlineStr">
        <is>
          <t>LINE</t>
        </is>
      </c>
      <c r="BL117" t="inlineStr">
        <is>
          <t>WHALE REEFER</t>
        </is>
      </c>
      <c r="BM117" t="inlineStr">
        <is>
          <t>WHALE REEFER</t>
        </is>
      </c>
    </row>
    <row r="118">
      <c r="A118" t="n">
        <v>117</v>
      </c>
      <c r="B118" t="inlineStr">
        <is>
          <t>SEAL REEFER</t>
        </is>
      </c>
      <c r="C118" t="inlineStr">
        <is>
          <t>REF000000</t>
        </is>
      </c>
      <c r="D118" t="inlineStr">
        <is>
          <t>REF000000</t>
        </is>
      </c>
      <c r="E118" t="n">
        <v>46052</v>
      </c>
      <c r="F118" t="inlineStr">
        <is>
          <t>SEAL REEFER</t>
        </is>
      </c>
      <c r="G118" t="inlineStr">
        <is>
          <t>PREPAID ABROAD</t>
        </is>
      </c>
      <c r="H118" t="inlineStr">
        <is>
          <t>Diego</t>
        </is>
      </c>
      <c r="J118" t="n">
        <v>46085</v>
      </c>
      <c r="K118" t="n">
        <v>46083</v>
      </c>
      <c r="L118" t="n">
        <v>46085</v>
      </c>
      <c r="M118" t="inlineStr">
        <is>
          <t>REF000000</t>
        </is>
      </c>
      <c r="N118" t="inlineStr">
        <is>
          <t>USNFK</t>
        </is>
      </c>
      <c r="O118" t="inlineStr">
        <is>
          <t>USNFK</t>
        </is>
      </c>
      <c r="P118" t="inlineStr">
        <is>
          <t>RULED</t>
        </is>
      </c>
      <c r="U118" t="inlineStr">
        <is>
          <t>RULED</t>
        </is>
      </c>
      <c r="V118" t="inlineStr">
        <is>
          <t>RULED</t>
        </is>
      </c>
      <c r="W118" t="inlineStr">
        <is>
          <t>UNITED STATES</t>
        </is>
      </c>
      <c r="X118" t="inlineStr">
        <is>
          <t>Latin America</t>
        </is>
      </c>
      <c r="Y118" t="inlineStr">
        <is>
          <t>RUSSIA</t>
        </is>
      </c>
      <c r="Z118" t="inlineStr">
        <is>
          <t>External Review</t>
        </is>
      </c>
      <c r="AA118" t="inlineStr">
        <is>
          <t>HUB SHIPPING LLC-LED</t>
        </is>
      </c>
      <c r="AB118" t="inlineStr">
        <is>
          <t>Prepaid</t>
        </is>
      </c>
      <c r="AC118" t="inlineStr">
        <is>
          <t>MYD TIANJIN/27BRASTP</t>
        </is>
      </c>
      <c r="AE118" t="inlineStr">
        <is>
          <t>LADEN BOOKING</t>
        </is>
      </c>
      <c r="AF118" t="inlineStr">
        <is>
          <t>Joao Ribeiro</t>
        </is>
      </c>
      <c r="AG118" t="inlineStr">
        <is>
          <t>RH40</t>
        </is>
      </c>
      <c r="AH118" t="inlineStr">
        <is>
          <t>NO</t>
        </is>
      </c>
      <c r="AI118" t="n">
        <v>40</v>
      </c>
      <c r="AJ118" t="n">
        <v>0</v>
      </c>
      <c r="AK118" t="n">
        <v>1</v>
      </c>
      <c r="AL118" t="inlineStr">
        <is>
          <t>ANON0000000</t>
        </is>
      </c>
      <c r="AM118" t="n">
        <v>-18</v>
      </c>
      <c r="AP118" t="inlineStr">
        <is>
          <t>Non Haz</t>
        </is>
      </c>
      <c r="AQ118" t="inlineStr">
        <is>
          <t>CY/CY</t>
        </is>
      </c>
      <c r="AT118" t="inlineStr">
        <is>
          <t>REF000000</t>
        </is>
      </c>
      <c r="AU118" t="n">
        <v>28000</v>
      </c>
      <c r="AV118" t="inlineStr">
        <is>
          <t>FROZEN MEAT &amp; FRUIT PULP</t>
        </is>
      </c>
      <c r="AX118" t="inlineStr">
        <is>
          <t>RSUAM112500002</t>
        </is>
      </c>
      <c r="AZ118" t="n">
        <v>5</v>
      </c>
      <c r="BA118" t="n">
        <v>25</v>
      </c>
      <c r="BB118" t="n">
        <v>15</v>
      </c>
      <c r="BC118" t="n">
        <v>7000</v>
      </c>
      <c r="BD118" t="inlineStr">
        <is>
          <t>No</t>
        </is>
      </c>
      <c r="BF118" t="inlineStr">
        <is>
          <t>ARTHA SHIPPING</t>
        </is>
      </c>
      <c r="BG118" t="inlineStr">
        <is>
          <t>USNFK</t>
        </is>
      </c>
      <c r="BH118" t="n">
        <v>0</v>
      </c>
      <c r="BI118" t="n">
        <v>1</v>
      </c>
      <c r="BJ118" t="n">
        <v>7000</v>
      </c>
      <c r="BK118" t="inlineStr">
        <is>
          <t>LINE</t>
        </is>
      </c>
      <c r="BL118" t="inlineStr">
        <is>
          <t>SEAL REEFER</t>
        </is>
      </c>
      <c r="BM118" t="inlineStr">
        <is>
          <t>SEAL REEFER</t>
        </is>
      </c>
    </row>
    <row r="119">
      <c r="A119" t="n">
        <v>118</v>
      </c>
      <c r="B119" t="inlineStr">
        <is>
          <t>SHARK REEFER</t>
        </is>
      </c>
      <c r="C119" t="inlineStr">
        <is>
          <t>REF000000</t>
        </is>
      </c>
      <c r="D119" t="inlineStr">
        <is>
          <t>REF000000</t>
        </is>
      </c>
      <c r="E119" t="n">
        <v>46052</v>
      </c>
      <c r="F119" t="inlineStr">
        <is>
          <t>SHARK REEFER</t>
        </is>
      </c>
      <c r="G119" t="inlineStr">
        <is>
          <t>PREPAID ABROAD</t>
        </is>
      </c>
      <c r="H119" t="inlineStr">
        <is>
          <t>Diego</t>
        </is>
      </c>
      <c r="J119" t="inlineStr">
        <is>
          <t>25-FEB-2026</t>
        </is>
      </c>
      <c r="K119" t="inlineStr">
        <is>
          <t>19-FEB-2026</t>
        </is>
      </c>
      <c r="L119" t="inlineStr">
        <is>
          <t>25-FEB-2026</t>
        </is>
      </c>
      <c r="M119" t="inlineStr">
        <is>
          <t>REF000000</t>
        </is>
      </c>
      <c r="N119" t="inlineStr">
        <is>
          <t>USNFK</t>
        </is>
      </c>
      <c r="O119" t="inlineStr">
        <is>
          <t>USNFK</t>
        </is>
      </c>
      <c r="P119" t="inlineStr">
        <is>
          <t>RULED</t>
        </is>
      </c>
      <c r="U119" t="inlineStr">
        <is>
          <t>RULED</t>
        </is>
      </c>
      <c r="V119" t="inlineStr">
        <is>
          <t>RULED</t>
        </is>
      </c>
      <c r="W119" t="inlineStr">
        <is>
          <t>UNITED STATES</t>
        </is>
      </c>
      <c r="X119" t="inlineStr">
        <is>
          <t>Latin America</t>
        </is>
      </c>
      <c r="Y119" t="inlineStr">
        <is>
          <t>RUSSIA</t>
        </is>
      </c>
      <c r="Z119" t="inlineStr">
        <is>
          <t>External Review</t>
        </is>
      </c>
      <c r="AA119" t="inlineStr">
        <is>
          <t>HUB SHIPPING LLC-LED</t>
        </is>
      </c>
      <c r="AB119" t="inlineStr">
        <is>
          <t>Prepaid</t>
        </is>
      </c>
      <c r="AC119" t="inlineStr">
        <is>
          <t>LI DA XING/VOYAGE 1</t>
        </is>
      </c>
      <c r="AE119" t="inlineStr">
        <is>
          <t>LADEN BOOKING</t>
        </is>
      </c>
      <c r="AF119" t="inlineStr">
        <is>
          <t>Joao Ribeiro</t>
        </is>
      </c>
      <c r="AG119" t="inlineStr">
        <is>
          <t>RH40</t>
        </is>
      </c>
      <c r="AH119" t="inlineStr">
        <is>
          <t>NO</t>
        </is>
      </c>
      <c r="AI119" t="n">
        <v>40</v>
      </c>
      <c r="AJ119" t="n">
        <v>0</v>
      </c>
      <c r="AK119" t="n">
        <v>1</v>
      </c>
      <c r="AL119" t="inlineStr">
        <is>
          <t>ANON0000000</t>
        </is>
      </c>
      <c r="AM119" t="n">
        <v>-18</v>
      </c>
      <c r="AP119" t="inlineStr">
        <is>
          <t>Non Haz</t>
        </is>
      </c>
      <c r="AQ119" t="inlineStr">
        <is>
          <t>CY/CY</t>
        </is>
      </c>
      <c r="AT119" t="inlineStr">
        <is>
          <t>REF000000</t>
        </is>
      </c>
      <c r="AU119" t="n">
        <v>28000</v>
      </c>
      <c r="AV119" t="inlineStr">
        <is>
          <t>FROZEN MEAT &amp; FRUIT PULP</t>
        </is>
      </c>
      <c r="AX119" t="inlineStr">
        <is>
          <t>RSUAM112500002</t>
        </is>
      </c>
      <c r="AZ119" t="n">
        <v>5</v>
      </c>
      <c r="BA119" t="n">
        <v>25</v>
      </c>
      <c r="BB119" t="n">
        <v>15</v>
      </c>
      <c r="BC119" t="n">
        <v>7000</v>
      </c>
      <c r="BD119" t="inlineStr">
        <is>
          <t>No</t>
        </is>
      </c>
      <c r="BF119" t="inlineStr">
        <is>
          <t>ARTHA SHIPPING</t>
        </is>
      </c>
      <c r="BG119" t="inlineStr">
        <is>
          <t>USNFK</t>
        </is>
      </c>
      <c r="BH119" t="n">
        <v>0</v>
      </c>
      <c r="BI119" t="n">
        <v>1</v>
      </c>
      <c r="BJ119" t="n">
        <v>7000</v>
      </c>
      <c r="BK119" t="inlineStr">
        <is>
          <t>LINE</t>
        </is>
      </c>
      <c r="BL119" t="inlineStr">
        <is>
          <t>SHARK REEFER</t>
        </is>
      </c>
      <c r="BM119" t="inlineStr">
        <is>
          <t>SHARK REEFER</t>
        </is>
      </c>
    </row>
    <row r="120">
      <c r="A120" t="n">
        <v>119</v>
      </c>
      <c r="B120" t="inlineStr">
        <is>
          <t>DOLPHIN REEFER</t>
        </is>
      </c>
      <c r="C120" t="inlineStr">
        <is>
          <t>REF000000</t>
        </is>
      </c>
      <c r="D120" t="inlineStr">
        <is>
          <t>REF000000</t>
        </is>
      </c>
      <c r="E120" t="n">
        <v>46052</v>
      </c>
      <c r="F120" t="inlineStr">
        <is>
          <t>DOLPHIN REEFER</t>
        </is>
      </c>
      <c r="G120" t="inlineStr">
        <is>
          <t>PREPAID ABROAD</t>
        </is>
      </c>
      <c r="H120" t="inlineStr">
        <is>
          <t>Diego</t>
        </is>
      </c>
      <c r="J120" t="inlineStr">
        <is>
          <t>25-FEB-2026</t>
        </is>
      </c>
      <c r="K120" t="inlineStr">
        <is>
          <t>19-FEB-2026</t>
        </is>
      </c>
      <c r="L120" t="inlineStr">
        <is>
          <t>25-FEB-2026</t>
        </is>
      </c>
      <c r="M120" t="inlineStr">
        <is>
          <t>REF000000</t>
        </is>
      </c>
      <c r="N120" t="inlineStr">
        <is>
          <t>USNFK</t>
        </is>
      </c>
      <c r="O120" t="inlineStr">
        <is>
          <t>USNFK</t>
        </is>
      </c>
      <c r="P120" t="inlineStr">
        <is>
          <t>RULED</t>
        </is>
      </c>
      <c r="U120" t="inlineStr">
        <is>
          <t>RULED</t>
        </is>
      </c>
      <c r="V120" t="inlineStr">
        <is>
          <t>RULED</t>
        </is>
      </c>
      <c r="W120" t="inlineStr">
        <is>
          <t>UNITED STATES</t>
        </is>
      </c>
      <c r="X120" t="inlineStr">
        <is>
          <t>Latin America</t>
        </is>
      </c>
      <c r="Y120" t="inlineStr">
        <is>
          <t>RUSSIA</t>
        </is>
      </c>
      <c r="Z120" t="inlineStr">
        <is>
          <t>External Review</t>
        </is>
      </c>
      <c r="AA120" t="inlineStr">
        <is>
          <t>HUB SHIPPING LLC-LED</t>
        </is>
      </c>
      <c r="AB120" t="inlineStr">
        <is>
          <t>Prepaid</t>
        </is>
      </c>
      <c r="AC120" t="inlineStr">
        <is>
          <t>LI DA XING/VOYAGE 1</t>
        </is>
      </c>
      <c r="AE120" t="inlineStr">
        <is>
          <t>LADEN BOOKING</t>
        </is>
      </c>
      <c r="AF120" t="inlineStr">
        <is>
          <t>Joao Ribeiro</t>
        </is>
      </c>
      <c r="AG120" t="inlineStr">
        <is>
          <t>RH40</t>
        </is>
      </c>
      <c r="AH120" t="inlineStr">
        <is>
          <t>NO</t>
        </is>
      </c>
      <c r="AI120" t="n">
        <v>40</v>
      </c>
      <c r="AJ120" t="n">
        <v>0</v>
      </c>
      <c r="AK120" t="n">
        <v>1</v>
      </c>
      <c r="AL120" t="inlineStr">
        <is>
          <t>ANON0000000</t>
        </is>
      </c>
      <c r="AM120" t="n">
        <v>-18</v>
      </c>
      <c r="AP120" t="inlineStr">
        <is>
          <t>Non Haz</t>
        </is>
      </c>
      <c r="AQ120" t="inlineStr">
        <is>
          <t>CY/CY</t>
        </is>
      </c>
      <c r="AT120" t="inlineStr">
        <is>
          <t>REF000000</t>
        </is>
      </c>
      <c r="AU120" t="n">
        <v>28000</v>
      </c>
      <c r="AV120" t="inlineStr">
        <is>
          <t>FROZEN MEAT &amp; FRUIT PULP</t>
        </is>
      </c>
      <c r="AX120" t="inlineStr">
        <is>
          <t>RSUAM112500002</t>
        </is>
      </c>
      <c r="AZ120" t="n">
        <v>5</v>
      </c>
      <c r="BA120" t="n">
        <v>25</v>
      </c>
      <c r="BB120" t="n">
        <v>15</v>
      </c>
      <c r="BC120" t="n">
        <v>7000</v>
      </c>
      <c r="BD120" t="inlineStr">
        <is>
          <t>No</t>
        </is>
      </c>
      <c r="BF120" t="inlineStr">
        <is>
          <t>ARTHA SHIPPING</t>
        </is>
      </c>
      <c r="BG120" t="inlineStr">
        <is>
          <t>USNFK</t>
        </is>
      </c>
      <c r="BH120" t="n">
        <v>0</v>
      </c>
      <c r="BI120" t="n">
        <v>1</v>
      </c>
      <c r="BJ120" t="n">
        <v>7000</v>
      </c>
      <c r="BK120" t="inlineStr">
        <is>
          <t>LINE</t>
        </is>
      </c>
      <c r="BL120" t="inlineStr">
        <is>
          <t>DOLPHIN REEFER</t>
        </is>
      </c>
      <c r="BM120" t="inlineStr">
        <is>
          <t>DOLPHIN REEFER</t>
        </is>
      </c>
    </row>
    <row r="121">
      <c r="A121" t="n">
        <v>120</v>
      </c>
      <c r="B121" t="inlineStr">
        <is>
          <t>MARLIN REEFER</t>
        </is>
      </c>
      <c r="C121" t="inlineStr">
        <is>
          <t>REF000000</t>
        </is>
      </c>
      <c r="D121" t="inlineStr">
        <is>
          <t>REF000000</t>
        </is>
      </c>
      <c r="E121" t="n">
        <v>46052</v>
      </c>
      <c r="F121" t="inlineStr">
        <is>
          <t>MARLIN REEFER</t>
        </is>
      </c>
      <c r="G121" t="inlineStr">
        <is>
          <t>PREPAID ABROAD</t>
        </is>
      </c>
      <c r="H121" t="inlineStr">
        <is>
          <t>Diego</t>
        </is>
      </c>
      <c r="J121" t="inlineStr">
        <is>
          <t>25-FEB-2026</t>
        </is>
      </c>
      <c r="K121" t="inlineStr">
        <is>
          <t>19-FEB-2026</t>
        </is>
      </c>
      <c r="L121" t="inlineStr">
        <is>
          <t>25-FEB-2026</t>
        </is>
      </c>
      <c r="M121" t="inlineStr">
        <is>
          <t>REF000000</t>
        </is>
      </c>
      <c r="N121" t="inlineStr">
        <is>
          <t>USNFK</t>
        </is>
      </c>
      <c r="O121" t="inlineStr">
        <is>
          <t>USNFK</t>
        </is>
      </c>
      <c r="P121" t="inlineStr">
        <is>
          <t>RULED</t>
        </is>
      </c>
      <c r="U121" t="inlineStr">
        <is>
          <t>RULED</t>
        </is>
      </c>
      <c r="V121" t="inlineStr">
        <is>
          <t>RULED</t>
        </is>
      </c>
      <c r="W121" t="inlineStr">
        <is>
          <t>UNITED STATES</t>
        </is>
      </c>
      <c r="X121" t="inlineStr">
        <is>
          <t>Latin America</t>
        </is>
      </c>
      <c r="Y121" t="inlineStr">
        <is>
          <t>RUSSIA</t>
        </is>
      </c>
      <c r="Z121" t="inlineStr">
        <is>
          <t>External Review</t>
        </is>
      </c>
      <c r="AA121" t="inlineStr">
        <is>
          <t>HUB SHIPPING LLC-LED</t>
        </is>
      </c>
      <c r="AB121" t="inlineStr">
        <is>
          <t>Prepaid</t>
        </is>
      </c>
      <c r="AC121" t="inlineStr">
        <is>
          <t>LI DA XING/VOYAGE 1</t>
        </is>
      </c>
      <c r="AE121" t="inlineStr">
        <is>
          <t>LADEN BOOKING</t>
        </is>
      </c>
      <c r="AF121" t="inlineStr">
        <is>
          <t>Joao Ribeiro</t>
        </is>
      </c>
      <c r="AG121" t="inlineStr">
        <is>
          <t>RH40</t>
        </is>
      </c>
      <c r="AH121" t="inlineStr">
        <is>
          <t>NO</t>
        </is>
      </c>
      <c r="AI121" t="n">
        <v>40</v>
      </c>
      <c r="AJ121" t="n">
        <v>0</v>
      </c>
      <c r="AK121" t="n">
        <v>1</v>
      </c>
      <c r="AL121" t="inlineStr">
        <is>
          <t>ANON0000000</t>
        </is>
      </c>
      <c r="AM121" t="n">
        <v>-18</v>
      </c>
      <c r="AP121" t="inlineStr">
        <is>
          <t>Non Haz</t>
        </is>
      </c>
      <c r="AQ121" t="inlineStr">
        <is>
          <t>CY/CY</t>
        </is>
      </c>
      <c r="AT121" t="inlineStr">
        <is>
          <t>REF000000</t>
        </is>
      </c>
      <c r="AU121" t="n">
        <v>28000</v>
      </c>
      <c r="AV121" t="inlineStr">
        <is>
          <t>FROZEN MEAT &amp; FRUIT PULP</t>
        </is>
      </c>
      <c r="AX121" t="inlineStr">
        <is>
          <t>RSUAM112500002</t>
        </is>
      </c>
      <c r="AZ121" t="n">
        <v>5</v>
      </c>
      <c r="BA121" t="n">
        <v>25</v>
      </c>
      <c r="BB121" t="n">
        <v>15</v>
      </c>
      <c r="BC121" t="n">
        <v>7000</v>
      </c>
      <c r="BD121" t="inlineStr">
        <is>
          <t>No</t>
        </is>
      </c>
      <c r="BF121" t="inlineStr">
        <is>
          <t>ARTHA SHIPPING</t>
        </is>
      </c>
      <c r="BG121" t="inlineStr">
        <is>
          <t>USNFK</t>
        </is>
      </c>
      <c r="BH121" t="n">
        <v>0</v>
      </c>
      <c r="BI121" t="n">
        <v>1</v>
      </c>
      <c r="BJ121" t="n">
        <v>7000</v>
      </c>
      <c r="BK121" t="inlineStr">
        <is>
          <t>LINE</t>
        </is>
      </c>
      <c r="BL121" t="inlineStr">
        <is>
          <t>MARLIN REEFER</t>
        </is>
      </c>
      <c r="BM121" t="inlineStr">
        <is>
          <t>MARLIN REEFER</t>
        </is>
      </c>
    </row>
    <row r="122">
      <c r="A122" t="n">
        <v>121</v>
      </c>
      <c r="B122" t="inlineStr">
        <is>
          <t>TURTLE REEFER</t>
        </is>
      </c>
      <c r="C122" t="inlineStr">
        <is>
          <t>REF000000</t>
        </is>
      </c>
      <c r="D122" t="inlineStr">
        <is>
          <t>REF000000</t>
        </is>
      </c>
      <c r="E122" t="n">
        <v>46052</v>
      </c>
      <c r="F122" t="inlineStr">
        <is>
          <t>TURTLE REEFER</t>
        </is>
      </c>
      <c r="G122" t="inlineStr">
        <is>
          <t>PREPAID ABROAD</t>
        </is>
      </c>
      <c r="H122" t="inlineStr">
        <is>
          <t>Diego</t>
        </is>
      </c>
      <c r="J122" t="inlineStr">
        <is>
          <t>25-FEB-2026</t>
        </is>
      </c>
      <c r="K122" t="inlineStr">
        <is>
          <t>19-FEB-2026</t>
        </is>
      </c>
      <c r="L122" t="inlineStr">
        <is>
          <t>25-FEB-2026</t>
        </is>
      </c>
      <c r="M122" t="inlineStr">
        <is>
          <t>REF000000</t>
        </is>
      </c>
      <c r="N122" t="inlineStr">
        <is>
          <t>USNFK</t>
        </is>
      </c>
      <c r="O122" t="inlineStr">
        <is>
          <t>USNFK</t>
        </is>
      </c>
      <c r="P122" t="inlineStr">
        <is>
          <t>RULED</t>
        </is>
      </c>
      <c r="U122" t="inlineStr">
        <is>
          <t>RULED</t>
        </is>
      </c>
      <c r="V122" t="inlineStr">
        <is>
          <t>RULED</t>
        </is>
      </c>
      <c r="W122" t="inlineStr">
        <is>
          <t>UNITED STATES</t>
        </is>
      </c>
      <c r="X122" t="inlineStr">
        <is>
          <t>Latin America</t>
        </is>
      </c>
      <c r="Y122" t="inlineStr">
        <is>
          <t>RUSSIA</t>
        </is>
      </c>
      <c r="Z122" t="inlineStr">
        <is>
          <t>External Review</t>
        </is>
      </c>
      <c r="AA122" t="inlineStr">
        <is>
          <t>HUB SHIPPING LLC-LED</t>
        </is>
      </c>
      <c r="AB122" t="inlineStr">
        <is>
          <t>Prepaid</t>
        </is>
      </c>
      <c r="AC122" t="inlineStr">
        <is>
          <t>LI DA XING/VOYAGE 1</t>
        </is>
      </c>
      <c r="AE122" t="inlineStr">
        <is>
          <t>LADEN BOOKING</t>
        </is>
      </c>
      <c r="AF122" t="inlineStr">
        <is>
          <t>Joao Ribeiro</t>
        </is>
      </c>
      <c r="AG122" t="inlineStr">
        <is>
          <t>RH40</t>
        </is>
      </c>
      <c r="AH122" t="inlineStr">
        <is>
          <t>NO</t>
        </is>
      </c>
      <c r="AI122" t="n">
        <v>40</v>
      </c>
      <c r="AJ122" t="n">
        <v>0</v>
      </c>
      <c r="AK122" t="n">
        <v>1</v>
      </c>
      <c r="AL122" t="inlineStr">
        <is>
          <t>ANON0000000</t>
        </is>
      </c>
      <c r="AM122" t="n">
        <v>-18</v>
      </c>
      <c r="AP122" t="inlineStr">
        <is>
          <t>Non Haz</t>
        </is>
      </c>
      <c r="AQ122" t="inlineStr">
        <is>
          <t>CY/CY</t>
        </is>
      </c>
      <c r="AT122" t="inlineStr">
        <is>
          <t>REF000000</t>
        </is>
      </c>
      <c r="AU122" t="n">
        <v>28000</v>
      </c>
      <c r="AV122" t="inlineStr">
        <is>
          <t>FROZEN MEAT &amp; FRUIT PULP</t>
        </is>
      </c>
      <c r="AX122" t="inlineStr">
        <is>
          <t>RSUAM112500002</t>
        </is>
      </c>
      <c r="AZ122" t="n">
        <v>5</v>
      </c>
      <c r="BA122" t="n">
        <v>25</v>
      </c>
      <c r="BB122" t="n">
        <v>15</v>
      </c>
      <c r="BC122" t="n">
        <v>7000</v>
      </c>
      <c r="BD122" t="inlineStr">
        <is>
          <t>No</t>
        </is>
      </c>
      <c r="BF122" t="inlineStr">
        <is>
          <t>ARTHA SHIPPING</t>
        </is>
      </c>
      <c r="BG122" t="inlineStr">
        <is>
          <t>USNFK</t>
        </is>
      </c>
      <c r="BH122" t="n">
        <v>0</v>
      </c>
      <c r="BI122" t="n">
        <v>1</v>
      </c>
      <c r="BJ122" t="n">
        <v>7000</v>
      </c>
      <c r="BK122" t="inlineStr">
        <is>
          <t>LINE</t>
        </is>
      </c>
      <c r="BL122" t="inlineStr">
        <is>
          <t>TURTLE REEFER</t>
        </is>
      </c>
      <c r="BM122" t="inlineStr">
        <is>
          <t>TURTLE REEFER</t>
        </is>
      </c>
    </row>
    <row r="123">
      <c r="A123" t="n">
        <v>122</v>
      </c>
      <c r="B123" t="inlineStr">
        <is>
          <t>ORCA REEFER</t>
        </is>
      </c>
      <c r="C123" t="inlineStr">
        <is>
          <t>REF000000</t>
        </is>
      </c>
      <c r="D123" t="inlineStr">
        <is>
          <t>REF000000</t>
        </is>
      </c>
      <c r="E123" t="n">
        <v>46052</v>
      </c>
      <c r="F123" t="inlineStr">
        <is>
          <t>ORCA REEFER</t>
        </is>
      </c>
      <c r="G123" t="inlineStr">
        <is>
          <t>PREPAID ABROAD</t>
        </is>
      </c>
      <c r="H123" t="inlineStr">
        <is>
          <t>Regional Operations_UNIMAR</t>
        </is>
      </c>
      <c r="J123" t="inlineStr">
        <is>
          <t>18-FEB-2026</t>
        </is>
      </c>
      <c r="K123" t="inlineStr">
        <is>
          <t>17-FEB-2026</t>
        </is>
      </c>
      <c r="L123" t="inlineStr">
        <is>
          <t>18-FEB-2026</t>
        </is>
      </c>
      <c r="M123" t="inlineStr">
        <is>
          <t>REF000000</t>
        </is>
      </c>
      <c r="N123" t="inlineStr">
        <is>
          <t>USNYC</t>
        </is>
      </c>
      <c r="O123" t="inlineStr">
        <is>
          <t>USNYC</t>
        </is>
      </c>
      <c r="P123" t="inlineStr">
        <is>
          <t>RUBLT</t>
        </is>
      </c>
      <c r="U123" t="inlineStr">
        <is>
          <t>RUBLT</t>
        </is>
      </c>
      <c r="V123" t="inlineStr">
        <is>
          <t>RUBLT</t>
        </is>
      </c>
      <c r="W123" t="inlineStr">
        <is>
          <t>UNITED STATES</t>
        </is>
      </c>
      <c r="X123" t="inlineStr">
        <is>
          <t>Latin America</t>
        </is>
      </c>
      <c r="Y123" t="inlineStr">
        <is>
          <t>RUSSIA</t>
        </is>
      </c>
      <c r="Z123" t="inlineStr">
        <is>
          <t>External Review</t>
        </is>
      </c>
      <c r="AA123" t="inlineStr">
        <is>
          <t>HUB Shipping-Kaliningrad</t>
        </is>
      </c>
      <c r="AB123" t="inlineStr">
        <is>
          <t>Prepaid</t>
        </is>
      </c>
      <c r="AC123" t="inlineStr">
        <is>
          <t>LI DA XING/VOYAGE 1</t>
        </is>
      </c>
      <c r="AE123" t="inlineStr">
        <is>
          <t>LADEN BOOKING</t>
        </is>
      </c>
      <c r="AF123" t="inlineStr">
        <is>
          <t>Joao Ribeiro</t>
        </is>
      </c>
      <c r="AG123" t="inlineStr">
        <is>
          <t>RH40</t>
        </is>
      </c>
      <c r="AH123" t="inlineStr">
        <is>
          <t>NO</t>
        </is>
      </c>
      <c r="AI123" t="n">
        <v>40</v>
      </c>
      <c r="AJ123" t="n">
        <v>0</v>
      </c>
      <c r="AK123" t="n">
        <v>1</v>
      </c>
      <c r="AL123" t="inlineStr">
        <is>
          <t>ANON0000000</t>
        </is>
      </c>
      <c r="AM123" t="n">
        <v>-18</v>
      </c>
      <c r="AP123" t="inlineStr">
        <is>
          <t>Non Haz</t>
        </is>
      </c>
      <c r="AQ123" t="inlineStr">
        <is>
          <t>CY/CY</t>
        </is>
      </c>
      <c r="AT123" t="inlineStr">
        <is>
          <t>REF000000</t>
        </is>
      </c>
      <c r="AU123" t="n">
        <v>28000</v>
      </c>
      <c r="AV123" t="inlineStr">
        <is>
          <t>FROZEN MEAT</t>
        </is>
      </c>
      <c r="AX123" t="inlineStr">
        <is>
          <t>RSUAM012600044</t>
        </is>
      </c>
      <c r="AZ123" t="n">
        <v>2</v>
      </c>
      <c r="BA123" t="n">
        <v>25</v>
      </c>
      <c r="BB123" t="n">
        <v>15</v>
      </c>
      <c r="BC123" t="n">
        <v>9350</v>
      </c>
      <c r="BD123" t="inlineStr">
        <is>
          <t>No</t>
        </is>
      </c>
      <c r="BF123" t="inlineStr">
        <is>
          <t>ARTHA SHIPPING</t>
        </is>
      </c>
      <c r="BG123" t="inlineStr">
        <is>
          <t>USNYC</t>
        </is>
      </c>
      <c r="BH123" t="n">
        <v>0</v>
      </c>
      <c r="BI123" t="n">
        <v>1</v>
      </c>
      <c r="BJ123" t="n">
        <v>9350</v>
      </c>
      <c r="BK123" t="inlineStr">
        <is>
          <t>LINE</t>
        </is>
      </c>
      <c r="BL123" t="inlineStr">
        <is>
          <t>ORCA REEFER</t>
        </is>
      </c>
      <c r="BM123" t="inlineStr">
        <is>
          <t>ORCA REEFER</t>
        </is>
      </c>
    </row>
    <row r="124">
      <c r="A124" t="n">
        <v>123</v>
      </c>
      <c r="B124" t="inlineStr">
        <is>
          <t>WHALE REEFER</t>
        </is>
      </c>
      <c r="C124" t="inlineStr">
        <is>
          <t>REF000000</t>
        </is>
      </c>
      <c r="D124" t="inlineStr">
        <is>
          <t>REF000000</t>
        </is>
      </c>
      <c r="E124" t="inlineStr">
        <is>
          <t>02-FEB-2026</t>
        </is>
      </c>
      <c r="F124" t="inlineStr">
        <is>
          <t>WHALE REEFER</t>
        </is>
      </c>
      <c r="G124" t="inlineStr">
        <is>
          <t>EVI311003 - Food Grade</t>
        </is>
      </c>
      <c r="H124" t="inlineStr">
        <is>
          <t>AdminUAM</t>
        </is>
      </c>
      <c r="J124" t="inlineStr">
        <is>
          <t>10-APR-2026</t>
        </is>
      </c>
      <c r="K124" t="inlineStr">
        <is>
          <t>06-APR-2026</t>
        </is>
      </c>
      <c r="L124" t="inlineStr">
        <is>
          <t>10-APR-2026</t>
        </is>
      </c>
      <c r="M124" t="inlineStr">
        <is>
          <t>REF000000</t>
        </is>
      </c>
      <c r="N124" t="inlineStr">
        <is>
          <t>USNYC</t>
        </is>
      </c>
      <c r="O124" t="inlineStr">
        <is>
          <t>USNYC</t>
        </is>
      </c>
      <c r="P124" t="inlineStr">
        <is>
          <t>RULED</t>
        </is>
      </c>
      <c r="U124" t="inlineStr">
        <is>
          <t>RULED</t>
        </is>
      </c>
      <c r="V124" t="inlineStr">
        <is>
          <t>RULED</t>
        </is>
      </c>
      <c r="W124" t="inlineStr">
        <is>
          <t>UNITED STATES</t>
        </is>
      </c>
      <c r="X124" t="inlineStr">
        <is>
          <t>Latin America</t>
        </is>
      </c>
      <c r="Y124" t="inlineStr">
        <is>
          <t>RUSSIA</t>
        </is>
      </c>
      <c r="Z124" t="inlineStr">
        <is>
          <t>External Review</t>
        </is>
      </c>
      <c r="AA124" t="inlineStr">
        <is>
          <t>HUB SHIPPING LLC-LED</t>
        </is>
      </c>
      <c r="AB124" t="inlineStr">
        <is>
          <t>Collect</t>
        </is>
      </c>
      <c r="AC124" t="inlineStr">
        <is>
          <t>MERCURY / VOYAGE 1</t>
        </is>
      </c>
      <c r="AE124" t="inlineStr">
        <is>
          <t>LADEN BOOKING</t>
        </is>
      </c>
      <c r="AF124" t="inlineStr">
        <is>
          <t>RenniUAM</t>
        </is>
      </c>
      <c r="AG124" t="inlineStr">
        <is>
          <t>DC20</t>
        </is>
      </c>
      <c r="AH124" t="inlineStr">
        <is>
          <t>NO</t>
        </is>
      </c>
      <c r="AI124" t="n">
        <v>20</v>
      </c>
      <c r="AJ124" t="n">
        <v>20</v>
      </c>
      <c r="AK124" t="n">
        <v>0</v>
      </c>
      <c r="AL124" t="inlineStr">
        <is>
          <t>ANON0000000,
ANON0000000,
ANON0000000,
ANON0000000,
ANON0000000,
ANON0000000,
ANON0000000,
ANON0000000,
ANON0000000,
ANON0000000,
ANON0000000,
ANON0000000,
ANON0000000,
ANON0000000,
ANON0000000,
ANON0000000,
ANON0000000,
ANON0000000,
ANON0000000,
ANON0000000</t>
        </is>
      </c>
      <c r="AP124" t="inlineStr">
        <is>
          <t>Non Haz</t>
        </is>
      </c>
      <c r="AQ124" t="inlineStr">
        <is>
          <t>CY/CY</t>
        </is>
      </c>
      <c r="AT124" t="inlineStr">
        <is>
          <t>REF000000</t>
        </is>
      </c>
      <c r="AU124" t="n">
        <v>23000</v>
      </c>
      <c r="AV124" t="inlineStr">
        <is>
          <t>GENERAL COMMODITY</t>
        </is>
      </c>
      <c r="AX124" t="inlineStr">
        <is>
          <t>RSUAM012600054</t>
        </is>
      </c>
      <c r="AZ124" t="n">
        <v>0</v>
      </c>
      <c r="BA124" t="n">
        <v>14</v>
      </c>
      <c r="BB124" t="n">
        <v>21</v>
      </c>
      <c r="BC124" t="n">
        <v>1750</v>
      </c>
      <c r="BD124" t="inlineStr">
        <is>
          <t>Yes</t>
        </is>
      </c>
      <c r="BF124" t="inlineStr">
        <is>
          <t>ARTHA SHIPPING</t>
        </is>
      </c>
      <c r="BG124" t="inlineStr">
        <is>
          <t>RULED</t>
        </is>
      </c>
      <c r="BH124" t="n">
        <v>20</v>
      </c>
      <c r="BI124" t="n">
        <v>0</v>
      </c>
      <c r="BJ124" t="n">
        <v>35000</v>
      </c>
      <c r="BK124" t="inlineStr">
        <is>
          <t>LINE</t>
        </is>
      </c>
      <c r="BL124" t="inlineStr">
        <is>
          <t>WHALE REEFER</t>
        </is>
      </c>
      <c r="BM124" t="inlineStr">
        <is>
          <t>WHALE REEFER</t>
        </is>
      </c>
    </row>
    <row r="125">
      <c r="A125" t="n">
        <v>124</v>
      </c>
      <c r="B125" t="inlineStr">
        <is>
          <t>SEAL REEFER</t>
        </is>
      </c>
      <c r="C125" t="inlineStr">
        <is>
          <t>REF000000</t>
        </is>
      </c>
      <c r="D125" t="inlineStr">
        <is>
          <t>REF000000</t>
        </is>
      </c>
      <c r="E125" t="inlineStr">
        <is>
          <t>02-FEB-2026</t>
        </is>
      </c>
      <c r="F125" t="inlineStr">
        <is>
          <t>SEAL REEFER</t>
        </is>
      </c>
      <c r="G125" t="inlineStr">
        <is>
          <t>Prepaid abroad</t>
        </is>
      </c>
      <c r="H125" t="inlineStr">
        <is>
          <t>Regional Operations_UNIMAR</t>
        </is>
      </c>
      <c r="J125" t="inlineStr">
        <is>
          <t>11-APR-2026</t>
        </is>
      </c>
      <c r="K125" t="inlineStr">
        <is>
          <t>10-APR-2026</t>
        </is>
      </c>
      <c r="L125" t="inlineStr">
        <is>
          <t>11-APR-2026</t>
        </is>
      </c>
      <c r="M125" t="inlineStr">
        <is>
          <t>REF000000</t>
        </is>
      </c>
      <c r="N125" t="inlineStr">
        <is>
          <t>USHOU</t>
        </is>
      </c>
      <c r="O125" t="inlineStr">
        <is>
          <t>USHOU</t>
        </is>
      </c>
      <c r="P125" t="inlineStr">
        <is>
          <t>RUBLT</t>
        </is>
      </c>
      <c r="U125" t="inlineStr">
        <is>
          <t>RUBLT</t>
        </is>
      </c>
      <c r="V125" t="inlineStr">
        <is>
          <t>RUBLT</t>
        </is>
      </c>
      <c r="W125" t="inlineStr">
        <is>
          <t>UNITED STATES</t>
        </is>
      </c>
      <c r="X125" t="inlineStr">
        <is>
          <t>Latin America</t>
        </is>
      </c>
      <c r="Y125" t="inlineStr">
        <is>
          <t>RUSSIA</t>
        </is>
      </c>
      <c r="Z125" t="inlineStr">
        <is>
          <t>External Review</t>
        </is>
      </c>
      <c r="AA125" t="inlineStr">
        <is>
          <t>HUB Shipping-Kaliningrad</t>
        </is>
      </c>
      <c r="AB125" t="inlineStr">
        <is>
          <t>Prepaid</t>
        </is>
      </c>
      <c r="AC125" t="inlineStr">
        <is>
          <t>MERCURY / VOYAGE 1</t>
        </is>
      </c>
      <c r="AE125" t="inlineStr">
        <is>
          <t>LADEN BOOKING</t>
        </is>
      </c>
      <c r="AF125" t="inlineStr">
        <is>
          <t>Maria Jessica Da Si</t>
        </is>
      </c>
      <c r="AG125" t="inlineStr">
        <is>
          <t>RH40</t>
        </is>
      </c>
      <c r="AH125" t="inlineStr">
        <is>
          <t>NO</t>
        </is>
      </c>
      <c r="AI125" t="n">
        <v>40</v>
      </c>
      <c r="AJ125" t="n">
        <v>0</v>
      </c>
      <c r="AK125" t="n">
        <v>1</v>
      </c>
      <c r="AL125" t="inlineStr">
        <is>
          <t>ANON0000000</t>
        </is>
      </c>
      <c r="AM125" t="n">
        <v>-22</v>
      </c>
      <c r="AP125" t="inlineStr">
        <is>
          <t>Non Haz</t>
        </is>
      </c>
      <c r="AQ125" t="inlineStr">
        <is>
          <t>CY/CY</t>
        </is>
      </c>
      <c r="AT125" t="inlineStr">
        <is>
          <t>REF000000</t>
        </is>
      </c>
      <c r="AU125" t="n">
        <v>28000</v>
      </c>
      <c r="AV125" t="inlineStr">
        <is>
          <t>FROZEN MEAT</t>
        </is>
      </c>
      <c r="AX125" t="inlineStr">
        <is>
          <t>RSUAM032600029</t>
        </is>
      </c>
      <c r="AZ125" t="n">
        <v>0</v>
      </c>
      <c r="BA125" t="n">
        <v>21</v>
      </c>
      <c r="BB125" t="n">
        <v>14</v>
      </c>
      <c r="BC125" t="n">
        <v>9350</v>
      </c>
      <c r="BD125" t="inlineStr">
        <is>
          <t>No</t>
        </is>
      </c>
      <c r="BF125" t="inlineStr">
        <is>
          <t>ARTHA SHIPPING</t>
        </is>
      </c>
      <c r="BG125" t="inlineStr">
        <is>
          <t>USNFK</t>
        </is>
      </c>
      <c r="BH125" t="n">
        <v>0</v>
      </c>
      <c r="BI125" t="n">
        <v>1</v>
      </c>
      <c r="BJ125" t="n">
        <v>9350</v>
      </c>
      <c r="BK125" t="inlineStr">
        <is>
          <t>LINE</t>
        </is>
      </c>
      <c r="BL125" t="inlineStr">
        <is>
          <t>SEAL REEFER</t>
        </is>
      </c>
      <c r="BM125" t="inlineStr">
        <is>
          <t>SEAL REEFER</t>
        </is>
      </c>
    </row>
    <row r="126">
      <c r="A126" t="n">
        <v>125</v>
      </c>
      <c r="B126" t="inlineStr">
        <is>
          <t>SHARK REEFER</t>
        </is>
      </c>
      <c r="C126" t="inlineStr">
        <is>
          <t>REF000000</t>
        </is>
      </c>
      <c r="D126" t="inlineStr">
        <is>
          <t>REF000000</t>
        </is>
      </c>
      <c r="E126" t="inlineStr">
        <is>
          <t>02-FEB-2026</t>
        </is>
      </c>
      <c r="F126" t="inlineStr">
        <is>
          <t>SHARK REEFER</t>
        </is>
      </c>
      <c r="G126" t="inlineStr">
        <is>
          <t>PREPAID ABROAD</t>
        </is>
      </c>
      <c r="H126" t="inlineStr">
        <is>
          <t>Regional Operations_UNIMAR</t>
        </is>
      </c>
      <c r="J126" t="inlineStr">
        <is>
          <t>25-FEB-2026</t>
        </is>
      </c>
      <c r="K126" t="inlineStr">
        <is>
          <t>19-FEB-2026</t>
        </is>
      </c>
      <c r="L126" t="inlineStr">
        <is>
          <t>25-FEB-2026</t>
        </is>
      </c>
      <c r="M126" t="inlineStr">
        <is>
          <t>REF000000</t>
        </is>
      </c>
      <c r="N126" t="inlineStr">
        <is>
          <t>USNFK</t>
        </is>
      </c>
      <c r="O126" t="inlineStr">
        <is>
          <t>USNFK</t>
        </is>
      </c>
      <c r="P126" t="inlineStr">
        <is>
          <t>RULED</t>
        </is>
      </c>
      <c r="U126" t="inlineStr">
        <is>
          <t>RULED</t>
        </is>
      </c>
      <c r="V126" t="inlineStr">
        <is>
          <t>RULED</t>
        </is>
      </c>
      <c r="W126" t="inlineStr">
        <is>
          <t>UNITED STATES</t>
        </is>
      </c>
      <c r="X126" t="inlineStr">
        <is>
          <t>Latin America</t>
        </is>
      </c>
      <c r="Y126" t="inlineStr">
        <is>
          <t>RUSSIA</t>
        </is>
      </c>
      <c r="Z126" t="inlineStr">
        <is>
          <t>External Review</t>
        </is>
      </c>
      <c r="AA126" t="inlineStr">
        <is>
          <t>HUB SHIPPING LLC-LED</t>
        </is>
      </c>
      <c r="AB126" t="inlineStr">
        <is>
          <t>Prepaid</t>
        </is>
      </c>
      <c r="AC126" t="inlineStr">
        <is>
          <t>LI DA XING/VOYAGE 1</t>
        </is>
      </c>
      <c r="AE126" t="inlineStr">
        <is>
          <t>LADEN BOOKING</t>
        </is>
      </c>
      <c r="AF126" t="inlineStr">
        <is>
          <t>Maria Jessica Da Si</t>
        </is>
      </c>
      <c r="AG126" t="inlineStr">
        <is>
          <t>RH40</t>
        </is>
      </c>
      <c r="AH126" t="inlineStr">
        <is>
          <t>NO</t>
        </is>
      </c>
      <c r="AI126" t="n">
        <v>40</v>
      </c>
      <c r="AJ126" t="n">
        <v>0</v>
      </c>
      <c r="AK126" t="n">
        <v>1</v>
      </c>
      <c r="AL126" t="inlineStr">
        <is>
          <t>ANON0000000</t>
        </is>
      </c>
      <c r="AM126" t="n">
        <v>-18</v>
      </c>
      <c r="AP126" t="inlineStr">
        <is>
          <t>Non Haz</t>
        </is>
      </c>
      <c r="AQ126" t="inlineStr">
        <is>
          <t>CY/CY</t>
        </is>
      </c>
      <c r="AT126" t="inlineStr">
        <is>
          <t>REF000000</t>
        </is>
      </c>
      <c r="AU126" t="n">
        <v>28000</v>
      </c>
      <c r="AV126" t="inlineStr">
        <is>
          <t>FROZEN MEAT</t>
        </is>
      </c>
      <c r="AX126" t="inlineStr">
        <is>
          <t>RSUAM012600038</t>
        </is>
      </c>
      <c r="AZ126" t="n">
        <v>5</v>
      </c>
      <c r="BA126" t="n">
        <v>30</v>
      </c>
      <c r="BB126" t="n">
        <v>15</v>
      </c>
      <c r="BC126" t="n">
        <v>7000</v>
      </c>
      <c r="BD126" t="inlineStr">
        <is>
          <t>No</t>
        </is>
      </c>
      <c r="BF126" t="inlineStr">
        <is>
          <t>ARTHA SHIPPING</t>
        </is>
      </c>
      <c r="BG126" t="inlineStr">
        <is>
          <t>USNFK</t>
        </is>
      </c>
      <c r="BH126" t="n">
        <v>0</v>
      </c>
      <c r="BI126" t="n">
        <v>1</v>
      </c>
      <c r="BJ126" t="n">
        <v>7000</v>
      </c>
      <c r="BK126" t="inlineStr">
        <is>
          <t>LINE</t>
        </is>
      </c>
      <c r="BL126" t="inlineStr">
        <is>
          <t>SHARK REEFER</t>
        </is>
      </c>
      <c r="BM126" t="inlineStr">
        <is>
          <t>SHARK REEFER</t>
        </is>
      </c>
    </row>
    <row r="127">
      <c r="A127" t="n">
        <v>126</v>
      </c>
      <c r="B127" t="inlineStr">
        <is>
          <t>DOLPHIN REEFER</t>
        </is>
      </c>
      <c r="C127" t="inlineStr">
        <is>
          <t>REF000000</t>
        </is>
      </c>
      <c r="D127" t="inlineStr">
        <is>
          <t>REF000000</t>
        </is>
      </c>
      <c r="E127" t="inlineStr">
        <is>
          <t>03-FEB-2026</t>
        </is>
      </c>
      <c r="F127" t="inlineStr">
        <is>
          <t>DOLPHIN REEFER</t>
        </is>
      </c>
      <c r="H127" t="inlineStr">
        <is>
          <t>AdminUAM</t>
        </is>
      </c>
      <c r="J127" t="inlineStr">
        <is>
          <t>18-FEB-2026</t>
        </is>
      </c>
      <c r="K127" t="inlineStr">
        <is>
          <t>17-FEB-2026</t>
        </is>
      </c>
      <c r="L127" t="inlineStr">
        <is>
          <t>18-FEB-2026</t>
        </is>
      </c>
      <c r="M127" t="inlineStr">
        <is>
          <t>REF000000</t>
        </is>
      </c>
      <c r="N127" t="inlineStr">
        <is>
          <t>USNYC</t>
        </is>
      </c>
      <c r="O127" t="inlineStr">
        <is>
          <t>USNYC</t>
        </is>
      </c>
      <c r="P127" t="inlineStr">
        <is>
          <t>RULED</t>
        </is>
      </c>
      <c r="U127" t="inlineStr">
        <is>
          <t>RULED</t>
        </is>
      </c>
      <c r="V127" t="inlineStr">
        <is>
          <t>RULED</t>
        </is>
      </c>
      <c r="W127" t="inlineStr">
        <is>
          <t>UNITED STATES</t>
        </is>
      </c>
      <c r="X127" t="inlineStr">
        <is>
          <t>Latin America</t>
        </is>
      </c>
      <c r="Y127" t="inlineStr">
        <is>
          <t>RUSSIA</t>
        </is>
      </c>
      <c r="Z127" t="inlineStr">
        <is>
          <t>External Review</t>
        </is>
      </c>
      <c r="AA127" t="inlineStr">
        <is>
          <t>HUB SHIPPING LLC-LED</t>
        </is>
      </c>
      <c r="AB127" t="inlineStr">
        <is>
          <t>Collect</t>
        </is>
      </c>
      <c r="AC127" t="inlineStr">
        <is>
          <t>LI DA XING/VOYAGE 1</t>
        </is>
      </c>
      <c r="AE127" t="inlineStr">
        <is>
          <t>LADEN BOOKING</t>
        </is>
      </c>
      <c r="AF127" t="inlineStr">
        <is>
          <t>RenniUAM</t>
        </is>
      </c>
      <c r="AG127" t="inlineStr">
        <is>
          <t>DC20</t>
        </is>
      </c>
      <c r="AH127" t="inlineStr">
        <is>
          <t>NO</t>
        </is>
      </c>
      <c r="AI127" t="n">
        <v>20</v>
      </c>
      <c r="AJ127" t="n">
        <v>2</v>
      </c>
      <c r="AK127" t="n">
        <v>0</v>
      </c>
      <c r="AL127" t="inlineStr">
        <is>
          <t>ANON0000000,
ANON0000000</t>
        </is>
      </c>
      <c r="AP127" t="inlineStr">
        <is>
          <t>Non Haz</t>
        </is>
      </c>
      <c r="AQ127" t="inlineStr">
        <is>
          <t>CY/CY</t>
        </is>
      </c>
      <c r="AT127" t="inlineStr">
        <is>
          <t>REF000000</t>
        </is>
      </c>
      <c r="AU127" t="n">
        <v>150000</v>
      </c>
      <c r="AV127" t="inlineStr">
        <is>
          <t>GENERAL COMMODITY</t>
        </is>
      </c>
      <c r="AX127" t="inlineStr">
        <is>
          <t>MRG382804</t>
        </is>
      </c>
      <c r="AY127" t="inlineStr">
        <is>
          <t>LINE</t>
        </is>
      </c>
      <c r="AZ127" t="n">
        <v>0</v>
      </c>
      <c r="BA127" t="n">
        <v>14</v>
      </c>
      <c r="BB127" t="n">
        <v>14</v>
      </c>
      <c r="BC127" t="n">
        <v>2550</v>
      </c>
      <c r="BD127" t="inlineStr">
        <is>
          <t>Yes</t>
        </is>
      </c>
      <c r="BE127" t="inlineStr">
        <is>
          <t>FMC/RFHOP/42661</t>
        </is>
      </c>
      <c r="BF127" t="inlineStr">
        <is>
          <t>ARTHA SHIPPING</t>
        </is>
      </c>
      <c r="BG127" t="inlineStr">
        <is>
          <t>RULED</t>
        </is>
      </c>
      <c r="BH127" t="n">
        <v>2</v>
      </c>
      <c r="BI127" t="n">
        <v>0</v>
      </c>
      <c r="BJ127" t="n">
        <v>5100</v>
      </c>
      <c r="BK127" t="inlineStr">
        <is>
          <t>LINE</t>
        </is>
      </c>
      <c r="BL127" t="inlineStr">
        <is>
          <t>DOLPHIN REEFER</t>
        </is>
      </c>
      <c r="BM127" t="inlineStr">
        <is>
          <t>DOLPHIN REEFER</t>
        </is>
      </c>
    </row>
    <row r="128">
      <c r="A128" t="n">
        <v>127</v>
      </c>
      <c r="B128" t="inlineStr">
        <is>
          <t>EAGLE DRY</t>
        </is>
      </c>
      <c r="C128" t="inlineStr">
        <is>
          <t>REF000000</t>
        </is>
      </c>
      <c r="D128" t="inlineStr">
        <is>
          <t>REF000000</t>
        </is>
      </c>
      <c r="E128" t="inlineStr">
        <is>
          <t>03-FEB-2026</t>
        </is>
      </c>
      <c r="F128" t="inlineStr">
        <is>
          <t>EAGLE DRY</t>
        </is>
      </c>
      <c r="G128" t="inlineStr">
        <is>
          <t>Prepaid Abroad</t>
        </is>
      </c>
      <c r="H128" t="inlineStr">
        <is>
          <t>Diego</t>
        </is>
      </c>
      <c r="J128" t="inlineStr">
        <is>
          <t>25-FEB-2026</t>
        </is>
      </c>
      <c r="K128" t="inlineStr">
        <is>
          <t>19-FEB-2026</t>
        </is>
      </c>
      <c r="L128" t="inlineStr">
        <is>
          <t>25-FEB-2026</t>
        </is>
      </c>
      <c r="M128" t="inlineStr">
        <is>
          <t>REF000000</t>
        </is>
      </c>
      <c r="N128" t="inlineStr">
        <is>
          <t>USNFK</t>
        </is>
      </c>
      <c r="O128" t="inlineStr">
        <is>
          <t>USNFK</t>
        </is>
      </c>
      <c r="P128" t="inlineStr">
        <is>
          <t>RULED</t>
        </is>
      </c>
      <c r="U128" t="inlineStr">
        <is>
          <t>RULED</t>
        </is>
      </c>
      <c r="V128" t="inlineStr">
        <is>
          <t>RULED</t>
        </is>
      </c>
      <c r="W128" t="inlineStr">
        <is>
          <t>UNITED STATES</t>
        </is>
      </c>
      <c r="X128" t="inlineStr">
        <is>
          <t>Latin America</t>
        </is>
      </c>
      <c r="Y128" t="inlineStr">
        <is>
          <t>RUSSIA</t>
        </is>
      </c>
      <c r="Z128" t="inlineStr">
        <is>
          <t>External Review</t>
        </is>
      </c>
      <c r="AA128" t="inlineStr">
        <is>
          <t>HUB SHIPPING LLC-LED</t>
        </is>
      </c>
      <c r="AB128" t="inlineStr">
        <is>
          <t>Prepaid</t>
        </is>
      </c>
      <c r="AC128" t="inlineStr">
        <is>
          <t>LI DA XING/VOYAGE 1</t>
        </is>
      </c>
      <c r="AE128" t="inlineStr">
        <is>
          <t>LADEN BOOKING</t>
        </is>
      </c>
      <c r="AF128" t="inlineStr">
        <is>
          <t>Maria Jessica Da Si</t>
        </is>
      </c>
      <c r="AG128" t="inlineStr">
        <is>
          <t>DC20</t>
        </is>
      </c>
      <c r="AH128" t="inlineStr">
        <is>
          <t>NO</t>
        </is>
      </c>
      <c r="AI128" t="n">
        <v>20</v>
      </c>
      <c r="AJ128" t="n">
        <v>1</v>
      </c>
      <c r="AK128" t="n">
        <v>0</v>
      </c>
      <c r="AL128" t="inlineStr">
        <is>
          <t>ANON0000000</t>
        </is>
      </c>
      <c r="AP128" t="inlineStr">
        <is>
          <t>Non Haz</t>
        </is>
      </c>
      <c r="AQ128" t="inlineStr">
        <is>
          <t>CY/CY</t>
        </is>
      </c>
      <c r="AT128" t="inlineStr">
        <is>
          <t>REF000000</t>
        </is>
      </c>
      <c r="AU128" t="n">
        <v>28000</v>
      </c>
      <c r="AV128" t="inlineStr">
        <is>
          <t>COFFEE</t>
        </is>
      </c>
      <c r="AX128" t="inlineStr">
        <is>
          <t>RSUAM022600002</t>
        </is>
      </c>
      <c r="AZ128" t="n">
        <v>0</v>
      </c>
      <c r="BA128" t="n">
        <v>14</v>
      </c>
      <c r="BB128" t="n">
        <v>14</v>
      </c>
      <c r="BC128" t="n">
        <v>3200</v>
      </c>
      <c r="BD128" t="inlineStr">
        <is>
          <t>No</t>
        </is>
      </c>
      <c r="BF128" t="inlineStr">
        <is>
          <t>ARTHA SHIPPING</t>
        </is>
      </c>
      <c r="BG128" t="inlineStr">
        <is>
          <t>USNFK</t>
        </is>
      </c>
      <c r="BH128" t="n">
        <v>1</v>
      </c>
      <c r="BI128" t="n">
        <v>0</v>
      </c>
      <c r="BJ128" t="n">
        <v>3200</v>
      </c>
      <c r="BK128" t="inlineStr">
        <is>
          <t>LINE</t>
        </is>
      </c>
      <c r="BL128" t="inlineStr">
        <is>
          <t>EAGLE DRY</t>
        </is>
      </c>
      <c r="BM128" t="inlineStr">
        <is>
          <t>EAGLE DRY</t>
        </is>
      </c>
    </row>
    <row r="129">
      <c r="A129" t="n">
        <v>128</v>
      </c>
      <c r="B129" t="inlineStr">
        <is>
          <t>COYOTE DRY</t>
        </is>
      </c>
      <c r="C129" t="inlineStr">
        <is>
          <t>REF000000</t>
        </is>
      </c>
      <c r="D129" t="inlineStr">
        <is>
          <t>REF000000</t>
        </is>
      </c>
      <c r="E129" t="inlineStr">
        <is>
          <t>03-FEB-2026</t>
        </is>
      </c>
      <c r="F129" t="inlineStr">
        <is>
          <t>COYOTE DRY</t>
        </is>
      </c>
      <c r="G129" t="inlineStr">
        <is>
          <t>Prepaid Abroad</t>
        </is>
      </c>
      <c r="H129" t="inlineStr">
        <is>
          <t>Diego</t>
        </is>
      </c>
      <c r="J129" t="inlineStr">
        <is>
          <t>25-FEB-2026</t>
        </is>
      </c>
      <c r="K129" t="inlineStr">
        <is>
          <t>19-FEB-2026</t>
        </is>
      </c>
      <c r="L129" t="inlineStr">
        <is>
          <t>25-FEB-2026</t>
        </is>
      </c>
      <c r="M129" t="inlineStr">
        <is>
          <t>REF000000</t>
        </is>
      </c>
      <c r="N129" t="inlineStr">
        <is>
          <t>USNFK</t>
        </is>
      </c>
      <c r="O129" t="inlineStr">
        <is>
          <t>USNFK</t>
        </is>
      </c>
      <c r="P129" t="inlineStr">
        <is>
          <t>RULED</t>
        </is>
      </c>
      <c r="U129" t="inlineStr">
        <is>
          <t>RULED</t>
        </is>
      </c>
      <c r="V129" t="inlineStr">
        <is>
          <t>RULED</t>
        </is>
      </c>
      <c r="W129" t="inlineStr">
        <is>
          <t>UNITED STATES</t>
        </is>
      </c>
      <c r="X129" t="inlineStr">
        <is>
          <t>Latin America</t>
        </is>
      </c>
      <c r="Y129" t="inlineStr">
        <is>
          <t>RUSSIA</t>
        </is>
      </c>
      <c r="Z129" t="inlineStr">
        <is>
          <t>External Review</t>
        </is>
      </c>
      <c r="AA129" t="inlineStr">
        <is>
          <t>HUB SHIPPING LLC-LED</t>
        </is>
      </c>
      <c r="AB129" t="inlineStr">
        <is>
          <t>Prepaid</t>
        </is>
      </c>
      <c r="AC129" t="inlineStr">
        <is>
          <t>LI DA XING/VOYAGE 1</t>
        </is>
      </c>
      <c r="AE129" t="inlineStr">
        <is>
          <t>LADEN BOOKING</t>
        </is>
      </c>
      <c r="AF129" t="inlineStr">
        <is>
          <t>Maria Jessica Da Si</t>
        </is>
      </c>
      <c r="AG129" t="inlineStr">
        <is>
          <t>DC20</t>
        </is>
      </c>
      <c r="AH129" t="inlineStr">
        <is>
          <t>NO</t>
        </is>
      </c>
      <c r="AI129" t="n">
        <v>20</v>
      </c>
      <c r="AJ129" t="n">
        <v>1</v>
      </c>
      <c r="AK129" t="n">
        <v>0</v>
      </c>
      <c r="AL129" t="inlineStr">
        <is>
          <t>ANON0000000</t>
        </is>
      </c>
      <c r="AP129" t="inlineStr">
        <is>
          <t>Non Haz</t>
        </is>
      </c>
      <c r="AQ129" t="inlineStr">
        <is>
          <t>CY/CY</t>
        </is>
      </c>
      <c r="AT129" t="inlineStr">
        <is>
          <t>REF000000</t>
        </is>
      </c>
      <c r="AU129" t="n">
        <v>28000</v>
      </c>
      <c r="AV129" t="inlineStr">
        <is>
          <t>COFFEE</t>
        </is>
      </c>
      <c r="AX129" t="inlineStr">
        <is>
          <t>RSUAM022600002</t>
        </is>
      </c>
      <c r="AZ129" t="n">
        <v>0</v>
      </c>
      <c r="BA129" t="n">
        <v>14</v>
      </c>
      <c r="BB129" t="n">
        <v>14</v>
      </c>
      <c r="BC129" t="n">
        <v>3200</v>
      </c>
      <c r="BD129" t="inlineStr">
        <is>
          <t>No</t>
        </is>
      </c>
      <c r="BF129" t="inlineStr">
        <is>
          <t>ARTHA SHIPPING</t>
        </is>
      </c>
      <c r="BG129" t="inlineStr">
        <is>
          <t>USNFK</t>
        </is>
      </c>
      <c r="BH129" t="n">
        <v>1</v>
      </c>
      <c r="BI129" t="n">
        <v>0</v>
      </c>
      <c r="BJ129" t="n">
        <v>3200</v>
      </c>
      <c r="BK129" t="inlineStr">
        <is>
          <t>LINE</t>
        </is>
      </c>
      <c r="BL129" t="inlineStr">
        <is>
          <t>COYOTE DRY</t>
        </is>
      </c>
      <c r="BM129" t="inlineStr">
        <is>
          <t>COYOTE DRY</t>
        </is>
      </c>
    </row>
    <row r="130">
      <c r="A130" t="n">
        <v>129</v>
      </c>
      <c r="B130" t="inlineStr">
        <is>
          <t>ORCA REEFER</t>
        </is>
      </c>
      <c r="C130" t="inlineStr">
        <is>
          <t>REF000000</t>
        </is>
      </c>
      <c r="D130" t="inlineStr">
        <is>
          <t>REF000000</t>
        </is>
      </c>
      <c r="E130" t="inlineStr">
        <is>
          <t>03-FEB-2026</t>
        </is>
      </c>
      <c r="F130" t="inlineStr">
        <is>
          <t>ORCA REEFER</t>
        </is>
      </c>
      <c r="G130" t="inlineStr">
        <is>
          <t>PREPAID ABROAD</t>
        </is>
      </c>
      <c r="H130" t="inlineStr">
        <is>
          <t>Regional Operations_UNIMAR</t>
        </is>
      </c>
      <c r="J130" t="inlineStr">
        <is>
          <t>18-FEB-2026</t>
        </is>
      </c>
      <c r="K130" t="inlineStr">
        <is>
          <t>17-FEB-2026</t>
        </is>
      </c>
      <c r="L130" t="inlineStr">
        <is>
          <t>18-FEB-2026</t>
        </is>
      </c>
      <c r="M130" t="inlineStr">
        <is>
          <t>REF000000</t>
        </is>
      </c>
      <c r="N130" t="inlineStr">
        <is>
          <t>USNYC</t>
        </is>
      </c>
      <c r="O130" t="inlineStr">
        <is>
          <t>USNYC</t>
        </is>
      </c>
      <c r="P130" t="inlineStr">
        <is>
          <t>RUBLT</t>
        </is>
      </c>
      <c r="U130" t="inlineStr">
        <is>
          <t>RUBLT</t>
        </is>
      </c>
      <c r="V130" t="inlineStr">
        <is>
          <t>RUBLT</t>
        </is>
      </c>
      <c r="W130" t="inlineStr">
        <is>
          <t>UNITED STATES</t>
        </is>
      </c>
      <c r="X130" t="inlineStr">
        <is>
          <t>Latin America</t>
        </is>
      </c>
      <c r="Y130" t="inlineStr">
        <is>
          <t>RUSSIA</t>
        </is>
      </c>
      <c r="Z130" t="inlineStr">
        <is>
          <t>External Review</t>
        </is>
      </c>
      <c r="AA130" t="inlineStr">
        <is>
          <t>HUB Shipping-Kaliningrad</t>
        </is>
      </c>
      <c r="AB130" t="inlineStr">
        <is>
          <t>Prepaid</t>
        </is>
      </c>
      <c r="AC130" t="inlineStr">
        <is>
          <t>LI DA XING/VOYAGE 1</t>
        </is>
      </c>
      <c r="AE130" t="inlineStr">
        <is>
          <t>LADEN BOOKING</t>
        </is>
      </c>
      <c r="AF130" t="inlineStr">
        <is>
          <t>Maria Jessica Da Si</t>
        </is>
      </c>
      <c r="AG130" t="inlineStr">
        <is>
          <t>RH40</t>
        </is>
      </c>
      <c r="AH130" t="inlineStr">
        <is>
          <t>NO</t>
        </is>
      </c>
      <c r="AI130" t="n">
        <v>40</v>
      </c>
      <c r="AJ130" t="n">
        <v>0</v>
      </c>
      <c r="AK130" t="n">
        <v>1</v>
      </c>
      <c r="AL130" t="inlineStr">
        <is>
          <t>ANON0000000</t>
        </is>
      </c>
      <c r="AM130" t="n">
        <v>-18</v>
      </c>
      <c r="AP130" t="inlineStr">
        <is>
          <t>Non Haz</t>
        </is>
      </c>
      <c r="AQ130" t="inlineStr">
        <is>
          <t>CY/CY</t>
        </is>
      </c>
      <c r="AT130" t="inlineStr">
        <is>
          <t>REF000000</t>
        </is>
      </c>
      <c r="AU130" t="n">
        <v>28000</v>
      </c>
      <c r="AV130" t="inlineStr">
        <is>
          <t>FROZEN MEAT</t>
        </is>
      </c>
      <c r="AX130" t="inlineStr">
        <is>
          <t>RSUAM012600023</t>
        </is>
      </c>
      <c r="AZ130" t="n">
        <v>5</v>
      </c>
      <c r="BA130" t="n">
        <v>30</v>
      </c>
      <c r="BB130" t="n">
        <v>15</v>
      </c>
      <c r="BC130" t="n">
        <v>9100</v>
      </c>
      <c r="BD130" t="inlineStr">
        <is>
          <t>No</t>
        </is>
      </c>
      <c r="BF130" t="inlineStr">
        <is>
          <t>ARTHA SHIPPING</t>
        </is>
      </c>
      <c r="BG130" t="inlineStr">
        <is>
          <t>USNYC</t>
        </is>
      </c>
      <c r="BH130" t="n">
        <v>0</v>
      </c>
      <c r="BI130" t="n">
        <v>1</v>
      </c>
      <c r="BJ130" t="n">
        <v>9100</v>
      </c>
      <c r="BK130" t="inlineStr">
        <is>
          <t>LINE</t>
        </is>
      </c>
      <c r="BL130" t="inlineStr">
        <is>
          <t>ORCA REEFER</t>
        </is>
      </c>
      <c r="BM130" t="inlineStr">
        <is>
          <t>ORCA REEFER</t>
        </is>
      </c>
    </row>
    <row r="131">
      <c r="A131" t="n">
        <v>130</v>
      </c>
      <c r="B131" t="inlineStr">
        <is>
          <t>WOLF DRY</t>
        </is>
      </c>
      <c r="C131" t="inlineStr">
        <is>
          <t>REF000000</t>
        </is>
      </c>
      <c r="D131" t="inlineStr">
        <is>
          <t>REF000000</t>
        </is>
      </c>
      <c r="E131" t="inlineStr">
        <is>
          <t>03-FEB-2026</t>
        </is>
      </c>
      <c r="F131" t="inlineStr">
        <is>
          <t>WOLF DRY</t>
        </is>
      </c>
      <c r="H131" t="inlineStr">
        <is>
          <t>AdminUAM</t>
        </is>
      </c>
      <c r="J131" t="inlineStr">
        <is>
          <t>19-FEB-2026</t>
        </is>
      </c>
      <c r="K131" t="inlineStr">
        <is>
          <t>19-FEB-2026</t>
        </is>
      </c>
      <c r="L131" t="inlineStr">
        <is>
          <t>19-FEB-2026</t>
        </is>
      </c>
      <c r="M131" t="inlineStr">
        <is>
          <t>REF000000</t>
        </is>
      </c>
      <c r="N131" t="inlineStr">
        <is>
          <t>USHOU</t>
        </is>
      </c>
      <c r="O131" t="inlineStr">
        <is>
          <t>USHOU</t>
        </is>
      </c>
      <c r="P131" t="inlineStr">
        <is>
          <t>RULED</t>
        </is>
      </c>
      <c r="U131" t="inlineStr">
        <is>
          <t>RULED</t>
        </is>
      </c>
      <c r="V131" t="inlineStr">
        <is>
          <t>RULED</t>
        </is>
      </c>
      <c r="W131" t="inlineStr">
        <is>
          <t>UNITED STATES</t>
        </is>
      </c>
      <c r="X131" t="inlineStr">
        <is>
          <t>Latin America</t>
        </is>
      </c>
      <c r="Y131" t="inlineStr">
        <is>
          <t>RUSSIA</t>
        </is>
      </c>
      <c r="Z131" t="inlineStr">
        <is>
          <t>External Review</t>
        </is>
      </c>
      <c r="AA131" t="inlineStr">
        <is>
          <t>HUB SHIPPING LLC-LED</t>
        </is>
      </c>
      <c r="AB131" t="inlineStr">
        <is>
          <t>Collect</t>
        </is>
      </c>
      <c r="AC131" t="inlineStr">
        <is>
          <t>LI DA XING/VOYAGE 1</t>
        </is>
      </c>
      <c r="AE131" t="inlineStr">
        <is>
          <t>LADEN BOOKING</t>
        </is>
      </c>
      <c r="AF131" t="inlineStr">
        <is>
          <t>RenniUAM</t>
        </is>
      </c>
      <c r="AG131" t="inlineStr">
        <is>
          <t>DC20</t>
        </is>
      </c>
      <c r="AH131" t="inlineStr">
        <is>
          <t>NO</t>
        </is>
      </c>
      <c r="AI131" t="n">
        <v>20</v>
      </c>
      <c r="AJ131" t="n">
        <v>1</v>
      </c>
      <c r="AK131" t="n">
        <v>0</v>
      </c>
      <c r="AL131" t="inlineStr">
        <is>
          <t>ANON0000000</t>
        </is>
      </c>
      <c r="AP131" t="inlineStr">
        <is>
          <t>Non Haz</t>
        </is>
      </c>
      <c r="AQ131" t="inlineStr">
        <is>
          <t>CY/CY</t>
        </is>
      </c>
      <c r="AT131" t="inlineStr">
        <is>
          <t>REF000000</t>
        </is>
      </c>
      <c r="AU131" t="n">
        <v>26000</v>
      </c>
      <c r="AV131" t="inlineStr">
        <is>
          <t>GENERAL COMMODITY</t>
        </is>
      </c>
      <c r="AX131" t="inlineStr">
        <is>
          <t>MRG382803</t>
        </is>
      </c>
      <c r="AY131" t="inlineStr">
        <is>
          <t>LINE</t>
        </is>
      </c>
      <c r="AZ131" t="n">
        <v>0</v>
      </c>
      <c r="BA131" t="n">
        <v>14</v>
      </c>
      <c r="BB131" t="n">
        <v>14</v>
      </c>
      <c r="BC131" t="n">
        <v>3200</v>
      </c>
      <c r="BD131" t="inlineStr">
        <is>
          <t>Yes</t>
        </is>
      </c>
      <c r="BF131" t="inlineStr">
        <is>
          <t>ARTHA SHIPPING</t>
        </is>
      </c>
      <c r="BG131" t="inlineStr">
        <is>
          <t>RULED</t>
        </is>
      </c>
      <c r="BH131" t="n">
        <v>1</v>
      </c>
      <c r="BI131" t="n">
        <v>0</v>
      </c>
      <c r="BJ131" t="n">
        <v>3200</v>
      </c>
      <c r="BK131" t="inlineStr">
        <is>
          <t>LINE</t>
        </is>
      </c>
      <c r="BL131" t="inlineStr">
        <is>
          <t>WOLF DRY</t>
        </is>
      </c>
      <c r="BM131" t="inlineStr">
        <is>
          <t>WOLF DRY</t>
        </is>
      </c>
    </row>
    <row r="132">
      <c r="A132" t="n">
        <v>131</v>
      </c>
      <c r="B132" t="inlineStr">
        <is>
          <t>SEAL REEFER</t>
        </is>
      </c>
      <c r="C132" t="inlineStr">
        <is>
          <t>REF000000</t>
        </is>
      </c>
      <c r="D132" t="inlineStr">
        <is>
          <t>REF000000</t>
        </is>
      </c>
      <c r="E132" t="inlineStr">
        <is>
          <t>03-FEB-2026</t>
        </is>
      </c>
      <c r="F132" t="inlineStr">
        <is>
          <t>SEAL REEFER</t>
        </is>
      </c>
      <c r="G132" t="inlineStr">
        <is>
          <t>PREPAID ABROAD</t>
        </is>
      </c>
      <c r="H132" t="inlineStr">
        <is>
          <t>Regional Operations_UNIMAR</t>
        </is>
      </c>
      <c r="J132" t="inlineStr">
        <is>
          <t>18-FEB-2026</t>
        </is>
      </c>
      <c r="K132" t="inlineStr">
        <is>
          <t>17-FEB-2026</t>
        </is>
      </c>
      <c r="L132" t="inlineStr">
        <is>
          <t>18-FEB-2026</t>
        </is>
      </c>
      <c r="M132" t="inlineStr">
        <is>
          <t>REF000000</t>
        </is>
      </c>
      <c r="N132" t="inlineStr">
        <is>
          <t>USNYC</t>
        </is>
      </c>
      <c r="O132" t="inlineStr">
        <is>
          <t>USNYC</t>
        </is>
      </c>
      <c r="P132" t="inlineStr">
        <is>
          <t>RULED</t>
        </is>
      </c>
      <c r="U132" t="inlineStr">
        <is>
          <t>RULED</t>
        </is>
      </c>
      <c r="V132" t="inlineStr">
        <is>
          <t>RULED</t>
        </is>
      </c>
      <c r="W132" t="inlineStr">
        <is>
          <t>UNITED STATES</t>
        </is>
      </c>
      <c r="X132" t="inlineStr">
        <is>
          <t>Latin America</t>
        </is>
      </c>
      <c r="Y132" t="inlineStr">
        <is>
          <t>RUSSIA</t>
        </is>
      </c>
      <c r="Z132" t="inlineStr">
        <is>
          <t>External Review</t>
        </is>
      </c>
      <c r="AA132" t="inlineStr">
        <is>
          <t>HUB SHIPPING LLC-LED</t>
        </is>
      </c>
      <c r="AB132" t="inlineStr">
        <is>
          <t>Prepaid</t>
        </is>
      </c>
      <c r="AC132" t="inlineStr">
        <is>
          <t>LI DA XING/VOYAGE 1</t>
        </is>
      </c>
      <c r="AE132" t="inlineStr">
        <is>
          <t>LADEN BOOKING</t>
        </is>
      </c>
      <c r="AF132" t="inlineStr">
        <is>
          <t>Joao Ribeiro</t>
        </is>
      </c>
      <c r="AG132" t="inlineStr">
        <is>
          <t>RH40</t>
        </is>
      </c>
      <c r="AH132" t="inlineStr">
        <is>
          <t>NO</t>
        </is>
      </c>
      <c r="AI132" t="n">
        <v>40</v>
      </c>
      <c r="AJ132" t="n">
        <v>0</v>
      </c>
      <c r="AK132" t="n">
        <v>1</v>
      </c>
      <c r="AL132" t="inlineStr">
        <is>
          <t>ANON0000000</t>
        </is>
      </c>
      <c r="AM132" t="n">
        <v>-18</v>
      </c>
      <c r="AP132" t="inlineStr">
        <is>
          <t>Non Haz</t>
        </is>
      </c>
      <c r="AQ132" t="inlineStr">
        <is>
          <t>CY/CY</t>
        </is>
      </c>
      <c r="AT132" t="inlineStr">
        <is>
          <t>REF000000</t>
        </is>
      </c>
      <c r="AU132" t="n">
        <v>28000</v>
      </c>
      <c r="AV132" t="inlineStr">
        <is>
          <t>FROZEN MEAT</t>
        </is>
      </c>
      <c r="AX132" t="inlineStr">
        <is>
          <t>RSUAM012600019</t>
        </is>
      </c>
      <c r="AZ132" t="n">
        <v>5</v>
      </c>
      <c r="BA132" t="n">
        <v>30</v>
      </c>
      <c r="BB132" t="n">
        <v>15</v>
      </c>
      <c r="BC132" t="n">
        <v>7000</v>
      </c>
      <c r="BD132" t="inlineStr">
        <is>
          <t>No</t>
        </is>
      </c>
      <c r="BF132" t="inlineStr">
        <is>
          <t>ARTHA SHIPPING</t>
        </is>
      </c>
      <c r="BG132" t="inlineStr">
        <is>
          <t>USNYC</t>
        </is>
      </c>
      <c r="BH132" t="n">
        <v>0</v>
      </c>
      <c r="BI132" t="n">
        <v>1</v>
      </c>
      <c r="BJ132" t="n">
        <v>7000</v>
      </c>
      <c r="BK132" t="inlineStr">
        <is>
          <t>LINE</t>
        </is>
      </c>
      <c r="BL132" t="inlineStr">
        <is>
          <t>SEAL REEFER</t>
        </is>
      </c>
      <c r="BM132" t="inlineStr">
        <is>
          <t>SEAL REEFER</t>
        </is>
      </c>
    </row>
    <row r="133">
      <c r="A133" t="n">
        <v>132</v>
      </c>
      <c r="B133" t="inlineStr">
        <is>
          <t>SHARK REEFER</t>
        </is>
      </c>
      <c r="C133" t="inlineStr">
        <is>
          <t>REF000000</t>
        </is>
      </c>
      <c r="D133" t="inlineStr">
        <is>
          <t>REF000000</t>
        </is>
      </c>
      <c r="E133" t="inlineStr">
        <is>
          <t>03-FEB-2026</t>
        </is>
      </c>
      <c r="F133" t="inlineStr">
        <is>
          <t>SHARK REEFER</t>
        </is>
      </c>
      <c r="G133" t="inlineStr">
        <is>
          <t>PREPAID ABROAD</t>
        </is>
      </c>
      <c r="H133" t="inlineStr">
        <is>
          <t>Regional Operations_UNIMAR</t>
        </is>
      </c>
      <c r="J133" t="inlineStr">
        <is>
          <t>18-FEB-2026</t>
        </is>
      </c>
      <c r="K133" t="inlineStr">
        <is>
          <t>17-FEB-2026</t>
        </is>
      </c>
      <c r="L133" t="inlineStr">
        <is>
          <t>18-FEB-2026</t>
        </is>
      </c>
      <c r="M133" t="inlineStr">
        <is>
          <t>REF000000</t>
        </is>
      </c>
      <c r="N133" t="inlineStr">
        <is>
          <t>USNYC</t>
        </is>
      </c>
      <c r="O133" t="inlineStr">
        <is>
          <t>USNYC</t>
        </is>
      </c>
      <c r="P133" t="inlineStr">
        <is>
          <t>RULED</t>
        </is>
      </c>
      <c r="U133" t="inlineStr">
        <is>
          <t>RULED</t>
        </is>
      </c>
      <c r="V133" t="inlineStr">
        <is>
          <t>RULED</t>
        </is>
      </c>
      <c r="W133" t="inlineStr">
        <is>
          <t>UNITED STATES</t>
        </is>
      </c>
      <c r="X133" t="inlineStr">
        <is>
          <t>Latin America</t>
        </is>
      </c>
      <c r="Y133" t="inlineStr">
        <is>
          <t>RUSSIA</t>
        </is>
      </c>
      <c r="Z133" t="inlineStr">
        <is>
          <t>External Review</t>
        </is>
      </c>
      <c r="AA133" t="inlineStr">
        <is>
          <t>HUB SHIPPING LLC-LED</t>
        </is>
      </c>
      <c r="AB133" t="inlineStr">
        <is>
          <t>Prepaid</t>
        </is>
      </c>
      <c r="AC133" t="inlineStr">
        <is>
          <t>LI DA XING/VOYAGE 1</t>
        </is>
      </c>
      <c r="AE133" t="inlineStr">
        <is>
          <t>LADEN BOOKING</t>
        </is>
      </c>
      <c r="AF133" t="inlineStr">
        <is>
          <t>Joao Ribeiro</t>
        </is>
      </c>
      <c r="AG133" t="inlineStr">
        <is>
          <t>RH40</t>
        </is>
      </c>
      <c r="AH133" t="inlineStr">
        <is>
          <t>NO</t>
        </is>
      </c>
      <c r="AI133" t="n">
        <v>40</v>
      </c>
      <c r="AJ133" t="n">
        <v>0</v>
      </c>
      <c r="AK133" t="n">
        <v>1</v>
      </c>
      <c r="AL133" t="inlineStr">
        <is>
          <t>ANON0000000</t>
        </is>
      </c>
      <c r="AM133" t="n">
        <v>-18</v>
      </c>
      <c r="AP133" t="inlineStr">
        <is>
          <t>Non Haz</t>
        </is>
      </c>
      <c r="AQ133" t="inlineStr">
        <is>
          <t>CY/CY</t>
        </is>
      </c>
      <c r="AT133" t="inlineStr">
        <is>
          <t>REF000000</t>
        </is>
      </c>
      <c r="AU133" t="n">
        <v>28000</v>
      </c>
      <c r="AV133" t="inlineStr">
        <is>
          <t>FROZEN MEAT</t>
        </is>
      </c>
      <c r="AX133" t="inlineStr">
        <is>
          <t>RSUAM012600019</t>
        </is>
      </c>
      <c r="AZ133" t="n">
        <v>5</v>
      </c>
      <c r="BA133" t="n">
        <v>30</v>
      </c>
      <c r="BB133" t="n">
        <v>15</v>
      </c>
      <c r="BC133" t="n">
        <v>7000</v>
      </c>
      <c r="BD133" t="inlineStr">
        <is>
          <t>No</t>
        </is>
      </c>
      <c r="BF133" t="inlineStr">
        <is>
          <t>ARTHA SHIPPING</t>
        </is>
      </c>
      <c r="BG133" t="inlineStr">
        <is>
          <t>USNYC</t>
        </is>
      </c>
      <c r="BH133" t="n">
        <v>0</v>
      </c>
      <c r="BI133" t="n">
        <v>1</v>
      </c>
      <c r="BJ133" t="n">
        <v>7000</v>
      </c>
      <c r="BK133" t="inlineStr">
        <is>
          <t>LINE</t>
        </is>
      </c>
      <c r="BL133" t="inlineStr">
        <is>
          <t>SHARK REEFER</t>
        </is>
      </c>
      <c r="BM133" t="inlineStr">
        <is>
          <t>SHARK REEFER</t>
        </is>
      </c>
    </row>
    <row r="134">
      <c r="A134" t="n">
        <v>133</v>
      </c>
      <c r="B134" t="inlineStr">
        <is>
          <t>DOLPHIN REEFER</t>
        </is>
      </c>
      <c r="C134" t="inlineStr">
        <is>
          <t>REF000000</t>
        </is>
      </c>
      <c r="D134" t="inlineStr">
        <is>
          <t>REF000000</t>
        </is>
      </c>
      <c r="E134" t="inlineStr">
        <is>
          <t>03-FEB-2026</t>
        </is>
      </c>
      <c r="F134" t="inlineStr">
        <is>
          <t>DOLPHIN REEFER</t>
        </is>
      </c>
      <c r="G134" t="inlineStr">
        <is>
          <t>prepaid abroad</t>
        </is>
      </c>
      <c r="H134" t="inlineStr">
        <is>
          <t>Regional Operations_UNIMAR</t>
        </is>
      </c>
      <c r="J134" t="inlineStr">
        <is>
          <t>18-FEB-2026</t>
        </is>
      </c>
      <c r="K134" t="inlineStr">
        <is>
          <t>17-FEB-2026</t>
        </is>
      </c>
      <c r="L134" t="inlineStr">
        <is>
          <t>18-FEB-2026</t>
        </is>
      </c>
      <c r="M134" t="inlineStr">
        <is>
          <t>REF000000</t>
        </is>
      </c>
      <c r="N134" t="inlineStr">
        <is>
          <t>USNYC</t>
        </is>
      </c>
      <c r="O134" t="inlineStr">
        <is>
          <t>USNYC</t>
        </is>
      </c>
      <c r="P134" t="inlineStr">
        <is>
          <t>RULED</t>
        </is>
      </c>
      <c r="U134" t="inlineStr">
        <is>
          <t>RULED</t>
        </is>
      </c>
      <c r="V134" t="inlineStr">
        <is>
          <t>RULED</t>
        </is>
      </c>
      <c r="W134" t="inlineStr">
        <is>
          <t>UNITED STATES</t>
        </is>
      </c>
      <c r="X134" t="inlineStr">
        <is>
          <t>Latin America</t>
        </is>
      </c>
      <c r="Y134" t="inlineStr">
        <is>
          <t>RUSSIA</t>
        </is>
      </c>
      <c r="Z134" t="inlineStr">
        <is>
          <t>External Review</t>
        </is>
      </c>
      <c r="AA134" t="inlineStr">
        <is>
          <t>HUB SHIPPING LLC-LED</t>
        </is>
      </c>
      <c r="AB134" t="inlineStr">
        <is>
          <t>Prepaid</t>
        </is>
      </c>
      <c r="AC134" t="inlineStr">
        <is>
          <t>LI DA XING/VOYAGE 1</t>
        </is>
      </c>
      <c r="AE134" t="inlineStr">
        <is>
          <t>LADEN BOOKING</t>
        </is>
      </c>
      <c r="AF134" t="inlineStr">
        <is>
          <t>Joao Ribeiro</t>
        </is>
      </c>
      <c r="AG134" t="inlineStr">
        <is>
          <t>RH40</t>
        </is>
      </c>
      <c r="AH134" t="inlineStr">
        <is>
          <t>NO</t>
        </is>
      </c>
      <c r="AI134" t="n">
        <v>40</v>
      </c>
      <c r="AJ134" t="n">
        <v>0</v>
      </c>
      <c r="AK134" t="n">
        <v>1</v>
      </c>
      <c r="AL134" t="inlineStr">
        <is>
          <t>ANON0000000</t>
        </is>
      </c>
      <c r="AM134" t="n">
        <v>-18</v>
      </c>
      <c r="AP134" t="inlineStr">
        <is>
          <t>Non Haz</t>
        </is>
      </c>
      <c r="AQ134" t="inlineStr">
        <is>
          <t>CY/CY</t>
        </is>
      </c>
      <c r="AT134" t="inlineStr">
        <is>
          <t>REF000000</t>
        </is>
      </c>
      <c r="AU134" t="n">
        <v>28000</v>
      </c>
      <c r="AV134" t="inlineStr">
        <is>
          <t>FROZEN MEAT</t>
        </is>
      </c>
      <c r="AX134" t="inlineStr">
        <is>
          <t>RSUAM012600019</t>
        </is>
      </c>
      <c r="AZ134" t="n">
        <v>5</v>
      </c>
      <c r="BA134" t="n">
        <v>30</v>
      </c>
      <c r="BB134" t="n">
        <v>15</v>
      </c>
      <c r="BC134" t="n">
        <v>7000</v>
      </c>
      <c r="BD134" t="inlineStr">
        <is>
          <t>No</t>
        </is>
      </c>
      <c r="BF134" t="inlineStr">
        <is>
          <t>ARTHA SHIPPING</t>
        </is>
      </c>
      <c r="BG134" t="inlineStr">
        <is>
          <t>USNYC</t>
        </is>
      </c>
      <c r="BH134" t="n">
        <v>0</v>
      </c>
      <c r="BI134" t="n">
        <v>1</v>
      </c>
      <c r="BJ134" t="n">
        <v>7000</v>
      </c>
      <c r="BK134" t="inlineStr">
        <is>
          <t>LINE</t>
        </is>
      </c>
      <c r="BL134" t="inlineStr">
        <is>
          <t>DOLPHIN REEFER</t>
        </is>
      </c>
      <c r="BM134" t="inlineStr">
        <is>
          <t>DOLPHIN REEFER</t>
        </is>
      </c>
    </row>
    <row r="135">
      <c r="A135" t="n">
        <v>134</v>
      </c>
      <c r="B135" t="inlineStr">
        <is>
          <t>MARLIN REEFER</t>
        </is>
      </c>
      <c r="C135" t="inlineStr">
        <is>
          <t>REF000000</t>
        </is>
      </c>
      <c r="D135" t="inlineStr">
        <is>
          <t>REF000000</t>
        </is>
      </c>
      <c r="E135" t="inlineStr">
        <is>
          <t>03-FEB-2026</t>
        </is>
      </c>
      <c r="F135" t="inlineStr">
        <is>
          <t>MARLIN REEFER</t>
        </is>
      </c>
      <c r="G135" t="inlineStr">
        <is>
          <t>prepaid abroad</t>
        </is>
      </c>
      <c r="H135" t="inlineStr">
        <is>
          <t>Regional Operations_UNIMAR</t>
        </is>
      </c>
      <c r="J135" t="inlineStr">
        <is>
          <t>18-FEB-2026</t>
        </is>
      </c>
      <c r="K135" t="inlineStr">
        <is>
          <t>17-FEB-2026</t>
        </is>
      </c>
      <c r="L135" t="inlineStr">
        <is>
          <t>18-FEB-2026</t>
        </is>
      </c>
      <c r="M135" t="inlineStr">
        <is>
          <t>REF000000</t>
        </is>
      </c>
      <c r="N135" t="inlineStr">
        <is>
          <t>USNYC</t>
        </is>
      </c>
      <c r="O135" t="inlineStr">
        <is>
          <t>USNYC</t>
        </is>
      </c>
      <c r="P135" t="inlineStr">
        <is>
          <t>RULED</t>
        </is>
      </c>
      <c r="U135" t="inlineStr">
        <is>
          <t>RULED</t>
        </is>
      </c>
      <c r="V135" t="inlineStr">
        <is>
          <t>RULED</t>
        </is>
      </c>
      <c r="W135" t="inlineStr">
        <is>
          <t>UNITED STATES</t>
        </is>
      </c>
      <c r="X135" t="inlineStr">
        <is>
          <t>Latin America</t>
        </is>
      </c>
      <c r="Y135" t="inlineStr">
        <is>
          <t>RUSSIA</t>
        </is>
      </c>
      <c r="Z135" t="inlineStr">
        <is>
          <t>External Review</t>
        </is>
      </c>
      <c r="AA135" t="inlineStr">
        <is>
          <t>HUB SHIPPING LLC-LED</t>
        </is>
      </c>
      <c r="AB135" t="inlineStr">
        <is>
          <t>Prepaid</t>
        </is>
      </c>
      <c r="AC135" t="inlineStr">
        <is>
          <t>LI DA XING/VOYAGE 1</t>
        </is>
      </c>
      <c r="AE135" t="inlineStr">
        <is>
          <t>LADEN BOOKING</t>
        </is>
      </c>
      <c r="AF135" t="inlineStr">
        <is>
          <t>Joao Ribeiro</t>
        </is>
      </c>
      <c r="AG135" t="inlineStr">
        <is>
          <t>RH40</t>
        </is>
      </c>
      <c r="AH135" t="inlineStr">
        <is>
          <t>NO</t>
        </is>
      </c>
      <c r="AI135" t="n">
        <v>40</v>
      </c>
      <c r="AJ135" t="n">
        <v>0</v>
      </c>
      <c r="AK135" t="n">
        <v>1</v>
      </c>
      <c r="AL135" t="inlineStr">
        <is>
          <t>ANON0000000</t>
        </is>
      </c>
      <c r="AM135" t="n">
        <v>-18</v>
      </c>
      <c r="AP135" t="inlineStr">
        <is>
          <t>Non Haz</t>
        </is>
      </c>
      <c r="AQ135" t="inlineStr">
        <is>
          <t>CY/CY</t>
        </is>
      </c>
      <c r="AT135" t="inlineStr">
        <is>
          <t>REF000000</t>
        </is>
      </c>
      <c r="AU135" t="n">
        <v>28000</v>
      </c>
      <c r="AV135" t="inlineStr">
        <is>
          <t>FROZEN MEAT</t>
        </is>
      </c>
      <c r="AX135" t="inlineStr">
        <is>
          <t>RSUAM012600019</t>
        </is>
      </c>
      <c r="AZ135" t="n">
        <v>5</v>
      </c>
      <c r="BA135" t="n">
        <v>30</v>
      </c>
      <c r="BB135" t="n">
        <v>15</v>
      </c>
      <c r="BC135" t="n">
        <v>7000</v>
      </c>
      <c r="BD135" t="inlineStr">
        <is>
          <t>No</t>
        </is>
      </c>
      <c r="BF135" t="inlineStr">
        <is>
          <t>ARTHA SHIPPING</t>
        </is>
      </c>
      <c r="BG135" t="inlineStr">
        <is>
          <t>USNYC</t>
        </is>
      </c>
      <c r="BH135" t="n">
        <v>0</v>
      </c>
      <c r="BI135" t="n">
        <v>1</v>
      </c>
      <c r="BJ135" t="n">
        <v>7000</v>
      </c>
      <c r="BK135" t="inlineStr">
        <is>
          <t>LINE</t>
        </is>
      </c>
      <c r="BL135" t="inlineStr">
        <is>
          <t>MARLIN REEFER</t>
        </is>
      </c>
      <c r="BM135" t="inlineStr">
        <is>
          <t>MARLIN REEFER</t>
        </is>
      </c>
    </row>
    <row r="136">
      <c r="A136" t="n">
        <v>135</v>
      </c>
      <c r="B136" t="inlineStr">
        <is>
          <t>TURTLE REEFER</t>
        </is>
      </c>
      <c r="C136" t="inlineStr">
        <is>
          <t>REF000000</t>
        </is>
      </c>
      <c r="D136" t="inlineStr">
        <is>
          <t>REF000000</t>
        </is>
      </c>
      <c r="E136" t="inlineStr">
        <is>
          <t>03-FEB-2026</t>
        </is>
      </c>
      <c r="F136" t="inlineStr">
        <is>
          <t>TURTLE REEFER</t>
        </is>
      </c>
      <c r="G136" t="inlineStr">
        <is>
          <t>prepaid abroad</t>
        </is>
      </c>
      <c r="H136" t="inlineStr">
        <is>
          <t>Regional Operations_UNIMAR</t>
        </is>
      </c>
      <c r="J136" t="inlineStr">
        <is>
          <t>18-FEB-2026</t>
        </is>
      </c>
      <c r="K136" t="inlineStr">
        <is>
          <t>17-FEB-2026</t>
        </is>
      </c>
      <c r="L136" t="inlineStr">
        <is>
          <t>18-FEB-2026</t>
        </is>
      </c>
      <c r="M136" t="inlineStr">
        <is>
          <t>REF000000</t>
        </is>
      </c>
      <c r="N136" t="inlineStr">
        <is>
          <t>USNYC</t>
        </is>
      </c>
      <c r="O136" t="inlineStr">
        <is>
          <t>USNYC</t>
        </is>
      </c>
      <c r="P136" t="inlineStr">
        <is>
          <t>RULED</t>
        </is>
      </c>
      <c r="U136" t="inlineStr">
        <is>
          <t>RULED</t>
        </is>
      </c>
      <c r="V136" t="inlineStr">
        <is>
          <t>RULED</t>
        </is>
      </c>
      <c r="W136" t="inlineStr">
        <is>
          <t>UNITED STATES</t>
        </is>
      </c>
      <c r="X136" t="inlineStr">
        <is>
          <t>Latin America</t>
        </is>
      </c>
      <c r="Y136" t="inlineStr">
        <is>
          <t>RUSSIA</t>
        </is>
      </c>
      <c r="Z136" t="inlineStr">
        <is>
          <t>External Review</t>
        </is>
      </c>
      <c r="AA136" t="inlineStr">
        <is>
          <t>HUB SHIPPING LLC-LED</t>
        </is>
      </c>
      <c r="AB136" t="inlineStr">
        <is>
          <t>Prepaid</t>
        </is>
      </c>
      <c r="AC136" t="inlineStr">
        <is>
          <t>LI DA XING/VOYAGE 1</t>
        </is>
      </c>
      <c r="AE136" t="inlineStr">
        <is>
          <t>LADEN BOOKING</t>
        </is>
      </c>
      <c r="AF136" t="inlineStr">
        <is>
          <t>Joao Ribeiro</t>
        </is>
      </c>
      <c r="AG136" t="inlineStr">
        <is>
          <t>RH40</t>
        </is>
      </c>
      <c r="AH136" t="inlineStr">
        <is>
          <t>NO</t>
        </is>
      </c>
      <c r="AI136" t="n">
        <v>40</v>
      </c>
      <c r="AJ136" t="n">
        <v>0</v>
      </c>
      <c r="AK136" t="n">
        <v>1</v>
      </c>
      <c r="AL136" t="inlineStr">
        <is>
          <t>ANON0000000</t>
        </is>
      </c>
      <c r="AM136" t="n">
        <v>-18</v>
      </c>
      <c r="AP136" t="inlineStr">
        <is>
          <t>Non Haz</t>
        </is>
      </c>
      <c r="AQ136" t="inlineStr">
        <is>
          <t>CY/CY</t>
        </is>
      </c>
      <c r="AT136" t="inlineStr">
        <is>
          <t>REF000000</t>
        </is>
      </c>
      <c r="AU136" t="n">
        <v>28000</v>
      </c>
      <c r="AV136" t="inlineStr">
        <is>
          <t>FROZEN MEAT</t>
        </is>
      </c>
      <c r="AX136" t="inlineStr">
        <is>
          <t>RSUAM012600019</t>
        </is>
      </c>
      <c r="AZ136" t="n">
        <v>5</v>
      </c>
      <c r="BA136" t="n">
        <v>30</v>
      </c>
      <c r="BB136" t="n">
        <v>15</v>
      </c>
      <c r="BC136" t="n">
        <v>7000</v>
      </c>
      <c r="BD136" t="inlineStr">
        <is>
          <t>No</t>
        </is>
      </c>
      <c r="BF136" t="inlineStr">
        <is>
          <t>ARTHA SHIPPING</t>
        </is>
      </c>
      <c r="BG136" t="inlineStr">
        <is>
          <t>USNYC</t>
        </is>
      </c>
      <c r="BH136" t="n">
        <v>0</v>
      </c>
      <c r="BI136" t="n">
        <v>1</v>
      </c>
      <c r="BJ136" t="n">
        <v>7000</v>
      </c>
      <c r="BK136" t="inlineStr">
        <is>
          <t>LINE</t>
        </is>
      </c>
      <c r="BL136" t="inlineStr">
        <is>
          <t>TURTLE REEFER</t>
        </is>
      </c>
      <c r="BM136" t="inlineStr">
        <is>
          <t>TURTLE REEFER</t>
        </is>
      </c>
    </row>
    <row r="137">
      <c r="A137" t="n">
        <v>136</v>
      </c>
      <c r="B137" t="inlineStr">
        <is>
          <t>ORCA REEFER</t>
        </is>
      </c>
      <c r="C137" t="inlineStr">
        <is>
          <t>REF000000</t>
        </is>
      </c>
      <c r="D137" t="inlineStr">
        <is>
          <t>REF000000</t>
        </is>
      </c>
      <c r="E137" t="inlineStr">
        <is>
          <t>04-FEB-2026</t>
        </is>
      </c>
      <c r="F137" t="inlineStr">
        <is>
          <t>ORCA REEFER</t>
        </is>
      </c>
      <c r="G137" t="inlineStr">
        <is>
          <t>PREPAID ABROAD</t>
        </is>
      </c>
      <c r="H137" t="inlineStr">
        <is>
          <t>Regional Operations_UNIMAR</t>
        </is>
      </c>
      <c r="J137" t="inlineStr">
        <is>
          <t>19-FEB-2026</t>
        </is>
      </c>
      <c r="K137" t="inlineStr">
        <is>
          <t>19-FEB-2026</t>
        </is>
      </c>
      <c r="L137" t="inlineStr">
        <is>
          <t>19-FEB-2026</t>
        </is>
      </c>
      <c r="M137" t="inlineStr">
        <is>
          <t>REF000000</t>
        </is>
      </c>
      <c r="N137" t="inlineStr">
        <is>
          <t>USHOU</t>
        </is>
      </c>
      <c r="O137" t="inlineStr">
        <is>
          <t>USHOU</t>
        </is>
      </c>
      <c r="P137" t="inlineStr">
        <is>
          <t>RUBLT</t>
        </is>
      </c>
      <c r="U137" t="inlineStr">
        <is>
          <t>RUBLT</t>
        </is>
      </c>
      <c r="V137" t="inlineStr">
        <is>
          <t>RUBLT</t>
        </is>
      </c>
      <c r="W137" t="inlineStr">
        <is>
          <t>UNITED STATES</t>
        </is>
      </c>
      <c r="X137" t="inlineStr">
        <is>
          <t>Latin America</t>
        </is>
      </c>
      <c r="Y137" t="inlineStr">
        <is>
          <t>RUSSIA</t>
        </is>
      </c>
      <c r="Z137" t="inlineStr">
        <is>
          <t>External Review</t>
        </is>
      </c>
      <c r="AA137" t="inlineStr">
        <is>
          <t>HUB Shipping-Kaliningrad</t>
        </is>
      </c>
      <c r="AB137" t="inlineStr">
        <is>
          <t>Prepaid</t>
        </is>
      </c>
      <c r="AC137" t="inlineStr">
        <is>
          <t>LI DA XING/VOYAGE 1</t>
        </is>
      </c>
      <c r="AE137" t="inlineStr">
        <is>
          <t>LADEN BOOKING</t>
        </is>
      </c>
      <c r="AF137" t="inlineStr">
        <is>
          <t>Maria Jessica Da Si</t>
        </is>
      </c>
      <c r="AG137" t="inlineStr">
        <is>
          <t>RH40</t>
        </is>
      </c>
      <c r="AH137" t="inlineStr">
        <is>
          <t>NO</t>
        </is>
      </c>
      <c r="AI137" t="n">
        <v>40</v>
      </c>
      <c r="AJ137" t="n">
        <v>0</v>
      </c>
      <c r="AK137" t="n">
        <v>1</v>
      </c>
      <c r="AL137" t="inlineStr">
        <is>
          <t>ANON0000000</t>
        </is>
      </c>
      <c r="AM137" t="n">
        <v>-22</v>
      </c>
      <c r="AP137" t="inlineStr">
        <is>
          <t>Non Haz</t>
        </is>
      </c>
      <c r="AQ137" t="inlineStr">
        <is>
          <t>CY/CY</t>
        </is>
      </c>
      <c r="AT137" t="inlineStr">
        <is>
          <t>REF000000</t>
        </is>
      </c>
      <c r="AU137" t="n">
        <v>28000</v>
      </c>
      <c r="AV137" t="inlineStr">
        <is>
          <t>FROZEN MEAT &amp; FRUIT PULP</t>
        </is>
      </c>
      <c r="AX137" t="inlineStr">
        <is>
          <t>RSUAM122500018</t>
        </is>
      </c>
      <c r="AZ137" t="n">
        <v>2</v>
      </c>
      <c r="BA137" t="n">
        <v>25</v>
      </c>
      <c r="BB137" t="n">
        <v>15</v>
      </c>
      <c r="BC137" t="n">
        <v>9200</v>
      </c>
      <c r="BD137" t="inlineStr">
        <is>
          <t>No</t>
        </is>
      </c>
      <c r="BF137" t="inlineStr">
        <is>
          <t>ARTHA SHIPPING</t>
        </is>
      </c>
      <c r="BG137" t="inlineStr">
        <is>
          <t>USHOU</t>
        </is>
      </c>
      <c r="BH137" t="n">
        <v>0</v>
      </c>
      <c r="BI137" t="n">
        <v>1</v>
      </c>
      <c r="BJ137" t="n">
        <v>9200</v>
      </c>
      <c r="BK137" t="inlineStr">
        <is>
          <t>LINE</t>
        </is>
      </c>
      <c r="BL137" t="inlineStr">
        <is>
          <t>ORCA REEFER</t>
        </is>
      </c>
      <c r="BM137" t="inlineStr">
        <is>
          <t>ORCA REEFER</t>
        </is>
      </c>
    </row>
    <row r="138">
      <c r="A138" t="n">
        <v>137</v>
      </c>
      <c r="B138" t="inlineStr">
        <is>
          <t>WOLF DRY</t>
        </is>
      </c>
      <c r="C138" t="inlineStr">
        <is>
          <t>REF000000</t>
        </is>
      </c>
      <c r="D138" t="inlineStr">
        <is>
          <t>REF000000</t>
        </is>
      </c>
      <c r="E138" t="inlineStr">
        <is>
          <t>04-FEB-2026</t>
        </is>
      </c>
      <c r="F138" t="inlineStr">
        <is>
          <t>WOLF DRY</t>
        </is>
      </c>
      <c r="H138" t="inlineStr">
        <is>
          <t>AdminUAM</t>
        </is>
      </c>
      <c r="J138" t="n">
        <v>46082</v>
      </c>
      <c r="K138" t="inlineStr">
        <is>
          <t>27-FEB-2026</t>
        </is>
      </c>
      <c r="L138" t="n">
        <v>46082</v>
      </c>
      <c r="M138" t="inlineStr">
        <is>
          <t>REF000000</t>
        </is>
      </c>
      <c r="N138" t="inlineStr">
        <is>
          <t>USNFK</t>
        </is>
      </c>
      <c r="O138" t="inlineStr">
        <is>
          <t>USNFK</t>
        </is>
      </c>
      <c r="P138" t="inlineStr">
        <is>
          <t>RULED</t>
        </is>
      </c>
      <c r="U138" t="inlineStr">
        <is>
          <t>RULED</t>
        </is>
      </c>
      <c r="V138" t="inlineStr">
        <is>
          <t>RULED</t>
        </is>
      </c>
      <c r="W138" t="inlineStr">
        <is>
          <t>UNITED STATES</t>
        </is>
      </c>
      <c r="X138" t="inlineStr">
        <is>
          <t>Latin America</t>
        </is>
      </c>
      <c r="Y138" t="inlineStr">
        <is>
          <t>RUSSIA</t>
        </is>
      </c>
      <c r="Z138" t="inlineStr">
        <is>
          <t>External Review</t>
        </is>
      </c>
      <c r="AA138" t="inlineStr">
        <is>
          <t>HUB SHIPPING LLC-LED</t>
        </is>
      </c>
      <c r="AB138" t="inlineStr">
        <is>
          <t>Collect</t>
        </is>
      </c>
      <c r="AC138" t="inlineStr">
        <is>
          <t>LI DA XING/VOYAGE 1</t>
        </is>
      </c>
      <c r="AE138" t="inlineStr">
        <is>
          <t>LADEN BOOKING</t>
        </is>
      </c>
      <c r="AF138" t="inlineStr">
        <is>
          <t>RenniUAM</t>
        </is>
      </c>
      <c r="AG138" t="inlineStr">
        <is>
          <t>HC40</t>
        </is>
      </c>
      <c r="AH138" t="inlineStr">
        <is>
          <t>NO</t>
        </is>
      </c>
      <c r="AI138" t="n">
        <v>40</v>
      </c>
      <c r="AJ138" t="n">
        <v>0</v>
      </c>
      <c r="AK138" t="n">
        <v>13</v>
      </c>
      <c r="AL138" t="inlineStr">
        <is>
          <t>ANON0000000,
ANON0000000,
ANON0000000,
ANON0000000,
ANON0000000,
ANON0000000,
ANON0000000,
ANON0000000,
ANON0000000,
ANON0000000,
ANON0000000,
ANON0000000,
ANON0000000</t>
        </is>
      </c>
      <c r="AP138" t="inlineStr">
        <is>
          <t>Non Haz</t>
        </is>
      </c>
      <c r="AQ138" t="inlineStr">
        <is>
          <t>CY/CY</t>
        </is>
      </c>
      <c r="AT138" t="inlineStr">
        <is>
          <t>REF000000,
REF000000</t>
        </is>
      </c>
      <c r="AU138" t="n">
        <v>23000</v>
      </c>
      <c r="AV138" t="inlineStr">
        <is>
          <t>GENERAL COMMODITY</t>
        </is>
      </c>
      <c r="AX138" t="inlineStr">
        <is>
          <t>RSUAM022600005</t>
        </is>
      </c>
      <c r="AZ138" t="n">
        <v>0</v>
      </c>
      <c r="BA138" t="n">
        <v>10</v>
      </c>
      <c r="BB138" t="n">
        <v>14</v>
      </c>
      <c r="BC138" t="n">
        <v>3350</v>
      </c>
      <c r="BD138" t="inlineStr">
        <is>
          <t>Yes</t>
        </is>
      </c>
      <c r="BF138" t="inlineStr">
        <is>
          <t>ARTHA SHIPPING</t>
        </is>
      </c>
      <c r="BG138" t="inlineStr">
        <is>
          <t>RULED</t>
        </is>
      </c>
      <c r="BH138" t="n">
        <v>0</v>
      </c>
      <c r="BI138" t="n">
        <v>13</v>
      </c>
      <c r="BJ138" t="n">
        <v>43550</v>
      </c>
      <c r="BK138" t="inlineStr">
        <is>
          <t>LINE</t>
        </is>
      </c>
      <c r="BL138" t="inlineStr">
        <is>
          <t>WOLF DRY</t>
        </is>
      </c>
      <c r="BM138" t="inlineStr">
        <is>
          <t>WOLF DRY</t>
        </is>
      </c>
    </row>
    <row r="139">
      <c r="A139" t="n">
        <v>138</v>
      </c>
      <c r="B139" t="inlineStr">
        <is>
          <t>DEER DRY</t>
        </is>
      </c>
      <c r="C139" t="inlineStr">
        <is>
          <t>REF000000</t>
        </is>
      </c>
      <c r="D139" t="inlineStr">
        <is>
          <t>REF000000</t>
        </is>
      </c>
      <c r="E139" t="inlineStr">
        <is>
          <t>05-FEB-2026</t>
        </is>
      </c>
      <c r="F139" t="inlineStr">
        <is>
          <t>DEER DRY</t>
        </is>
      </c>
      <c r="G139" t="inlineStr">
        <is>
          <t>FOOD GRADE</t>
        </is>
      </c>
      <c r="H139" t="inlineStr">
        <is>
          <t>AdminUAM</t>
        </is>
      </c>
      <c r="J139" t="inlineStr">
        <is>
          <t>25-FEB-2026</t>
        </is>
      </c>
      <c r="K139" t="inlineStr">
        <is>
          <t>19-FEB-2026</t>
        </is>
      </c>
      <c r="L139" t="inlineStr">
        <is>
          <t>25-FEB-2026</t>
        </is>
      </c>
      <c r="M139" t="inlineStr">
        <is>
          <t>REF000000</t>
        </is>
      </c>
      <c r="N139" t="inlineStr">
        <is>
          <t>USNFK</t>
        </is>
      </c>
      <c r="O139" t="inlineStr">
        <is>
          <t>USNFK</t>
        </is>
      </c>
      <c r="P139" t="inlineStr">
        <is>
          <t>RULED</t>
        </is>
      </c>
      <c r="U139" t="inlineStr">
        <is>
          <t>RULED</t>
        </is>
      </c>
      <c r="V139" t="inlineStr">
        <is>
          <t>RULED</t>
        </is>
      </c>
      <c r="W139" t="inlineStr">
        <is>
          <t>UNITED STATES</t>
        </is>
      </c>
      <c r="X139" t="inlineStr">
        <is>
          <t>Latin America</t>
        </is>
      </c>
      <c r="Y139" t="inlineStr">
        <is>
          <t>RUSSIA</t>
        </is>
      </c>
      <c r="Z139" t="inlineStr">
        <is>
          <t>External Review</t>
        </is>
      </c>
      <c r="AA139" t="inlineStr">
        <is>
          <t>HUB SHIPPING LLC-LED</t>
        </is>
      </c>
      <c r="AB139" t="inlineStr">
        <is>
          <t>Collect</t>
        </is>
      </c>
      <c r="AC139" t="inlineStr">
        <is>
          <t>LI DA XING/VOYAGE 1</t>
        </is>
      </c>
      <c r="AE139" t="inlineStr">
        <is>
          <t>LADEN BOOKING</t>
        </is>
      </c>
      <c r="AF139" t="inlineStr">
        <is>
          <t>RenniUAM</t>
        </is>
      </c>
      <c r="AG139" t="inlineStr">
        <is>
          <t>DC20</t>
        </is>
      </c>
      <c r="AH139" t="inlineStr">
        <is>
          <t>NO</t>
        </is>
      </c>
      <c r="AI139" t="n">
        <v>20</v>
      </c>
      <c r="AJ139" t="n">
        <v>2</v>
      </c>
      <c r="AK139" t="n">
        <v>0</v>
      </c>
      <c r="AL139" t="inlineStr">
        <is>
          <t>ANON0000000,
ANON0000000</t>
        </is>
      </c>
      <c r="AP139" t="inlineStr">
        <is>
          <t>Non Haz</t>
        </is>
      </c>
      <c r="AQ139" t="inlineStr">
        <is>
          <t>CY/CY</t>
        </is>
      </c>
      <c r="AT139" t="inlineStr">
        <is>
          <t>REF000000</t>
        </is>
      </c>
      <c r="AU139" t="n">
        <v>21000</v>
      </c>
      <c r="AV139" t="inlineStr">
        <is>
          <t>GENERAL COMMODITY</t>
        </is>
      </c>
      <c r="AX139" t="inlineStr">
        <is>
          <t>RSUAM022600007</t>
        </is>
      </c>
      <c r="AZ139" t="n">
        <v>0</v>
      </c>
      <c r="BA139" t="n">
        <v>10</v>
      </c>
      <c r="BB139" t="n">
        <v>14</v>
      </c>
      <c r="BC139" t="n">
        <v>2350</v>
      </c>
      <c r="BD139" t="inlineStr">
        <is>
          <t>Yes</t>
        </is>
      </c>
      <c r="BF139" t="inlineStr">
        <is>
          <t>ARTHA SHIPPING</t>
        </is>
      </c>
      <c r="BG139" t="inlineStr">
        <is>
          <t>RULED</t>
        </is>
      </c>
      <c r="BH139" t="n">
        <v>2</v>
      </c>
      <c r="BI139" t="n">
        <v>0</v>
      </c>
      <c r="BJ139" t="n">
        <v>4700</v>
      </c>
      <c r="BK139" t="inlineStr">
        <is>
          <t>LINE</t>
        </is>
      </c>
      <c r="BL139" t="inlineStr">
        <is>
          <t>DEER DRY</t>
        </is>
      </c>
      <c r="BM139" t="inlineStr">
        <is>
          <t>DEER DRY</t>
        </is>
      </c>
    </row>
    <row r="140">
      <c r="A140" t="n">
        <v>139</v>
      </c>
      <c r="B140" t="inlineStr">
        <is>
          <t>FOX DRY</t>
        </is>
      </c>
      <c r="C140" t="inlineStr">
        <is>
          <t>REF000000</t>
        </is>
      </c>
      <c r="D140" t="inlineStr">
        <is>
          <t>REF000000</t>
        </is>
      </c>
      <c r="E140" t="inlineStr">
        <is>
          <t>06-FEB-2026</t>
        </is>
      </c>
      <c r="F140" t="inlineStr">
        <is>
          <t>FOX DRY</t>
        </is>
      </c>
      <c r="G140" t="inlineStr">
        <is>
          <t>PREPAID ABROAD</t>
        </is>
      </c>
      <c r="H140" t="inlineStr">
        <is>
          <t>Regional Operations_UNIMAR</t>
        </is>
      </c>
      <c r="J140" t="inlineStr">
        <is>
          <t>10-APR-2026</t>
        </is>
      </c>
      <c r="K140" t="inlineStr">
        <is>
          <t>05-APR-2026</t>
        </is>
      </c>
      <c r="M140" t="inlineStr">
        <is>
          <t>REF000000</t>
        </is>
      </c>
      <c r="N140" t="inlineStr">
        <is>
          <t>USNFK</t>
        </is>
      </c>
      <c r="O140" t="inlineStr">
        <is>
          <t>USNFK</t>
        </is>
      </c>
      <c r="P140" t="inlineStr">
        <is>
          <t>RULED</t>
        </is>
      </c>
      <c r="U140" t="inlineStr">
        <is>
          <t>RULED</t>
        </is>
      </c>
      <c r="V140" t="inlineStr">
        <is>
          <t>RULED</t>
        </is>
      </c>
      <c r="W140" t="inlineStr">
        <is>
          <t>UNITED STATES</t>
        </is>
      </c>
      <c r="X140" t="inlineStr">
        <is>
          <t>Latin America</t>
        </is>
      </c>
      <c r="Y140" t="inlineStr">
        <is>
          <t>RUSSIA</t>
        </is>
      </c>
      <c r="Z140" t="inlineStr">
        <is>
          <t>External Review</t>
        </is>
      </c>
      <c r="AA140" t="inlineStr">
        <is>
          <t>HUB SHIPPING LLC-LED</t>
        </is>
      </c>
      <c r="AB140" t="inlineStr">
        <is>
          <t>Prepaid</t>
        </is>
      </c>
      <c r="AC140" t="inlineStr">
        <is>
          <t>MERCURY / VOYAGE 1</t>
        </is>
      </c>
      <c r="AE140" t="inlineStr">
        <is>
          <t>LADEN BOOKING</t>
        </is>
      </c>
      <c r="AF140" t="inlineStr">
        <is>
          <t>Maria Jessica Da Si</t>
        </is>
      </c>
      <c r="AG140" t="inlineStr">
        <is>
          <t>DC20</t>
        </is>
      </c>
      <c r="AH140" t="inlineStr">
        <is>
          <t>NO</t>
        </is>
      </c>
      <c r="AI140" t="n">
        <v>20</v>
      </c>
      <c r="AJ140" t="n">
        <v>1</v>
      </c>
      <c r="AK140" t="n">
        <v>0</v>
      </c>
      <c r="AL140" t="inlineStr">
        <is>
          <t>ANON0000000</t>
        </is>
      </c>
      <c r="AP140" t="inlineStr">
        <is>
          <t>Non Haz</t>
        </is>
      </c>
      <c r="AQ140" t="inlineStr">
        <is>
          <t>CY/CY</t>
        </is>
      </c>
      <c r="AT140" t="inlineStr">
        <is>
          <t>REF000000</t>
        </is>
      </c>
      <c r="AU140" t="n">
        <v>28000</v>
      </c>
      <c r="AV140" t="inlineStr">
        <is>
          <t>COFFEE</t>
        </is>
      </c>
      <c r="AX140" t="inlineStr">
        <is>
          <t>RSUAM022600008</t>
        </is>
      </c>
      <c r="AZ140" t="n">
        <v>0</v>
      </c>
      <c r="BA140" t="n">
        <v>14</v>
      </c>
      <c r="BB140" t="n">
        <v>14</v>
      </c>
      <c r="BC140" t="n">
        <v>3200</v>
      </c>
      <c r="BD140" t="inlineStr">
        <is>
          <t>No</t>
        </is>
      </c>
      <c r="BG140" t="inlineStr">
        <is>
          <t>USNFK</t>
        </is>
      </c>
      <c r="BH140" t="n">
        <v>1</v>
      </c>
      <c r="BI140" t="n">
        <v>0</v>
      </c>
      <c r="BJ140" t="n">
        <v>3200</v>
      </c>
      <c r="BK140" t="inlineStr">
        <is>
          <t>LINE</t>
        </is>
      </c>
      <c r="BL140" t="inlineStr">
        <is>
          <t>FOX DRY</t>
        </is>
      </c>
      <c r="BM140" t="inlineStr">
        <is>
          <t>FOX DRY</t>
        </is>
      </c>
    </row>
    <row r="141">
      <c r="A141" t="n">
        <v>140</v>
      </c>
      <c r="B141" t="inlineStr">
        <is>
          <t>DOLPHIN REEFER</t>
        </is>
      </c>
      <c r="C141" t="inlineStr">
        <is>
          <t>REF000000</t>
        </is>
      </c>
      <c r="D141" t="inlineStr">
        <is>
          <t>REF000000</t>
        </is>
      </c>
      <c r="E141" t="inlineStr">
        <is>
          <t>06-FEB-2026</t>
        </is>
      </c>
      <c r="F141" t="inlineStr">
        <is>
          <t>DOLPHIN REEFER</t>
        </is>
      </c>
      <c r="G141" t="inlineStr">
        <is>
          <t>PREPAID ABROAD</t>
        </is>
      </c>
      <c r="H141" t="inlineStr">
        <is>
          <t>Regional Operations_UNIMAR</t>
        </is>
      </c>
      <c r="J141" t="n">
        <v>46082</v>
      </c>
      <c r="K141" t="inlineStr">
        <is>
          <t>27-FEB-2026</t>
        </is>
      </c>
      <c r="L141" t="n">
        <v>46082</v>
      </c>
      <c r="M141" t="inlineStr">
        <is>
          <t>REF000000</t>
        </is>
      </c>
      <c r="N141" t="inlineStr">
        <is>
          <t>USNFK</t>
        </is>
      </c>
      <c r="O141" t="inlineStr">
        <is>
          <t>USNFK</t>
        </is>
      </c>
      <c r="P141" t="inlineStr">
        <is>
          <t>RUBLT</t>
        </is>
      </c>
      <c r="U141" t="inlineStr">
        <is>
          <t>RUBLT</t>
        </is>
      </c>
      <c r="V141" t="inlineStr">
        <is>
          <t>RUBLT</t>
        </is>
      </c>
      <c r="W141" t="inlineStr">
        <is>
          <t>UNITED STATES</t>
        </is>
      </c>
      <c r="X141" t="inlineStr">
        <is>
          <t>Latin America</t>
        </is>
      </c>
      <c r="Y141" t="inlineStr">
        <is>
          <t>RUSSIA</t>
        </is>
      </c>
      <c r="Z141" t="inlineStr">
        <is>
          <t>External Review</t>
        </is>
      </c>
      <c r="AA141" t="inlineStr">
        <is>
          <t>HUB Shipping-Kaliningrad</t>
        </is>
      </c>
      <c r="AB141" t="inlineStr">
        <is>
          <t>Prepaid</t>
        </is>
      </c>
      <c r="AC141" t="inlineStr">
        <is>
          <t>LI DA XING/VOYAGE 1</t>
        </is>
      </c>
      <c r="AE141" t="inlineStr">
        <is>
          <t>LADEN BOOKING</t>
        </is>
      </c>
      <c r="AF141" t="inlineStr">
        <is>
          <t>Joao Ribeiro</t>
        </is>
      </c>
      <c r="AG141" t="inlineStr">
        <is>
          <t>RH40</t>
        </is>
      </c>
      <c r="AH141" t="inlineStr">
        <is>
          <t>NO</t>
        </is>
      </c>
      <c r="AI141" t="n">
        <v>40</v>
      </c>
      <c r="AJ141" t="n">
        <v>0</v>
      </c>
      <c r="AK141" t="n">
        <v>1</v>
      </c>
      <c r="AL141" t="inlineStr">
        <is>
          <t>ANON0000000</t>
        </is>
      </c>
      <c r="AM141" t="n">
        <v>-22</v>
      </c>
      <c r="AP141" t="inlineStr">
        <is>
          <t>Non Haz</t>
        </is>
      </c>
      <c r="AQ141" t="inlineStr">
        <is>
          <t>CY/CY</t>
        </is>
      </c>
      <c r="AT141" t="inlineStr">
        <is>
          <t>REF000000</t>
        </is>
      </c>
      <c r="AU141" t="n">
        <v>27000</v>
      </c>
      <c r="AV141" t="inlineStr">
        <is>
          <t>FROZEN MEAT &amp; FRUIT PULP</t>
        </is>
      </c>
      <c r="AX141" t="inlineStr">
        <is>
          <t>RSUAM122500019</t>
        </is>
      </c>
      <c r="AZ141" t="n">
        <v>2</v>
      </c>
      <c r="BA141" t="n">
        <v>25</v>
      </c>
      <c r="BB141" t="n">
        <v>15</v>
      </c>
      <c r="BC141" t="n">
        <v>9200</v>
      </c>
      <c r="BD141" t="inlineStr">
        <is>
          <t>No</t>
        </is>
      </c>
      <c r="BE141" t="inlineStr">
        <is>
          <t>FMC/RFBRU/42499</t>
        </is>
      </c>
      <c r="BF141" t="inlineStr">
        <is>
          <t>ARTHA SHIPPING</t>
        </is>
      </c>
      <c r="BG141" t="inlineStr">
        <is>
          <t>USNFK</t>
        </is>
      </c>
      <c r="BH141" t="n">
        <v>0</v>
      </c>
      <c r="BI141" t="n">
        <v>1</v>
      </c>
      <c r="BJ141" t="n">
        <v>9200</v>
      </c>
      <c r="BK141" t="inlineStr">
        <is>
          <t>LINE</t>
        </is>
      </c>
      <c r="BL141" t="inlineStr">
        <is>
          <t>DOLPHIN REEFER</t>
        </is>
      </c>
      <c r="BM141" t="inlineStr">
        <is>
          <t>DOLPHIN REEFER</t>
        </is>
      </c>
    </row>
    <row r="142">
      <c r="A142" t="n">
        <v>141</v>
      </c>
      <c r="B142" t="inlineStr">
        <is>
          <t>EAGLE DRY</t>
        </is>
      </c>
      <c r="C142" t="inlineStr">
        <is>
          <t>REF000000</t>
        </is>
      </c>
      <c r="D142" t="inlineStr">
        <is>
          <t>REF000000</t>
        </is>
      </c>
      <c r="E142" t="inlineStr">
        <is>
          <t>06-FEB-2026</t>
        </is>
      </c>
      <c r="F142" t="inlineStr">
        <is>
          <t>EAGLE DRY</t>
        </is>
      </c>
      <c r="G142" t="inlineStr">
        <is>
          <t>PREPAID</t>
        </is>
      </c>
      <c r="H142" t="inlineStr">
        <is>
          <t>Regional Operations_UNIMAR</t>
        </is>
      </c>
      <c r="J142" t="n">
        <v>46082</v>
      </c>
      <c r="K142" t="inlineStr">
        <is>
          <t>27-FEB-2026</t>
        </is>
      </c>
      <c r="L142" t="n">
        <v>46082</v>
      </c>
      <c r="M142" t="inlineStr">
        <is>
          <t>REF000000</t>
        </is>
      </c>
      <c r="N142" t="inlineStr">
        <is>
          <t>USNFK</t>
        </is>
      </c>
      <c r="O142" t="inlineStr">
        <is>
          <t>USNFK</t>
        </is>
      </c>
      <c r="P142" t="inlineStr">
        <is>
          <t>RULED</t>
        </is>
      </c>
      <c r="U142" t="inlineStr">
        <is>
          <t>RULED</t>
        </is>
      </c>
      <c r="V142" t="inlineStr">
        <is>
          <t>RULED</t>
        </is>
      </c>
      <c r="W142" t="inlineStr">
        <is>
          <t>UNITED STATES</t>
        </is>
      </c>
      <c r="X142" t="inlineStr">
        <is>
          <t>Latin America</t>
        </is>
      </c>
      <c r="Y142" t="inlineStr">
        <is>
          <t>RUSSIA</t>
        </is>
      </c>
      <c r="Z142" t="inlineStr">
        <is>
          <t>External Review</t>
        </is>
      </c>
      <c r="AA142" t="inlineStr">
        <is>
          <t>HUB SHIPPING LLC-LED</t>
        </is>
      </c>
      <c r="AB142" t="inlineStr">
        <is>
          <t>Prepaid</t>
        </is>
      </c>
      <c r="AC142" t="inlineStr">
        <is>
          <t>LI DA XING/VOYAGE 1</t>
        </is>
      </c>
      <c r="AE142" t="inlineStr">
        <is>
          <t>LADEN BOOKING</t>
        </is>
      </c>
      <c r="AF142" t="inlineStr">
        <is>
          <t>Maria Jessica Da Si</t>
        </is>
      </c>
      <c r="AG142" t="inlineStr">
        <is>
          <t>HC40</t>
        </is>
      </c>
      <c r="AH142" t="inlineStr">
        <is>
          <t>NO</t>
        </is>
      </c>
      <c r="AI142" t="n">
        <v>40</v>
      </c>
      <c r="AJ142" t="n">
        <v>0</v>
      </c>
      <c r="AK142" t="n">
        <v>1</v>
      </c>
      <c r="AL142" t="inlineStr">
        <is>
          <t>ANON0000000</t>
        </is>
      </c>
      <c r="AP142" t="inlineStr">
        <is>
          <t>Non Haz</t>
        </is>
      </c>
      <c r="AQ142" t="inlineStr">
        <is>
          <t>CY/CY</t>
        </is>
      </c>
      <c r="AT142" t="inlineStr">
        <is>
          <t>REF000000</t>
        </is>
      </c>
      <c r="AU142" t="n">
        <v>28000</v>
      </c>
      <c r="AV142" t="inlineStr">
        <is>
          <t>GENERAL COMMODITY</t>
        </is>
      </c>
      <c r="AX142" t="inlineStr">
        <is>
          <t>RSUAM022600019</t>
        </is>
      </c>
      <c r="AZ142" t="n">
        <v>0</v>
      </c>
      <c r="BA142" t="n">
        <v>14</v>
      </c>
      <c r="BB142" t="n">
        <v>14</v>
      </c>
      <c r="BC142" t="n">
        <v>4400</v>
      </c>
      <c r="BD142" t="inlineStr">
        <is>
          <t>No</t>
        </is>
      </c>
      <c r="BF142" t="inlineStr">
        <is>
          <t>ARTHA SHIPPING</t>
        </is>
      </c>
      <c r="BG142" t="inlineStr">
        <is>
          <t>USNFK</t>
        </is>
      </c>
      <c r="BH142" t="n">
        <v>0</v>
      </c>
      <c r="BI142" t="n">
        <v>1</v>
      </c>
      <c r="BJ142" t="n">
        <v>4400</v>
      </c>
      <c r="BK142" t="inlineStr">
        <is>
          <t>LINE</t>
        </is>
      </c>
      <c r="BL142" t="inlineStr">
        <is>
          <t>EAGLE DRY</t>
        </is>
      </c>
      <c r="BM142" t="inlineStr">
        <is>
          <t>EAGLE DRY</t>
        </is>
      </c>
    </row>
    <row r="143">
      <c r="A143" t="n">
        <v>142</v>
      </c>
      <c r="B143" t="inlineStr">
        <is>
          <t>COYOTE DRY</t>
        </is>
      </c>
      <c r="C143" t="inlineStr">
        <is>
          <t>REF000000</t>
        </is>
      </c>
      <c r="D143" t="inlineStr">
        <is>
          <t>REF000000</t>
        </is>
      </c>
      <c r="E143" t="inlineStr">
        <is>
          <t>06-FEB-2026</t>
        </is>
      </c>
      <c r="F143" t="inlineStr">
        <is>
          <t>COYOTE DRY</t>
        </is>
      </c>
      <c r="G143" t="inlineStr">
        <is>
          <t>PREPAID</t>
        </is>
      </c>
      <c r="H143" t="inlineStr">
        <is>
          <t>Diego</t>
        </is>
      </c>
      <c r="J143" t="inlineStr">
        <is>
          <t>25-FEB-2026</t>
        </is>
      </c>
      <c r="K143" t="inlineStr">
        <is>
          <t>19-FEB-2026</t>
        </is>
      </c>
      <c r="L143" t="inlineStr">
        <is>
          <t>25-FEB-2026</t>
        </is>
      </c>
      <c r="M143" t="inlineStr">
        <is>
          <t>REF000000</t>
        </is>
      </c>
      <c r="N143" t="inlineStr">
        <is>
          <t>USNFK</t>
        </is>
      </c>
      <c r="O143" t="inlineStr">
        <is>
          <t>USNFK</t>
        </is>
      </c>
      <c r="P143" t="inlineStr">
        <is>
          <t>RULED</t>
        </is>
      </c>
      <c r="U143" t="inlineStr">
        <is>
          <t>RULED</t>
        </is>
      </c>
      <c r="V143" t="inlineStr">
        <is>
          <t>RULED</t>
        </is>
      </c>
      <c r="W143" t="inlineStr">
        <is>
          <t>UNITED STATES</t>
        </is>
      </c>
      <c r="X143" t="inlineStr">
        <is>
          <t>Latin America</t>
        </is>
      </c>
      <c r="Y143" t="inlineStr">
        <is>
          <t>RUSSIA</t>
        </is>
      </c>
      <c r="Z143" t="inlineStr">
        <is>
          <t>External Review</t>
        </is>
      </c>
      <c r="AA143" t="inlineStr">
        <is>
          <t>HUB SHIPPING LLC-LED</t>
        </is>
      </c>
      <c r="AB143" t="inlineStr">
        <is>
          <t>Prepaid</t>
        </is>
      </c>
      <c r="AC143" t="inlineStr">
        <is>
          <t>LI DA XING/VOYAGE 1</t>
        </is>
      </c>
      <c r="AE143" t="inlineStr">
        <is>
          <t>LADEN BOOKING</t>
        </is>
      </c>
      <c r="AF143" t="inlineStr">
        <is>
          <t>Maria Jessica Da Si</t>
        </is>
      </c>
      <c r="AG143" t="inlineStr">
        <is>
          <t>HC40</t>
        </is>
      </c>
      <c r="AH143" t="inlineStr">
        <is>
          <t>NO</t>
        </is>
      </c>
      <c r="AI143" t="n">
        <v>40</v>
      </c>
      <c r="AJ143" t="n">
        <v>0</v>
      </c>
      <c r="AK143" t="n">
        <v>2</v>
      </c>
      <c r="AL143" t="inlineStr">
        <is>
          <t>ANON0000000,
ANON0000000</t>
        </is>
      </c>
      <c r="AP143" t="inlineStr">
        <is>
          <t>Non Haz</t>
        </is>
      </c>
      <c r="AQ143" t="inlineStr">
        <is>
          <t>CY/CY</t>
        </is>
      </c>
      <c r="AT143" t="inlineStr">
        <is>
          <t>REF000000</t>
        </is>
      </c>
      <c r="AU143" t="n">
        <v>28000</v>
      </c>
      <c r="AV143" t="inlineStr">
        <is>
          <t>PEANUTS</t>
        </is>
      </c>
      <c r="AX143" t="inlineStr">
        <is>
          <t>RSUAM012600010</t>
        </is>
      </c>
      <c r="AZ143" t="n">
        <v>0</v>
      </c>
      <c r="BA143" t="n">
        <v>21</v>
      </c>
      <c r="BB143" t="n">
        <v>14</v>
      </c>
      <c r="BC143" t="n">
        <v>3500</v>
      </c>
      <c r="BD143" t="inlineStr">
        <is>
          <t>No</t>
        </is>
      </c>
      <c r="BF143" t="inlineStr">
        <is>
          <t>ARTHA SHIPPING</t>
        </is>
      </c>
      <c r="BG143" t="inlineStr">
        <is>
          <t>USNFK</t>
        </is>
      </c>
      <c r="BH143" t="n">
        <v>0</v>
      </c>
      <c r="BI143" t="n">
        <v>2</v>
      </c>
      <c r="BJ143" t="n">
        <v>7000</v>
      </c>
      <c r="BK143" t="inlineStr">
        <is>
          <t>LINE</t>
        </is>
      </c>
      <c r="BL143" t="inlineStr">
        <is>
          <t>COYOTE DRY</t>
        </is>
      </c>
      <c r="BM143" t="inlineStr">
        <is>
          <t>COYOTE DRY</t>
        </is>
      </c>
    </row>
    <row r="144">
      <c r="A144" t="n">
        <v>143</v>
      </c>
      <c r="B144" t="inlineStr">
        <is>
          <t>ORCA REEFER</t>
        </is>
      </c>
      <c r="C144" t="inlineStr">
        <is>
          <t>REF000000</t>
        </is>
      </c>
      <c r="D144" t="inlineStr">
        <is>
          <t>REF000000</t>
        </is>
      </c>
      <c r="E144" t="inlineStr">
        <is>
          <t>06-FEB-2026</t>
        </is>
      </c>
      <c r="F144" t="inlineStr">
        <is>
          <t>ORCA REEFER</t>
        </is>
      </c>
      <c r="G144" t="inlineStr">
        <is>
          <t>PREPAID ABROAD</t>
        </is>
      </c>
      <c r="H144" t="inlineStr">
        <is>
          <t>Regional Operations_UNIMAR</t>
        </is>
      </c>
      <c r="J144" t="inlineStr">
        <is>
          <t>18-FEB-2026</t>
        </is>
      </c>
      <c r="K144" t="inlineStr">
        <is>
          <t>17-FEB-2026</t>
        </is>
      </c>
      <c r="L144" t="inlineStr">
        <is>
          <t>18-FEB-2026</t>
        </is>
      </c>
      <c r="M144" t="inlineStr">
        <is>
          <t>REF000000</t>
        </is>
      </c>
      <c r="N144" t="inlineStr">
        <is>
          <t>USNYC</t>
        </is>
      </c>
      <c r="O144" t="inlineStr">
        <is>
          <t>USNYC</t>
        </is>
      </c>
      <c r="P144" t="inlineStr">
        <is>
          <t>RUBLT</t>
        </is>
      </c>
      <c r="U144" t="inlineStr">
        <is>
          <t>RUBLT</t>
        </is>
      </c>
      <c r="V144" t="inlineStr">
        <is>
          <t>RUBLT</t>
        </is>
      </c>
      <c r="W144" t="inlineStr">
        <is>
          <t>UNITED STATES</t>
        </is>
      </c>
      <c r="X144" t="inlineStr">
        <is>
          <t>Latin America</t>
        </is>
      </c>
      <c r="Y144" t="inlineStr">
        <is>
          <t>RUSSIA</t>
        </is>
      </c>
      <c r="Z144" t="inlineStr">
        <is>
          <t>External Review</t>
        </is>
      </c>
      <c r="AA144" t="inlineStr">
        <is>
          <t>HUB Shipping-Kaliningrad</t>
        </is>
      </c>
      <c r="AB144" t="inlineStr">
        <is>
          <t>Prepaid</t>
        </is>
      </c>
      <c r="AC144" t="inlineStr">
        <is>
          <t>LI DA XING/VOYAGE 1</t>
        </is>
      </c>
      <c r="AE144" t="inlineStr">
        <is>
          <t>LADEN BOOKING</t>
        </is>
      </c>
      <c r="AF144" t="inlineStr">
        <is>
          <t>Joao Ribeiro</t>
        </is>
      </c>
      <c r="AG144" t="inlineStr">
        <is>
          <t>RH40</t>
        </is>
      </c>
      <c r="AH144" t="inlineStr">
        <is>
          <t>NO</t>
        </is>
      </c>
      <c r="AI144" t="n">
        <v>40</v>
      </c>
      <c r="AJ144" t="n">
        <v>0</v>
      </c>
      <c r="AK144" t="n">
        <v>1</v>
      </c>
      <c r="AL144" t="inlineStr">
        <is>
          <t>ANON0000000</t>
        </is>
      </c>
      <c r="AM144" t="n">
        <v>-18</v>
      </c>
      <c r="AP144" t="inlineStr">
        <is>
          <t>Non Haz</t>
        </is>
      </c>
      <c r="AQ144" t="inlineStr">
        <is>
          <t>CY/CY</t>
        </is>
      </c>
      <c r="AT144" t="inlineStr">
        <is>
          <t>REF000000</t>
        </is>
      </c>
      <c r="AU144" t="n">
        <v>29000</v>
      </c>
      <c r="AV144" t="inlineStr">
        <is>
          <t>FROZEN MEAT</t>
        </is>
      </c>
      <c r="AX144" t="inlineStr">
        <is>
          <t>RSUAM012600023</t>
        </is>
      </c>
      <c r="AZ144" t="n">
        <v>5</v>
      </c>
      <c r="BA144" t="n">
        <v>30</v>
      </c>
      <c r="BB144" t="n">
        <v>15</v>
      </c>
      <c r="BC144" t="n">
        <v>9100</v>
      </c>
      <c r="BD144" t="inlineStr">
        <is>
          <t>No</t>
        </is>
      </c>
      <c r="BF144" t="inlineStr">
        <is>
          <t>ARTHA SHIPPING</t>
        </is>
      </c>
      <c r="BG144" t="inlineStr">
        <is>
          <t>USNYC</t>
        </is>
      </c>
      <c r="BH144" t="n">
        <v>0</v>
      </c>
      <c r="BI144" t="n">
        <v>1</v>
      </c>
      <c r="BJ144" t="n">
        <v>9100</v>
      </c>
      <c r="BK144" t="inlineStr">
        <is>
          <t>LINE</t>
        </is>
      </c>
      <c r="BL144" t="inlineStr">
        <is>
          <t>ORCA REEFER</t>
        </is>
      </c>
      <c r="BM144" t="inlineStr">
        <is>
          <t>ORCA REEFER</t>
        </is>
      </c>
    </row>
    <row r="145">
      <c r="A145" t="n">
        <v>144</v>
      </c>
      <c r="B145" t="inlineStr">
        <is>
          <t>WHALE REEFER</t>
        </is>
      </c>
      <c r="C145" t="inlineStr">
        <is>
          <t>REF000000</t>
        </is>
      </c>
      <c r="D145" t="inlineStr">
        <is>
          <t>REF000000</t>
        </is>
      </c>
      <c r="E145" t="inlineStr">
        <is>
          <t>09-FEB-2026</t>
        </is>
      </c>
      <c r="F145" t="inlineStr">
        <is>
          <t>WHALE REEFER</t>
        </is>
      </c>
      <c r="G145" t="inlineStr">
        <is>
          <t>PREPAID ABROAD</t>
        </is>
      </c>
      <c r="H145" t="inlineStr">
        <is>
          <t>Regional Operations_UNIMAR</t>
        </is>
      </c>
      <c r="J145" t="inlineStr">
        <is>
          <t>25-FEB-2026</t>
        </is>
      </c>
      <c r="K145" t="inlineStr">
        <is>
          <t>19-FEB-2026</t>
        </is>
      </c>
      <c r="L145" t="inlineStr">
        <is>
          <t>25-FEB-2026</t>
        </is>
      </c>
      <c r="M145" t="inlineStr">
        <is>
          <t>REF000000</t>
        </is>
      </c>
      <c r="N145" t="inlineStr">
        <is>
          <t>USNFK</t>
        </is>
      </c>
      <c r="O145" t="inlineStr">
        <is>
          <t>USNFK</t>
        </is>
      </c>
      <c r="P145" t="inlineStr">
        <is>
          <t>RULED</t>
        </is>
      </c>
      <c r="U145" t="inlineStr">
        <is>
          <t>RULED</t>
        </is>
      </c>
      <c r="V145" t="inlineStr">
        <is>
          <t>RULED</t>
        </is>
      </c>
      <c r="W145" t="inlineStr">
        <is>
          <t>UNITED STATES</t>
        </is>
      </c>
      <c r="X145" t="inlineStr">
        <is>
          <t>Latin America</t>
        </is>
      </c>
      <c r="Y145" t="inlineStr">
        <is>
          <t>RUSSIA</t>
        </is>
      </c>
      <c r="Z145" t="inlineStr">
        <is>
          <t>External Review</t>
        </is>
      </c>
      <c r="AA145" t="inlineStr">
        <is>
          <t>HUB SHIPPING LLC-LED</t>
        </is>
      </c>
      <c r="AB145" t="inlineStr">
        <is>
          <t>Prepaid</t>
        </is>
      </c>
      <c r="AC145" t="inlineStr">
        <is>
          <t>LI DA XING/VOYAGE 1</t>
        </is>
      </c>
      <c r="AE145" t="inlineStr">
        <is>
          <t>LADEN BOOKING</t>
        </is>
      </c>
      <c r="AF145" t="inlineStr">
        <is>
          <t>Joao Ribeiro</t>
        </is>
      </c>
      <c r="AG145" t="inlineStr">
        <is>
          <t>RH40</t>
        </is>
      </c>
      <c r="AH145" t="inlineStr">
        <is>
          <t>NO</t>
        </is>
      </c>
      <c r="AI145" t="n">
        <v>40</v>
      </c>
      <c r="AJ145" t="n">
        <v>0</v>
      </c>
      <c r="AK145" t="n">
        <v>1</v>
      </c>
      <c r="AL145" t="inlineStr">
        <is>
          <t>ANON0000000</t>
        </is>
      </c>
      <c r="AM145" t="n">
        <v>-18</v>
      </c>
      <c r="AP145" t="inlineStr">
        <is>
          <t>Non Haz</t>
        </is>
      </c>
      <c r="AQ145" t="inlineStr">
        <is>
          <t>CY/CY</t>
        </is>
      </c>
      <c r="AT145" t="inlineStr">
        <is>
          <t>REF000000</t>
        </is>
      </c>
      <c r="AU145" t="n">
        <v>28000</v>
      </c>
      <c r="AV145" t="inlineStr">
        <is>
          <t>FROZEN MEAT</t>
        </is>
      </c>
      <c r="AX145" t="inlineStr">
        <is>
          <t>RSUAM012600038</t>
        </is>
      </c>
      <c r="AZ145" t="n">
        <v>5</v>
      </c>
      <c r="BA145" t="n">
        <v>30</v>
      </c>
      <c r="BB145" t="n">
        <v>15</v>
      </c>
      <c r="BC145" t="n">
        <v>7000</v>
      </c>
      <c r="BD145" t="inlineStr">
        <is>
          <t>No</t>
        </is>
      </c>
      <c r="BF145" t="inlineStr">
        <is>
          <t>ARTHA SHIPPING</t>
        </is>
      </c>
      <c r="BG145" t="inlineStr">
        <is>
          <t>USNFK</t>
        </is>
      </c>
      <c r="BH145" t="n">
        <v>0</v>
      </c>
      <c r="BI145" t="n">
        <v>1</v>
      </c>
      <c r="BJ145" t="n">
        <v>7000</v>
      </c>
      <c r="BK145" t="inlineStr">
        <is>
          <t>LINE</t>
        </is>
      </c>
      <c r="BL145" t="inlineStr">
        <is>
          <t>WHALE REEFER</t>
        </is>
      </c>
      <c r="BM145" t="inlineStr">
        <is>
          <t>WHALE REEFER</t>
        </is>
      </c>
    </row>
    <row r="146">
      <c r="A146" t="n">
        <v>145</v>
      </c>
      <c r="B146" t="inlineStr">
        <is>
          <t>SEAL REEFER</t>
        </is>
      </c>
      <c r="C146" t="inlineStr">
        <is>
          <t>REF000000</t>
        </is>
      </c>
      <c r="D146" t="inlineStr">
        <is>
          <t>REF000000</t>
        </is>
      </c>
      <c r="E146" t="inlineStr">
        <is>
          <t>09-FEB-2026</t>
        </is>
      </c>
      <c r="F146" t="inlineStr">
        <is>
          <t>SEAL REEFER</t>
        </is>
      </c>
      <c r="G146" t="inlineStr">
        <is>
          <t>PREPAID ABROAD</t>
        </is>
      </c>
      <c r="H146" t="inlineStr">
        <is>
          <t>Diego</t>
        </is>
      </c>
      <c r="J146" t="n">
        <v>46085</v>
      </c>
      <c r="K146" t="n">
        <v>46083</v>
      </c>
      <c r="L146" t="n">
        <v>46085</v>
      </c>
      <c r="M146" t="inlineStr">
        <is>
          <t>REF000000</t>
        </is>
      </c>
      <c r="N146" t="inlineStr">
        <is>
          <t>USNFK</t>
        </is>
      </c>
      <c r="O146" t="inlineStr">
        <is>
          <t>USNFK</t>
        </is>
      </c>
      <c r="P146" t="inlineStr">
        <is>
          <t>RULED</t>
        </is>
      </c>
      <c r="U146" t="inlineStr">
        <is>
          <t>RULED</t>
        </is>
      </c>
      <c r="V146" t="inlineStr">
        <is>
          <t>RULED</t>
        </is>
      </c>
      <c r="W146" t="inlineStr">
        <is>
          <t>UNITED STATES</t>
        </is>
      </c>
      <c r="X146" t="inlineStr">
        <is>
          <t>Latin America</t>
        </is>
      </c>
      <c r="Y146" t="inlineStr">
        <is>
          <t>RUSSIA</t>
        </is>
      </c>
      <c r="Z146" t="inlineStr">
        <is>
          <t>External Review</t>
        </is>
      </c>
      <c r="AA146" t="inlineStr">
        <is>
          <t>HUB SHIPPING LLC-LED</t>
        </is>
      </c>
      <c r="AB146" t="inlineStr">
        <is>
          <t>Prepaid</t>
        </is>
      </c>
      <c r="AC146" t="inlineStr">
        <is>
          <t>MYD TIANJIN/27BRASTP</t>
        </is>
      </c>
      <c r="AE146" t="inlineStr">
        <is>
          <t>LADEN BOOKING</t>
        </is>
      </c>
      <c r="AF146" t="inlineStr">
        <is>
          <t>Joao Ribeiro</t>
        </is>
      </c>
      <c r="AG146" t="inlineStr">
        <is>
          <t>RH40</t>
        </is>
      </c>
      <c r="AH146" t="inlineStr">
        <is>
          <t>NO</t>
        </is>
      </c>
      <c r="AI146" t="n">
        <v>40</v>
      </c>
      <c r="AJ146" t="n">
        <v>0</v>
      </c>
      <c r="AK146" t="n">
        <v>1</v>
      </c>
      <c r="AL146" t="inlineStr">
        <is>
          <t>ANON0000000</t>
        </is>
      </c>
      <c r="AM146" t="n">
        <v>-18</v>
      </c>
      <c r="AP146" t="inlineStr">
        <is>
          <t>Non Haz</t>
        </is>
      </c>
      <c r="AQ146" t="inlineStr">
        <is>
          <t>CY/CY</t>
        </is>
      </c>
      <c r="AT146" t="inlineStr">
        <is>
          <t>REF000000</t>
        </is>
      </c>
      <c r="AU146" t="n">
        <v>28000</v>
      </c>
      <c r="AV146" t="inlineStr">
        <is>
          <t>FROZEN MEAT &amp; FRUIT PULP</t>
        </is>
      </c>
      <c r="AX146" t="inlineStr">
        <is>
          <t>RSUAM112500002</t>
        </is>
      </c>
      <c r="AZ146" t="n">
        <v>5</v>
      </c>
      <c r="BA146" t="n">
        <v>25</v>
      </c>
      <c r="BB146" t="n">
        <v>15</v>
      </c>
      <c r="BC146" t="n">
        <v>7000</v>
      </c>
      <c r="BD146" t="inlineStr">
        <is>
          <t>No</t>
        </is>
      </c>
      <c r="BF146" t="inlineStr">
        <is>
          <t>ARTHA SHIPPING</t>
        </is>
      </c>
      <c r="BG146" t="inlineStr">
        <is>
          <t>USNFK</t>
        </is>
      </c>
      <c r="BH146" t="n">
        <v>0</v>
      </c>
      <c r="BI146" t="n">
        <v>1</v>
      </c>
      <c r="BJ146" t="n">
        <v>7000</v>
      </c>
      <c r="BK146" t="inlineStr">
        <is>
          <t>LINE</t>
        </is>
      </c>
      <c r="BL146" t="inlineStr">
        <is>
          <t>SEAL REEFER</t>
        </is>
      </c>
      <c r="BM146" t="inlineStr">
        <is>
          <t>SEAL REEFER</t>
        </is>
      </c>
    </row>
    <row r="147">
      <c r="A147" t="n">
        <v>146</v>
      </c>
      <c r="B147" t="inlineStr">
        <is>
          <t>SHARK REEFER</t>
        </is>
      </c>
      <c r="C147" t="inlineStr">
        <is>
          <t>REF000000</t>
        </is>
      </c>
      <c r="D147" t="inlineStr">
        <is>
          <t>REF000000</t>
        </is>
      </c>
      <c r="E147" t="inlineStr">
        <is>
          <t>09-FEB-2026</t>
        </is>
      </c>
      <c r="F147" t="inlineStr">
        <is>
          <t>SHARK REEFER</t>
        </is>
      </c>
      <c r="G147" t="inlineStr">
        <is>
          <t>Prepaid Abroad</t>
        </is>
      </c>
      <c r="H147" t="inlineStr">
        <is>
          <t>Diego</t>
        </is>
      </c>
      <c r="J147" t="n">
        <v>46085</v>
      </c>
      <c r="K147" t="n">
        <v>46083</v>
      </c>
      <c r="L147" t="n">
        <v>46085</v>
      </c>
      <c r="M147" t="inlineStr">
        <is>
          <t>REF000000</t>
        </is>
      </c>
      <c r="N147" t="inlineStr">
        <is>
          <t>USNFK</t>
        </is>
      </c>
      <c r="O147" t="inlineStr">
        <is>
          <t>USNFK</t>
        </is>
      </c>
      <c r="P147" t="inlineStr">
        <is>
          <t>RULED</t>
        </is>
      </c>
      <c r="U147" t="inlineStr">
        <is>
          <t>RULED</t>
        </is>
      </c>
      <c r="V147" t="inlineStr">
        <is>
          <t>RULED</t>
        </is>
      </c>
      <c r="W147" t="inlineStr">
        <is>
          <t>UNITED STATES</t>
        </is>
      </c>
      <c r="X147" t="inlineStr">
        <is>
          <t>Latin America</t>
        </is>
      </c>
      <c r="Y147" t="inlineStr">
        <is>
          <t>RUSSIA</t>
        </is>
      </c>
      <c r="Z147" t="inlineStr">
        <is>
          <t>External Review</t>
        </is>
      </c>
      <c r="AA147" t="inlineStr">
        <is>
          <t>HUB SHIPPING LLC-LED</t>
        </is>
      </c>
      <c r="AB147" t="inlineStr">
        <is>
          <t>Prepaid</t>
        </is>
      </c>
      <c r="AC147" t="inlineStr">
        <is>
          <t>MYD TIANJIN/27BRASTP</t>
        </is>
      </c>
      <c r="AE147" t="inlineStr">
        <is>
          <t>LADEN BOOKING</t>
        </is>
      </c>
      <c r="AF147" t="inlineStr">
        <is>
          <t>Maria Jessica Da Si</t>
        </is>
      </c>
      <c r="AG147" t="inlineStr">
        <is>
          <t>RH40</t>
        </is>
      </c>
      <c r="AH147" t="inlineStr">
        <is>
          <t>NO</t>
        </is>
      </c>
      <c r="AI147" t="n">
        <v>40</v>
      </c>
      <c r="AJ147" t="n">
        <v>0</v>
      </c>
      <c r="AK147" t="n">
        <v>1</v>
      </c>
      <c r="AL147" t="inlineStr">
        <is>
          <t>ANON0000000</t>
        </is>
      </c>
      <c r="AM147" t="n">
        <v>-18</v>
      </c>
      <c r="AP147" t="inlineStr">
        <is>
          <t>Non Haz</t>
        </is>
      </c>
      <c r="AQ147" t="inlineStr">
        <is>
          <t>CY/CY</t>
        </is>
      </c>
      <c r="AT147" t="inlineStr">
        <is>
          <t>REF000000</t>
        </is>
      </c>
      <c r="AU147" t="n">
        <v>28000</v>
      </c>
      <c r="AV147" t="inlineStr">
        <is>
          <t>FROZEN MEAT &amp; FRUIT PULP</t>
        </is>
      </c>
      <c r="AX147" t="inlineStr">
        <is>
          <t>RSUAM112500002</t>
        </is>
      </c>
      <c r="AZ147" t="n">
        <v>5</v>
      </c>
      <c r="BA147" t="n">
        <v>25</v>
      </c>
      <c r="BB147" t="n">
        <v>15</v>
      </c>
      <c r="BC147" t="n">
        <v>7000</v>
      </c>
      <c r="BD147" t="inlineStr">
        <is>
          <t>No</t>
        </is>
      </c>
      <c r="BF147" t="inlineStr">
        <is>
          <t>ARTHA SHIPPING</t>
        </is>
      </c>
      <c r="BG147" t="inlineStr">
        <is>
          <t>USNFK</t>
        </is>
      </c>
      <c r="BH147" t="n">
        <v>0</v>
      </c>
      <c r="BI147" t="n">
        <v>1</v>
      </c>
      <c r="BJ147" t="n">
        <v>7000</v>
      </c>
      <c r="BK147" t="inlineStr">
        <is>
          <t>LINE</t>
        </is>
      </c>
      <c r="BL147" t="inlineStr">
        <is>
          <t>SHARK REEFER</t>
        </is>
      </c>
      <c r="BM147" t="inlineStr">
        <is>
          <t>SHARK REEFER</t>
        </is>
      </c>
    </row>
    <row r="148">
      <c r="A148" t="n">
        <v>147</v>
      </c>
      <c r="B148" t="inlineStr">
        <is>
          <t>DOLPHIN REEFER</t>
        </is>
      </c>
      <c r="C148" t="inlineStr">
        <is>
          <t>REF000000</t>
        </is>
      </c>
      <c r="D148" t="inlineStr">
        <is>
          <t>REF000000</t>
        </is>
      </c>
      <c r="E148" t="inlineStr">
        <is>
          <t>09-FEB-2026</t>
        </is>
      </c>
      <c r="F148" t="inlineStr">
        <is>
          <t>DOLPHIN REEFER</t>
        </is>
      </c>
      <c r="G148" t="inlineStr">
        <is>
          <t>Prepaid Abroad</t>
        </is>
      </c>
      <c r="H148" t="inlineStr">
        <is>
          <t>Diego</t>
        </is>
      </c>
      <c r="J148" t="n">
        <v>46085</v>
      </c>
      <c r="K148" t="n">
        <v>46083</v>
      </c>
      <c r="L148" t="n">
        <v>46085</v>
      </c>
      <c r="M148" t="inlineStr">
        <is>
          <t>REF000000</t>
        </is>
      </c>
      <c r="N148" t="inlineStr">
        <is>
          <t>USNFK</t>
        </is>
      </c>
      <c r="O148" t="inlineStr">
        <is>
          <t>USNFK</t>
        </is>
      </c>
      <c r="P148" t="inlineStr">
        <is>
          <t>RULED</t>
        </is>
      </c>
      <c r="U148" t="inlineStr">
        <is>
          <t>RULED</t>
        </is>
      </c>
      <c r="V148" t="inlineStr">
        <is>
          <t>RULED</t>
        </is>
      </c>
      <c r="W148" t="inlineStr">
        <is>
          <t>UNITED STATES</t>
        </is>
      </c>
      <c r="X148" t="inlineStr">
        <is>
          <t>Latin America</t>
        </is>
      </c>
      <c r="Y148" t="inlineStr">
        <is>
          <t>RUSSIA</t>
        </is>
      </c>
      <c r="Z148" t="inlineStr">
        <is>
          <t>External Review</t>
        </is>
      </c>
      <c r="AA148" t="inlineStr">
        <is>
          <t>HUB SHIPPING LLC-LED</t>
        </is>
      </c>
      <c r="AB148" t="inlineStr">
        <is>
          <t>Prepaid</t>
        </is>
      </c>
      <c r="AC148" t="inlineStr">
        <is>
          <t>MYD TIANJIN/27BRASTP</t>
        </is>
      </c>
      <c r="AE148" t="inlineStr">
        <is>
          <t>LADEN BOOKING</t>
        </is>
      </c>
      <c r="AF148" t="inlineStr">
        <is>
          <t>Maria Jessica Da Si</t>
        </is>
      </c>
      <c r="AG148" t="inlineStr">
        <is>
          <t>RH40</t>
        </is>
      </c>
      <c r="AH148" t="inlineStr">
        <is>
          <t>NO</t>
        </is>
      </c>
      <c r="AI148" t="n">
        <v>40</v>
      </c>
      <c r="AJ148" t="n">
        <v>0</v>
      </c>
      <c r="AK148" t="n">
        <v>1</v>
      </c>
      <c r="AL148" t="inlineStr">
        <is>
          <t>ANON0000000</t>
        </is>
      </c>
      <c r="AM148" t="n">
        <v>-18</v>
      </c>
      <c r="AP148" t="inlineStr">
        <is>
          <t>Non Haz</t>
        </is>
      </c>
      <c r="AQ148" t="inlineStr">
        <is>
          <t>CY/CY</t>
        </is>
      </c>
      <c r="AT148" t="inlineStr">
        <is>
          <t>REF000000</t>
        </is>
      </c>
      <c r="AU148" t="n">
        <v>28000</v>
      </c>
      <c r="AV148" t="inlineStr">
        <is>
          <t>FROZEN MEAT &amp; FRUIT PULP</t>
        </is>
      </c>
      <c r="AX148" t="inlineStr">
        <is>
          <t>RSUAM112500002</t>
        </is>
      </c>
      <c r="AZ148" t="n">
        <v>5</v>
      </c>
      <c r="BA148" t="n">
        <v>25</v>
      </c>
      <c r="BB148" t="n">
        <v>15</v>
      </c>
      <c r="BC148" t="n">
        <v>7000</v>
      </c>
      <c r="BD148" t="inlineStr">
        <is>
          <t>No</t>
        </is>
      </c>
      <c r="BF148" t="inlineStr">
        <is>
          <t>ARTHA SHIPPING</t>
        </is>
      </c>
      <c r="BG148" t="inlineStr">
        <is>
          <t>USNFK</t>
        </is>
      </c>
      <c r="BH148" t="n">
        <v>0</v>
      </c>
      <c r="BI148" t="n">
        <v>1</v>
      </c>
      <c r="BJ148" t="n">
        <v>7000</v>
      </c>
      <c r="BK148" t="inlineStr">
        <is>
          <t>LINE</t>
        </is>
      </c>
      <c r="BL148" t="inlineStr">
        <is>
          <t>DOLPHIN REEFER</t>
        </is>
      </c>
      <c r="BM148" t="inlineStr">
        <is>
          <t>DOLPHIN REEFER</t>
        </is>
      </c>
    </row>
    <row r="149">
      <c r="A149" t="n">
        <v>148</v>
      </c>
      <c r="B149" t="inlineStr">
        <is>
          <t>MARLIN REEFER</t>
        </is>
      </c>
      <c r="C149" t="inlineStr">
        <is>
          <t>REF000000</t>
        </is>
      </c>
      <c r="D149" t="inlineStr">
        <is>
          <t>REF000000</t>
        </is>
      </c>
      <c r="E149" t="inlineStr">
        <is>
          <t>09-FEB-2026</t>
        </is>
      </c>
      <c r="F149" t="inlineStr">
        <is>
          <t>MARLIN REEFER</t>
        </is>
      </c>
      <c r="G149" t="inlineStr">
        <is>
          <t>PREPAID ABROAD</t>
        </is>
      </c>
      <c r="H149" t="inlineStr">
        <is>
          <t>Diego</t>
        </is>
      </c>
      <c r="J149" t="n">
        <v>46085</v>
      </c>
      <c r="K149" t="n">
        <v>46083</v>
      </c>
      <c r="L149" t="n">
        <v>46085</v>
      </c>
      <c r="M149" t="inlineStr">
        <is>
          <t>REF000000</t>
        </is>
      </c>
      <c r="N149" t="inlineStr">
        <is>
          <t>USNFK</t>
        </is>
      </c>
      <c r="O149" t="inlineStr">
        <is>
          <t>USNFK</t>
        </is>
      </c>
      <c r="P149" t="inlineStr">
        <is>
          <t>RULED</t>
        </is>
      </c>
      <c r="U149" t="inlineStr">
        <is>
          <t>RULED</t>
        </is>
      </c>
      <c r="V149" t="inlineStr">
        <is>
          <t>RULED</t>
        </is>
      </c>
      <c r="W149" t="inlineStr">
        <is>
          <t>UNITED STATES</t>
        </is>
      </c>
      <c r="X149" t="inlineStr">
        <is>
          <t>Latin America</t>
        </is>
      </c>
      <c r="Y149" t="inlineStr">
        <is>
          <t>RUSSIA</t>
        </is>
      </c>
      <c r="Z149" t="inlineStr">
        <is>
          <t>External Review</t>
        </is>
      </c>
      <c r="AA149" t="inlineStr">
        <is>
          <t>HUB SHIPPING LLC-LED</t>
        </is>
      </c>
      <c r="AB149" t="inlineStr">
        <is>
          <t>Prepaid</t>
        </is>
      </c>
      <c r="AC149" t="inlineStr">
        <is>
          <t>MYD TIANJIN/27BRASTP</t>
        </is>
      </c>
      <c r="AE149" t="inlineStr">
        <is>
          <t>LADEN BOOKING</t>
        </is>
      </c>
      <c r="AF149" t="inlineStr">
        <is>
          <t>Joao Ribeiro</t>
        </is>
      </c>
      <c r="AG149" t="inlineStr">
        <is>
          <t>RH40</t>
        </is>
      </c>
      <c r="AH149" t="inlineStr">
        <is>
          <t>NO</t>
        </is>
      </c>
      <c r="AI149" t="n">
        <v>40</v>
      </c>
      <c r="AJ149" t="n">
        <v>0</v>
      </c>
      <c r="AK149" t="n">
        <v>1</v>
      </c>
      <c r="AL149" t="inlineStr">
        <is>
          <t>ANON0000000</t>
        </is>
      </c>
      <c r="AM149" t="n">
        <v>-18</v>
      </c>
      <c r="AP149" t="inlineStr">
        <is>
          <t>Non Haz</t>
        </is>
      </c>
      <c r="AQ149" t="inlineStr">
        <is>
          <t>CY/CY</t>
        </is>
      </c>
      <c r="AT149" t="inlineStr">
        <is>
          <t>REF000000</t>
        </is>
      </c>
      <c r="AU149" t="n">
        <v>28000</v>
      </c>
      <c r="AV149" t="inlineStr">
        <is>
          <t>FROZEN MEAT &amp; FRUIT PULP</t>
        </is>
      </c>
      <c r="AX149" t="inlineStr">
        <is>
          <t>RSUAM112500002</t>
        </is>
      </c>
      <c r="AZ149" t="n">
        <v>5</v>
      </c>
      <c r="BA149" t="n">
        <v>25</v>
      </c>
      <c r="BB149" t="n">
        <v>15</v>
      </c>
      <c r="BC149" t="n">
        <v>7000</v>
      </c>
      <c r="BD149" t="inlineStr">
        <is>
          <t>No</t>
        </is>
      </c>
      <c r="BF149" t="inlineStr">
        <is>
          <t>ARTHA SHIPPING</t>
        </is>
      </c>
      <c r="BG149" t="inlineStr">
        <is>
          <t>USNFK</t>
        </is>
      </c>
      <c r="BH149" t="n">
        <v>0</v>
      </c>
      <c r="BI149" t="n">
        <v>1</v>
      </c>
      <c r="BJ149" t="n">
        <v>7000</v>
      </c>
      <c r="BK149" t="inlineStr">
        <is>
          <t>LINE</t>
        </is>
      </c>
      <c r="BL149" t="inlineStr">
        <is>
          <t>MARLIN REEFER</t>
        </is>
      </c>
      <c r="BM149" t="inlineStr">
        <is>
          <t>MARLIN REEFER</t>
        </is>
      </c>
    </row>
    <row r="150">
      <c r="A150" t="n">
        <v>149</v>
      </c>
      <c r="B150" t="inlineStr">
        <is>
          <t>TURTLE REEFER</t>
        </is>
      </c>
      <c r="C150" t="inlineStr">
        <is>
          <t>REF000000</t>
        </is>
      </c>
      <c r="D150" t="inlineStr">
        <is>
          <t>REF000000</t>
        </is>
      </c>
      <c r="E150" t="inlineStr">
        <is>
          <t>09-FEB-2026</t>
        </is>
      </c>
      <c r="F150" t="inlineStr">
        <is>
          <t>TURTLE REEFER</t>
        </is>
      </c>
      <c r="G150" t="inlineStr">
        <is>
          <t>Prepaid Abroad</t>
        </is>
      </c>
      <c r="H150" t="inlineStr">
        <is>
          <t>Diego</t>
        </is>
      </c>
      <c r="J150" t="n">
        <v>46085</v>
      </c>
      <c r="K150" t="n">
        <v>46083</v>
      </c>
      <c r="L150" t="n">
        <v>46085</v>
      </c>
      <c r="M150" t="inlineStr">
        <is>
          <t>REF000000</t>
        </is>
      </c>
      <c r="N150" t="inlineStr">
        <is>
          <t>USNFK</t>
        </is>
      </c>
      <c r="O150" t="inlineStr">
        <is>
          <t>USNFK</t>
        </is>
      </c>
      <c r="P150" t="inlineStr">
        <is>
          <t>RULED</t>
        </is>
      </c>
      <c r="U150" t="inlineStr">
        <is>
          <t>RULED</t>
        </is>
      </c>
      <c r="V150" t="inlineStr">
        <is>
          <t>RULED</t>
        </is>
      </c>
      <c r="W150" t="inlineStr">
        <is>
          <t>UNITED STATES</t>
        </is>
      </c>
      <c r="X150" t="inlineStr">
        <is>
          <t>Latin America</t>
        </is>
      </c>
      <c r="Y150" t="inlineStr">
        <is>
          <t>RUSSIA</t>
        </is>
      </c>
      <c r="Z150" t="inlineStr">
        <is>
          <t>External Review</t>
        </is>
      </c>
      <c r="AA150" t="inlineStr">
        <is>
          <t>HUB SHIPPING LLC-LED</t>
        </is>
      </c>
      <c r="AB150" t="inlineStr">
        <is>
          <t>Prepaid</t>
        </is>
      </c>
      <c r="AC150" t="inlineStr">
        <is>
          <t>MYD TIANJIN/27BRASTP</t>
        </is>
      </c>
      <c r="AE150" t="inlineStr">
        <is>
          <t>LADEN BOOKING</t>
        </is>
      </c>
      <c r="AF150" t="inlineStr">
        <is>
          <t>Maria Jessica Da Si</t>
        </is>
      </c>
      <c r="AG150" t="inlineStr">
        <is>
          <t>RH40</t>
        </is>
      </c>
      <c r="AH150" t="inlineStr">
        <is>
          <t>NO</t>
        </is>
      </c>
      <c r="AI150" t="n">
        <v>40</v>
      </c>
      <c r="AJ150" t="n">
        <v>0</v>
      </c>
      <c r="AK150" t="n">
        <v>1</v>
      </c>
      <c r="AL150" t="inlineStr">
        <is>
          <t>ANON0000000</t>
        </is>
      </c>
      <c r="AM150" t="n">
        <v>-18</v>
      </c>
      <c r="AP150" t="inlineStr">
        <is>
          <t>Non Haz</t>
        </is>
      </c>
      <c r="AQ150" t="inlineStr">
        <is>
          <t>CY/CY</t>
        </is>
      </c>
      <c r="AT150" t="inlineStr">
        <is>
          <t>REF000000</t>
        </is>
      </c>
      <c r="AU150" t="n">
        <v>28000</v>
      </c>
      <c r="AV150" t="inlineStr">
        <is>
          <t>FROZEN MEAT &amp; FRUIT PULP</t>
        </is>
      </c>
      <c r="AX150" t="inlineStr">
        <is>
          <t>RSUAM112500002</t>
        </is>
      </c>
      <c r="AZ150" t="n">
        <v>5</v>
      </c>
      <c r="BA150" t="n">
        <v>25</v>
      </c>
      <c r="BB150" t="n">
        <v>15</v>
      </c>
      <c r="BC150" t="n">
        <v>7000</v>
      </c>
      <c r="BD150" t="inlineStr">
        <is>
          <t>No</t>
        </is>
      </c>
      <c r="BF150" t="inlineStr">
        <is>
          <t>ARTHA SHIPPING</t>
        </is>
      </c>
      <c r="BG150" t="inlineStr">
        <is>
          <t>USNFK</t>
        </is>
      </c>
      <c r="BH150" t="n">
        <v>0</v>
      </c>
      <c r="BI150" t="n">
        <v>1</v>
      </c>
      <c r="BJ150" t="n">
        <v>7000</v>
      </c>
      <c r="BK150" t="inlineStr">
        <is>
          <t>LINE</t>
        </is>
      </c>
      <c r="BL150" t="inlineStr">
        <is>
          <t>TURTLE REEFER</t>
        </is>
      </c>
      <c r="BM150" t="inlineStr">
        <is>
          <t>TURTLE REEFER</t>
        </is>
      </c>
    </row>
    <row r="151">
      <c r="A151" t="n">
        <v>150</v>
      </c>
      <c r="B151" t="inlineStr">
        <is>
          <t>ORCA REEFER</t>
        </is>
      </c>
      <c r="C151" t="inlineStr">
        <is>
          <t>REF000000</t>
        </is>
      </c>
      <c r="D151" t="inlineStr">
        <is>
          <t>REF000000</t>
        </is>
      </c>
      <c r="E151" t="inlineStr">
        <is>
          <t>10-FEB-2026</t>
        </is>
      </c>
      <c r="F151" t="inlineStr">
        <is>
          <t>ORCA REEFER</t>
        </is>
      </c>
      <c r="G151" t="inlineStr">
        <is>
          <t>Food Grade</t>
        </is>
      </c>
      <c r="H151" t="inlineStr">
        <is>
          <t>AdminUAM</t>
        </is>
      </c>
      <c r="J151" t="n">
        <v>46082</v>
      </c>
      <c r="K151" t="inlineStr">
        <is>
          <t>27-FEB-2026</t>
        </is>
      </c>
      <c r="L151" t="n">
        <v>46082</v>
      </c>
      <c r="M151" t="inlineStr">
        <is>
          <t>REF000000</t>
        </is>
      </c>
      <c r="N151" t="inlineStr">
        <is>
          <t>USNFK</t>
        </is>
      </c>
      <c r="O151" t="inlineStr">
        <is>
          <t>USNFK</t>
        </is>
      </c>
      <c r="P151" t="inlineStr">
        <is>
          <t>RULED</t>
        </is>
      </c>
      <c r="U151" t="inlineStr">
        <is>
          <t>RULED</t>
        </is>
      </c>
      <c r="V151" t="inlineStr">
        <is>
          <t>RULED</t>
        </is>
      </c>
      <c r="W151" t="inlineStr">
        <is>
          <t>UNITED STATES</t>
        </is>
      </c>
      <c r="X151" t="inlineStr">
        <is>
          <t>Latin America</t>
        </is>
      </c>
      <c r="Y151" t="inlineStr">
        <is>
          <t>RUSSIA</t>
        </is>
      </c>
      <c r="Z151" t="inlineStr">
        <is>
          <t>External Review</t>
        </is>
      </c>
      <c r="AA151" t="inlineStr">
        <is>
          <t>HUB SHIPPING LLC-LED</t>
        </is>
      </c>
      <c r="AB151" t="inlineStr">
        <is>
          <t>Collect</t>
        </is>
      </c>
      <c r="AC151" t="inlineStr">
        <is>
          <t>LI DA XING/VOYAGE 1</t>
        </is>
      </c>
      <c r="AE151" t="inlineStr">
        <is>
          <t>LADEN BOOKING</t>
        </is>
      </c>
      <c r="AF151" t="inlineStr">
        <is>
          <t>RenniUAM</t>
        </is>
      </c>
      <c r="AG151" t="inlineStr">
        <is>
          <t>HC40</t>
        </is>
      </c>
      <c r="AH151" t="inlineStr">
        <is>
          <t>NO</t>
        </is>
      </c>
      <c r="AI151" t="n">
        <v>40</v>
      </c>
      <c r="AJ151" t="n">
        <v>0</v>
      </c>
      <c r="AK151" t="n">
        <v>2</v>
      </c>
      <c r="AL151" t="inlineStr">
        <is>
          <t>ANON0000000,
ANON0000000</t>
        </is>
      </c>
      <c r="AP151" t="inlineStr">
        <is>
          <t>Non Haz</t>
        </is>
      </c>
      <c r="AQ151" t="inlineStr">
        <is>
          <t>CY/CY</t>
        </is>
      </c>
      <c r="AT151" t="inlineStr">
        <is>
          <t>REF000000</t>
        </is>
      </c>
      <c r="AU151" t="n">
        <v>26000</v>
      </c>
      <c r="AV151" t="inlineStr">
        <is>
          <t>GENERAL COMMODITY</t>
        </is>
      </c>
      <c r="AX151" t="inlineStr">
        <is>
          <t>MRG395760</t>
        </is>
      </c>
      <c r="AY151" t="inlineStr">
        <is>
          <t>LINE</t>
        </is>
      </c>
      <c r="AZ151" t="n">
        <v>0</v>
      </c>
      <c r="BA151" t="n">
        <v>14</v>
      </c>
      <c r="BB151" t="n">
        <v>14</v>
      </c>
      <c r="BC151" t="n">
        <v>2700</v>
      </c>
      <c r="BD151" t="inlineStr">
        <is>
          <t>Yes</t>
        </is>
      </c>
      <c r="BE151" t="inlineStr">
        <is>
          <t>FMC/RFLED/41826</t>
        </is>
      </c>
      <c r="BF151" t="inlineStr">
        <is>
          <t>ARTHA SHIPPING</t>
        </is>
      </c>
      <c r="BG151" t="inlineStr">
        <is>
          <t>RULED</t>
        </is>
      </c>
      <c r="BH151" t="n">
        <v>0</v>
      </c>
      <c r="BI151" t="n">
        <v>2</v>
      </c>
      <c r="BJ151" t="n">
        <v>5400</v>
      </c>
      <c r="BK151" t="inlineStr">
        <is>
          <t>LINE</t>
        </is>
      </c>
      <c r="BL151" t="inlineStr">
        <is>
          <t>ORCA REEFER</t>
        </is>
      </c>
      <c r="BM151" t="inlineStr">
        <is>
          <t>ORCA REEFER</t>
        </is>
      </c>
    </row>
    <row r="152">
      <c r="A152" t="n">
        <v>151</v>
      </c>
      <c r="B152" t="inlineStr">
        <is>
          <t>WHALE REEFER</t>
        </is>
      </c>
      <c r="C152" t="inlineStr">
        <is>
          <t>REF000000</t>
        </is>
      </c>
      <c r="D152" t="inlineStr">
        <is>
          <t>REF000000</t>
        </is>
      </c>
      <c r="E152" t="inlineStr">
        <is>
          <t>10-FEB-2026</t>
        </is>
      </c>
      <c r="F152" t="inlineStr">
        <is>
          <t>WHALE REEFER</t>
        </is>
      </c>
      <c r="G152" t="inlineStr">
        <is>
          <t>Prepaid Abroad</t>
        </is>
      </c>
      <c r="H152" t="inlineStr">
        <is>
          <t>Regional Operations_UNIMAR</t>
        </is>
      </c>
      <c r="J152" t="inlineStr">
        <is>
          <t>18-FEB-2026</t>
        </is>
      </c>
      <c r="K152" t="inlineStr">
        <is>
          <t>17-FEB-2026</t>
        </is>
      </c>
      <c r="L152" t="inlineStr">
        <is>
          <t>18-FEB-2026</t>
        </is>
      </c>
      <c r="M152" t="inlineStr">
        <is>
          <t>REF000000</t>
        </is>
      </c>
      <c r="N152" t="inlineStr">
        <is>
          <t>USNYC</t>
        </is>
      </c>
      <c r="O152" t="inlineStr">
        <is>
          <t>USNYC</t>
        </is>
      </c>
      <c r="P152" t="inlineStr">
        <is>
          <t>RULED</t>
        </is>
      </c>
      <c r="U152" t="inlineStr">
        <is>
          <t>RULED</t>
        </is>
      </c>
      <c r="V152" t="inlineStr">
        <is>
          <t>RULED</t>
        </is>
      </c>
      <c r="W152" t="inlineStr">
        <is>
          <t>UNITED STATES</t>
        </is>
      </c>
      <c r="X152" t="inlineStr">
        <is>
          <t>Latin America</t>
        </is>
      </c>
      <c r="Y152" t="inlineStr">
        <is>
          <t>RUSSIA</t>
        </is>
      </c>
      <c r="Z152" t="inlineStr">
        <is>
          <t>External Review</t>
        </is>
      </c>
      <c r="AA152" t="inlineStr">
        <is>
          <t>HUB SHIPPING LLC-LED</t>
        </is>
      </c>
      <c r="AB152" t="inlineStr">
        <is>
          <t>Prepaid</t>
        </is>
      </c>
      <c r="AC152" t="inlineStr">
        <is>
          <t>LI DA XING/VOYAGE 1</t>
        </is>
      </c>
      <c r="AE152" t="inlineStr">
        <is>
          <t>LADEN BOOKING</t>
        </is>
      </c>
      <c r="AF152" t="inlineStr">
        <is>
          <t>Maria Jessica Da Si</t>
        </is>
      </c>
      <c r="AG152" t="inlineStr">
        <is>
          <t>HC40</t>
        </is>
      </c>
      <c r="AH152" t="inlineStr">
        <is>
          <t>NO</t>
        </is>
      </c>
      <c r="AI152" t="n">
        <v>40</v>
      </c>
      <c r="AJ152" t="n">
        <v>0</v>
      </c>
      <c r="AK152" t="n">
        <v>4</v>
      </c>
      <c r="AL152" t="inlineStr">
        <is>
          <t>ANON0000000,
ANON0000000,
ANON0000000,
ANON0000000</t>
        </is>
      </c>
      <c r="AP152" t="inlineStr">
        <is>
          <t>Non Haz</t>
        </is>
      </c>
      <c r="AQ152" t="inlineStr">
        <is>
          <t>CY/CY</t>
        </is>
      </c>
      <c r="AT152" t="inlineStr">
        <is>
          <t>REF000000</t>
        </is>
      </c>
      <c r="AU152" t="n">
        <v>28000</v>
      </c>
      <c r="AV152" t="inlineStr">
        <is>
          <t>PEANUT</t>
        </is>
      </c>
      <c r="AX152" t="inlineStr">
        <is>
          <t>RSUAM022600011</t>
        </is>
      </c>
      <c r="AZ152" t="n">
        <v>0</v>
      </c>
      <c r="BA152" t="n">
        <v>14</v>
      </c>
      <c r="BB152" t="n">
        <v>14</v>
      </c>
      <c r="BC152" t="n">
        <v>3250</v>
      </c>
      <c r="BD152" t="inlineStr">
        <is>
          <t>No</t>
        </is>
      </c>
      <c r="BF152" t="inlineStr">
        <is>
          <t>ARTHA SHIPPING</t>
        </is>
      </c>
      <c r="BG152" t="inlineStr">
        <is>
          <t>USNYC</t>
        </is>
      </c>
      <c r="BH152" t="n">
        <v>0</v>
      </c>
      <c r="BI152" t="n">
        <v>4</v>
      </c>
      <c r="BJ152" t="n">
        <v>13000</v>
      </c>
      <c r="BK152" t="inlineStr">
        <is>
          <t>LINE</t>
        </is>
      </c>
      <c r="BL152" t="inlineStr">
        <is>
          <t>WHALE REEFER</t>
        </is>
      </c>
      <c r="BM152" t="inlineStr">
        <is>
          <t>WHALE REEFER</t>
        </is>
      </c>
    </row>
    <row r="153">
      <c r="A153" t="n">
        <v>152</v>
      </c>
      <c r="B153" t="inlineStr">
        <is>
          <t>SEAL REEFER</t>
        </is>
      </c>
      <c r="C153" t="inlineStr">
        <is>
          <t>REF000000</t>
        </is>
      </c>
      <c r="D153" t="inlineStr">
        <is>
          <t>REF000000</t>
        </is>
      </c>
      <c r="E153" t="inlineStr">
        <is>
          <t>11-FEB-2026</t>
        </is>
      </c>
      <c r="F153" t="inlineStr">
        <is>
          <t>SEAL REEFER</t>
        </is>
      </c>
      <c r="G153" t="inlineStr">
        <is>
          <t>EVI110201 / Food Grade</t>
        </is>
      </c>
      <c r="H153" t="inlineStr">
        <is>
          <t>AdminUAM</t>
        </is>
      </c>
      <c r="J153" t="n">
        <v>46082</v>
      </c>
      <c r="K153" t="inlineStr">
        <is>
          <t>27-FEB-2026</t>
        </is>
      </c>
      <c r="L153" t="n">
        <v>46082</v>
      </c>
      <c r="M153" t="inlineStr">
        <is>
          <t>REF000000</t>
        </is>
      </c>
      <c r="N153" t="inlineStr">
        <is>
          <t>USNFK</t>
        </is>
      </c>
      <c r="O153" t="inlineStr">
        <is>
          <t>USNFK</t>
        </is>
      </c>
      <c r="P153" t="inlineStr">
        <is>
          <t>RULED</t>
        </is>
      </c>
      <c r="U153" t="inlineStr">
        <is>
          <t>RULED</t>
        </is>
      </c>
      <c r="V153" t="inlineStr">
        <is>
          <t>RULED</t>
        </is>
      </c>
      <c r="W153" t="inlineStr">
        <is>
          <t>UNITED STATES</t>
        </is>
      </c>
      <c r="X153" t="inlineStr">
        <is>
          <t>Latin America</t>
        </is>
      </c>
      <c r="Y153" t="inlineStr">
        <is>
          <t>RUSSIA</t>
        </is>
      </c>
      <c r="Z153" t="inlineStr">
        <is>
          <t>External Review</t>
        </is>
      </c>
      <c r="AA153" t="inlineStr">
        <is>
          <t>HUB SHIPPING LLC-LED</t>
        </is>
      </c>
      <c r="AB153" t="inlineStr">
        <is>
          <t>Collect</t>
        </is>
      </c>
      <c r="AC153" t="inlineStr">
        <is>
          <t>LI DA XING/VOYAGE 1</t>
        </is>
      </c>
      <c r="AE153" t="inlineStr">
        <is>
          <t>LADEN BOOKING</t>
        </is>
      </c>
      <c r="AF153" t="inlineStr">
        <is>
          <t>RenniUAM</t>
        </is>
      </c>
      <c r="AG153" t="inlineStr">
        <is>
          <t>HC40</t>
        </is>
      </c>
      <c r="AH153" t="inlineStr">
        <is>
          <t>NO</t>
        </is>
      </c>
      <c r="AI153" t="n">
        <v>40</v>
      </c>
      <c r="AJ153" t="n">
        <v>0</v>
      </c>
      <c r="AK153" t="n">
        <v>10</v>
      </c>
      <c r="AL153" t="inlineStr">
        <is>
          <t>ANON0000000,
ANON0000000,
ANON0000000,
ANON0000000,
ANON0000000,
ANON0000000,
ANON0000000,
ANON0000000,
ANON0000000,
ANON0000000</t>
        </is>
      </c>
      <c r="AP153" t="inlineStr">
        <is>
          <t>Non Haz</t>
        </is>
      </c>
      <c r="AQ153" t="inlineStr">
        <is>
          <t>CY/CY</t>
        </is>
      </c>
      <c r="AT153" t="inlineStr">
        <is>
          <t>REF000000</t>
        </is>
      </c>
      <c r="AU153" t="n">
        <v>23000</v>
      </c>
      <c r="AV153" t="inlineStr">
        <is>
          <t>GENERAL COMMODITY</t>
        </is>
      </c>
      <c r="AX153" t="inlineStr">
        <is>
          <t>MRG395760</t>
        </is>
      </c>
      <c r="AY153" t="inlineStr">
        <is>
          <t>LINE</t>
        </is>
      </c>
      <c r="AZ153" t="n">
        <v>0</v>
      </c>
      <c r="BA153" t="n">
        <v>14</v>
      </c>
      <c r="BB153" t="n">
        <v>14</v>
      </c>
      <c r="BC153" t="n">
        <v>3350</v>
      </c>
      <c r="BD153" t="inlineStr">
        <is>
          <t>Yes</t>
        </is>
      </c>
      <c r="BE153" t="inlineStr">
        <is>
          <t>FMC/RFLED/42432</t>
        </is>
      </c>
      <c r="BF153" t="inlineStr">
        <is>
          <t>ARTHA SHIPPING</t>
        </is>
      </c>
      <c r="BG153" t="inlineStr">
        <is>
          <t>RULED</t>
        </is>
      </c>
      <c r="BH153" t="n">
        <v>0</v>
      </c>
      <c r="BI153" t="n">
        <v>10</v>
      </c>
      <c r="BJ153" t="n">
        <v>33500</v>
      </c>
      <c r="BK153" t="inlineStr">
        <is>
          <t>LINE</t>
        </is>
      </c>
      <c r="BL153" t="inlineStr">
        <is>
          <t>SEAL REEFER</t>
        </is>
      </c>
      <c r="BM153" t="inlineStr">
        <is>
          <t>SEAL REEFER</t>
        </is>
      </c>
    </row>
    <row r="154">
      <c r="A154" t="n">
        <v>153</v>
      </c>
      <c r="B154" t="inlineStr">
        <is>
          <t>SHARK REEFER</t>
        </is>
      </c>
      <c r="C154" t="inlineStr">
        <is>
          <t>REF000000</t>
        </is>
      </c>
      <c r="D154" t="inlineStr">
        <is>
          <t>REF000000</t>
        </is>
      </c>
      <c r="E154" t="inlineStr">
        <is>
          <t>12-FEB-2026</t>
        </is>
      </c>
      <c r="F154" t="inlineStr">
        <is>
          <t>SHARK REEFER</t>
        </is>
      </c>
      <c r="G154" t="inlineStr">
        <is>
          <t>PREPAID ABROAD</t>
        </is>
      </c>
      <c r="H154" t="inlineStr">
        <is>
          <t>Regional Operations_UNIMAR</t>
        </is>
      </c>
      <c r="J154" t="inlineStr">
        <is>
          <t>11-APR-2026</t>
        </is>
      </c>
      <c r="K154" t="inlineStr">
        <is>
          <t>10-APR-2026</t>
        </is>
      </c>
      <c r="L154" t="inlineStr">
        <is>
          <t>11-APR-2026</t>
        </is>
      </c>
      <c r="M154" t="inlineStr">
        <is>
          <t>REF000000</t>
        </is>
      </c>
      <c r="N154" t="inlineStr">
        <is>
          <t>USHOU</t>
        </is>
      </c>
      <c r="O154" t="inlineStr">
        <is>
          <t>USHOU</t>
        </is>
      </c>
      <c r="P154" t="inlineStr">
        <is>
          <t>RUBLT</t>
        </is>
      </c>
      <c r="U154" t="inlineStr">
        <is>
          <t>RUBLT</t>
        </is>
      </c>
      <c r="V154" t="inlineStr">
        <is>
          <t>RUBLT</t>
        </is>
      </c>
      <c r="W154" t="inlineStr">
        <is>
          <t>UNITED STATES</t>
        </is>
      </c>
      <c r="X154" t="inlineStr">
        <is>
          <t>Latin America</t>
        </is>
      </c>
      <c r="Y154" t="inlineStr">
        <is>
          <t>RUSSIA</t>
        </is>
      </c>
      <c r="Z154" t="inlineStr">
        <is>
          <t>External Review</t>
        </is>
      </c>
      <c r="AA154" t="inlineStr">
        <is>
          <t>HUB Shipping-Kaliningrad</t>
        </is>
      </c>
      <c r="AB154" t="inlineStr">
        <is>
          <t>Prepaid</t>
        </is>
      </c>
      <c r="AC154" t="inlineStr">
        <is>
          <t>MERCURY / VOYAGE 1</t>
        </is>
      </c>
      <c r="AE154" t="inlineStr">
        <is>
          <t>LADEN BOOKING</t>
        </is>
      </c>
      <c r="AF154" t="inlineStr">
        <is>
          <t>Maria Jessica Da Si</t>
        </is>
      </c>
      <c r="AG154" t="inlineStr">
        <is>
          <t>RH40</t>
        </is>
      </c>
      <c r="AH154" t="inlineStr">
        <is>
          <t>NO</t>
        </is>
      </c>
      <c r="AI154" t="n">
        <v>40</v>
      </c>
      <c r="AJ154" t="n">
        <v>0</v>
      </c>
      <c r="AK154" t="n">
        <v>8</v>
      </c>
      <c r="AL154" t="inlineStr">
        <is>
          <t>ANON0000000,
ANON0000000,
ANON0000000,
ANON0000000,
ANON0000000,
ANON0000000,
ANON0000000,
ANON0000000</t>
        </is>
      </c>
      <c r="AM154" t="inlineStr">
        <is>
          <t>-22,22,22</t>
        </is>
      </c>
      <c r="AP154" t="inlineStr">
        <is>
          <t>Non Haz</t>
        </is>
      </c>
      <c r="AQ154" t="inlineStr">
        <is>
          <t>CY/CY</t>
        </is>
      </c>
      <c r="AT154" t="inlineStr">
        <is>
          <t>REF000000,
REF000000,
REF000000,
REF000000,
REF000000,
REF000000,
REF000000,
REF000000</t>
        </is>
      </c>
      <c r="AU154" t="n">
        <v>28000</v>
      </c>
      <c r="AV154" t="inlineStr">
        <is>
          <t>FROZEN MEAT</t>
        </is>
      </c>
      <c r="AX154" t="inlineStr">
        <is>
          <t>RSUAM012600015</t>
        </is>
      </c>
      <c r="AZ154" t="n">
        <v>4</v>
      </c>
      <c r="BA154" t="n">
        <v>30</v>
      </c>
      <c r="BB154" t="n">
        <v>10</v>
      </c>
      <c r="BC154" t="n">
        <v>9620</v>
      </c>
      <c r="BD154" t="inlineStr">
        <is>
          <t>No</t>
        </is>
      </c>
      <c r="BF154" t="inlineStr">
        <is>
          <t>ARTHA SHIPPING</t>
        </is>
      </c>
      <c r="BG154" t="inlineStr">
        <is>
          <t>USHOU</t>
        </is>
      </c>
      <c r="BH154" t="n">
        <v>0</v>
      </c>
      <c r="BI154" t="n">
        <v>8</v>
      </c>
      <c r="BJ154" t="n">
        <v>76960</v>
      </c>
      <c r="BK154" t="inlineStr">
        <is>
          <t>LINE</t>
        </is>
      </c>
      <c r="BL154" t="inlineStr">
        <is>
          <t>SHARK REEFER</t>
        </is>
      </c>
      <c r="BM154" t="inlineStr">
        <is>
          <t>SHARK REEFER</t>
        </is>
      </c>
    </row>
    <row r="155">
      <c r="A155" t="n">
        <v>154</v>
      </c>
      <c r="B155" t="inlineStr">
        <is>
          <t>DOLPHIN REEFER</t>
        </is>
      </c>
      <c r="C155" t="inlineStr">
        <is>
          <t>REF000000</t>
        </is>
      </c>
      <c r="D155" t="inlineStr">
        <is>
          <t>REF000000</t>
        </is>
      </c>
      <c r="E155" t="inlineStr">
        <is>
          <t>12-FEB-2026</t>
        </is>
      </c>
      <c r="F155" t="inlineStr">
        <is>
          <t>DOLPHIN REEFER</t>
        </is>
      </c>
      <c r="G155" t="inlineStr">
        <is>
          <t>PREPAID ABROAD</t>
        </is>
      </c>
      <c r="H155" t="inlineStr">
        <is>
          <t>Regional Operations_UNIMAR</t>
        </is>
      </c>
      <c r="J155" t="n">
        <v>46082</v>
      </c>
      <c r="K155" t="inlineStr">
        <is>
          <t>27-FEB-2026</t>
        </is>
      </c>
      <c r="L155" t="n">
        <v>46082</v>
      </c>
      <c r="M155" t="inlineStr">
        <is>
          <t>REF000000</t>
        </is>
      </c>
      <c r="N155" t="inlineStr">
        <is>
          <t>USNFK</t>
        </is>
      </c>
      <c r="O155" t="inlineStr">
        <is>
          <t>USNFK</t>
        </is>
      </c>
      <c r="P155" t="inlineStr">
        <is>
          <t>RUBLT</t>
        </is>
      </c>
      <c r="U155" t="inlineStr">
        <is>
          <t>RUBLT</t>
        </is>
      </c>
      <c r="V155" t="inlineStr">
        <is>
          <t>RUBLT</t>
        </is>
      </c>
      <c r="W155" t="inlineStr">
        <is>
          <t>UNITED STATES</t>
        </is>
      </c>
      <c r="X155" t="inlineStr">
        <is>
          <t>Latin America</t>
        </is>
      </c>
      <c r="Y155" t="inlineStr">
        <is>
          <t>RUSSIA</t>
        </is>
      </c>
      <c r="Z155" t="inlineStr">
        <is>
          <t>External Review</t>
        </is>
      </c>
      <c r="AA155" t="inlineStr">
        <is>
          <t>HUB Shipping-Kaliningrad</t>
        </is>
      </c>
      <c r="AB155" t="inlineStr">
        <is>
          <t>Prepaid</t>
        </is>
      </c>
      <c r="AC155" t="inlineStr">
        <is>
          <t>LI DA XING/VOYAGE 1</t>
        </is>
      </c>
      <c r="AE155" t="inlineStr">
        <is>
          <t>LADEN BOOKING</t>
        </is>
      </c>
      <c r="AF155" t="inlineStr">
        <is>
          <t>Joao Ribeiro</t>
        </is>
      </c>
      <c r="AG155" t="inlineStr">
        <is>
          <t>RH40</t>
        </is>
      </c>
      <c r="AH155" t="inlineStr">
        <is>
          <t>NO</t>
        </is>
      </c>
      <c r="AI155" t="n">
        <v>40</v>
      </c>
      <c r="AJ155" t="n">
        <v>0</v>
      </c>
      <c r="AK155" t="n">
        <v>1</v>
      </c>
      <c r="AL155" t="inlineStr">
        <is>
          <t>ANON0000000</t>
        </is>
      </c>
      <c r="AM155" t="n">
        <v>-22</v>
      </c>
      <c r="AP155" t="inlineStr">
        <is>
          <t>Non Haz</t>
        </is>
      </c>
      <c r="AQ155" t="inlineStr">
        <is>
          <t>CY/CY</t>
        </is>
      </c>
      <c r="AT155" t="inlineStr">
        <is>
          <t>REF000000</t>
        </is>
      </c>
      <c r="AU155" t="n">
        <v>27000</v>
      </c>
      <c r="AV155" t="inlineStr">
        <is>
          <t>FROZEN MEAT &amp; FRUIT PULP</t>
        </is>
      </c>
      <c r="AX155" t="inlineStr">
        <is>
          <t>RSUAM122500019</t>
        </is>
      </c>
      <c r="AZ155" t="n">
        <v>2</v>
      </c>
      <c r="BA155" t="n">
        <v>25</v>
      </c>
      <c r="BB155" t="n">
        <v>15</v>
      </c>
      <c r="BC155" t="n">
        <v>9200</v>
      </c>
      <c r="BD155" t="inlineStr">
        <is>
          <t>No</t>
        </is>
      </c>
      <c r="BF155" t="inlineStr">
        <is>
          <t>ARTHA SHIPPING</t>
        </is>
      </c>
      <c r="BG155" t="inlineStr">
        <is>
          <t>USNFK</t>
        </is>
      </c>
      <c r="BH155" t="n">
        <v>0</v>
      </c>
      <c r="BI155" t="n">
        <v>1</v>
      </c>
      <c r="BJ155" t="n">
        <v>9200</v>
      </c>
      <c r="BK155" t="inlineStr">
        <is>
          <t>LINE</t>
        </is>
      </c>
      <c r="BL155" t="inlineStr">
        <is>
          <t>DOLPHIN REEFER</t>
        </is>
      </c>
      <c r="BM155" t="inlineStr">
        <is>
          <t>DOLPHIN REEFER</t>
        </is>
      </c>
    </row>
    <row r="156">
      <c r="A156" t="n">
        <v>155</v>
      </c>
      <c r="B156" t="inlineStr">
        <is>
          <t>MARLIN REEFER</t>
        </is>
      </c>
      <c r="C156" t="inlineStr">
        <is>
          <t>REF000000</t>
        </is>
      </c>
      <c r="D156" t="inlineStr">
        <is>
          <t>REF000000</t>
        </is>
      </c>
      <c r="E156" t="inlineStr">
        <is>
          <t>13-FEB-2026</t>
        </is>
      </c>
      <c r="F156" t="inlineStr">
        <is>
          <t>MARLIN REEFER</t>
        </is>
      </c>
      <c r="G156" t="inlineStr">
        <is>
          <t>PREPAID ABROAD</t>
        </is>
      </c>
      <c r="H156" t="inlineStr">
        <is>
          <t>Regional Operations_UNIMAR</t>
        </is>
      </c>
      <c r="J156" t="inlineStr">
        <is>
          <t>10-APR-2026</t>
        </is>
      </c>
      <c r="K156" t="inlineStr">
        <is>
          <t>06-APR-2026</t>
        </is>
      </c>
      <c r="L156" t="inlineStr">
        <is>
          <t>10-APR-2026</t>
        </is>
      </c>
      <c r="M156" t="inlineStr">
        <is>
          <t>REF000000</t>
        </is>
      </c>
      <c r="N156" t="inlineStr">
        <is>
          <t>USNYC</t>
        </is>
      </c>
      <c r="O156" t="inlineStr">
        <is>
          <t>USNYC</t>
        </is>
      </c>
      <c r="P156" t="inlineStr">
        <is>
          <t>RUBLT</t>
        </is>
      </c>
      <c r="U156" t="inlineStr">
        <is>
          <t>RUBLT</t>
        </is>
      </c>
      <c r="V156" t="inlineStr">
        <is>
          <t>RUBLT</t>
        </is>
      </c>
      <c r="W156" t="inlineStr">
        <is>
          <t>UNITED STATES</t>
        </is>
      </c>
      <c r="X156" t="inlineStr">
        <is>
          <t>Latin America</t>
        </is>
      </c>
      <c r="Y156" t="inlineStr">
        <is>
          <t>RUSSIA</t>
        </is>
      </c>
      <c r="Z156" t="inlineStr">
        <is>
          <t>External Review</t>
        </is>
      </c>
      <c r="AA156" t="inlineStr">
        <is>
          <t>HUB Shipping-Kaliningrad</t>
        </is>
      </c>
      <c r="AB156" t="inlineStr">
        <is>
          <t>Prepaid</t>
        </is>
      </c>
      <c r="AC156" t="inlineStr">
        <is>
          <t>MERCURY / VOYAGE 1</t>
        </is>
      </c>
      <c r="AE156" t="inlineStr">
        <is>
          <t>LADEN BOOKING</t>
        </is>
      </c>
      <c r="AF156" t="inlineStr">
        <is>
          <t>Maria Jessica Da Si</t>
        </is>
      </c>
      <c r="AG156" t="inlineStr">
        <is>
          <t>RH40</t>
        </is>
      </c>
      <c r="AH156" t="inlineStr">
        <is>
          <t>NO</t>
        </is>
      </c>
      <c r="AI156" t="n">
        <v>40</v>
      </c>
      <c r="AJ156" t="n">
        <v>0</v>
      </c>
      <c r="AK156" t="n">
        <v>1</v>
      </c>
      <c r="AL156" t="inlineStr">
        <is>
          <t>ANON0000000</t>
        </is>
      </c>
      <c r="AM156" t="n">
        <v>-18</v>
      </c>
      <c r="AP156" t="inlineStr">
        <is>
          <t>Non Haz</t>
        </is>
      </c>
      <c r="AQ156" t="inlineStr">
        <is>
          <t>CY/CY</t>
        </is>
      </c>
      <c r="AT156" t="inlineStr">
        <is>
          <t>REF000000</t>
        </is>
      </c>
      <c r="AU156" t="n">
        <v>28000</v>
      </c>
      <c r="AV156" t="inlineStr">
        <is>
          <t>FROZEN MEAT</t>
        </is>
      </c>
      <c r="AX156" t="inlineStr">
        <is>
          <t>RSUAM012600023</t>
        </is>
      </c>
      <c r="AZ156" t="n">
        <v>5</v>
      </c>
      <c r="BA156" t="n">
        <v>30</v>
      </c>
      <c r="BB156" t="n">
        <v>15</v>
      </c>
      <c r="BC156" t="n">
        <v>9100</v>
      </c>
      <c r="BD156" t="inlineStr">
        <is>
          <t>No</t>
        </is>
      </c>
      <c r="BF156" t="inlineStr">
        <is>
          <t>ARTHA SHIPPING</t>
        </is>
      </c>
      <c r="BG156" t="inlineStr">
        <is>
          <t>USNYC</t>
        </is>
      </c>
      <c r="BH156" t="n">
        <v>0</v>
      </c>
      <c r="BI156" t="n">
        <v>1</v>
      </c>
      <c r="BJ156" t="n">
        <v>9100</v>
      </c>
      <c r="BK156" t="inlineStr">
        <is>
          <t>LINE</t>
        </is>
      </c>
      <c r="BL156" t="inlineStr">
        <is>
          <t>MARLIN REEFER</t>
        </is>
      </c>
      <c r="BM156" t="inlineStr">
        <is>
          <t>MARLIN REEFER</t>
        </is>
      </c>
    </row>
    <row r="157">
      <c r="A157" t="n">
        <v>156</v>
      </c>
      <c r="B157" t="inlineStr">
        <is>
          <t>TURTLE REEFER</t>
        </is>
      </c>
      <c r="C157" t="inlineStr">
        <is>
          <t>REF000000</t>
        </is>
      </c>
      <c r="D157" t="inlineStr">
        <is>
          <t>REF000000</t>
        </is>
      </c>
      <c r="E157" t="inlineStr">
        <is>
          <t>16-FEB-2026</t>
        </is>
      </c>
      <c r="F157" t="inlineStr">
        <is>
          <t>TURTLE REEFER</t>
        </is>
      </c>
      <c r="G157" t="inlineStr">
        <is>
          <t>prepaid abroad</t>
        </is>
      </c>
      <c r="H157" t="inlineStr">
        <is>
          <t>Regional Operations_UNIMAR</t>
        </is>
      </c>
      <c r="J157" t="inlineStr">
        <is>
          <t>10-APR-2026</t>
        </is>
      </c>
      <c r="K157" t="inlineStr">
        <is>
          <t>06-APR-2026</t>
        </is>
      </c>
      <c r="L157" t="inlineStr">
        <is>
          <t>10-APR-2026</t>
        </is>
      </c>
      <c r="M157" t="inlineStr">
        <is>
          <t>REF000000</t>
        </is>
      </c>
      <c r="N157" t="inlineStr">
        <is>
          <t>USNYC</t>
        </is>
      </c>
      <c r="O157" t="inlineStr">
        <is>
          <t>USNYC</t>
        </is>
      </c>
      <c r="P157" t="inlineStr">
        <is>
          <t>RUBLT</t>
        </is>
      </c>
      <c r="U157" t="inlineStr">
        <is>
          <t>RUBLT</t>
        </is>
      </c>
      <c r="V157" t="inlineStr">
        <is>
          <t>RUBLT</t>
        </is>
      </c>
      <c r="W157" t="inlineStr">
        <is>
          <t>UNITED STATES</t>
        </is>
      </c>
      <c r="X157" t="inlineStr">
        <is>
          <t>Latin America</t>
        </is>
      </c>
      <c r="Y157" t="inlineStr">
        <is>
          <t>RUSSIA</t>
        </is>
      </c>
      <c r="Z157" t="inlineStr">
        <is>
          <t>External Review</t>
        </is>
      </c>
      <c r="AA157" t="inlineStr">
        <is>
          <t>HUB Shipping-Kaliningrad</t>
        </is>
      </c>
      <c r="AB157" t="inlineStr">
        <is>
          <t>Prepaid</t>
        </is>
      </c>
      <c r="AC157" t="inlineStr">
        <is>
          <t>MERCURY / VOYAGE 1</t>
        </is>
      </c>
      <c r="AE157" t="inlineStr">
        <is>
          <t>LADEN BOOKING</t>
        </is>
      </c>
      <c r="AF157" t="inlineStr">
        <is>
          <t>Joao Ribeiro</t>
        </is>
      </c>
      <c r="AG157" t="inlineStr">
        <is>
          <t>RH40</t>
        </is>
      </c>
      <c r="AH157" t="inlineStr">
        <is>
          <t>NO</t>
        </is>
      </c>
      <c r="AI157" t="n">
        <v>40</v>
      </c>
      <c r="AJ157" t="n">
        <v>0</v>
      </c>
      <c r="AK157" t="n">
        <v>1</v>
      </c>
      <c r="AL157" t="inlineStr">
        <is>
          <t>ANON0000000</t>
        </is>
      </c>
      <c r="AM157" t="n">
        <v>-18</v>
      </c>
      <c r="AP157" t="inlineStr">
        <is>
          <t>Non Haz</t>
        </is>
      </c>
      <c r="AQ157" t="inlineStr">
        <is>
          <t>CY/CY</t>
        </is>
      </c>
      <c r="AT157" t="inlineStr">
        <is>
          <t>REF000000</t>
        </is>
      </c>
      <c r="AU157" t="n">
        <v>28000</v>
      </c>
      <c r="AV157" t="inlineStr">
        <is>
          <t>FROZEN MEAT</t>
        </is>
      </c>
      <c r="AX157" t="inlineStr">
        <is>
          <t>RSUAM012600044</t>
        </is>
      </c>
      <c r="AZ157" t="n">
        <v>2</v>
      </c>
      <c r="BA157" t="n">
        <v>25</v>
      </c>
      <c r="BB157" t="n">
        <v>15</v>
      </c>
      <c r="BC157" t="n">
        <v>9350</v>
      </c>
      <c r="BD157" t="inlineStr">
        <is>
          <t>No</t>
        </is>
      </c>
      <c r="BF157" t="inlineStr">
        <is>
          <t>ARTHA SHIPPING</t>
        </is>
      </c>
      <c r="BG157" t="inlineStr">
        <is>
          <t>USNYC</t>
        </is>
      </c>
      <c r="BH157" t="n">
        <v>0</v>
      </c>
      <c r="BI157" t="n">
        <v>1</v>
      </c>
      <c r="BJ157" t="n">
        <v>9350</v>
      </c>
      <c r="BK157" t="inlineStr">
        <is>
          <t>LINE</t>
        </is>
      </c>
      <c r="BL157" t="inlineStr">
        <is>
          <t>TURTLE REEFER</t>
        </is>
      </c>
      <c r="BM157" t="inlineStr">
        <is>
          <t>TURTLE REEFER</t>
        </is>
      </c>
    </row>
    <row r="158">
      <c r="A158" t="n">
        <v>157</v>
      </c>
      <c r="B158" t="inlineStr">
        <is>
          <t>FALCON DRY</t>
        </is>
      </c>
      <c r="C158" t="inlineStr">
        <is>
          <t>REF000000</t>
        </is>
      </c>
      <c r="D158" t="inlineStr">
        <is>
          <t>REF000000</t>
        </is>
      </c>
      <c r="E158" t="inlineStr">
        <is>
          <t>16-FEB-2026</t>
        </is>
      </c>
      <c r="F158" t="inlineStr">
        <is>
          <t>FALCON DRY</t>
        </is>
      </c>
      <c r="G158" t="inlineStr">
        <is>
          <t>EVI160201</t>
        </is>
      </c>
      <c r="H158" t="inlineStr">
        <is>
          <t>AdminUAM</t>
        </is>
      </c>
      <c r="J158" t="n">
        <v>46082</v>
      </c>
      <c r="K158" t="inlineStr">
        <is>
          <t>27-FEB-2026</t>
        </is>
      </c>
      <c r="L158" t="n">
        <v>46082</v>
      </c>
      <c r="M158" t="inlineStr">
        <is>
          <t>REF000000</t>
        </is>
      </c>
      <c r="N158" t="inlineStr">
        <is>
          <t>USNFK</t>
        </is>
      </c>
      <c r="O158" t="inlineStr">
        <is>
          <t>USNFK</t>
        </is>
      </c>
      <c r="P158" t="inlineStr">
        <is>
          <t>RULED</t>
        </is>
      </c>
      <c r="U158" t="inlineStr">
        <is>
          <t>RULED</t>
        </is>
      </c>
      <c r="V158" t="inlineStr">
        <is>
          <t>RULED</t>
        </is>
      </c>
      <c r="W158" t="inlineStr">
        <is>
          <t>UNITED STATES</t>
        </is>
      </c>
      <c r="X158" t="inlineStr">
        <is>
          <t>Latin America</t>
        </is>
      </c>
      <c r="Y158" t="inlineStr">
        <is>
          <t>RUSSIA</t>
        </is>
      </c>
      <c r="Z158" t="inlineStr">
        <is>
          <t>External Review</t>
        </is>
      </c>
      <c r="AA158" t="inlineStr">
        <is>
          <t>HUB SHIPPING LLC-LED</t>
        </is>
      </c>
      <c r="AB158" t="inlineStr">
        <is>
          <t>Collect</t>
        </is>
      </c>
      <c r="AC158" t="inlineStr">
        <is>
          <t>LI DA XING/VOYAGE 1</t>
        </is>
      </c>
      <c r="AE158" t="inlineStr">
        <is>
          <t>LADEN BOOKING</t>
        </is>
      </c>
      <c r="AF158" t="inlineStr">
        <is>
          <t>RenniUAM</t>
        </is>
      </c>
      <c r="AG158" t="inlineStr">
        <is>
          <t>HC40</t>
        </is>
      </c>
      <c r="AH158" t="inlineStr">
        <is>
          <t>NO</t>
        </is>
      </c>
      <c r="AI158" t="n">
        <v>40</v>
      </c>
      <c r="AJ158" t="n">
        <v>0</v>
      </c>
      <c r="AK158" t="n">
        <v>35</v>
      </c>
      <c r="AL158" t="inlineStr">
        <is>
          <t>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ANON0000000,
ANON0000000</t>
        </is>
      </c>
      <c r="AP158" t="inlineStr">
        <is>
          <t>Non Haz</t>
        </is>
      </c>
      <c r="AQ158" t="inlineStr">
        <is>
          <t>CY/CY</t>
        </is>
      </c>
      <c r="AT158" t="inlineStr">
        <is>
          <t>REF000000,
REF000000,
REF000000,
REF000000</t>
        </is>
      </c>
      <c r="AU158" t="n">
        <v>23000</v>
      </c>
      <c r="AV158" t="inlineStr">
        <is>
          <t>GENERAL COMMODITY</t>
        </is>
      </c>
      <c r="AX158" t="inlineStr">
        <is>
          <t>RSUAM022600015</t>
        </is>
      </c>
      <c r="AZ158" t="n">
        <v>0</v>
      </c>
      <c r="BA158" t="n">
        <v>14</v>
      </c>
      <c r="BB158" t="n">
        <v>14</v>
      </c>
      <c r="BC158" t="n">
        <v>3400</v>
      </c>
      <c r="BD158" t="inlineStr">
        <is>
          <t>Yes</t>
        </is>
      </c>
      <c r="BF158" t="inlineStr">
        <is>
          <t>ARTHA SHIPPING</t>
        </is>
      </c>
      <c r="BG158" t="inlineStr">
        <is>
          <t>RULED</t>
        </is>
      </c>
      <c r="BH158" t="n">
        <v>0</v>
      </c>
      <c r="BI158" t="n">
        <v>35</v>
      </c>
      <c r="BJ158" t="n">
        <v>119000</v>
      </c>
      <c r="BK158" t="inlineStr">
        <is>
          <t>LINE</t>
        </is>
      </c>
      <c r="BL158" t="inlineStr">
        <is>
          <t>FALCON DRY</t>
        </is>
      </c>
      <c r="BM158" t="inlineStr">
        <is>
          <t>FALCON DRY</t>
        </is>
      </c>
    </row>
    <row r="159">
      <c r="A159" t="n">
        <v>158</v>
      </c>
      <c r="B159" t="inlineStr">
        <is>
          <t>WOLF DRY</t>
        </is>
      </c>
      <c r="C159" t="inlineStr">
        <is>
          <t>REF000000</t>
        </is>
      </c>
      <c r="D159" t="inlineStr">
        <is>
          <t>REF000000</t>
        </is>
      </c>
      <c r="E159" t="inlineStr">
        <is>
          <t>18-FEB-2026</t>
        </is>
      </c>
      <c r="F159" t="inlineStr">
        <is>
          <t>WOLF DRY</t>
        </is>
      </c>
      <c r="G159" t="inlineStr">
        <is>
          <t>EVI180201 / Food Grade</t>
        </is>
      </c>
      <c r="H159" t="inlineStr">
        <is>
          <t>AdminUAM</t>
        </is>
      </c>
      <c r="J159" t="inlineStr">
        <is>
          <t>11-APR-2026</t>
        </is>
      </c>
      <c r="K159" t="inlineStr">
        <is>
          <t>10-APR-2026</t>
        </is>
      </c>
      <c r="L159" t="inlineStr">
        <is>
          <t>11-APR-2026</t>
        </is>
      </c>
      <c r="M159" t="inlineStr">
        <is>
          <t>REF000000</t>
        </is>
      </c>
      <c r="N159" t="inlineStr">
        <is>
          <t>USHOU</t>
        </is>
      </c>
      <c r="O159" t="inlineStr">
        <is>
          <t>USHOU</t>
        </is>
      </c>
      <c r="P159" t="inlineStr">
        <is>
          <t>RULED</t>
        </is>
      </c>
      <c r="U159" t="inlineStr">
        <is>
          <t>RULED</t>
        </is>
      </c>
      <c r="V159" t="inlineStr">
        <is>
          <t>RULED</t>
        </is>
      </c>
      <c r="W159" t="inlineStr">
        <is>
          <t>UNITED STATES</t>
        </is>
      </c>
      <c r="X159" t="inlineStr">
        <is>
          <t>Latin America</t>
        </is>
      </c>
      <c r="Y159" t="inlineStr">
        <is>
          <t>RUSSIA</t>
        </is>
      </c>
      <c r="Z159" t="inlineStr">
        <is>
          <t>External Review</t>
        </is>
      </c>
      <c r="AA159" t="inlineStr">
        <is>
          <t>HUB SHIPPING LLC-LED</t>
        </is>
      </c>
      <c r="AB159" t="inlineStr">
        <is>
          <t>Collect</t>
        </is>
      </c>
      <c r="AC159" t="inlineStr">
        <is>
          <t>MERCURY / VOYAGE 1</t>
        </is>
      </c>
      <c r="AE159" t="inlineStr">
        <is>
          <t>LADEN BOOKING</t>
        </is>
      </c>
      <c r="AF159" t="inlineStr">
        <is>
          <t>RenniUAM</t>
        </is>
      </c>
      <c r="AG159" t="inlineStr">
        <is>
          <t>HC40</t>
        </is>
      </c>
      <c r="AH159" t="inlineStr">
        <is>
          <t>NO</t>
        </is>
      </c>
      <c r="AI159" t="n">
        <v>40</v>
      </c>
      <c r="AJ159" t="n">
        <v>0</v>
      </c>
      <c r="AK159" t="n">
        <v>1</v>
      </c>
      <c r="AL159" t="inlineStr">
        <is>
          <t>ANON0000000</t>
        </is>
      </c>
      <c r="AP159" t="inlineStr">
        <is>
          <t>Non Haz</t>
        </is>
      </c>
      <c r="AQ159" t="inlineStr">
        <is>
          <t>CY/CY</t>
        </is>
      </c>
      <c r="AT159" t="inlineStr">
        <is>
          <t>REF000000</t>
        </is>
      </c>
      <c r="AU159" t="n">
        <v>26000</v>
      </c>
      <c r="AV159" t="inlineStr">
        <is>
          <t>GENERAL COMMODITY</t>
        </is>
      </c>
      <c r="AX159" t="inlineStr">
        <is>
          <t>MRG401674</t>
        </is>
      </c>
      <c r="AY159" t="inlineStr">
        <is>
          <t>LINE</t>
        </is>
      </c>
      <c r="AZ159" t="n">
        <v>0</v>
      </c>
      <c r="BA159" t="n">
        <v>14</v>
      </c>
      <c r="BB159" t="n">
        <v>14</v>
      </c>
      <c r="BC159" t="n">
        <v>4400</v>
      </c>
      <c r="BD159" t="inlineStr">
        <is>
          <t>Yes</t>
        </is>
      </c>
      <c r="BF159" t="inlineStr">
        <is>
          <t>ARTHA SHIPPING</t>
        </is>
      </c>
      <c r="BG159" t="inlineStr">
        <is>
          <t>RULED</t>
        </is>
      </c>
      <c r="BH159" t="n">
        <v>0</v>
      </c>
      <c r="BI159" t="n">
        <v>1</v>
      </c>
      <c r="BJ159" t="n">
        <v>4400</v>
      </c>
      <c r="BK159" t="inlineStr">
        <is>
          <t>LINE</t>
        </is>
      </c>
      <c r="BL159" t="inlineStr">
        <is>
          <t>WOLF DRY</t>
        </is>
      </c>
      <c r="BM159" t="inlineStr">
        <is>
          <t>WOLF DRY</t>
        </is>
      </c>
    </row>
    <row r="160">
      <c r="A160" t="n">
        <v>159</v>
      </c>
      <c r="B160" t="inlineStr">
        <is>
          <t>DEER DRY</t>
        </is>
      </c>
      <c r="C160" t="inlineStr">
        <is>
          <t>REF000000</t>
        </is>
      </c>
      <c r="D160" t="inlineStr">
        <is>
          <t>REF000000</t>
        </is>
      </c>
      <c r="E160" t="inlineStr">
        <is>
          <t>19-FEB-2026</t>
        </is>
      </c>
      <c r="F160" t="inlineStr">
        <is>
          <t>DEER DRY</t>
        </is>
      </c>
      <c r="G160" t="inlineStr">
        <is>
          <t>APO120202</t>
        </is>
      </c>
      <c r="H160" t="inlineStr">
        <is>
          <t>AdminUAM</t>
        </is>
      </c>
      <c r="J160" t="inlineStr">
        <is>
          <t>25-FEB-2026</t>
        </is>
      </c>
      <c r="K160" t="inlineStr">
        <is>
          <t>19-FEB-2026</t>
        </is>
      </c>
      <c r="L160" t="inlineStr">
        <is>
          <t>25-FEB-2026</t>
        </is>
      </c>
      <c r="M160" t="inlineStr">
        <is>
          <t>REF000000</t>
        </is>
      </c>
      <c r="N160" t="inlineStr">
        <is>
          <t>USNFK</t>
        </is>
      </c>
      <c r="O160" t="inlineStr">
        <is>
          <t>USNFK</t>
        </is>
      </c>
      <c r="P160" t="inlineStr">
        <is>
          <t>RULED</t>
        </is>
      </c>
      <c r="U160" t="inlineStr">
        <is>
          <t>RULED</t>
        </is>
      </c>
      <c r="V160" t="inlineStr">
        <is>
          <t>RULED</t>
        </is>
      </c>
      <c r="W160" t="inlineStr">
        <is>
          <t>UNITED STATES</t>
        </is>
      </c>
      <c r="X160" t="inlineStr">
        <is>
          <t>Latin America</t>
        </is>
      </c>
      <c r="Y160" t="inlineStr">
        <is>
          <t>RUSSIA</t>
        </is>
      </c>
      <c r="Z160" t="inlineStr">
        <is>
          <t>External Review</t>
        </is>
      </c>
      <c r="AA160" t="inlineStr">
        <is>
          <t>HUB SHIPPING LLC-LED</t>
        </is>
      </c>
      <c r="AB160" t="inlineStr">
        <is>
          <t>Collect</t>
        </is>
      </c>
      <c r="AC160" t="inlineStr">
        <is>
          <t>LI DA XING/VOYAGE 1</t>
        </is>
      </c>
      <c r="AE160" t="inlineStr">
        <is>
          <t>LADEN BOOKING</t>
        </is>
      </c>
      <c r="AF160" t="inlineStr">
        <is>
          <t>RenniUAM</t>
        </is>
      </c>
      <c r="AG160" t="inlineStr">
        <is>
          <t>DC20</t>
        </is>
      </c>
      <c r="AH160" t="inlineStr">
        <is>
          <t>NO</t>
        </is>
      </c>
      <c r="AI160" t="n">
        <v>20</v>
      </c>
      <c r="AJ160" t="n">
        <v>1</v>
      </c>
      <c r="AK160" t="n">
        <v>0</v>
      </c>
      <c r="AL160" t="inlineStr">
        <is>
          <t>ANON0000000</t>
        </is>
      </c>
      <c r="AP160" t="inlineStr">
        <is>
          <t>Non Haz</t>
        </is>
      </c>
      <c r="AQ160" t="inlineStr">
        <is>
          <t>CY/CY</t>
        </is>
      </c>
      <c r="AT160" t="inlineStr">
        <is>
          <t>REF000000</t>
        </is>
      </c>
      <c r="AU160" t="n">
        <v>21000</v>
      </c>
      <c r="AV160" t="inlineStr">
        <is>
          <t>GENERAL COMMODITY</t>
        </is>
      </c>
      <c r="AX160" t="inlineStr">
        <is>
          <t>RSUAM022600017</t>
        </is>
      </c>
      <c r="AZ160" t="n">
        <v>0</v>
      </c>
      <c r="BA160" t="n">
        <v>14</v>
      </c>
      <c r="BB160" t="n">
        <v>14</v>
      </c>
      <c r="BC160" t="n">
        <v>3150</v>
      </c>
      <c r="BD160" t="inlineStr">
        <is>
          <t>Yes</t>
        </is>
      </c>
      <c r="BF160" t="inlineStr">
        <is>
          <t>ARTHA SHIPPING</t>
        </is>
      </c>
      <c r="BG160" t="inlineStr">
        <is>
          <t>RULED</t>
        </is>
      </c>
      <c r="BH160" t="n">
        <v>1</v>
      </c>
      <c r="BI160" t="n">
        <v>0</v>
      </c>
      <c r="BJ160" t="n">
        <v>3150</v>
      </c>
      <c r="BK160" t="inlineStr">
        <is>
          <t>LINE</t>
        </is>
      </c>
      <c r="BL160" t="inlineStr">
        <is>
          <t>DEER DRY</t>
        </is>
      </c>
      <c r="BM160" t="inlineStr">
        <is>
          <t>DEER DRY</t>
        </is>
      </c>
    </row>
    <row r="161">
      <c r="A161" t="n">
        <v>160</v>
      </c>
      <c r="B161" t="inlineStr">
        <is>
          <t>SHARK REEFER</t>
        </is>
      </c>
      <c r="C161" t="inlineStr">
        <is>
          <t>REF000000</t>
        </is>
      </c>
      <c r="D161" t="inlineStr">
        <is>
          <t>REF000000</t>
        </is>
      </c>
      <c r="E161" t="inlineStr">
        <is>
          <t>19-FEB-2026</t>
        </is>
      </c>
      <c r="F161" t="inlineStr">
        <is>
          <t>SHARK REEFER</t>
        </is>
      </c>
      <c r="G161" t="inlineStr">
        <is>
          <t>EVI190201 / Food Grade</t>
        </is>
      </c>
      <c r="H161" t="inlineStr">
        <is>
          <t>AdminUAM</t>
        </is>
      </c>
      <c r="J161" t="inlineStr">
        <is>
          <t>10-APR-2026</t>
        </is>
      </c>
      <c r="K161" t="inlineStr">
        <is>
          <t>06-APR-2026</t>
        </is>
      </c>
      <c r="L161" t="inlineStr">
        <is>
          <t>10-APR-2026</t>
        </is>
      </c>
      <c r="M161" t="inlineStr">
        <is>
          <t>REF000000</t>
        </is>
      </c>
      <c r="N161" t="inlineStr">
        <is>
          <t>USNYC</t>
        </is>
      </c>
      <c r="O161" t="inlineStr">
        <is>
          <t>USNYC</t>
        </is>
      </c>
      <c r="P161" t="inlineStr">
        <is>
          <t>RULED</t>
        </is>
      </c>
      <c r="U161" t="inlineStr">
        <is>
          <t>RULED</t>
        </is>
      </c>
      <c r="V161" t="inlineStr">
        <is>
          <t>RULED</t>
        </is>
      </c>
      <c r="W161" t="inlineStr">
        <is>
          <t>UNITED STATES</t>
        </is>
      </c>
      <c r="X161" t="inlineStr">
        <is>
          <t>Latin America</t>
        </is>
      </c>
      <c r="Y161" t="inlineStr">
        <is>
          <t>RUSSIA</t>
        </is>
      </c>
      <c r="Z161" t="inlineStr">
        <is>
          <t>External Review</t>
        </is>
      </c>
      <c r="AA161" t="inlineStr">
        <is>
          <t>HUB SHIPPING LLC-LED</t>
        </is>
      </c>
      <c r="AB161" t="inlineStr">
        <is>
          <t>Collect</t>
        </is>
      </c>
      <c r="AC161" t="inlineStr">
        <is>
          <t>MERCURY / VOYAGE 1</t>
        </is>
      </c>
      <c r="AE161" t="inlineStr">
        <is>
          <t>LADEN BOOKING</t>
        </is>
      </c>
      <c r="AF161" t="inlineStr">
        <is>
          <t>RenniUAM</t>
        </is>
      </c>
      <c r="AG161" t="inlineStr">
        <is>
          <t>DC20</t>
        </is>
      </c>
      <c r="AH161" t="inlineStr">
        <is>
          <t>NO</t>
        </is>
      </c>
      <c r="AI161" t="n">
        <v>20</v>
      </c>
      <c r="AJ161" t="n">
        <v>4</v>
      </c>
      <c r="AK161" t="n">
        <v>0</v>
      </c>
      <c r="AL161" t="inlineStr">
        <is>
          <t>ANON0000000,
ANON0000000,
ANON0000000,
ANON0000000</t>
        </is>
      </c>
      <c r="AP161" t="inlineStr">
        <is>
          <t>Non Haz</t>
        </is>
      </c>
      <c r="AQ161" t="inlineStr">
        <is>
          <t>CY/CY</t>
        </is>
      </c>
      <c r="AT161" t="inlineStr">
        <is>
          <t>REF000000</t>
        </is>
      </c>
      <c r="AU161" t="n">
        <v>26000</v>
      </c>
      <c r="AV161" t="inlineStr">
        <is>
          <t>GENERAL COMMODITY</t>
        </is>
      </c>
      <c r="AX161" t="inlineStr">
        <is>
          <t>RSUAM022600004</t>
        </is>
      </c>
      <c r="AZ161" t="n">
        <v>0</v>
      </c>
      <c r="BA161" t="n">
        <v>10</v>
      </c>
      <c r="BB161" t="n">
        <v>14</v>
      </c>
      <c r="BC161" t="n">
        <v>2550</v>
      </c>
      <c r="BD161" t="inlineStr">
        <is>
          <t>Yes</t>
        </is>
      </c>
      <c r="BF161" t="inlineStr">
        <is>
          <t>ARTHA SHIPPING</t>
        </is>
      </c>
      <c r="BG161" t="inlineStr">
        <is>
          <t>RULED</t>
        </is>
      </c>
      <c r="BH161" t="n">
        <v>4</v>
      </c>
      <c r="BI161" t="n">
        <v>0</v>
      </c>
      <c r="BJ161" t="n">
        <v>10200</v>
      </c>
      <c r="BK161" t="inlineStr">
        <is>
          <t>LINE</t>
        </is>
      </c>
      <c r="BL161" t="inlineStr">
        <is>
          <t>SHARK REEFER</t>
        </is>
      </c>
      <c r="BM161" t="inlineStr">
        <is>
          <t>SHARK REEFER</t>
        </is>
      </c>
    </row>
    <row r="162">
      <c r="A162" t="n">
        <v>161</v>
      </c>
      <c r="B162" t="inlineStr">
        <is>
          <t>DOLPHIN REEFER</t>
        </is>
      </c>
      <c r="C162" t="inlineStr">
        <is>
          <t>REF000000</t>
        </is>
      </c>
      <c r="D162" t="inlineStr">
        <is>
          <t>REF000000</t>
        </is>
      </c>
      <c r="E162" t="inlineStr">
        <is>
          <t>19-FEB-2026</t>
        </is>
      </c>
      <c r="F162" t="inlineStr">
        <is>
          <t>DOLPHIN REEFER</t>
        </is>
      </c>
      <c r="G162" t="inlineStr">
        <is>
          <t>EVI190203 / Food Grade</t>
        </is>
      </c>
      <c r="H162" t="inlineStr">
        <is>
          <t>AdminUAM</t>
        </is>
      </c>
      <c r="J162" t="inlineStr">
        <is>
          <t>10-APR-2026</t>
        </is>
      </c>
      <c r="K162" t="inlineStr">
        <is>
          <t>06-APR-2026</t>
        </is>
      </c>
      <c r="L162" t="inlineStr">
        <is>
          <t>10-APR-2026</t>
        </is>
      </c>
      <c r="M162" t="inlineStr">
        <is>
          <t>REF000000</t>
        </is>
      </c>
      <c r="N162" t="inlineStr">
        <is>
          <t>USNYC</t>
        </is>
      </c>
      <c r="O162" t="inlineStr">
        <is>
          <t>USNYC</t>
        </is>
      </c>
      <c r="P162" t="inlineStr">
        <is>
          <t>RULED</t>
        </is>
      </c>
      <c r="U162" t="inlineStr">
        <is>
          <t>RULED</t>
        </is>
      </c>
      <c r="V162" t="inlineStr">
        <is>
          <t>RULED</t>
        </is>
      </c>
      <c r="W162" t="inlineStr">
        <is>
          <t>UNITED STATES</t>
        </is>
      </c>
      <c r="X162" t="inlineStr">
        <is>
          <t>Latin America</t>
        </is>
      </c>
      <c r="Y162" t="inlineStr">
        <is>
          <t>RUSSIA</t>
        </is>
      </c>
      <c r="Z162" t="inlineStr">
        <is>
          <t>External Review</t>
        </is>
      </c>
      <c r="AA162" t="inlineStr">
        <is>
          <t>HUB SHIPPING LLC-LED</t>
        </is>
      </c>
      <c r="AB162" t="inlineStr">
        <is>
          <t>Collect</t>
        </is>
      </c>
      <c r="AC162" t="inlineStr">
        <is>
          <t>MERCURY / VOYAGE 1</t>
        </is>
      </c>
      <c r="AE162" t="inlineStr">
        <is>
          <t>LADEN BOOKING</t>
        </is>
      </c>
      <c r="AF162" t="inlineStr">
        <is>
          <t>RenniUAM</t>
        </is>
      </c>
      <c r="AG162" t="inlineStr">
        <is>
          <t>DC20</t>
        </is>
      </c>
      <c r="AH162" t="inlineStr">
        <is>
          <t>NO</t>
        </is>
      </c>
      <c r="AI162" t="n">
        <v>20</v>
      </c>
      <c r="AJ162" t="n">
        <v>5</v>
      </c>
      <c r="AK162" t="n">
        <v>0</v>
      </c>
      <c r="AL162" t="inlineStr">
        <is>
          <t>ANON0000000,
ANON0000000,
ANON0000000,
ANON0000000,
ANON0000000</t>
        </is>
      </c>
      <c r="AP162" t="inlineStr">
        <is>
          <t>Non Haz</t>
        </is>
      </c>
      <c r="AQ162" t="inlineStr">
        <is>
          <t>CY/CY</t>
        </is>
      </c>
      <c r="AT162" t="inlineStr">
        <is>
          <t>REF000000</t>
        </is>
      </c>
      <c r="AU162" t="n">
        <v>26000</v>
      </c>
      <c r="AV162" t="inlineStr">
        <is>
          <t>GENERAL COMMODITY</t>
        </is>
      </c>
      <c r="AX162" t="inlineStr">
        <is>
          <t>RSUAM012600054</t>
        </is>
      </c>
      <c r="AZ162" t="n">
        <v>0</v>
      </c>
      <c r="BA162" t="n">
        <v>14</v>
      </c>
      <c r="BB162" t="n">
        <v>21</v>
      </c>
      <c r="BC162" t="n">
        <v>1750</v>
      </c>
      <c r="BD162" t="inlineStr">
        <is>
          <t>Yes</t>
        </is>
      </c>
      <c r="BF162" t="inlineStr">
        <is>
          <t>ARTHA SHIPPING</t>
        </is>
      </c>
      <c r="BG162" t="inlineStr">
        <is>
          <t>RULED</t>
        </is>
      </c>
      <c r="BH162" t="n">
        <v>5</v>
      </c>
      <c r="BI162" t="n">
        <v>0</v>
      </c>
      <c r="BJ162" t="n">
        <v>8750</v>
      </c>
      <c r="BK162" t="inlineStr">
        <is>
          <t>LINE</t>
        </is>
      </c>
      <c r="BL162" t="inlineStr">
        <is>
          <t>DOLPHIN REEFER</t>
        </is>
      </c>
      <c r="BM162" t="inlineStr">
        <is>
          <t>DOLPHIN REEFER</t>
        </is>
      </c>
    </row>
    <row r="163">
      <c r="A163" t="n">
        <v>162</v>
      </c>
      <c r="B163" t="inlineStr">
        <is>
          <t>EAGLE DRY</t>
        </is>
      </c>
      <c r="C163" t="inlineStr">
        <is>
          <t>REF000000</t>
        </is>
      </c>
      <c r="D163" t="inlineStr">
        <is>
          <t>REF000000</t>
        </is>
      </c>
      <c r="E163" t="inlineStr">
        <is>
          <t>19-FEB-2026</t>
        </is>
      </c>
      <c r="F163" t="inlineStr">
        <is>
          <t>EAGLE DRY</t>
        </is>
      </c>
      <c r="G163" t="inlineStr">
        <is>
          <t>EVI190204</t>
        </is>
      </c>
      <c r="H163" t="inlineStr">
        <is>
          <t>AdminUAM</t>
        </is>
      </c>
      <c r="J163" t="inlineStr">
        <is>
          <t>10-APR-2026</t>
        </is>
      </c>
      <c r="K163" t="inlineStr">
        <is>
          <t>05-APR-2026</t>
        </is>
      </c>
      <c r="M163" t="inlineStr">
        <is>
          <t>REF000000</t>
        </is>
      </c>
      <c r="N163" t="inlineStr">
        <is>
          <t>USNFK</t>
        </is>
      </c>
      <c r="O163" t="inlineStr">
        <is>
          <t>USNFK</t>
        </is>
      </c>
      <c r="P163" t="inlineStr">
        <is>
          <t>RULED</t>
        </is>
      </c>
      <c r="U163" t="inlineStr">
        <is>
          <t>RULED</t>
        </is>
      </c>
      <c r="V163" t="inlineStr">
        <is>
          <t>RULED</t>
        </is>
      </c>
      <c r="W163" t="inlineStr">
        <is>
          <t>UNITED STATES</t>
        </is>
      </c>
      <c r="X163" t="inlineStr">
        <is>
          <t>Latin America</t>
        </is>
      </c>
      <c r="Y163" t="inlineStr">
        <is>
          <t>RUSSIA</t>
        </is>
      </c>
      <c r="Z163" t="inlineStr">
        <is>
          <t>External Review</t>
        </is>
      </c>
      <c r="AA163" t="inlineStr">
        <is>
          <t>HUB SHIPPING LLC-LED</t>
        </is>
      </c>
      <c r="AB163" t="inlineStr">
        <is>
          <t>Collect</t>
        </is>
      </c>
      <c r="AC163" t="inlineStr">
        <is>
          <t>MERCURY / VOYAGE 1</t>
        </is>
      </c>
      <c r="AE163" t="inlineStr">
        <is>
          <t>LADEN BOOKING</t>
        </is>
      </c>
      <c r="AF163" t="inlineStr">
        <is>
          <t>RenniUAM</t>
        </is>
      </c>
      <c r="AG163" t="inlineStr">
        <is>
          <t>DC20</t>
        </is>
      </c>
      <c r="AH163" t="inlineStr">
        <is>
          <t>NO</t>
        </is>
      </c>
      <c r="AI163" t="n">
        <v>20</v>
      </c>
      <c r="AJ163" t="n">
        <v>1</v>
      </c>
      <c r="AK163" t="n">
        <v>0</v>
      </c>
      <c r="AL163" t="inlineStr">
        <is>
          <t>ANON0000000</t>
        </is>
      </c>
      <c r="AP163" t="inlineStr">
        <is>
          <t>Non Haz</t>
        </is>
      </c>
      <c r="AQ163" t="inlineStr">
        <is>
          <t>CY/CY</t>
        </is>
      </c>
      <c r="AT163" t="inlineStr">
        <is>
          <t>REF000000</t>
        </is>
      </c>
      <c r="AU163" t="n">
        <v>23000</v>
      </c>
      <c r="AV163" t="inlineStr">
        <is>
          <t>GENERAL COMMODITY</t>
        </is>
      </c>
      <c r="AX163" t="inlineStr">
        <is>
          <t>RSUAM122500029</t>
        </is>
      </c>
      <c r="AZ163" t="n">
        <v>0</v>
      </c>
      <c r="BA163" t="n">
        <v>10</v>
      </c>
      <c r="BB163" t="n">
        <v>14</v>
      </c>
      <c r="BC163" t="n">
        <v>2750</v>
      </c>
      <c r="BD163" t="inlineStr">
        <is>
          <t>Yes</t>
        </is>
      </c>
      <c r="BG163" t="inlineStr">
        <is>
          <t>RULED</t>
        </is>
      </c>
      <c r="BH163" t="n">
        <v>1</v>
      </c>
      <c r="BI163" t="n">
        <v>0</v>
      </c>
      <c r="BJ163" t="n">
        <v>2750</v>
      </c>
      <c r="BK163" t="inlineStr">
        <is>
          <t>LINE</t>
        </is>
      </c>
      <c r="BL163" t="inlineStr">
        <is>
          <t>EAGLE DRY</t>
        </is>
      </c>
      <c r="BM163" t="inlineStr">
        <is>
          <t>EAGLE DRY</t>
        </is>
      </c>
    </row>
    <row r="164">
      <c r="A164" t="n">
        <v>163</v>
      </c>
      <c r="B164" t="inlineStr">
        <is>
          <t>COYOTE DRY</t>
        </is>
      </c>
      <c r="C164" t="inlineStr">
        <is>
          <t>REF000000</t>
        </is>
      </c>
      <c r="D164" t="inlineStr">
        <is>
          <t>REF000000</t>
        </is>
      </c>
      <c r="E164" t="inlineStr">
        <is>
          <t>19-FEB-2026</t>
        </is>
      </c>
      <c r="F164" t="inlineStr">
        <is>
          <t>COYOTE DRY</t>
        </is>
      </c>
      <c r="G164" t="inlineStr">
        <is>
          <t>EVI190205</t>
        </is>
      </c>
      <c r="H164" t="inlineStr">
        <is>
          <t>AdminUAM</t>
        </is>
      </c>
      <c r="J164" t="inlineStr">
        <is>
          <t>10-APR-2026</t>
        </is>
      </c>
      <c r="K164" t="inlineStr">
        <is>
          <t>05-APR-2026</t>
        </is>
      </c>
      <c r="M164" t="inlineStr">
        <is>
          <t>REF000000</t>
        </is>
      </c>
      <c r="N164" t="inlineStr">
        <is>
          <t>USNFK</t>
        </is>
      </c>
      <c r="O164" t="inlineStr">
        <is>
          <t>USNFK</t>
        </is>
      </c>
      <c r="P164" t="inlineStr">
        <is>
          <t>RULED</t>
        </is>
      </c>
      <c r="U164" t="inlineStr">
        <is>
          <t>RULED</t>
        </is>
      </c>
      <c r="V164" t="inlineStr">
        <is>
          <t>RULED</t>
        </is>
      </c>
      <c r="W164" t="inlineStr">
        <is>
          <t>UNITED STATES</t>
        </is>
      </c>
      <c r="X164" t="inlineStr">
        <is>
          <t>Latin America</t>
        </is>
      </c>
      <c r="Y164" t="inlineStr">
        <is>
          <t>RUSSIA</t>
        </is>
      </c>
      <c r="Z164" t="inlineStr">
        <is>
          <t>External Review</t>
        </is>
      </c>
      <c r="AA164" t="inlineStr">
        <is>
          <t>HUB SHIPPING LLC-LED</t>
        </is>
      </c>
      <c r="AB164" t="inlineStr">
        <is>
          <t>Collect</t>
        </is>
      </c>
      <c r="AC164" t="inlineStr">
        <is>
          <t>MERCURY / VOYAGE 1</t>
        </is>
      </c>
      <c r="AE164" t="inlineStr">
        <is>
          <t>LADEN BOOKING</t>
        </is>
      </c>
      <c r="AF164" t="inlineStr">
        <is>
          <t>RenniUAM</t>
        </is>
      </c>
      <c r="AG164" t="inlineStr">
        <is>
          <t>DC20</t>
        </is>
      </c>
      <c r="AH164" t="inlineStr">
        <is>
          <t>NO</t>
        </is>
      </c>
      <c r="AI164" t="n">
        <v>20</v>
      </c>
      <c r="AJ164" t="n">
        <v>5</v>
      </c>
      <c r="AK164" t="n">
        <v>0</v>
      </c>
      <c r="AL164" t="inlineStr">
        <is>
          <t>ANON0000000,
ANON0000000,
ANON0000000,
ANON0000000,
ANON0000000</t>
        </is>
      </c>
      <c r="AP164" t="inlineStr">
        <is>
          <t>Non Haz</t>
        </is>
      </c>
      <c r="AQ164" t="inlineStr">
        <is>
          <t>CY/CY</t>
        </is>
      </c>
      <c r="AT164" t="inlineStr">
        <is>
          <t>REF000000</t>
        </is>
      </c>
      <c r="AU164" t="n">
        <v>23000</v>
      </c>
      <c r="AV164" t="inlineStr">
        <is>
          <t>GENERAL COMMODITY</t>
        </is>
      </c>
      <c r="AX164" t="inlineStr">
        <is>
          <t>RSUAM012600053</t>
        </is>
      </c>
      <c r="AZ164" t="n">
        <v>0</v>
      </c>
      <c r="BA164" t="n">
        <v>14</v>
      </c>
      <c r="BB164" t="n">
        <v>21</v>
      </c>
      <c r="BC164" t="n">
        <v>1750</v>
      </c>
      <c r="BD164" t="inlineStr">
        <is>
          <t>Yes</t>
        </is>
      </c>
      <c r="BG164" t="inlineStr">
        <is>
          <t>RULED</t>
        </is>
      </c>
      <c r="BH164" t="n">
        <v>5</v>
      </c>
      <c r="BI164" t="n">
        <v>0</v>
      </c>
      <c r="BJ164" t="n">
        <v>8750</v>
      </c>
      <c r="BK164" t="inlineStr">
        <is>
          <t>LINE</t>
        </is>
      </c>
      <c r="BL164" t="inlineStr">
        <is>
          <t>COYOTE DRY</t>
        </is>
      </c>
      <c r="BM164" t="inlineStr">
        <is>
          <t>COYOTE DRY</t>
        </is>
      </c>
    </row>
    <row r="165">
      <c r="A165" t="n">
        <v>164</v>
      </c>
      <c r="B165" t="inlineStr">
        <is>
          <t>ORCA REEFER</t>
        </is>
      </c>
      <c r="C165" t="inlineStr">
        <is>
          <t>REF000000</t>
        </is>
      </c>
      <c r="D165" t="inlineStr">
        <is>
          <t>REF000000</t>
        </is>
      </c>
      <c r="E165" t="inlineStr">
        <is>
          <t>20-FEB-2026</t>
        </is>
      </c>
      <c r="F165" t="inlineStr">
        <is>
          <t>ORCA REEFER</t>
        </is>
      </c>
      <c r="G165" t="inlineStr">
        <is>
          <t>PREPAID</t>
        </is>
      </c>
      <c r="H165" t="inlineStr">
        <is>
          <t>Diego</t>
        </is>
      </c>
      <c r="J165" t="inlineStr">
        <is>
          <t>10-APR-2026</t>
        </is>
      </c>
      <c r="K165" t="inlineStr">
        <is>
          <t>06-APR-2026</t>
        </is>
      </c>
      <c r="L165" t="inlineStr">
        <is>
          <t>10-APR-2026</t>
        </is>
      </c>
      <c r="M165" t="inlineStr">
        <is>
          <t>REF000000</t>
        </is>
      </c>
      <c r="N165" t="inlineStr">
        <is>
          <t>USNYC</t>
        </is>
      </c>
      <c r="O165" t="inlineStr">
        <is>
          <t>USNYC</t>
        </is>
      </c>
      <c r="P165" t="inlineStr">
        <is>
          <t>RUBLT</t>
        </is>
      </c>
      <c r="U165" t="inlineStr">
        <is>
          <t>RUBLT</t>
        </is>
      </c>
      <c r="V165" t="inlineStr">
        <is>
          <t>RUBLT</t>
        </is>
      </c>
      <c r="W165" t="inlineStr">
        <is>
          <t>UNITED STATES</t>
        </is>
      </c>
      <c r="X165" t="inlineStr">
        <is>
          <t>Latin America</t>
        </is>
      </c>
      <c r="Y165" t="inlineStr">
        <is>
          <t>RUSSIA</t>
        </is>
      </c>
      <c r="Z165" t="inlineStr">
        <is>
          <t>External Review</t>
        </is>
      </c>
      <c r="AA165" t="inlineStr">
        <is>
          <t>HUB Shipping-Kaliningrad</t>
        </is>
      </c>
      <c r="AB165" t="inlineStr">
        <is>
          <t>Prepaid</t>
        </is>
      </c>
      <c r="AC165" t="inlineStr">
        <is>
          <t>MERCURY / VOYAGE 1</t>
        </is>
      </c>
      <c r="AE165" t="inlineStr">
        <is>
          <t>LADEN BOOKING</t>
        </is>
      </c>
      <c r="AF165" t="inlineStr">
        <is>
          <t>Joao Ribeiro</t>
        </is>
      </c>
      <c r="AG165" t="inlineStr">
        <is>
          <t>RH40</t>
        </is>
      </c>
      <c r="AH165" t="inlineStr">
        <is>
          <t>NO</t>
        </is>
      </c>
      <c r="AI165" t="n">
        <v>40</v>
      </c>
      <c r="AJ165" t="n">
        <v>0</v>
      </c>
      <c r="AK165" t="n">
        <v>1</v>
      </c>
      <c r="AL165" t="inlineStr">
        <is>
          <t>ANON0000000</t>
        </is>
      </c>
      <c r="AM165" t="n">
        <v>-22</v>
      </c>
      <c r="AP165" t="inlineStr">
        <is>
          <t>Non Haz</t>
        </is>
      </c>
      <c r="AQ165" t="inlineStr">
        <is>
          <t>CY/CY</t>
        </is>
      </c>
      <c r="AT165" t="inlineStr">
        <is>
          <t>REF000000</t>
        </is>
      </c>
      <c r="AU165" t="n">
        <v>28000</v>
      </c>
      <c r="AV165" t="inlineStr">
        <is>
          <t>FROZEN MEAT &amp; FRUIT PULP</t>
        </is>
      </c>
      <c r="AX165" t="inlineStr">
        <is>
          <t>RSUAM112500005</t>
        </is>
      </c>
      <c r="AZ165" t="n">
        <v>0</v>
      </c>
      <c r="BA165" t="n">
        <v>25</v>
      </c>
      <c r="BB165" t="n">
        <v>15</v>
      </c>
      <c r="BC165" t="n">
        <v>8600</v>
      </c>
      <c r="BD165" t="inlineStr">
        <is>
          <t>No</t>
        </is>
      </c>
      <c r="BF165" t="inlineStr">
        <is>
          <t>ARTHA SHIPPING</t>
        </is>
      </c>
      <c r="BG165" t="inlineStr">
        <is>
          <t>USNYC</t>
        </is>
      </c>
      <c r="BH165" t="n">
        <v>0</v>
      </c>
      <c r="BI165" t="n">
        <v>1</v>
      </c>
      <c r="BJ165" t="n">
        <v>8600</v>
      </c>
      <c r="BK165" t="inlineStr">
        <is>
          <t>LINE</t>
        </is>
      </c>
      <c r="BL165" t="inlineStr">
        <is>
          <t>ORCA REEFER</t>
        </is>
      </c>
      <c r="BM165" t="inlineStr">
        <is>
          <t>ORCA REEFER</t>
        </is>
      </c>
    </row>
    <row r="166">
      <c r="A166" t="n">
        <v>165</v>
      </c>
      <c r="B166" t="inlineStr">
        <is>
          <t>WHALE REEFER</t>
        </is>
      </c>
      <c r="C166" t="inlineStr">
        <is>
          <t>REF000000</t>
        </is>
      </c>
      <c r="D166" t="inlineStr">
        <is>
          <t>REF000000</t>
        </is>
      </c>
      <c r="E166" t="inlineStr">
        <is>
          <t>20-FEB-2026</t>
        </is>
      </c>
      <c r="F166" t="inlineStr">
        <is>
          <t>WHALE REEFER</t>
        </is>
      </c>
      <c r="G166" t="inlineStr">
        <is>
          <t>final reefer details should be collected and provided to carrier by agents of POL</t>
        </is>
      </c>
      <c r="H166" t="inlineStr">
        <is>
          <t>AdminUAM</t>
        </is>
      </c>
      <c r="J166" t="inlineStr">
        <is>
          <t>11-APR-2026</t>
        </is>
      </c>
      <c r="K166" t="inlineStr">
        <is>
          <t>10-APR-2026</t>
        </is>
      </c>
      <c r="L166" t="inlineStr">
        <is>
          <t>11-APR-2026</t>
        </is>
      </c>
      <c r="M166" t="inlineStr">
        <is>
          <t>REF000000</t>
        </is>
      </c>
      <c r="N166" t="inlineStr">
        <is>
          <t>USHOU</t>
        </is>
      </c>
      <c r="O166" t="inlineStr">
        <is>
          <t>USHOU</t>
        </is>
      </c>
      <c r="P166" t="inlineStr">
        <is>
          <t>RULED</t>
        </is>
      </c>
      <c r="U166" t="inlineStr">
        <is>
          <t>RULED</t>
        </is>
      </c>
      <c r="V166" t="inlineStr">
        <is>
          <t>RULED</t>
        </is>
      </c>
      <c r="W166" t="inlineStr">
        <is>
          <t>UNITED STATES</t>
        </is>
      </c>
      <c r="X166" t="inlineStr">
        <is>
          <t>Latin America</t>
        </is>
      </c>
      <c r="Y166" t="inlineStr">
        <is>
          <t>RUSSIA</t>
        </is>
      </c>
      <c r="Z166" t="inlineStr">
        <is>
          <t>External Review</t>
        </is>
      </c>
      <c r="AA166" t="inlineStr">
        <is>
          <t>HUB SHIPPING LLC-LED</t>
        </is>
      </c>
      <c r="AB166" t="inlineStr">
        <is>
          <t>Collect</t>
        </is>
      </c>
      <c r="AC166" t="inlineStr">
        <is>
          <t>MERCURY / VOYAGE 1</t>
        </is>
      </c>
      <c r="AE166" t="inlineStr">
        <is>
          <t>LADEN BOOKING</t>
        </is>
      </c>
      <c r="AF166" t="inlineStr">
        <is>
          <t>RenniUAM</t>
        </is>
      </c>
      <c r="AG166" t="inlineStr">
        <is>
          <t>RH40</t>
        </is>
      </c>
      <c r="AH166" t="inlineStr">
        <is>
          <t>NO</t>
        </is>
      </c>
      <c r="AI166" t="n">
        <v>40</v>
      </c>
      <c r="AJ166" t="n">
        <v>0</v>
      </c>
      <c r="AK166" t="n">
        <v>4</v>
      </c>
      <c r="AL166" t="inlineStr">
        <is>
          <t>ANON0000000,
ANON0000000,
ANON0000000,
ANON0000000</t>
        </is>
      </c>
      <c r="AM166" t="n">
        <v>0</v>
      </c>
      <c r="AN166" t="n">
        <v>90</v>
      </c>
      <c r="AO166" t="n">
        <v>40</v>
      </c>
      <c r="AP166" t="inlineStr">
        <is>
          <t>Non Haz</t>
        </is>
      </c>
      <c r="AQ166" t="inlineStr">
        <is>
          <t>CY/CY</t>
        </is>
      </c>
      <c r="AT166" t="inlineStr">
        <is>
          <t>REF000000</t>
        </is>
      </c>
      <c r="AU166" t="n">
        <v>25000</v>
      </c>
      <c r="AV166" t="inlineStr">
        <is>
          <t>FRESH FRUITS AND VEGETABLES</t>
        </is>
      </c>
      <c r="AX166" t="inlineStr">
        <is>
          <t>RSUAM022600016</t>
        </is>
      </c>
      <c r="AZ166" t="n">
        <v>4</v>
      </c>
      <c r="BA166" t="n">
        <v>14</v>
      </c>
      <c r="BB166" t="n">
        <v>7</v>
      </c>
      <c r="BC166" t="n">
        <v>7650</v>
      </c>
      <c r="BD166" t="inlineStr">
        <is>
          <t>Yes</t>
        </is>
      </c>
      <c r="BF166" t="inlineStr">
        <is>
          <t>ARTHA SHIPPING</t>
        </is>
      </c>
      <c r="BG166" t="inlineStr">
        <is>
          <t>RULED</t>
        </is>
      </c>
      <c r="BH166" t="n">
        <v>0</v>
      </c>
      <c r="BI166" t="n">
        <v>4</v>
      </c>
      <c r="BJ166" t="n">
        <v>30600</v>
      </c>
      <c r="BK166" t="inlineStr">
        <is>
          <t>LINE</t>
        </is>
      </c>
      <c r="BL166" t="inlineStr">
        <is>
          <t>WHALE REEFER</t>
        </is>
      </c>
      <c r="BM166" t="inlineStr">
        <is>
          <t>WHALE REEFER</t>
        </is>
      </c>
    </row>
    <row r="167">
      <c r="A167" t="n">
        <v>166</v>
      </c>
      <c r="B167" t="inlineStr">
        <is>
          <t>DEER DRY</t>
        </is>
      </c>
      <c r="C167" t="inlineStr">
        <is>
          <t>REF000000</t>
        </is>
      </c>
      <c r="D167" t="inlineStr">
        <is>
          <t>REF000000</t>
        </is>
      </c>
      <c r="E167" t="inlineStr">
        <is>
          <t>21-FEB-2026</t>
        </is>
      </c>
      <c r="F167" t="inlineStr">
        <is>
          <t>DEER DRY</t>
        </is>
      </c>
      <c r="G167" t="inlineStr">
        <is>
          <t>PREPAID ABROAD</t>
        </is>
      </c>
      <c r="H167" t="inlineStr">
        <is>
          <t>Diego</t>
        </is>
      </c>
      <c r="J167" t="inlineStr">
        <is>
          <t>10-APR-2026</t>
        </is>
      </c>
      <c r="K167" t="inlineStr">
        <is>
          <t>05-APR-2026</t>
        </is>
      </c>
      <c r="M167" t="inlineStr">
        <is>
          <t>REF000000</t>
        </is>
      </c>
      <c r="N167" t="inlineStr">
        <is>
          <t>USNFK</t>
        </is>
      </c>
      <c r="O167" t="inlineStr">
        <is>
          <t>USNFK</t>
        </is>
      </c>
      <c r="P167" t="inlineStr">
        <is>
          <t>RULED</t>
        </is>
      </c>
      <c r="U167" t="inlineStr">
        <is>
          <t>RULED</t>
        </is>
      </c>
      <c r="V167" t="inlineStr">
        <is>
          <t>RULED</t>
        </is>
      </c>
      <c r="W167" t="inlineStr">
        <is>
          <t>UNITED STATES</t>
        </is>
      </c>
      <c r="X167" t="inlineStr">
        <is>
          <t>Latin America</t>
        </is>
      </c>
      <c r="Y167" t="inlineStr">
        <is>
          <t>RUSSIA</t>
        </is>
      </c>
      <c r="Z167" t="inlineStr">
        <is>
          <t>External Review</t>
        </is>
      </c>
      <c r="AA167" t="inlineStr">
        <is>
          <t>HUB SHIPPING LLC-LED</t>
        </is>
      </c>
      <c r="AB167" t="inlineStr">
        <is>
          <t>Prepaid</t>
        </is>
      </c>
      <c r="AC167" t="inlineStr">
        <is>
          <t>MERCURY / VOYAGE 1</t>
        </is>
      </c>
      <c r="AE167" t="inlineStr">
        <is>
          <t>LADEN BOOKING</t>
        </is>
      </c>
      <c r="AF167" t="inlineStr">
        <is>
          <t>Maria Jessica Da Si</t>
        </is>
      </c>
      <c r="AG167" t="inlineStr">
        <is>
          <t>DC20</t>
        </is>
      </c>
      <c r="AH167" t="inlineStr">
        <is>
          <t>NO</t>
        </is>
      </c>
      <c r="AI167" t="n">
        <v>20</v>
      </c>
      <c r="AJ167" t="n">
        <v>1</v>
      </c>
      <c r="AK167" t="n">
        <v>0</v>
      </c>
      <c r="AL167" t="inlineStr">
        <is>
          <t>ANON0000000</t>
        </is>
      </c>
      <c r="AP167" t="inlineStr">
        <is>
          <t>Non Haz</t>
        </is>
      </c>
      <c r="AQ167" t="inlineStr">
        <is>
          <t>CY/CY</t>
        </is>
      </c>
      <c r="AT167" t="inlineStr">
        <is>
          <t>REF000000</t>
        </is>
      </c>
      <c r="AU167" t="n">
        <v>28000</v>
      </c>
      <c r="AV167" t="inlineStr">
        <is>
          <t>COFFEE</t>
        </is>
      </c>
      <c r="AX167" t="inlineStr">
        <is>
          <t>RSUAM022600002</t>
        </is>
      </c>
      <c r="AZ167" t="n">
        <v>0</v>
      </c>
      <c r="BA167" t="n">
        <v>14</v>
      </c>
      <c r="BB167" t="n">
        <v>14</v>
      </c>
      <c r="BC167" t="n">
        <v>3200</v>
      </c>
      <c r="BD167" t="inlineStr">
        <is>
          <t>No</t>
        </is>
      </c>
      <c r="BG167" t="inlineStr">
        <is>
          <t>USNFK</t>
        </is>
      </c>
      <c r="BH167" t="n">
        <v>1</v>
      </c>
      <c r="BI167" t="n">
        <v>0</v>
      </c>
      <c r="BJ167" t="n">
        <v>3200</v>
      </c>
      <c r="BK167" t="inlineStr">
        <is>
          <t>LINE</t>
        </is>
      </c>
      <c r="BL167" t="inlineStr">
        <is>
          <t>DEER DRY</t>
        </is>
      </c>
      <c r="BM167" t="inlineStr">
        <is>
          <t>DEER DRY</t>
        </is>
      </c>
    </row>
    <row r="168">
      <c r="A168" t="n">
        <v>167</v>
      </c>
      <c r="B168" t="inlineStr">
        <is>
          <t>FOX DRY</t>
        </is>
      </c>
      <c r="C168" t="inlineStr">
        <is>
          <t>REF000000</t>
        </is>
      </c>
      <c r="D168" t="inlineStr">
        <is>
          <t>REF000000</t>
        </is>
      </c>
      <c r="E168" t="inlineStr">
        <is>
          <t>21-FEB-2026</t>
        </is>
      </c>
      <c r="F168" t="inlineStr">
        <is>
          <t>FOX DRY</t>
        </is>
      </c>
      <c r="G168" t="inlineStr">
        <is>
          <t>PREPAID ABROD</t>
        </is>
      </c>
      <c r="H168" t="inlineStr">
        <is>
          <t>Diego</t>
        </is>
      </c>
      <c r="J168" t="inlineStr">
        <is>
          <t>10-APR-2026</t>
        </is>
      </c>
      <c r="K168" t="inlineStr">
        <is>
          <t>05-APR-2026</t>
        </is>
      </c>
      <c r="M168" t="inlineStr">
        <is>
          <t>REF000000</t>
        </is>
      </c>
      <c r="N168" t="inlineStr">
        <is>
          <t>USNFK</t>
        </is>
      </c>
      <c r="O168" t="inlineStr">
        <is>
          <t>USNFK</t>
        </is>
      </c>
      <c r="P168" t="inlineStr">
        <is>
          <t>RULED</t>
        </is>
      </c>
      <c r="U168" t="inlineStr">
        <is>
          <t>RULED</t>
        </is>
      </c>
      <c r="V168" t="inlineStr">
        <is>
          <t>RULED</t>
        </is>
      </c>
      <c r="W168" t="inlineStr">
        <is>
          <t>UNITED STATES</t>
        </is>
      </c>
      <c r="X168" t="inlineStr">
        <is>
          <t>Latin America</t>
        </is>
      </c>
      <c r="Y168" t="inlineStr">
        <is>
          <t>RUSSIA</t>
        </is>
      </c>
      <c r="Z168" t="inlineStr">
        <is>
          <t>External Review</t>
        </is>
      </c>
      <c r="AA168" t="inlineStr">
        <is>
          <t>HUB SHIPPING LLC-LED</t>
        </is>
      </c>
      <c r="AB168" t="inlineStr">
        <is>
          <t>Prepaid</t>
        </is>
      </c>
      <c r="AC168" t="inlineStr">
        <is>
          <t>MERCURY / VOYAGE 1</t>
        </is>
      </c>
      <c r="AE168" t="inlineStr">
        <is>
          <t>LADEN BOOKING</t>
        </is>
      </c>
      <c r="AF168" t="inlineStr">
        <is>
          <t>Maria Jessica Da Si</t>
        </is>
      </c>
      <c r="AG168" t="inlineStr">
        <is>
          <t>DC20</t>
        </is>
      </c>
      <c r="AH168" t="inlineStr">
        <is>
          <t>NO</t>
        </is>
      </c>
      <c r="AI168" t="n">
        <v>20</v>
      </c>
      <c r="AJ168" t="n">
        <v>2</v>
      </c>
      <c r="AK168" t="n">
        <v>0</v>
      </c>
      <c r="AL168" t="inlineStr">
        <is>
          <t>ANON0000000,
ANON0000000</t>
        </is>
      </c>
      <c r="AP168" t="inlineStr">
        <is>
          <t>Non Haz</t>
        </is>
      </c>
      <c r="AQ168" t="inlineStr">
        <is>
          <t>CY/CY</t>
        </is>
      </c>
      <c r="AT168" t="inlineStr">
        <is>
          <t>REF000000</t>
        </is>
      </c>
      <c r="AU168" t="n">
        <v>28000</v>
      </c>
      <c r="AV168" t="inlineStr">
        <is>
          <t>COFFEE</t>
        </is>
      </c>
      <c r="AX168" t="inlineStr">
        <is>
          <t>RSUAM032600006</t>
        </is>
      </c>
      <c r="AZ168" t="n">
        <v>0</v>
      </c>
      <c r="BA168" t="n">
        <v>14</v>
      </c>
      <c r="BB168" t="n">
        <v>14</v>
      </c>
      <c r="BC168" t="n">
        <v>3200</v>
      </c>
      <c r="BD168" t="inlineStr">
        <is>
          <t>No</t>
        </is>
      </c>
      <c r="BG168" t="inlineStr">
        <is>
          <t>USNFK</t>
        </is>
      </c>
      <c r="BH168" t="n">
        <v>2</v>
      </c>
      <c r="BI168" t="n">
        <v>0</v>
      </c>
      <c r="BJ168" t="n">
        <v>6400</v>
      </c>
      <c r="BK168" t="inlineStr">
        <is>
          <t>LINE</t>
        </is>
      </c>
      <c r="BL168" t="inlineStr">
        <is>
          <t>FOX DRY</t>
        </is>
      </c>
      <c r="BM168" t="inlineStr">
        <is>
          <t>FOX DRY</t>
        </is>
      </c>
    </row>
    <row r="169">
      <c r="A169" t="n">
        <v>168</v>
      </c>
      <c r="B169" t="inlineStr">
        <is>
          <t>DOLPHIN REEFER</t>
        </is>
      </c>
      <c r="C169" t="inlineStr">
        <is>
          <t>REF000000</t>
        </is>
      </c>
      <c r="D169" t="inlineStr">
        <is>
          <t>REF000000</t>
        </is>
      </c>
      <c r="E169" t="inlineStr">
        <is>
          <t>23-FEB-2026</t>
        </is>
      </c>
      <c r="F169" t="inlineStr">
        <is>
          <t>DOLPHIN REEFER</t>
        </is>
      </c>
      <c r="G169" t="inlineStr">
        <is>
          <t>PREPAID ABROAD</t>
        </is>
      </c>
      <c r="H169" t="inlineStr">
        <is>
          <t>Regional Operations_UNIMAR</t>
        </is>
      </c>
      <c r="J169" t="inlineStr">
        <is>
          <t>10-APR-2026</t>
        </is>
      </c>
      <c r="K169" t="inlineStr">
        <is>
          <t>06-APR-2026</t>
        </is>
      </c>
      <c r="L169" t="inlineStr">
        <is>
          <t>10-APR-2026</t>
        </is>
      </c>
      <c r="M169" t="inlineStr">
        <is>
          <t>REF000000</t>
        </is>
      </c>
      <c r="N169" t="inlineStr">
        <is>
          <t>USNYC</t>
        </is>
      </c>
      <c r="O169" t="inlineStr">
        <is>
          <t>USNYC</t>
        </is>
      </c>
      <c r="P169" t="inlineStr">
        <is>
          <t>RULED</t>
        </is>
      </c>
      <c r="U169" t="inlineStr">
        <is>
          <t>RULED</t>
        </is>
      </c>
      <c r="V169" t="inlineStr">
        <is>
          <t>RULED</t>
        </is>
      </c>
      <c r="W169" t="inlineStr">
        <is>
          <t>UNITED STATES</t>
        </is>
      </c>
      <c r="X169" t="inlineStr">
        <is>
          <t>Latin America</t>
        </is>
      </c>
      <c r="Y169" t="inlineStr">
        <is>
          <t>RUSSIA</t>
        </is>
      </c>
      <c r="Z169" t="inlineStr">
        <is>
          <t>External Review</t>
        </is>
      </c>
      <c r="AA169" t="inlineStr">
        <is>
          <t>HUB SHIPPING LLC-LED</t>
        </is>
      </c>
      <c r="AB169" t="inlineStr">
        <is>
          <t>Prepaid</t>
        </is>
      </c>
      <c r="AC169" t="inlineStr">
        <is>
          <t>MERCURY / VOYAGE 1</t>
        </is>
      </c>
      <c r="AE169" t="inlineStr">
        <is>
          <t>LADEN BOOKING</t>
        </is>
      </c>
      <c r="AF169" t="inlineStr">
        <is>
          <t>Maria Jessica Da Si</t>
        </is>
      </c>
      <c r="AG169" t="inlineStr">
        <is>
          <t>RH40</t>
        </is>
      </c>
      <c r="AH169" t="inlineStr">
        <is>
          <t>NO</t>
        </is>
      </c>
      <c r="AI169" t="n">
        <v>40</v>
      </c>
      <c r="AJ169" t="n">
        <v>0</v>
      </c>
      <c r="AK169" t="n">
        <v>1</v>
      </c>
      <c r="AL169" t="inlineStr">
        <is>
          <t>ANON0000000</t>
        </is>
      </c>
      <c r="AM169" t="n">
        <v>-18</v>
      </c>
      <c r="AP169" t="inlineStr">
        <is>
          <t>Non Haz</t>
        </is>
      </c>
      <c r="AQ169" t="inlineStr">
        <is>
          <t>CY/CY</t>
        </is>
      </c>
      <c r="AT169" t="inlineStr">
        <is>
          <t>REF000000</t>
        </is>
      </c>
      <c r="AU169" t="n">
        <v>28000</v>
      </c>
      <c r="AV169" t="inlineStr">
        <is>
          <t>FROZEN MEAT</t>
        </is>
      </c>
      <c r="AX169" t="inlineStr">
        <is>
          <t>RSUAM012600040</t>
        </is>
      </c>
      <c r="AZ169" t="n">
        <v>2</v>
      </c>
      <c r="BA169" t="n">
        <v>25</v>
      </c>
      <c r="BB169" t="n">
        <v>15</v>
      </c>
      <c r="BC169" t="n">
        <v>8150</v>
      </c>
      <c r="BD169" t="inlineStr">
        <is>
          <t>No</t>
        </is>
      </c>
      <c r="BF169" t="inlineStr">
        <is>
          <t>ARTHA SHIPPING</t>
        </is>
      </c>
      <c r="BG169" t="inlineStr">
        <is>
          <t>USNYC</t>
        </is>
      </c>
      <c r="BH169" t="n">
        <v>0</v>
      </c>
      <c r="BI169" t="n">
        <v>1</v>
      </c>
      <c r="BJ169" t="n">
        <v>8150</v>
      </c>
      <c r="BK169" t="inlineStr">
        <is>
          <t>LINE</t>
        </is>
      </c>
      <c r="BL169" t="inlineStr">
        <is>
          <t>DOLPHIN REEFER</t>
        </is>
      </c>
      <c r="BM169" t="inlineStr">
        <is>
          <t>DOLPHIN REEFER</t>
        </is>
      </c>
    </row>
    <row r="170">
      <c r="A170" t="n">
        <v>169</v>
      </c>
      <c r="B170" t="inlineStr">
        <is>
          <t>EAGLE DRY</t>
        </is>
      </c>
      <c r="C170" t="inlineStr">
        <is>
          <t>REF000000</t>
        </is>
      </c>
      <c r="D170" t="inlineStr">
        <is>
          <t>REF000000</t>
        </is>
      </c>
      <c r="E170" t="inlineStr">
        <is>
          <t>24-FEB-2026</t>
        </is>
      </c>
      <c r="F170" t="inlineStr">
        <is>
          <t>EAGLE DRY</t>
        </is>
      </c>
      <c r="H170" t="inlineStr">
        <is>
          <t>AdminUAM</t>
        </is>
      </c>
      <c r="J170" t="n">
        <v>46090</v>
      </c>
      <c r="K170" t="n">
        <v>46089</v>
      </c>
      <c r="L170" t="n">
        <v>46090</v>
      </c>
      <c r="M170" t="inlineStr">
        <is>
          <t>REF000000</t>
        </is>
      </c>
      <c r="N170" t="inlineStr">
        <is>
          <t>USLAX</t>
        </is>
      </c>
      <c r="O170" t="inlineStr">
        <is>
          <t>USLAX</t>
        </is>
      </c>
      <c r="P170" t="inlineStr">
        <is>
          <t>USNFK</t>
        </is>
      </c>
      <c r="U170" t="inlineStr">
        <is>
          <t>RULED</t>
        </is>
      </c>
      <c r="V170" t="inlineStr">
        <is>
          <t>RULED</t>
        </is>
      </c>
      <c r="W170" t="inlineStr">
        <is>
          <t>UNITED STATES</t>
        </is>
      </c>
      <c r="X170" t="inlineStr">
        <is>
          <t>Latin America</t>
        </is>
      </c>
      <c r="Y170" t="inlineStr">
        <is>
          <t>RUSSIA</t>
        </is>
      </c>
      <c r="Z170" t="inlineStr">
        <is>
          <t>External Review</t>
        </is>
      </c>
      <c r="AA170" t="inlineStr">
        <is>
          <t>HUB SHIPPING LLC-LED</t>
        </is>
      </c>
      <c r="AB170" t="inlineStr">
        <is>
          <t>Collect</t>
        </is>
      </c>
      <c r="AC170" t="inlineStr">
        <is>
          <t>LOG IN PANTANAL/588S</t>
        </is>
      </c>
      <c r="AE170" t="inlineStr">
        <is>
          <t>LADEN BOOKING</t>
        </is>
      </c>
      <c r="AF170" t="inlineStr">
        <is>
          <t>RenniUAM</t>
        </is>
      </c>
      <c r="AG170" t="inlineStr">
        <is>
          <t>DC20</t>
        </is>
      </c>
      <c r="AH170" t="inlineStr">
        <is>
          <t>NO</t>
        </is>
      </c>
      <c r="AI170" t="n">
        <v>20</v>
      </c>
      <c r="AJ170" t="n">
        <v>1</v>
      </c>
      <c r="AK170" t="n">
        <v>0</v>
      </c>
      <c r="AL170" t="inlineStr">
        <is>
          <t>ANON0000000</t>
        </is>
      </c>
      <c r="AP170" t="inlineStr">
        <is>
          <t>Non Haz</t>
        </is>
      </c>
      <c r="AQ170" t="inlineStr">
        <is>
          <t>CY/CY</t>
        </is>
      </c>
      <c r="AT170" t="inlineStr">
        <is>
          <t>REF000000</t>
        </is>
      </c>
      <c r="AU170" t="n">
        <v>23000</v>
      </c>
      <c r="AV170" t="inlineStr">
        <is>
          <t>GENERAL COMMODITY</t>
        </is>
      </c>
      <c r="AX170" t="inlineStr">
        <is>
          <t>RSUAM022600014</t>
        </is>
      </c>
      <c r="AZ170" t="n">
        <v>0</v>
      </c>
      <c r="BA170" t="n">
        <v>14</v>
      </c>
      <c r="BB170" t="n">
        <v>14</v>
      </c>
      <c r="BC170" t="n">
        <v>4450</v>
      </c>
      <c r="BD170" t="inlineStr">
        <is>
          <t>Yes</t>
        </is>
      </c>
      <c r="BF170" t="inlineStr">
        <is>
          <t>LOG IN</t>
        </is>
      </c>
      <c r="BG170" t="inlineStr">
        <is>
          <t>RULED</t>
        </is>
      </c>
      <c r="BH170" t="n">
        <v>1</v>
      </c>
      <c r="BI170" t="n">
        <v>0</v>
      </c>
      <c r="BJ170" t="n">
        <v>4450</v>
      </c>
      <c r="BK170" t="inlineStr">
        <is>
          <t>LINE</t>
        </is>
      </c>
      <c r="BL170" t="inlineStr">
        <is>
          <t>EAGLE DRY</t>
        </is>
      </c>
      <c r="BM170" t="inlineStr">
        <is>
          <t>EAGLE DRY</t>
        </is>
      </c>
    </row>
    <row r="171">
      <c r="A171" t="n">
        <v>170</v>
      </c>
      <c r="B171" t="inlineStr">
        <is>
          <t>COYOTE DRY</t>
        </is>
      </c>
      <c r="C171" t="inlineStr">
        <is>
          <t>REF000000</t>
        </is>
      </c>
      <c r="D171" t="inlineStr">
        <is>
          <t>REF000000</t>
        </is>
      </c>
      <c r="E171" t="inlineStr">
        <is>
          <t>26-FEB-2026</t>
        </is>
      </c>
      <c r="F171" t="inlineStr">
        <is>
          <t>COYOTE DRY</t>
        </is>
      </c>
      <c r="G171" t="inlineStr">
        <is>
          <t>APO190101 Food Grade</t>
        </is>
      </c>
      <c r="H171" t="inlineStr">
        <is>
          <t>AdminUAM</t>
        </is>
      </c>
      <c r="J171" t="inlineStr">
        <is>
          <t>10-APR-2026</t>
        </is>
      </c>
      <c r="K171" t="inlineStr">
        <is>
          <t>05-APR-2026</t>
        </is>
      </c>
      <c r="M171" t="inlineStr">
        <is>
          <t>REF000000</t>
        </is>
      </c>
      <c r="N171" t="inlineStr">
        <is>
          <t>USNFK</t>
        </is>
      </c>
      <c r="O171" t="inlineStr">
        <is>
          <t>USNFK</t>
        </is>
      </c>
      <c r="P171" t="inlineStr">
        <is>
          <t>RULED</t>
        </is>
      </c>
      <c r="U171" t="inlineStr">
        <is>
          <t>RULED</t>
        </is>
      </c>
      <c r="V171" t="inlineStr">
        <is>
          <t>RULED</t>
        </is>
      </c>
      <c r="W171" t="inlineStr">
        <is>
          <t>UNITED STATES</t>
        </is>
      </c>
      <c r="X171" t="inlineStr">
        <is>
          <t>Latin America</t>
        </is>
      </c>
      <c r="Y171" t="inlineStr">
        <is>
          <t>RUSSIA</t>
        </is>
      </c>
      <c r="Z171" t="inlineStr">
        <is>
          <t>External Review</t>
        </is>
      </c>
      <c r="AA171" t="inlineStr">
        <is>
          <t>HUB SHIPPING LLC-LED</t>
        </is>
      </c>
      <c r="AB171" t="inlineStr">
        <is>
          <t>Collect</t>
        </is>
      </c>
      <c r="AC171" t="inlineStr">
        <is>
          <t>MERCURY / VOYAGE 1</t>
        </is>
      </c>
      <c r="AE171" t="inlineStr">
        <is>
          <t>LADEN BOOKING</t>
        </is>
      </c>
      <c r="AF171" t="inlineStr">
        <is>
          <t>RenniUAM</t>
        </is>
      </c>
      <c r="AG171" t="inlineStr">
        <is>
          <t>DC20</t>
        </is>
      </c>
      <c r="AH171" t="inlineStr">
        <is>
          <t>NO</t>
        </is>
      </c>
      <c r="AI171" t="n">
        <v>20</v>
      </c>
      <c r="AJ171" t="n">
        <v>4</v>
      </c>
      <c r="AK171" t="n">
        <v>0</v>
      </c>
      <c r="AL171" t="inlineStr">
        <is>
          <t>ANON0000000,
ANON0000000,
ANON0000000,
ANON0000000</t>
        </is>
      </c>
      <c r="AP171" t="inlineStr">
        <is>
          <t>Non Haz</t>
        </is>
      </c>
      <c r="AQ171" t="inlineStr">
        <is>
          <t>CY/CY</t>
        </is>
      </c>
      <c r="AT171" t="inlineStr">
        <is>
          <t>REF000000</t>
        </is>
      </c>
      <c r="AU171" t="n">
        <v>23000</v>
      </c>
      <c r="AV171" t="inlineStr">
        <is>
          <t>GENERAL COMMODITY</t>
        </is>
      </c>
      <c r="AX171" t="inlineStr">
        <is>
          <t>RSUAM012600053</t>
        </is>
      </c>
      <c r="AZ171" t="n">
        <v>0</v>
      </c>
      <c r="BA171" t="n">
        <v>14</v>
      </c>
      <c r="BB171" t="n">
        <v>21</v>
      </c>
      <c r="BC171" t="n">
        <v>1750</v>
      </c>
      <c r="BD171" t="inlineStr">
        <is>
          <t>Yes</t>
        </is>
      </c>
      <c r="BG171" t="inlineStr">
        <is>
          <t>RULED</t>
        </is>
      </c>
      <c r="BH171" t="n">
        <v>4</v>
      </c>
      <c r="BI171" t="n">
        <v>0</v>
      </c>
      <c r="BJ171" t="n">
        <v>7000</v>
      </c>
      <c r="BK171" t="inlineStr">
        <is>
          <t>LINE</t>
        </is>
      </c>
      <c r="BL171" t="inlineStr">
        <is>
          <t>COYOTE DRY</t>
        </is>
      </c>
      <c r="BM171" t="inlineStr">
        <is>
          <t>COYOTE DRY</t>
        </is>
      </c>
    </row>
    <row r="172">
      <c r="A172" t="n">
        <v>171</v>
      </c>
      <c r="B172" t="inlineStr">
        <is>
          <t>FALCON DRY</t>
        </is>
      </c>
      <c r="C172" t="inlineStr">
        <is>
          <t>REF000000</t>
        </is>
      </c>
      <c r="D172" t="inlineStr">
        <is>
          <t>REF000000</t>
        </is>
      </c>
      <c r="E172" t="inlineStr">
        <is>
          <t>26-FEB-2026</t>
        </is>
      </c>
      <c r="F172" t="inlineStr">
        <is>
          <t>FALCON DRY</t>
        </is>
      </c>
      <c r="H172" t="inlineStr">
        <is>
          <t>AdminUAM</t>
        </is>
      </c>
      <c r="J172" t="n">
        <v>46090</v>
      </c>
      <c r="K172" t="n">
        <v>46089</v>
      </c>
      <c r="L172" t="n">
        <v>46090</v>
      </c>
      <c r="M172" t="inlineStr">
        <is>
          <t>REF000000</t>
        </is>
      </c>
      <c r="N172" t="inlineStr">
        <is>
          <t>USLAX</t>
        </is>
      </c>
      <c r="O172" t="inlineStr">
        <is>
          <t>USLAX</t>
        </is>
      </c>
      <c r="P172" t="inlineStr">
        <is>
          <t>USNFK</t>
        </is>
      </c>
      <c r="U172" t="inlineStr">
        <is>
          <t>RULED</t>
        </is>
      </c>
      <c r="V172" t="inlineStr">
        <is>
          <t>RULED</t>
        </is>
      </c>
      <c r="W172" t="inlineStr">
        <is>
          <t>UNITED STATES</t>
        </is>
      </c>
      <c r="X172" t="inlineStr">
        <is>
          <t>Latin America</t>
        </is>
      </c>
      <c r="Y172" t="inlineStr">
        <is>
          <t>RUSSIA</t>
        </is>
      </c>
      <c r="Z172" t="inlineStr">
        <is>
          <t>External Review</t>
        </is>
      </c>
      <c r="AA172" t="inlineStr">
        <is>
          <t>HUB SHIPPING LLC-LED</t>
        </is>
      </c>
      <c r="AB172" t="inlineStr">
        <is>
          <t>Collect</t>
        </is>
      </c>
      <c r="AC172" t="inlineStr">
        <is>
          <t>LOG IN PANTANAL/588S</t>
        </is>
      </c>
      <c r="AE172" t="inlineStr">
        <is>
          <t>LADEN BOOKING</t>
        </is>
      </c>
      <c r="AF172" t="inlineStr">
        <is>
          <t>RenniUAM</t>
        </is>
      </c>
      <c r="AG172" t="inlineStr">
        <is>
          <t>DC20</t>
        </is>
      </c>
      <c r="AH172" t="inlineStr">
        <is>
          <t>NO</t>
        </is>
      </c>
      <c r="AI172" t="n">
        <v>20</v>
      </c>
      <c r="AJ172" t="n">
        <v>1</v>
      </c>
      <c r="AK172" t="n">
        <v>0</v>
      </c>
      <c r="AL172" t="inlineStr">
        <is>
          <t>ANON0000000</t>
        </is>
      </c>
      <c r="AP172" t="inlineStr">
        <is>
          <t>Non Haz</t>
        </is>
      </c>
      <c r="AQ172" t="inlineStr">
        <is>
          <t>CY/CY</t>
        </is>
      </c>
      <c r="AT172" t="inlineStr">
        <is>
          <t>REF000000</t>
        </is>
      </c>
      <c r="AU172" t="n">
        <v>23000</v>
      </c>
      <c r="AV172" t="inlineStr">
        <is>
          <t>GENERAL COMMODITY</t>
        </is>
      </c>
      <c r="AX172" t="inlineStr">
        <is>
          <t>RSUAM022600014</t>
        </is>
      </c>
      <c r="AZ172" t="n">
        <v>0</v>
      </c>
      <c r="BA172" t="n">
        <v>14</v>
      </c>
      <c r="BB172" t="n">
        <v>14</v>
      </c>
      <c r="BC172" t="n">
        <v>4450</v>
      </c>
      <c r="BD172" t="inlineStr">
        <is>
          <t>Yes</t>
        </is>
      </c>
      <c r="BF172" t="inlineStr">
        <is>
          <t>LOG IN</t>
        </is>
      </c>
      <c r="BG172" t="inlineStr">
        <is>
          <t>RULED</t>
        </is>
      </c>
      <c r="BH172" t="n">
        <v>1</v>
      </c>
      <c r="BI172" t="n">
        <v>0</v>
      </c>
      <c r="BJ172" t="n">
        <v>4450</v>
      </c>
      <c r="BK172" t="inlineStr">
        <is>
          <t>LINE</t>
        </is>
      </c>
      <c r="BL172" t="inlineStr">
        <is>
          <t>FALCON DRY</t>
        </is>
      </c>
      <c r="BM172" t="inlineStr">
        <is>
          <t>FALCON DRY</t>
        </is>
      </c>
    </row>
    <row r="173">
      <c r="A173" t="n">
        <v>172</v>
      </c>
      <c r="B173" t="inlineStr">
        <is>
          <t>WOLF DRY</t>
        </is>
      </c>
      <c r="C173" t="inlineStr">
        <is>
          <t>REF000000</t>
        </is>
      </c>
      <c r="D173" t="inlineStr">
        <is>
          <t>REF000000</t>
        </is>
      </c>
      <c r="E173" t="inlineStr">
        <is>
          <t>26-FEB-2026</t>
        </is>
      </c>
      <c r="F173" t="inlineStr">
        <is>
          <t>WOLF DRY</t>
        </is>
      </c>
      <c r="G173" t="inlineStr">
        <is>
          <t>foodgrade cntrs</t>
        </is>
      </c>
      <c r="H173" t="inlineStr">
        <is>
          <t>AdminUAM</t>
        </is>
      </c>
      <c r="J173" t="inlineStr">
        <is>
          <t>11-APR-2026</t>
        </is>
      </c>
      <c r="K173" t="inlineStr">
        <is>
          <t>10-APR-2026</t>
        </is>
      </c>
      <c r="L173" t="inlineStr">
        <is>
          <t>11-APR-2026</t>
        </is>
      </c>
      <c r="M173" t="inlineStr">
        <is>
          <t>REF000000</t>
        </is>
      </c>
      <c r="N173" t="inlineStr">
        <is>
          <t>USHOU</t>
        </is>
      </c>
      <c r="O173" t="inlineStr">
        <is>
          <t>USHOU</t>
        </is>
      </c>
      <c r="P173" t="inlineStr">
        <is>
          <t>RULED</t>
        </is>
      </c>
      <c r="U173" t="inlineStr">
        <is>
          <t>RULED</t>
        </is>
      </c>
      <c r="V173" t="inlineStr">
        <is>
          <t>RULED</t>
        </is>
      </c>
      <c r="W173" t="inlineStr">
        <is>
          <t>UNITED STATES</t>
        </is>
      </c>
      <c r="X173" t="inlineStr">
        <is>
          <t>Latin America</t>
        </is>
      </c>
      <c r="Y173" t="inlineStr">
        <is>
          <t>RUSSIA</t>
        </is>
      </c>
      <c r="Z173" t="inlineStr">
        <is>
          <t>External Review</t>
        </is>
      </c>
      <c r="AA173" t="inlineStr">
        <is>
          <t>HUB SHIPPING LLC-LED</t>
        </is>
      </c>
      <c r="AB173" t="inlineStr">
        <is>
          <t>Collect</t>
        </is>
      </c>
      <c r="AC173" t="inlineStr">
        <is>
          <t>MERCURY / VOYAGE 1</t>
        </is>
      </c>
      <c r="AE173" t="inlineStr">
        <is>
          <t>LADEN BOOKING</t>
        </is>
      </c>
      <c r="AF173" t="inlineStr">
        <is>
          <t>RenniUAM</t>
        </is>
      </c>
      <c r="AG173" t="inlineStr">
        <is>
          <t>HC40</t>
        </is>
      </c>
      <c r="AH173" t="inlineStr">
        <is>
          <t>NO</t>
        </is>
      </c>
      <c r="AI173" t="n">
        <v>40</v>
      </c>
      <c r="AJ173" t="n">
        <v>0</v>
      </c>
      <c r="AK173" t="n">
        <v>3</v>
      </c>
      <c r="AL173" t="inlineStr">
        <is>
          <t>ANON0000000,
ANON0000000,
ANON0000000</t>
        </is>
      </c>
      <c r="AP173" t="inlineStr">
        <is>
          <t>Non Haz</t>
        </is>
      </c>
      <c r="AQ173" t="inlineStr">
        <is>
          <t>CY/CY</t>
        </is>
      </c>
      <c r="AT173" t="inlineStr">
        <is>
          <t>REF000000,
REF000000,
REF000000</t>
        </is>
      </c>
      <c r="AU173" t="n">
        <v>5500</v>
      </c>
      <c r="AV173" t="inlineStr">
        <is>
          <t>GENERAL COMMODITY</t>
        </is>
      </c>
      <c r="AX173" t="inlineStr">
        <is>
          <t>RSUAM022600025</t>
        </is>
      </c>
      <c r="AZ173" t="n">
        <v>0</v>
      </c>
      <c r="BA173" t="n">
        <v>14</v>
      </c>
      <c r="BB173" t="n">
        <v>14</v>
      </c>
      <c r="BC173" t="n">
        <v>2450</v>
      </c>
      <c r="BD173" t="inlineStr">
        <is>
          <t>Yes</t>
        </is>
      </c>
      <c r="BF173" t="inlineStr">
        <is>
          <t>ARTHA SHIPPING</t>
        </is>
      </c>
      <c r="BG173" t="inlineStr">
        <is>
          <t>RULED</t>
        </is>
      </c>
      <c r="BH173" t="n">
        <v>0</v>
      </c>
      <c r="BI173" t="n">
        <v>3</v>
      </c>
      <c r="BJ173" t="n">
        <v>7350</v>
      </c>
      <c r="BK173" t="inlineStr">
        <is>
          <t>LINE</t>
        </is>
      </c>
      <c r="BL173" t="inlineStr">
        <is>
          <t>WOLF DRY</t>
        </is>
      </c>
      <c r="BM173" t="inlineStr">
        <is>
          <t>WOLF DRY</t>
        </is>
      </c>
    </row>
    <row r="174">
      <c r="A174" t="n">
        <v>173</v>
      </c>
      <c r="B174" t="inlineStr">
        <is>
          <t>DEER DRY</t>
        </is>
      </c>
      <c r="C174" t="inlineStr">
        <is>
          <t>REF000000</t>
        </is>
      </c>
      <c r="D174" t="inlineStr">
        <is>
          <t>REF000000</t>
        </is>
      </c>
      <c r="E174" t="inlineStr">
        <is>
          <t>26-FEB-2026</t>
        </is>
      </c>
      <c r="F174" t="inlineStr">
        <is>
          <t>DEER DRY</t>
        </is>
      </c>
      <c r="G174" t="inlineStr">
        <is>
          <t>PREPAID ABROAD</t>
        </is>
      </c>
      <c r="H174" t="inlineStr">
        <is>
          <t>Regional Operations_UNIMAR</t>
        </is>
      </c>
      <c r="J174" t="inlineStr">
        <is>
          <t>10-APR-2026</t>
        </is>
      </c>
      <c r="K174" t="inlineStr">
        <is>
          <t>05-APR-2026</t>
        </is>
      </c>
      <c r="M174" t="inlineStr">
        <is>
          <t>REF000000</t>
        </is>
      </c>
      <c r="N174" t="inlineStr">
        <is>
          <t>USNFK</t>
        </is>
      </c>
      <c r="O174" t="inlineStr">
        <is>
          <t>USNFK</t>
        </is>
      </c>
      <c r="P174" t="inlineStr">
        <is>
          <t>RULED</t>
        </is>
      </c>
      <c r="U174" t="inlineStr">
        <is>
          <t>RULED</t>
        </is>
      </c>
      <c r="V174" t="inlineStr">
        <is>
          <t>RULED</t>
        </is>
      </c>
      <c r="W174" t="inlineStr">
        <is>
          <t>UNITED STATES</t>
        </is>
      </c>
      <c r="X174" t="inlineStr">
        <is>
          <t>Latin America</t>
        </is>
      </c>
      <c r="Y174" t="inlineStr">
        <is>
          <t>RUSSIA</t>
        </is>
      </c>
      <c r="Z174" t="inlineStr">
        <is>
          <t>External Review</t>
        </is>
      </c>
      <c r="AA174" t="inlineStr">
        <is>
          <t>HUB SHIPPING LLC-LED</t>
        </is>
      </c>
      <c r="AB174" t="inlineStr">
        <is>
          <t>Prepaid</t>
        </is>
      </c>
      <c r="AC174" t="inlineStr">
        <is>
          <t>MERCURY / VOYAGE 1</t>
        </is>
      </c>
      <c r="AE174" t="inlineStr">
        <is>
          <t>LADEN BOOKING</t>
        </is>
      </c>
      <c r="AF174" t="inlineStr">
        <is>
          <t>Maria Jessica Da Si</t>
        </is>
      </c>
      <c r="AG174" t="inlineStr">
        <is>
          <t>DC20</t>
        </is>
      </c>
      <c r="AH174" t="inlineStr">
        <is>
          <t>NO</t>
        </is>
      </c>
      <c r="AI174" t="n">
        <v>20</v>
      </c>
      <c r="AJ174" t="n">
        <v>1</v>
      </c>
      <c r="AK174" t="n">
        <v>0</v>
      </c>
      <c r="AL174" t="inlineStr">
        <is>
          <t>ANON0000000</t>
        </is>
      </c>
      <c r="AP174" t="inlineStr">
        <is>
          <t>Non Haz</t>
        </is>
      </c>
      <c r="AQ174" t="inlineStr">
        <is>
          <t>CY/CY</t>
        </is>
      </c>
      <c r="AT174" t="inlineStr">
        <is>
          <t>REF000000</t>
        </is>
      </c>
      <c r="AU174" t="n">
        <v>28000</v>
      </c>
      <c r="AV174" t="inlineStr">
        <is>
          <t>GENERAL COMMODITY</t>
        </is>
      </c>
      <c r="AX174" t="inlineStr">
        <is>
          <t>RSUAM032600050</t>
        </is>
      </c>
      <c r="AZ174" t="n">
        <v>0</v>
      </c>
      <c r="BA174" t="n">
        <v>20</v>
      </c>
      <c r="BB174" t="n">
        <v>14</v>
      </c>
      <c r="BC174" t="n">
        <v>3400</v>
      </c>
      <c r="BD174" t="inlineStr">
        <is>
          <t>No</t>
        </is>
      </c>
      <c r="BG174" t="inlineStr">
        <is>
          <t>USNFK</t>
        </is>
      </c>
      <c r="BH174" t="n">
        <v>1</v>
      </c>
      <c r="BI174" t="n">
        <v>0</v>
      </c>
      <c r="BJ174" t="n">
        <v>3400</v>
      </c>
      <c r="BK174" t="inlineStr">
        <is>
          <t>LINE</t>
        </is>
      </c>
      <c r="BL174" t="inlineStr">
        <is>
          <t>DEER DRY</t>
        </is>
      </c>
      <c r="BM174" t="inlineStr">
        <is>
          <t>DEER DRY</t>
        </is>
      </c>
    </row>
    <row r="175">
      <c r="A175" t="n">
        <v>174</v>
      </c>
      <c r="B175" t="inlineStr">
        <is>
          <t>FOX DRY</t>
        </is>
      </c>
      <c r="C175" t="inlineStr">
        <is>
          <t>REF000000</t>
        </is>
      </c>
      <c r="D175" t="inlineStr">
        <is>
          <t>REF000000</t>
        </is>
      </c>
      <c r="E175" t="inlineStr">
        <is>
          <t>27-FEB-2026</t>
        </is>
      </c>
      <c r="F175" t="inlineStr">
        <is>
          <t>FOX DRY</t>
        </is>
      </c>
      <c r="G175" t="inlineStr">
        <is>
          <t>EVI270201 / Food Grade</t>
        </is>
      </c>
      <c r="H175" t="inlineStr">
        <is>
          <t>AdminUAM</t>
        </is>
      </c>
      <c r="J175" t="inlineStr">
        <is>
          <t>10-APR-2026</t>
        </is>
      </c>
      <c r="K175" t="inlineStr">
        <is>
          <t>05-APR-2026</t>
        </is>
      </c>
      <c r="M175" t="inlineStr">
        <is>
          <t>REF000000</t>
        </is>
      </c>
      <c r="N175" t="inlineStr">
        <is>
          <t>USNFK</t>
        </is>
      </c>
      <c r="O175" t="inlineStr">
        <is>
          <t>USNFK</t>
        </is>
      </c>
      <c r="P175" t="inlineStr">
        <is>
          <t>RULED</t>
        </is>
      </c>
      <c r="U175" t="inlineStr">
        <is>
          <t>RULED</t>
        </is>
      </c>
      <c r="V175" t="inlineStr">
        <is>
          <t>RULED</t>
        </is>
      </c>
      <c r="W175" t="inlineStr">
        <is>
          <t>UNITED STATES</t>
        </is>
      </c>
      <c r="X175" t="inlineStr">
        <is>
          <t>Latin America</t>
        </is>
      </c>
      <c r="Y175" t="inlineStr">
        <is>
          <t>RUSSIA</t>
        </is>
      </c>
      <c r="Z175" t="inlineStr">
        <is>
          <t>External Review</t>
        </is>
      </c>
      <c r="AA175" t="inlineStr">
        <is>
          <t>HUB SHIPPING LLC-LED</t>
        </is>
      </c>
      <c r="AB175" t="inlineStr">
        <is>
          <t>Collect</t>
        </is>
      </c>
      <c r="AC175" t="inlineStr">
        <is>
          <t>MERCURY / VOYAGE 1</t>
        </is>
      </c>
      <c r="AE175" t="inlineStr">
        <is>
          <t>LADEN BOOKING</t>
        </is>
      </c>
      <c r="AF175" t="inlineStr">
        <is>
          <t>RenniUAM</t>
        </is>
      </c>
      <c r="AG175" t="inlineStr">
        <is>
          <t>DC20</t>
        </is>
      </c>
      <c r="AH175" t="inlineStr">
        <is>
          <t>NO</t>
        </is>
      </c>
      <c r="AI175" t="n">
        <v>20</v>
      </c>
      <c r="AJ175" t="n">
        <v>2</v>
      </c>
      <c r="AK175" t="n">
        <v>0</v>
      </c>
      <c r="AL175" t="inlineStr">
        <is>
          <t>ANON0000000,
ANON0000000</t>
        </is>
      </c>
      <c r="AP175" t="inlineStr">
        <is>
          <t>Non Haz</t>
        </is>
      </c>
      <c r="AQ175" t="inlineStr">
        <is>
          <t>CY/CY</t>
        </is>
      </c>
      <c r="AT175" t="inlineStr">
        <is>
          <t>REF000000</t>
        </is>
      </c>
      <c r="AU175" t="n">
        <v>21000</v>
      </c>
      <c r="AV175" t="inlineStr">
        <is>
          <t>GENERAL COMMODITY</t>
        </is>
      </c>
      <c r="AX175" t="inlineStr">
        <is>
          <t>MRG401669</t>
        </is>
      </c>
      <c r="AY175" t="inlineStr">
        <is>
          <t>LINE</t>
        </is>
      </c>
      <c r="AZ175" t="n">
        <v>0</v>
      </c>
      <c r="BA175" t="n">
        <v>14</v>
      </c>
      <c r="BB175" t="n">
        <v>14</v>
      </c>
      <c r="BC175" t="n">
        <v>3200</v>
      </c>
      <c r="BD175" t="inlineStr">
        <is>
          <t>Yes</t>
        </is>
      </c>
      <c r="BG175" t="inlineStr">
        <is>
          <t>RULED</t>
        </is>
      </c>
      <c r="BH175" t="n">
        <v>2</v>
      </c>
      <c r="BI175" t="n">
        <v>0</v>
      </c>
      <c r="BJ175" t="n">
        <v>6400</v>
      </c>
      <c r="BK175" t="inlineStr">
        <is>
          <t>LINE</t>
        </is>
      </c>
      <c r="BL175" t="inlineStr">
        <is>
          <t>FOX DRY</t>
        </is>
      </c>
      <c r="BM175" t="inlineStr">
        <is>
          <t>FOX DRY</t>
        </is>
      </c>
    </row>
    <row r="176">
      <c r="A176" t="n">
        <v>175</v>
      </c>
      <c r="B176" t="inlineStr">
        <is>
          <t>BISON DRY</t>
        </is>
      </c>
      <c r="C176" t="inlineStr">
        <is>
          <t>REF000000</t>
        </is>
      </c>
      <c r="D176" t="inlineStr">
        <is>
          <t>REF000000</t>
        </is>
      </c>
      <c r="E176" t="inlineStr">
        <is>
          <t>27-FEB-2026</t>
        </is>
      </c>
      <c r="F176" t="inlineStr">
        <is>
          <t>BISON DRY</t>
        </is>
      </c>
      <c r="H176" t="inlineStr">
        <is>
          <t>AdminUAM</t>
        </is>
      </c>
      <c r="J176" t="inlineStr">
        <is>
          <t>10-APR-2026</t>
        </is>
      </c>
      <c r="K176" t="inlineStr">
        <is>
          <t>05-APR-2026</t>
        </is>
      </c>
      <c r="M176" t="inlineStr">
        <is>
          <t>REF000000</t>
        </is>
      </c>
      <c r="N176" t="inlineStr">
        <is>
          <t>USNFK</t>
        </is>
      </c>
      <c r="O176" t="inlineStr">
        <is>
          <t>USNFK</t>
        </is>
      </c>
      <c r="P176" t="inlineStr">
        <is>
          <t>RULED</t>
        </is>
      </c>
      <c r="U176" t="inlineStr">
        <is>
          <t>RULED</t>
        </is>
      </c>
      <c r="V176" t="inlineStr">
        <is>
          <t>RULED</t>
        </is>
      </c>
      <c r="W176" t="inlineStr">
        <is>
          <t>UNITED STATES</t>
        </is>
      </c>
      <c r="X176" t="inlineStr">
        <is>
          <t>Latin America</t>
        </is>
      </c>
      <c r="Y176" t="inlineStr">
        <is>
          <t>RUSSIA</t>
        </is>
      </c>
      <c r="Z176" t="inlineStr">
        <is>
          <t>External Review</t>
        </is>
      </c>
      <c r="AA176" t="inlineStr">
        <is>
          <t>HUB SHIPPING LLC-LED</t>
        </is>
      </c>
      <c r="AB176" t="inlineStr">
        <is>
          <t>Collect</t>
        </is>
      </c>
      <c r="AC176" t="inlineStr">
        <is>
          <t>MERCURY / VOYAGE 1</t>
        </is>
      </c>
      <c r="AE176" t="inlineStr">
        <is>
          <t>LADEN BOOKING</t>
        </is>
      </c>
      <c r="AF176" t="inlineStr">
        <is>
          <t>RenniUAM</t>
        </is>
      </c>
      <c r="AG176" t="inlineStr">
        <is>
          <t>FR40</t>
        </is>
      </c>
      <c r="AH176" t="inlineStr">
        <is>
          <t>NO</t>
        </is>
      </c>
      <c r="AI176" t="n">
        <v>40</v>
      </c>
      <c r="AJ176" t="n">
        <v>0</v>
      </c>
      <c r="AK176" t="n">
        <v>4</v>
      </c>
      <c r="AL176" t="inlineStr">
        <is>
          <t>ANON0000000,
ANON0000000,
ANON0000000,
ANON0000000</t>
        </is>
      </c>
      <c r="AP176" t="inlineStr">
        <is>
          <t>Non Haz</t>
        </is>
      </c>
      <c r="AQ176" t="inlineStr">
        <is>
          <t>CY/CY</t>
        </is>
      </c>
      <c r="AT176" t="inlineStr">
        <is>
          <t>REF000000</t>
        </is>
      </c>
      <c r="AU176" t="n">
        <v>150000</v>
      </c>
      <c r="AV176" t="inlineStr">
        <is>
          <t>GENERAL COMMODITY</t>
        </is>
      </c>
      <c r="AX176" t="inlineStr">
        <is>
          <t>RSUAM032600004</t>
        </is>
      </c>
      <c r="AZ176" t="n">
        <v>0</v>
      </c>
      <c r="BA176" t="n">
        <v>21</v>
      </c>
      <c r="BB176" t="n">
        <v>21</v>
      </c>
      <c r="BC176" t="n">
        <v>15500</v>
      </c>
      <c r="BD176" t="inlineStr">
        <is>
          <t>Yes</t>
        </is>
      </c>
      <c r="BG176" t="inlineStr">
        <is>
          <t>RULED</t>
        </is>
      </c>
      <c r="BH176" t="n">
        <v>0</v>
      </c>
      <c r="BI176" t="n">
        <v>4</v>
      </c>
      <c r="BJ176" t="n">
        <v>62000</v>
      </c>
      <c r="BK176" t="inlineStr">
        <is>
          <t>LINE</t>
        </is>
      </c>
      <c r="BL176" t="inlineStr">
        <is>
          <t>BISON DRY</t>
        </is>
      </c>
      <c r="BM176" t="inlineStr">
        <is>
          <t>BISON DRY</t>
        </is>
      </c>
    </row>
    <row r="177">
      <c r="A177" t="n">
        <v>176</v>
      </c>
      <c r="B177" t="inlineStr">
        <is>
          <t>MARLIN REEFER</t>
        </is>
      </c>
      <c r="C177" t="inlineStr">
        <is>
          <t>REF000000</t>
        </is>
      </c>
      <c r="D177" t="inlineStr">
        <is>
          <t>REF000000</t>
        </is>
      </c>
      <c r="E177" t="inlineStr">
        <is>
          <t>27-FEB-2026</t>
        </is>
      </c>
      <c r="F177" t="inlineStr">
        <is>
          <t>MARLIN REEFER</t>
        </is>
      </c>
      <c r="G177" t="inlineStr">
        <is>
          <t>PREPAID ABROAD</t>
        </is>
      </c>
      <c r="H177" t="inlineStr">
        <is>
          <t>Regional Operations_UNIMAR</t>
        </is>
      </c>
      <c r="J177" t="inlineStr">
        <is>
          <t>10-APR-2026</t>
        </is>
      </c>
      <c r="K177" t="inlineStr">
        <is>
          <t>06-APR-2026</t>
        </is>
      </c>
      <c r="L177" t="inlineStr">
        <is>
          <t>10-APR-2026</t>
        </is>
      </c>
      <c r="M177" t="inlineStr">
        <is>
          <t>REF000000</t>
        </is>
      </c>
      <c r="N177" t="inlineStr">
        <is>
          <t>USNYC</t>
        </is>
      </c>
      <c r="O177" t="inlineStr">
        <is>
          <t>USNYC</t>
        </is>
      </c>
      <c r="P177" t="inlineStr">
        <is>
          <t>RUBLT</t>
        </is>
      </c>
      <c r="U177" t="inlineStr">
        <is>
          <t>RUBLT</t>
        </is>
      </c>
      <c r="V177" t="inlineStr">
        <is>
          <t>RUBLT</t>
        </is>
      </c>
      <c r="W177" t="inlineStr">
        <is>
          <t>UNITED STATES</t>
        </is>
      </c>
      <c r="X177" t="inlineStr">
        <is>
          <t>Latin America</t>
        </is>
      </c>
      <c r="Y177" t="inlineStr">
        <is>
          <t>RUSSIA</t>
        </is>
      </c>
      <c r="Z177" t="inlineStr">
        <is>
          <t>External Review</t>
        </is>
      </c>
      <c r="AA177" t="inlineStr">
        <is>
          <t>HUB Shipping-Kaliningrad</t>
        </is>
      </c>
      <c r="AB177" t="inlineStr">
        <is>
          <t>Prepaid</t>
        </is>
      </c>
      <c r="AC177" t="inlineStr">
        <is>
          <t>MERCURY / VOYAGE 1</t>
        </is>
      </c>
      <c r="AE177" t="inlineStr">
        <is>
          <t>LADEN BOOKING</t>
        </is>
      </c>
      <c r="AF177" t="inlineStr">
        <is>
          <t>Joao Ribeiro</t>
        </is>
      </c>
      <c r="AG177" t="inlineStr">
        <is>
          <t>RH40</t>
        </is>
      </c>
      <c r="AH177" t="inlineStr">
        <is>
          <t>NO</t>
        </is>
      </c>
      <c r="AI177" t="n">
        <v>40</v>
      </c>
      <c r="AJ177" t="n">
        <v>0</v>
      </c>
      <c r="AK177" t="n">
        <v>1</v>
      </c>
      <c r="AL177" t="inlineStr">
        <is>
          <t>ANON0000000</t>
        </is>
      </c>
      <c r="AM177" t="n">
        <v>-22</v>
      </c>
      <c r="AP177" t="inlineStr">
        <is>
          <t>Non Haz</t>
        </is>
      </c>
      <c r="AQ177" t="inlineStr">
        <is>
          <t>CY/CY</t>
        </is>
      </c>
      <c r="AT177" t="inlineStr">
        <is>
          <t>REF000000</t>
        </is>
      </c>
      <c r="AU177" t="n">
        <v>28000</v>
      </c>
      <c r="AV177" t="inlineStr">
        <is>
          <t>FROZEN MEAT &amp; FRUIT PULP</t>
        </is>
      </c>
      <c r="AX177" t="inlineStr">
        <is>
          <t>RSUAM122500017</t>
        </is>
      </c>
      <c r="AZ177" t="n">
        <v>2</v>
      </c>
      <c r="BA177" t="n">
        <v>25</v>
      </c>
      <c r="BB177" t="n">
        <v>15</v>
      </c>
      <c r="BC177" t="n">
        <v>9200</v>
      </c>
      <c r="BD177" t="inlineStr">
        <is>
          <t>No</t>
        </is>
      </c>
      <c r="BF177" t="inlineStr">
        <is>
          <t>ARTHA SHIPPING</t>
        </is>
      </c>
      <c r="BG177" t="inlineStr">
        <is>
          <t>USNYC</t>
        </is>
      </c>
      <c r="BH177" t="n">
        <v>0</v>
      </c>
      <c r="BI177" t="n">
        <v>1</v>
      </c>
      <c r="BJ177" t="n">
        <v>9200</v>
      </c>
      <c r="BK177" t="inlineStr">
        <is>
          <t>LINE</t>
        </is>
      </c>
      <c r="BL177" t="inlineStr">
        <is>
          <t>MARLIN REEFER</t>
        </is>
      </c>
      <c r="BM177" t="inlineStr">
        <is>
          <t>MARLIN REEFER</t>
        </is>
      </c>
    </row>
    <row r="178">
      <c r="A178" t="n">
        <v>177</v>
      </c>
      <c r="B178" t="inlineStr">
        <is>
          <t>TURTLE REEFER</t>
        </is>
      </c>
      <c r="C178" t="inlineStr">
        <is>
          <t>REF000000</t>
        </is>
      </c>
      <c r="D178" t="inlineStr">
        <is>
          <t>REF000000</t>
        </is>
      </c>
      <c r="E178" t="inlineStr">
        <is>
          <t>28-FEB-2026</t>
        </is>
      </c>
      <c r="F178" t="inlineStr">
        <is>
          <t>TURTLE REEFER</t>
        </is>
      </c>
      <c r="G178" t="inlineStr">
        <is>
          <t>PREPAID ABROAD</t>
        </is>
      </c>
      <c r="H178" t="inlineStr">
        <is>
          <t>Regional Operations_UNIMAR</t>
        </is>
      </c>
      <c r="J178" t="inlineStr">
        <is>
          <t>10-APR-2026</t>
        </is>
      </c>
      <c r="K178" t="inlineStr">
        <is>
          <t>06-APR-2026</t>
        </is>
      </c>
      <c r="L178" t="inlineStr">
        <is>
          <t>10-APR-2026</t>
        </is>
      </c>
      <c r="M178" t="inlineStr">
        <is>
          <t>REF000000</t>
        </is>
      </c>
      <c r="N178" t="inlineStr">
        <is>
          <t>USNYC</t>
        </is>
      </c>
      <c r="O178" t="inlineStr">
        <is>
          <t>USNYC</t>
        </is>
      </c>
      <c r="P178" t="inlineStr">
        <is>
          <t>RUBLT</t>
        </is>
      </c>
      <c r="U178" t="inlineStr">
        <is>
          <t>RUBLT</t>
        </is>
      </c>
      <c r="V178" t="inlineStr">
        <is>
          <t>RUBLT</t>
        </is>
      </c>
      <c r="W178" t="inlineStr">
        <is>
          <t>UNITED STATES</t>
        </is>
      </c>
      <c r="X178" t="inlineStr">
        <is>
          <t>Latin America</t>
        </is>
      </c>
      <c r="Y178" t="inlineStr">
        <is>
          <t>RUSSIA</t>
        </is>
      </c>
      <c r="Z178" t="inlineStr">
        <is>
          <t>External Review</t>
        </is>
      </c>
      <c r="AA178" t="inlineStr">
        <is>
          <t>HUB Shipping-Kaliningrad</t>
        </is>
      </c>
      <c r="AB178" t="inlineStr">
        <is>
          <t>Prepaid</t>
        </is>
      </c>
      <c r="AC178" t="inlineStr">
        <is>
          <t>MERCURY / VOYAGE 1</t>
        </is>
      </c>
      <c r="AE178" t="inlineStr">
        <is>
          <t>LADEN BOOKING</t>
        </is>
      </c>
      <c r="AF178" t="inlineStr">
        <is>
          <t>Joao Ribeiro</t>
        </is>
      </c>
      <c r="AG178" t="inlineStr">
        <is>
          <t>RH40</t>
        </is>
      </c>
      <c r="AH178" t="inlineStr">
        <is>
          <t>NO</t>
        </is>
      </c>
      <c r="AI178" t="n">
        <v>40</v>
      </c>
      <c r="AJ178" t="n">
        <v>0</v>
      </c>
      <c r="AK178" t="n">
        <v>1</v>
      </c>
      <c r="AL178" t="inlineStr">
        <is>
          <t>ANON0000000</t>
        </is>
      </c>
      <c r="AM178" t="n">
        <v>-18</v>
      </c>
      <c r="AP178" t="inlineStr">
        <is>
          <t>Non Haz</t>
        </is>
      </c>
      <c r="AQ178" t="inlineStr">
        <is>
          <t>CY/CY</t>
        </is>
      </c>
      <c r="AT178" t="inlineStr">
        <is>
          <t>REF000000</t>
        </is>
      </c>
      <c r="AU178" t="n">
        <v>28000</v>
      </c>
      <c r="AV178" t="inlineStr">
        <is>
          <t>FROZEN MEAT</t>
        </is>
      </c>
      <c r="AX178" t="inlineStr">
        <is>
          <t>RSUAM012600023</t>
        </is>
      </c>
      <c r="AZ178" t="n">
        <v>5</v>
      </c>
      <c r="BA178" t="n">
        <v>30</v>
      </c>
      <c r="BB178" t="n">
        <v>15</v>
      </c>
      <c r="BC178" t="n">
        <v>9100</v>
      </c>
      <c r="BD178" t="inlineStr">
        <is>
          <t>No</t>
        </is>
      </c>
      <c r="BF178" t="inlineStr">
        <is>
          <t>ARTHA SHIPPING</t>
        </is>
      </c>
      <c r="BG178" t="inlineStr">
        <is>
          <t>USNYC</t>
        </is>
      </c>
      <c r="BH178" t="n">
        <v>0</v>
      </c>
      <c r="BI178" t="n">
        <v>1</v>
      </c>
      <c r="BJ178" t="n">
        <v>9100</v>
      </c>
      <c r="BK178" t="inlineStr">
        <is>
          <t>LINE</t>
        </is>
      </c>
      <c r="BL178" t="inlineStr">
        <is>
          <t>TURTLE REEFER</t>
        </is>
      </c>
      <c r="BM178" t="inlineStr">
        <is>
          <t>TURTLE REEFER</t>
        </is>
      </c>
    </row>
    <row r="179">
      <c r="A179" t="n">
        <v>178</v>
      </c>
      <c r="B179" t="inlineStr">
        <is>
          <t>FALCON DRY</t>
        </is>
      </c>
      <c r="C179" t="inlineStr">
        <is>
          <t>REF000000</t>
        </is>
      </c>
      <c r="D179" t="inlineStr">
        <is>
          <t>REF000000</t>
        </is>
      </c>
      <c r="E179" t="n">
        <v>46083</v>
      </c>
      <c r="F179" t="inlineStr">
        <is>
          <t>FALCON DRY</t>
        </is>
      </c>
      <c r="G179" t="inlineStr">
        <is>
          <t>EVI020301</t>
        </is>
      </c>
      <c r="H179" t="inlineStr">
        <is>
          <t>AdminUAM</t>
        </is>
      </c>
      <c r="J179" t="inlineStr">
        <is>
          <t>14-APR-2026</t>
        </is>
      </c>
      <c r="K179" t="inlineStr">
        <is>
          <t>09-APR-2026</t>
        </is>
      </c>
      <c r="M179" t="inlineStr">
        <is>
          <t>REF000000</t>
        </is>
      </c>
      <c r="N179" t="inlineStr">
        <is>
          <t>USNFK</t>
        </is>
      </c>
      <c r="O179" t="inlineStr">
        <is>
          <t>USNFK</t>
        </is>
      </c>
      <c r="P179" t="inlineStr">
        <is>
          <t>RULED</t>
        </is>
      </c>
      <c r="U179" t="inlineStr">
        <is>
          <t>RULED</t>
        </is>
      </c>
      <c r="V179" t="inlineStr">
        <is>
          <t>RULED</t>
        </is>
      </c>
      <c r="W179" t="inlineStr">
        <is>
          <t>UNITED STATES</t>
        </is>
      </c>
      <c r="X179" t="inlineStr">
        <is>
          <t>Latin America</t>
        </is>
      </c>
      <c r="Y179" t="inlineStr">
        <is>
          <t>RUSSIA</t>
        </is>
      </c>
      <c r="Z179" t="inlineStr">
        <is>
          <t>External Review</t>
        </is>
      </c>
      <c r="AA179" t="inlineStr">
        <is>
          <t>HUB SHIPPING LLC-LED</t>
        </is>
      </c>
      <c r="AB179" t="inlineStr">
        <is>
          <t>Collect</t>
        </is>
      </c>
      <c r="AC179" t="inlineStr">
        <is>
          <t>MERCURY / VOYAGE 1</t>
        </is>
      </c>
      <c r="AE179" t="inlineStr">
        <is>
          <t>LADEN BOOKING</t>
        </is>
      </c>
      <c r="AF179" t="inlineStr">
        <is>
          <t>RenniUAM</t>
        </is>
      </c>
      <c r="AG179" t="inlineStr">
        <is>
          <t>HC40</t>
        </is>
      </c>
      <c r="AH179" t="inlineStr">
        <is>
          <t>NO</t>
        </is>
      </c>
      <c r="AI179" t="n">
        <v>40</v>
      </c>
      <c r="AJ179" t="n">
        <v>0</v>
      </c>
      <c r="AK179" t="n">
        <v>1</v>
      </c>
      <c r="AL179" t="inlineStr">
        <is>
          <t>ANON0000000</t>
        </is>
      </c>
      <c r="AP179" t="inlineStr">
        <is>
          <t>Non Haz</t>
        </is>
      </c>
      <c r="AQ179" t="inlineStr">
        <is>
          <t>CY/CY</t>
        </is>
      </c>
      <c r="AT179" t="inlineStr">
        <is>
          <t>REF000000</t>
        </is>
      </c>
      <c r="AU179" t="n">
        <v>26000</v>
      </c>
      <c r="AV179" t="inlineStr">
        <is>
          <t>GENERAL COMMODITY</t>
        </is>
      </c>
      <c r="AX179" t="inlineStr">
        <is>
          <t>RSUAM032600056</t>
        </is>
      </c>
      <c r="AZ179" t="n">
        <v>0</v>
      </c>
      <c r="BA179" t="n">
        <v>14</v>
      </c>
      <c r="BB179" t="n">
        <v>14</v>
      </c>
      <c r="BC179" t="n">
        <v>2950</v>
      </c>
      <c r="BD179" t="inlineStr">
        <is>
          <t>Yes</t>
        </is>
      </c>
      <c r="BG179" t="inlineStr">
        <is>
          <t>RULED</t>
        </is>
      </c>
      <c r="BH179" t="n">
        <v>0</v>
      </c>
      <c r="BI179" t="n">
        <v>1</v>
      </c>
      <c r="BJ179" t="n">
        <v>2950</v>
      </c>
      <c r="BK179" t="inlineStr">
        <is>
          <t>LINE</t>
        </is>
      </c>
      <c r="BL179" t="inlineStr">
        <is>
          <t>FALCON DRY</t>
        </is>
      </c>
      <c r="BM179" t="inlineStr">
        <is>
          <t>FALCON DRY</t>
        </is>
      </c>
    </row>
    <row r="180">
      <c r="A180" t="n">
        <v>179</v>
      </c>
      <c r="B180" t="inlineStr">
        <is>
          <t>WHALE REEFER</t>
        </is>
      </c>
      <c r="C180" t="inlineStr">
        <is>
          <t>REF000000</t>
        </is>
      </c>
      <c r="D180" t="inlineStr">
        <is>
          <t>REF000000</t>
        </is>
      </c>
      <c r="E180" t="n">
        <v>46083</v>
      </c>
      <c r="F180" t="inlineStr">
        <is>
          <t>WHALE REEFER</t>
        </is>
      </c>
      <c r="G180" t="inlineStr">
        <is>
          <t>PREPAID ABROAD</t>
        </is>
      </c>
      <c r="H180" t="inlineStr">
        <is>
          <t>Regional Operations_UNIMAR</t>
        </is>
      </c>
      <c r="J180" t="inlineStr">
        <is>
          <t>10-APR-2026</t>
        </is>
      </c>
      <c r="K180" t="inlineStr">
        <is>
          <t>06-APR-2026</t>
        </is>
      </c>
      <c r="L180" t="inlineStr">
        <is>
          <t>10-APR-2026</t>
        </is>
      </c>
      <c r="M180" t="inlineStr">
        <is>
          <t>REF000000</t>
        </is>
      </c>
      <c r="N180" t="inlineStr">
        <is>
          <t>USNYC</t>
        </is>
      </c>
      <c r="O180" t="inlineStr">
        <is>
          <t>USNYC</t>
        </is>
      </c>
      <c r="P180" t="inlineStr">
        <is>
          <t>RUBLT</t>
        </is>
      </c>
      <c r="U180" t="inlineStr">
        <is>
          <t>RUBLT</t>
        </is>
      </c>
      <c r="V180" t="inlineStr">
        <is>
          <t>RUBLT</t>
        </is>
      </c>
      <c r="W180" t="inlineStr">
        <is>
          <t>UNITED STATES</t>
        </is>
      </c>
      <c r="X180" t="inlineStr">
        <is>
          <t>Latin America</t>
        </is>
      </c>
      <c r="Y180" t="inlineStr">
        <is>
          <t>RUSSIA</t>
        </is>
      </c>
      <c r="Z180" t="inlineStr">
        <is>
          <t>External Review</t>
        </is>
      </c>
      <c r="AA180" t="inlineStr">
        <is>
          <t>HUB Shipping-Kaliningrad</t>
        </is>
      </c>
      <c r="AB180" t="inlineStr">
        <is>
          <t>Prepaid</t>
        </is>
      </c>
      <c r="AC180" t="inlineStr">
        <is>
          <t>MERCURY / VOYAGE 1</t>
        </is>
      </c>
      <c r="AE180" t="inlineStr">
        <is>
          <t>LADEN BOOKING</t>
        </is>
      </c>
      <c r="AF180" t="inlineStr">
        <is>
          <t>Joao Ribeiro</t>
        </is>
      </c>
      <c r="AG180" t="inlineStr">
        <is>
          <t>RH40</t>
        </is>
      </c>
      <c r="AH180" t="inlineStr">
        <is>
          <t>NO</t>
        </is>
      </c>
      <c r="AI180" t="n">
        <v>40</v>
      </c>
      <c r="AJ180" t="n">
        <v>0</v>
      </c>
      <c r="AK180" t="n">
        <v>1</v>
      </c>
      <c r="AL180" t="inlineStr">
        <is>
          <t>ANON0000000</t>
        </is>
      </c>
      <c r="AM180" t="n">
        <v>-22</v>
      </c>
      <c r="AP180" t="inlineStr">
        <is>
          <t>Non Haz</t>
        </is>
      </c>
      <c r="AQ180" t="inlineStr">
        <is>
          <t>CY/CY</t>
        </is>
      </c>
      <c r="AT180" t="inlineStr">
        <is>
          <t>REF000000</t>
        </is>
      </c>
      <c r="AU180" t="n">
        <v>27000</v>
      </c>
      <c r="AV180" t="inlineStr">
        <is>
          <t>FROZEN MEAT &amp; FRUIT PULP</t>
        </is>
      </c>
      <c r="AX180" t="inlineStr">
        <is>
          <t>RSUAM122500017</t>
        </is>
      </c>
      <c r="AZ180" t="n">
        <v>2</v>
      </c>
      <c r="BA180" t="n">
        <v>25</v>
      </c>
      <c r="BB180" t="n">
        <v>15</v>
      </c>
      <c r="BC180" t="n">
        <v>9200</v>
      </c>
      <c r="BD180" t="inlineStr">
        <is>
          <t>No</t>
        </is>
      </c>
      <c r="BF180" t="inlineStr">
        <is>
          <t>ARTHA SHIPPING</t>
        </is>
      </c>
      <c r="BG180" t="inlineStr">
        <is>
          <t>USNYC</t>
        </is>
      </c>
      <c r="BH180" t="n">
        <v>0</v>
      </c>
      <c r="BI180" t="n">
        <v>1</v>
      </c>
      <c r="BJ180" t="n">
        <v>9200</v>
      </c>
      <c r="BK180" t="inlineStr">
        <is>
          <t>LINE</t>
        </is>
      </c>
      <c r="BL180" t="inlineStr">
        <is>
          <t>WHALE REEFER</t>
        </is>
      </c>
      <c r="BM180" t="inlineStr">
        <is>
          <t>WHALE REEFER</t>
        </is>
      </c>
    </row>
    <row r="181">
      <c r="A181" t="n">
        <v>180</v>
      </c>
      <c r="B181" t="inlineStr">
        <is>
          <t>SEAL REEFER</t>
        </is>
      </c>
      <c r="C181" t="inlineStr">
        <is>
          <t>REF000000</t>
        </is>
      </c>
      <c r="D181" t="inlineStr">
        <is>
          <t>REF000000</t>
        </is>
      </c>
      <c r="E181" t="n">
        <v>46083</v>
      </c>
      <c r="F181" t="inlineStr">
        <is>
          <t>SEAL REEFER</t>
        </is>
      </c>
      <c r="G181" t="inlineStr">
        <is>
          <t>PREPAID ABROAD</t>
        </is>
      </c>
      <c r="H181" t="inlineStr">
        <is>
          <t>Regional Operations_UNIMAR</t>
        </is>
      </c>
      <c r="J181" t="inlineStr">
        <is>
          <t>10-APR-2026</t>
        </is>
      </c>
      <c r="K181" t="inlineStr">
        <is>
          <t>06-APR-2026</t>
        </is>
      </c>
      <c r="L181" t="inlineStr">
        <is>
          <t>10-APR-2026</t>
        </is>
      </c>
      <c r="M181" t="inlineStr">
        <is>
          <t>REF000000</t>
        </is>
      </c>
      <c r="N181" t="inlineStr">
        <is>
          <t>USNYC</t>
        </is>
      </c>
      <c r="O181" t="inlineStr">
        <is>
          <t>USNYC</t>
        </is>
      </c>
      <c r="P181" t="inlineStr">
        <is>
          <t>RUBLT</t>
        </is>
      </c>
      <c r="U181" t="inlineStr">
        <is>
          <t>RUBLT</t>
        </is>
      </c>
      <c r="V181" t="inlineStr">
        <is>
          <t>RUBLT</t>
        </is>
      </c>
      <c r="W181" t="inlineStr">
        <is>
          <t>UNITED STATES</t>
        </is>
      </c>
      <c r="X181" t="inlineStr">
        <is>
          <t>Latin America</t>
        </is>
      </c>
      <c r="Y181" t="inlineStr">
        <is>
          <t>RUSSIA</t>
        </is>
      </c>
      <c r="Z181" t="inlineStr">
        <is>
          <t>External Review</t>
        </is>
      </c>
      <c r="AA181" t="inlineStr">
        <is>
          <t>HUB Shipping-Kaliningrad</t>
        </is>
      </c>
      <c r="AB181" t="inlineStr">
        <is>
          <t>Prepaid</t>
        </is>
      </c>
      <c r="AC181" t="inlineStr">
        <is>
          <t>MERCURY / VOYAGE 1</t>
        </is>
      </c>
      <c r="AE181" t="inlineStr">
        <is>
          <t>LADEN BOOKING</t>
        </is>
      </c>
      <c r="AF181" t="inlineStr">
        <is>
          <t>Joao Ribeiro</t>
        </is>
      </c>
      <c r="AG181" t="inlineStr">
        <is>
          <t>RH40</t>
        </is>
      </c>
      <c r="AH181" t="inlineStr">
        <is>
          <t>NO</t>
        </is>
      </c>
      <c r="AI181" t="n">
        <v>40</v>
      </c>
      <c r="AJ181" t="n">
        <v>0</v>
      </c>
      <c r="AK181" t="n">
        <v>1</v>
      </c>
      <c r="AL181" t="inlineStr">
        <is>
          <t>ANON0000000</t>
        </is>
      </c>
      <c r="AM181" t="n">
        <v>-22</v>
      </c>
      <c r="AP181" t="inlineStr">
        <is>
          <t>Non Haz</t>
        </is>
      </c>
      <c r="AQ181" t="inlineStr">
        <is>
          <t>CY/CY</t>
        </is>
      </c>
      <c r="AT181" t="inlineStr">
        <is>
          <t>REF000000</t>
        </is>
      </c>
      <c r="AU181" t="n">
        <v>27000</v>
      </c>
      <c r="AV181" t="inlineStr">
        <is>
          <t>FROZEN MEAT &amp; FRUIT PULP</t>
        </is>
      </c>
      <c r="AX181" t="inlineStr">
        <is>
          <t>RSUAM122500017</t>
        </is>
      </c>
      <c r="AZ181" t="n">
        <v>2</v>
      </c>
      <c r="BA181" t="n">
        <v>25</v>
      </c>
      <c r="BB181" t="n">
        <v>15</v>
      </c>
      <c r="BC181" t="n">
        <v>9200</v>
      </c>
      <c r="BD181" t="inlineStr">
        <is>
          <t>No</t>
        </is>
      </c>
      <c r="BF181" t="inlineStr">
        <is>
          <t>ARTHA SHIPPING</t>
        </is>
      </c>
      <c r="BG181" t="inlineStr">
        <is>
          <t>USNYC</t>
        </is>
      </c>
      <c r="BH181" t="n">
        <v>0</v>
      </c>
      <c r="BI181" t="n">
        <v>1</v>
      </c>
      <c r="BJ181" t="n">
        <v>9200</v>
      </c>
      <c r="BK181" t="inlineStr">
        <is>
          <t>LINE</t>
        </is>
      </c>
      <c r="BL181" t="inlineStr">
        <is>
          <t>SEAL REEFER</t>
        </is>
      </c>
      <c r="BM181" t="inlineStr">
        <is>
          <t>SEAL REEFER</t>
        </is>
      </c>
    </row>
    <row r="182">
      <c r="A182" t="n">
        <v>181</v>
      </c>
      <c r="B182" t="inlineStr">
        <is>
          <t>FOX DRY</t>
        </is>
      </c>
      <c r="C182" t="inlineStr">
        <is>
          <t>REF000000</t>
        </is>
      </c>
      <c r="D182" t="inlineStr">
        <is>
          <t>REF000000</t>
        </is>
      </c>
      <c r="E182" t="n">
        <v>46084</v>
      </c>
      <c r="F182" t="inlineStr">
        <is>
          <t>FOX DRY</t>
        </is>
      </c>
      <c r="G182" t="inlineStr">
        <is>
          <t>EVI030310 / Food Grade</t>
        </is>
      </c>
      <c r="H182" t="inlineStr">
        <is>
          <t>AdminUAM</t>
        </is>
      </c>
      <c r="J182" t="inlineStr">
        <is>
          <t>10-APR-2026</t>
        </is>
      </c>
      <c r="K182" t="inlineStr">
        <is>
          <t>05-APR-2026</t>
        </is>
      </c>
      <c r="M182" t="inlineStr">
        <is>
          <t>REF000000</t>
        </is>
      </c>
      <c r="N182" t="inlineStr">
        <is>
          <t>USNFK</t>
        </is>
      </c>
      <c r="O182" t="inlineStr">
        <is>
          <t>USNFK</t>
        </is>
      </c>
      <c r="P182" t="inlineStr">
        <is>
          <t>RULED</t>
        </is>
      </c>
      <c r="U182" t="inlineStr">
        <is>
          <t>RULED</t>
        </is>
      </c>
      <c r="V182" t="inlineStr">
        <is>
          <t>RULED</t>
        </is>
      </c>
      <c r="W182" t="inlineStr">
        <is>
          <t>UNITED STATES</t>
        </is>
      </c>
      <c r="X182" t="inlineStr">
        <is>
          <t>Latin America</t>
        </is>
      </c>
      <c r="Y182" t="inlineStr">
        <is>
          <t>RUSSIA</t>
        </is>
      </c>
      <c r="Z182" t="inlineStr">
        <is>
          <t>External Review</t>
        </is>
      </c>
      <c r="AA182" t="inlineStr">
        <is>
          <t>HUB SHIPPING LLC-LED</t>
        </is>
      </c>
      <c r="AB182" t="inlineStr">
        <is>
          <t>Collect</t>
        </is>
      </c>
      <c r="AC182" t="inlineStr">
        <is>
          <t>MERCURY / VOYAGE 1</t>
        </is>
      </c>
      <c r="AE182" t="inlineStr">
        <is>
          <t>LADEN BOOKING</t>
        </is>
      </c>
      <c r="AF182" t="inlineStr">
        <is>
          <t>RenniUAM</t>
        </is>
      </c>
      <c r="AG182" t="inlineStr">
        <is>
          <t>HC40</t>
        </is>
      </c>
      <c r="AH182" t="inlineStr">
        <is>
          <t>NO</t>
        </is>
      </c>
      <c r="AI182" t="n">
        <v>40</v>
      </c>
      <c r="AJ182" t="n">
        <v>0</v>
      </c>
      <c r="AK182" t="n">
        <v>10</v>
      </c>
      <c r="AL182" t="inlineStr">
        <is>
          <t>ANON0000000,
ANON0000000,
ANON0000000,
ANON0000000,
ANON0000000,
ANON0000000,
ANON0000000,
ANON0000000,
ANON0000000,
ANON0000000</t>
        </is>
      </c>
      <c r="AP182" t="inlineStr">
        <is>
          <t>Non Haz</t>
        </is>
      </c>
      <c r="AQ182" t="inlineStr">
        <is>
          <t>CY/CY</t>
        </is>
      </c>
      <c r="AT182" t="inlineStr">
        <is>
          <t>REF000000</t>
        </is>
      </c>
      <c r="AU182" t="n">
        <v>26000</v>
      </c>
      <c r="AV182" t="inlineStr">
        <is>
          <t>GENERAL COMMODITY</t>
        </is>
      </c>
      <c r="AX182" t="inlineStr">
        <is>
          <t>RSUAM122500027</t>
        </is>
      </c>
      <c r="AZ182" t="n">
        <v>0</v>
      </c>
      <c r="BA182" t="n">
        <v>14</v>
      </c>
      <c r="BB182" t="n">
        <v>14</v>
      </c>
      <c r="BC182" t="n">
        <v>2750</v>
      </c>
      <c r="BD182" t="inlineStr">
        <is>
          <t>Yes</t>
        </is>
      </c>
      <c r="BG182" t="inlineStr">
        <is>
          <t>RULED</t>
        </is>
      </c>
      <c r="BH182" t="n">
        <v>0</v>
      </c>
      <c r="BI182" t="n">
        <v>10</v>
      </c>
      <c r="BJ182" t="n">
        <v>27500</v>
      </c>
      <c r="BK182" t="inlineStr">
        <is>
          <t>LINE</t>
        </is>
      </c>
      <c r="BL182" t="inlineStr">
        <is>
          <t>FOX DRY</t>
        </is>
      </c>
      <c r="BM182" t="inlineStr">
        <is>
          <t>FOX DRY</t>
        </is>
      </c>
    </row>
    <row r="183">
      <c r="A183" t="n">
        <v>182</v>
      </c>
      <c r="B183" t="inlineStr">
        <is>
          <t>DOLPHIN REEFER</t>
        </is>
      </c>
      <c r="C183" t="inlineStr">
        <is>
          <t>REF000000</t>
        </is>
      </c>
      <c r="D183" t="inlineStr">
        <is>
          <t>REF000000</t>
        </is>
      </c>
      <c r="E183" t="n">
        <v>46084</v>
      </c>
      <c r="F183" t="inlineStr">
        <is>
          <t>DOLPHIN REEFER</t>
        </is>
      </c>
      <c r="G183" t="inlineStr">
        <is>
          <t>EVI030312</t>
        </is>
      </c>
      <c r="H183" t="inlineStr">
        <is>
          <t>AdminUAM</t>
        </is>
      </c>
      <c r="J183" t="inlineStr">
        <is>
          <t>10-APR-2026</t>
        </is>
      </c>
      <c r="K183" t="inlineStr">
        <is>
          <t>06-APR-2026</t>
        </is>
      </c>
      <c r="L183" t="inlineStr">
        <is>
          <t>10-APR-2026</t>
        </is>
      </c>
      <c r="M183" t="inlineStr">
        <is>
          <t>REF000000</t>
        </is>
      </c>
      <c r="N183" t="inlineStr">
        <is>
          <t>USNYC</t>
        </is>
      </c>
      <c r="O183" t="inlineStr">
        <is>
          <t>USNYC</t>
        </is>
      </c>
      <c r="P183" t="inlineStr">
        <is>
          <t>RULED</t>
        </is>
      </c>
      <c r="U183" t="inlineStr">
        <is>
          <t>RULED</t>
        </is>
      </c>
      <c r="V183" t="inlineStr">
        <is>
          <t>RULED</t>
        </is>
      </c>
      <c r="W183" t="inlineStr">
        <is>
          <t>UNITED STATES</t>
        </is>
      </c>
      <c r="X183" t="inlineStr">
        <is>
          <t>Latin America</t>
        </is>
      </c>
      <c r="Y183" t="inlineStr">
        <is>
          <t>RUSSIA</t>
        </is>
      </c>
      <c r="Z183" t="inlineStr">
        <is>
          <t>External Review</t>
        </is>
      </c>
      <c r="AA183" t="inlineStr">
        <is>
          <t>HUB SHIPPING LLC-LED</t>
        </is>
      </c>
      <c r="AB183" t="inlineStr">
        <is>
          <t>Collect</t>
        </is>
      </c>
      <c r="AC183" t="inlineStr">
        <is>
          <t>MERCURY / VOYAGE 1</t>
        </is>
      </c>
      <c r="AE183" t="inlineStr">
        <is>
          <t>LADEN BOOKING</t>
        </is>
      </c>
      <c r="AF183" t="inlineStr">
        <is>
          <t>RenniUAM</t>
        </is>
      </c>
      <c r="AG183" t="inlineStr">
        <is>
          <t>HC40</t>
        </is>
      </c>
      <c r="AH183" t="inlineStr">
        <is>
          <t>NO</t>
        </is>
      </c>
      <c r="AI183" t="n">
        <v>40</v>
      </c>
      <c r="AJ183" t="n">
        <v>0</v>
      </c>
      <c r="AK183" t="n">
        <v>18</v>
      </c>
      <c r="AL183" t="inlineStr">
        <is>
          <t>ANON0000000,
ANON0000000,
ANON0000000,
ANON0000000,
ANON0000000,
ANON0000000,
ANON0000000,
ANON0000000,
ANON0000000,
ANON0000000,
ANON0000000,
ANON0000000,
ANON0000000,
ANON0000000,
ANON0000000,
ANON0000000,
ANON0000000,
ANON0000000</t>
        </is>
      </c>
      <c r="AP183" t="inlineStr">
        <is>
          <t>Non Haz</t>
        </is>
      </c>
      <c r="AQ183" t="inlineStr">
        <is>
          <t>CY/CY</t>
        </is>
      </c>
      <c r="AT183" t="inlineStr">
        <is>
          <t>REF000000</t>
        </is>
      </c>
      <c r="AU183" t="n">
        <v>23000</v>
      </c>
      <c r="AV183" t="inlineStr">
        <is>
          <t>GENERAL COMMODITY</t>
        </is>
      </c>
      <c r="AX183" t="inlineStr">
        <is>
          <t>RSUAM032600003</t>
        </is>
      </c>
      <c r="AZ183" t="n">
        <v>0</v>
      </c>
      <c r="BA183" t="n">
        <v>14</v>
      </c>
      <c r="BB183" t="n">
        <v>14</v>
      </c>
      <c r="BC183" t="n">
        <v>2050</v>
      </c>
      <c r="BD183" t="inlineStr">
        <is>
          <t>Yes</t>
        </is>
      </c>
      <c r="BF183" t="inlineStr">
        <is>
          <t>ARTHA SHIPPING</t>
        </is>
      </c>
      <c r="BG183" t="inlineStr">
        <is>
          <t>RULED</t>
        </is>
      </c>
      <c r="BH183" t="n">
        <v>0</v>
      </c>
      <c r="BI183" t="n">
        <v>18</v>
      </c>
      <c r="BJ183" t="n">
        <v>36900</v>
      </c>
      <c r="BK183" t="inlineStr">
        <is>
          <t>LINE</t>
        </is>
      </c>
      <c r="BL183" t="inlineStr">
        <is>
          <t>DOLPHIN REEFER</t>
        </is>
      </c>
      <c r="BM183" t="inlineStr">
        <is>
          <t>DOLPHIN REEFER</t>
        </is>
      </c>
    </row>
    <row r="184">
      <c r="A184" t="n">
        <v>183</v>
      </c>
      <c r="B184" t="inlineStr">
        <is>
          <t>EAGLE DRY</t>
        </is>
      </c>
      <c r="C184" t="inlineStr">
        <is>
          <t>REF000000</t>
        </is>
      </c>
      <c r="D184" t="inlineStr">
        <is>
          <t>REF000000</t>
        </is>
      </c>
      <c r="E184" t="n">
        <v>46085</v>
      </c>
      <c r="F184" t="inlineStr">
        <is>
          <t>EAGLE DRY</t>
        </is>
      </c>
      <c r="G184" t="inlineStr">
        <is>
          <t>EVI040302 / Food Grade</t>
        </is>
      </c>
      <c r="H184" t="inlineStr">
        <is>
          <t>AdminUAM</t>
        </is>
      </c>
      <c r="J184" t="inlineStr">
        <is>
          <t>14-APR-2026</t>
        </is>
      </c>
      <c r="K184" t="inlineStr">
        <is>
          <t>09-APR-2026</t>
        </is>
      </c>
      <c r="M184" t="inlineStr">
        <is>
          <t>REF000000</t>
        </is>
      </c>
      <c r="N184" t="inlineStr">
        <is>
          <t>USNFK</t>
        </is>
      </c>
      <c r="O184" t="inlineStr">
        <is>
          <t>USNFK</t>
        </is>
      </c>
      <c r="P184" t="inlineStr">
        <is>
          <t>RULED</t>
        </is>
      </c>
      <c r="U184" t="inlineStr">
        <is>
          <t>RULED</t>
        </is>
      </c>
      <c r="V184" t="inlineStr">
        <is>
          <t>RULED</t>
        </is>
      </c>
      <c r="W184" t="inlineStr">
        <is>
          <t>UNITED STATES</t>
        </is>
      </c>
      <c r="X184" t="inlineStr">
        <is>
          <t>Latin America</t>
        </is>
      </c>
      <c r="Y184" t="inlineStr">
        <is>
          <t>RUSSIA</t>
        </is>
      </c>
      <c r="Z184" t="inlineStr">
        <is>
          <t>External Review</t>
        </is>
      </c>
      <c r="AA184" t="inlineStr">
        <is>
          <t>HUB SHIPPING LLC-LED</t>
        </is>
      </c>
      <c r="AB184" t="inlineStr">
        <is>
          <t>Collect</t>
        </is>
      </c>
      <c r="AC184" t="inlineStr">
        <is>
          <t>MERCURY / VOYAGE 1</t>
        </is>
      </c>
      <c r="AE184" t="inlineStr">
        <is>
          <t>LADEN BOOKING</t>
        </is>
      </c>
      <c r="AF184" t="inlineStr">
        <is>
          <t>RenniUAM</t>
        </is>
      </c>
      <c r="AG184" t="inlineStr">
        <is>
          <t>HC40</t>
        </is>
      </c>
      <c r="AH184" t="inlineStr">
        <is>
          <t>NO</t>
        </is>
      </c>
      <c r="AI184" t="n">
        <v>40</v>
      </c>
      <c r="AJ184" t="n">
        <v>0</v>
      </c>
      <c r="AK184" t="n">
        <v>8</v>
      </c>
      <c r="AL184" t="inlineStr">
        <is>
          <t>ANON0000000,
ANON0000000,
ANON0000000,
ANON0000000,
ANON0000000,
ANON0000000,
ANON0000000,
ANON0000000</t>
        </is>
      </c>
      <c r="AP184" t="inlineStr">
        <is>
          <t>Non Haz</t>
        </is>
      </c>
      <c r="AQ184" t="inlineStr">
        <is>
          <t>CY/CY</t>
        </is>
      </c>
      <c r="AT184" t="inlineStr">
        <is>
          <t>REF000000</t>
        </is>
      </c>
      <c r="AU184" t="n">
        <v>26000</v>
      </c>
      <c r="AV184" t="inlineStr">
        <is>
          <t>GENERAL COMMODITY</t>
        </is>
      </c>
      <c r="AX184" t="inlineStr">
        <is>
          <t>RSUAM032600002</t>
        </is>
      </c>
      <c r="AZ184" t="n">
        <v>0</v>
      </c>
      <c r="BA184" t="n">
        <v>10</v>
      </c>
      <c r="BB184" t="n">
        <v>14</v>
      </c>
      <c r="BC184" t="n">
        <v>3350</v>
      </c>
      <c r="BD184" t="inlineStr">
        <is>
          <t>Yes</t>
        </is>
      </c>
      <c r="BG184" t="inlineStr">
        <is>
          <t>RULED</t>
        </is>
      </c>
      <c r="BH184" t="n">
        <v>0</v>
      </c>
      <c r="BI184" t="n">
        <v>8</v>
      </c>
      <c r="BJ184" t="n">
        <v>26800</v>
      </c>
      <c r="BK184" t="inlineStr">
        <is>
          <t>LINE</t>
        </is>
      </c>
      <c r="BL184" t="inlineStr">
        <is>
          <t>EAGLE DRY</t>
        </is>
      </c>
      <c r="BM184" t="inlineStr">
        <is>
          <t>EAGLE DRY</t>
        </is>
      </c>
    </row>
    <row r="185">
      <c r="A185" t="n">
        <v>184</v>
      </c>
      <c r="B185" t="inlineStr">
        <is>
          <t>COYOTE DRY</t>
        </is>
      </c>
      <c r="C185" t="inlineStr">
        <is>
          <t>REF000000</t>
        </is>
      </c>
      <c r="D185" t="inlineStr">
        <is>
          <t>REF000000</t>
        </is>
      </c>
      <c r="E185" t="n">
        <v>46085</v>
      </c>
      <c r="F185" t="inlineStr">
        <is>
          <t>COYOTE DRY</t>
        </is>
      </c>
      <c r="G185" t="inlineStr">
        <is>
          <t>EVI040305 / Food Grade</t>
        </is>
      </c>
      <c r="H185" t="inlineStr">
        <is>
          <t>AdminUAM</t>
        </is>
      </c>
      <c r="J185" t="inlineStr">
        <is>
          <t>10-APR-2026</t>
        </is>
      </c>
      <c r="K185" t="inlineStr">
        <is>
          <t>05-APR-2026</t>
        </is>
      </c>
      <c r="M185" t="inlineStr">
        <is>
          <t>REF000000</t>
        </is>
      </c>
      <c r="N185" t="inlineStr">
        <is>
          <t>USNFK</t>
        </is>
      </c>
      <c r="O185" t="inlineStr">
        <is>
          <t>USNFK</t>
        </is>
      </c>
      <c r="P185" t="inlineStr">
        <is>
          <t>RULED</t>
        </is>
      </c>
      <c r="U185" t="inlineStr">
        <is>
          <t>RULED</t>
        </is>
      </c>
      <c r="V185" t="inlineStr">
        <is>
          <t>RULED</t>
        </is>
      </c>
      <c r="W185" t="inlineStr">
        <is>
          <t>UNITED STATES</t>
        </is>
      </c>
      <c r="X185" t="inlineStr">
        <is>
          <t>Latin America</t>
        </is>
      </c>
      <c r="Y185" t="inlineStr">
        <is>
          <t>RUSSIA</t>
        </is>
      </c>
      <c r="Z185" t="inlineStr">
        <is>
          <t>External Review</t>
        </is>
      </c>
      <c r="AA185" t="inlineStr">
        <is>
          <t>HUB SHIPPING LLC-LED</t>
        </is>
      </c>
      <c r="AB185" t="inlineStr">
        <is>
          <t>Collect</t>
        </is>
      </c>
      <c r="AC185" t="inlineStr">
        <is>
          <t>MERCURY / VOYAGE 1</t>
        </is>
      </c>
      <c r="AE185" t="inlineStr">
        <is>
          <t>LADEN BOOKING</t>
        </is>
      </c>
      <c r="AF185" t="inlineStr">
        <is>
          <t>RenniUAM</t>
        </is>
      </c>
      <c r="AG185" t="inlineStr">
        <is>
          <t>DC20</t>
        </is>
      </c>
      <c r="AH185" t="inlineStr">
        <is>
          <t>NO</t>
        </is>
      </c>
      <c r="AI185" t="n">
        <v>20</v>
      </c>
      <c r="AJ185" t="n">
        <v>5</v>
      </c>
      <c r="AK185" t="n">
        <v>0</v>
      </c>
      <c r="AL185" t="inlineStr">
        <is>
          <t>ANON0000000,
ANON0000000,
ANON0000000,
ANON0000000,
ANON0000000</t>
        </is>
      </c>
      <c r="AP185" t="inlineStr">
        <is>
          <t>Non Haz</t>
        </is>
      </c>
      <c r="AQ185" t="inlineStr">
        <is>
          <t>CY/CY</t>
        </is>
      </c>
      <c r="AT185" t="inlineStr">
        <is>
          <t>REF000000</t>
        </is>
      </c>
      <c r="AU185" t="n">
        <v>26000</v>
      </c>
      <c r="AV185" t="inlineStr">
        <is>
          <t>GENERAL COMMODITY</t>
        </is>
      </c>
      <c r="AX185" t="inlineStr">
        <is>
          <t>RSUAM032600005</t>
        </is>
      </c>
      <c r="AZ185" t="n">
        <v>0</v>
      </c>
      <c r="BA185" t="n">
        <v>10</v>
      </c>
      <c r="BB185" t="n">
        <v>14</v>
      </c>
      <c r="BC185" t="n">
        <v>2600</v>
      </c>
      <c r="BD185" t="inlineStr">
        <is>
          <t>Yes</t>
        </is>
      </c>
      <c r="BG185" t="inlineStr">
        <is>
          <t>RULED</t>
        </is>
      </c>
      <c r="BH185" t="n">
        <v>5</v>
      </c>
      <c r="BI185" t="n">
        <v>0</v>
      </c>
      <c r="BJ185" t="n">
        <v>13000</v>
      </c>
      <c r="BK185" t="inlineStr">
        <is>
          <t>LINE</t>
        </is>
      </c>
      <c r="BL185" t="inlineStr">
        <is>
          <t>COYOTE DRY</t>
        </is>
      </c>
      <c r="BM185" t="inlineStr">
        <is>
          <t>COYOTE DRY</t>
        </is>
      </c>
    </row>
    <row r="186">
      <c r="A186" t="n">
        <v>185</v>
      </c>
      <c r="B186" t="inlineStr">
        <is>
          <t>FALCON DRY</t>
        </is>
      </c>
      <c r="C186" t="inlineStr">
        <is>
          <t>REF000000</t>
        </is>
      </c>
      <c r="D186" t="inlineStr">
        <is>
          <t>REF000000</t>
        </is>
      </c>
      <c r="E186" t="n">
        <v>46085</v>
      </c>
      <c r="F186" t="inlineStr">
        <is>
          <t>FALCON DRY</t>
        </is>
      </c>
      <c r="G186" t="inlineStr">
        <is>
          <t>PREPAID ABROAD</t>
        </is>
      </c>
      <c r="H186" t="inlineStr">
        <is>
          <t>Diego</t>
        </is>
      </c>
      <c r="J186" t="inlineStr">
        <is>
          <t>10-APR-2026</t>
        </is>
      </c>
      <c r="K186" t="inlineStr">
        <is>
          <t>05-APR-2026</t>
        </is>
      </c>
      <c r="M186" t="inlineStr">
        <is>
          <t>REF000000</t>
        </is>
      </c>
      <c r="N186" t="inlineStr">
        <is>
          <t>USNFK</t>
        </is>
      </c>
      <c r="O186" t="inlineStr">
        <is>
          <t>USNFK</t>
        </is>
      </c>
      <c r="P186" t="inlineStr">
        <is>
          <t>RULED</t>
        </is>
      </c>
      <c r="U186" t="inlineStr">
        <is>
          <t>RULED</t>
        </is>
      </c>
      <c r="V186" t="inlineStr">
        <is>
          <t>RULED</t>
        </is>
      </c>
      <c r="W186" t="inlineStr">
        <is>
          <t>UNITED STATES</t>
        </is>
      </c>
      <c r="X186" t="inlineStr">
        <is>
          <t>Latin America</t>
        </is>
      </c>
      <c r="Y186" t="inlineStr">
        <is>
          <t>RUSSIA</t>
        </is>
      </c>
      <c r="Z186" t="inlineStr">
        <is>
          <t>External Review</t>
        </is>
      </c>
      <c r="AA186" t="inlineStr">
        <is>
          <t>HUB SHIPPING LLC-LED</t>
        </is>
      </c>
      <c r="AB186" t="inlineStr">
        <is>
          <t>Prepaid</t>
        </is>
      </c>
      <c r="AC186" t="inlineStr">
        <is>
          <t>MERCURY / VOYAGE 1</t>
        </is>
      </c>
      <c r="AE186" t="inlineStr">
        <is>
          <t>LADEN BOOKING</t>
        </is>
      </c>
      <c r="AF186" t="inlineStr">
        <is>
          <t>Maria Jessica Da Si</t>
        </is>
      </c>
      <c r="AG186" t="inlineStr">
        <is>
          <t>DC20</t>
        </is>
      </c>
      <c r="AH186" t="inlineStr">
        <is>
          <t>NO</t>
        </is>
      </c>
      <c r="AI186" t="n">
        <v>20</v>
      </c>
      <c r="AJ186" t="n">
        <v>1</v>
      </c>
      <c r="AK186" t="n">
        <v>0</v>
      </c>
      <c r="AL186" t="inlineStr">
        <is>
          <t>ANON0000000</t>
        </is>
      </c>
      <c r="AP186" t="inlineStr">
        <is>
          <t>Non Haz</t>
        </is>
      </c>
      <c r="AQ186" t="inlineStr">
        <is>
          <t>CY/CY</t>
        </is>
      </c>
      <c r="AT186" t="inlineStr">
        <is>
          <t>REF000000</t>
        </is>
      </c>
      <c r="AU186" t="n">
        <v>28000</v>
      </c>
      <c r="AV186" t="inlineStr">
        <is>
          <t>COFFEE</t>
        </is>
      </c>
      <c r="AX186" t="inlineStr">
        <is>
          <t>RSUAM032600006</t>
        </is>
      </c>
      <c r="AZ186" t="n">
        <v>0</v>
      </c>
      <c r="BA186" t="n">
        <v>14</v>
      </c>
      <c r="BB186" t="n">
        <v>14</v>
      </c>
      <c r="BC186" t="n">
        <v>3200</v>
      </c>
      <c r="BD186" t="inlineStr">
        <is>
          <t>No</t>
        </is>
      </c>
      <c r="BG186" t="inlineStr">
        <is>
          <t>USNFK</t>
        </is>
      </c>
      <c r="BH186" t="n">
        <v>1</v>
      </c>
      <c r="BI186" t="n">
        <v>0</v>
      </c>
      <c r="BJ186" t="n">
        <v>3200</v>
      </c>
      <c r="BK186" t="inlineStr">
        <is>
          <t>LINE</t>
        </is>
      </c>
      <c r="BL186" t="inlineStr">
        <is>
          <t>FALCON DRY</t>
        </is>
      </c>
      <c r="BM186" t="inlineStr">
        <is>
          <t>FALCON DRY</t>
        </is>
      </c>
    </row>
    <row r="187">
      <c r="A187" t="n">
        <v>186</v>
      </c>
      <c r="B187" t="inlineStr">
        <is>
          <t>WHALE REEFER</t>
        </is>
      </c>
      <c r="C187" t="inlineStr">
        <is>
          <t>REF000000</t>
        </is>
      </c>
      <c r="D187" t="inlineStr">
        <is>
          <t>REF000000</t>
        </is>
      </c>
      <c r="E187" t="n">
        <v>46086</v>
      </c>
      <c r="F187" t="inlineStr">
        <is>
          <t>WHALE REEFER</t>
        </is>
      </c>
      <c r="G187" t="inlineStr">
        <is>
          <t>PREPAID</t>
        </is>
      </c>
      <c r="H187" t="inlineStr">
        <is>
          <t>Diego</t>
        </is>
      </c>
      <c r="J187" t="inlineStr">
        <is>
          <t>10-APR-2026</t>
        </is>
      </c>
      <c r="K187" t="inlineStr">
        <is>
          <t>05-APR-2026</t>
        </is>
      </c>
      <c r="M187" t="inlineStr">
        <is>
          <t>REF000000</t>
        </is>
      </c>
      <c r="N187" t="inlineStr">
        <is>
          <t>USNFK</t>
        </is>
      </c>
      <c r="O187" t="inlineStr">
        <is>
          <t>USNFK</t>
        </is>
      </c>
      <c r="P187" t="inlineStr">
        <is>
          <t>RULED</t>
        </is>
      </c>
      <c r="U187" t="inlineStr">
        <is>
          <t>RULED</t>
        </is>
      </c>
      <c r="V187" t="inlineStr">
        <is>
          <t>RULED</t>
        </is>
      </c>
      <c r="W187" t="inlineStr">
        <is>
          <t>UNITED STATES</t>
        </is>
      </c>
      <c r="X187" t="inlineStr">
        <is>
          <t>Latin America</t>
        </is>
      </c>
      <c r="Y187" t="inlineStr">
        <is>
          <t>RUSSIA</t>
        </is>
      </c>
      <c r="Z187" t="inlineStr">
        <is>
          <t>External Review</t>
        </is>
      </c>
      <c r="AA187" t="inlineStr">
        <is>
          <t>HUB SHIPPING LLC-LED</t>
        </is>
      </c>
      <c r="AB187" t="inlineStr">
        <is>
          <t>Prepaid</t>
        </is>
      </c>
      <c r="AC187" t="inlineStr">
        <is>
          <t>MERCURY / VOYAGE 1</t>
        </is>
      </c>
      <c r="AE187" t="inlineStr">
        <is>
          <t>LADEN BOOKING</t>
        </is>
      </c>
      <c r="AF187" t="inlineStr">
        <is>
          <t>Joao Ribeiro</t>
        </is>
      </c>
      <c r="AG187" t="inlineStr">
        <is>
          <t>RH40</t>
        </is>
      </c>
      <c r="AH187" t="inlineStr">
        <is>
          <t>NO</t>
        </is>
      </c>
      <c r="AI187" t="n">
        <v>40</v>
      </c>
      <c r="AJ187" t="n">
        <v>0</v>
      </c>
      <c r="AK187" t="n">
        <v>1</v>
      </c>
      <c r="AL187" t="inlineStr">
        <is>
          <t>ANON0000000</t>
        </is>
      </c>
      <c r="AM187" t="n">
        <v>-18</v>
      </c>
      <c r="AP187" t="inlineStr">
        <is>
          <t>Non Haz</t>
        </is>
      </c>
      <c r="AQ187" t="inlineStr">
        <is>
          <t>CY/CY</t>
        </is>
      </c>
      <c r="AT187" t="inlineStr">
        <is>
          <t>REF000000</t>
        </is>
      </c>
      <c r="AU187" t="n">
        <v>28000</v>
      </c>
      <c r="AV187" t="inlineStr">
        <is>
          <t>FROZEN MEAT</t>
        </is>
      </c>
      <c r="AX187" t="inlineStr">
        <is>
          <t>RSUAM032600019</t>
        </is>
      </c>
      <c r="AZ187" t="n">
        <v>5</v>
      </c>
      <c r="BA187" t="n">
        <v>25</v>
      </c>
      <c r="BB187" t="n">
        <v>15</v>
      </c>
      <c r="BC187" t="n">
        <v>7000</v>
      </c>
      <c r="BD187" t="inlineStr">
        <is>
          <t>No</t>
        </is>
      </c>
      <c r="BG187" t="inlineStr">
        <is>
          <t>USNFK</t>
        </is>
      </c>
      <c r="BH187" t="n">
        <v>0</v>
      </c>
      <c r="BI187" t="n">
        <v>1</v>
      </c>
      <c r="BJ187" t="n">
        <v>7000</v>
      </c>
      <c r="BK187" t="inlineStr">
        <is>
          <t>LINE</t>
        </is>
      </c>
      <c r="BL187" t="inlineStr">
        <is>
          <t>WHALE REEFER</t>
        </is>
      </c>
      <c r="BM187" t="inlineStr">
        <is>
          <t>WHALE REEFER</t>
        </is>
      </c>
    </row>
    <row r="188">
      <c r="A188" t="n">
        <v>187</v>
      </c>
      <c r="B188" t="inlineStr">
        <is>
          <t>DEER DRY</t>
        </is>
      </c>
      <c r="C188" t="inlineStr">
        <is>
          <t>REF000000</t>
        </is>
      </c>
      <c r="D188" t="inlineStr">
        <is>
          <t>REF000000</t>
        </is>
      </c>
      <c r="E188" t="n">
        <v>46086</v>
      </c>
      <c r="F188" t="inlineStr">
        <is>
          <t>DEER DRY</t>
        </is>
      </c>
      <c r="G188" t="inlineStr">
        <is>
          <t>PREPAID</t>
        </is>
      </c>
      <c r="H188" t="inlineStr">
        <is>
          <t>Regional Operations_UNIMAR</t>
        </is>
      </c>
      <c r="J188" t="inlineStr">
        <is>
          <t>10-APR-2026</t>
        </is>
      </c>
      <c r="K188" t="inlineStr">
        <is>
          <t>05-APR-2026</t>
        </is>
      </c>
      <c r="M188" t="inlineStr">
        <is>
          <t>REF000000</t>
        </is>
      </c>
      <c r="N188" t="inlineStr">
        <is>
          <t>USNFK</t>
        </is>
      </c>
      <c r="O188" t="inlineStr">
        <is>
          <t>USNFK</t>
        </is>
      </c>
      <c r="P188" t="inlineStr">
        <is>
          <t>RULED</t>
        </is>
      </c>
      <c r="U188" t="inlineStr">
        <is>
          <t>RULED</t>
        </is>
      </c>
      <c r="V188" t="inlineStr">
        <is>
          <t>RULED</t>
        </is>
      </c>
      <c r="W188" t="inlineStr">
        <is>
          <t>UNITED STATES</t>
        </is>
      </c>
      <c r="X188" t="inlineStr">
        <is>
          <t>Latin America</t>
        </is>
      </c>
      <c r="Y188" t="inlineStr">
        <is>
          <t>RUSSIA</t>
        </is>
      </c>
      <c r="Z188" t="inlineStr">
        <is>
          <t>External Review</t>
        </is>
      </c>
      <c r="AA188" t="inlineStr">
        <is>
          <t>HUB SHIPPING LLC-LED</t>
        </is>
      </c>
      <c r="AB188" t="inlineStr">
        <is>
          <t>Prepaid</t>
        </is>
      </c>
      <c r="AC188" t="inlineStr">
        <is>
          <t>MERCURY / VOYAGE 1</t>
        </is>
      </c>
      <c r="AE188" t="inlineStr">
        <is>
          <t>LADEN BOOKING</t>
        </is>
      </c>
      <c r="AF188" t="inlineStr">
        <is>
          <t>Maria Jessica Da Si</t>
        </is>
      </c>
      <c r="AG188" t="inlineStr">
        <is>
          <t>HC40</t>
        </is>
      </c>
      <c r="AH188" t="inlineStr">
        <is>
          <t>NO</t>
        </is>
      </c>
      <c r="AI188" t="n">
        <v>40</v>
      </c>
      <c r="AJ188" t="n">
        <v>0</v>
      </c>
      <c r="AK188" t="n">
        <v>1</v>
      </c>
      <c r="AL188" t="inlineStr">
        <is>
          <t>ANON0000000</t>
        </is>
      </c>
      <c r="AP188" t="inlineStr">
        <is>
          <t>Non Haz</t>
        </is>
      </c>
      <c r="AQ188" t="inlineStr">
        <is>
          <t>CY/CY</t>
        </is>
      </c>
      <c r="AT188" t="inlineStr">
        <is>
          <t>REF000000</t>
        </is>
      </c>
      <c r="AU188" t="n">
        <v>28000</v>
      </c>
      <c r="AV188" t="inlineStr">
        <is>
          <t>GENERAL COMMODITY</t>
        </is>
      </c>
      <c r="AX188" t="inlineStr">
        <is>
          <t>RSUAM032600007</t>
        </is>
      </c>
      <c r="AZ188" t="n">
        <v>0</v>
      </c>
      <c r="BA188" t="n">
        <v>14</v>
      </c>
      <c r="BB188" t="n">
        <v>14</v>
      </c>
      <c r="BC188" t="n">
        <v>4400</v>
      </c>
      <c r="BD188" t="inlineStr">
        <is>
          <t>No</t>
        </is>
      </c>
      <c r="BG188" t="inlineStr">
        <is>
          <t>USNFK</t>
        </is>
      </c>
      <c r="BH188" t="n">
        <v>0</v>
      </c>
      <c r="BI188" t="n">
        <v>1</v>
      </c>
      <c r="BJ188" t="n">
        <v>4400</v>
      </c>
      <c r="BK188" t="inlineStr">
        <is>
          <t>LINE</t>
        </is>
      </c>
      <c r="BL188" t="inlineStr">
        <is>
          <t>DEER DRY</t>
        </is>
      </c>
      <c r="BM188" t="inlineStr">
        <is>
          <t>DEER DRY</t>
        </is>
      </c>
    </row>
    <row r="189">
      <c r="A189" t="n">
        <v>188</v>
      </c>
      <c r="B189" t="inlineStr">
        <is>
          <t>SHARK REEFER</t>
        </is>
      </c>
      <c r="C189" t="inlineStr">
        <is>
          <t>REF000000</t>
        </is>
      </c>
      <c r="D189" t="inlineStr">
        <is>
          <t>REF000000</t>
        </is>
      </c>
      <c r="E189" t="n">
        <v>46086</v>
      </c>
      <c r="F189" t="inlineStr">
        <is>
          <t>SHARK REEFER</t>
        </is>
      </c>
      <c r="G189" t="inlineStr">
        <is>
          <t>PREPAID ABROAD</t>
        </is>
      </c>
      <c r="H189" t="inlineStr">
        <is>
          <t>Regional Operations_UNIMAR</t>
        </is>
      </c>
      <c r="J189" t="inlineStr">
        <is>
          <t>10-APR-2026</t>
        </is>
      </c>
      <c r="K189" t="inlineStr">
        <is>
          <t>06-APR-2026</t>
        </is>
      </c>
      <c r="L189" t="inlineStr">
        <is>
          <t>10-APR-2026</t>
        </is>
      </c>
      <c r="M189" t="inlineStr">
        <is>
          <t>REF000000</t>
        </is>
      </c>
      <c r="N189" t="inlineStr">
        <is>
          <t>USNYC</t>
        </is>
      </c>
      <c r="O189" t="inlineStr">
        <is>
          <t>USNYC</t>
        </is>
      </c>
      <c r="P189" t="inlineStr">
        <is>
          <t>RULED</t>
        </is>
      </c>
      <c r="U189" t="inlineStr">
        <is>
          <t>RULED</t>
        </is>
      </c>
      <c r="V189" t="inlineStr">
        <is>
          <t>RULED</t>
        </is>
      </c>
      <c r="W189" t="inlineStr">
        <is>
          <t>UNITED STATES</t>
        </is>
      </c>
      <c r="X189" t="inlineStr">
        <is>
          <t>Latin America</t>
        </is>
      </c>
      <c r="Y189" t="inlineStr">
        <is>
          <t>RUSSIA</t>
        </is>
      </c>
      <c r="Z189" t="inlineStr">
        <is>
          <t>External Review</t>
        </is>
      </c>
      <c r="AA189" t="inlineStr">
        <is>
          <t>HUB SHIPPING LLC-LED</t>
        </is>
      </c>
      <c r="AB189" t="inlineStr">
        <is>
          <t>Prepaid</t>
        </is>
      </c>
      <c r="AC189" t="inlineStr">
        <is>
          <t>MERCURY / VOYAGE 1</t>
        </is>
      </c>
      <c r="AE189" t="inlineStr">
        <is>
          <t>LADEN BOOKING</t>
        </is>
      </c>
      <c r="AF189" t="inlineStr">
        <is>
          <t>Joao Ribeiro</t>
        </is>
      </c>
      <c r="AG189" t="inlineStr">
        <is>
          <t>RH40</t>
        </is>
      </c>
      <c r="AH189" t="inlineStr">
        <is>
          <t>NO</t>
        </is>
      </c>
      <c r="AI189" t="n">
        <v>40</v>
      </c>
      <c r="AJ189" t="n">
        <v>0</v>
      </c>
      <c r="AK189" t="n">
        <v>1</v>
      </c>
      <c r="AL189" t="inlineStr">
        <is>
          <t>ANON0000000</t>
        </is>
      </c>
      <c r="AM189" t="n">
        <v>-18</v>
      </c>
      <c r="AP189" t="inlineStr">
        <is>
          <t>Non Haz</t>
        </is>
      </c>
      <c r="AQ189" t="inlineStr">
        <is>
          <t>CY/CY</t>
        </is>
      </c>
      <c r="AT189" t="inlineStr">
        <is>
          <t>REF000000</t>
        </is>
      </c>
      <c r="AU189" t="n">
        <v>28000</v>
      </c>
      <c r="AV189" t="inlineStr">
        <is>
          <t>FROZEN MEAT</t>
        </is>
      </c>
      <c r="AX189" t="inlineStr">
        <is>
          <t>RSUAM032600032</t>
        </is>
      </c>
      <c r="AZ189" t="n">
        <v>5</v>
      </c>
      <c r="BA189" t="n">
        <v>25</v>
      </c>
      <c r="BB189" t="n">
        <v>15</v>
      </c>
      <c r="BC189" t="n">
        <v>7000</v>
      </c>
      <c r="BD189" t="inlineStr">
        <is>
          <t>No</t>
        </is>
      </c>
      <c r="BF189" t="inlineStr">
        <is>
          <t>ARTHA SHIPPING</t>
        </is>
      </c>
      <c r="BG189" t="inlineStr">
        <is>
          <t>USNYC</t>
        </is>
      </c>
      <c r="BH189" t="n">
        <v>0</v>
      </c>
      <c r="BI189" t="n">
        <v>1</v>
      </c>
      <c r="BJ189" t="n">
        <v>7000</v>
      </c>
      <c r="BK189" t="inlineStr">
        <is>
          <t>LINE</t>
        </is>
      </c>
      <c r="BL189" t="inlineStr">
        <is>
          <t>SHARK REEFER</t>
        </is>
      </c>
      <c r="BM189" t="inlineStr">
        <is>
          <t>SHARK REEFER</t>
        </is>
      </c>
    </row>
    <row r="190">
      <c r="A190" t="n">
        <v>189</v>
      </c>
      <c r="B190" t="inlineStr">
        <is>
          <t>BISON DRY</t>
        </is>
      </c>
      <c r="C190" t="inlineStr">
        <is>
          <t>REF000000</t>
        </is>
      </c>
      <c r="D190" t="inlineStr">
        <is>
          <t>REF000000</t>
        </is>
      </c>
      <c r="E190" t="n">
        <v>46086</v>
      </c>
      <c r="F190" t="inlineStr">
        <is>
          <t>BISON DRY</t>
        </is>
      </c>
      <c r="H190" t="inlineStr">
        <is>
          <t>AdminUAM</t>
        </is>
      </c>
      <c r="J190" t="n">
        <v>46097</v>
      </c>
      <c r="K190" t="n">
        <v>46096</v>
      </c>
      <c r="L190" t="n">
        <v>46098</v>
      </c>
      <c r="M190" t="inlineStr">
        <is>
          <t>REF000000</t>
        </is>
      </c>
      <c r="N190" t="inlineStr">
        <is>
          <t>USLAX</t>
        </is>
      </c>
      <c r="O190" t="inlineStr">
        <is>
          <t>USLAX</t>
        </is>
      </c>
      <c r="P190" t="inlineStr">
        <is>
          <t>USNFK</t>
        </is>
      </c>
      <c r="U190" t="inlineStr">
        <is>
          <t>RULED</t>
        </is>
      </c>
      <c r="V190" t="inlineStr">
        <is>
          <t>RULED</t>
        </is>
      </c>
      <c r="W190" t="inlineStr">
        <is>
          <t>UNITED STATES</t>
        </is>
      </c>
      <c r="X190" t="inlineStr">
        <is>
          <t>Latin America</t>
        </is>
      </c>
      <c r="Y190" t="inlineStr">
        <is>
          <t>RUSSIA</t>
        </is>
      </c>
      <c r="Z190" t="inlineStr">
        <is>
          <t>External Review</t>
        </is>
      </c>
      <c r="AA190" t="inlineStr">
        <is>
          <t>HUB SHIPPING LLC-LED</t>
        </is>
      </c>
      <c r="AB190" t="inlineStr">
        <is>
          <t>Collect</t>
        </is>
      </c>
      <c r="AC190" t="inlineStr">
        <is>
          <t>LOG IN PANTANAL/589S</t>
        </is>
      </c>
      <c r="AE190" t="inlineStr">
        <is>
          <t>LADEN BOOKING</t>
        </is>
      </c>
      <c r="AF190" t="inlineStr">
        <is>
          <t>RenniUAM</t>
        </is>
      </c>
      <c r="AG190" t="inlineStr">
        <is>
          <t>DC20</t>
        </is>
      </c>
      <c r="AH190" t="inlineStr">
        <is>
          <t>NO</t>
        </is>
      </c>
      <c r="AI190" t="n">
        <v>20</v>
      </c>
      <c r="AJ190" t="n">
        <v>1</v>
      </c>
      <c r="AK190" t="n">
        <v>0</v>
      </c>
      <c r="AL190" t="inlineStr">
        <is>
          <t>ANON0000000,
ANON0000000</t>
        </is>
      </c>
      <c r="AP190" t="inlineStr">
        <is>
          <t>Non Haz</t>
        </is>
      </c>
      <c r="AQ190" t="inlineStr">
        <is>
          <t>CY/CY</t>
        </is>
      </c>
      <c r="AT190" t="inlineStr">
        <is>
          <t>REF000000,
REF000000</t>
        </is>
      </c>
      <c r="AU190" t="n">
        <v>23000</v>
      </c>
      <c r="AV190" t="inlineStr">
        <is>
          <t>GENERAL COMMODITY</t>
        </is>
      </c>
      <c r="AX190" t="inlineStr">
        <is>
          <t>RSUAM022600014</t>
        </is>
      </c>
      <c r="AZ190" t="n">
        <v>0</v>
      </c>
      <c r="BA190" t="n">
        <v>14</v>
      </c>
      <c r="BB190" t="n">
        <v>14</v>
      </c>
      <c r="BC190" t="n">
        <v>4450</v>
      </c>
      <c r="BD190" t="inlineStr">
        <is>
          <t>Yes</t>
        </is>
      </c>
      <c r="BG190" t="inlineStr">
        <is>
          <t>RULED</t>
        </is>
      </c>
      <c r="BH190" t="n">
        <v>1</v>
      </c>
      <c r="BI190" t="n">
        <v>0</v>
      </c>
      <c r="BJ190" t="n">
        <v>4450</v>
      </c>
      <c r="BK190" t="inlineStr">
        <is>
          <t>LINE</t>
        </is>
      </c>
      <c r="BL190" t="inlineStr">
        <is>
          <t>BISON DRY</t>
        </is>
      </c>
      <c r="BM190" t="inlineStr">
        <is>
          <t>BISON DRY</t>
        </is>
      </c>
    </row>
    <row r="191">
      <c r="A191" t="n">
        <v>190</v>
      </c>
      <c r="B191" t="inlineStr">
        <is>
          <t>MARLIN REEFER</t>
        </is>
      </c>
      <c r="C191" t="inlineStr">
        <is>
          <t>REF000000</t>
        </is>
      </c>
      <c r="D191" t="inlineStr">
        <is>
          <t>REF000000</t>
        </is>
      </c>
      <c r="E191" t="n">
        <v>46086</v>
      </c>
      <c r="F191" t="inlineStr">
        <is>
          <t>MARLIN REEFER</t>
        </is>
      </c>
      <c r="G191" t="inlineStr">
        <is>
          <t>PREPAID ABROAD</t>
        </is>
      </c>
      <c r="H191" t="inlineStr">
        <is>
          <t>Regional Operations_UNIMAR</t>
        </is>
      </c>
      <c r="J191" t="inlineStr">
        <is>
          <t>11-APR-2026</t>
        </is>
      </c>
      <c r="K191" t="inlineStr">
        <is>
          <t>10-APR-2026</t>
        </is>
      </c>
      <c r="L191" t="inlineStr">
        <is>
          <t>11-APR-2026</t>
        </is>
      </c>
      <c r="M191" t="inlineStr">
        <is>
          <t>REF000000</t>
        </is>
      </c>
      <c r="N191" t="inlineStr">
        <is>
          <t>USHOU</t>
        </is>
      </c>
      <c r="O191" t="inlineStr">
        <is>
          <t>USHOU</t>
        </is>
      </c>
      <c r="P191" t="inlineStr">
        <is>
          <t>RUBLT</t>
        </is>
      </c>
      <c r="U191" t="inlineStr">
        <is>
          <t>RUBLT</t>
        </is>
      </c>
      <c r="V191" t="inlineStr">
        <is>
          <t>RUBLT</t>
        </is>
      </c>
      <c r="W191" t="inlineStr">
        <is>
          <t>UNITED STATES</t>
        </is>
      </c>
      <c r="X191" t="inlineStr">
        <is>
          <t>Latin America</t>
        </is>
      </c>
      <c r="Y191" t="inlineStr">
        <is>
          <t>RUSSIA</t>
        </is>
      </c>
      <c r="Z191" t="inlineStr">
        <is>
          <t>External Review</t>
        </is>
      </c>
      <c r="AA191" t="inlineStr">
        <is>
          <t>HUB Shipping-Kaliningrad</t>
        </is>
      </c>
      <c r="AB191" t="inlineStr">
        <is>
          <t>Prepaid</t>
        </is>
      </c>
      <c r="AC191" t="inlineStr">
        <is>
          <t>MERCURY / VOYAGE 1</t>
        </is>
      </c>
      <c r="AE191" t="inlineStr">
        <is>
          <t>LADEN BOOKING</t>
        </is>
      </c>
      <c r="AF191" t="inlineStr">
        <is>
          <t>Joao Ribeiro</t>
        </is>
      </c>
      <c r="AG191" t="inlineStr">
        <is>
          <t>RH40</t>
        </is>
      </c>
      <c r="AH191" t="inlineStr">
        <is>
          <t>NO</t>
        </is>
      </c>
      <c r="AI191" t="n">
        <v>40</v>
      </c>
      <c r="AJ191" t="n">
        <v>0</v>
      </c>
      <c r="AK191" t="n">
        <v>1</v>
      </c>
      <c r="AL191" t="inlineStr">
        <is>
          <t>ANON0000000</t>
        </is>
      </c>
      <c r="AM191" t="n">
        <v>-22</v>
      </c>
      <c r="AP191" t="inlineStr">
        <is>
          <t>Non Haz</t>
        </is>
      </c>
      <c r="AQ191" t="inlineStr">
        <is>
          <t>CY/CY</t>
        </is>
      </c>
      <c r="AT191" t="inlineStr">
        <is>
          <t>REF000000</t>
        </is>
      </c>
      <c r="AU191" t="n">
        <v>28000</v>
      </c>
      <c r="AV191" t="inlineStr">
        <is>
          <t>FROZEN MEAT</t>
        </is>
      </c>
      <c r="AX191" t="inlineStr">
        <is>
          <t>RSUAM122500041</t>
        </is>
      </c>
      <c r="AZ191" t="n">
        <v>0</v>
      </c>
      <c r="BA191" t="n">
        <v>21</v>
      </c>
      <c r="BB191" t="n">
        <v>14</v>
      </c>
      <c r="BC191" t="n">
        <v>9350</v>
      </c>
      <c r="BD191" t="inlineStr">
        <is>
          <t>No</t>
        </is>
      </c>
      <c r="BF191" t="inlineStr">
        <is>
          <t>ARTHA SHIPPING</t>
        </is>
      </c>
      <c r="BG191" t="inlineStr">
        <is>
          <t>USHOU</t>
        </is>
      </c>
      <c r="BH191" t="n">
        <v>0</v>
      </c>
      <c r="BI191" t="n">
        <v>1</v>
      </c>
      <c r="BJ191" t="n">
        <v>9350</v>
      </c>
      <c r="BK191" t="inlineStr">
        <is>
          <t>LINE</t>
        </is>
      </c>
      <c r="BL191" t="inlineStr">
        <is>
          <t>MARLIN REEFER</t>
        </is>
      </c>
      <c r="BM191" t="inlineStr">
        <is>
          <t>MARLIN REEFER</t>
        </is>
      </c>
    </row>
    <row r="192">
      <c r="A192" t="n">
        <v>191</v>
      </c>
      <c r="B192" t="inlineStr">
        <is>
          <t>TURTLE REEFER</t>
        </is>
      </c>
      <c r="C192" t="inlineStr">
        <is>
          <t>REF000000</t>
        </is>
      </c>
      <c r="D192" t="inlineStr">
        <is>
          <t>REF000000</t>
        </is>
      </c>
      <c r="E192" t="n">
        <v>46087</v>
      </c>
      <c r="F192" t="inlineStr">
        <is>
          <t>TURTLE REEFER</t>
        </is>
      </c>
      <c r="G192" t="inlineStr">
        <is>
          <t>PREPAID ABROAD</t>
        </is>
      </c>
      <c r="H192" t="inlineStr">
        <is>
          <t>Regional Operations_UNIMAR</t>
        </is>
      </c>
      <c r="J192" t="inlineStr">
        <is>
          <t>10-APR-2026</t>
        </is>
      </c>
      <c r="K192" t="inlineStr">
        <is>
          <t>06-APR-2026</t>
        </is>
      </c>
      <c r="L192" t="inlineStr">
        <is>
          <t>10-APR-2026</t>
        </is>
      </c>
      <c r="M192" t="inlineStr">
        <is>
          <t>REF000000</t>
        </is>
      </c>
      <c r="N192" t="inlineStr">
        <is>
          <t>USNYC</t>
        </is>
      </c>
      <c r="O192" t="inlineStr">
        <is>
          <t>USNYC</t>
        </is>
      </c>
      <c r="P192" t="inlineStr">
        <is>
          <t>RUBLT</t>
        </is>
      </c>
      <c r="U192" t="inlineStr">
        <is>
          <t>RUBLT</t>
        </is>
      </c>
      <c r="V192" t="inlineStr">
        <is>
          <t>RUBLT</t>
        </is>
      </c>
      <c r="W192" t="inlineStr">
        <is>
          <t>UNITED STATES</t>
        </is>
      </c>
      <c r="X192" t="inlineStr">
        <is>
          <t>Latin America</t>
        </is>
      </c>
      <c r="Y192" t="inlineStr">
        <is>
          <t>RUSSIA</t>
        </is>
      </c>
      <c r="Z192" t="inlineStr">
        <is>
          <t>External Review</t>
        </is>
      </c>
      <c r="AA192" t="inlineStr">
        <is>
          <t>HUB Shipping-Kaliningrad</t>
        </is>
      </c>
      <c r="AB192" t="inlineStr">
        <is>
          <t>Prepaid</t>
        </is>
      </c>
      <c r="AC192" t="inlineStr">
        <is>
          <t>MERCURY / VOYAGE 1</t>
        </is>
      </c>
      <c r="AE192" t="inlineStr">
        <is>
          <t>LADEN BOOKING</t>
        </is>
      </c>
      <c r="AF192" t="inlineStr">
        <is>
          <t>Joao Ribeiro</t>
        </is>
      </c>
      <c r="AG192" t="inlineStr">
        <is>
          <t>RH40</t>
        </is>
      </c>
      <c r="AH192" t="inlineStr">
        <is>
          <t>NO</t>
        </is>
      </c>
      <c r="AI192" t="n">
        <v>40</v>
      </c>
      <c r="AJ192" t="n">
        <v>0</v>
      </c>
      <c r="AK192" t="n">
        <v>1</v>
      </c>
      <c r="AL192" t="inlineStr">
        <is>
          <t>ANON0000000</t>
        </is>
      </c>
      <c r="AM192" t="n">
        <v>-18</v>
      </c>
      <c r="AP192" t="inlineStr">
        <is>
          <t>Non Haz</t>
        </is>
      </c>
      <c r="AQ192" t="inlineStr">
        <is>
          <t>CY/CY</t>
        </is>
      </c>
      <c r="AT192" t="inlineStr">
        <is>
          <t>REF000000</t>
        </is>
      </c>
      <c r="AU192" t="n">
        <v>29000</v>
      </c>
      <c r="AV192" t="inlineStr">
        <is>
          <t>FROZEN MEAT</t>
        </is>
      </c>
      <c r="AX192" t="inlineStr">
        <is>
          <t>RSUAM012600023</t>
        </is>
      </c>
      <c r="AZ192" t="n">
        <v>5</v>
      </c>
      <c r="BA192" t="n">
        <v>30</v>
      </c>
      <c r="BB192" t="n">
        <v>15</v>
      </c>
      <c r="BC192" t="n">
        <v>9100</v>
      </c>
      <c r="BD192" t="inlineStr">
        <is>
          <t>No</t>
        </is>
      </c>
      <c r="BF192" t="inlineStr">
        <is>
          <t>ARTHA SHIPPING</t>
        </is>
      </c>
      <c r="BG192" t="inlineStr">
        <is>
          <t>USNYC</t>
        </is>
      </c>
      <c r="BH192" t="n">
        <v>0</v>
      </c>
      <c r="BI192" t="n">
        <v>1</v>
      </c>
      <c r="BJ192" t="n">
        <v>9100</v>
      </c>
      <c r="BK192" t="inlineStr">
        <is>
          <t>LINE</t>
        </is>
      </c>
      <c r="BL192" t="inlineStr">
        <is>
          <t>TURTLE REEFER</t>
        </is>
      </c>
      <c r="BM192" t="inlineStr">
        <is>
          <t>TURTLE REEFER</t>
        </is>
      </c>
    </row>
    <row r="193">
      <c r="A193" t="n">
        <v>192</v>
      </c>
      <c r="B193" t="inlineStr">
        <is>
          <t>ORCA REEFER</t>
        </is>
      </c>
      <c r="C193" t="inlineStr">
        <is>
          <t>REF000000</t>
        </is>
      </c>
      <c r="D193" t="inlineStr">
        <is>
          <t>REF000000</t>
        </is>
      </c>
      <c r="E193" t="n">
        <v>46087</v>
      </c>
      <c r="F193" t="inlineStr">
        <is>
          <t>ORCA REEFER</t>
        </is>
      </c>
      <c r="G193" t="inlineStr">
        <is>
          <t>PREPAID ABROAD</t>
        </is>
      </c>
      <c r="H193" t="inlineStr">
        <is>
          <t>Regional Operations_UNIMAR</t>
        </is>
      </c>
      <c r="J193" t="inlineStr">
        <is>
          <t>10-APR-2026</t>
        </is>
      </c>
      <c r="K193" t="inlineStr">
        <is>
          <t>06-APR-2026</t>
        </is>
      </c>
      <c r="L193" t="inlineStr">
        <is>
          <t>10-APR-2026</t>
        </is>
      </c>
      <c r="M193" t="inlineStr">
        <is>
          <t>REF000000</t>
        </is>
      </c>
      <c r="N193" t="inlineStr">
        <is>
          <t>USNYC</t>
        </is>
      </c>
      <c r="O193" t="inlineStr">
        <is>
          <t>USNYC</t>
        </is>
      </c>
      <c r="P193" t="inlineStr">
        <is>
          <t>RUBLT</t>
        </is>
      </c>
      <c r="U193" t="inlineStr">
        <is>
          <t>RUBLT</t>
        </is>
      </c>
      <c r="V193" t="inlineStr">
        <is>
          <t>RUBLT</t>
        </is>
      </c>
      <c r="W193" t="inlineStr">
        <is>
          <t>UNITED STATES</t>
        </is>
      </c>
      <c r="X193" t="inlineStr">
        <is>
          <t>Latin America</t>
        </is>
      </c>
      <c r="Y193" t="inlineStr">
        <is>
          <t>RUSSIA</t>
        </is>
      </c>
      <c r="Z193" t="inlineStr">
        <is>
          <t>External Review</t>
        </is>
      </c>
      <c r="AA193" t="inlineStr">
        <is>
          <t>HUB Shipping-Kaliningrad</t>
        </is>
      </c>
      <c r="AB193" t="inlineStr">
        <is>
          <t>Prepaid</t>
        </is>
      </c>
      <c r="AC193" t="inlineStr">
        <is>
          <t>MERCURY / VOYAGE 1</t>
        </is>
      </c>
      <c r="AE193" t="inlineStr">
        <is>
          <t>LADEN BOOKING</t>
        </is>
      </c>
      <c r="AF193" t="inlineStr">
        <is>
          <t>Joao Ribeiro</t>
        </is>
      </c>
      <c r="AG193" t="inlineStr">
        <is>
          <t>RH40</t>
        </is>
      </c>
      <c r="AH193" t="inlineStr">
        <is>
          <t>NO</t>
        </is>
      </c>
      <c r="AI193" t="n">
        <v>40</v>
      </c>
      <c r="AJ193" t="n">
        <v>0</v>
      </c>
      <c r="AK193" t="n">
        <v>1</v>
      </c>
      <c r="AL193" t="inlineStr">
        <is>
          <t>ANON0000000</t>
        </is>
      </c>
      <c r="AM193" t="n">
        <v>-18</v>
      </c>
      <c r="AP193" t="inlineStr">
        <is>
          <t>Non Haz</t>
        </is>
      </c>
      <c r="AQ193" t="inlineStr">
        <is>
          <t>CY/CY</t>
        </is>
      </c>
      <c r="AT193" t="inlineStr">
        <is>
          <t>REF000000</t>
        </is>
      </c>
      <c r="AU193" t="n">
        <v>29000</v>
      </c>
      <c r="AV193" t="inlineStr">
        <is>
          <t>FROZEN MEAT</t>
        </is>
      </c>
      <c r="AX193" t="inlineStr">
        <is>
          <t>RSUAM012600023</t>
        </is>
      </c>
      <c r="AZ193" t="n">
        <v>5</v>
      </c>
      <c r="BA193" t="n">
        <v>30</v>
      </c>
      <c r="BB193" t="n">
        <v>15</v>
      </c>
      <c r="BC193" t="n">
        <v>9100</v>
      </c>
      <c r="BD193" t="inlineStr">
        <is>
          <t>No</t>
        </is>
      </c>
      <c r="BF193" t="inlineStr">
        <is>
          <t>ARTHA SHIPPING</t>
        </is>
      </c>
      <c r="BG193" t="inlineStr">
        <is>
          <t>USNYC</t>
        </is>
      </c>
      <c r="BH193" t="n">
        <v>0</v>
      </c>
      <c r="BI193" t="n">
        <v>1</v>
      </c>
      <c r="BJ193" t="n">
        <v>9100</v>
      </c>
      <c r="BK193" t="inlineStr">
        <is>
          <t>LINE</t>
        </is>
      </c>
      <c r="BL193" t="inlineStr">
        <is>
          <t>ORCA REEFER</t>
        </is>
      </c>
      <c r="BM193" t="inlineStr">
        <is>
          <t>ORCA REEFER</t>
        </is>
      </c>
    </row>
    <row r="194">
      <c r="A194" t="n">
        <v>193</v>
      </c>
      <c r="B194" t="inlineStr">
        <is>
          <t>WHALE REEFER</t>
        </is>
      </c>
      <c r="C194" t="inlineStr">
        <is>
          <t>REF000000</t>
        </is>
      </c>
      <c r="D194" t="inlineStr">
        <is>
          <t>REF000000</t>
        </is>
      </c>
      <c r="E194" t="n">
        <v>46090</v>
      </c>
      <c r="F194" t="inlineStr">
        <is>
          <t>WHALE REEFER</t>
        </is>
      </c>
      <c r="G194" t="inlineStr">
        <is>
          <t>PREPAID</t>
        </is>
      </c>
      <c r="H194" t="inlineStr">
        <is>
          <t>Diego</t>
        </is>
      </c>
      <c r="J194" t="inlineStr">
        <is>
          <t>10-APR-2026</t>
        </is>
      </c>
      <c r="K194" t="inlineStr">
        <is>
          <t>06-APR-2026</t>
        </is>
      </c>
      <c r="L194" t="inlineStr">
        <is>
          <t>10-APR-2026</t>
        </is>
      </c>
      <c r="M194" t="inlineStr">
        <is>
          <t>REF000000</t>
        </is>
      </c>
      <c r="N194" t="inlineStr">
        <is>
          <t>USNYC</t>
        </is>
      </c>
      <c r="O194" t="inlineStr">
        <is>
          <t>USNYC</t>
        </is>
      </c>
      <c r="P194" t="inlineStr">
        <is>
          <t>RUBLT</t>
        </is>
      </c>
      <c r="U194" t="inlineStr">
        <is>
          <t>RUBLT</t>
        </is>
      </c>
      <c r="V194" t="inlineStr">
        <is>
          <t>RUBLT</t>
        </is>
      </c>
      <c r="W194" t="inlineStr">
        <is>
          <t>UNITED STATES</t>
        </is>
      </c>
      <c r="X194" t="inlineStr">
        <is>
          <t>Latin America</t>
        </is>
      </c>
      <c r="Y194" t="inlineStr">
        <is>
          <t>RUSSIA</t>
        </is>
      </c>
      <c r="Z194" t="inlineStr">
        <is>
          <t>External Review</t>
        </is>
      </c>
      <c r="AA194" t="inlineStr">
        <is>
          <t>HUB Shipping-Kaliningrad</t>
        </is>
      </c>
      <c r="AB194" t="inlineStr">
        <is>
          <t>Prepaid</t>
        </is>
      </c>
      <c r="AC194" t="inlineStr">
        <is>
          <t>MERCURY / VOYAGE 1</t>
        </is>
      </c>
      <c r="AE194" t="inlineStr">
        <is>
          <t>LADEN BOOKING</t>
        </is>
      </c>
      <c r="AF194" t="inlineStr">
        <is>
          <t>Joao Ribeiro</t>
        </is>
      </c>
      <c r="AG194" t="inlineStr">
        <is>
          <t>RH40</t>
        </is>
      </c>
      <c r="AH194" t="inlineStr">
        <is>
          <t>NO</t>
        </is>
      </c>
      <c r="AI194" t="n">
        <v>40</v>
      </c>
      <c r="AJ194" t="n">
        <v>0</v>
      </c>
      <c r="AK194" t="n">
        <v>1</v>
      </c>
      <c r="AL194" t="inlineStr">
        <is>
          <t>ANON0000000</t>
        </is>
      </c>
      <c r="AM194" t="n">
        <v>-22</v>
      </c>
      <c r="AP194" t="inlineStr">
        <is>
          <t>Non Haz</t>
        </is>
      </c>
      <c r="AQ194" t="inlineStr">
        <is>
          <t>CY/CY</t>
        </is>
      </c>
      <c r="AT194" t="inlineStr">
        <is>
          <t>REF000000</t>
        </is>
      </c>
      <c r="AU194" t="n">
        <v>28000</v>
      </c>
      <c r="AV194" t="inlineStr">
        <is>
          <t>FROZEN MEAT &amp; FRUIT PULP</t>
        </is>
      </c>
      <c r="AX194" t="inlineStr">
        <is>
          <t>RSUAM112500005</t>
        </is>
      </c>
      <c r="AZ194" t="n">
        <v>0</v>
      </c>
      <c r="BA194" t="n">
        <v>25</v>
      </c>
      <c r="BB194" t="n">
        <v>15</v>
      </c>
      <c r="BC194" t="n">
        <v>8600</v>
      </c>
      <c r="BD194" t="inlineStr">
        <is>
          <t>No</t>
        </is>
      </c>
      <c r="BF194" t="inlineStr">
        <is>
          <t>ARTHA SHIPPING</t>
        </is>
      </c>
      <c r="BG194" t="inlineStr">
        <is>
          <t>USNYC</t>
        </is>
      </c>
      <c r="BH194" t="n">
        <v>0</v>
      </c>
      <c r="BI194" t="n">
        <v>1</v>
      </c>
      <c r="BJ194" t="n">
        <v>8600</v>
      </c>
      <c r="BK194" t="inlineStr">
        <is>
          <t>LINE</t>
        </is>
      </c>
      <c r="BL194" t="inlineStr">
        <is>
          <t>WHALE REEFER</t>
        </is>
      </c>
      <c r="BM194" t="inlineStr">
        <is>
          <t>WHALE REEFER</t>
        </is>
      </c>
    </row>
    <row r="195">
      <c r="A195" t="n">
        <v>194</v>
      </c>
      <c r="B195" t="inlineStr">
        <is>
          <t>SEAL REEFER</t>
        </is>
      </c>
      <c r="C195" t="inlineStr">
        <is>
          <t>REF000000</t>
        </is>
      </c>
      <c r="D195" t="inlineStr">
        <is>
          <t>REF000000</t>
        </is>
      </c>
      <c r="E195" t="n">
        <v>46090</v>
      </c>
      <c r="F195" t="inlineStr">
        <is>
          <t>SEAL REEFER</t>
        </is>
      </c>
      <c r="G195" t="inlineStr">
        <is>
          <t>PREPAID</t>
        </is>
      </c>
      <c r="H195" t="inlineStr">
        <is>
          <t>Diego</t>
        </is>
      </c>
      <c r="J195" t="inlineStr">
        <is>
          <t>10-APR-2026</t>
        </is>
      </c>
      <c r="K195" t="inlineStr">
        <is>
          <t>06-APR-2026</t>
        </is>
      </c>
      <c r="L195" t="inlineStr">
        <is>
          <t>10-APR-2026</t>
        </is>
      </c>
      <c r="M195" t="inlineStr">
        <is>
          <t>REF000000</t>
        </is>
      </c>
      <c r="N195" t="inlineStr">
        <is>
          <t>USNYC</t>
        </is>
      </c>
      <c r="O195" t="inlineStr">
        <is>
          <t>USNYC</t>
        </is>
      </c>
      <c r="P195" t="inlineStr">
        <is>
          <t>RUBLT</t>
        </is>
      </c>
      <c r="U195" t="inlineStr">
        <is>
          <t>RUBLT</t>
        </is>
      </c>
      <c r="V195" t="inlineStr">
        <is>
          <t>RUBLT</t>
        </is>
      </c>
      <c r="W195" t="inlineStr">
        <is>
          <t>UNITED STATES</t>
        </is>
      </c>
      <c r="X195" t="inlineStr">
        <is>
          <t>Latin America</t>
        </is>
      </c>
      <c r="Y195" t="inlineStr">
        <is>
          <t>RUSSIA</t>
        </is>
      </c>
      <c r="Z195" t="inlineStr">
        <is>
          <t>External Review</t>
        </is>
      </c>
      <c r="AA195" t="inlineStr">
        <is>
          <t>HUB Shipping-Kaliningrad</t>
        </is>
      </c>
      <c r="AB195" t="inlineStr">
        <is>
          <t>Prepaid</t>
        </is>
      </c>
      <c r="AC195" t="inlineStr">
        <is>
          <t>MERCURY / VOYAGE 1</t>
        </is>
      </c>
      <c r="AE195" t="inlineStr">
        <is>
          <t>LADEN BOOKING</t>
        </is>
      </c>
      <c r="AF195" t="inlineStr">
        <is>
          <t>Joao Ribeiro</t>
        </is>
      </c>
      <c r="AG195" t="inlineStr">
        <is>
          <t>RH40</t>
        </is>
      </c>
      <c r="AH195" t="inlineStr">
        <is>
          <t>NO</t>
        </is>
      </c>
      <c r="AI195" t="n">
        <v>40</v>
      </c>
      <c r="AJ195" t="n">
        <v>0</v>
      </c>
      <c r="AK195" t="n">
        <v>1</v>
      </c>
      <c r="AL195" t="inlineStr">
        <is>
          <t>ANON0000000</t>
        </is>
      </c>
      <c r="AM195" t="n">
        <v>-22</v>
      </c>
      <c r="AP195" t="inlineStr">
        <is>
          <t>Non Haz</t>
        </is>
      </c>
      <c r="AQ195" t="inlineStr">
        <is>
          <t>CY/CY</t>
        </is>
      </c>
      <c r="AT195" t="inlineStr">
        <is>
          <t>REF000000</t>
        </is>
      </c>
      <c r="AU195" t="n">
        <v>28000</v>
      </c>
      <c r="AV195" t="inlineStr">
        <is>
          <t>FROZEN MEAT &amp; FRUIT PULP</t>
        </is>
      </c>
      <c r="AX195" t="inlineStr">
        <is>
          <t>RSUAM112500005</t>
        </is>
      </c>
      <c r="AZ195" t="n">
        <v>0</v>
      </c>
      <c r="BA195" t="n">
        <v>25</v>
      </c>
      <c r="BB195" t="n">
        <v>15</v>
      </c>
      <c r="BC195" t="n">
        <v>8600</v>
      </c>
      <c r="BD195" t="inlineStr">
        <is>
          <t>No</t>
        </is>
      </c>
      <c r="BF195" t="inlineStr">
        <is>
          <t>ARTHA SHIPPING</t>
        </is>
      </c>
      <c r="BG195" t="inlineStr">
        <is>
          <t>USNYC</t>
        </is>
      </c>
      <c r="BH195" t="n">
        <v>0</v>
      </c>
      <c r="BI195" t="n">
        <v>1</v>
      </c>
      <c r="BJ195" t="n">
        <v>8600</v>
      </c>
      <c r="BK195" t="inlineStr">
        <is>
          <t>LINE</t>
        </is>
      </c>
      <c r="BL195" t="inlineStr">
        <is>
          <t>SEAL REEFER</t>
        </is>
      </c>
      <c r="BM195" t="inlineStr">
        <is>
          <t>SEAL REEFER</t>
        </is>
      </c>
    </row>
    <row r="196">
      <c r="A196" t="n">
        <v>195</v>
      </c>
      <c r="B196" t="inlineStr">
        <is>
          <t>SHARK REEFER</t>
        </is>
      </c>
      <c r="C196" t="inlineStr">
        <is>
          <t>REF000000</t>
        </is>
      </c>
      <c r="D196" t="inlineStr">
        <is>
          <t>REF000000</t>
        </is>
      </c>
      <c r="E196" t="n">
        <v>46090</v>
      </c>
      <c r="F196" t="inlineStr">
        <is>
          <t>SHARK REEFER</t>
        </is>
      </c>
      <c r="G196" t="inlineStr">
        <is>
          <t>Prepaid Abroad</t>
        </is>
      </c>
      <c r="H196" t="inlineStr">
        <is>
          <t>Regional Operations_UNIMAR</t>
        </is>
      </c>
      <c r="J196" t="inlineStr">
        <is>
          <t>11-APR-2026</t>
        </is>
      </c>
      <c r="K196" t="inlineStr">
        <is>
          <t>10-APR-2026</t>
        </is>
      </c>
      <c r="L196" t="inlineStr">
        <is>
          <t>11-APR-2026</t>
        </is>
      </c>
      <c r="M196" t="inlineStr">
        <is>
          <t>REF000000</t>
        </is>
      </c>
      <c r="N196" t="inlineStr">
        <is>
          <t>USHOU</t>
        </is>
      </c>
      <c r="O196" t="inlineStr">
        <is>
          <t>USHOU</t>
        </is>
      </c>
      <c r="P196" t="inlineStr">
        <is>
          <t>RUBLT</t>
        </is>
      </c>
      <c r="U196" t="inlineStr">
        <is>
          <t>RUBLT</t>
        </is>
      </c>
      <c r="V196" t="inlineStr">
        <is>
          <t>RUBLT</t>
        </is>
      </c>
      <c r="W196" t="inlineStr">
        <is>
          <t>UNITED STATES</t>
        </is>
      </c>
      <c r="X196" t="inlineStr">
        <is>
          <t>Latin America</t>
        </is>
      </c>
      <c r="Y196" t="inlineStr">
        <is>
          <t>RUSSIA</t>
        </is>
      </c>
      <c r="Z196" t="inlineStr">
        <is>
          <t>External Review</t>
        </is>
      </c>
      <c r="AA196" t="inlineStr">
        <is>
          <t>HUB Shipping-Kaliningrad</t>
        </is>
      </c>
      <c r="AB196" t="inlineStr">
        <is>
          <t>Prepaid</t>
        </is>
      </c>
      <c r="AC196" t="inlineStr">
        <is>
          <t>MERCURY / VOYAGE 1</t>
        </is>
      </c>
      <c r="AE196" t="inlineStr">
        <is>
          <t>LADEN BOOKING</t>
        </is>
      </c>
      <c r="AF196" t="inlineStr">
        <is>
          <t>Joao Ribeiro</t>
        </is>
      </c>
      <c r="AG196" t="inlineStr">
        <is>
          <t>RH40</t>
        </is>
      </c>
      <c r="AH196" t="inlineStr">
        <is>
          <t>NO</t>
        </is>
      </c>
      <c r="AI196" t="n">
        <v>40</v>
      </c>
      <c r="AJ196" t="n">
        <v>0</v>
      </c>
      <c r="AK196" t="n">
        <v>1</v>
      </c>
      <c r="AL196" t="inlineStr">
        <is>
          <t>ANON0000000</t>
        </is>
      </c>
      <c r="AM196" t="n">
        <v>-22</v>
      </c>
      <c r="AP196" t="inlineStr">
        <is>
          <t>Non Haz</t>
        </is>
      </c>
      <c r="AQ196" t="inlineStr">
        <is>
          <t>CY/CY</t>
        </is>
      </c>
      <c r="AT196" t="inlineStr">
        <is>
          <t>REF000000</t>
        </is>
      </c>
      <c r="AU196" t="n">
        <v>28000</v>
      </c>
      <c r="AV196" t="inlineStr">
        <is>
          <t>FROZEN MEAT</t>
        </is>
      </c>
      <c r="AX196" t="inlineStr">
        <is>
          <t>RSUAM122500041</t>
        </is>
      </c>
      <c r="AZ196" t="n">
        <v>0</v>
      </c>
      <c r="BA196" t="n">
        <v>21</v>
      </c>
      <c r="BB196" t="n">
        <v>14</v>
      </c>
      <c r="BC196" t="n">
        <v>9350</v>
      </c>
      <c r="BD196" t="inlineStr">
        <is>
          <t>No</t>
        </is>
      </c>
      <c r="BF196" t="inlineStr">
        <is>
          <t>ARTHA SHIPPING</t>
        </is>
      </c>
      <c r="BG196" t="inlineStr">
        <is>
          <t>USHOU</t>
        </is>
      </c>
      <c r="BH196" t="n">
        <v>0</v>
      </c>
      <c r="BI196" t="n">
        <v>1</v>
      </c>
      <c r="BJ196" t="n">
        <v>9350</v>
      </c>
      <c r="BK196" t="inlineStr">
        <is>
          <t>LINE</t>
        </is>
      </c>
      <c r="BL196" t="inlineStr">
        <is>
          <t>SHARK REEFER</t>
        </is>
      </c>
      <c r="BM196" t="inlineStr">
        <is>
          <t>SHARK REEFER</t>
        </is>
      </c>
    </row>
    <row r="197">
      <c r="A197" t="n">
        <v>196</v>
      </c>
      <c r="B197" t="inlineStr">
        <is>
          <t>DOLPHIN REEFER</t>
        </is>
      </c>
      <c r="C197" t="inlineStr">
        <is>
          <t>REF000000</t>
        </is>
      </c>
      <c r="D197" t="inlineStr">
        <is>
          <t>REF000000</t>
        </is>
      </c>
      <c r="E197" t="n">
        <v>46091</v>
      </c>
      <c r="F197" t="inlineStr">
        <is>
          <t>DOLPHIN REEFER</t>
        </is>
      </c>
      <c r="G197" t="inlineStr">
        <is>
          <t>final reefer details should be collected and provided to carrier by agents of POL</t>
        </is>
      </c>
      <c r="H197" t="inlineStr">
        <is>
          <t>AdminUAM</t>
        </is>
      </c>
      <c r="J197" t="inlineStr">
        <is>
          <t>10-APR-2026</t>
        </is>
      </c>
      <c r="K197" t="inlineStr">
        <is>
          <t>05-APR-2026</t>
        </is>
      </c>
      <c r="M197" t="inlineStr">
        <is>
          <t>REF000000</t>
        </is>
      </c>
      <c r="N197" t="inlineStr">
        <is>
          <t>USNFK</t>
        </is>
      </c>
      <c r="O197" t="inlineStr">
        <is>
          <t>USNFK</t>
        </is>
      </c>
      <c r="P197" t="inlineStr">
        <is>
          <t>RULED</t>
        </is>
      </c>
      <c r="U197" t="inlineStr">
        <is>
          <t>RULED</t>
        </is>
      </c>
      <c r="V197" t="inlineStr">
        <is>
          <t>RULED</t>
        </is>
      </c>
      <c r="W197" t="inlineStr">
        <is>
          <t>UNITED STATES</t>
        </is>
      </c>
      <c r="X197" t="inlineStr">
        <is>
          <t>Latin America</t>
        </is>
      </c>
      <c r="Y197" t="inlineStr">
        <is>
          <t>RUSSIA</t>
        </is>
      </c>
      <c r="Z197" t="inlineStr">
        <is>
          <t>External Review</t>
        </is>
      </c>
      <c r="AA197" t="inlineStr">
        <is>
          <t>HUB SHIPPING LLC-LED</t>
        </is>
      </c>
      <c r="AB197" t="inlineStr">
        <is>
          <t>Collect</t>
        </is>
      </c>
      <c r="AC197" t="inlineStr">
        <is>
          <t>MERCURY / VOYAGE 1</t>
        </is>
      </c>
      <c r="AE197" t="inlineStr">
        <is>
          <t>LADEN BOOKING</t>
        </is>
      </c>
      <c r="AF197" t="inlineStr">
        <is>
          <t>RenniUAM</t>
        </is>
      </c>
      <c r="AG197" t="inlineStr">
        <is>
          <t>RH40</t>
        </is>
      </c>
      <c r="AH197" t="inlineStr">
        <is>
          <t>NO</t>
        </is>
      </c>
      <c r="AI197" t="n">
        <v>40</v>
      </c>
      <c r="AJ197" t="n">
        <v>0</v>
      </c>
      <c r="AK197" t="n">
        <v>1</v>
      </c>
      <c r="AL197" t="inlineStr">
        <is>
          <t>ANON0000000</t>
        </is>
      </c>
      <c r="AM197" t="n">
        <v>10</v>
      </c>
      <c r="AP197" t="inlineStr">
        <is>
          <t>Non Haz</t>
        </is>
      </c>
      <c r="AQ197" t="inlineStr">
        <is>
          <t>CY/CY</t>
        </is>
      </c>
      <c r="AT197" t="inlineStr">
        <is>
          <t>REF000000</t>
        </is>
      </c>
      <c r="AU197" t="n">
        <v>25000</v>
      </c>
      <c r="AV197" t="inlineStr">
        <is>
          <t>GENERAL COMMODITY</t>
        </is>
      </c>
      <c r="AX197" t="inlineStr">
        <is>
          <t>RSUAM032600063</t>
        </is>
      </c>
      <c r="AZ197" t="n">
        <v>0</v>
      </c>
      <c r="BA197" t="n">
        <v>14</v>
      </c>
      <c r="BB197" t="n">
        <v>5</v>
      </c>
      <c r="BC197" t="n">
        <v>7950</v>
      </c>
      <c r="BD197" t="inlineStr">
        <is>
          <t>Yes</t>
        </is>
      </c>
      <c r="BG197" t="inlineStr">
        <is>
          <t>RULED</t>
        </is>
      </c>
      <c r="BH197" t="n">
        <v>0</v>
      </c>
      <c r="BI197" t="n">
        <v>1</v>
      </c>
      <c r="BJ197" t="n">
        <v>7950</v>
      </c>
      <c r="BK197" t="inlineStr">
        <is>
          <t>LINE</t>
        </is>
      </c>
      <c r="BL197" t="inlineStr">
        <is>
          <t>DOLPHIN REEFER</t>
        </is>
      </c>
      <c r="BM197" t="inlineStr">
        <is>
          <t>DOLPHIN REEFER</t>
        </is>
      </c>
    </row>
    <row r="198">
      <c r="A198" t="n">
        <v>197</v>
      </c>
      <c r="B198" t="inlineStr">
        <is>
          <t>EAGLE DRY</t>
        </is>
      </c>
      <c r="C198" t="inlineStr">
        <is>
          <t>REF000000</t>
        </is>
      </c>
      <c r="D198" t="inlineStr">
        <is>
          <t>REF000000</t>
        </is>
      </c>
      <c r="E198" t="n">
        <v>46091</v>
      </c>
      <c r="F198" t="inlineStr">
        <is>
          <t>EAGLE DRY</t>
        </is>
      </c>
      <c r="G198" t="inlineStr">
        <is>
          <t>APK100301/FOOD GRADE</t>
        </is>
      </c>
      <c r="H198" t="inlineStr">
        <is>
          <t>AdminUAM</t>
        </is>
      </c>
      <c r="J198" t="inlineStr">
        <is>
          <t>10-APR-2026</t>
        </is>
      </c>
      <c r="K198" t="inlineStr">
        <is>
          <t>05-APR-2026</t>
        </is>
      </c>
      <c r="M198" t="inlineStr">
        <is>
          <t>REF000000</t>
        </is>
      </c>
      <c r="N198" t="inlineStr">
        <is>
          <t>USNFK</t>
        </is>
      </c>
      <c r="O198" t="inlineStr">
        <is>
          <t>USNFK</t>
        </is>
      </c>
      <c r="P198" t="inlineStr">
        <is>
          <t>RUBLT</t>
        </is>
      </c>
      <c r="U198" t="inlineStr">
        <is>
          <t>RUBLT</t>
        </is>
      </c>
      <c r="V198" t="inlineStr">
        <is>
          <t>RUBLT</t>
        </is>
      </c>
      <c r="W198" t="inlineStr">
        <is>
          <t>UNITED STATES</t>
        </is>
      </c>
      <c r="X198" t="inlineStr">
        <is>
          <t>Latin America</t>
        </is>
      </c>
      <c r="Y198" t="inlineStr">
        <is>
          <t>RUSSIA</t>
        </is>
      </c>
      <c r="Z198" t="inlineStr">
        <is>
          <t>External Review</t>
        </is>
      </c>
      <c r="AA198" t="inlineStr">
        <is>
          <t>HUB Shipping-Kaliningrad</t>
        </is>
      </c>
      <c r="AB198" t="inlineStr">
        <is>
          <t>Collect</t>
        </is>
      </c>
      <c r="AC198" t="inlineStr">
        <is>
          <t>MERCURY / VOYAGE 1</t>
        </is>
      </c>
      <c r="AE198" t="inlineStr">
        <is>
          <t>LADEN BOOKING</t>
        </is>
      </c>
      <c r="AF198" t="inlineStr">
        <is>
          <t>RenniUAM</t>
        </is>
      </c>
      <c r="AG198" t="inlineStr">
        <is>
          <t>HC40</t>
        </is>
      </c>
      <c r="AH198" t="inlineStr">
        <is>
          <t>NO</t>
        </is>
      </c>
      <c r="AI198" t="n">
        <v>40</v>
      </c>
      <c r="AJ198" t="n">
        <v>0</v>
      </c>
      <c r="AK198" t="n">
        <v>1</v>
      </c>
      <c r="AL198" t="inlineStr">
        <is>
          <t>ANON0000000</t>
        </is>
      </c>
      <c r="AP198" t="inlineStr">
        <is>
          <t>Non Haz</t>
        </is>
      </c>
      <c r="AQ198" t="inlineStr">
        <is>
          <t>CY/CY</t>
        </is>
      </c>
      <c r="AT198" t="inlineStr">
        <is>
          <t>REF000000</t>
        </is>
      </c>
      <c r="AU198" t="n">
        <v>21000</v>
      </c>
      <c r="AV198" t="inlineStr">
        <is>
          <t>GENERAL COMMODITY</t>
        </is>
      </c>
      <c r="AX198" t="inlineStr">
        <is>
          <t>RSUAM032600047</t>
        </is>
      </c>
      <c r="AZ198" t="n">
        <v>0</v>
      </c>
      <c r="BA198" t="n">
        <v>10</v>
      </c>
      <c r="BB198" t="n">
        <v>7</v>
      </c>
      <c r="BC198" t="n">
        <v>4500</v>
      </c>
      <c r="BD198" t="inlineStr">
        <is>
          <t>Yes</t>
        </is>
      </c>
      <c r="BG198" t="inlineStr">
        <is>
          <t>RUBLT</t>
        </is>
      </c>
      <c r="BH198" t="n">
        <v>0</v>
      </c>
      <c r="BI198" t="n">
        <v>1</v>
      </c>
      <c r="BJ198" t="n">
        <v>4500</v>
      </c>
      <c r="BK198" t="inlineStr">
        <is>
          <t>LINE</t>
        </is>
      </c>
      <c r="BL198" t="inlineStr">
        <is>
          <t>EAGLE DRY</t>
        </is>
      </c>
      <c r="BM198" t="inlineStr">
        <is>
          <t>EAGLE DRY</t>
        </is>
      </c>
    </row>
    <row r="199">
      <c r="A199" t="n">
        <v>198</v>
      </c>
      <c r="B199" t="inlineStr">
        <is>
          <t>COYOTE DRY</t>
        </is>
      </c>
      <c r="C199" t="inlineStr">
        <is>
          <t>REF000000</t>
        </is>
      </c>
      <c r="D199" t="inlineStr">
        <is>
          <t>REF000000</t>
        </is>
      </c>
      <c r="E199" t="n">
        <v>46091</v>
      </c>
      <c r="F199" t="inlineStr">
        <is>
          <t>COYOTE DRY</t>
        </is>
      </c>
      <c r="H199" t="inlineStr">
        <is>
          <t>AdminUAM</t>
        </is>
      </c>
      <c r="J199" t="inlineStr">
        <is>
          <t>10-APR-2026</t>
        </is>
      </c>
      <c r="K199" t="inlineStr">
        <is>
          <t>05-APR-2026</t>
        </is>
      </c>
      <c r="M199" t="inlineStr">
        <is>
          <t>REF000000</t>
        </is>
      </c>
      <c r="N199" t="inlineStr">
        <is>
          <t>USNFK</t>
        </is>
      </c>
      <c r="O199" t="inlineStr">
        <is>
          <t>USNFK</t>
        </is>
      </c>
      <c r="P199" t="inlineStr">
        <is>
          <t>RULED</t>
        </is>
      </c>
      <c r="U199" t="inlineStr">
        <is>
          <t>RULED</t>
        </is>
      </c>
      <c r="V199" t="inlineStr">
        <is>
          <t>RULED</t>
        </is>
      </c>
      <c r="W199" t="inlineStr">
        <is>
          <t>UNITED STATES</t>
        </is>
      </c>
      <c r="X199" t="inlineStr">
        <is>
          <t>Latin America</t>
        </is>
      </c>
      <c r="Y199" t="inlineStr">
        <is>
          <t>RUSSIA</t>
        </is>
      </c>
      <c r="Z199" t="inlineStr">
        <is>
          <t>External Review</t>
        </is>
      </c>
      <c r="AA199" t="inlineStr">
        <is>
          <t>HUB SHIPPING LLC-LED</t>
        </is>
      </c>
      <c r="AB199" t="inlineStr">
        <is>
          <t>Collect</t>
        </is>
      </c>
      <c r="AC199" t="inlineStr">
        <is>
          <t>MERCURY / VOYAGE 1</t>
        </is>
      </c>
      <c r="AE199" t="inlineStr">
        <is>
          <t>LADEN BOOKING</t>
        </is>
      </c>
      <c r="AF199" t="inlineStr">
        <is>
          <t>RenniUAM</t>
        </is>
      </c>
      <c r="AG199" t="inlineStr">
        <is>
          <t>DC20</t>
        </is>
      </c>
      <c r="AH199" t="inlineStr">
        <is>
          <t>NO</t>
        </is>
      </c>
      <c r="AI199" t="n">
        <v>20</v>
      </c>
      <c r="AJ199" t="n">
        <v>7</v>
      </c>
      <c r="AK199" t="n">
        <v>0</v>
      </c>
      <c r="AL199" t="inlineStr">
        <is>
          <t>ANON0000000,
ANON0000000,
ANON0000000,
ANON0000000,
ANON0000000,
ANON0000000,
ANON0000000</t>
        </is>
      </c>
      <c r="AP199" t="inlineStr">
        <is>
          <t>Non Haz</t>
        </is>
      </c>
      <c r="AQ199" t="inlineStr">
        <is>
          <t>CY/CY</t>
        </is>
      </c>
      <c r="AT199" t="inlineStr">
        <is>
          <t>REF000000</t>
        </is>
      </c>
      <c r="AU199" t="n">
        <v>23000</v>
      </c>
      <c r="AV199" t="inlineStr">
        <is>
          <t>GENERAL COMMODITY</t>
        </is>
      </c>
      <c r="AX199" t="inlineStr">
        <is>
          <t>RSUAM042600006</t>
        </is>
      </c>
      <c r="AZ199" t="n">
        <v>0</v>
      </c>
      <c r="BA199" t="n">
        <v>17</v>
      </c>
      <c r="BB199" t="n">
        <v>21</v>
      </c>
      <c r="BC199" t="n">
        <v>1750</v>
      </c>
      <c r="BD199" t="inlineStr">
        <is>
          <t>Yes</t>
        </is>
      </c>
      <c r="BG199" t="inlineStr">
        <is>
          <t>RULED</t>
        </is>
      </c>
      <c r="BH199" t="n">
        <v>7</v>
      </c>
      <c r="BI199" t="n">
        <v>0</v>
      </c>
      <c r="BJ199" t="n">
        <v>12250</v>
      </c>
      <c r="BK199" t="inlineStr">
        <is>
          <t>LINE</t>
        </is>
      </c>
      <c r="BL199" t="inlineStr">
        <is>
          <t>COYOTE DRY</t>
        </is>
      </c>
      <c r="BM199" t="inlineStr">
        <is>
          <t>COYOTE DRY</t>
        </is>
      </c>
    </row>
    <row r="200">
      <c r="A200" t="n">
        <v>199</v>
      </c>
      <c r="B200" t="inlineStr">
        <is>
          <t>FALCON DRY</t>
        </is>
      </c>
      <c r="C200" t="inlineStr">
        <is>
          <t>REF000000</t>
        </is>
      </c>
      <c r="D200" t="inlineStr">
        <is>
          <t>REF000000</t>
        </is>
      </c>
      <c r="E200" t="n">
        <v>46091</v>
      </c>
      <c r="F200" t="inlineStr">
        <is>
          <t>FALCON DRY</t>
        </is>
      </c>
      <c r="H200" t="inlineStr">
        <is>
          <t>AdminUAM</t>
        </is>
      </c>
      <c r="J200" t="inlineStr">
        <is>
          <t>10-APR-2026</t>
        </is>
      </c>
      <c r="K200" t="inlineStr">
        <is>
          <t>05-APR-2026</t>
        </is>
      </c>
      <c r="M200" t="inlineStr">
        <is>
          <t>REF000000</t>
        </is>
      </c>
      <c r="N200" t="inlineStr">
        <is>
          <t>USNFK</t>
        </is>
      </c>
      <c r="O200" t="inlineStr">
        <is>
          <t>USNFK</t>
        </is>
      </c>
      <c r="P200" t="inlineStr">
        <is>
          <t>RULED</t>
        </is>
      </c>
      <c r="U200" t="inlineStr">
        <is>
          <t>RULED</t>
        </is>
      </c>
      <c r="V200" t="inlineStr">
        <is>
          <t>RULED</t>
        </is>
      </c>
      <c r="W200" t="inlineStr">
        <is>
          <t>UNITED STATES</t>
        </is>
      </c>
      <c r="X200" t="inlineStr">
        <is>
          <t>Latin America</t>
        </is>
      </c>
      <c r="Y200" t="inlineStr">
        <is>
          <t>RUSSIA</t>
        </is>
      </c>
      <c r="Z200" t="inlineStr">
        <is>
          <t>External Review</t>
        </is>
      </c>
      <c r="AA200" t="inlineStr">
        <is>
          <t>HUB SHIPPING LLC-LED</t>
        </is>
      </c>
      <c r="AB200" t="inlineStr">
        <is>
          <t>Collect</t>
        </is>
      </c>
      <c r="AC200" t="inlineStr">
        <is>
          <t>MERCURY / VOYAGE 1</t>
        </is>
      </c>
      <c r="AE200" t="inlineStr">
        <is>
          <t>LADEN BOOKING</t>
        </is>
      </c>
      <c r="AF200" t="inlineStr">
        <is>
          <t>RenniUAM</t>
        </is>
      </c>
      <c r="AG200" t="inlineStr">
        <is>
          <t>DC20</t>
        </is>
      </c>
      <c r="AH200" t="inlineStr">
        <is>
          <t>NO</t>
        </is>
      </c>
      <c r="AI200" t="n">
        <v>20</v>
      </c>
      <c r="AJ200" t="n">
        <v>1</v>
      </c>
      <c r="AK200" t="n">
        <v>0</v>
      </c>
      <c r="AL200" t="inlineStr">
        <is>
          <t>ANON0000000</t>
        </is>
      </c>
      <c r="AP200" t="inlineStr">
        <is>
          <t>Non Haz</t>
        </is>
      </c>
      <c r="AQ200" t="inlineStr">
        <is>
          <t>CY/CY</t>
        </is>
      </c>
      <c r="AT200" t="inlineStr">
        <is>
          <t>REF000000</t>
        </is>
      </c>
      <c r="AU200" t="n">
        <v>23000</v>
      </c>
      <c r="AV200" t="inlineStr">
        <is>
          <t>GENERAL COMMODITY</t>
        </is>
      </c>
      <c r="AX200" t="inlineStr">
        <is>
          <t>RSUAM032600008</t>
        </is>
      </c>
      <c r="AZ200" t="n">
        <v>0</v>
      </c>
      <c r="BA200" t="n">
        <v>10</v>
      </c>
      <c r="BB200" t="n">
        <v>14</v>
      </c>
      <c r="BC200" t="n">
        <v>2350</v>
      </c>
      <c r="BD200" t="inlineStr">
        <is>
          <t>Yes</t>
        </is>
      </c>
      <c r="BG200" t="inlineStr">
        <is>
          <t>RULED</t>
        </is>
      </c>
      <c r="BH200" t="n">
        <v>1</v>
      </c>
      <c r="BI200" t="n">
        <v>0</v>
      </c>
      <c r="BJ200" t="n">
        <v>2350</v>
      </c>
      <c r="BK200" t="inlineStr">
        <is>
          <t>LINE</t>
        </is>
      </c>
      <c r="BL200" t="inlineStr">
        <is>
          <t>FALCON DRY</t>
        </is>
      </c>
      <c r="BM200" t="inlineStr">
        <is>
          <t>FALCON DRY</t>
        </is>
      </c>
    </row>
    <row r="201">
      <c r="A201" t="n">
        <v>200</v>
      </c>
      <c r="B201" t="inlineStr">
        <is>
          <t>WHALE REEFER</t>
        </is>
      </c>
      <c r="C201" t="inlineStr">
        <is>
          <t>REF000000</t>
        </is>
      </c>
      <c r="D201" t="inlineStr">
        <is>
          <t>REF000000</t>
        </is>
      </c>
      <c r="E201" t="n">
        <v>46092</v>
      </c>
      <c r="F201" t="inlineStr">
        <is>
          <t>WHALE REEFER</t>
        </is>
      </c>
      <c r="G201" t="inlineStr">
        <is>
          <t>PREPAID</t>
        </is>
      </c>
      <c r="H201" t="inlineStr">
        <is>
          <t>Lilian</t>
        </is>
      </c>
      <c r="J201" t="inlineStr">
        <is>
          <t>11-APR-2026</t>
        </is>
      </c>
      <c r="K201" t="inlineStr">
        <is>
          <t>10-APR-2026</t>
        </is>
      </c>
      <c r="L201" t="inlineStr">
        <is>
          <t>11-APR-2026</t>
        </is>
      </c>
      <c r="M201" t="inlineStr">
        <is>
          <t>REF000000</t>
        </is>
      </c>
      <c r="N201" t="inlineStr">
        <is>
          <t>USHOU</t>
        </is>
      </c>
      <c r="O201" t="inlineStr">
        <is>
          <t>USHOU</t>
        </is>
      </c>
      <c r="P201" t="inlineStr">
        <is>
          <t>RULED</t>
        </is>
      </c>
      <c r="U201" t="inlineStr">
        <is>
          <t>RULED</t>
        </is>
      </c>
      <c r="V201" t="inlineStr">
        <is>
          <t>RULED</t>
        </is>
      </c>
      <c r="W201" t="inlineStr">
        <is>
          <t>UNITED STATES</t>
        </is>
      </c>
      <c r="X201" t="inlineStr">
        <is>
          <t>Latin America</t>
        </is>
      </c>
      <c r="Y201" t="inlineStr">
        <is>
          <t>RUSSIA</t>
        </is>
      </c>
      <c r="Z201" t="inlineStr">
        <is>
          <t>External Review</t>
        </is>
      </c>
      <c r="AA201" t="inlineStr">
        <is>
          <t>HUB SHIPPING LLC-LED</t>
        </is>
      </c>
      <c r="AB201" t="inlineStr">
        <is>
          <t>Collect</t>
        </is>
      </c>
      <c r="AC201" t="inlineStr">
        <is>
          <t>MERCURY / VOYAGE 1</t>
        </is>
      </c>
      <c r="AE201" t="inlineStr">
        <is>
          <t>LADEN BOOKING</t>
        </is>
      </c>
      <c r="AF201" t="inlineStr">
        <is>
          <t>Joao Ribeiro</t>
        </is>
      </c>
      <c r="AG201" t="inlineStr">
        <is>
          <t>RH40</t>
        </is>
      </c>
      <c r="AH201" t="inlineStr">
        <is>
          <t>NO</t>
        </is>
      </c>
      <c r="AI201" t="n">
        <v>40</v>
      </c>
      <c r="AJ201" t="n">
        <v>0</v>
      </c>
      <c r="AK201" t="n">
        <v>11</v>
      </c>
      <c r="AL201" t="inlineStr">
        <is>
          <t>ANON0000000,
ANON0000000,
ANON0000000,
ANON0000000,
ANON0000000,
ANON0000000,
ANON0000000,
ANON0000000,
ANON0000000,
ANON0000000,
ANON0000000</t>
        </is>
      </c>
      <c r="AM201" t="inlineStr">
        <is>
          <t>-18,18,18,18</t>
        </is>
      </c>
      <c r="AP201" t="inlineStr">
        <is>
          <t>Non Haz</t>
        </is>
      </c>
      <c r="AQ201" t="inlineStr">
        <is>
          <t>CY/CY</t>
        </is>
      </c>
      <c r="AT201" t="inlineStr">
        <is>
          <t>REF000000,
REF000000,
REF000000,
REF000000,
REF000000,
REF000000,
REF000000,
REF000000,
REF000000,
REF000000,
REF000000</t>
        </is>
      </c>
      <c r="AU201" t="n">
        <v>28000</v>
      </c>
      <c r="AV201" t="inlineStr">
        <is>
          <t>FROZEN MEAT</t>
        </is>
      </c>
      <c r="AX201" t="inlineStr">
        <is>
          <t>RSUAM032600052</t>
        </is>
      </c>
      <c r="AZ201" t="n">
        <v>0</v>
      </c>
      <c r="BA201" t="n">
        <v>30</v>
      </c>
      <c r="BB201" t="n">
        <v>5</v>
      </c>
      <c r="BC201" t="n">
        <v>7600</v>
      </c>
      <c r="BD201" t="inlineStr">
        <is>
          <t>No</t>
        </is>
      </c>
      <c r="BF201" t="inlineStr">
        <is>
          <t>ARTHA SHIPPING</t>
        </is>
      </c>
      <c r="BG201" t="inlineStr">
        <is>
          <t>CNSHA</t>
        </is>
      </c>
      <c r="BH201" t="n">
        <v>0</v>
      </c>
      <c r="BI201" t="n">
        <v>11</v>
      </c>
      <c r="BJ201" t="n">
        <v>83600</v>
      </c>
      <c r="BK201" t="inlineStr">
        <is>
          <t>LINE</t>
        </is>
      </c>
      <c r="BL201" t="inlineStr">
        <is>
          <t>WHALE REEFER</t>
        </is>
      </c>
      <c r="BM201" t="inlineStr">
        <is>
          <t>WHALE REEFER</t>
        </is>
      </c>
    </row>
    <row r="202">
      <c r="A202" t="n">
        <v>201</v>
      </c>
      <c r="B202" t="inlineStr">
        <is>
          <t>DEER DRY</t>
        </is>
      </c>
      <c r="C202" t="inlineStr">
        <is>
          <t>REF000000</t>
        </is>
      </c>
      <c r="D202" t="inlineStr">
        <is>
          <t>REF000000</t>
        </is>
      </c>
      <c r="E202" t="n">
        <v>46092</v>
      </c>
      <c r="F202" t="inlineStr">
        <is>
          <t>DEER DRY</t>
        </is>
      </c>
      <c r="G202" t="inlineStr">
        <is>
          <t>PREPAID ABROAD</t>
        </is>
      </c>
      <c r="H202" t="inlineStr">
        <is>
          <t>Regional Operations_UNIMAR</t>
        </is>
      </c>
      <c r="J202" t="inlineStr">
        <is>
          <t>10-APR-2026</t>
        </is>
      </c>
      <c r="K202" t="inlineStr">
        <is>
          <t>05-APR-2026</t>
        </is>
      </c>
      <c r="M202" t="inlineStr">
        <is>
          <t>REF000000</t>
        </is>
      </c>
      <c r="N202" t="inlineStr">
        <is>
          <t>USNFK</t>
        </is>
      </c>
      <c r="O202" t="inlineStr">
        <is>
          <t>USNFK</t>
        </is>
      </c>
      <c r="P202" t="inlineStr">
        <is>
          <t>RULED</t>
        </is>
      </c>
      <c r="U202" t="inlineStr">
        <is>
          <t>RULED</t>
        </is>
      </c>
      <c r="V202" t="inlineStr">
        <is>
          <t>RULED</t>
        </is>
      </c>
      <c r="W202" t="inlineStr">
        <is>
          <t>UNITED STATES</t>
        </is>
      </c>
      <c r="X202" t="inlineStr">
        <is>
          <t>Latin America</t>
        </is>
      </c>
      <c r="Y202" t="inlineStr">
        <is>
          <t>RUSSIA</t>
        </is>
      </c>
      <c r="Z202" t="inlineStr">
        <is>
          <t>External Review</t>
        </is>
      </c>
      <c r="AA202" t="inlineStr">
        <is>
          <t>HUB SHIPPING LLC-LED</t>
        </is>
      </c>
      <c r="AB202" t="inlineStr">
        <is>
          <t>Prepaid</t>
        </is>
      </c>
      <c r="AC202" t="inlineStr">
        <is>
          <t>MERCURY / VOYAGE 1</t>
        </is>
      </c>
      <c r="AE202" t="inlineStr">
        <is>
          <t>LADEN BOOKING</t>
        </is>
      </c>
      <c r="AF202" t="inlineStr">
        <is>
          <t>Maria Jessica Da Si</t>
        </is>
      </c>
      <c r="AG202" t="inlineStr">
        <is>
          <t>DC20</t>
        </is>
      </c>
      <c r="AH202" t="inlineStr">
        <is>
          <t>NO</t>
        </is>
      </c>
      <c r="AI202" t="n">
        <v>20</v>
      </c>
      <c r="AJ202" t="n">
        <v>1</v>
      </c>
      <c r="AK202" t="n">
        <v>0</v>
      </c>
      <c r="AL202" t="inlineStr">
        <is>
          <t>ANON0000000</t>
        </is>
      </c>
      <c r="AP202" t="inlineStr">
        <is>
          <t>Non Haz</t>
        </is>
      </c>
      <c r="AQ202" t="inlineStr">
        <is>
          <t>CY/CY</t>
        </is>
      </c>
      <c r="AT202" t="inlineStr">
        <is>
          <t>REF000000</t>
        </is>
      </c>
      <c r="AU202" t="n">
        <v>28000</v>
      </c>
      <c r="AV202" t="inlineStr">
        <is>
          <t>GENERAL COMMODITY</t>
        </is>
      </c>
      <c r="AX202" t="inlineStr">
        <is>
          <t>RSUAM032600050</t>
        </is>
      </c>
      <c r="AZ202" t="n">
        <v>0</v>
      </c>
      <c r="BA202" t="n">
        <v>20</v>
      </c>
      <c r="BB202" t="n">
        <v>14</v>
      </c>
      <c r="BC202" t="n">
        <v>3400</v>
      </c>
      <c r="BD202" t="inlineStr">
        <is>
          <t>No</t>
        </is>
      </c>
      <c r="BG202" t="inlineStr">
        <is>
          <t>USNFK</t>
        </is>
      </c>
      <c r="BH202" t="n">
        <v>1</v>
      </c>
      <c r="BI202" t="n">
        <v>0</v>
      </c>
      <c r="BJ202" t="n">
        <v>3400</v>
      </c>
      <c r="BK202" t="inlineStr">
        <is>
          <t>LINE</t>
        </is>
      </c>
      <c r="BL202" t="inlineStr">
        <is>
          <t>DEER DRY</t>
        </is>
      </c>
      <c r="BM202" t="inlineStr">
        <is>
          <t>DEER DRY</t>
        </is>
      </c>
    </row>
    <row r="203">
      <c r="A203" t="n">
        <v>202</v>
      </c>
      <c r="B203" t="inlineStr">
        <is>
          <t>SHARK REEFER</t>
        </is>
      </c>
      <c r="C203" t="inlineStr">
        <is>
          <t>REF000000</t>
        </is>
      </c>
      <c r="D203" t="inlineStr">
        <is>
          <t>REF000000</t>
        </is>
      </c>
      <c r="E203" t="n">
        <v>46092</v>
      </c>
      <c r="F203" t="inlineStr">
        <is>
          <t>SHARK REEFER</t>
        </is>
      </c>
      <c r="G203" t="inlineStr">
        <is>
          <t>PREPAID</t>
        </is>
      </c>
      <c r="H203" t="inlineStr">
        <is>
          <t>Regional Operations_UNIMAR</t>
        </is>
      </c>
      <c r="J203" t="inlineStr">
        <is>
          <t>10-APR-2026</t>
        </is>
      </c>
      <c r="K203" t="inlineStr">
        <is>
          <t>05-APR-2026</t>
        </is>
      </c>
      <c r="M203" t="inlineStr">
        <is>
          <t>REF000000</t>
        </is>
      </c>
      <c r="N203" t="inlineStr">
        <is>
          <t>USNFK</t>
        </is>
      </c>
      <c r="O203" t="inlineStr">
        <is>
          <t>USNFK</t>
        </is>
      </c>
      <c r="P203" t="inlineStr">
        <is>
          <t>RULED</t>
        </is>
      </c>
      <c r="U203" t="inlineStr">
        <is>
          <t>RULED</t>
        </is>
      </c>
      <c r="V203" t="inlineStr">
        <is>
          <t>RULED</t>
        </is>
      </c>
      <c r="W203" t="inlineStr">
        <is>
          <t>UNITED STATES</t>
        </is>
      </c>
      <c r="X203" t="inlineStr">
        <is>
          <t>Latin America</t>
        </is>
      </c>
      <c r="Y203" t="inlineStr">
        <is>
          <t>RUSSIA</t>
        </is>
      </c>
      <c r="Z203" t="inlineStr">
        <is>
          <t>External Review</t>
        </is>
      </c>
      <c r="AA203" t="inlineStr">
        <is>
          <t>HUB SHIPPING LLC-LED</t>
        </is>
      </c>
      <c r="AB203" t="inlineStr">
        <is>
          <t>Prepaid</t>
        </is>
      </c>
      <c r="AC203" t="inlineStr">
        <is>
          <t>MERCURY / VOYAGE 1</t>
        </is>
      </c>
      <c r="AE203" t="inlineStr">
        <is>
          <t>LADEN BOOKING</t>
        </is>
      </c>
      <c r="AF203" t="inlineStr">
        <is>
          <t>Joao Ribeiro</t>
        </is>
      </c>
      <c r="AG203" t="inlineStr">
        <is>
          <t>RH40</t>
        </is>
      </c>
      <c r="AH203" t="inlineStr">
        <is>
          <t>NO</t>
        </is>
      </c>
      <c r="AI203" t="n">
        <v>40</v>
      </c>
      <c r="AJ203" t="n">
        <v>0</v>
      </c>
      <c r="AK203" t="n">
        <v>1</v>
      </c>
      <c r="AL203" t="inlineStr">
        <is>
          <t>ANON0000000</t>
        </is>
      </c>
      <c r="AM203" t="n">
        <v>-18</v>
      </c>
      <c r="AP203" t="inlineStr">
        <is>
          <t>Non Haz</t>
        </is>
      </c>
      <c r="AQ203" t="inlineStr">
        <is>
          <t>CY/CY</t>
        </is>
      </c>
      <c r="AT203" t="inlineStr">
        <is>
          <t>REF000000</t>
        </is>
      </c>
      <c r="AU203" t="n">
        <v>28000</v>
      </c>
      <c r="AV203" t="inlineStr">
        <is>
          <t>FROZEN MEAT</t>
        </is>
      </c>
      <c r="AX203" t="inlineStr">
        <is>
          <t>RSUAM012600007</t>
        </is>
      </c>
      <c r="AZ203" t="n">
        <v>5</v>
      </c>
      <c r="BA203" t="n">
        <v>21</v>
      </c>
      <c r="BB203" t="n">
        <v>10</v>
      </c>
      <c r="BC203" t="n">
        <v>8150</v>
      </c>
      <c r="BD203" t="inlineStr">
        <is>
          <t>No</t>
        </is>
      </c>
      <c r="BG203" t="inlineStr">
        <is>
          <t>USNFK</t>
        </is>
      </c>
      <c r="BH203" t="n">
        <v>0</v>
      </c>
      <c r="BI203" t="n">
        <v>1</v>
      </c>
      <c r="BJ203" t="n">
        <v>8150</v>
      </c>
      <c r="BK203" t="inlineStr">
        <is>
          <t>LINE</t>
        </is>
      </c>
      <c r="BL203" t="inlineStr">
        <is>
          <t>SHARK REEFER</t>
        </is>
      </c>
      <c r="BM203" t="inlineStr">
        <is>
          <t>SHARK REEFER</t>
        </is>
      </c>
    </row>
    <row r="204">
      <c r="A204" t="n">
        <v>203</v>
      </c>
      <c r="B204" t="inlineStr">
        <is>
          <t>DOLPHIN REEFER</t>
        </is>
      </c>
      <c r="C204" t="inlineStr">
        <is>
          <t>REF000000</t>
        </is>
      </c>
      <c r="D204" t="inlineStr">
        <is>
          <t>REF000000</t>
        </is>
      </c>
      <c r="E204" t="n">
        <v>46092</v>
      </c>
      <c r="F204" t="inlineStr">
        <is>
          <t>DOLPHIN REEFER</t>
        </is>
      </c>
      <c r="G204" t="inlineStr">
        <is>
          <t>PREPAID</t>
        </is>
      </c>
      <c r="H204" t="inlineStr">
        <is>
          <t>Regional Operations_UNIMAR</t>
        </is>
      </c>
      <c r="J204" t="inlineStr">
        <is>
          <t>10-APR-2026</t>
        </is>
      </c>
      <c r="K204" t="inlineStr">
        <is>
          <t>05-APR-2026</t>
        </is>
      </c>
      <c r="M204" t="inlineStr">
        <is>
          <t>REF000000</t>
        </is>
      </c>
      <c r="N204" t="inlineStr">
        <is>
          <t>USNFK</t>
        </is>
      </c>
      <c r="O204" t="inlineStr">
        <is>
          <t>USNFK</t>
        </is>
      </c>
      <c r="P204" t="inlineStr">
        <is>
          <t>RULED</t>
        </is>
      </c>
      <c r="U204" t="inlineStr">
        <is>
          <t>RULED</t>
        </is>
      </c>
      <c r="V204" t="inlineStr">
        <is>
          <t>RULED</t>
        </is>
      </c>
      <c r="W204" t="inlineStr">
        <is>
          <t>UNITED STATES</t>
        </is>
      </c>
      <c r="X204" t="inlineStr">
        <is>
          <t>Latin America</t>
        </is>
      </c>
      <c r="Y204" t="inlineStr">
        <is>
          <t>RUSSIA</t>
        </is>
      </c>
      <c r="Z204" t="inlineStr">
        <is>
          <t>External Review</t>
        </is>
      </c>
      <c r="AA204" t="inlineStr">
        <is>
          <t>HUB SHIPPING LLC-LED</t>
        </is>
      </c>
      <c r="AB204" t="inlineStr">
        <is>
          <t>Prepaid</t>
        </is>
      </c>
      <c r="AC204" t="inlineStr">
        <is>
          <t>MERCURY / VOYAGE 1</t>
        </is>
      </c>
      <c r="AE204" t="inlineStr">
        <is>
          <t>LADEN BOOKING</t>
        </is>
      </c>
      <c r="AF204" t="inlineStr">
        <is>
          <t>Joao Ribeiro</t>
        </is>
      </c>
      <c r="AG204" t="inlineStr">
        <is>
          <t>RH40</t>
        </is>
      </c>
      <c r="AH204" t="inlineStr">
        <is>
          <t>NO</t>
        </is>
      </c>
      <c r="AI204" t="n">
        <v>40</v>
      </c>
      <c r="AJ204" t="n">
        <v>0</v>
      </c>
      <c r="AK204" t="n">
        <v>1</v>
      </c>
      <c r="AL204" t="inlineStr">
        <is>
          <t>ANON0000000</t>
        </is>
      </c>
      <c r="AM204" t="n">
        <v>-18</v>
      </c>
      <c r="AP204" t="inlineStr">
        <is>
          <t>Non Haz</t>
        </is>
      </c>
      <c r="AQ204" t="inlineStr">
        <is>
          <t>CY/CY</t>
        </is>
      </c>
      <c r="AT204" t="inlineStr">
        <is>
          <t>REF000000</t>
        </is>
      </c>
      <c r="AU204" t="n">
        <v>28000</v>
      </c>
      <c r="AV204" t="inlineStr">
        <is>
          <t>FROZEN MEAT</t>
        </is>
      </c>
      <c r="AX204" t="inlineStr">
        <is>
          <t>RSUAM012600007</t>
        </is>
      </c>
      <c r="AZ204" t="n">
        <v>5</v>
      </c>
      <c r="BA204" t="n">
        <v>21</v>
      </c>
      <c r="BB204" t="n">
        <v>10</v>
      </c>
      <c r="BC204" t="n">
        <v>8150</v>
      </c>
      <c r="BD204" t="inlineStr">
        <is>
          <t>No</t>
        </is>
      </c>
      <c r="BG204" t="inlineStr">
        <is>
          <t>USNFK</t>
        </is>
      </c>
      <c r="BH204" t="n">
        <v>0</v>
      </c>
      <c r="BI204" t="n">
        <v>1</v>
      </c>
      <c r="BJ204" t="n">
        <v>8150</v>
      </c>
      <c r="BK204" t="inlineStr">
        <is>
          <t>LINE</t>
        </is>
      </c>
      <c r="BL204" t="inlineStr">
        <is>
          <t>DOLPHIN REEFER</t>
        </is>
      </c>
      <c r="BM204" t="inlineStr">
        <is>
          <t>DOLPHIN REEFER</t>
        </is>
      </c>
    </row>
    <row r="205">
      <c r="A205" t="n">
        <v>204</v>
      </c>
      <c r="B205" t="inlineStr">
        <is>
          <t>EAGLE DRY</t>
        </is>
      </c>
      <c r="C205" t="inlineStr">
        <is>
          <t>REF000000</t>
        </is>
      </c>
      <c r="D205" t="inlineStr">
        <is>
          <t>REF000000</t>
        </is>
      </c>
      <c r="E205" t="n">
        <v>46092</v>
      </c>
      <c r="F205" t="inlineStr">
        <is>
          <t>EAGLE DRY</t>
        </is>
      </c>
      <c r="G205" t="inlineStr">
        <is>
          <t>Prepaid Abroad</t>
        </is>
      </c>
      <c r="H205" t="inlineStr">
        <is>
          <t>Diego</t>
        </is>
      </c>
      <c r="J205" t="inlineStr">
        <is>
          <t>10-APR-2026</t>
        </is>
      </c>
      <c r="K205" t="inlineStr">
        <is>
          <t>05-APR-2026</t>
        </is>
      </c>
      <c r="M205" t="inlineStr">
        <is>
          <t>REF000000</t>
        </is>
      </c>
      <c r="N205" t="inlineStr">
        <is>
          <t>USNFK</t>
        </is>
      </c>
      <c r="O205" t="inlineStr">
        <is>
          <t>USNFK</t>
        </is>
      </c>
      <c r="P205" t="inlineStr">
        <is>
          <t>RULED</t>
        </is>
      </c>
      <c r="U205" t="inlineStr">
        <is>
          <t>RULED</t>
        </is>
      </c>
      <c r="V205" t="inlineStr">
        <is>
          <t>RULED</t>
        </is>
      </c>
      <c r="W205" t="inlineStr">
        <is>
          <t>UNITED STATES</t>
        </is>
      </c>
      <c r="X205" t="inlineStr">
        <is>
          <t>Latin America</t>
        </is>
      </c>
      <c r="Y205" t="inlineStr">
        <is>
          <t>RUSSIA</t>
        </is>
      </c>
      <c r="Z205" t="inlineStr">
        <is>
          <t>External Review</t>
        </is>
      </c>
      <c r="AA205" t="inlineStr">
        <is>
          <t>HUB SHIPPING LLC-LED</t>
        </is>
      </c>
      <c r="AB205" t="inlineStr">
        <is>
          <t>Prepaid</t>
        </is>
      </c>
      <c r="AC205" t="inlineStr">
        <is>
          <t>MERCURY / VOYAGE 1</t>
        </is>
      </c>
      <c r="AE205" t="inlineStr">
        <is>
          <t>LADEN BOOKING</t>
        </is>
      </c>
      <c r="AF205" t="inlineStr">
        <is>
          <t>Maria Jessica Da Si</t>
        </is>
      </c>
      <c r="AG205" t="inlineStr">
        <is>
          <t>DC20</t>
        </is>
      </c>
      <c r="AH205" t="inlineStr">
        <is>
          <t>NO</t>
        </is>
      </c>
      <c r="AI205" t="n">
        <v>20</v>
      </c>
      <c r="AJ205" t="n">
        <v>1</v>
      </c>
      <c r="AK205" t="n">
        <v>0</v>
      </c>
      <c r="AL205" t="inlineStr">
        <is>
          <t>ANON0000000</t>
        </is>
      </c>
      <c r="AP205" t="inlineStr">
        <is>
          <t>Non Haz</t>
        </is>
      </c>
      <c r="AQ205" t="inlineStr">
        <is>
          <t>CY/CY</t>
        </is>
      </c>
      <c r="AT205" t="inlineStr">
        <is>
          <t>REF000000</t>
        </is>
      </c>
      <c r="AU205" t="n">
        <v>28000</v>
      </c>
      <c r="AV205" t="inlineStr">
        <is>
          <t>COFFEE</t>
        </is>
      </c>
      <c r="AX205" t="inlineStr">
        <is>
          <t>RSUAM032600006</t>
        </is>
      </c>
      <c r="AZ205" t="n">
        <v>0</v>
      </c>
      <c r="BA205" t="n">
        <v>14</v>
      </c>
      <c r="BB205" t="n">
        <v>14</v>
      </c>
      <c r="BC205" t="n">
        <v>3200</v>
      </c>
      <c r="BD205" t="inlineStr">
        <is>
          <t>No</t>
        </is>
      </c>
      <c r="BG205" t="inlineStr">
        <is>
          <t>USNFK</t>
        </is>
      </c>
      <c r="BH205" t="n">
        <v>1</v>
      </c>
      <c r="BI205" t="n">
        <v>0</v>
      </c>
      <c r="BJ205" t="n">
        <v>3200</v>
      </c>
      <c r="BK205" t="inlineStr">
        <is>
          <t>LINE</t>
        </is>
      </c>
      <c r="BL205" t="inlineStr">
        <is>
          <t>EAGLE DRY</t>
        </is>
      </c>
      <c r="BM205" t="inlineStr">
        <is>
          <t>EAGLE DRY</t>
        </is>
      </c>
    </row>
    <row r="206">
      <c r="A206" t="n">
        <v>205</v>
      </c>
      <c r="B206" t="inlineStr">
        <is>
          <t>COYOTE DRY</t>
        </is>
      </c>
      <c r="C206" t="inlineStr">
        <is>
          <t>REF000000</t>
        </is>
      </c>
      <c r="D206" t="inlineStr">
        <is>
          <t>REF000000</t>
        </is>
      </c>
      <c r="E206" t="n">
        <v>46093</v>
      </c>
      <c r="F206" t="inlineStr">
        <is>
          <t>COYOTE DRY</t>
        </is>
      </c>
      <c r="H206" t="inlineStr">
        <is>
          <t>AdminUAM</t>
        </is>
      </c>
      <c r="J206" t="inlineStr">
        <is>
          <t>14-APR-2026</t>
        </is>
      </c>
      <c r="K206" t="inlineStr">
        <is>
          <t>09-APR-2026</t>
        </is>
      </c>
      <c r="M206" t="inlineStr">
        <is>
          <t>REF000000</t>
        </is>
      </c>
      <c r="N206" t="inlineStr">
        <is>
          <t>USNFK</t>
        </is>
      </c>
      <c r="O206" t="inlineStr">
        <is>
          <t>USNFK</t>
        </is>
      </c>
      <c r="P206" t="inlineStr">
        <is>
          <t>RULED</t>
        </is>
      </c>
      <c r="U206" t="inlineStr">
        <is>
          <t>RULED</t>
        </is>
      </c>
      <c r="V206" t="inlineStr">
        <is>
          <t>RULED</t>
        </is>
      </c>
      <c r="W206" t="inlineStr">
        <is>
          <t>UNITED STATES</t>
        </is>
      </c>
      <c r="X206" t="inlineStr">
        <is>
          <t>Latin America</t>
        </is>
      </c>
      <c r="Y206" t="inlineStr">
        <is>
          <t>RUSSIA</t>
        </is>
      </c>
      <c r="Z206" t="inlineStr">
        <is>
          <t>External Review</t>
        </is>
      </c>
      <c r="AA206" t="inlineStr">
        <is>
          <t>HUB SHIPPING LLC-LED</t>
        </is>
      </c>
      <c r="AB206" t="inlineStr">
        <is>
          <t>Collect</t>
        </is>
      </c>
      <c r="AC206" t="inlineStr">
        <is>
          <t>MERCURY / VOYAGE 1</t>
        </is>
      </c>
      <c r="AE206" t="inlineStr">
        <is>
          <t>LADEN BOOKING</t>
        </is>
      </c>
      <c r="AF206" t="inlineStr">
        <is>
          <t>RenniUAM</t>
        </is>
      </c>
      <c r="AG206" t="inlineStr">
        <is>
          <t>DC20</t>
        </is>
      </c>
      <c r="AH206" t="inlineStr">
        <is>
          <t>NO</t>
        </is>
      </c>
      <c r="AI206" t="n">
        <v>20</v>
      </c>
      <c r="AJ206" t="n">
        <v>8</v>
      </c>
      <c r="AK206" t="n">
        <v>0</v>
      </c>
      <c r="AL206" t="inlineStr">
        <is>
          <t>ANON0000000,
ANON0000000,
ANON0000000,
ANON0000000,
ANON0000000,
ANON0000000,
ANON0000000,
ANON0000000</t>
        </is>
      </c>
      <c r="AP206" t="inlineStr">
        <is>
          <t>Non Haz</t>
        </is>
      </c>
      <c r="AQ206" t="inlineStr">
        <is>
          <t>CY/CY</t>
        </is>
      </c>
      <c r="AT206" t="inlineStr">
        <is>
          <t>REF000000</t>
        </is>
      </c>
      <c r="AU206" t="n">
        <v>23000</v>
      </c>
      <c r="AV206" t="inlineStr">
        <is>
          <t>GENERAL COMMODITY</t>
        </is>
      </c>
      <c r="AX206" t="inlineStr">
        <is>
          <t>RSUAM032600051</t>
        </is>
      </c>
      <c r="AZ206" t="n">
        <v>0</v>
      </c>
      <c r="BA206" t="n">
        <v>14</v>
      </c>
      <c r="BB206" t="n">
        <v>21</v>
      </c>
      <c r="BC206" t="n">
        <v>1750</v>
      </c>
      <c r="BD206" t="inlineStr">
        <is>
          <t>Yes</t>
        </is>
      </c>
      <c r="BG206" t="inlineStr">
        <is>
          <t>RULED</t>
        </is>
      </c>
      <c r="BH206" t="n">
        <v>8</v>
      </c>
      <c r="BI206" t="n">
        <v>0</v>
      </c>
      <c r="BJ206" t="n">
        <v>14000</v>
      </c>
      <c r="BK206" t="inlineStr">
        <is>
          <t>LINE</t>
        </is>
      </c>
      <c r="BL206" t="inlineStr">
        <is>
          <t>COYOTE DRY</t>
        </is>
      </c>
      <c r="BM206" t="inlineStr">
        <is>
          <t>COYOTE DRY</t>
        </is>
      </c>
    </row>
    <row r="207">
      <c r="A207" t="n">
        <v>206</v>
      </c>
      <c r="B207" t="inlineStr">
        <is>
          <t>FALCON DRY</t>
        </is>
      </c>
      <c r="C207" t="inlineStr">
        <is>
          <t>REF000000</t>
        </is>
      </c>
      <c r="D207" t="inlineStr">
        <is>
          <t>REF000000</t>
        </is>
      </c>
      <c r="E207" t="n">
        <v>46094</v>
      </c>
      <c r="F207" t="inlineStr">
        <is>
          <t>FALCON DRY</t>
        </is>
      </c>
      <c r="G207" t="inlineStr">
        <is>
          <t>Prepaid Abroad</t>
        </is>
      </c>
      <c r="H207" t="inlineStr">
        <is>
          <t>Regional Operations_UNIMAR</t>
        </is>
      </c>
      <c r="J207" t="inlineStr">
        <is>
          <t>10-APR-2026</t>
        </is>
      </c>
      <c r="K207" t="inlineStr">
        <is>
          <t>05-APR-2026</t>
        </is>
      </c>
      <c r="M207" t="inlineStr">
        <is>
          <t>REF000000</t>
        </is>
      </c>
      <c r="N207" t="inlineStr">
        <is>
          <t>USNFK</t>
        </is>
      </c>
      <c r="O207" t="inlineStr">
        <is>
          <t>USNFK</t>
        </is>
      </c>
      <c r="P207" t="inlineStr">
        <is>
          <t>RULED</t>
        </is>
      </c>
      <c r="U207" t="inlineStr">
        <is>
          <t>RULED</t>
        </is>
      </c>
      <c r="V207" t="inlineStr">
        <is>
          <t>RULED</t>
        </is>
      </c>
      <c r="W207" t="inlineStr">
        <is>
          <t>UNITED STATES</t>
        </is>
      </c>
      <c r="X207" t="inlineStr">
        <is>
          <t>Latin America</t>
        </is>
      </c>
      <c r="Y207" t="inlineStr">
        <is>
          <t>RUSSIA</t>
        </is>
      </c>
      <c r="Z207" t="inlineStr">
        <is>
          <t>External Review</t>
        </is>
      </c>
      <c r="AA207" t="inlineStr">
        <is>
          <t>HUB SHIPPING LLC-LED</t>
        </is>
      </c>
      <c r="AB207" t="inlineStr">
        <is>
          <t>Collect</t>
        </is>
      </c>
      <c r="AC207" t="inlineStr">
        <is>
          <t>MERCURY / VOYAGE 1</t>
        </is>
      </c>
      <c r="AE207" t="inlineStr">
        <is>
          <t>LADEN BOOKING</t>
        </is>
      </c>
      <c r="AF207" t="inlineStr">
        <is>
          <t>Maria Jessica Da Si</t>
        </is>
      </c>
      <c r="AG207" t="inlineStr">
        <is>
          <t>DC20</t>
        </is>
      </c>
      <c r="AH207" t="inlineStr">
        <is>
          <t>NO</t>
        </is>
      </c>
      <c r="AI207" t="n">
        <v>20</v>
      </c>
      <c r="AJ207" t="n">
        <v>1</v>
      </c>
      <c r="AK207" t="n">
        <v>0</v>
      </c>
      <c r="AL207" t="inlineStr">
        <is>
          <t>ANON0000000</t>
        </is>
      </c>
      <c r="AP207" t="inlineStr">
        <is>
          <t>Non Haz</t>
        </is>
      </c>
      <c r="AQ207" t="inlineStr">
        <is>
          <t>CY/CY</t>
        </is>
      </c>
      <c r="AT207" t="inlineStr">
        <is>
          <t>REF000000</t>
        </is>
      </c>
      <c r="AU207" t="n">
        <v>28000</v>
      </c>
      <c r="AV207" t="inlineStr">
        <is>
          <t>GENERAL COMMODITY</t>
        </is>
      </c>
      <c r="AX207" t="inlineStr">
        <is>
          <t>RSUAM032600053</t>
        </is>
      </c>
      <c r="AZ207" t="n">
        <v>0</v>
      </c>
      <c r="BA207" t="n">
        <v>14</v>
      </c>
      <c r="BB207" t="n">
        <v>14</v>
      </c>
      <c r="BC207" t="n">
        <v>3200</v>
      </c>
      <c r="BD207" t="inlineStr">
        <is>
          <t>No</t>
        </is>
      </c>
      <c r="BG207" t="inlineStr">
        <is>
          <t>CNSHA</t>
        </is>
      </c>
      <c r="BH207" t="n">
        <v>1</v>
      </c>
      <c r="BI207" t="n">
        <v>0</v>
      </c>
      <c r="BJ207" t="n">
        <v>3200</v>
      </c>
      <c r="BK207" t="inlineStr">
        <is>
          <t>LINE</t>
        </is>
      </c>
      <c r="BL207" t="inlineStr">
        <is>
          <t>FALCON DRY</t>
        </is>
      </c>
      <c r="BM207" t="inlineStr">
        <is>
          <t>FALCON DRY</t>
        </is>
      </c>
    </row>
    <row r="208">
      <c r="A208" t="n">
        <v>207</v>
      </c>
      <c r="B208" t="inlineStr">
        <is>
          <t>WHALE REEFER</t>
        </is>
      </c>
      <c r="C208" t="inlineStr">
        <is>
          <t>REF000000</t>
        </is>
      </c>
      <c r="D208" t="inlineStr">
        <is>
          <t>REF000000</t>
        </is>
      </c>
      <c r="E208" t="n">
        <v>46097</v>
      </c>
      <c r="F208" t="inlineStr">
        <is>
          <t>WHALE REEFER</t>
        </is>
      </c>
      <c r="H208" t="inlineStr">
        <is>
          <t>AdminUAM</t>
        </is>
      </c>
      <c r="J208" t="inlineStr">
        <is>
          <t>10-APR-2026</t>
        </is>
      </c>
      <c r="K208" t="inlineStr">
        <is>
          <t>06-APR-2026</t>
        </is>
      </c>
      <c r="L208" t="inlineStr">
        <is>
          <t>10-APR-2026</t>
        </is>
      </c>
      <c r="M208" t="inlineStr">
        <is>
          <t>REF000000</t>
        </is>
      </c>
      <c r="N208" t="inlineStr">
        <is>
          <t>USNYC</t>
        </is>
      </c>
      <c r="O208" t="inlineStr">
        <is>
          <t>USNYC</t>
        </is>
      </c>
      <c r="P208" t="inlineStr">
        <is>
          <t>RULED</t>
        </is>
      </c>
      <c r="U208" t="inlineStr">
        <is>
          <t>RULED</t>
        </is>
      </c>
      <c r="V208" t="inlineStr">
        <is>
          <t>RULED</t>
        </is>
      </c>
      <c r="W208" t="inlineStr">
        <is>
          <t>UNITED STATES</t>
        </is>
      </c>
      <c r="X208" t="inlineStr">
        <is>
          <t>Latin America</t>
        </is>
      </c>
      <c r="Y208" t="inlineStr">
        <is>
          <t>RUSSIA</t>
        </is>
      </c>
      <c r="Z208" t="inlineStr">
        <is>
          <t>External Review</t>
        </is>
      </c>
      <c r="AA208" t="inlineStr">
        <is>
          <t>HUB SHIPPING LLC-LED</t>
        </is>
      </c>
      <c r="AB208" t="inlineStr">
        <is>
          <t>Collect</t>
        </is>
      </c>
      <c r="AC208" t="inlineStr">
        <is>
          <t>MERCURY / VOYAGE 1</t>
        </is>
      </c>
      <c r="AE208" t="inlineStr">
        <is>
          <t>LADEN BOOKING</t>
        </is>
      </c>
      <c r="AF208" t="inlineStr">
        <is>
          <t>RenniUAM</t>
        </is>
      </c>
      <c r="AG208" t="inlineStr">
        <is>
          <t>DC20</t>
        </is>
      </c>
      <c r="AH208" t="inlineStr">
        <is>
          <t>NO</t>
        </is>
      </c>
      <c r="AI208" t="n">
        <v>20</v>
      </c>
      <c r="AJ208" t="n">
        <v>1</v>
      </c>
      <c r="AK208" t="n">
        <v>0</v>
      </c>
      <c r="AL208" t="inlineStr">
        <is>
          <t>ANON0000000</t>
        </is>
      </c>
      <c r="AP208" t="inlineStr">
        <is>
          <t>Non Haz</t>
        </is>
      </c>
      <c r="AQ208" t="inlineStr">
        <is>
          <t>CY/CY</t>
        </is>
      </c>
      <c r="AT208" t="inlineStr">
        <is>
          <t>REF000000</t>
        </is>
      </c>
      <c r="AU208" t="n">
        <v>26000</v>
      </c>
      <c r="AV208" t="inlineStr">
        <is>
          <t>GENERAL COMMODITY</t>
        </is>
      </c>
      <c r="AX208" t="inlineStr">
        <is>
          <t>MRG421234</t>
        </is>
      </c>
      <c r="AY208" t="inlineStr">
        <is>
          <t>LINE</t>
        </is>
      </c>
      <c r="AZ208" t="n">
        <v>0</v>
      </c>
      <c r="BA208" t="n">
        <v>14</v>
      </c>
      <c r="BB208" t="n">
        <v>14</v>
      </c>
      <c r="BC208" t="n">
        <v>3400</v>
      </c>
      <c r="BD208" t="inlineStr">
        <is>
          <t>Yes</t>
        </is>
      </c>
      <c r="BF208" t="inlineStr">
        <is>
          <t>ARTHA SHIPPING</t>
        </is>
      </c>
      <c r="BG208" t="inlineStr">
        <is>
          <t>RULED</t>
        </is>
      </c>
      <c r="BH208" t="n">
        <v>1</v>
      </c>
      <c r="BI208" t="n">
        <v>0</v>
      </c>
      <c r="BJ208" t="n">
        <v>3400</v>
      </c>
      <c r="BK208" t="inlineStr">
        <is>
          <t>LINE</t>
        </is>
      </c>
      <c r="BL208" t="inlineStr">
        <is>
          <t>WHALE REEFER</t>
        </is>
      </c>
      <c r="BM208" t="inlineStr">
        <is>
          <t>WHALE REEFER</t>
        </is>
      </c>
    </row>
    <row r="209">
      <c r="A209" t="n">
        <v>208</v>
      </c>
      <c r="B209" t="inlineStr">
        <is>
          <t>DEER DRY</t>
        </is>
      </c>
      <c r="C209" t="inlineStr">
        <is>
          <t>REF000000</t>
        </is>
      </c>
      <c r="D209" t="inlineStr">
        <is>
          <t>REF000000</t>
        </is>
      </c>
      <c r="E209" t="n">
        <v>46097</v>
      </c>
      <c r="F209" t="inlineStr">
        <is>
          <t>DEER DRY</t>
        </is>
      </c>
      <c r="G209" t="inlineStr">
        <is>
          <t>EVI160202</t>
        </is>
      </c>
      <c r="H209" t="inlineStr">
        <is>
          <t>AdminUAM</t>
        </is>
      </c>
      <c r="J209" t="inlineStr">
        <is>
          <t>10-APR-2026</t>
        </is>
      </c>
      <c r="K209" t="inlineStr">
        <is>
          <t>05-APR-2026</t>
        </is>
      </c>
      <c r="M209" t="inlineStr">
        <is>
          <t>REF000000</t>
        </is>
      </c>
      <c r="N209" t="inlineStr">
        <is>
          <t>USNFK</t>
        </is>
      </c>
      <c r="O209" t="inlineStr">
        <is>
          <t>USNFK</t>
        </is>
      </c>
      <c r="P209" t="inlineStr">
        <is>
          <t>RULED</t>
        </is>
      </c>
      <c r="U209" t="inlineStr">
        <is>
          <t>RULED</t>
        </is>
      </c>
      <c r="V209" t="inlineStr">
        <is>
          <t>RULED</t>
        </is>
      </c>
      <c r="W209" t="inlineStr">
        <is>
          <t>UNITED STATES</t>
        </is>
      </c>
      <c r="X209" t="inlineStr">
        <is>
          <t>Latin America</t>
        </is>
      </c>
      <c r="Y209" t="inlineStr">
        <is>
          <t>RUSSIA</t>
        </is>
      </c>
      <c r="Z209" t="inlineStr">
        <is>
          <t>External Review</t>
        </is>
      </c>
      <c r="AA209" t="inlineStr">
        <is>
          <t>HUB SHIPPING LLC-LED</t>
        </is>
      </c>
      <c r="AB209" t="inlineStr">
        <is>
          <t>Collect</t>
        </is>
      </c>
      <c r="AC209" t="inlineStr">
        <is>
          <t>MERCURY / VOYAGE 1</t>
        </is>
      </c>
      <c r="AE209" t="inlineStr">
        <is>
          <t>LADEN BOOKING</t>
        </is>
      </c>
      <c r="AF209" t="inlineStr">
        <is>
          <t>RenniUAM</t>
        </is>
      </c>
      <c r="AG209" t="inlineStr">
        <is>
          <t>DC20</t>
        </is>
      </c>
      <c r="AH209" t="inlineStr">
        <is>
          <t>NO</t>
        </is>
      </c>
      <c r="AI209" t="n">
        <v>20</v>
      </c>
      <c r="AJ209" t="n">
        <v>1</v>
      </c>
      <c r="AK209" t="n">
        <v>0</v>
      </c>
      <c r="AL209" t="inlineStr">
        <is>
          <t>ANON0000000</t>
        </is>
      </c>
      <c r="AP209" t="inlineStr">
        <is>
          <t>Non Haz</t>
        </is>
      </c>
      <c r="AQ209" t="inlineStr">
        <is>
          <t>CY/CY</t>
        </is>
      </c>
      <c r="AT209" t="inlineStr">
        <is>
          <t>REF000000</t>
        </is>
      </c>
      <c r="AU209" t="n">
        <v>26000</v>
      </c>
      <c r="AV209" t="inlineStr">
        <is>
          <t>GENERAL COMMODITY</t>
        </is>
      </c>
      <c r="AX209" t="inlineStr">
        <is>
          <t>MRG421236</t>
        </is>
      </c>
      <c r="AY209" t="inlineStr">
        <is>
          <t>LINE</t>
        </is>
      </c>
      <c r="AZ209" t="n">
        <v>0</v>
      </c>
      <c r="BA209" t="n">
        <v>14</v>
      </c>
      <c r="BB209" t="n">
        <v>14</v>
      </c>
      <c r="BC209" t="n">
        <v>3400</v>
      </c>
      <c r="BD209" t="inlineStr">
        <is>
          <t>Yes</t>
        </is>
      </c>
      <c r="BG209" t="inlineStr">
        <is>
          <t>RULED</t>
        </is>
      </c>
      <c r="BH209" t="n">
        <v>1</v>
      </c>
      <c r="BI209" t="n">
        <v>0</v>
      </c>
      <c r="BJ209" t="n">
        <v>3400</v>
      </c>
      <c r="BK209" t="inlineStr">
        <is>
          <t>LINE</t>
        </is>
      </c>
      <c r="BL209" t="inlineStr">
        <is>
          <t>DEER DRY</t>
        </is>
      </c>
      <c r="BM209" t="inlineStr">
        <is>
          <t>DEER DRY</t>
        </is>
      </c>
    </row>
    <row r="210">
      <c r="A210" t="n">
        <v>209</v>
      </c>
      <c r="B210" t="inlineStr">
        <is>
          <t>FOX DRY</t>
        </is>
      </c>
      <c r="C210" t="inlineStr">
        <is>
          <t>REF000000</t>
        </is>
      </c>
      <c r="D210" t="inlineStr">
        <is>
          <t>REF000000</t>
        </is>
      </c>
      <c r="E210" t="n">
        <v>46097</v>
      </c>
      <c r="F210" t="inlineStr">
        <is>
          <t>FOX DRY</t>
        </is>
      </c>
      <c r="H210" t="inlineStr">
        <is>
          <t>AdminUAM</t>
        </is>
      </c>
      <c r="J210" t="inlineStr">
        <is>
          <t>10-APR-2026</t>
        </is>
      </c>
      <c r="K210" t="inlineStr">
        <is>
          <t>05-APR-2026</t>
        </is>
      </c>
      <c r="M210" t="inlineStr">
        <is>
          <t>REF000000</t>
        </is>
      </c>
      <c r="N210" t="inlineStr">
        <is>
          <t>USNFK</t>
        </is>
      </c>
      <c r="O210" t="inlineStr">
        <is>
          <t>USNFK</t>
        </is>
      </c>
      <c r="P210" t="inlineStr">
        <is>
          <t>RULED</t>
        </is>
      </c>
      <c r="U210" t="inlineStr">
        <is>
          <t>RULED</t>
        </is>
      </c>
      <c r="V210" t="inlineStr">
        <is>
          <t>RULED</t>
        </is>
      </c>
      <c r="W210" t="inlineStr">
        <is>
          <t>UNITED STATES</t>
        </is>
      </c>
      <c r="X210" t="inlineStr">
        <is>
          <t>Latin America</t>
        </is>
      </c>
      <c r="Y210" t="inlineStr">
        <is>
          <t>RUSSIA</t>
        </is>
      </c>
      <c r="Z210" t="inlineStr">
        <is>
          <t>External Review</t>
        </is>
      </c>
      <c r="AA210" t="inlineStr">
        <is>
          <t>HUB SHIPPING LLC-LED</t>
        </is>
      </c>
      <c r="AB210" t="inlineStr">
        <is>
          <t>Collect</t>
        </is>
      </c>
      <c r="AC210" t="inlineStr">
        <is>
          <t>MERCURY / VOYAGE 1</t>
        </is>
      </c>
      <c r="AE210" t="inlineStr">
        <is>
          <t>LADEN BOOKING</t>
        </is>
      </c>
      <c r="AF210" t="inlineStr">
        <is>
          <t>RenniUAM</t>
        </is>
      </c>
      <c r="AG210" t="inlineStr">
        <is>
          <t>FR40</t>
        </is>
      </c>
      <c r="AH210" t="inlineStr">
        <is>
          <t>NO</t>
        </is>
      </c>
      <c r="AI210" t="n">
        <v>40</v>
      </c>
      <c r="AJ210" t="n">
        <v>0</v>
      </c>
      <c r="AK210" t="n">
        <v>4</v>
      </c>
      <c r="AL210" t="inlineStr">
        <is>
          <t>ANON0000000,
ANON0000000,
ANON0000000,
ANON0000000</t>
        </is>
      </c>
      <c r="AP210" t="inlineStr">
        <is>
          <t>Non Haz</t>
        </is>
      </c>
      <c r="AQ210" t="inlineStr">
        <is>
          <t>CY/CY</t>
        </is>
      </c>
      <c r="AT210" t="inlineStr">
        <is>
          <t>REF000000</t>
        </is>
      </c>
      <c r="AU210" t="n">
        <v>150000</v>
      </c>
      <c r="AV210" t="inlineStr">
        <is>
          <t>GENERAL COMMODITY</t>
        </is>
      </c>
      <c r="AX210" t="inlineStr">
        <is>
          <t>RSUAM032600004</t>
        </is>
      </c>
      <c r="AZ210" t="n">
        <v>0</v>
      </c>
      <c r="BA210" t="n">
        <v>21</v>
      </c>
      <c r="BB210" t="n">
        <v>21</v>
      </c>
      <c r="BC210" t="n">
        <v>15500</v>
      </c>
      <c r="BD210" t="inlineStr">
        <is>
          <t>Yes</t>
        </is>
      </c>
      <c r="BG210" t="inlineStr">
        <is>
          <t>RULED</t>
        </is>
      </c>
      <c r="BH210" t="n">
        <v>0</v>
      </c>
      <c r="BI210" t="n">
        <v>4</v>
      </c>
      <c r="BJ210" t="n">
        <v>62000</v>
      </c>
      <c r="BK210" t="inlineStr">
        <is>
          <t>LINE</t>
        </is>
      </c>
      <c r="BL210" t="inlineStr">
        <is>
          <t>FOX DRY</t>
        </is>
      </c>
      <c r="BM210" t="inlineStr">
        <is>
          <t>FOX DRY</t>
        </is>
      </c>
    </row>
    <row r="211">
      <c r="A211" t="n">
        <v>210</v>
      </c>
      <c r="B211" t="inlineStr">
        <is>
          <t>BISON DRY</t>
        </is>
      </c>
      <c r="C211" t="inlineStr">
        <is>
          <t>REF000000</t>
        </is>
      </c>
      <c r="D211" t="inlineStr">
        <is>
          <t>REF000000</t>
        </is>
      </c>
      <c r="E211" t="n">
        <v>46097</v>
      </c>
      <c r="F211" t="inlineStr">
        <is>
          <t>BISON DRY</t>
        </is>
      </c>
      <c r="H211" t="inlineStr">
        <is>
          <t>AdminUAM</t>
        </is>
      </c>
      <c r="J211" t="inlineStr">
        <is>
          <t>10-APR-2026</t>
        </is>
      </c>
      <c r="K211" t="inlineStr">
        <is>
          <t>05-APR-2026</t>
        </is>
      </c>
      <c r="M211" t="inlineStr">
        <is>
          <t>REF000000</t>
        </is>
      </c>
      <c r="N211" t="inlineStr">
        <is>
          <t>USNFK</t>
        </is>
      </c>
      <c r="O211" t="inlineStr">
        <is>
          <t>USNFK</t>
        </is>
      </c>
      <c r="P211" t="inlineStr">
        <is>
          <t>RULED</t>
        </is>
      </c>
      <c r="U211" t="inlineStr">
        <is>
          <t>RULED</t>
        </is>
      </c>
      <c r="V211" t="inlineStr">
        <is>
          <t>RULED</t>
        </is>
      </c>
      <c r="W211" t="inlineStr">
        <is>
          <t>UNITED STATES</t>
        </is>
      </c>
      <c r="X211" t="inlineStr">
        <is>
          <t>Latin America</t>
        </is>
      </c>
      <c r="Y211" t="inlineStr">
        <is>
          <t>RUSSIA</t>
        </is>
      </c>
      <c r="Z211" t="inlineStr">
        <is>
          <t>External Review</t>
        </is>
      </c>
      <c r="AA211" t="inlineStr">
        <is>
          <t>HUB SHIPPING LLC-LED</t>
        </is>
      </c>
      <c r="AB211" t="inlineStr">
        <is>
          <t>Collect</t>
        </is>
      </c>
      <c r="AC211" t="inlineStr">
        <is>
          <t>MERCURY / VOYAGE 1</t>
        </is>
      </c>
      <c r="AE211" t="inlineStr">
        <is>
          <t>LADEN BOOKING</t>
        </is>
      </c>
      <c r="AF211" t="inlineStr">
        <is>
          <t>RenniUAM</t>
        </is>
      </c>
      <c r="AG211" t="inlineStr">
        <is>
          <t>FR40</t>
        </is>
      </c>
      <c r="AH211" t="inlineStr">
        <is>
          <t>NO</t>
        </is>
      </c>
      <c r="AI211" t="n">
        <v>40</v>
      </c>
      <c r="AJ211" t="n">
        <v>0</v>
      </c>
      <c r="AK211" t="n">
        <v>5</v>
      </c>
      <c r="AL211" t="inlineStr">
        <is>
          <t>ANON0000000,
ANON0000000,
ANON0000000,
ANON0000000,
ANON0000000</t>
        </is>
      </c>
      <c r="AP211" t="inlineStr">
        <is>
          <t>Non Haz</t>
        </is>
      </c>
      <c r="AQ211" t="inlineStr">
        <is>
          <t>CY/CY</t>
        </is>
      </c>
      <c r="AT211" t="inlineStr">
        <is>
          <t>REF000000</t>
        </is>
      </c>
      <c r="AU211" t="n">
        <v>150000</v>
      </c>
      <c r="AV211" t="inlineStr">
        <is>
          <t>GENERAL COMMODITY</t>
        </is>
      </c>
      <c r="AX211" t="inlineStr">
        <is>
          <t>RSUAM032600004</t>
        </is>
      </c>
      <c r="AZ211" t="n">
        <v>0</v>
      </c>
      <c r="BA211" t="n">
        <v>21</v>
      </c>
      <c r="BB211" t="n">
        <v>21</v>
      </c>
      <c r="BC211" t="n">
        <v>15500</v>
      </c>
      <c r="BD211" t="inlineStr">
        <is>
          <t>Yes</t>
        </is>
      </c>
      <c r="BG211" t="inlineStr">
        <is>
          <t>RULED</t>
        </is>
      </c>
      <c r="BH211" t="n">
        <v>0</v>
      </c>
      <c r="BI211" t="n">
        <v>5</v>
      </c>
      <c r="BJ211" t="n">
        <v>77500</v>
      </c>
      <c r="BK211" t="inlineStr">
        <is>
          <t>LINE</t>
        </is>
      </c>
      <c r="BL211" t="inlineStr">
        <is>
          <t>BISON DRY</t>
        </is>
      </c>
      <c r="BM211" t="inlineStr">
        <is>
          <t>BISON DRY</t>
        </is>
      </c>
    </row>
    <row r="212">
      <c r="A212" t="n">
        <v>211</v>
      </c>
      <c r="B212" t="inlineStr">
        <is>
          <t>EAGLE DRY</t>
        </is>
      </c>
      <c r="C212" t="inlineStr">
        <is>
          <t>REF000000</t>
        </is>
      </c>
      <c r="D212" t="inlineStr">
        <is>
          <t>REF000000</t>
        </is>
      </c>
      <c r="E212" t="n">
        <v>46097</v>
      </c>
      <c r="F212" t="inlineStr">
        <is>
          <t>EAGLE DRY</t>
        </is>
      </c>
      <c r="H212" t="inlineStr">
        <is>
          <t>AdminUAM</t>
        </is>
      </c>
      <c r="J212" t="inlineStr">
        <is>
          <t>10-APR-2026</t>
        </is>
      </c>
      <c r="K212" t="inlineStr">
        <is>
          <t>05-APR-2026</t>
        </is>
      </c>
      <c r="M212" t="inlineStr">
        <is>
          <t>REF000000</t>
        </is>
      </c>
      <c r="N212" t="inlineStr">
        <is>
          <t>USNFK</t>
        </is>
      </c>
      <c r="O212" t="inlineStr">
        <is>
          <t>USNFK</t>
        </is>
      </c>
      <c r="P212" t="inlineStr">
        <is>
          <t>RULED</t>
        </is>
      </c>
      <c r="U212" t="inlineStr">
        <is>
          <t>RULED</t>
        </is>
      </c>
      <c r="V212" t="inlineStr">
        <is>
          <t>RULED</t>
        </is>
      </c>
      <c r="W212" t="inlineStr">
        <is>
          <t>UNITED STATES</t>
        </is>
      </c>
      <c r="X212" t="inlineStr">
        <is>
          <t>Latin America</t>
        </is>
      </c>
      <c r="Y212" t="inlineStr">
        <is>
          <t>RUSSIA</t>
        </is>
      </c>
      <c r="Z212" t="inlineStr">
        <is>
          <t>External Review</t>
        </is>
      </c>
      <c r="AA212" t="inlineStr">
        <is>
          <t>HUB SHIPPING LLC-LED</t>
        </is>
      </c>
      <c r="AB212" t="inlineStr">
        <is>
          <t>Collect</t>
        </is>
      </c>
      <c r="AC212" t="inlineStr">
        <is>
          <t>MERCURY / VOYAGE 1</t>
        </is>
      </c>
      <c r="AE212" t="inlineStr">
        <is>
          <t>LADEN BOOKING</t>
        </is>
      </c>
      <c r="AF212" t="inlineStr">
        <is>
          <t>RenniUAM</t>
        </is>
      </c>
      <c r="AG212" t="inlineStr">
        <is>
          <t>FR40</t>
        </is>
      </c>
      <c r="AH212" t="inlineStr">
        <is>
          <t>NO</t>
        </is>
      </c>
      <c r="AI212" t="n">
        <v>40</v>
      </c>
      <c r="AJ212" t="n">
        <v>0</v>
      </c>
      <c r="AK212" t="n">
        <v>5</v>
      </c>
      <c r="AL212" t="inlineStr">
        <is>
          <t>ANON0000000,
ANON0000000,
ANON0000000,
ANON0000000,
ANON0000000</t>
        </is>
      </c>
      <c r="AP212" t="inlineStr">
        <is>
          <t>Non Haz</t>
        </is>
      </c>
      <c r="AQ212" t="inlineStr">
        <is>
          <t>CY/CY</t>
        </is>
      </c>
      <c r="AT212" t="inlineStr">
        <is>
          <t>REF000000</t>
        </is>
      </c>
      <c r="AU212" t="n">
        <v>150000</v>
      </c>
      <c r="AV212" t="inlineStr">
        <is>
          <t>GENERAL COMMODITY</t>
        </is>
      </c>
      <c r="AX212" t="inlineStr">
        <is>
          <t>RSUAM032600004</t>
        </is>
      </c>
      <c r="AZ212" t="n">
        <v>0</v>
      </c>
      <c r="BA212" t="n">
        <v>21</v>
      </c>
      <c r="BB212" t="n">
        <v>21</v>
      </c>
      <c r="BC212" t="n">
        <v>15500</v>
      </c>
      <c r="BD212" t="inlineStr">
        <is>
          <t>Yes</t>
        </is>
      </c>
      <c r="BG212" t="inlineStr">
        <is>
          <t>RULED</t>
        </is>
      </c>
      <c r="BH212" t="n">
        <v>0</v>
      </c>
      <c r="BI212" t="n">
        <v>5</v>
      </c>
      <c r="BJ212" t="n">
        <v>77500</v>
      </c>
      <c r="BK212" t="inlineStr">
        <is>
          <t>LINE</t>
        </is>
      </c>
      <c r="BL212" t="inlineStr">
        <is>
          <t>EAGLE DRY</t>
        </is>
      </c>
      <c r="BM212" t="inlineStr">
        <is>
          <t>EAGLE DRY</t>
        </is>
      </c>
    </row>
    <row r="213">
      <c r="A213" t="n">
        <v>212</v>
      </c>
      <c r="B213" t="inlineStr">
        <is>
          <t>COYOTE DRY</t>
        </is>
      </c>
      <c r="C213" t="inlineStr">
        <is>
          <t>REF000000</t>
        </is>
      </c>
      <c r="D213" t="inlineStr">
        <is>
          <t>REF000000</t>
        </is>
      </c>
      <c r="E213" t="n">
        <v>46097</v>
      </c>
      <c r="F213" t="inlineStr">
        <is>
          <t>COYOTE DRY</t>
        </is>
      </c>
      <c r="G213" t="inlineStr">
        <is>
          <t>Food Grade</t>
        </is>
      </c>
      <c r="H213" t="inlineStr">
        <is>
          <t>AdminUAM</t>
        </is>
      </c>
      <c r="J213" t="inlineStr">
        <is>
          <t>10-APR-2026</t>
        </is>
      </c>
      <c r="K213" t="inlineStr">
        <is>
          <t>05-APR-2026</t>
        </is>
      </c>
      <c r="M213" t="inlineStr">
        <is>
          <t>REF000000</t>
        </is>
      </c>
      <c r="N213" t="inlineStr">
        <is>
          <t>USNFK</t>
        </is>
      </c>
      <c r="O213" t="inlineStr">
        <is>
          <t>USNFK</t>
        </is>
      </c>
      <c r="P213" t="inlineStr">
        <is>
          <t>RULED</t>
        </is>
      </c>
      <c r="U213" t="inlineStr">
        <is>
          <t>RULED</t>
        </is>
      </c>
      <c r="V213" t="inlineStr">
        <is>
          <t>RULED</t>
        </is>
      </c>
      <c r="W213" t="inlineStr">
        <is>
          <t>UNITED STATES</t>
        </is>
      </c>
      <c r="X213" t="inlineStr">
        <is>
          <t>Latin America</t>
        </is>
      </c>
      <c r="Y213" t="inlineStr">
        <is>
          <t>RUSSIA</t>
        </is>
      </c>
      <c r="Z213" t="inlineStr">
        <is>
          <t>External Review</t>
        </is>
      </c>
      <c r="AA213" t="inlineStr">
        <is>
          <t>HUB SHIPPING LLC-LED</t>
        </is>
      </c>
      <c r="AB213" t="inlineStr">
        <is>
          <t>Collect</t>
        </is>
      </c>
      <c r="AC213" t="inlineStr">
        <is>
          <t>MERCURY / VOYAGE 1</t>
        </is>
      </c>
      <c r="AE213" t="inlineStr">
        <is>
          <t>LADEN BOOKING</t>
        </is>
      </c>
      <c r="AF213" t="inlineStr">
        <is>
          <t>RenniUAM</t>
        </is>
      </c>
      <c r="AG213" t="inlineStr">
        <is>
          <t>DC20</t>
        </is>
      </c>
      <c r="AH213" t="inlineStr">
        <is>
          <t>NO</t>
        </is>
      </c>
      <c r="AI213" t="n">
        <v>20</v>
      </c>
      <c r="AJ213" t="n">
        <v>1</v>
      </c>
      <c r="AK213" t="n">
        <v>0</v>
      </c>
      <c r="AL213" t="inlineStr">
        <is>
          <t>ANON0000000</t>
        </is>
      </c>
      <c r="AP213" t="inlineStr">
        <is>
          <t>Non Haz</t>
        </is>
      </c>
      <c r="AQ213" t="inlineStr">
        <is>
          <t>CY/CY</t>
        </is>
      </c>
      <c r="AT213" t="inlineStr">
        <is>
          <t>REF000000</t>
        </is>
      </c>
      <c r="AU213" t="n">
        <v>5500</v>
      </c>
      <c r="AV213" t="inlineStr">
        <is>
          <t>GENERAL COMMODITY</t>
        </is>
      </c>
      <c r="AX213" t="inlineStr">
        <is>
          <t>RSUAM032600057</t>
        </is>
      </c>
      <c r="AZ213" t="n">
        <v>0</v>
      </c>
      <c r="BA213" t="n">
        <v>10</v>
      </c>
      <c r="BB213" t="n">
        <v>14</v>
      </c>
      <c r="BC213" t="n">
        <v>3100</v>
      </c>
      <c r="BD213" t="inlineStr">
        <is>
          <t>Yes</t>
        </is>
      </c>
      <c r="BG213" t="inlineStr">
        <is>
          <t>RULED</t>
        </is>
      </c>
      <c r="BH213" t="n">
        <v>1</v>
      </c>
      <c r="BI213" t="n">
        <v>0</v>
      </c>
      <c r="BJ213" t="n">
        <v>3100</v>
      </c>
      <c r="BK213" t="inlineStr">
        <is>
          <t>LINE</t>
        </is>
      </c>
      <c r="BL213" t="inlineStr">
        <is>
          <t>COYOTE DRY</t>
        </is>
      </c>
      <c r="BM213" t="inlineStr">
        <is>
          <t>COYOTE DRY</t>
        </is>
      </c>
    </row>
    <row r="214">
      <c r="A214" t="n">
        <v>213</v>
      </c>
      <c r="B214" t="inlineStr">
        <is>
          <t>FALCON DRY</t>
        </is>
      </c>
      <c r="C214" t="inlineStr">
        <is>
          <t>REF000000</t>
        </is>
      </c>
      <c r="D214" t="inlineStr">
        <is>
          <t>REF000000</t>
        </is>
      </c>
      <c r="E214" t="n">
        <v>46097</v>
      </c>
      <c r="F214" t="inlineStr">
        <is>
          <t>FALCON DRY</t>
        </is>
      </c>
      <c r="G214" t="inlineStr">
        <is>
          <t>Food Grade</t>
        </is>
      </c>
      <c r="H214" t="inlineStr">
        <is>
          <t>AdminUAM</t>
        </is>
      </c>
      <c r="J214" t="inlineStr">
        <is>
          <t>10-APR-2026</t>
        </is>
      </c>
      <c r="K214" t="inlineStr">
        <is>
          <t>05-APR-2026</t>
        </is>
      </c>
      <c r="M214" t="inlineStr">
        <is>
          <t>REF000000</t>
        </is>
      </c>
      <c r="N214" t="inlineStr">
        <is>
          <t>USNFK</t>
        </is>
      </c>
      <c r="O214" t="inlineStr">
        <is>
          <t>USNFK</t>
        </is>
      </c>
      <c r="P214" t="inlineStr">
        <is>
          <t>RULED</t>
        </is>
      </c>
      <c r="U214" t="inlineStr">
        <is>
          <t>RULED</t>
        </is>
      </c>
      <c r="V214" t="inlineStr">
        <is>
          <t>RULED</t>
        </is>
      </c>
      <c r="W214" t="inlineStr">
        <is>
          <t>UNITED STATES</t>
        </is>
      </c>
      <c r="X214" t="inlineStr">
        <is>
          <t>Latin America</t>
        </is>
      </c>
      <c r="Y214" t="inlineStr">
        <is>
          <t>RUSSIA</t>
        </is>
      </c>
      <c r="Z214" t="inlineStr">
        <is>
          <t>External Review</t>
        </is>
      </c>
      <c r="AA214" t="inlineStr">
        <is>
          <t>HUB SHIPPING LLC-LED</t>
        </is>
      </c>
      <c r="AB214" t="inlineStr">
        <is>
          <t>Collect</t>
        </is>
      </c>
      <c r="AC214" t="inlineStr">
        <is>
          <t>MERCURY / VOYAGE 1</t>
        </is>
      </c>
      <c r="AE214" t="inlineStr">
        <is>
          <t>LADEN BOOKING</t>
        </is>
      </c>
      <c r="AF214" t="inlineStr">
        <is>
          <t>RenniUAM</t>
        </is>
      </c>
      <c r="AG214" t="inlineStr">
        <is>
          <t>HC40</t>
        </is>
      </c>
      <c r="AH214" t="inlineStr">
        <is>
          <t>NO</t>
        </is>
      </c>
      <c r="AI214" t="n">
        <v>40</v>
      </c>
      <c r="AJ214" t="n">
        <v>0</v>
      </c>
      <c r="AK214" t="n">
        <v>1</v>
      </c>
      <c r="AL214" t="inlineStr">
        <is>
          <t>ANON0000000</t>
        </is>
      </c>
      <c r="AP214" t="inlineStr">
        <is>
          <t>Non Haz</t>
        </is>
      </c>
      <c r="AQ214" t="inlineStr">
        <is>
          <t>CY/CY</t>
        </is>
      </c>
      <c r="AT214" t="inlineStr">
        <is>
          <t>REF000000</t>
        </is>
      </c>
      <c r="AU214" t="n">
        <v>50000</v>
      </c>
      <c r="AV214" t="inlineStr">
        <is>
          <t>GENERAL COMMODITY</t>
        </is>
      </c>
      <c r="AX214" t="inlineStr">
        <is>
          <t>RSUAM032600057</t>
        </is>
      </c>
      <c r="AZ214" t="n">
        <v>0</v>
      </c>
      <c r="BA214" t="n">
        <v>10</v>
      </c>
      <c r="BB214" t="n">
        <v>14</v>
      </c>
      <c r="BC214" t="n">
        <v>4450</v>
      </c>
      <c r="BD214" t="inlineStr">
        <is>
          <t>Yes</t>
        </is>
      </c>
      <c r="BG214" t="inlineStr">
        <is>
          <t>RULED</t>
        </is>
      </c>
      <c r="BH214" t="n">
        <v>0</v>
      </c>
      <c r="BI214" t="n">
        <v>1</v>
      </c>
      <c r="BJ214" t="n">
        <v>4450</v>
      </c>
      <c r="BK214" t="inlineStr">
        <is>
          <t>LINE</t>
        </is>
      </c>
      <c r="BL214" t="inlineStr">
        <is>
          <t>FALCON DRY</t>
        </is>
      </c>
      <c r="BM214" t="inlineStr">
        <is>
          <t>FALCON DRY</t>
        </is>
      </c>
    </row>
    <row r="215">
      <c r="A215" t="n">
        <v>214</v>
      </c>
      <c r="B215" t="inlineStr">
        <is>
          <t>WHALE REEFER</t>
        </is>
      </c>
      <c r="C215" t="inlineStr">
        <is>
          <t>REF000000</t>
        </is>
      </c>
      <c r="D215" t="inlineStr">
        <is>
          <t>REF000000</t>
        </is>
      </c>
      <c r="E215" t="n">
        <v>46097</v>
      </c>
      <c r="F215" t="inlineStr">
        <is>
          <t>WHALE REEFER</t>
        </is>
      </c>
      <c r="H215" t="inlineStr">
        <is>
          <t>AdminUAM</t>
        </is>
      </c>
      <c r="J215" t="inlineStr">
        <is>
          <t>10-APR-2026</t>
        </is>
      </c>
      <c r="K215" t="inlineStr">
        <is>
          <t>06-APR-2026</t>
        </is>
      </c>
      <c r="L215" t="inlineStr">
        <is>
          <t>10-APR-2026</t>
        </is>
      </c>
      <c r="M215" t="inlineStr">
        <is>
          <t>REF000000</t>
        </is>
      </c>
      <c r="N215" t="inlineStr">
        <is>
          <t>USNYC</t>
        </is>
      </c>
      <c r="O215" t="inlineStr">
        <is>
          <t>USNYC</t>
        </is>
      </c>
      <c r="P215" t="inlineStr">
        <is>
          <t>RULED</t>
        </is>
      </c>
      <c r="U215" t="inlineStr">
        <is>
          <t>RULED</t>
        </is>
      </c>
      <c r="V215" t="inlineStr">
        <is>
          <t>RULED</t>
        </is>
      </c>
      <c r="W215" t="inlineStr">
        <is>
          <t>UNITED STATES</t>
        </is>
      </c>
      <c r="X215" t="inlineStr">
        <is>
          <t>Latin America</t>
        </is>
      </c>
      <c r="Y215" t="inlineStr">
        <is>
          <t>RUSSIA</t>
        </is>
      </c>
      <c r="Z215" t="inlineStr">
        <is>
          <t>External Review</t>
        </is>
      </c>
      <c r="AA215" t="inlineStr">
        <is>
          <t>HUB SHIPPING LLC-LED</t>
        </is>
      </c>
      <c r="AB215" t="inlineStr">
        <is>
          <t>Collect</t>
        </is>
      </c>
      <c r="AC215" t="inlineStr">
        <is>
          <t>MERCURY / VOYAGE 1</t>
        </is>
      </c>
      <c r="AE215" t="inlineStr">
        <is>
          <t>LADEN BOOKING</t>
        </is>
      </c>
      <c r="AF215" t="inlineStr">
        <is>
          <t>RenniUAM</t>
        </is>
      </c>
      <c r="AG215" t="inlineStr">
        <is>
          <t>HC40</t>
        </is>
      </c>
      <c r="AH215" t="inlineStr">
        <is>
          <t>NO</t>
        </is>
      </c>
      <c r="AI215" t="n">
        <v>40</v>
      </c>
      <c r="AJ215" t="n">
        <v>0</v>
      </c>
      <c r="AK215" t="n">
        <v>6</v>
      </c>
      <c r="AL215" t="inlineStr">
        <is>
          <t>ANON0000000,
ANON0000000,
ANON0000000,
ANON0000000,
ANON0000000,
ANON0000000</t>
        </is>
      </c>
      <c r="AP215" t="inlineStr">
        <is>
          <t>Non Haz</t>
        </is>
      </c>
      <c r="AQ215" t="inlineStr">
        <is>
          <t>CY/CY</t>
        </is>
      </c>
      <c r="AT215" t="inlineStr">
        <is>
          <t>REF000000</t>
        </is>
      </c>
      <c r="AU215" t="n">
        <v>24000</v>
      </c>
      <c r="AV215" t="inlineStr">
        <is>
          <t>GENERAL COMMODITY</t>
        </is>
      </c>
      <c r="AX215" t="inlineStr">
        <is>
          <t>MRG421242</t>
        </is>
      </c>
      <c r="AY215" t="inlineStr">
        <is>
          <t>LINE</t>
        </is>
      </c>
      <c r="AZ215" t="n">
        <v>0</v>
      </c>
      <c r="BA215" t="n">
        <v>14</v>
      </c>
      <c r="BB215" t="n">
        <v>14</v>
      </c>
      <c r="BC215" t="n">
        <v>4800</v>
      </c>
      <c r="BD215" t="inlineStr">
        <is>
          <t>Yes</t>
        </is>
      </c>
      <c r="BF215" t="inlineStr">
        <is>
          <t>ARTHA SHIPPING</t>
        </is>
      </c>
      <c r="BG215" t="inlineStr">
        <is>
          <t>RULED</t>
        </is>
      </c>
      <c r="BH215" t="n">
        <v>0</v>
      </c>
      <c r="BI215" t="n">
        <v>6</v>
      </c>
      <c r="BJ215" t="n">
        <v>28800</v>
      </c>
      <c r="BK215" t="inlineStr">
        <is>
          <t>LINE</t>
        </is>
      </c>
      <c r="BL215" t="inlineStr">
        <is>
          <t>WHALE REEFER</t>
        </is>
      </c>
      <c r="BM215" t="inlineStr">
        <is>
          <t>WHALE REEFER</t>
        </is>
      </c>
    </row>
    <row r="216">
      <c r="A216" t="n">
        <v>215</v>
      </c>
      <c r="B216" t="inlineStr">
        <is>
          <t>DEER DRY</t>
        </is>
      </c>
      <c r="C216" t="inlineStr">
        <is>
          <t>REF000000</t>
        </is>
      </c>
      <c r="D216" t="inlineStr">
        <is>
          <t>REF000000</t>
        </is>
      </c>
      <c r="E216" t="n">
        <v>46097</v>
      </c>
      <c r="F216" t="inlineStr">
        <is>
          <t>DEER DRY</t>
        </is>
      </c>
      <c r="H216" t="inlineStr">
        <is>
          <t>AdminUAM</t>
        </is>
      </c>
      <c r="J216" t="inlineStr">
        <is>
          <t>10-APR-2026</t>
        </is>
      </c>
      <c r="K216" t="inlineStr">
        <is>
          <t>05-APR-2026</t>
        </is>
      </c>
      <c r="M216" t="inlineStr">
        <is>
          <t>REF000000</t>
        </is>
      </c>
      <c r="N216" t="inlineStr">
        <is>
          <t>USNFK</t>
        </is>
      </c>
      <c r="O216" t="inlineStr">
        <is>
          <t>USNFK</t>
        </is>
      </c>
      <c r="P216" t="inlineStr">
        <is>
          <t>RULED</t>
        </is>
      </c>
      <c r="U216" t="inlineStr">
        <is>
          <t>RULED</t>
        </is>
      </c>
      <c r="V216" t="inlineStr">
        <is>
          <t>RULED</t>
        </is>
      </c>
      <c r="W216" t="inlineStr">
        <is>
          <t>UNITED STATES</t>
        </is>
      </c>
      <c r="X216" t="inlineStr">
        <is>
          <t>Latin America</t>
        </is>
      </c>
      <c r="Y216" t="inlineStr">
        <is>
          <t>RUSSIA</t>
        </is>
      </c>
      <c r="Z216" t="inlineStr">
        <is>
          <t>External Review</t>
        </is>
      </c>
      <c r="AA216" t="inlineStr">
        <is>
          <t>HUB SHIPPING LLC-LED</t>
        </is>
      </c>
      <c r="AB216" t="inlineStr">
        <is>
          <t>Collect</t>
        </is>
      </c>
      <c r="AC216" t="inlineStr">
        <is>
          <t>MERCURY / VOYAGE 1</t>
        </is>
      </c>
      <c r="AE216" t="inlineStr">
        <is>
          <t>LADEN BOOKING</t>
        </is>
      </c>
      <c r="AF216" t="inlineStr">
        <is>
          <t>RenniUAM</t>
        </is>
      </c>
      <c r="AG216" t="inlineStr">
        <is>
          <t>HC40</t>
        </is>
      </c>
      <c r="AH216" t="inlineStr">
        <is>
          <t>NO</t>
        </is>
      </c>
      <c r="AI216" t="n">
        <v>40</v>
      </c>
      <c r="AJ216" t="n">
        <v>0</v>
      </c>
      <c r="AK216" t="n">
        <v>1</v>
      </c>
      <c r="AL216" t="inlineStr">
        <is>
          <t>ANON0000000</t>
        </is>
      </c>
      <c r="AP216" t="inlineStr">
        <is>
          <t>Non Haz</t>
        </is>
      </c>
      <c r="AQ216" t="inlineStr">
        <is>
          <t>CY/CY</t>
        </is>
      </c>
      <c r="AT216" t="inlineStr">
        <is>
          <t>REF000000</t>
        </is>
      </c>
      <c r="AU216" t="n">
        <v>24000</v>
      </c>
      <c r="AV216" t="inlineStr">
        <is>
          <t>GENERAL COMMODITY</t>
        </is>
      </c>
      <c r="AX216" t="inlineStr">
        <is>
          <t>MRG421244</t>
        </is>
      </c>
      <c r="AY216" t="inlineStr">
        <is>
          <t>LINE</t>
        </is>
      </c>
      <c r="AZ216" t="n">
        <v>0</v>
      </c>
      <c r="BA216" t="n">
        <v>14</v>
      </c>
      <c r="BB216" t="n">
        <v>14</v>
      </c>
      <c r="BC216" t="n">
        <v>4800</v>
      </c>
      <c r="BD216" t="inlineStr">
        <is>
          <t>Yes</t>
        </is>
      </c>
      <c r="BG216" t="inlineStr">
        <is>
          <t>RULED</t>
        </is>
      </c>
      <c r="BH216" t="n">
        <v>0</v>
      </c>
      <c r="BI216" t="n">
        <v>1</v>
      </c>
      <c r="BJ216" t="n">
        <v>4800</v>
      </c>
      <c r="BK216" t="inlineStr">
        <is>
          <t>LINE</t>
        </is>
      </c>
      <c r="BL216" t="inlineStr">
        <is>
          <t>DEER DRY</t>
        </is>
      </c>
      <c r="BM216" t="inlineStr">
        <is>
          <t>DEER DRY</t>
        </is>
      </c>
    </row>
    <row r="217">
      <c r="A217" t="n">
        <v>216</v>
      </c>
      <c r="B217" t="inlineStr">
        <is>
          <t>FOX DRY</t>
        </is>
      </c>
      <c r="C217" t="inlineStr">
        <is>
          <t>REF000000</t>
        </is>
      </c>
      <c r="D217" t="inlineStr">
        <is>
          <t>REF000000</t>
        </is>
      </c>
      <c r="E217" t="n">
        <v>46097</v>
      </c>
      <c r="F217" t="inlineStr">
        <is>
          <t>FOX DRY</t>
        </is>
      </c>
      <c r="H217" t="inlineStr">
        <is>
          <t>AdminUAM</t>
        </is>
      </c>
      <c r="J217" t="inlineStr">
        <is>
          <t>14-APR-2026</t>
        </is>
      </c>
      <c r="K217" t="inlineStr">
        <is>
          <t>09-APR-2026</t>
        </is>
      </c>
      <c r="M217" t="inlineStr">
        <is>
          <t>REF000000</t>
        </is>
      </c>
      <c r="N217" t="inlineStr">
        <is>
          <t>USNFK</t>
        </is>
      </c>
      <c r="O217" t="inlineStr">
        <is>
          <t>USNFK</t>
        </is>
      </c>
      <c r="P217" t="inlineStr">
        <is>
          <t>RULED</t>
        </is>
      </c>
      <c r="U217" t="inlineStr">
        <is>
          <t>RULED</t>
        </is>
      </c>
      <c r="V217" t="inlineStr">
        <is>
          <t>RULED</t>
        </is>
      </c>
      <c r="W217" t="inlineStr">
        <is>
          <t>UNITED STATES</t>
        </is>
      </c>
      <c r="X217" t="inlineStr">
        <is>
          <t>Latin America</t>
        </is>
      </c>
      <c r="Y217" t="inlineStr">
        <is>
          <t>RUSSIA</t>
        </is>
      </c>
      <c r="Z217" t="inlineStr">
        <is>
          <t>External Review</t>
        </is>
      </c>
      <c r="AA217" t="inlineStr">
        <is>
          <t>HUB SHIPPING LLC-LED</t>
        </is>
      </c>
      <c r="AB217" t="inlineStr">
        <is>
          <t>Collect</t>
        </is>
      </c>
      <c r="AC217" t="inlineStr">
        <is>
          <t>MERCURY / VOYAGE 1</t>
        </is>
      </c>
      <c r="AE217" t="inlineStr">
        <is>
          <t>LADEN BOOKING</t>
        </is>
      </c>
      <c r="AF217" t="inlineStr">
        <is>
          <t>RenniUAM</t>
        </is>
      </c>
      <c r="AG217" t="inlineStr">
        <is>
          <t>HC40</t>
        </is>
      </c>
      <c r="AH217" t="inlineStr">
        <is>
          <t>NO</t>
        </is>
      </c>
      <c r="AI217" t="n">
        <v>40</v>
      </c>
      <c r="AJ217" t="n">
        <v>0</v>
      </c>
      <c r="AK217" t="n">
        <v>2</v>
      </c>
      <c r="AL217" t="inlineStr">
        <is>
          <t>ANON0000000,
ANON0000000</t>
        </is>
      </c>
      <c r="AP217" t="inlineStr">
        <is>
          <t>Non Haz</t>
        </is>
      </c>
      <c r="AQ217" t="inlineStr">
        <is>
          <t>CY/CY</t>
        </is>
      </c>
      <c r="AT217" t="inlineStr">
        <is>
          <t>REF000000</t>
        </is>
      </c>
      <c r="AU217" t="n">
        <v>26000</v>
      </c>
      <c r="AV217" t="inlineStr">
        <is>
          <t>GENERAL COMMODITY</t>
        </is>
      </c>
      <c r="AX217" t="inlineStr">
        <is>
          <t>RSUAM032600056</t>
        </is>
      </c>
      <c r="AZ217" t="n">
        <v>0</v>
      </c>
      <c r="BA217" t="n">
        <v>14</v>
      </c>
      <c r="BB217" t="n">
        <v>14</v>
      </c>
      <c r="BC217" t="n">
        <v>2950</v>
      </c>
      <c r="BD217" t="inlineStr">
        <is>
          <t>Yes</t>
        </is>
      </c>
      <c r="BG217" t="inlineStr">
        <is>
          <t>RULED</t>
        </is>
      </c>
      <c r="BH217" t="n">
        <v>0</v>
      </c>
      <c r="BI217" t="n">
        <v>2</v>
      </c>
      <c r="BJ217" t="n">
        <v>5900</v>
      </c>
      <c r="BK217" t="inlineStr">
        <is>
          <t>LINE</t>
        </is>
      </c>
      <c r="BL217" t="inlineStr">
        <is>
          <t>FOX DRY</t>
        </is>
      </c>
      <c r="BM217" t="inlineStr">
        <is>
          <t>FOX DRY</t>
        </is>
      </c>
    </row>
    <row r="218">
      <c r="A218" t="n">
        <v>217</v>
      </c>
      <c r="B218" t="inlineStr">
        <is>
          <t>DOLPHIN REEFER</t>
        </is>
      </c>
      <c r="C218" t="inlineStr">
        <is>
          <t>REF000000</t>
        </is>
      </c>
      <c r="D218" t="inlineStr">
        <is>
          <t>REF000000</t>
        </is>
      </c>
      <c r="E218" t="n">
        <v>46097</v>
      </c>
      <c r="F218" t="inlineStr">
        <is>
          <t>DOLPHIN REEFER</t>
        </is>
      </c>
      <c r="G218" t="inlineStr">
        <is>
          <t>Food Grade</t>
        </is>
      </c>
      <c r="H218" t="inlineStr">
        <is>
          <t>AdminUAM</t>
        </is>
      </c>
      <c r="J218" t="inlineStr">
        <is>
          <t>10-APR-2026</t>
        </is>
      </c>
      <c r="K218" t="inlineStr">
        <is>
          <t>06-APR-2026</t>
        </is>
      </c>
      <c r="L218" t="inlineStr">
        <is>
          <t>10-APR-2026</t>
        </is>
      </c>
      <c r="M218" t="inlineStr">
        <is>
          <t>REF000000</t>
        </is>
      </c>
      <c r="N218" t="inlineStr">
        <is>
          <t>USNYC</t>
        </is>
      </c>
      <c r="O218" t="inlineStr">
        <is>
          <t>USNYC</t>
        </is>
      </c>
      <c r="P218" t="inlineStr">
        <is>
          <t>RULED</t>
        </is>
      </c>
      <c r="U218" t="inlineStr">
        <is>
          <t>RULED</t>
        </is>
      </c>
      <c r="V218" t="inlineStr">
        <is>
          <t>RULED</t>
        </is>
      </c>
      <c r="W218" t="inlineStr">
        <is>
          <t>UNITED STATES</t>
        </is>
      </c>
      <c r="X218" t="inlineStr">
        <is>
          <t>Latin America</t>
        </is>
      </c>
      <c r="Y218" t="inlineStr">
        <is>
          <t>RUSSIA</t>
        </is>
      </c>
      <c r="Z218" t="inlineStr">
        <is>
          <t>External Review</t>
        </is>
      </c>
      <c r="AA218" t="inlineStr">
        <is>
          <t>HUB SHIPPING LLC-LED</t>
        </is>
      </c>
      <c r="AB218" t="inlineStr">
        <is>
          <t>Collect</t>
        </is>
      </c>
      <c r="AC218" t="inlineStr">
        <is>
          <t>MERCURY / VOYAGE 1</t>
        </is>
      </c>
      <c r="AE218" t="inlineStr">
        <is>
          <t>LADEN BOOKING</t>
        </is>
      </c>
      <c r="AF218" t="inlineStr">
        <is>
          <t>RenniUAM</t>
        </is>
      </c>
      <c r="AG218" t="inlineStr">
        <is>
          <t>DC20</t>
        </is>
      </c>
      <c r="AH218" t="inlineStr">
        <is>
          <t>NO</t>
        </is>
      </c>
      <c r="AI218" t="n">
        <v>20</v>
      </c>
      <c r="AJ218" t="n">
        <v>12</v>
      </c>
      <c r="AK218" t="n">
        <v>0</v>
      </c>
      <c r="AL218" t="inlineStr">
        <is>
          <t>ANON0000000,
ANON0000000,
ANON0000000,
ANON0000000,
ANON0000000,
ANON0000000,
ANON0000000,
ANON0000000,
ANON0000000,
ANON0000000,
ANON0000000,
ANON0000000</t>
        </is>
      </c>
      <c r="AP218" t="inlineStr">
        <is>
          <t>Non Haz</t>
        </is>
      </c>
      <c r="AQ218" t="inlineStr">
        <is>
          <t>CY/CY</t>
        </is>
      </c>
      <c r="AT218" t="inlineStr">
        <is>
          <t>REF000000</t>
        </is>
      </c>
      <c r="AU218" t="n">
        <v>26000</v>
      </c>
      <c r="AV218" t="inlineStr">
        <is>
          <t>GENERAL COMMODITY</t>
        </is>
      </c>
      <c r="AX218" t="inlineStr">
        <is>
          <t>RSUAM012600054</t>
        </is>
      </c>
      <c r="AZ218" t="n">
        <v>0</v>
      </c>
      <c r="BA218" t="n">
        <v>14</v>
      </c>
      <c r="BB218" t="n">
        <v>21</v>
      </c>
      <c r="BC218" t="n">
        <v>1750</v>
      </c>
      <c r="BD218" t="inlineStr">
        <is>
          <t>Yes</t>
        </is>
      </c>
      <c r="BF218" t="inlineStr">
        <is>
          <t>ARTHA SHIPPING</t>
        </is>
      </c>
      <c r="BG218" t="inlineStr">
        <is>
          <t>RULED</t>
        </is>
      </c>
      <c r="BH218" t="n">
        <v>12</v>
      </c>
      <c r="BI218" t="n">
        <v>0</v>
      </c>
      <c r="BJ218" t="n">
        <v>21000</v>
      </c>
      <c r="BK218" t="inlineStr">
        <is>
          <t>LINE</t>
        </is>
      </c>
      <c r="BL218" t="inlineStr">
        <is>
          <t>DOLPHIN REEFER</t>
        </is>
      </c>
      <c r="BM218" t="inlineStr">
        <is>
          <t>DOLPHIN REEFER</t>
        </is>
      </c>
    </row>
    <row r="219">
      <c r="A219" t="n">
        <v>218</v>
      </c>
      <c r="B219" t="inlineStr">
        <is>
          <t>MARLIN REEFER</t>
        </is>
      </c>
      <c r="C219" t="inlineStr">
        <is>
          <t>REF000000</t>
        </is>
      </c>
      <c r="D219" t="inlineStr">
        <is>
          <t>REF000000</t>
        </is>
      </c>
      <c r="E219" t="n">
        <v>46097</v>
      </c>
      <c r="F219" t="inlineStr">
        <is>
          <t>MARLIN REEFER</t>
        </is>
      </c>
      <c r="G219" t="inlineStr">
        <is>
          <t>PREPAID ABROAD</t>
        </is>
      </c>
      <c r="H219" t="inlineStr">
        <is>
          <t>Regional Operations_UNIMAR</t>
        </is>
      </c>
      <c r="J219" t="inlineStr">
        <is>
          <t>11-APR-2026</t>
        </is>
      </c>
      <c r="K219" t="inlineStr">
        <is>
          <t>10-APR-2026</t>
        </is>
      </c>
      <c r="L219" t="inlineStr">
        <is>
          <t>11-APR-2026</t>
        </is>
      </c>
      <c r="M219" t="inlineStr">
        <is>
          <t>REF000000</t>
        </is>
      </c>
      <c r="N219" t="inlineStr">
        <is>
          <t>USHOU</t>
        </is>
      </c>
      <c r="O219" t="inlineStr">
        <is>
          <t>USHOU</t>
        </is>
      </c>
      <c r="P219" t="inlineStr">
        <is>
          <t>RUBLT</t>
        </is>
      </c>
      <c r="U219" t="inlineStr">
        <is>
          <t>RUBLT</t>
        </is>
      </c>
      <c r="V219" t="inlineStr">
        <is>
          <t>RUBLT</t>
        </is>
      </c>
      <c r="W219" t="inlineStr">
        <is>
          <t>UNITED STATES</t>
        </is>
      </c>
      <c r="X219" t="inlineStr">
        <is>
          <t>Latin America</t>
        </is>
      </c>
      <c r="Y219" t="inlineStr">
        <is>
          <t>RUSSIA</t>
        </is>
      </c>
      <c r="Z219" t="inlineStr">
        <is>
          <t>External Review</t>
        </is>
      </c>
      <c r="AA219" t="inlineStr">
        <is>
          <t>HUB Shipping-Kaliningrad</t>
        </is>
      </c>
      <c r="AB219" t="inlineStr">
        <is>
          <t>Prepaid</t>
        </is>
      </c>
      <c r="AC219" t="inlineStr">
        <is>
          <t>MERCURY / VOYAGE 1</t>
        </is>
      </c>
      <c r="AE219" t="inlineStr">
        <is>
          <t>LADEN BOOKING</t>
        </is>
      </c>
      <c r="AF219" t="inlineStr">
        <is>
          <t>Joao Ribeiro</t>
        </is>
      </c>
      <c r="AG219" t="inlineStr">
        <is>
          <t>RH40</t>
        </is>
      </c>
      <c r="AH219" t="inlineStr">
        <is>
          <t>NO</t>
        </is>
      </c>
      <c r="AI219" t="n">
        <v>40</v>
      </c>
      <c r="AJ219" t="n">
        <v>0</v>
      </c>
      <c r="AK219" t="n">
        <v>1</v>
      </c>
      <c r="AL219" t="inlineStr">
        <is>
          <t>ANON0000000</t>
        </is>
      </c>
      <c r="AM219" t="n">
        <v>-22</v>
      </c>
      <c r="AP219" t="inlineStr">
        <is>
          <t>Non Haz</t>
        </is>
      </c>
      <c r="AQ219" t="inlineStr">
        <is>
          <t>CY/CY</t>
        </is>
      </c>
      <c r="AT219" t="inlineStr">
        <is>
          <t>REF000000</t>
        </is>
      </c>
      <c r="AU219" t="n">
        <v>27000</v>
      </c>
      <c r="AV219" t="inlineStr">
        <is>
          <t>FROZEN MEAT</t>
        </is>
      </c>
      <c r="AX219" t="inlineStr">
        <is>
          <t>RSUAM032600045</t>
        </is>
      </c>
      <c r="AZ219" t="n">
        <v>5</v>
      </c>
      <c r="BA219" t="n">
        <v>25</v>
      </c>
      <c r="BB219" t="n">
        <v>10</v>
      </c>
      <c r="BC219" t="n">
        <v>8600</v>
      </c>
      <c r="BD219" t="inlineStr">
        <is>
          <t>No</t>
        </is>
      </c>
      <c r="BF219" t="inlineStr">
        <is>
          <t>ARTHA SHIPPING</t>
        </is>
      </c>
      <c r="BG219" t="inlineStr">
        <is>
          <t>USHOU</t>
        </is>
      </c>
      <c r="BH219" t="n">
        <v>0</v>
      </c>
      <c r="BI219" t="n">
        <v>1</v>
      </c>
      <c r="BJ219" t="n">
        <v>8600</v>
      </c>
      <c r="BK219" t="inlineStr">
        <is>
          <t>LINE</t>
        </is>
      </c>
      <c r="BL219" t="inlineStr">
        <is>
          <t>MARLIN REEFER</t>
        </is>
      </c>
      <c r="BM219" t="inlineStr">
        <is>
          <t>MARLIN REEFER</t>
        </is>
      </c>
    </row>
    <row r="220">
      <c r="A220" t="n">
        <v>219</v>
      </c>
      <c r="B220" t="inlineStr">
        <is>
          <t>COYOTE DRY</t>
        </is>
      </c>
      <c r="C220" t="inlineStr">
        <is>
          <t>REF000000</t>
        </is>
      </c>
      <c r="D220" t="inlineStr">
        <is>
          <t>REF000000</t>
        </is>
      </c>
      <c r="E220" t="n">
        <v>46098</v>
      </c>
      <c r="F220" t="inlineStr">
        <is>
          <t>COYOTE DRY</t>
        </is>
      </c>
      <c r="H220" t="inlineStr">
        <is>
          <t>AdminUAM</t>
        </is>
      </c>
      <c r="J220" t="n">
        <v>46112</v>
      </c>
      <c r="K220" t="n">
        <v>46109</v>
      </c>
      <c r="L220" t="n">
        <v>46112</v>
      </c>
      <c r="M220" t="inlineStr">
        <is>
          <t>REF000000</t>
        </is>
      </c>
      <c r="N220" t="inlineStr">
        <is>
          <t>USLAX</t>
        </is>
      </c>
      <c r="O220" t="inlineStr">
        <is>
          <t>USLAX</t>
        </is>
      </c>
      <c r="P220" t="inlineStr">
        <is>
          <t>USNFK</t>
        </is>
      </c>
      <c r="U220" t="inlineStr">
        <is>
          <t>RULED</t>
        </is>
      </c>
      <c r="V220" t="inlineStr">
        <is>
          <t>RULED</t>
        </is>
      </c>
      <c r="W220" t="inlineStr">
        <is>
          <t>UNITED STATES</t>
        </is>
      </c>
      <c r="X220" t="inlineStr">
        <is>
          <t>Latin America</t>
        </is>
      </c>
      <c r="Y220" t="inlineStr">
        <is>
          <t>RUSSIA</t>
        </is>
      </c>
      <c r="Z220" t="inlineStr">
        <is>
          <t>External Review</t>
        </is>
      </c>
      <c r="AA220" t="inlineStr">
        <is>
          <t>HUB SHIPPING LLC-LED</t>
        </is>
      </c>
      <c r="AB220" t="inlineStr">
        <is>
          <t>Collect</t>
        </is>
      </c>
      <c r="AC220" t="inlineStr">
        <is>
          <t>LOG IN PANTANAL/591S</t>
        </is>
      </c>
      <c r="AE220" t="inlineStr">
        <is>
          <t>LADEN BOOKING</t>
        </is>
      </c>
      <c r="AF220" t="inlineStr">
        <is>
          <t>RenniUAM</t>
        </is>
      </c>
      <c r="AG220" t="inlineStr">
        <is>
          <t>DC20</t>
        </is>
      </c>
      <c r="AH220" t="inlineStr">
        <is>
          <t>NO</t>
        </is>
      </c>
      <c r="AI220" t="n">
        <v>20</v>
      </c>
      <c r="AJ220" t="n">
        <v>1</v>
      </c>
      <c r="AK220" t="n">
        <v>0</v>
      </c>
      <c r="AL220" t="inlineStr">
        <is>
          <t>ANON0000000</t>
        </is>
      </c>
      <c r="AP220" t="inlineStr">
        <is>
          <t>Non Haz</t>
        </is>
      </c>
      <c r="AQ220" t="inlineStr">
        <is>
          <t>CY/CY</t>
        </is>
      </c>
      <c r="AT220" t="inlineStr">
        <is>
          <t>REF000000</t>
        </is>
      </c>
      <c r="AU220" t="n">
        <v>23000</v>
      </c>
      <c r="AV220" t="inlineStr">
        <is>
          <t>GENERAL COMMODITY</t>
        </is>
      </c>
      <c r="AX220" t="inlineStr">
        <is>
          <t>RSUAM022600014</t>
        </is>
      </c>
      <c r="AZ220" t="n">
        <v>0</v>
      </c>
      <c r="BA220" t="n">
        <v>14</v>
      </c>
      <c r="BB220" t="n">
        <v>14</v>
      </c>
      <c r="BC220" t="n">
        <v>4450</v>
      </c>
      <c r="BD220" t="inlineStr">
        <is>
          <t>Yes</t>
        </is>
      </c>
      <c r="BF220" t="inlineStr">
        <is>
          <t>LOG IN</t>
        </is>
      </c>
      <c r="BG220" t="inlineStr">
        <is>
          <t>RULED</t>
        </is>
      </c>
      <c r="BH220" t="n">
        <v>1</v>
      </c>
      <c r="BI220" t="n">
        <v>0</v>
      </c>
      <c r="BJ220" t="n">
        <v>4450</v>
      </c>
      <c r="BK220" t="inlineStr">
        <is>
          <t>LINE</t>
        </is>
      </c>
      <c r="BL220" t="inlineStr">
        <is>
          <t>COYOTE DRY</t>
        </is>
      </c>
      <c r="BM220" t="inlineStr">
        <is>
          <t>COYOTE DRY</t>
        </is>
      </c>
    </row>
    <row r="221">
      <c r="A221" t="n">
        <v>220</v>
      </c>
      <c r="B221" t="inlineStr">
        <is>
          <t>ORCA REEFER</t>
        </is>
      </c>
      <c r="C221" t="inlineStr">
        <is>
          <t>REF000000</t>
        </is>
      </c>
      <c r="D221" t="inlineStr">
        <is>
          <t>REF000000</t>
        </is>
      </c>
      <c r="E221" t="n">
        <v>46098</v>
      </c>
      <c r="F221" t="inlineStr">
        <is>
          <t>ORCA REEFER</t>
        </is>
      </c>
      <c r="G221" t="inlineStr">
        <is>
          <t>PREPAID ABROAD</t>
        </is>
      </c>
      <c r="H221" t="inlineStr">
        <is>
          <t>Regional Operations_UNIMAR</t>
        </is>
      </c>
      <c r="J221" t="inlineStr">
        <is>
          <t>10-APR-2026</t>
        </is>
      </c>
      <c r="K221" t="inlineStr">
        <is>
          <t>05-APR-2026</t>
        </is>
      </c>
      <c r="M221" t="inlineStr">
        <is>
          <t>REF000000</t>
        </is>
      </c>
      <c r="N221" t="inlineStr">
        <is>
          <t>USNFK</t>
        </is>
      </c>
      <c r="O221" t="inlineStr">
        <is>
          <t>USNFK</t>
        </is>
      </c>
      <c r="P221" t="inlineStr">
        <is>
          <t>RUBLT</t>
        </is>
      </c>
      <c r="U221" t="inlineStr">
        <is>
          <t>RUBLT</t>
        </is>
      </c>
      <c r="V221" t="inlineStr">
        <is>
          <t>RUBLT</t>
        </is>
      </c>
      <c r="W221" t="inlineStr">
        <is>
          <t>UNITED STATES</t>
        </is>
      </c>
      <c r="X221" t="inlineStr">
        <is>
          <t>Latin America</t>
        </is>
      </c>
      <c r="Y221" t="inlineStr">
        <is>
          <t>RUSSIA</t>
        </is>
      </c>
      <c r="Z221" t="inlineStr">
        <is>
          <t>External Review</t>
        </is>
      </c>
      <c r="AA221" t="inlineStr">
        <is>
          <t>HUB Shipping-Kaliningrad</t>
        </is>
      </c>
      <c r="AB221" t="inlineStr">
        <is>
          <t>Prepaid</t>
        </is>
      </c>
      <c r="AC221" t="inlineStr">
        <is>
          <t>MERCURY / VOYAGE 1</t>
        </is>
      </c>
      <c r="AE221" t="inlineStr">
        <is>
          <t>LADEN BOOKING</t>
        </is>
      </c>
      <c r="AF221" t="inlineStr">
        <is>
          <t>Joao Ribeiro</t>
        </is>
      </c>
      <c r="AG221" t="inlineStr">
        <is>
          <t>RH40</t>
        </is>
      </c>
      <c r="AH221" t="inlineStr">
        <is>
          <t>NO</t>
        </is>
      </c>
      <c r="AI221" t="n">
        <v>40</v>
      </c>
      <c r="AJ221" t="n">
        <v>0</v>
      </c>
      <c r="AK221" t="n">
        <v>1</v>
      </c>
      <c r="AL221" t="inlineStr">
        <is>
          <t>ANON0000000</t>
        </is>
      </c>
      <c r="AM221" t="n">
        <v>-18</v>
      </c>
      <c r="AP221" t="inlineStr">
        <is>
          <t>Non Haz</t>
        </is>
      </c>
      <c r="AQ221" t="inlineStr">
        <is>
          <t>CY/CY</t>
        </is>
      </c>
      <c r="AT221" t="inlineStr">
        <is>
          <t>REF000000</t>
        </is>
      </c>
      <c r="AU221" t="n">
        <v>28000</v>
      </c>
      <c r="AV221" t="inlineStr">
        <is>
          <t>FROZEN MEAT</t>
        </is>
      </c>
      <c r="AX221" t="inlineStr">
        <is>
          <t>RSUAM022600021</t>
        </is>
      </c>
      <c r="AZ221" t="n">
        <v>5</v>
      </c>
      <c r="BA221" t="n">
        <v>30</v>
      </c>
      <c r="BB221" t="n">
        <v>15</v>
      </c>
      <c r="BC221" t="n">
        <v>9100</v>
      </c>
      <c r="BD221" t="inlineStr">
        <is>
          <t>No</t>
        </is>
      </c>
      <c r="BG221" t="inlineStr">
        <is>
          <t>USNFK</t>
        </is>
      </c>
      <c r="BH221" t="n">
        <v>0</v>
      </c>
      <c r="BI221" t="n">
        <v>1</v>
      </c>
      <c r="BJ221" t="n">
        <v>9100</v>
      </c>
      <c r="BK221" t="inlineStr">
        <is>
          <t>LINE</t>
        </is>
      </c>
      <c r="BL221" t="inlineStr">
        <is>
          <t>ORCA REEFER</t>
        </is>
      </c>
      <c r="BM221" t="inlineStr">
        <is>
          <t>ORCA REEFER</t>
        </is>
      </c>
    </row>
    <row r="222">
      <c r="A222" t="n">
        <v>221</v>
      </c>
      <c r="B222" t="inlineStr">
        <is>
          <t>WHALE REEFER</t>
        </is>
      </c>
      <c r="C222" t="inlineStr">
        <is>
          <t>REF000000</t>
        </is>
      </c>
      <c r="D222" t="inlineStr">
        <is>
          <t>REF000000</t>
        </is>
      </c>
      <c r="E222" t="n">
        <v>46098</v>
      </c>
      <c r="F222" t="inlineStr">
        <is>
          <t>WHALE REEFER</t>
        </is>
      </c>
      <c r="G222" t="inlineStr">
        <is>
          <t>PREPAID ABROAD</t>
        </is>
      </c>
      <c r="H222" t="inlineStr">
        <is>
          <t>Regional Operations_UNIMAR</t>
        </is>
      </c>
      <c r="J222" t="inlineStr">
        <is>
          <t>10-APR-2026</t>
        </is>
      </c>
      <c r="K222" t="inlineStr">
        <is>
          <t>05-APR-2026</t>
        </is>
      </c>
      <c r="M222" t="inlineStr">
        <is>
          <t>REF000000</t>
        </is>
      </c>
      <c r="N222" t="inlineStr">
        <is>
          <t>USNFK</t>
        </is>
      </c>
      <c r="O222" t="inlineStr">
        <is>
          <t>USNFK</t>
        </is>
      </c>
      <c r="P222" t="inlineStr">
        <is>
          <t>RUBLT</t>
        </is>
      </c>
      <c r="U222" t="inlineStr">
        <is>
          <t>RUBLT</t>
        </is>
      </c>
      <c r="V222" t="inlineStr">
        <is>
          <t>RUBLT</t>
        </is>
      </c>
      <c r="W222" t="inlineStr">
        <is>
          <t>UNITED STATES</t>
        </is>
      </c>
      <c r="X222" t="inlineStr">
        <is>
          <t>Latin America</t>
        </is>
      </c>
      <c r="Y222" t="inlineStr">
        <is>
          <t>RUSSIA</t>
        </is>
      </c>
      <c r="Z222" t="inlineStr">
        <is>
          <t>External Review</t>
        </is>
      </c>
      <c r="AA222" t="inlineStr">
        <is>
          <t>HUB Shipping-Kaliningrad</t>
        </is>
      </c>
      <c r="AB222" t="inlineStr">
        <is>
          <t>Prepaid</t>
        </is>
      </c>
      <c r="AC222" t="inlineStr">
        <is>
          <t>MERCURY / VOYAGE 1</t>
        </is>
      </c>
      <c r="AE222" t="inlineStr">
        <is>
          <t>LADEN BOOKING</t>
        </is>
      </c>
      <c r="AF222" t="inlineStr">
        <is>
          <t>Joao Ribeiro</t>
        </is>
      </c>
      <c r="AG222" t="inlineStr">
        <is>
          <t>RH40</t>
        </is>
      </c>
      <c r="AH222" t="inlineStr">
        <is>
          <t>NO</t>
        </is>
      </c>
      <c r="AI222" t="n">
        <v>40</v>
      </c>
      <c r="AJ222" t="n">
        <v>0</v>
      </c>
      <c r="AK222" t="n">
        <v>1</v>
      </c>
      <c r="AL222" t="inlineStr">
        <is>
          <t>ANON0000000</t>
        </is>
      </c>
      <c r="AM222" t="n">
        <v>-18</v>
      </c>
      <c r="AP222" t="inlineStr">
        <is>
          <t>Non Haz</t>
        </is>
      </c>
      <c r="AQ222" t="inlineStr">
        <is>
          <t>CY/CY</t>
        </is>
      </c>
      <c r="AT222" t="inlineStr">
        <is>
          <t>REF000000</t>
        </is>
      </c>
      <c r="AU222" t="n">
        <v>28000</v>
      </c>
      <c r="AV222" t="inlineStr">
        <is>
          <t>FROZEN MEAT</t>
        </is>
      </c>
      <c r="AX222" t="inlineStr">
        <is>
          <t>RSUAM022600021</t>
        </is>
      </c>
      <c r="AZ222" t="n">
        <v>5</v>
      </c>
      <c r="BA222" t="n">
        <v>30</v>
      </c>
      <c r="BB222" t="n">
        <v>15</v>
      </c>
      <c r="BC222" t="n">
        <v>9100</v>
      </c>
      <c r="BD222" t="inlineStr">
        <is>
          <t>No</t>
        </is>
      </c>
      <c r="BG222" t="inlineStr">
        <is>
          <t>USNFK</t>
        </is>
      </c>
      <c r="BH222" t="n">
        <v>0</v>
      </c>
      <c r="BI222" t="n">
        <v>1</v>
      </c>
      <c r="BJ222" t="n">
        <v>9100</v>
      </c>
      <c r="BK222" t="inlineStr">
        <is>
          <t>LINE</t>
        </is>
      </c>
      <c r="BL222" t="inlineStr">
        <is>
          <t>WHALE REEFER</t>
        </is>
      </c>
      <c r="BM222" t="inlineStr">
        <is>
          <t>WHALE REEFER</t>
        </is>
      </c>
    </row>
    <row r="223">
      <c r="A223" t="n">
        <v>222</v>
      </c>
      <c r="B223" t="inlineStr">
        <is>
          <t>DEER DRY</t>
        </is>
      </c>
      <c r="C223" t="inlineStr">
        <is>
          <t>REF000000</t>
        </is>
      </c>
      <c r="D223" t="inlineStr">
        <is>
          <t>REF000000</t>
        </is>
      </c>
      <c r="E223" t="n">
        <v>46098</v>
      </c>
      <c r="F223" t="inlineStr">
        <is>
          <t>DEER DRY</t>
        </is>
      </c>
      <c r="H223" t="inlineStr">
        <is>
          <t>AdminUAM</t>
        </is>
      </c>
      <c r="J223" t="n">
        <v>46112</v>
      </c>
      <c r="K223" t="n">
        <v>46109</v>
      </c>
      <c r="L223" t="n">
        <v>46112</v>
      </c>
      <c r="M223" t="inlineStr">
        <is>
          <t>REF000000</t>
        </is>
      </c>
      <c r="N223" t="inlineStr">
        <is>
          <t>USLAX</t>
        </is>
      </c>
      <c r="O223" t="inlineStr">
        <is>
          <t>USLAX</t>
        </is>
      </c>
      <c r="P223" t="inlineStr">
        <is>
          <t>USNFK</t>
        </is>
      </c>
      <c r="U223" t="inlineStr">
        <is>
          <t>RULED</t>
        </is>
      </c>
      <c r="V223" t="inlineStr">
        <is>
          <t>RULED</t>
        </is>
      </c>
      <c r="W223" t="inlineStr">
        <is>
          <t>UNITED STATES</t>
        </is>
      </c>
      <c r="X223" t="inlineStr">
        <is>
          <t>Latin America</t>
        </is>
      </c>
      <c r="Y223" t="inlineStr">
        <is>
          <t>RUSSIA</t>
        </is>
      </c>
      <c r="Z223" t="inlineStr">
        <is>
          <t>External Review</t>
        </is>
      </c>
      <c r="AA223" t="inlineStr">
        <is>
          <t>HUB SHIPPING LLC-LED</t>
        </is>
      </c>
      <c r="AB223" t="inlineStr">
        <is>
          <t>Collect</t>
        </is>
      </c>
      <c r="AC223" t="inlineStr">
        <is>
          <t>LOG IN PANTANAL/591S</t>
        </is>
      </c>
      <c r="AE223" t="inlineStr">
        <is>
          <t>LADEN BOOKING</t>
        </is>
      </c>
      <c r="AF223" t="inlineStr">
        <is>
          <t>RenniUAM</t>
        </is>
      </c>
      <c r="AG223" t="inlineStr">
        <is>
          <t>DC20</t>
        </is>
      </c>
      <c r="AH223" t="inlineStr">
        <is>
          <t>NO</t>
        </is>
      </c>
      <c r="AI223" t="n">
        <v>20</v>
      </c>
      <c r="AJ223" t="n">
        <v>1</v>
      </c>
      <c r="AK223" t="n">
        <v>0</v>
      </c>
      <c r="AL223" t="inlineStr">
        <is>
          <t>ANON0000000</t>
        </is>
      </c>
      <c r="AP223" t="inlineStr">
        <is>
          <t>Non Haz</t>
        </is>
      </c>
      <c r="AQ223" t="inlineStr">
        <is>
          <t>CY/CY</t>
        </is>
      </c>
      <c r="AT223" t="inlineStr">
        <is>
          <t>REF000000</t>
        </is>
      </c>
      <c r="AU223" t="n">
        <v>23000</v>
      </c>
      <c r="AV223" t="inlineStr">
        <is>
          <t>GENERAL COMMODITY</t>
        </is>
      </c>
      <c r="AX223" t="inlineStr">
        <is>
          <t>RSUAM022600014</t>
        </is>
      </c>
      <c r="AZ223" t="n">
        <v>0</v>
      </c>
      <c r="BA223" t="n">
        <v>14</v>
      </c>
      <c r="BB223" t="n">
        <v>14</v>
      </c>
      <c r="BC223" t="n">
        <v>4450</v>
      </c>
      <c r="BD223" t="inlineStr">
        <is>
          <t>Yes</t>
        </is>
      </c>
      <c r="BF223" t="inlineStr">
        <is>
          <t>LOG IN</t>
        </is>
      </c>
      <c r="BG223" t="inlineStr">
        <is>
          <t>RULED</t>
        </is>
      </c>
      <c r="BH223" t="n">
        <v>1</v>
      </c>
      <c r="BI223" t="n">
        <v>0</v>
      </c>
      <c r="BJ223" t="n">
        <v>4450</v>
      </c>
      <c r="BK223" t="inlineStr">
        <is>
          <t>LINE</t>
        </is>
      </c>
      <c r="BL223" t="inlineStr">
        <is>
          <t>DEER DRY</t>
        </is>
      </c>
      <c r="BM223" t="inlineStr">
        <is>
          <t>DEER DRY</t>
        </is>
      </c>
    </row>
    <row r="224">
      <c r="A224" t="n">
        <v>223</v>
      </c>
      <c r="B224" t="inlineStr">
        <is>
          <t>SHARK REEFER</t>
        </is>
      </c>
      <c r="C224" t="inlineStr">
        <is>
          <t>REF000000</t>
        </is>
      </c>
      <c r="D224" t="inlineStr">
        <is>
          <t>REF000000</t>
        </is>
      </c>
      <c r="E224" t="n">
        <v>46098</v>
      </c>
      <c r="F224" t="inlineStr">
        <is>
          <t>SHARK REEFER</t>
        </is>
      </c>
      <c r="G224" t="inlineStr">
        <is>
          <t>PREPAID ABROAD</t>
        </is>
      </c>
      <c r="H224" t="inlineStr">
        <is>
          <t>Regional Operations_UNIMAR</t>
        </is>
      </c>
      <c r="J224" t="inlineStr">
        <is>
          <t>10-APR-2026</t>
        </is>
      </c>
      <c r="K224" t="inlineStr">
        <is>
          <t>05-APR-2026</t>
        </is>
      </c>
      <c r="M224" t="inlineStr">
        <is>
          <t>REF000000</t>
        </is>
      </c>
      <c r="N224" t="inlineStr">
        <is>
          <t>USNFK</t>
        </is>
      </c>
      <c r="O224" t="inlineStr">
        <is>
          <t>USNFK</t>
        </is>
      </c>
      <c r="P224" t="inlineStr">
        <is>
          <t>RUBLT</t>
        </is>
      </c>
      <c r="U224" t="inlineStr">
        <is>
          <t>RUBLT</t>
        </is>
      </c>
      <c r="V224" t="inlineStr">
        <is>
          <t>RUBLT</t>
        </is>
      </c>
      <c r="W224" t="inlineStr">
        <is>
          <t>UNITED STATES</t>
        </is>
      </c>
      <c r="X224" t="inlineStr">
        <is>
          <t>Latin America</t>
        </is>
      </c>
      <c r="Y224" t="inlineStr">
        <is>
          <t>RUSSIA</t>
        </is>
      </c>
      <c r="Z224" t="inlineStr">
        <is>
          <t>External Review</t>
        </is>
      </c>
      <c r="AA224" t="inlineStr">
        <is>
          <t>HUB Shipping-Kaliningrad</t>
        </is>
      </c>
      <c r="AB224" t="inlineStr">
        <is>
          <t>Prepaid</t>
        </is>
      </c>
      <c r="AC224" t="inlineStr">
        <is>
          <t>MERCURY / VOYAGE 1</t>
        </is>
      </c>
      <c r="AE224" t="inlineStr">
        <is>
          <t>LADEN BOOKING</t>
        </is>
      </c>
      <c r="AF224" t="inlineStr">
        <is>
          <t>Joao Ribeiro</t>
        </is>
      </c>
      <c r="AG224" t="inlineStr">
        <is>
          <t>RH40</t>
        </is>
      </c>
      <c r="AH224" t="inlineStr">
        <is>
          <t>NO</t>
        </is>
      </c>
      <c r="AI224" t="n">
        <v>40</v>
      </c>
      <c r="AJ224" t="n">
        <v>0</v>
      </c>
      <c r="AK224" t="n">
        <v>1</v>
      </c>
      <c r="AL224" t="inlineStr">
        <is>
          <t>ANON0000000</t>
        </is>
      </c>
      <c r="AM224" t="n">
        <v>-18</v>
      </c>
      <c r="AP224" t="inlineStr">
        <is>
          <t>Non Haz</t>
        </is>
      </c>
      <c r="AQ224" t="inlineStr">
        <is>
          <t>CY/CY</t>
        </is>
      </c>
      <c r="AT224" t="inlineStr">
        <is>
          <t>REF000000</t>
        </is>
      </c>
      <c r="AU224" t="n">
        <v>29000</v>
      </c>
      <c r="AV224" t="inlineStr">
        <is>
          <t>FROZEN MEAT</t>
        </is>
      </c>
      <c r="AX224" t="inlineStr">
        <is>
          <t>RSUAM022600021</t>
        </is>
      </c>
      <c r="AZ224" t="n">
        <v>5</v>
      </c>
      <c r="BA224" t="n">
        <v>30</v>
      </c>
      <c r="BB224" t="n">
        <v>15</v>
      </c>
      <c r="BC224" t="n">
        <v>9100</v>
      </c>
      <c r="BD224" t="inlineStr">
        <is>
          <t>No</t>
        </is>
      </c>
      <c r="BG224" t="inlineStr">
        <is>
          <t>USNFK</t>
        </is>
      </c>
      <c r="BH224" t="n">
        <v>0</v>
      </c>
      <c r="BI224" t="n">
        <v>1</v>
      </c>
      <c r="BJ224" t="n">
        <v>9100</v>
      </c>
      <c r="BK224" t="inlineStr">
        <is>
          <t>LINE</t>
        </is>
      </c>
      <c r="BL224" t="inlineStr">
        <is>
          <t>SHARK REEFER</t>
        </is>
      </c>
      <c r="BM224" t="inlineStr">
        <is>
          <t>SHARK REEFER</t>
        </is>
      </c>
    </row>
    <row r="225">
      <c r="A225" t="n">
        <v>224</v>
      </c>
      <c r="B225" t="inlineStr">
        <is>
          <t>BISON DRY</t>
        </is>
      </c>
      <c r="C225" t="inlineStr">
        <is>
          <t>REF000000</t>
        </is>
      </c>
      <c r="D225" t="inlineStr">
        <is>
          <t>REF000000</t>
        </is>
      </c>
      <c r="E225" t="n">
        <v>46099</v>
      </c>
      <c r="F225" t="inlineStr">
        <is>
          <t>BISON DRY</t>
        </is>
      </c>
      <c r="H225" t="inlineStr">
        <is>
          <t>AdminUAM</t>
        </is>
      </c>
      <c r="J225" t="inlineStr">
        <is>
          <t>10-APR-2026</t>
        </is>
      </c>
      <c r="K225" t="inlineStr">
        <is>
          <t>05-APR-2026</t>
        </is>
      </c>
      <c r="M225" t="inlineStr">
        <is>
          <t>REF000000</t>
        </is>
      </c>
      <c r="N225" t="inlineStr">
        <is>
          <t>USNFK</t>
        </is>
      </c>
      <c r="O225" t="inlineStr">
        <is>
          <t>USNFK</t>
        </is>
      </c>
      <c r="P225" t="inlineStr">
        <is>
          <t>RULED</t>
        </is>
      </c>
      <c r="U225" t="inlineStr">
        <is>
          <t>RULED</t>
        </is>
      </c>
      <c r="V225" t="inlineStr">
        <is>
          <t>RULED</t>
        </is>
      </c>
      <c r="W225" t="inlineStr">
        <is>
          <t>UNITED STATES</t>
        </is>
      </c>
      <c r="X225" t="inlineStr">
        <is>
          <t>Latin America</t>
        </is>
      </c>
      <c r="Y225" t="inlineStr">
        <is>
          <t>RUSSIA</t>
        </is>
      </c>
      <c r="Z225" t="inlineStr">
        <is>
          <t>External Review</t>
        </is>
      </c>
      <c r="AA225" t="inlineStr">
        <is>
          <t>HUB SHIPPING LLC-LED</t>
        </is>
      </c>
      <c r="AB225" t="inlineStr">
        <is>
          <t>Collect</t>
        </is>
      </c>
      <c r="AC225" t="inlineStr">
        <is>
          <t>MERCURY / VOYAGE 1</t>
        </is>
      </c>
      <c r="AE225" t="inlineStr">
        <is>
          <t>LADEN BOOKING</t>
        </is>
      </c>
      <c r="AF225" t="inlineStr">
        <is>
          <t>RenniUAM</t>
        </is>
      </c>
      <c r="AG225" t="inlineStr">
        <is>
          <t>HC40</t>
        </is>
      </c>
      <c r="AH225" t="inlineStr">
        <is>
          <t>NO</t>
        </is>
      </c>
      <c r="AI225" t="n">
        <v>40</v>
      </c>
      <c r="AJ225" t="n">
        <v>0</v>
      </c>
      <c r="AK225" t="n">
        <v>1</v>
      </c>
      <c r="AL225" t="inlineStr">
        <is>
          <t>ANON0000000</t>
        </is>
      </c>
      <c r="AP225" t="inlineStr">
        <is>
          <t>Non Haz</t>
        </is>
      </c>
      <c r="AQ225" t="inlineStr">
        <is>
          <t>CY/CY</t>
        </is>
      </c>
      <c r="AT225" t="inlineStr">
        <is>
          <t>REF000000</t>
        </is>
      </c>
      <c r="AU225" t="n">
        <v>150000</v>
      </c>
      <c r="AV225" t="inlineStr">
        <is>
          <t>GENERAL COMMODITY</t>
        </is>
      </c>
      <c r="AX225" t="inlineStr">
        <is>
          <t>MRG421244</t>
        </is>
      </c>
      <c r="AY225" t="inlineStr">
        <is>
          <t>LINE</t>
        </is>
      </c>
      <c r="AZ225" t="n">
        <v>0</v>
      </c>
      <c r="BA225" t="n">
        <v>14</v>
      </c>
      <c r="BB225" t="n">
        <v>14</v>
      </c>
      <c r="BC225" t="n">
        <v>4800</v>
      </c>
      <c r="BD225" t="inlineStr">
        <is>
          <t>Yes</t>
        </is>
      </c>
      <c r="BG225" t="inlineStr">
        <is>
          <t>RULED</t>
        </is>
      </c>
      <c r="BH225" t="n">
        <v>0</v>
      </c>
      <c r="BI225" t="n">
        <v>1</v>
      </c>
      <c r="BJ225" t="n">
        <v>4800</v>
      </c>
      <c r="BK225" t="inlineStr">
        <is>
          <t>LINE</t>
        </is>
      </c>
      <c r="BL225" t="inlineStr">
        <is>
          <t>BISON DRY</t>
        </is>
      </c>
      <c r="BM225" t="inlineStr">
        <is>
          <t>BISON DRY</t>
        </is>
      </c>
    </row>
    <row r="226">
      <c r="A226" t="n">
        <v>225</v>
      </c>
      <c r="B226" t="inlineStr">
        <is>
          <t>EAGLE DRY</t>
        </is>
      </c>
      <c r="C226" t="inlineStr">
        <is>
          <t>REF000000</t>
        </is>
      </c>
      <c r="D226" t="inlineStr">
        <is>
          <t>REF000000</t>
        </is>
      </c>
      <c r="E226" t="n">
        <v>46099</v>
      </c>
      <c r="F226" t="inlineStr">
        <is>
          <t>EAGLE DRY</t>
        </is>
      </c>
      <c r="H226" t="inlineStr">
        <is>
          <t>AdminUAM</t>
        </is>
      </c>
      <c r="J226" t="inlineStr">
        <is>
          <t>10-APR-2026</t>
        </is>
      </c>
      <c r="K226" t="inlineStr">
        <is>
          <t>05-APR-2026</t>
        </is>
      </c>
      <c r="M226" t="inlineStr">
        <is>
          <t>REF000000</t>
        </is>
      </c>
      <c r="N226" t="inlineStr">
        <is>
          <t>USNFK</t>
        </is>
      </c>
      <c r="O226" t="inlineStr">
        <is>
          <t>USNFK</t>
        </is>
      </c>
      <c r="P226" t="inlineStr">
        <is>
          <t>RULED</t>
        </is>
      </c>
      <c r="U226" t="inlineStr">
        <is>
          <t>RULED</t>
        </is>
      </c>
      <c r="V226" t="inlineStr">
        <is>
          <t>RULED</t>
        </is>
      </c>
      <c r="W226" t="inlineStr">
        <is>
          <t>UNITED STATES</t>
        </is>
      </c>
      <c r="X226" t="inlineStr">
        <is>
          <t>Latin America</t>
        </is>
      </c>
      <c r="Y226" t="inlineStr">
        <is>
          <t>RUSSIA</t>
        </is>
      </c>
      <c r="Z226" t="inlineStr">
        <is>
          <t>External Review</t>
        </is>
      </c>
      <c r="AA226" t="inlineStr">
        <is>
          <t>HUB SHIPPING LLC-LED</t>
        </is>
      </c>
      <c r="AB226" t="inlineStr">
        <is>
          <t>Collect</t>
        </is>
      </c>
      <c r="AC226" t="inlineStr">
        <is>
          <t>MERCURY / VOYAGE 1</t>
        </is>
      </c>
      <c r="AE226" t="inlineStr">
        <is>
          <t>LADEN BOOKING</t>
        </is>
      </c>
      <c r="AF226" t="inlineStr">
        <is>
          <t>RenniUAM</t>
        </is>
      </c>
      <c r="AG226" t="inlineStr">
        <is>
          <t>DC20</t>
        </is>
      </c>
      <c r="AH226" t="inlineStr">
        <is>
          <t>NO</t>
        </is>
      </c>
      <c r="AI226" t="n">
        <v>20</v>
      </c>
      <c r="AJ226" t="n">
        <v>1</v>
      </c>
      <c r="AK226" t="n">
        <v>0</v>
      </c>
      <c r="AL226" t="inlineStr">
        <is>
          <t>ANON0000000</t>
        </is>
      </c>
      <c r="AP226" t="inlineStr">
        <is>
          <t>Non Haz</t>
        </is>
      </c>
      <c r="AQ226" t="inlineStr">
        <is>
          <t>CY/CY</t>
        </is>
      </c>
      <c r="AT226" t="inlineStr">
        <is>
          <t>REF000000</t>
        </is>
      </c>
      <c r="AU226" t="n">
        <v>5500</v>
      </c>
      <c r="AV226" t="inlineStr">
        <is>
          <t>GENERAL COMMODITY</t>
        </is>
      </c>
      <c r="AX226" t="inlineStr">
        <is>
          <t>RSUAM032600049</t>
        </is>
      </c>
      <c r="AZ226" t="n">
        <v>0</v>
      </c>
      <c r="BA226" t="n">
        <v>10</v>
      </c>
      <c r="BB226" t="n">
        <v>14</v>
      </c>
      <c r="BC226" t="n">
        <v>2600</v>
      </c>
      <c r="BD226" t="inlineStr">
        <is>
          <t>Yes</t>
        </is>
      </c>
      <c r="BG226" t="inlineStr">
        <is>
          <t>RULED</t>
        </is>
      </c>
      <c r="BH226" t="n">
        <v>1</v>
      </c>
      <c r="BI226" t="n">
        <v>0</v>
      </c>
      <c r="BJ226" t="n">
        <v>2600</v>
      </c>
      <c r="BK226" t="inlineStr">
        <is>
          <t>LINE</t>
        </is>
      </c>
      <c r="BL226" t="inlineStr">
        <is>
          <t>EAGLE DRY</t>
        </is>
      </c>
      <c r="BM226" t="inlineStr">
        <is>
          <t>EAGLE DRY</t>
        </is>
      </c>
    </row>
    <row r="227">
      <c r="A227" t="n">
        <v>226</v>
      </c>
      <c r="B227" t="inlineStr">
        <is>
          <t>COYOTE DRY</t>
        </is>
      </c>
      <c r="C227" t="inlineStr">
        <is>
          <t>REF000000</t>
        </is>
      </c>
      <c r="D227" t="inlineStr">
        <is>
          <t>REF000000</t>
        </is>
      </c>
      <c r="E227" t="n">
        <v>46099</v>
      </c>
      <c r="F227" t="inlineStr">
        <is>
          <t>COYOTE DRY</t>
        </is>
      </c>
      <c r="H227" t="inlineStr">
        <is>
          <t>AdminUAM</t>
        </is>
      </c>
      <c r="J227" t="inlineStr">
        <is>
          <t>23-APR-2026</t>
        </is>
      </c>
      <c r="K227" t="inlineStr">
        <is>
          <t>23-APR-2026</t>
        </is>
      </c>
      <c r="M227" t="inlineStr">
        <is>
          <t>REF000000</t>
        </is>
      </c>
      <c r="N227" t="inlineStr">
        <is>
          <t>USNFK</t>
        </is>
      </c>
      <c r="O227" t="inlineStr">
        <is>
          <t>USNFK</t>
        </is>
      </c>
      <c r="P227" t="inlineStr">
        <is>
          <t>RULED</t>
        </is>
      </c>
      <c r="U227" t="inlineStr">
        <is>
          <t>RULED</t>
        </is>
      </c>
      <c r="V227" t="inlineStr">
        <is>
          <t>RULED</t>
        </is>
      </c>
      <c r="W227" t="inlineStr">
        <is>
          <t>UNITED STATES</t>
        </is>
      </c>
      <c r="X227" t="inlineStr">
        <is>
          <t>Latin America</t>
        </is>
      </c>
      <c r="Y227" t="inlineStr">
        <is>
          <t>RUSSIA</t>
        </is>
      </c>
      <c r="Z227" t="inlineStr">
        <is>
          <t>External Review</t>
        </is>
      </c>
      <c r="AA227" t="inlineStr">
        <is>
          <t>HUB SHIPPING LLC-LED</t>
        </is>
      </c>
      <c r="AB227" t="inlineStr">
        <is>
          <t>Collect</t>
        </is>
      </c>
      <c r="AC227" t="inlineStr">
        <is>
          <t>VENUS / VOYAGE 2</t>
        </is>
      </c>
      <c r="AE227" t="inlineStr">
        <is>
          <t>LADEN BOOKING</t>
        </is>
      </c>
      <c r="AF227" t="inlineStr">
        <is>
          <t>RenniUAM</t>
        </is>
      </c>
      <c r="AG227" t="inlineStr">
        <is>
          <t>DC20</t>
        </is>
      </c>
      <c r="AH227" t="inlineStr">
        <is>
          <t>NO</t>
        </is>
      </c>
      <c r="AI227" t="n">
        <v>20</v>
      </c>
      <c r="AJ227" t="n">
        <v>1</v>
      </c>
      <c r="AK227" t="n">
        <v>0</v>
      </c>
      <c r="AP227" t="inlineStr">
        <is>
          <t>Non Haz</t>
        </is>
      </c>
      <c r="AQ227" t="inlineStr">
        <is>
          <t>CY/CY</t>
        </is>
      </c>
      <c r="AU227" t="n">
        <v>26000</v>
      </c>
      <c r="AV227" t="inlineStr">
        <is>
          <t>GENERAL COMMODITY</t>
        </is>
      </c>
      <c r="AX227" t="inlineStr">
        <is>
          <t>RSUAM032600005</t>
        </is>
      </c>
      <c r="AZ227" t="n">
        <v>0</v>
      </c>
      <c r="BA227" t="n">
        <v>10</v>
      </c>
      <c r="BB227" t="n">
        <v>14</v>
      </c>
      <c r="BC227" t="n">
        <v>2600</v>
      </c>
      <c r="BD227" t="inlineStr">
        <is>
          <t>Yes</t>
        </is>
      </c>
      <c r="BG227" t="inlineStr">
        <is>
          <t>RULED</t>
        </is>
      </c>
      <c r="BH227" t="n">
        <v>0</v>
      </c>
      <c r="BI227" t="n">
        <v>0</v>
      </c>
      <c r="BJ227" t="inlineStr">
        <is>
          <t xml:space="preserve"> 0</t>
        </is>
      </c>
      <c r="BK227" t="inlineStr">
        <is>
          <t>LINE</t>
        </is>
      </c>
      <c r="BL227" t="inlineStr">
        <is>
          <t>COYOTE DRY</t>
        </is>
      </c>
      <c r="BM227" t="inlineStr">
        <is>
          <t>COYOTE DRY</t>
        </is>
      </c>
    </row>
    <row r="228">
      <c r="A228" t="n">
        <v>227</v>
      </c>
      <c r="B228" t="inlineStr">
        <is>
          <t>ORCA REEFER</t>
        </is>
      </c>
      <c r="C228" t="inlineStr">
        <is>
          <t>REF000000</t>
        </is>
      </c>
      <c r="D228" t="inlineStr">
        <is>
          <t>REF000000</t>
        </is>
      </c>
      <c r="E228" t="n">
        <v>46100</v>
      </c>
      <c r="F228" t="inlineStr">
        <is>
          <t>ORCA REEFER</t>
        </is>
      </c>
      <c r="G228" t="inlineStr">
        <is>
          <t>dummy booking for cross stuff from ANON0000000 to ANON0000000 ex booking REF000000</t>
        </is>
      </c>
      <c r="H228" t="inlineStr">
        <is>
          <t>AdminUAM</t>
        </is>
      </c>
      <c r="J228" t="inlineStr">
        <is>
          <t>14-APR-2026</t>
        </is>
      </c>
      <c r="K228" t="inlineStr">
        <is>
          <t>09-APR-2026</t>
        </is>
      </c>
      <c r="M228" t="inlineStr">
        <is>
          <t>REF000000</t>
        </is>
      </c>
      <c r="N228" t="inlineStr">
        <is>
          <t>USNFK</t>
        </is>
      </c>
      <c r="O228" t="inlineStr">
        <is>
          <t>USNFK</t>
        </is>
      </c>
      <c r="P228" t="inlineStr">
        <is>
          <t>RULED</t>
        </is>
      </c>
      <c r="U228" t="inlineStr">
        <is>
          <t>RULED</t>
        </is>
      </c>
      <c r="V228" t="inlineStr">
        <is>
          <t>RULED</t>
        </is>
      </c>
      <c r="W228" t="inlineStr">
        <is>
          <t>UNITED STATES</t>
        </is>
      </c>
      <c r="X228" t="inlineStr">
        <is>
          <t>Latin America</t>
        </is>
      </c>
      <c r="Y228" t="inlineStr">
        <is>
          <t>RUSSIA</t>
        </is>
      </c>
      <c r="Z228" t="inlineStr">
        <is>
          <t>External Review</t>
        </is>
      </c>
      <c r="AA228" t="inlineStr">
        <is>
          <t>HUB SHIPPING LLC-LED</t>
        </is>
      </c>
      <c r="AB228" t="inlineStr">
        <is>
          <t>Collect</t>
        </is>
      </c>
      <c r="AC228" t="inlineStr">
        <is>
          <t>MERCURY / VOYAGE 1</t>
        </is>
      </c>
      <c r="AE228" t="inlineStr">
        <is>
          <t>LADEN BOOKING</t>
        </is>
      </c>
      <c r="AF228" t="inlineStr">
        <is>
          <t>HODOXUAM</t>
        </is>
      </c>
      <c r="AG228" t="inlineStr">
        <is>
          <t>RH40</t>
        </is>
      </c>
      <c r="AH228" t="inlineStr">
        <is>
          <t>NO</t>
        </is>
      </c>
      <c r="AI228" t="n">
        <v>40</v>
      </c>
      <c r="AJ228" t="n">
        <v>0</v>
      </c>
      <c r="AK228" t="n">
        <v>1</v>
      </c>
      <c r="AM228" t="n">
        <v>-18</v>
      </c>
      <c r="AP228" t="inlineStr">
        <is>
          <t>Non Haz</t>
        </is>
      </c>
      <c r="AQ228" t="inlineStr">
        <is>
          <t>CY/CY</t>
        </is>
      </c>
      <c r="AU228" t="n">
        <v>25000</v>
      </c>
      <c r="AV228" t="inlineStr">
        <is>
          <t>FROZEN MEAT</t>
        </is>
      </c>
      <c r="AX228" t="inlineStr">
        <is>
          <t>RSUAM032600058</t>
        </is>
      </c>
      <c r="AZ228" t="n">
        <v>0</v>
      </c>
      <c r="BA228" t="n">
        <v>5</v>
      </c>
      <c r="BB228" t="n">
        <v>5</v>
      </c>
      <c r="BC228" t="inlineStr">
        <is>
          <t xml:space="preserve"> 0</t>
        </is>
      </c>
      <c r="BD228" t="inlineStr">
        <is>
          <t>No</t>
        </is>
      </c>
      <c r="BG228" t="inlineStr">
        <is>
          <t>RULED</t>
        </is>
      </c>
      <c r="BH228" t="n">
        <v>0</v>
      </c>
      <c r="BI228" t="n">
        <v>0</v>
      </c>
      <c r="BJ228" t="inlineStr">
        <is>
          <t xml:space="preserve"> 0</t>
        </is>
      </c>
      <c r="BK228" t="inlineStr">
        <is>
          <t>LINE</t>
        </is>
      </c>
      <c r="BL228" t="inlineStr">
        <is>
          <t>ORCA REEFER</t>
        </is>
      </c>
      <c r="BM228" t="inlineStr">
        <is>
          <t>ORCA REEFER</t>
        </is>
      </c>
    </row>
    <row r="229">
      <c r="A229" t="n">
        <v>228</v>
      </c>
      <c r="B229" t="inlineStr">
        <is>
          <t>WOLF DRY</t>
        </is>
      </c>
      <c r="C229" t="inlineStr">
        <is>
          <t>REF000000</t>
        </is>
      </c>
      <c r="D229" t="inlineStr">
        <is>
          <t>REF000000</t>
        </is>
      </c>
      <c r="E229" t="n">
        <v>46100</v>
      </c>
      <c r="F229" t="inlineStr">
        <is>
          <t>WOLF DRY</t>
        </is>
      </c>
      <c r="H229" t="inlineStr">
        <is>
          <t>AdminUAM</t>
        </is>
      </c>
      <c r="J229" t="inlineStr">
        <is>
          <t>10-APR-2026</t>
        </is>
      </c>
      <c r="K229" t="inlineStr">
        <is>
          <t>05-APR-2026</t>
        </is>
      </c>
      <c r="M229" t="inlineStr">
        <is>
          <t>REF000000</t>
        </is>
      </c>
      <c r="N229" t="inlineStr">
        <is>
          <t>USNFK</t>
        </is>
      </c>
      <c r="O229" t="inlineStr">
        <is>
          <t>USNFK</t>
        </is>
      </c>
      <c r="P229" t="inlineStr">
        <is>
          <t>RULED</t>
        </is>
      </c>
      <c r="U229" t="inlineStr">
        <is>
          <t>RULED</t>
        </is>
      </c>
      <c r="V229" t="inlineStr">
        <is>
          <t>RULED</t>
        </is>
      </c>
      <c r="W229" t="inlineStr">
        <is>
          <t>UNITED STATES</t>
        </is>
      </c>
      <c r="X229" t="inlineStr">
        <is>
          <t>Latin America</t>
        </is>
      </c>
      <c r="Y229" t="inlineStr">
        <is>
          <t>RUSSIA</t>
        </is>
      </c>
      <c r="Z229" t="inlineStr">
        <is>
          <t>External Review</t>
        </is>
      </c>
      <c r="AA229" t="inlineStr">
        <is>
          <t>HUB SHIPPING LLC-LED</t>
        </is>
      </c>
      <c r="AB229" t="inlineStr">
        <is>
          <t>Collect</t>
        </is>
      </c>
      <c r="AC229" t="inlineStr">
        <is>
          <t>MERCURY / VOYAGE 1</t>
        </is>
      </c>
      <c r="AE229" t="inlineStr">
        <is>
          <t>LADEN BOOKING</t>
        </is>
      </c>
      <c r="AF229" t="inlineStr">
        <is>
          <t>RenniUAM</t>
        </is>
      </c>
      <c r="AG229" t="inlineStr">
        <is>
          <t>DC20</t>
        </is>
      </c>
      <c r="AH229" t="inlineStr">
        <is>
          <t>NO</t>
        </is>
      </c>
      <c r="AI229" t="n">
        <v>20</v>
      </c>
      <c r="AJ229" t="n">
        <v>4</v>
      </c>
      <c r="AK229" t="n">
        <v>0</v>
      </c>
      <c r="AL229" t="inlineStr">
        <is>
          <t>ANON0000000,
ANON0000000,
ANON0000000,
ANON0000000</t>
        </is>
      </c>
      <c r="AP229" t="inlineStr">
        <is>
          <t>Non Haz</t>
        </is>
      </c>
      <c r="AQ229" t="inlineStr">
        <is>
          <t>CY/CY</t>
        </is>
      </c>
      <c r="AT229" t="inlineStr">
        <is>
          <t>REF000000</t>
        </is>
      </c>
      <c r="AU229" t="n">
        <v>23000</v>
      </c>
      <c r="AV229" t="inlineStr">
        <is>
          <t>GENERAL COMMODITY</t>
        </is>
      </c>
      <c r="AX229" t="inlineStr">
        <is>
          <t>RSUAM012600053</t>
        </is>
      </c>
      <c r="AZ229" t="n">
        <v>0</v>
      </c>
      <c r="BA229" t="n">
        <v>14</v>
      </c>
      <c r="BB229" t="n">
        <v>21</v>
      </c>
      <c r="BC229" t="n">
        <v>1750</v>
      </c>
      <c r="BD229" t="inlineStr">
        <is>
          <t>Yes</t>
        </is>
      </c>
      <c r="BG229" t="inlineStr">
        <is>
          <t>RULED</t>
        </is>
      </c>
      <c r="BH229" t="n">
        <v>4</v>
      </c>
      <c r="BI229" t="n">
        <v>0</v>
      </c>
      <c r="BJ229" t="n">
        <v>7000</v>
      </c>
      <c r="BK229" t="inlineStr">
        <is>
          <t>LINE</t>
        </is>
      </c>
      <c r="BL229" t="inlineStr">
        <is>
          <t>WOLF DRY</t>
        </is>
      </c>
      <c r="BM229" t="inlineStr">
        <is>
          <t>WOLF DRY</t>
        </is>
      </c>
    </row>
    <row r="230">
      <c r="A230" t="n">
        <v>229</v>
      </c>
      <c r="B230" t="inlineStr">
        <is>
          <t>DEER DRY</t>
        </is>
      </c>
      <c r="C230" t="inlineStr">
        <is>
          <t>REF000000</t>
        </is>
      </c>
      <c r="D230" t="inlineStr">
        <is>
          <t>REF000000</t>
        </is>
      </c>
      <c r="E230" t="n">
        <v>46100</v>
      </c>
      <c r="F230" t="inlineStr">
        <is>
          <t>DEER DRY</t>
        </is>
      </c>
      <c r="G230" t="inlineStr">
        <is>
          <t>PREPAID</t>
        </is>
      </c>
      <c r="H230" t="inlineStr">
        <is>
          <t>Diego</t>
        </is>
      </c>
      <c r="J230" t="inlineStr">
        <is>
          <t>10-APR-2026</t>
        </is>
      </c>
      <c r="K230" t="inlineStr">
        <is>
          <t>05-APR-2026</t>
        </is>
      </c>
      <c r="M230" t="inlineStr">
        <is>
          <t>REF000000</t>
        </is>
      </c>
      <c r="N230" t="inlineStr">
        <is>
          <t>USNFK</t>
        </is>
      </c>
      <c r="O230" t="inlineStr">
        <is>
          <t>USNFK</t>
        </is>
      </c>
      <c r="P230" t="inlineStr">
        <is>
          <t>RULED</t>
        </is>
      </c>
      <c r="U230" t="inlineStr">
        <is>
          <t>RULED</t>
        </is>
      </c>
      <c r="V230" t="inlineStr">
        <is>
          <t>RULED</t>
        </is>
      </c>
      <c r="W230" t="inlineStr">
        <is>
          <t>UNITED STATES</t>
        </is>
      </c>
      <c r="X230" t="inlineStr">
        <is>
          <t>Latin America</t>
        </is>
      </c>
      <c r="Y230" t="inlineStr">
        <is>
          <t>RUSSIA</t>
        </is>
      </c>
      <c r="Z230" t="inlineStr">
        <is>
          <t>External Review</t>
        </is>
      </c>
      <c r="AA230" t="inlineStr">
        <is>
          <t>HUB SHIPPING LLC-LED</t>
        </is>
      </c>
      <c r="AB230" t="inlineStr">
        <is>
          <t>Prepaid</t>
        </is>
      </c>
      <c r="AC230" t="inlineStr">
        <is>
          <t>MERCURY / VOYAGE 1</t>
        </is>
      </c>
      <c r="AE230" t="inlineStr">
        <is>
          <t>LADEN BOOKING</t>
        </is>
      </c>
      <c r="AF230" t="inlineStr">
        <is>
          <t>Maria Jessica Da Si</t>
        </is>
      </c>
      <c r="AG230" t="inlineStr">
        <is>
          <t>DC20</t>
        </is>
      </c>
      <c r="AH230" t="inlineStr">
        <is>
          <t>NO</t>
        </is>
      </c>
      <c r="AI230" t="n">
        <v>20</v>
      </c>
      <c r="AJ230" t="n">
        <v>1</v>
      </c>
      <c r="AK230" t="n">
        <v>0</v>
      </c>
      <c r="AL230" t="inlineStr">
        <is>
          <t>ANON0000000</t>
        </is>
      </c>
      <c r="AP230" t="inlineStr">
        <is>
          <t>Non Haz</t>
        </is>
      </c>
      <c r="AQ230" t="inlineStr">
        <is>
          <t>CY/CY</t>
        </is>
      </c>
      <c r="AT230" t="inlineStr">
        <is>
          <t>REF000000</t>
        </is>
      </c>
      <c r="AU230" t="n">
        <v>11000</v>
      </c>
      <c r="AV230" t="inlineStr">
        <is>
          <t>GENERAL COMMODITY</t>
        </is>
      </c>
      <c r="AX230" t="inlineStr">
        <is>
          <t>MRG421236</t>
        </is>
      </c>
      <c r="AY230" t="inlineStr">
        <is>
          <t>LINE</t>
        </is>
      </c>
      <c r="AZ230" t="n">
        <v>0</v>
      </c>
      <c r="BA230" t="n">
        <v>14</v>
      </c>
      <c r="BB230" t="n">
        <v>14</v>
      </c>
      <c r="BC230" t="n">
        <v>3400</v>
      </c>
      <c r="BD230" t="inlineStr">
        <is>
          <t>No</t>
        </is>
      </c>
      <c r="BG230" t="inlineStr">
        <is>
          <t>USNFK</t>
        </is>
      </c>
      <c r="BH230" t="n">
        <v>1</v>
      </c>
      <c r="BI230" t="n">
        <v>0</v>
      </c>
      <c r="BJ230" t="n">
        <v>3400</v>
      </c>
      <c r="BK230" t="inlineStr">
        <is>
          <t>LINE</t>
        </is>
      </c>
      <c r="BL230" t="inlineStr">
        <is>
          <t>DEER DRY</t>
        </is>
      </c>
      <c r="BM230" t="inlineStr">
        <is>
          <t>DEER DRY</t>
        </is>
      </c>
    </row>
    <row r="231">
      <c r="A231" t="n">
        <v>230</v>
      </c>
      <c r="B231" t="inlineStr">
        <is>
          <t>SHARK REEFER</t>
        </is>
      </c>
      <c r="C231" t="inlineStr">
        <is>
          <t>REF000000</t>
        </is>
      </c>
      <c r="D231" t="inlineStr">
        <is>
          <t>REF000000</t>
        </is>
      </c>
      <c r="E231" t="n">
        <v>46104</v>
      </c>
      <c r="F231" t="inlineStr">
        <is>
          <t>SHARK REEFER</t>
        </is>
      </c>
      <c r="G231" t="inlineStr">
        <is>
          <t>PREPAID ABROAD</t>
        </is>
      </c>
      <c r="H231" t="inlineStr">
        <is>
          <t>Regional Operations_UNIMAR</t>
        </is>
      </c>
      <c r="J231" t="inlineStr">
        <is>
          <t>10-APR-2026</t>
        </is>
      </c>
      <c r="K231" t="inlineStr">
        <is>
          <t>06-APR-2026</t>
        </is>
      </c>
      <c r="L231" t="inlineStr">
        <is>
          <t>10-APR-2026</t>
        </is>
      </c>
      <c r="M231" t="inlineStr">
        <is>
          <t>REF000000</t>
        </is>
      </c>
      <c r="N231" t="inlineStr">
        <is>
          <t>USNYC</t>
        </is>
      </c>
      <c r="O231" t="inlineStr">
        <is>
          <t>USNYC</t>
        </is>
      </c>
      <c r="P231" t="inlineStr">
        <is>
          <t>RULED</t>
        </is>
      </c>
      <c r="U231" t="inlineStr">
        <is>
          <t>RULED</t>
        </is>
      </c>
      <c r="V231" t="inlineStr">
        <is>
          <t>RULED</t>
        </is>
      </c>
      <c r="W231" t="inlineStr">
        <is>
          <t>UNITED STATES</t>
        </is>
      </c>
      <c r="X231" t="inlineStr">
        <is>
          <t>Latin America</t>
        </is>
      </c>
      <c r="Y231" t="inlineStr">
        <is>
          <t>RUSSIA</t>
        </is>
      </c>
      <c r="Z231" t="inlineStr">
        <is>
          <t>External Review</t>
        </is>
      </c>
      <c r="AA231" t="inlineStr">
        <is>
          <t>HUB SHIPPING LLC-LED</t>
        </is>
      </c>
      <c r="AB231" t="inlineStr">
        <is>
          <t>Prepaid</t>
        </is>
      </c>
      <c r="AC231" t="inlineStr">
        <is>
          <t>MERCURY / VOYAGE 1</t>
        </is>
      </c>
      <c r="AE231" t="inlineStr">
        <is>
          <t>LADEN BOOKING</t>
        </is>
      </c>
      <c r="AF231" t="inlineStr">
        <is>
          <t>Joao Ribeiro</t>
        </is>
      </c>
      <c r="AG231" t="inlineStr">
        <is>
          <t>RH40</t>
        </is>
      </c>
      <c r="AH231" t="inlineStr">
        <is>
          <t>NO</t>
        </is>
      </c>
      <c r="AI231" t="n">
        <v>40</v>
      </c>
      <c r="AJ231" t="n">
        <v>0</v>
      </c>
      <c r="AK231" t="n">
        <v>1</v>
      </c>
      <c r="AL231" t="inlineStr">
        <is>
          <t>ANON0000000</t>
        </is>
      </c>
      <c r="AM231" t="n">
        <v>-18</v>
      </c>
      <c r="AP231" t="inlineStr">
        <is>
          <t>Non Haz</t>
        </is>
      </c>
      <c r="AQ231" t="inlineStr">
        <is>
          <t>CY/CY</t>
        </is>
      </c>
      <c r="AT231" t="inlineStr">
        <is>
          <t>REF000000</t>
        </is>
      </c>
      <c r="AU231" t="n">
        <v>28000</v>
      </c>
      <c r="AV231" t="inlineStr">
        <is>
          <t>FROZEN MEAT</t>
        </is>
      </c>
      <c r="AX231" t="inlineStr">
        <is>
          <t>RSUAM032600032</t>
        </is>
      </c>
      <c r="AZ231" t="n">
        <v>5</v>
      </c>
      <c r="BA231" t="n">
        <v>25</v>
      </c>
      <c r="BB231" t="n">
        <v>15</v>
      </c>
      <c r="BC231" t="n">
        <v>7000</v>
      </c>
      <c r="BD231" t="inlineStr">
        <is>
          <t>No</t>
        </is>
      </c>
      <c r="BF231" t="inlineStr">
        <is>
          <t>ARTHA SHIPPING</t>
        </is>
      </c>
      <c r="BG231" t="inlineStr">
        <is>
          <t>USNYC</t>
        </is>
      </c>
      <c r="BH231" t="n">
        <v>0</v>
      </c>
      <c r="BI231" t="n">
        <v>1</v>
      </c>
      <c r="BJ231" t="n">
        <v>7000</v>
      </c>
      <c r="BK231" t="inlineStr">
        <is>
          <t>LINE</t>
        </is>
      </c>
      <c r="BL231" t="inlineStr">
        <is>
          <t>SHARK REEFER</t>
        </is>
      </c>
      <c r="BM231" t="inlineStr">
        <is>
          <t>SHARK REEFER</t>
        </is>
      </c>
    </row>
    <row r="232">
      <c r="A232" t="n">
        <v>231</v>
      </c>
      <c r="B232" t="inlineStr">
        <is>
          <t>DOLPHIN REEFER</t>
        </is>
      </c>
      <c r="C232" t="inlineStr">
        <is>
          <t>REF000000</t>
        </is>
      </c>
      <c r="D232" t="inlineStr">
        <is>
          <t>REF000000</t>
        </is>
      </c>
      <c r="E232" t="n">
        <v>46104</v>
      </c>
      <c r="F232" t="inlineStr">
        <is>
          <t>DOLPHIN REEFER</t>
        </is>
      </c>
      <c r="G232" t="inlineStr">
        <is>
          <t>PREPAID</t>
        </is>
      </c>
      <c r="H232" t="inlineStr">
        <is>
          <t>Regional Operations_UNIMAR</t>
        </is>
      </c>
      <c r="J232" t="inlineStr">
        <is>
          <t>11-APR-2026</t>
        </is>
      </c>
      <c r="K232" t="inlineStr">
        <is>
          <t>10-APR-2026</t>
        </is>
      </c>
      <c r="L232" t="inlineStr">
        <is>
          <t>11-APR-2026</t>
        </is>
      </c>
      <c r="M232" t="inlineStr">
        <is>
          <t>REF000000</t>
        </is>
      </c>
      <c r="N232" t="inlineStr">
        <is>
          <t>USHOU</t>
        </is>
      </c>
      <c r="O232" t="inlineStr">
        <is>
          <t>USHOU</t>
        </is>
      </c>
      <c r="P232" t="inlineStr">
        <is>
          <t>RULED</t>
        </is>
      </c>
      <c r="U232" t="inlineStr">
        <is>
          <t>RULED</t>
        </is>
      </c>
      <c r="V232" t="inlineStr">
        <is>
          <t>RULED</t>
        </is>
      </c>
      <c r="W232" t="inlineStr">
        <is>
          <t>UNITED STATES</t>
        </is>
      </c>
      <c r="X232" t="inlineStr">
        <is>
          <t>Latin America</t>
        </is>
      </c>
      <c r="Y232" t="inlineStr">
        <is>
          <t>RUSSIA</t>
        </is>
      </c>
      <c r="Z232" t="inlineStr">
        <is>
          <t>External Review</t>
        </is>
      </c>
      <c r="AA232" t="inlineStr">
        <is>
          <t>HUB SHIPPING LLC-LED</t>
        </is>
      </c>
      <c r="AB232" t="inlineStr">
        <is>
          <t>Prepaid</t>
        </is>
      </c>
      <c r="AC232" t="inlineStr">
        <is>
          <t>MERCURY / VOYAGE 1</t>
        </is>
      </c>
      <c r="AE232" t="inlineStr">
        <is>
          <t>LADEN BOOKING</t>
        </is>
      </c>
      <c r="AF232" t="inlineStr">
        <is>
          <t>Joao Ribeiro</t>
        </is>
      </c>
      <c r="AG232" t="inlineStr">
        <is>
          <t>RH40</t>
        </is>
      </c>
      <c r="AH232" t="inlineStr">
        <is>
          <t>NO</t>
        </is>
      </c>
      <c r="AI232" t="n">
        <v>40</v>
      </c>
      <c r="AJ232" t="n">
        <v>0</v>
      </c>
      <c r="AK232" t="n">
        <v>2</v>
      </c>
      <c r="AL232" t="inlineStr">
        <is>
          <t>ANON0000000,
ANON0000000</t>
        </is>
      </c>
      <c r="AM232" t="n">
        <v>0</v>
      </c>
      <c r="AN232" t="n">
        <v>90</v>
      </c>
      <c r="AO232" t="n">
        <v>40</v>
      </c>
      <c r="AP232" t="inlineStr">
        <is>
          <t>Non Haz</t>
        </is>
      </c>
      <c r="AQ232" t="inlineStr">
        <is>
          <t>CY/CY</t>
        </is>
      </c>
      <c r="AT232" t="inlineStr">
        <is>
          <t>REF000000</t>
        </is>
      </c>
      <c r="AU232" t="n">
        <v>28000</v>
      </c>
      <c r="AV232" t="inlineStr">
        <is>
          <t>APPLE FRUIT</t>
        </is>
      </c>
      <c r="AX232" t="inlineStr">
        <is>
          <t>RSUAM032600066</t>
        </is>
      </c>
      <c r="AZ232" t="n">
        <v>0</v>
      </c>
      <c r="BA232" t="n">
        <v>14</v>
      </c>
      <c r="BB232" t="n">
        <v>5</v>
      </c>
      <c r="BC232" t="n">
        <v>7650</v>
      </c>
      <c r="BD232" t="inlineStr">
        <is>
          <t>No</t>
        </is>
      </c>
      <c r="BF232" t="inlineStr">
        <is>
          <t>ARTHA SHIPPING</t>
        </is>
      </c>
      <c r="BG232" t="inlineStr">
        <is>
          <t>USHOU</t>
        </is>
      </c>
      <c r="BH232" t="n">
        <v>0</v>
      </c>
      <c r="BI232" t="n">
        <v>2</v>
      </c>
      <c r="BJ232" t="n">
        <v>15300</v>
      </c>
      <c r="BK232" t="inlineStr">
        <is>
          <t>LINE</t>
        </is>
      </c>
      <c r="BL232" t="inlineStr">
        <is>
          <t>DOLPHIN REEFER</t>
        </is>
      </c>
      <c r="BM232" t="inlineStr">
        <is>
          <t>DOLPHIN REEFER</t>
        </is>
      </c>
    </row>
    <row r="233">
      <c r="A233" t="n">
        <v>232</v>
      </c>
      <c r="B233" t="inlineStr">
        <is>
          <t>EAGLE DRY</t>
        </is>
      </c>
      <c r="C233" t="inlineStr">
        <is>
          <t>REF000000</t>
        </is>
      </c>
      <c r="D233" t="inlineStr">
        <is>
          <t>REF000000</t>
        </is>
      </c>
      <c r="E233" t="n">
        <v>46105</v>
      </c>
      <c r="F233" t="inlineStr">
        <is>
          <t>EAGLE DRY</t>
        </is>
      </c>
      <c r="H233" t="inlineStr">
        <is>
          <t>AdminUAM</t>
        </is>
      </c>
      <c r="J233" t="inlineStr">
        <is>
          <t>14-APR-2026</t>
        </is>
      </c>
      <c r="K233" t="inlineStr">
        <is>
          <t>09-APR-2026</t>
        </is>
      </c>
      <c r="M233" t="inlineStr">
        <is>
          <t>REF000000</t>
        </is>
      </c>
      <c r="N233" t="inlineStr">
        <is>
          <t>USNFK</t>
        </is>
      </c>
      <c r="O233" t="inlineStr">
        <is>
          <t>USNFK</t>
        </is>
      </c>
      <c r="P233" t="inlineStr">
        <is>
          <t>RULED</t>
        </is>
      </c>
      <c r="U233" t="inlineStr">
        <is>
          <t>RULED</t>
        </is>
      </c>
      <c r="V233" t="inlineStr">
        <is>
          <t>RULED</t>
        </is>
      </c>
      <c r="W233" t="inlineStr">
        <is>
          <t>UNITED STATES</t>
        </is>
      </c>
      <c r="X233" t="inlineStr">
        <is>
          <t>Latin America</t>
        </is>
      </c>
      <c r="Y233" t="inlineStr">
        <is>
          <t>RUSSIA</t>
        </is>
      </c>
      <c r="Z233" t="inlineStr">
        <is>
          <t>External Review</t>
        </is>
      </c>
      <c r="AA233" t="inlineStr">
        <is>
          <t>HUB SHIPPING LLC-LED</t>
        </is>
      </c>
      <c r="AB233" t="inlineStr">
        <is>
          <t>Collect</t>
        </is>
      </c>
      <c r="AC233" t="inlineStr">
        <is>
          <t>MERCURY / VOYAGE 1</t>
        </is>
      </c>
      <c r="AE233" t="inlineStr">
        <is>
          <t>LADEN BOOKING</t>
        </is>
      </c>
      <c r="AF233" t="inlineStr">
        <is>
          <t>RenniUAM</t>
        </is>
      </c>
      <c r="AG233" t="inlineStr">
        <is>
          <t>HC40</t>
        </is>
      </c>
      <c r="AH233" t="inlineStr">
        <is>
          <t>NO</t>
        </is>
      </c>
      <c r="AI233" t="n">
        <v>40</v>
      </c>
      <c r="AJ233" t="n">
        <v>0</v>
      </c>
      <c r="AK233" t="n">
        <v>1</v>
      </c>
      <c r="AL233" t="inlineStr">
        <is>
          <t>ANON0000000</t>
        </is>
      </c>
      <c r="AP233" t="inlineStr">
        <is>
          <t>Non Haz</t>
        </is>
      </c>
      <c r="AQ233" t="inlineStr">
        <is>
          <t>CY/CY</t>
        </is>
      </c>
      <c r="AT233" t="inlineStr">
        <is>
          <t>REF000000</t>
        </is>
      </c>
      <c r="AU233" t="n">
        <v>5500</v>
      </c>
      <c r="AV233" t="inlineStr">
        <is>
          <t>GENERAL COMMODITY</t>
        </is>
      </c>
      <c r="AX233" t="inlineStr">
        <is>
          <t>MRG421243</t>
        </is>
      </c>
      <c r="AY233" t="inlineStr">
        <is>
          <t>LINE</t>
        </is>
      </c>
      <c r="AZ233" t="n">
        <v>0</v>
      </c>
      <c r="BA233" t="n">
        <v>14</v>
      </c>
      <c r="BB233" t="n">
        <v>14</v>
      </c>
      <c r="BC233" t="n">
        <v>5000</v>
      </c>
      <c r="BD233" t="inlineStr">
        <is>
          <t>Yes</t>
        </is>
      </c>
      <c r="BG233" t="inlineStr">
        <is>
          <t>RULED</t>
        </is>
      </c>
      <c r="BH233" t="n">
        <v>0</v>
      </c>
      <c r="BI233" t="n">
        <v>1</v>
      </c>
      <c r="BJ233" t="n">
        <v>5000</v>
      </c>
      <c r="BK233" t="inlineStr">
        <is>
          <t>LINE</t>
        </is>
      </c>
      <c r="BL233" t="inlineStr">
        <is>
          <t>EAGLE DRY</t>
        </is>
      </c>
      <c r="BM233" t="inlineStr">
        <is>
          <t>EAGLE DRY</t>
        </is>
      </c>
    </row>
    <row r="234">
      <c r="A234" t="n">
        <v>233</v>
      </c>
      <c r="B234" t="inlineStr">
        <is>
          <t>COYOTE DRY</t>
        </is>
      </c>
      <c r="C234" t="inlineStr">
        <is>
          <t>REF000000</t>
        </is>
      </c>
      <c r="D234" t="inlineStr">
        <is>
          <t>REF000000</t>
        </is>
      </c>
      <c r="E234" t="n">
        <v>46105</v>
      </c>
      <c r="F234" t="inlineStr">
        <is>
          <t>COYOTE DRY</t>
        </is>
      </c>
      <c r="G234" t="inlineStr">
        <is>
          <t>PREPAID ABROAD</t>
        </is>
      </c>
      <c r="H234" t="inlineStr">
        <is>
          <t>Diego</t>
        </is>
      </c>
      <c r="J234" t="inlineStr">
        <is>
          <t>14-APR-2026</t>
        </is>
      </c>
      <c r="K234" t="inlineStr">
        <is>
          <t>09-APR-2026</t>
        </is>
      </c>
      <c r="M234" t="inlineStr">
        <is>
          <t>REF000000</t>
        </is>
      </c>
      <c r="N234" t="inlineStr">
        <is>
          <t>USNFK</t>
        </is>
      </c>
      <c r="O234" t="inlineStr">
        <is>
          <t>USNFK</t>
        </is>
      </c>
      <c r="P234" t="inlineStr">
        <is>
          <t>RULED</t>
        </is>
      </c>
      <c r="U234" t="inlineStr">
        <is>
          <t>RULED</t>
        </is>
      </c>
      <c r="V234" t="inlineStr">
        <is>
          <t>RULED</t>
        </is>
      </c>
      <c r="W234" t="inlineStr">
        <is>
          <t>UNITED STATES</t>
        </is>
      </c>
      <c r="X234" t="inlineStr">
        <is>
          <t>Latin America</t>
        </is>
      </c>
      <c r="Y234" t="inlineStr">
        <is>
          <t>RUSSIA</t>
        </is>
      </c>
      <c r="Z234" t="inlineStr">
        <is>
          <t>External Review</t>
        </is>
      </c>
      <c r="AA234" t="inlineStr">
        <is>
          <t>HUB SHIPPING LLC-LED</t>
        </is>
      </c>
      <c r="AB234" t="inlineStr">
        <is>
          <t>Prepaid</t>
        </is>
      </c>
      <c r="AC234" t="inlineStr">
        <is>
          <t>MERCURY / VOYAGE 1</t>
        </is>
      </c>
      <c r="AE234" t="inlineStr">
        <is>
          <t>LADEN BOOKING</t>
        </is>
      </c>
      <c r="AF234" t="inlineStr">
        <is>
          <t>Maria Jessica Da Si</t>
        </is>
      </c>
      <c r="AG234" t="inlineStr">
        <is>
          <t>DC20</t>
        </is>
      </c>
      <c r="AH234" t="inlineStr">
        <is>
          <t>NO</t>
        </is>
      </c>
      <c r="AI234" t="n">
        <v>20</v>
      </c>
      <c r="AJ234" t="n">
        <v>6</v>
      </c>
      <c r="AK234" t="n">
        <v>0</v>
      </c>
      <c r="AL234" t="inlineStr">
        <is>
          <t>ANON0000000,
ANON0000000,
ANON0000000,
ANON0000000,
ANON0000000,
ANON0000000</t>
        </is>
      </c>
      <c r="AP234" t="inlineStr">
        <is>
          <t>Non Haz</t>
        </is>
      </c>
      <c r="AQ234" t="inlineStr">
        <is>
          <t>CY/CY</t>
        </is>
      </c>
      <c r="AT234" t="inlineStr">
        <is>
          <t>REF000000</t>
        </is>
      </c>
      <c r="AU234" t="n">
        <v>27000</v>
      </c>
      <c r="AV234" t="inlineStr">
        <is>
          <t>RESIN</t>
        </is>
      </c>
      <c r="AX234" t="inlineStr">
        <is>
          <t>RSUAM032600068</t>
        </is>
      </c>
      <c r="AZ234" t="n">
        <v>0</v>
      </c>
      <c r="BA234" t="n">
        <v>14</v>
      </c>
      <c r="BB234" t="n">
        <v>14</v>
      </c>
      <c r="BC234" t="n">
        <v>3000</v>
      </c>
      <c r="BD234" t="inlineStr">
        <is>
          <t>No</t>
        </is>
      </c>
      <c r="BG234" t="inlineStr">
        <is>
          <t>USNFK</t>
        </is>
      </c>
      <c r="BH234" t="n">
        <v>6</v>
      </c>
      <c r="BI234" t="n">
        <v>0</v>
      </c>
      <c r="BJ234" t="n">
        <v>18000</v>
      </c>
      <c r="BK234" t="inlineStr">
        <is>
          <t>LINE</t>
        </is>
      </c>
      <c r="BL234" t="inlineStr">
        <is>
          <t>COYOTE DRY</t>
        </is>
      </c>
      <c r="BM234" t="inlineStr">
        <is>
          <t>COYOTE DRY</t>
        </is>
      </c>
    </row>
    <row r="235">
      <c r="A235" t="n">
        <v>234</v>
      </c>
      <c r="B235" t="inlineStr">
        <is>
          <t>FALCON DRY</t>
        </is>
      </c>
      <c r="C235" t="inlineStr">
        <is>
          <t>REF000000</t>
        </is>
      </c>
      <c r="D235" t="inlineStr">
        <is>
          <t>REF000000</t>
        </is>
      </c>
      <c r="E235" t="n">
        <v>46105</v>
      </c>
      <c r="F235" t="inlineStr">
        <is>
          <t>FALCON DRY</t>
        </is>
      </c>
      <c r="G235" t="inlineStr">
        <is>
          <t>PREPAID EM0705/26</t>
        </is>
      </c>
      <c r="H235" t="inlineStr">
        <is>
          <t>Regional Operations_UNIMAR</t>
        </is>
      </c>
      <c r="J235" t="inlineStr">
        <is>
          <t>10-APR-2026</t>
        </is>
      </c>
      <c r="K235" t="inlineStr">
        <is>
          <t>05-APR-2026</t>
        </is>
      </c>
      <c r="M235" t="inlineStr">
        <is>
          <t>REF000000</t>
        </is>
      </c>
      <c r="N235" t="inlineStr">
        <is>
          <t>USNFK</t>
        </is>
      </c>
      <c r="O235" t="inlineStr">
        <is>
          <t>USNFK</t>
        </is>
      </c>
      <c r="P235" t="inlineStr">
        <is>
          <t>RULED</t>
        </is>
      </c>
      <c r="U235" t="inlineStr">
        <is>
          <t>RULED</t>
        </is>
      </c>
      <c r="V235" t="inlineStr">
        <is>
          <t>RULED</t>
        </is>
      </c>
      <c r="W235" t="inlineStr">
        <is>
          <t>UNITED STATES</t>
        </is>
      </c>
      <c r="X235" t="inlineStr">
        <is>
          <t>Latin America</t>
        </is>
      </c>
      <c r="Y235" t="inlineStr">
        <is>
          <t>RUSSIA</t>
        </is>
      </c>
      <c r="Z235" t="inlineStr">
        <is>
          <t>External Review</t>
        </is>
      </c>
      <c r="AA235" t="inlineStr">
        <is>
          <t>HUB SHIPPING LLC-LED</t>
        </is>
      </c>
      <c r="AB235" t="inlineStr">
        <is>
          <t>Prepaid</t>
        </is>
      </c>
      <c r="AC235" t="inlineStr">
        <is>
          <t>MERCURY / VOYAGE 1</t>
        </is>
      </c>
      <c r="AE235" t="inlineStr">
        <is>
          <t>LADEN BOOKING</t>
        </is>
      </c>
      <c r="AF235" t="inlineStr">
        <is>
          <t>Maria Jessica Da Si</t>
        </is>
      </c>
      <c r="AG235" t="inlineStr">
        <is>
          <t>DC20</t>
        </is>
      </c>
      <c r="AH235" t="inlineStr">
        <is>
          <t>NO</t>
        </is>
      </c>
      <c r="AI235" t="n">
        <v>20</v>
      </c>
      <c r="AJ235" t="n">
        <v>1</v>
      </c>
      <c r="AK235" t="n">
        <v>0</v>
      </c>
      <c r="AL235" t="inlineStr">
        <is>
          <t>ANON0000000</t>
        </is>
      </c>
      <c r="AP235" t="inlineStr">
        <is>
          <t>Non Haz</t>
        </is>
      </c>
      <c r="AQ235" t="inlineStr">
        <is>
          <t>CY/CY</t>
        </is>
      </c>
      <c r="AT235" t="inlineStr">
        <is>
          <t>REF000000</t>
        </is>
      </c>
      <c r="AU235" t="n">
        <v>27000</v>
      </c>
      <c r="AV235" t="inlineStr">
        <is>
          <t>GENERAL COMMODITY</t>
        </is>
      </c>
      <c r="AX235" t="inlineStr">
        <is>
          <t>RSUAM032600050</t>
        </is>
      </c>
      <c r="AZ235" t="n">
        <v>0</v>
      </c>
      <c r="BA235" t="n">
        <v>20</v>
      </c>
      <c r="BB235" t="n">
        <v>14</v>
      </c>
      <c r="BC235" t="n">
        <v>3400</v>
      </c>
      <c r="BD235" t="inlineStr">
        <is>
          <t>No</t>
        </is>
      </c>
      <c r="BG235" t="inlineStr">
        <is>
          <t>USNFK</t>
        </is>
      </c>
      <c r="BH235" t="n">
        <v>1</v>
      </c>
      <c r="BI235" t="n">
        <v>0</v>
      </c>
      <c r="BJ235" t="n">
        <v>3400</v>
      </c>
      <c r="BK235" t="inlineStr">
        <is>
          <t>LINE</t>
        </is>
      </c>
      <c r="BL235" t="inlineStr">
        <is>
          <t>FALCON DRY</t>
        </is>
      </c>
      <c r="BM235" t="inlineStr">
        <is>
          <t>FALCON DRY</t>
        </is>
      </c>
    </row>
    <row r="236">
      <c r="A236" t="n">
        <v>235</v>
      </c>
      <c r="B236" t="inlineStr">
        <is>
          <t>WHALE REEFER</t>
        </is>
      </c>
      <c r="C236" t="inlineStr">
        <is>
          <t>REF000000</t>
        </is>
      </c>
      <c r="D236" t="inlineStr">
        <is>
          <t>REF000000</t>
        </is>
      </c>
      <c r="E236" t="n">
        <v>46105</v>
      </c>
      <c r="F236" t="inlineStr">
        <is>
          <t>WHALE REEFER</t>
        </is>
      </c>
      <c r="G236" t="inlineStr">
        <is>
          <t>PREPAID ABROAD</t>
        </is>
      </c>
      <c r="H236" t="inlineStr">
        <is>
          <t>Regional Operations_UNIMAR</t>
        </is>
      </c>
      <c r="J236" t="inlineStr">
        <is>
          <t>11-APR-2026</t>
        </is>
      </c>
      <c r="K236" t="inlineStr">
        <is>
          <t>10-APR-2026</t>
        </is>
      </c>
      <c r="L236" t="inlineStr">
        <is>
          <t>11-APR-2026</t>
        </is>
      </c>
      <c r="M236" t="inlineStr">
        <is>
          <t>REF000000</t>
        </is>
      </c>
      <c r="N236" t="inlineStr">
        <is>
          <t>USHOU</t>
        </is>
      </c>
      <c r="O236" t="inlineStr">
        <is>
          <t>USHOU</t>
        </is>
      </c>
      <c r="P236" t="inlineStr">
        <is>
          <t>RUBLT</t>
        </is>
      </c>
      <c r="U236" t="inlineStr">
        <is>
          <t>RUBLT</t>
        </is>
      </c>
      <c r="V236" t="inlineStr">
        <is>
          <t>RUBLT</t>
        </is>
      </c>
      <c r="W236" t="inlineStr">
        <is>
          <t>UNITED STATES</t>
        </is>
      </c>
      <c r="X236" t="inlineStr">
        <is>
          <t>Latin America</t>
        </is>
      </c>
      <c r="Y236" t="inlineStr">
        <is>
          <t>RUSSIA</t>
        </is>
      </c>
      <c r="Z236" t="inlineStr">
        <is>
          <t>External Review</t>
        </is>
      </c>
      <c r="AA236" t="inlineStr">
        <is>
          <t>HUB Shipping-Kaliningrad</t>
        </is>
      </c>
      <c r="AB236" t="inlineStr">
        <is>
          <t>Prepaid</t>
        </is>
      </c>
      <c r="AC236" t="inlineStr">
        <is>
          <t>MERCURY / VOYAGE 1</t>
        </is>
      </c>
      <c r="AE236" t="inlineStr">
        <is>
          <t>LADEN BOOKING</t>
        </is>
      </c>
      <c r="AF236" t="inlineStr">
        <is>
          <t>Joao Ribeiro</t>
        </is>
      </c>
      <c r="AG236" t="inlineStr">
        <is>
          <t>RH40</t>
        </is>
      </c>
      <c r="AH236" t="inlineStr">
        <is>
          <t>NO</t>
        </is>
      </c>
      <c r="AI236" t="n">
        <v>40</v>
      </c>
      <c r="AJ236" t="n">
        <v>0</v>
      </c>
      <c r="AK236" t="n">
        <v>1</v>
      </c>
      <c r="AL236" t="inlineStr">
        <is>
          <t>ANON0000000</t>
        </is>
      </c>
      <c r="AM236" t="n">
        <v>-22</v>
      </c>
      <c r="AP236" t="inlineStr">
        <is>
          <t>Non Haz</t>
        </is>
      </c>
      <c r="AQ236" t="inlineStr">
        <is>
          <t>CY/CY</t>
        </is>
      </c>
      <c r="AT236" t="inlineStr">
        <is>
          <t>REF000000</t>
        </is>
      </c>
      <c r="AU236" t="n">
        <v>28000</v>
      </c>
      <c r="AV236" t="inlineStr">
        <is>
          <t>FROZEN MEAT</t>
        </is>
      </c>
      <c r="AX236" t="inlineStr">
        <is>
          <t>RSUAM032600045</t>
        </is>
      </c>
      <c r="AZ236" t="n">
        <v>5</v>
      </c>
      <c r="BA236" t="n">
        <v>25</v>
      </c>
      <c r="BB236" t="n">
        <v>10</v>
      </c>
      <c r="BC236" t="n">
        <v>8600</v>
      </c>
      <c r="BD236" t="inlineStr">
        <is>
          <t>No</t>
        </is>
      </c>
      <c r="BF236" t="inlineStr">
        <is>
          <t>ARTHA SHIPPING</t>
        </is>
      </c>
      <c r="BG236" t="inlineStr">
        <is>
          <t>USHOU</t>
        </is>
      </c>
      <c r="BH236" t="n">
        <v>0</v>
      </c>
      <c r="BI236" t="n">
        <v>1</v>
      </c>
      <c r="BJ236" t="n">
        <v>8600</v>
      </c>
      <c r="BK236" t="inlineStr">
        <is>
          <t>LINE</t>
        </is>
      </c>
      <c r="BL236" t="inlineStr">
        <is>
          <t>WHALE REEFER</t>
        </is>
      </c>
      <c r="BM236" t="inlineStr">
        <is>
          <t>WHALE REEFER</t>
        </is>
      </c>
    </row>
    <row r="237">
      <c r="A237" t="n">
        <v>236</v>
      </c>
      <c r="B237" t="inlineStr">
        <is>
          <t>SEAL REEFER</t>
        </is>
      </c>
      <c r="C237" t="inlineStr">
        <is>
          <t>REF000000</t>
        </is>
      </c>
      <c r="D237" t="inlineStr">
        <is>
          <t>REF000000</t>
        </is>
      </c>
      <c r="E237" t="n">
        <v>46106</v>
      </c>
      <c r="F237" t="inlineStr">
        <is>
          <t>SEAL REEFER</t>
        </is>
      </c>
      <c r="H237" t="inlineStr">
        <is>
          <t>AdminUAM</t>
        </is>
      </c>
      <c r="J237" t="inlineStr">
        <is>
          <t>10-APR-2026</t>
        </is>
      </c>
      <c r="K237" t="inlineStr">
        <is>
          <t>06-APR-2026</t>
        </is>
      </c>
      <c r="L237" t="inlineStr">
        <is>
          <t>10-APR-2026</t>
        </is>
      </c>
      <c r="M237" t="inlineStr">
        <is>
          <t>REF000000</t>
        </is>
      </c>
      <c r="N237" t="inlineStr">
        <is>
          <t>USNYC</t>
        </is>
      </c>
      <c r="O237" t="inlineStr">
        <is>
          <t>USNYC</t>
        </is>
      </c>
      <c r="P237" t="inlineStr">
        <is>
          <t>RULED</t>
        </is>
      </c>
      <c r="U237" t="inlineStr">
        <is>
          <t>RULED</t>
        </is>
      </c>
      <c r="V237" t="inlineStr">
        <is>
          <t>RULED</t>
        </is>
      </c>
      <c r="W237" t="inlineStr">
        <is>
          <t>UNITED STATES</t>
        </is>
      </c>
      <c r="X237" t="inlineStr">
        <is>
          <t>Latin America</t>
        </is>
      </c>
      <c r="Y237" t="inlineStr">
        <is>
          <t>RUSSIA</t>
        </is>
      </c>
      <c r="Z237" t="inlineStr">
        <is>
          <t>External Review</t>
        </is>
      </c>
      <c r="AA237" t="inlineStr">
        <is>
          <t>HUB SHIPPING LLC-LED</t>
        </is>
      </c>
      <c r="AB237" t="inlineStr">
        <is>
          <t>Collect</t>
        </is>
      </c>
      <c r="AC237" t="inlineStr">
        <is>
          <t>MERCURY / VOYAGE 1</t>
        </is>
      </c>
      <c r="AE237" t="inlineStr">
        <is>
          <t>LADEN BOOKING</t>
        </is>
      </c>
      <c r="AF237" t="inlineStr">
        <is>
          <t>RenniUAM</t>
        </is>
      </c>
      <c r="AG237" t="inlineStr">
        <is>
          <t>HC40</t>
        </is>
      </c>
      <c r="AH237" t="inlineStr">
        <is>
          <t>NO</t>
        </is>
      </c>
      <c r="AI237" t="n">
        <v>40</v>
      </c>
      <c r="AJ237" t="n">
        <v>0</v>
      </c>
      <c r="AK237" t="n">
        <v>1</v>
      </c>
      <c r="AL237" t="inlineStr">
        <is>
          <t>ANON0000000</t>
        </is>
      </c>
      <c r="AP237" t="inlineStr">
        <is>
          <t>Non Haz</t>
        </is>
      </c>
      <c r="AQ237" t="inlineStr">
        <is>
          <t>CY/CY</t>
        </is>
      </c>
      <c r="AT237" t="inlineStr">
        <is>
          <t>REF000000</t>
        </is>
      </c>
      <c r="AU237" t="n">
        <v>5500</v>
      </c>
      <c r="AV237" t="inlineStr">
        <is>
          <t>GENERAL COMMODITY</t>
        </is>
      </c>
      <c r="AX237" t="inlineStr">
        <is>
          <t>MRG421242</t>
        </is>
      </c>
      <c r="AY237" t="inlineStr">
        <is>
          <t>LINE</t>
        </is>
      </c>
      <c r="AZ237" t="n">
        <v>0</v>
      </c>
      <c r="BA237" t="n">
        <v>14</v>
      </c>
      <c r="BB237" t="n">
        <v>14</v>
      </c>
      <c r="BC237" t="n">
        <v>4800</v>
      </c>
      <c r="BD237" t="inlineStr">
        <is>
          <t>Yes</t>
        </is>
      </c>
      <c r="BF237" t="inlineStr">
        <is>
          <t>ARTHA SHIPPING</t>
        </is>
      </c>
      <c r="BG237" t="inlineStr">
        <is>
          <t>RULED</t>
        </is>
      </c>
      <c r="BH237" t="n">
        <v>0</v>
      </c>
      <c r="BI237" t="n">
        <v>1</v>
      </c>
      <c r="BJ237" t="n">
        <v>4800</v>
      </c>
      <c r="BK237" t="inlineStr">
        <is>
          <t>LINE</t>
        </is>
      </c>
      <c r="BL237" t="inlineStr">
        <is>
          <t>SEAL REEFER</t>
        </is>
      </c>
      <c r="BM237" t="inlineStr">
        <is>
          <t>SEAL REEFER</t>
        </is>
      </c>
    </row>
    <row r="238">
      <c r="A238" t="n">
        <v>237</v>
      </c>
      <c r="B238" t="inlineStr">
        <is>
          <t>FOX DRY</t>
        </is>
      </c>
      <c r="C238" t="inlineStr">
        <is>
          <t>REF000000</t>
        </is>
      </c>
      <c r="D238" t="inlineStr">
        <is>
          <t>REF000000</t>
        </is>
      </c>
      <c r="E238" t="n">
        <v>46106</v>
      </c>
      <c r="F238" t="inlineStr">
        <is>
          <t>FOX DRY</t>
        </is>
      </c>
      <c r="G238" t="inlineStr">
        <is>
          <t>Food grade</t>
        </is>
      </c>
      <c r="H238" t="inlineStr">
        <is>
          <t>AdminUAM</t>
        </is>
      </c>
      <c r="J238" t="inlineStr">
        <is>
          <t>14-APR-2026</t>
        </is>
      </c>
      <c r="K238" t="inlineStr">
        <is>
          <t>09-APR-2026</t>
        </is>
      </c>
      <c r="M238" t="inlineStr">
        <is>
          <t>REF000000</t>
        </is>
      </c>
      <c r="N238" t="inlineStr">
        <is>
          <t>USNFK</t>
        </is>
      </c>
      <c r="O238" t="inlineStr">
        <is>
          <t>USNFK</t>
        </is>
      </c>
      <c r="P238" t="inlineStr">
        <is>
          <t>RULED</t>
        </is>
      </c>
      <c r="U238" t="inlineStr">
        <is>
          <t>RULED</t>
        </is>
      </c>
      <c r="V238" t="inlineStr">
        <is>
          <t>RULED</t>
        </is>
      </c>
      <c r="W238" t="inlineStr">
        <is>
          <t>UNITED STATES</t>
        </is>
      </c>
      <c r="X238" t="inlineStr">
        <is>
          <t>Latin America</t>
        </is>
      </c>
      <c r="Y238" t="inlineStr">
        <is>
          <t>RUSSIA</t>
        </is>
      </c>
      <c r="Z238" t="inlineStr">
        <is>
          <t>External Review</t>
        </is>
      </c>
      <c r="AA238" t="inlineStr">
        <is>
          <t>HUB SHIPPING LLC-LED</t>
        </is>
      </c>
      <c r="AB238" t="inlineStr">
        <is>
          <t>Collect</t>
        </is>
      </c>
      <c r="AC238" t="inlineStr">
        <is>
          <t>MERCURY / VOYAGE 1</t>
        </is>
      </c>
      <c r="AE238" t="inlineStr">
        <is>
          <t>LADEN BOOKING</t>
        </is>
      </c>
      <c r="AF238" t="inlineStr">
        <is>
          <t>RenniUAM</t>
        </is>
      </c>
      <c r="AG238" t="inlineStr">
        <is>
          <t>DC20</t>
        </is>
      </c>
      <c r="AH238" t="inlineStr">
        <is>
          <t>NO</t>
        </is>
      </c>
      <c r="AI238" t="n">
        <v>20</v>
      </c>
      <c r="AJ238" t="n">
        <v>1</v>
      </c>
      <c r="AK238" t="n">
        <v>0</v>
      </c>
      <c r="AL238" t="inlineStr">
        <is>
          <t>ANON0000000</t>
        </is>
      </c>
      <c r="AP238" t="inlineStr">
        <is>
          <t>Non Haz</t>
        </is>
      </c>
      <c r="AQ238" t="inlineStr">
        <is>
          <t>CY/CY</t>
        </is>
      </c>
      <c r="AT238" t="inlineStr">
        <is>
          <t>REF000000</t>
        </is>
      </c>
      <c r="AU238" t="n">
        <v>26000</v>
      </c>
      <c r="AV238" t="inlineStr">
        <is>
          <t>GENERAL COMMODITY</t>
        </is>
      </c>
      <c r="AX238" t="inlineStr">
        <is>
          <t>RSUAM032600104</t>
        </is>
      </c>
      <c r="AZ238" t="n">
        <v>0</v>
      </c>
      <c r="BA238" t="n">
        <v>14</v>
      </c>
      <c r="BB238" t="n">
        <v>14</v>
      </c>
      <c r="BC238" t="n">
        <v>2450</v>
      </c>
      <c r="BD238" t="inlineStr">
        <is>
          <t>Yes</t>
        </is>
      </c>
      <c r="BG238" t="inlineStr">
        <is>
          <t>RULED</t>
        </is>
      </c>
      <c r="BH238" t="n">
        <v>1</v>
      </c>
      <c r="BI238" t="n">
        <v>0</v>
      </c>
      <c r="BJ238" t="n">
        <v>2450</v>
      </c>
      <c r="BK238" t="inlineStr">
        <is>
          <t>LINE</t>
        </is>
      </c>
      <c r="BL238" t="inlineStr">
        <is>
          <t>FOX DRY</t>
        </is>
      </c>
      <c r="BM238" t="inlineStr">
        <is>
          <t>FOX DRY</t>
        </is>
      </c>
    </row>
    <row r="239">
      <c r="A239" t="n">
        <v>238</v>
      </c>
      <c r="B239" t="inlineStr">
        <is>
          <t>BISON DRY</t>
        </is>
      </c>
      <c r="C239" t="inlineStr">
        <is>
          <t>REF000000</t>
        </is>
      </c>
      <c r="D239" t="inlineStr">
        <is>
          <t>REF000000</t>
        </is>
      </c>
      <c r="E239" t="n">
        <v>46106</v>
      </c>
      <c r="F239" t="inlineStr">
        <is>
          <t>BISON DRY</t>
        </is>
      </c>
      <c r="G239" t="inlineStr">
        <is>
          <t>Food grade</t>
        </is>
      </c>
      <c r="H239" t="inlineStr">
        <is>
          <t>AdminUAM</t>
        </is>
      </c>
      <c r="J239" t="inlineStr">
        <is>
          <t>14-APR-2026</t>
        </is>
      </c>
      <c r="K239" t="inlineStr">
        <is>
          <t>09-APR-2026</t>
        </is>
      </c>
      <c r="M239" t="inlineStr">
        <is>
          <t>REF000000</t>
        </is>
      </c>
      <c r="N239" t="inlineStr">
        <is>
          <t>USNFK</t>
        </is>
      </c>
      <c r="O239" t="inlineStr">
        <is>
          <t>USNFK</t>
        </is>
      </c>
      <c r="P239" t="inlineStr">
        <is>
          <t>RULED</t>
        </is>
      </c>
      <c r="U239" t="inlineStr">
        <is>
          <t>RULED</t>
        </is>
      </c>
      <c r="V239" t="inlineStr">
        <is>
          <t>RULED</t>
        </is>
      </c>
      <c r="W239" t="inlineStr">
        <is>
          <t>UNITED STATES</t>
        </is>
      </c>
      <c r="X239" t="inlineStr">
        <is>
          <t>Latin America</t>
        </is>
      </c>
      <c r="Y239" t="inlineStr">
        <is>
          <t>RUSSIA</t>
        </is>
      </c>
      <c r="Z239" t="inlineStr">
        <is>
          <t>External Review</t>
        </is>
      </c>
      <c r="AA239" t="inlineStr">
        <is>
          <t>HUB SHIPPING LLC-LED</t>
        </is>
      </c>
      <c r="AB239" t="inlineStr">
        <is>
          <t>Collect</t>
        </is>
      </c>
      <c r="AC239" t="inlineStr">
        <is>
          <t>MERCURY / VOYAGE 1</t>
        </is>
      </c>
      <c r="AE239" t="inlineStr">
        <is>
          <t>LADEN BOOKING</t>
        </is>
      </c>
      <c r="AF239" t="inlineStr">
        <is>
          <t>RenniUAM</t>
        </is>
      </c>
      <c r="AG239" t="inlineStr">
        <is>
          <t>HC40</t>
        </is>
      </c>
      <c r="AH239" t="inlineStr">
        <is>
          <t>NO</t>
        </is>
      </c>
      <c r="AI239" t="n">
        <v>40</v>
      </c>
      <c r="AJ239" t="n">
        <v>0</v>
      </c>
      <c r="AK239" t="n">
        <v>14</v>
      </c>
      <c r="AL239" t="inlineStr">
        <is>
          <t>ANON0000000,
ANON0000000,
ANON0000000,
ANON0000000,
ANON0000000,
ANON0000000,
ANON0000000,
ANON0000000,
ANON0000000,
ANON0000000,
ANON0000000,
ANON0000000,
ANON0000000,
ANON0000000</t>
        </is>
      </c>
      <c r="AP239" t="inlineStr">
        <is>
          <t>Non Haz</t>
        </is>
      </c>
      <c r="AQ239" t="inlineStr">
        <is>
          <t>CY/CY</t>
        </is>
      </c>
      <c r="AT239" t="inlineStr">
        <is>
          <t>REF000000</t>
        </is>
      </c>
      <c r="AU239" t="n">
        <v>23000</v>
      </c>
      <c r="AV239" t="inlineStr">
        <is>
          <t>GENERAL COMMODITY</t>
        </is>
      </c>
      <c r="AX239" t="inlineStr">
        <is>
          <t>RSUAM032600104</t>
        </is>
      </c>
      <c r="AZ239" t="n">
        <v>0</v>
      </c>
      <c r="BA239" t="n">
        <v>14</v>
      </c>
      <c r="BB239" t="n">
        <v>14</v>
      </c>
      <c r="BC239" t="n">
        <v>3400</v>
      </c>
      <c r="BD239" t="inlineStr">
        <is>
          <t>Yes</t>
        </is>
      </c>
      <c r="BG239" t="inlineStr">
        <is>
          <t>RULED</t>
        </is>
      </c>
      <c r="BH239" t="n">
        <v>0</v>
      </c>
      <c r="BI239" t="n">
        <v>14</v>
      </c>
      <c r="BJ239" t="n">
        <v>47600</v>
      </c>
      <c r="BK239" t="inlineStr">
        <is>
          <t>LINE</t>
        </is>
      </c>
      <c r="BL239" t="inlineStr">
        <is>
          <t>BISON DRY</t>
        </is>
      </c>
      <c r="BM239" t="inlineStr">
        <is>
          <t>BISON DRY</t>
        </is>
      </c>
    </row>
    <row r="240">
      <c r="A240" t="n">
        <v>239</v>
      </c>
      <c r="B240" t="inlineStr">
        <is>
          <t>MARLIN REEFER</t>
        </is>
      </c>
      <c r="C240" t="inlineStr">
        <is>
          <t>REF000000</t>
        </is>
      </c>
      <c r="D240" t="inlineStr">
        <is>
          <t>REF000000</t>
        </is>
      </c>
      <c r="E240" t="n">
        <v>46106</v>
      </c>
      <c r="F240" t="inlineStr">
        <is>
          <t>MARLIN REEFER</t>
        </is>
      </c>
      <c r="G240" t="inlineStr">
        <is>
          <t>PREPAID</t>
        </is>
      </c>
      <c r="H240" t="inlineStr">
        <is>
          <t>Regional Operations_UNIMAR</t>
        </is>
      </c>
      <c r="J240" t="inlineStr">
        <is>
          <t>10-APR-2026</t>
        </is>
      </c>
      <c r="K240" t="inlineStr">
        <is>
          <t>05-APR-2026</t>
        </is>
      </c>
      <c r="M240" t="inlineStr">
        <is>
          <t>REF000000</t>
        </is>
      </c>
      <c r="N240" t="inlineStr">
        <is>
          <t>USNFK</t>
        </is>
      </c>
      <c r="O240" t="inlineStr">
        <is>
          <t>USNFK</t>
        </is>
      </c>
      <c r="P240" t="inlineStr">
        <is>
          <t>RUBLT</t>
        </is>
      </c>
      <c r="U240" t="inlineStr">
        <is>
          <t>RUBLT</t>
        </is>
      </c>
      <c r="V240" t="inlineStr">
        <is>
          <t>RUBLT</t>
        </is>
      </c>
      <c r="W240" t="inlineStr">
        <is>
          <t>UNITED STATES</t>
        </is>
      </c>
      <c r="X240" t="inlineStr">
        <is>
          <t>Latin America</t>
        </is>
      </c>
      <c r="Y240" t="inlineStr">
        <is>
          <t>RUSSIA</t>
        </is>
      </c>
      <c r="Z240" t="inlineStr">
        <is>
          <t>External Review</t>
        </is>
      </c>
      <c r="AA240" t="inlineStr">
        <is>
          <t>HUB Shipping-Kaliningrad</t>
        </is>
      </c>
      <c r="AB240" t="inlineStr">
        <is>
          <t>Prepaid</t>
        </is>
      </c>
      <c r="AC240" t="inlineStr">
        <is>
          <t>MERCURY / VOYAGE 1</t>
        </is>
      </c>
      <c r="AE240" t="inlineStr">
        <is>
          <t>LADEN BOOKING</t>
        </is>
      </c>
      <c r="AF240" t="inlineStr">
        <is>
          <t>Joao Ribeiro</t>
        </is>
      </c>
      <c r="AG240" t="inlineStr">
        <is>
          <t>RH40</t>
        </is>
      </c>
      <c r="AH240" t="inlineStr">
        <is>
          <t>NO</t>
        </is>
      </c>
      <c r="AI240" t="n">
        <v>40</v>
      </c>
      <c r="AJ240" t="n">
        <v>0</v>
      </c>
      <c r="AK240" t="n">
        <v>1</v>
      </c>
      <c r="AL240" t="inlineStr">
        <is>
          <t>ANON0000000</t>
        </is>
      </c>
      <c r="AM240" t="n">
        <v>-18</v>
      </c>
      <c r="AP240" t="inlineStr">
        <is>
          <t>Non Haz</t>
        </is>
      </c>
      <c r="AQ240" t="inlineStr">
        <is>
          <t>CY/CY</t>
        </is>
      </c>
      <c r="AT240" t="inlineStr">
        <is>
          <t>REF000000</t>
        </is>
      </c>
      <c r="AU240" t="n">
        <v>28000</v>
      </c>
      <c r="AV240" t="inlineStr">
        <is>
          <t>FROZEN MEAT</t>
        </is>
      </c>
      <c r="AX240" t="inlineStr">
        <is>
          <t>RSUAM032600105</t>
        </is>
      </c>
      <c r="AZ240" t="n">
        <v>5</v>
      </c>
      <c r="BA240" t="n">
        <v>21</v>
      </c>
      <c r="BB240" t="n">
        <v>10</v>
      </c>
      <c r="BC240" t="n">
        <v>9300</v>
      </c>
      <c r="BD240" t="inlineStr">
        <is>
          <t>No</t>
        </is>
      </c>
      <c r="BG240" t="inlineStr">
        <is>
          <t>USNFK</t>
        </is>
      </c>
      <c r="BH240" t="n">
        <v>0</v>
      </c>
      <c r="BI240" t="n">
        <v>1</v>
      </c>
      <c r="BJ240" t="n">
        <v>9300</v>
      </c>
      <c r="BK240" t="inlineStr">
        <is>
          <t>LINE</t>
        </is>
      </c>
      <c r="BL240" t="inlineStr">
        <is>
          <t>MARLIN REEFER</t>
        </is>
      </c>
      <c r="BM240" t="inlineStr">
        <is>
          <t>MARLIN REEFER</t>
        </is>
      </c>
    </row>
    <row r="241">
      <c r="A241" t="n">
        <v>240</v>
      </c>
      <c r="B241" t="inlineStr">
        <is>
          <t>TURTLE REEFER</t>
        </is>
      </c>
      <c r="C241" t="inlineStr">
        <is>
          <t>REF000000</t>
        </is>
      </c>
      <c r="D241" t="inlineStr">
        <is>
          <t>REF000000</t>
        </is>
      </c>
      <c r="E241" t="n">
        <v>46111</v>
      </c>
      <c r="F241" t="inlineStr">
        <is>
          <t>TURTLE REEFER</t>
        </is>
      </c>
      <c r="G241" t="inlineStr">
        <is>
          <t>PREPAID ABROAD</t>
        </is>
      </c>
      <c r="H241" t="inlineStr">
        <is>
          <t>Regional Operations_UNIMAR</t>
        </is>
      </c>
      <c r="J241" t="inlineStr">
        <is>
          <t>10-APR-2026</t>
        </is>
      </c>
      <c r="K241" t="inlineStr">
        <is>
          <t>05-APR-2026</t>
        </is>
      </c>
      <c r="M241" t="inlineStr">
        <is>
          <t>REF000000</t>
        </is>
      </c>
      <c r="N241" t="inlineStr">
        <is>
          <t>USNFK</t>
        </is>
      </c>
      <c r="O241" t="inlineStr">
        <is>
          <t>USNFK</t>
        </is>
      </c>
      <c r="P241" t="inlineStr">
        <is>
          <t>RULED</t>
        </is>
      </c>
      <c r="U241" t="inlineStr">
        <is>
          <t>RULED</t>
        </is>
      </c>
      <c r="V241" t="inlineStr">
        <is>
          <t>RULED</t>
        </is>
      </c>
      <c r="W241" t="inlineStr">
        <is>
          <t>UNITED STATES</t>
        </is>
      </c>
      <c r="X241" t="inlineStr">
        <is>
          <t>Latin America</t>
        </is>
      </c>
      <c r="Y241" t="inlineStr">
        <is>
          <t>RUSSIA</t>
        </is>
      </c>
      <c r="Z241" t="inlineStr">
        <is>
          <t>External Review</t>
        </is>
      </c>
      <c r="AA241" t="inlineStr">
        <is>
          <t>HUB SHIPPING LLC-LED</t>
        </is>
      </c>
      <c r="AB241" t="inlineStr">
        <is>
          <t>Prepaid</t>
        </is>
      </c>
      <c r="AC241" t="inlineStr">
        <is>
          <t>MERCURY / VOYAGE 1</t>
        </is>
      </c>
      <c r="AE241" t="inlineStr">
        <is>
          <t>LADEN BOOKING</t>
        </is>
      </c>
      <c r="AF241" t="inlineStr">
        <is>
          <t>Joao Ribeiro</t>
        </is>
      </c>
      <c r="AG241" t="inlineStr">
        <is>
          <t>RH40</t>
        </is>
      </c>
      <c r="AH241" t="inlineStr">
        <is>
          <t>NO</t>
        </is>
      </c>
      <c r="AI241" t="n">
        <v>40</v>
      </c>
      <c r="AJ241" t="n">
        <v>0</v>
      </c>
      <c r="AK241" t="n">
        <v>1</v>
      </c>
      <c r="AL241" t="inlineStr">
        <is>
          <t>ANON0000000</t>
        </is>
      </c>
      <c r="AM241" t="inlineStr">
        <is>
          <t>-1.4</t>
        </is>
      </c>
      <c r="AP241" t="inlineStr">
        <is>
          <t>Non Haz</t>
        </is>
      </c>
      <c r="AQ241" t="inlineStr">
        <is>
          <t>CY/CY</t>
        </is>
      </c>
      <c r="AT241" t="inlineStr">
        <is>
          <t>REF000000</t>
        </is>
      </c>
      <c r="AU241" t="n">
        <v>29000</v>
      </c>
      <c r="AV241" t="inlineStr">
        <is>
          <t>FROZEN MEAT</t>
        </is>
      </c>
      <c r="AX241" t="inlineStr">
        <is>
          <t>RSUAM012600038</t>
        </is>
      </c>
      <c r="AZ241" t="n">
        <v>5</v>
      </c>
      <c r="BA241" t="n">
        <v>30</v>
      </c>
      <c r="BB241" t="n">
        <v>15</v>
      </c>
      <c r="BC241" t="n">
        <v>7000</v>
      </c>
      <c r="BD241" t="inlineStr">
        <is>
          <t>No</t>
        </is>
      </c>
      <c r="BG241" t="inlineStr">
        <is>
          <t>USNFK</t>
        </is>
      </c>
      <c r="BH241" t="n">
        <v>0</v>
      </c>
      <c r="BI241" t="n">
        <v>1</v>
      </c>
      <c r="BJ241" t="n">
        <v>7000</v>
      </c>
      <c r="BK241" t="inlineStr">
        <is>
          <t>LINE</t>
        </is>
      </c>
      <c r="BL241" t="inlineStr">
        <is>
          <t>TURTLE REEFER</t>
        </is>
      </c>
      <c r="BM241" t="inlineStr">
        <is>
          <t>TURTLE REEFER</t>
        </is>
      </c>
    </row>
    <row r="242">
      <c r="A242" t="n">
        <v>241</v>
      </c>
      <c r="B242" t="inlineStr">
        <is>
          <t>FALCON DRY</t>
        </is>
      </c>
      <c r="C242" t="inlineStr">
        <is>
          <t>REF000000</t>
        </is>
      </c>
      <c r="D242" t="inlineStr">
        <is>
          <t>REF000000</t>
        </is>
      </c>
      <c r="E242" t="inlineStr">
        <is>
          <t>01-APR-2026</t>
        </is>
      </c>
      <c r="F242" t="inlineStr">
        <is>
          <t>FALCON DRY</t>
        </is>
      </c>
      <c r="H242" t="inlineStr">
        <is>
          <t>AdminUAM</t>
        </is>
      </c>
      <c r="J242" t="inlineStr">
        <is>
          <t>10-APR-2026</t>
        </is>
      </c>
      <c r="K242" t="inlineStr">
        <is>
          <t>05-APR-2026</t>
        </is>
      </c>
      <c r="M242" t="inlineStr">
        <is>
          <t>REF000000</t>
        </is>
      </c>
      <c r="N242" t="inlineStr">
        <is>
          <t>USNFK</t>
        </is>
      </c>
      <c r="O242" t="inlineStr">
        <is>
          <t>USNFK</t>
        </is>
      </c>
      <c r="P242" t="inlineStr">
        <is>
          <t>RULED</t>
        </is>
      </c>
      <c r="U242" t="inlineStr">
        <is>
          <t>RULED</t>
        </is>
      </c>
      <c r="V242" t="inlineStr">
        <is>
          <t>RULED</t>
        </is>
      </c>
      <c r="W242" t="inlineStr">
        <is>
          <t>UNITED STATES</t>
        </is>
      </c>
      <c r="X242" t="inlineStr">
        <is>
          <t>Latin America</t>
        </is>
      </c>
      <c r="Y242" t="inlineStr">
        <is>
          <t>RUSSIA</t>
        </is>
      </c>
      <c r="Z242" t="inlineStr">
        <is>
          <t>External Review</t>
        </is>
      </c>
      <c r="AA242" t="inlineStr">
        <is>
          <t>HUB SHIPPING LLC-LED</t>
        </is>
      </c>
      <c r="AB242" t="inlineStr">
        <is>
          <t>Collect</t>
        </is>
      </c>
      <c r="AC242" t="inlineStr">
        <is>
          <t>MERCURY / VOYAGE 1</t>
        </is>
      </c>
      <c r="AE242" t="inlineStr">
        <is>
          <t>LADEN BOOKING</t>
        </is>
      </c>
      <c r="AF242" t="inlineStr">
        <is>
          <t>RenniUAM</t>
        </is>
      </c>
      <c r="AG242" t="inlineStr">
        <is>
          <t>DC20</t>
        </is>
      </c>
      <c r="AH242" t="inlineStr">
        <is>
          <t>NO</t>
        </is>
      </c>
      <c r="AI242" t="n">
        <v>20</v>
      </c>
      <c r="AJ242" t="n">
        <v>1</v>
      </c>
      <c r="AK242" t="n">
        <v>0</v>
      </c>
      <c r="AL242" t="inlineStr">
        <is>
          <t>ANON0000000</t>
        </is>
      </c>
      <c r="AP242" t="inlineStr">
        <is>
          <t>Non Haz</t>
        </is>
      </c>
      <c r="AQ242" t="inlineStr">
        <is>
          <t>CY/CY</t>
        </is>
      </c>
      <c r="AT242" t="inlineStr">
        <is>
          <t>REF000000</t>
        </is>
      </c>
      <c r="AU242" t="n">
        <v>28000</v>
      </c>
      <c r="AV242" t="inlineStr">
        <is>
          <t>GENERAL COMMODITY</t>
        </is>
      </c>
      <c r="AX242" t="inlineStr">
        <is>
          <t>MRG422749</t>
        </is>
      </c>
      <c r="AY242" t="inlineStr">
        <is>
          <t>LINE</t>
        </is>
      </c>
      <c r="AZ242" t="n">
        <v>0</v>
      </c>
      <c r="BA242" t="n">
        <v>14</v>
      </c>
      <c r="BB242" t="n">
        <v>14</v>
      </c>
      <c r="BC242" t="n">
        <v>3400</v>
      </c>
      <c r="BD242" t="inlineStr">
        <is>
          <t>Yes</t>
        </is>
      </c>
      <c r="BG242" t="inlineStr">
        <is>
          <t>RULED</t>
        </is>
      </c>
      <c r="BH242" t="n">
        <v>1</v>
      </c>
      <c r="BI242" t="n">
        <v>0</v>
      </c>
      <c r="BJ242" t="n">
        <v>3400</v>
      </c>
      <c r="BK242" t="inlineStr">
        <is>
          <t>LINE</t>
        </is>
      </c>
      <c r="BL242" t="inlineStr">
        <is>
          <t>FALCON DRY</t>
        </is>
      </c>
      <c r="BM242" t="inlineStr">
        <is>
          <t>FALCON DRY</t>
        </is>
      </c>
    </row>
    <row r="243">
      <c r="A243" t="n">
        <v>242</v>
      </c>
      <c r="B243" t="inlineStr">
        <is>
          <t>WOLF DRY</t>
        </is>
      </c>
      <c r="C243" t="inlineStr">
        <is>
          <t>REF000000</t>
        </is>
      </c>
      <c r="D243" t="inlineStr">
        <is>
          <t>REF000000</t>
        </is>
      </c>
      <c r="E243" t="n">
        <v>45989</v>
      </c>
      <c r="F243" t="inlineStr">
        <is>
          <t>WOLF DRY</t>
        </is>
      </c>
      <c r="G243" t="inlineStr">
        <is>
          <t>1X40HQ - Apto alimento - AGRO</t>
        </is>
      </c>
      <c r="H243" t="inlineStr">
        <is>
          <t>AR_MARTIMA</t>
        </is>
      </c>
      <c r="J243" t="n">
        <v>46035</v>
      </c>
      <c r="K243" t="n">
        <v>46033</v>
      </c>
      <c r="L243" t="n">
        <v>46035</v>
      </c>
      <c r="M243" t="inlineStr">
        <is>
          <t>REF000000</t>
        </is>
      </c>
      <c r="N243" t="inlineStr">
        <is>
          <t>USSEA</t>
        </is>
      </c>
      <c r="O243" t="inlineStr">
        <is>
          <t>USSEA</t>
        </is>
      </c>
      <c r="P243" t="inlineStr">
        <is>
          <t>USNFK</t>
        </is>
      </c>
      <c r="U243" t="inlineStr">
        <is>
          <t>RULED</t>
        </is>
      </c>
      <c r="V243" t="inlineStr">
        <is>
          <t>RULED</t>
        </is>
      </c>
      <c r="W243" t="inlineStr">
        <is>
          <t>CANADA</t>
        </is>
      </c>
      <c r="X243" t="inlineStr">
        <is>
          <t>PERSIAN GULF</t>
        </is>
      </c>
      <c r="Y243" t="inlineStr">
        <is>
          <t>RUSSIA</t>
        </is>
      </c>
      <c r="Z243" t="inlineStr">
        <is>
          <t>External Review</t>
        </is>
      </c>
      <c r="AA243" t="inlineStr">
        <is>
          <t>HUB SHIPPING LLC-LED</t>
        </is>
      </c>
      <c r="AB243" t="inlineStr">
        <is>
          <t>Prepaid</t>
        </is>
      </c>
      <c r="AC243" t="inlineStr">
        <is>
          <t>TIGER PLATA/963N</t>
        </is>
      </c>
      <c r="AD243" t="inlineStr">
        <is>
          <t>MERCURY / 25016E</t>
        </is>
      </c>
      <c r="AE243" t="inlineStr">
        <is>
          <t>LADEN BOOKING</t>
        </is>
      </c>
      <c r="AF243" t="inlineStr">
        <is>
          <t>AR_MARTIMA</t>
        </is>
      </c>
      <c r="AG243" t="inlineStr">
        <is>
          <t>HC40</t>
        </is>
      </c>
      <c r="AH243" t="inlineStr">
        <is>
          <t>NO</t>
        </is>
      </c>
      <c r="AI243" t="n">
        <v>40</v>
      </c>
      <c r="AJ243" t="n">
        <v>0</v>
      </c>
      <c r="AK243" t="n">
        <v>1</v>
      </c>
      <c r="AL243" t="inlineStr">
        <is>
          <t>ANON0000000</t>
        </is>
      </c>
      <c r="AP243" t="inlineStr">
        <is>
          <t>Non Haz</t>
        </is>
      </c>
      <c r="AQ243" t="inlineStr">
        <is>
          <t>CY/CY</t>
        </is>
      </c>
      <c r="AT243" t="inlineStr">
        <is>
          <t>REF000000</t>
        </is>
      </c>
      <c r="AU243" t="n">
        <v>29000</v>
      </c>
      <c r="AV243" t="inlineStr">
        <is>
          <t>GENERAL COMMODITY</t>
        </is>
      </c>
      <c r="AX243" t="inlineStr">
        <is>
          <t>MRG368673</t>
        </is>
      </c>
      <c r="AY243" t="inlineStr">
        <is>
          <t>LINE</t>
        </is>
      </c>
      <c r="AZ243" t="n">
        <v>0</v>
      </c>
      <c r="BA243" t="n">
        <v>14</v>
      </c>
      <c r="BB243" t="n">
        <v>14</v>
      </c>
      <c r="BC243" t="n">
        <v>5200</v>
      </c>
      <c r="BD243" t="inlineStr">
        <is>
          <t>No</t>
        </is>
      </c>
      <c r="BF243" t="inlineStr">
        <is>
          <t>Bengal Tiger Line -BTL</t>
        </is>
      </c>
      <c r="BG243" t="inlineStr">
        <is>
          <t>USSEA</t>
        </is>
      </c>
      <c r="BH243" t="n">
        <v>0</v>
      </c>
      <c r="BI243" t="n">
        <v>1</v>
      </c>
      <c r="BJ243" t="n">
        <v>5200</v>
      </c>
      <c r="BK243" t="inlineStr">
        <is>
          <t>LINE</t>
        </is>
      </c>
      <c r="BL243" t="inlineStr">
        <is>
          <t>WOLF DRY</t>
        </is>
      </c>
      <c r="BM243" t="inlineStr">
        <is>
          <t>WOLF DRY</t>
        </is>
      </c>
    </row>
    <row r="244">
      <c r="A244" t="n">
        <v>243</v>
      </c>
      <c r="B244" t="inlineStr">
        <is>
          <t>SEAL REEFER</t>
        </is>
      </c>
      <c r="C244" t="inlineStr">
        <is>
          <t>REF000000</t>
        </is>
      </c>
      <c r="D244" t="inlineStr">
        <is>
          <t>REF000000</t>
        </is>
      </c>
      <c r="E244" t="inlineStr">
        <is>
          <t>02-DEC-2025</t>
        </is>
      </c>
      <c r="F244" t="inlineStr">
        <is>
          <t>SEAL REEFER</t>
        </is>
      </c>
      <c r="H244" t="inlineStr">
        <is>
          <t>AdminAMI</t>
        </is>
      </c>
      <c r="J244" t="inlineStr">
        <is>
          <t>03-FEB-2026</t>
        </is>
      </c>
      <c r="K244" t="inlineStr">
        <is>
          <t>01-FEB-2026</t>
        </is>
      </c>
      <c r="L244" t="inlineStr">
        <is>
          <t>03-FEB-2026</t>
        </is>
      </c>
      <c r="M244" t="inlineStr">
        <is>
          <t>REF000000</t>
        </is>
      </c>
      <c r="N244" t="inlineStr">
        <is>
          <t>USSEA</t>
        </is>
      </c>
      <c r="O244" t="inlineStr">
        <is>
          <t>USSEA</t>
        </is>
      </c>
      <c r="P244" t="inlineStr">
        <is>
          <t>USNFK</t>
        </is>
      </c>
      <c r="U244" t="inlineStr">
        <is>
          <t>RULED</t>
        </is>
      </c>
      <c r="V244" t="inlineStr">
        <is>
          <t>RULED</t>
        </is>
      </c>
      <c r="W244" t="inlineStr">
        <is>
          <t>CANADA</t>
        </is>
      </c>
      <c r="X244" t="inlineStr">
        <is>
          <t>PERSIAN GULF</t>
        </is>
      </c>
      <c r="Y244" t="inlineStr">
        <is>
          <t>RUSSIA</t>
        </is>
      </c>
      <c r="Z244" t="inlineStr">
        <is>
          <t>External Review</t>
        </is>
      </c>
      <c r="AA244" t="inlineStr">
        <is>
          <t>HUB SHIPPING LLC-LED</t>
        </is>
      </c>
      <c r="AB244" t="inlineStr">
        <is>
          <t>Collect</t>
        </is>
      </c>
      <c r="AC244" t="inlineStr">
        <is>
          <t>TIGER PLATA/966N</t>
        </is>
      </c>
      <c r="AD244" t="inlineStr">
        <is>
          <t>LI DA XING / VOYAGE 1</t>
        </is>
      </c>
      <c r="AE244" t="inlineStr">
        <is>
          <t>LADEN BOOKING</t>
        </is>
      </c>
      <c r="AF244" t="inlineStr">
        <is>
          <t>RenniAMI</t>
        </is>
      </c>
      <c r="AG244" t="inlineStr">
        <is>
          <t>DC20</t>
        </is>
      </c>
      <c r="AH244" t="inlineStr">
        <is>
          <t>NO</t>
        </is>
      </c>
      <c r="AI244" t="n">
        <v>20</v>
      </c>
      <c r="AJ244" t="n">
        <v>1</v>
      </c>
      <c r="AK244" t="n">
        <v>0</v>
      </c>
      <c r="AL244" t="inlineStr">
        <is>
          <t>ANON0000000</t>
        </is>
      </c>
      <c r="AP244" t="inlineStr">
        <is>
          <t>Non Haz</t>
        </is>
      </c>
      <c r="AQ244" t="inlineStr">
        <is>
          <t>CY/CY</t>
        </is>
      </c>
      <c r="AT244" t="inlineStr">
        <is>
          <t>REF000000</t>
        </is>
      </c>
      <c r="AU244" t="n">
        <v>26000</v>
      </c>
      <c r="AV244" t="inlineStr">
        <is>
          <t>GENERAL COMMODITY</t>
        </is>
      </c>
      <c r="AW244" t="inlineStr">
        <is>
          <t>NCM: 3201.10.00</t>
        </is>
      </c>
      <c r="AX244" t="inlineStr">
        <is>
          <t>MRG382802</t>
        </is>
      </c>
      <c r="AY244" t="inlineStr">
        <is>
          <t>LINE</t>
        </is>
      </c>
      <c r="AZ244" t="n">
        <v>0</v>
      </c>
      <c r="BA244" t="n">
        <v>14</v>
      </c>
      <c r="BB244" t="n">
        <v>14</v>
      </c>
      <c r="BC244" t="n">
        <v>4000</v>
      </c>
      <c r="BD244" t="inlineStr">
        <is>
          <t>Yes</t>
        </is>
      </c>
      <c r="BE244" t="inlineStr">
        <is>
          <t>FMC/RFLED/40840</t>
        </is>
      </c>
      <c r="BF244" t="inlineStr">
        <is>
          <t>Bengal Tiger Line -BTL</t>
        </is>
      </c>
      <c r="BG244" t="inlineStr">
        <is>
          <t>RULED</t>
        </is>
      </c>
      <c r="BH244" t="n">
        <v>1</v>
      </c>
      <c r="BI244" t="n">
        <v>0</v>
      </c>
      <c r="BJ244" t="n">
        <v>4000</v>
      </c>
      <c r="BK244" t="inlineStr">
        <is>
          <t>LINE</t>
        </is>
      </c>
      <c r="BL244" t="inlineStr">
        <is>
          <t>SEAL REEFER</t>
        </is>
      </c>
      <c r="BM244" t="inlineStr">
        <is>
          <t>SEAL REEFER</t>
        </is>
      </c>
    </row>
    <row r="245">
      <c r="A245" t="n">
        <v>244</v>
      </c>
      <c r="B245" t="inlineStr">
        <is>
          <t>FOX DRY</t>
        </is>
      </c>
      <c r="C245" t="inlineStr">
        <is>
          <t>REF000000</t>
        </is>
      </c>
      <c r="D245" t="inlineStr">
        <is>
          <t>REF000000</t>
        </is>
      </c>
      <c r="E245" t="inlineStr">
        <is>
          <t>11-DEC-2025</t>
        </is>
      </c>
      <c r="F245" t="inlineStr">
        <is>
          <t>FOX DRY</t>
        </is>
      </c>
      <c r="G245" t="inlineStr">
        <is>
          <t>3x40HQ APTO ALIMENTO</t>
        </is>
      </c>
      <c r="H245" t="inlineStr">
        <is>
          <t>AR_MARTIMA</t>
        </is>
      </c>
      <c r="J245" t="n">
        <v>46028</v>
      </c>
      <c r="K245" t="n">
        <v>46025</v>
      </c>
      <c r="L245" t="n">
        <v>46027</v>
      </c>
      <c r="M245" t="inlineStr">
        <is>
          <t>REF000000</t>
        </is>
      </c>
      <c r="N245" t="inlineStr">
        <is>
          <t>USSEA</t>
        </is>
      </c>
      <c r="O245" t="inlineStr">
        <is>
          <t>USSEA</t>
        </is>
      </c>
      <c r="P245" t="inlineStr">
        <is>
          <t>USNFK</t>
        </is>
      </c>
      <c r="U245" t="inlineStr">
        <is>
          <t>RULED</t>
        </is>
      </c>
      <c r="V245" t="inlineStr">
        <is>
          <t>RULED</t>
        </is>
      </c>
      <c r="W245" t="inlineStr">
        <is>
          <t>CANADA</t>
        </is>
      </c>
      <c r="X245" t="inlineStr">
        <is>
          <t>PERSIAN GULF</t>
        </is>
      </c>
      <c r="Y245" t="inlineStr">
        <is>
          <t>RUSSIA</t>
        </is>
      </c>
      <c r="Z245" t="inlineStr">
        <is>
          <t>External Review</t>
        </is>
      </c>
      <c r="AA245" t="inlineStr">
        <is>
          <t>HUB SHIPPING LLC-LED</t>
        </is>
      </c>
      <c r="AB245" t="inlineStr">
        <is>
          <t>Prepaid</t>
        </is>
      </c>
      <c r="AC245" t="inlineStr">
        <is>
          <t>TIGER PLATA/962N</t>
        </is>
      </c>
      <c r="AD245" t="inlineStr">
        <is>
          <t>MERCURY / 25016E</t>
        </is>
      </c>
      <c r="AE245" t="inlineStr">
        <is>
          <t>LADEN BOOKING</t>
        </is>
      </c>
      <c r="AF245" t="inlineStr">
        <is>
          <t>AR_MARTIMA</t>
        </is>
      </c>
      <c r="AG245" t="inlineStr">
        <is>
          <t>HC40</t>
        </is>
      </c>
      <c r="AH245" t="inlineStr">
        <is>
          <t>NO</t>
        </is>
      </c>
      <c r="AI245" t="n">
        <v>40</v>
      </c>
      <c r="AJ245" t="n">
        <v>0</v>
      </c>
      <c r="AK245" t="n">
        <v>3</v>
      </c>
      <c r="AL245" t="inlineStr">
        <is>
          <t>ANON0000000,
ANON0000000,
ANON0000000</t>
        </is>
      </c>
      <c r="AP245" t="inlineStr">
        <is>
          <t>Non Haz</t>
        </is>
      </c>
      <c r="AQ245" t="inlineStr">
        <is>
          <t>CY/CY</t>
        </is>
      </c>
      <c r="AT245" t="inlineStr">
        <is>
          <t>REF000000</t>
        </is>
      </c>
      <c r="AU245" t="n">
        <v>29000</v>
      </c>
      <c r="AV245" t="inlineStr">
        <is>
          <t>GENERAL COMMODITY</t>
        </is>
      </c>
      <c r="AW245" t="inlineStr">
        <is>
          <t>HS CODE: 1202.42.00.190Z</t>
        </is>
      </c>
      <c r="AX245" t="inlineStr">
        <is>
          <t>MRG368673</t>
        </is>
      </c>
      <c r="AY245" t="inlineStr">
        <is>
          <t>LINE</t>
        </is>
      </c>
      <c r="AZ245" t="n">
        <v>0</v>
      </c>
      <c r="BA245" t="n">
        <v>14</v>
      </c>
      <c r="BB245" t="n">
        <v>14</v>
      </c>
      <c r="BC245" t="n">
        <v>5200</v>
      </c>
      <c r="BD245" t="inlineStr">
        <is>
          <t>No</t>
        </is>
      </c>
      <c r="BF245" t="inlineStr">
        <is>
          <t>Bengal Tiger Line -BTL</t>
        </is>
      </c>
      <c r="BG245" t="inlineStr">
        <is>
          <t>USSEA</t>
        </is>
      </c>
      <c r="BH245" t="n">
        <v>0</v>
      </c>
      <c r="BI245" t="n">
        <v>3</v>
      </c>
      <c r="BJ245" t="n">
        <v>15600</v>
      </c>
      <c r="BK245" t="inlineStr">
        <is>
          <t>LINE</t>
        </is>
      </c>
      <c r="BL245" t="inlineStr">
        <is>
          <t>FOX DRY</t>
        </is>
      </c>
      <c r="BM245" t="inlineStr">
        <is>
          <t>FOX DRY</t>
        </is>
      </c>
    </row>
    <row r="246">
      <c r="A246" t="n">
        <v>245</v>
      </c>
      <c r="B246" t="inlineStr">
        <is>
          <t>DOLPHIN REEFER</t>
        </is>
      </c>
      <c r="C246" t="inlineStr">
        <is>
          <t>REF000000</t>
        </is>
      </c>
      <c r="D246" t="inlineStr">
        <is>
          <t>REF000000</t>
        </is>
      </c>
      <c r="E246" t="inlineStr">
        <is>
          <t>16-DEC-2025</t>
        </is>
      </c>
      <c r="F246" t="inlineStr">
        <is>
          <t>DOLPHIN REEFER</t>
        </is>
      </c>
      <c r="G246" t="inlineStr">
        <is>
          <t>MOLFINO</t>
        </is>
      </c>
      <c r="H246" t="inlineStr">
        <is>
          <t>AR_MARTIMA</t>
        </is>
      </c>
      <c r="J246" t="n">
        <v>46035</v>
      </c>
      <c r="K246" t="n">
        <v>46033</v>
      </c>
      <c r="L246" t="n">
        <v>46035</v>
      </c>
      <c r="M246" t="inlineStr">
        <is>
          <t>REF000000</t>
        </is>
      </c>
      <c r="N246" t="inlineStr">
        <is>
          <t>USSEA</t>
        </is>
      </c>
      <c r="O246" t="inlineStr">
        <is>
          <t>USSEA</t>
        </is>
      </c>
      <c r="P246" t="inlineStr">
        <is>
          <t>USNFK</t>
        </is>
      </c>
      <c r="U246" t="inlineStr">
        <is>
          <t>RULED</t>
        </is>
      </c>
      <c r="V246" t="inlineStr">
        <is>
          <t>RULED</t>
        </is>
      </c>
      <c r="W246" t="inlineStr">
        <is>
          <t>CANADA</t>
        </is>
      </c>
      <c r="X246" t="inlineStr">
        <is>
          <t>PERSIAN GULF</t>
        </is>
      </c>
      <c r="Y246" t="inlineStr">
        <is>
          <t>RUSSIA</t>
        </is>
      </c>
      <c r="Z246" t="inlineStr">
        <is>
          <t>External Review</t>
        </is>
      </c>
      <c r="AA246" t="inlineStr">
        <is>
          <t>HUB SHIPPING LLC-LED</t>
        </is>
      </c>
      <c r="AB246" t="inlineStr">
        <is>
          <t>Prepaid</t>
        </is>
      </c>
      <c r="AC246" t="inlineStr">
        <is>
          <t>TIGER PLATA/963N</t>
        </is>
      </c>
      <c r="AD246" t="inlineStr">
        <is>
          <t>MERCURY / 25016E</t>
        </is>
      </c>
      <c r="AE246" t="inlineStr">
        <is>
          <t>LADEN BOOKING</t>
        </is>
      </c>
      <c r="AF246" t="inlineStr">
        <is>
          <t>AR_MARTIMA</t>
        </is>
      </c>
      <c r="AG246" t="inlineStr">
        <is>
          <t>RH40</t>
        </is>
      </c>
      <c r="AH246" t="inlineStr">
        <is>
          <t>NO</t>
        </is>
      </c>
      <c r="AI246" t="n">
        <v>40</v>
      </c>
      <c r="AJ246" t="n">
        <v>0</v>
      </c>
      <c r="AK246" t="n">
        <v>4</v>
      </c>
      <c r="AL246" t="inlineStr">
        <is>
          <t>ANON0000000,
ANON0000000,
ANON0000000,
ANON0000000</t>
        </is>
      </c>
      <c r="AM246" t="n">
        <v>4</v>
      </c>
      <c r="AP246" t="inlineStr">
        <is>
          <t>Non Haz</t>
        </is>
      </c>
      <c r="AQ246" t="inlineStr">
        <is>
          <t>CY/CY</t>
        </is>
      </c>
      <c r="AT246" t="inlineStr">
        <is>
          <t>REF000000</t>
        </is>
      </c>
      <c r="AU246" t="n">
        <v>29000</v>
      </c>
      <c r="AV246" t="inlineStr">
        <is>
          <t>FROZEN PRODUCT</t>
        </is>
      </c>
      <c r="AW246" t="inlineStr">
        <is>
          <t>N.C.M 0406.90.10.190J</t>
        </is>
      </c>
      <c r="AX246" t="inlineStr">
        <is>
          <t>RSAMI122500025</t>
        </is>
      </c>
      <c r="AZ246" t="n">
        <v>0</v>
      </c>
      <c r="BA246" t="n">
        <v>10</v>
      </c>
      <c r="BB246" t="n">
        <v>10</v>
      </c>
      <c r="BC246" t="n">
        <v>7300</v>
      </c>
      <c r="BD246" t="inlineStr">
        <is>
          <t>No</t>
        </is>
      </c>
      <c r="BF246" t="inlineStr">
        <is>
          <t>Bengal Tiger Line -BTL</t>
        </is>
      </c>
      <c r="BG246" t="inlineStr">
        <is>
          <t>USSEA</t>
        </is>
      </c>
      <c r="BH246" t="n">
        <v>0</v>
      </c>
      <c r="BI246" t="n">
        <v>4</v>
      </c>
      <c r="BJ246" t="n">
        <v>29200</v>
      </c>
      <c r="BK246" t="inlineStr">
        <is>
          <t>LINE</t>
        </is>
      </c>
      <c r="BL246" t="inlineStr">
        <is>
          <t>DOLPHIN REEFER</t>
        </is>
      </c>
      <c r="BM246" t="inlineStr">
        <is>
          <t>DOLPHIN REEFER</t>
        </is>
      </c>
    </row>
    <row r="247">
      <c r="A247" t="n">
        <v>246</v>
      </c>
      <c r="B247" t="inlineStr">
        <is>
          <t>MARLIN REEFER</t>
        </is>
      </c>
      <c r="C247" t="inlineStr">
        <is>
          <t>REF000000</t>
        </is>
      </c>
      <c r="D247" t="inlineStr">
        <is>
          <t>REF000000</t>
        </is>
      </c>
      <c r="E247" t="inlineStr">
        <is>
          <t>16-DEC-2025</t>
        </is>
      </c>
      <c r="F247" t="inlineStr">
        <is>
          <t>MARLIN REEFER</t>
        </is>
      </c>
      <c r="G247" t="inlineStr">
        <is>
          <t>ENTERED THROUGH SPLIT BOOKING FROM THE BOOKING ID REF000000, BY AR_MARTIMA, ON 12/16/2025 6:06:09 PM</t>
        </is>
      </c>
      <c r="H247" t="inlineStr">
        <is>
          <t>AR_MARTIMA</t>
        </is>
      </c>
      <c r="J247" t="n">
        <v>46035</v>
      </c>
      <c r="K247" t="n">
        <v>46033</v>
      </c>
      <c r="L247" t="n">
        <v>46035</v>
      </c>
      <c r="M247" t="inlineStr">
        <is>
          <t>REF000000</t>
        </is>
      </c>
      <c r="N247" t="inlineStr">
        <is>
          <t>USSEA</t>
        </is>
      </c>
      <c r="O247" t="inlineStr">
        <is>
          <t>USSEA</t>
        </is>
      </c>
      <c r="P247" t="inlineStr">
        <is>
          <t>USNFK</t>
        </is>
      </c>
      <c r="U247" t="inlineStr">
        <is>
          <t>RULED</t>
        </is>
      </c>
      <c r="V247" t="inlineStr">
        <is>
          <t>RULED</t>
        </is>
      </c>
      <c r="W247" t="inlineStr">
        <is>
          <t>CANADA</t>
        </is>
      </c>
      <c r="X247" t="inlineStr">
        <is>
          <t>PERSIAN GULF</t>
        </is>
      </c>
      <c r="Y247" t="inlineStr">
        <is>
          <t>RUSSIA</t>
        </is>
      </c>
      <c r="Z247" t="inlineStr">
        <is>
          <t>External Review</t>
        </is>
      </c>
      <c r="AA247" t="inlineStr">
        <is>
          <t>HUB SHIPPING LLC-LED</t>
        </is>
      </c>
      <c r="AB247" t="inlineStr">
        <is>
          <t>Prepaid</t>
        </is>
      </c>
      <c r="AC247" t="inlineStr">
        <is>
          <t>TIGER PLATA/963N</t>
        </is>
      </c>
      <c r="AD247" t="inlineStr">
        <is>
          <t>MERCURY / 25016E</t>
        </is>
      </c>
      <c r="AE247" t="inlineStr">
        <is>
          <t>LADEN BOOKING</t>
        </is>
      </c>
      <c r="AF247" t="inlineStr">
        <is>
          <t>AR_MARTIMA</t>
        </is>
      </c>
      <c r="AG247" t="inlineStr">
        <is>
          <t>RH40</t>
        </is>
      </c>
      <c r="AH247" t="inlineStr">
        <is>
          <t>NO</t>
        </is>
      </c>
      <c r="AI247" t="n">
        <v>40</v>
      </c>
      <c r="AJ247" t="n">
        <v>0</v>
      </c>
      <c r="AK247" t="n">
        <v>6</v>
      </c>
      <c r="AL247" t="inlineStr">
        <is>
          <t>ANON0000000,
ANON0000000,
ANON0000000,
ANON0000000,
ANON0000000,
ANON0000000</t>
        </is>
      </c>
      <c r="AM247" t="n">
        <v>-2</v>
      </c>
      <c r="AP247" t="inlineStr">
        <is>
          <t>Non Haz</t>
        </is>
      </c>
      <c r="AQ247" t="inlineStr">
        <is>
          <t>CY/CY</t>
        </is>
      </c>
      <c r="AT247" t="inlineStr">
        <is>
          <t>REF000000</t>
        </is>
      </c>
      <c r="AU247" t="n">
        <v>29000</v>
      </c>
      <c r="AV247" t="inlineStr">
        <is>
          <t>FROZEN PRODUCT</t>
        </is>
      </c>
      <c r="AW247" t="inlineStr">
        <is>
          <t>N.C.M 0406.10.10.199Q</t>
        </is>
      </c>
      <c r="AX247" t="inlineStr">
        <is>
          <t>RSAMI122500025</t>
        </is>
      </c>
      <c r="AZ247" t="n">
        <v>0</v>
      </c>
      <c r="BA247" t="n">
        <v>10</v>
      </c>
      <c r="BB247" t="n">
        <v>10</v>
      </c>
      <c r="BC247" t="n">
        <v>7300</v>
      </c>
      <c r="BD247" t="inlineStr">
        <is>
          <t>No</t>
        </is>
      </c>
      <c r="BF247" t="inlineStr">
        <is>
          <t>Bengal Tiger Line -BTL</t>
        </is>
      </c>
      <c r="BG247" t="inlineStr">
        <is>
          <t>USSEA</t>
        </is>
      </c>
      <c r="BH247" t="n">
        <v>0</v>
      </c>
      <c r="BI247" t="n">
        <v>6</v>
      </c>
      <c r="BJ247" t="n">
        <v>43800</v>
      </c>
      <c r="BK247" t="inlineStr">
        <is>
          <t>LINE</t>
        </is>
      </c>
      <c r="BL247" t="inlineStr">
        <is>
          <t>MARLIN REEFER</t>
        </is>
      </c>
      <c r="BM247" t="inlineStr">
        <is>
          <t>MARLIN REEFER</t>
        </is>
      </c>
    </row>
    <row r="248">
      <c r="A248" t="n">
        <v>247</v>
      </c>
      <c r="B248" t="inlineStr">
        <is>
          <t>COYOTE DRY</t>
        </is>
      </c>
      <c r="C248" t="inlineStr">
        <is>
          <t>REF000000</t>
        </is>
      </c>
      <c r="D248" t="inlineStr">
        <is>
          <t>REF000000</t>
        </is>
      </c>
      <c r="E248" t="inlineStr">
        <is>
          <t>19-DEC-2025</t>
        </is>
      </c>
      <c r="F248" t="inlineStr">
        <is>
          <t>COYOTE DRY</t>
        </is>
      </c>
      <c r="H248" t="inlineStr">
        <is>
          <t>AdminAMI</t>
        </is>
      </c>
      <c r="J248" t="n">
        <v>46028</v>
      </c>
      <c r="K248" t="n">
        <v>46025</v>
      </c>
      <c r="L248" t="n">
        <v>46027</v>
      </c>
      <c r="M248" t="inlineStr">
        <is>
          <t>REF000000</t>
        </is>
      </c>
      <c r="N248" t="inlineStr">
        <is>
          <t>USSEA</t>
        </is>
      </c>
      <c r="O248" t="inlineStr">
        <is>
          <t>USSEA</t>
        </is>
      </c>
      <c r="P248" t="inlineStr">
        <is>
          <t>USNFK</t>
        </is>
      </c>
      <c r="Q248" t="inlineStr">
        <is>
          <t>MACAS</t>
        </is>
      </c>
      <c r="U248" t="inlineStr">
        <is>
          <t>RULED</t>
        </is>
      </c>
      <c r="V248" t="inlineStr">
        <is>
          <t>RULED</t>
        </is>
      </c>
      <c r="W248" t="inlineStr">
        <is>
          <t>CANADA</t>
        </is>
      </c>
      <c r="X248" t="inlineStr">
        <is>
          <t>PERSIAN GULF</t>
        </is>
      </c>
      <c r="Y248" t="inlineStr">
        <is>
          <t>RUSSIA</t>
        </is>
      </c>
      <c r="Z248" t="inlineStr">
        <is>
          <t>External Review</t>
        </is>
      </c>
      <c r="AA248" t="inlineStr">
        <is>
          <t>HUB SHIPPING LLC-LED</t>
        </is>
      </c>
      <c r="AB248" t="inlineStr">
        <is>
          <t>Collect</t>
        </is>
      </c>
      <c r="AC248" t="inlineStr">
        <is>
          <t>TIGER PLATA/962N</t>
        </is>
      </c>
      <c r="AD248" t="inlineStr">
        <is>
          <t>MERCURY / 25016E</t>
        </is>
      </c>
      <c r="AE248" t="inlineStr">
        <is>
          <t>LADEN BOOKING</t>
        </is>
      </c>
      <c r="AF248" t="inlineStr">
        <is>
          <t>RenniAMI</t>
        </is>
      </c>
      <c r="AG248" t="inlineStr">
        <is>
          <t>DC20</t>
        </is>
      </c>
      <c r="AH248" t="inlineStr">
        <is>
          <t>NO</t>
        </is>
      </c>
      <c r="AI248" t="n">
        <v>20</v>
      </c>
      <c r="AJ248" t="n">
        <v>1</v>
      </c>
      <c r="AK248" t="n">
        <v>0</v>
      </c>
      <c r="AL248" t="inlineStr">
        <is>
          <t>ANON0000000</t>
        </is>
      </c>
      <c r="AP248" t="inlineStr">
        <is>
          <t>Non Haz</t>
        </is>
      </c>
      <c r="AQ248" t="inlineStr">
        <is>
          <t>CY/CY</t>
        </is>
      </c>
      <c r="AT248" t="inlineStr">
        <is>
          <t>REF000000</t>
        </is>
      </c>
      <c r="AU248" t="n">
        <v>21000</v>
      </c>
      <c r="AV248" t="inlineStr">
        <is>
          <t>GENERAL COMMODITY</t>
        </is>
      </c>
      <c r="AW248" t="inlineStr">
        <is>
          <t>NCM: 0504.00</t>
        </is>
      </c>
      <c r="AX248" t="inlineStr">
        <is>
          <t>RSAMI122500033</t>
        </is>
      </c>
      <c r="AZ248" t="n">
        <v>0</v>
      </c>
      <c r="BA248" t="n">
        <v>10</v>
      </c>
      <c r="BB248" t="n">
        <v>14</v>
      </c>
      <c r="BC248" t="n">
        <v>4000</v>
      </c>
      <c r="BD248" t="inlineStr">
        <is>
          <t>Yes</t>
        </is>
      </c>
      <c r="BF248" t="inlineStr">
        <is>
          <t>Bengal Tiger Line -BTL</t>
        </is>
      </c>
      <c r="BG248" t="inlineStr">
        <is>
          <t>RULED</t>
        </is>
      </c>
      <c r="BH248" t="n">
        <v>1</v>
      </c>
      <c r="BI248" t="n">
        <v>0</v>
      </c>
      <c r="BJ248" t="n">
        <v>4000</v>
      </c>
      <c r="BK248" t="inlineStr">
        <is>
          <t>LINE</t>
        </is>
      </c>
      <c r="BL248" t="inlineStr">
        <is>
          <t>COYOTE DRY</t>
        </is>
      </c>
      <c r="BM248" t="inlineStr">
        <is>
          <t>COYOTE DRY</t>
        </is>
      </c>
    </row>
    <row r="249">
      <c r="A249" t="n">
        <v>248</v>
      </c>
      <c r="B249" t="inlineStr">
        <is>
          <t>ORCA REEFER</t>
        </is>
      </c>
      <c r="C249" t="inlineStr">
        <is>
          <t>REF000000</t>
        </is>
      </c>
      <c r="D249" t="inlineStr">
        <is>
          <t>REF000000</t>
        </is>
      </c>
      <c r="E249" t="inlineStr">
        <is>
          <t>19-DEC-2025</t>
        </is>
      </c>
      <c r="F249" t="inlineStr">
        <is>
          <t>ORCA REEFER</t>
        </is>
      </c>
      <c r="G249" t="inlineStr">
        <is>
          <t>ENTERED THROUGH SPLIT BOOKING FROM THE BOOKING ID REF000000, BY AR_MARTIMA, ON 11/17/2025 7:35:33 PM</t>
        </is>
      </c>
      <c r="H249" t="inlineStr">
        <is>
          <t>AR_MARTIMA</t>
        </is>
      </c>
      <c r="J249" t="n">
        <v>46041</v>
      </c>
      <c r="K249" t="n">
        <v>46040</v>
      </c>
      <c r="L249" t="n">
        <v>46041</v>
      </c>
      <c r="M249" t="inlineStr">
        <is>
          <t>REF000000</t>
        </is>
      </c>
      <c r="N249" t="inlineStr">
        <is>
          <t>USSEA</t>
        </is>
      </c>
      <c r="O249" t="inlineStr">
        <is>
          <t>USSEA</t>
        </is>
      </c>
      <c r="P249" t="inlineStr">
        <is>
          <t>USNFK</t>
        </is>
      </c>
      <c r="U249" t="inlineStr">
        <is>
          <t>RULED</t>
        </is>
      </c>
      <c r="V249" t="inlineStr">
        <is>
          <t>RULED</t>
        </is>
      </c>
      <c r="W249" t="inlineStr">
        <is>
          <t>CANADA</t>
        </is>
      </c>
      <c r="X249" t="inlineStr">
        <is>
          <t>PERSIAN GULF</t>
        </is>
      </c>
      <c r="Y249" t="inlineStr">
        <is>
          <t>RUSSIA</t>
        </is>
      </c>
      <c r="Z249" t="inlineStr">
        <is>
          <t>External Review</t>
        </is>
      </c>
      <c r="AA249" t="inlineStr">
        <is>
          <t>HUB SHIPPING LLC-LED</t>
        </is>
      </c>
      <c r="AB249" t="inlineStr">
        <is>
          <t>Prepaid</t>
        </is>
      </c>
      <c r="AC249" t="inlineStr">
        <is>
          <t>TIGER PLATA/964N</t>
        </is>
      </c>
      <c r="AD249" t="inlineStr">
        <is>
          <t>LI DA XING / VOYAGE 1</t>
        </is>
      </c>
      <c r="AE249" t="inlineStr">
        <is>
          <t>LADEN BOOKING</t>
        </is>
      </c>
      <c r="AF249" t="inlineStr">
        <is>
          <t>AR_MARTIMA</t>
        </is>
      </c>
      <c r="AG249" t="inlineStr">
        <is>
          <t>RH40</t>
        </is>
      </c>
      <c r="AH249" t="inlineStr">
        <is>
          <t>NO</t>
        </is>
      </c>
      <c r="AI249" t="n">
        <v>40</v>
      </c>
      <c r="AJ249" t="n">
        <v>0</v>
      </c>
      <c r="AK249" t="n">
        <v>1</v>
      </c>
      <c r="AL249" t="inlineStr">
        <is>
          <t>ANON0000000</t>
        </is>
      </c>
      <c r="AM249" t="n">
        <v>-18</v>
      </c>
      <c r="AP249" t="inlineStr">
        <is>
          <t>Non Haz</t>
        </is>
      </c>
      <c r="AQ249" t="inlineStr">
        <is>
          <t>CY/CY</t>
        </is>
      </c>
      <c r="AT249" t="inlineStr">
        <is>
          <t>REF000000</t>
        </is>
      </c>
      <c r="AU249" t="n">
        <v>29000</v>
      </c>
      <c r="AV249" t="inlineStr">
        <is>
          <t>FROZEN BONELESS BUFFALO MEAT</t>
        </is>
      </c>
      <c r="AW249" t="inlineStr">
        <is>
          <t>HS CODE: 020500</t>
        </is>
      </c>
      <c r="AX249" t="inlineStr">
        <is>
          <t>RSAMI122500026</t>
        </is>
      </c>
      <c r="AZ249" t="n">
        <v>0</v>
      </c>
      <c r="BA249" t="n">
        <v>10</v>
      </c>
      <c r="BB249" t="n">
        <v>10</v>
      </c>
      <c r="BC249" t="n">
        <v>7300</v>
      </c>
      <c r="BD249" t="inlineStr">
        <is>
          <t>No</t>
        </is>
      </c>
      <c r="BF249" t="inlineStr">
        <is>
          <t>Bengal Tiger Line -BTL</t>
        </is>
      </c>
      <c r="BG249" t="inlineStr">
        <is>
          <t>USSEA</t>
        </is>
      </c>
      <c r="BH249" t="n">
        <v>0</v>
      </c>
      <c r="BI249" t="n">
        <v>1</v>
      </c>
      <c r="BJ249" t="n">
        <v>7300</v>
      </c>
      <c r="BK249" t="inlineStr">
        <is>
          <t>LINE</t>
        </is>
      </c>
      <c r="BL249" t="inlineStr">
        <is>
          <t>ORCA REEFER</t>
        </is>
      </c>
      <c r="BM249" t="inlineStr">
        <is>
          <t>ORCA REEFER</t>
        </is>
      </c>
    </row>
    <row r="250">
      <c r="A250" t="n">
        <v>249</v>
      </c>
      <c r="B250" t="inlineStr">
        <is>
          <t>WHALE REEFER</t>
        </is>
      </c>
      <c r="C250" t="inlineStr">
        <is>
          <t>REF000000</t>
        </is>
      </c>
      <c r="D250" t="inlineStr">
        <is>
          <t>REF000000</t>
        </is>
      </c>
      <c r="E250" t="inlineStr">
        <is>
          <t>20-DEC-2025</t>
        </is>
      </c>
      <c r="F250" t="inlineStr">
        <is>
          <t>WHALE REEFER</t>
        </is>
      </c>
      <c r="G250" t="inlineStr">
        <is>
          <t>1x40rh TEMP +2 CHEESE</t>
        </is>
      </c>
      <c r="H250" t="inlineStr">
        <is>
          <t>AR_MARTIMA</t>
        </is>
      </c>
      <c r="J250" t="n">
        <v>46028</v>
      </c>
      <c r="K250" t="n">
        <v>46025</v>
      </c>
      <c r="L250" t="n">
        <v>46027</v>
      </c>
      <c r="M250" t="inlineStr">
        <is>
          <t>REF000000</t>
        </is>
      </c>
      <c r="N250" t="inlineStr">
        <is>
          <t>USSEA</t>
        </is>
      </c>
      <c r="O250" t="inlineStr">
        <is>
          <t>USSEA</t>
        </is>
      </c>
      <c r="P250" t="inlineStr">
        <is>
          <t>USNFK</t>
        </is>
      </c>
      <c r="U250" t="inlineStr">
        <is>
          <t>RULED</t>
        </is>
      </c>
      <c r="V250" t="inlineStr">
        <is>
          <t>RULED</t>
        </is>
      </c>
      <c r="W250" t="inlineStr">
        <is>
          <t>CANADA</t>
        </is>
      </c>
      <c r="X250" t="inlineStr">
        <is>
          <t>PERSIAN GULF</t>
        </is>
      </c>
      <c r="Y250" t="inlineStr">
        <is>
          <t>RUSSIA</t>
        </is>
      </c>
      <c r="Z250" t="inlineStr">
        <is>
          <t>External Review</t>
        </is>
      </c>
      <c r="AA250" t="inlineStr">
        <is>
          <t>HUB SHIPPING LLC-LED</t>
        </is>
      </c>
      <c r="AB250" t="inlineStr">
        <is>
          <t>Prepaid</t>
        </is>
      </c>
      <c r="AC250" t="inlineStr">
        <is>
          <t>TIGER PLATA/962N</t>
        </is>
      </c>
      <c r="AD250" t="inlineStr">
        <is>
          <t>MERCURY / 25016E</t>
        </is>
      </c>
      <c r="AE250" t="inlineStr">
        <is>
          <t>LADEN BOOKING</t>
        </is>
      </c>
      <c r="AF250" t="inlineStr">
        <is>
          <t>AR_MARTIMA</t>
        </is>
      </c>
      <c r="AG250" t="inlineStr">
        <is>
          <t>RH40</t>
        </is>
      </c>
      <c r="AH250" t="inlineStr">
        <is>
          <t>NO</t>
        </is>
      </c>
      <c r="AI250" t="n">
        <v>40</v>
      </c>
      <c r="AJ250" t="n">
        <v>0</v>
      </c>
      <c r="AK250" t="n">
        <v>1</v>
      </c>
      <c r="AL250" t="inlineStr">
        <is>
          <t>ANON0000000</t>
        </is>
      </c>
      <c r="AM250" t="n">
        <v>2</v>
      </c>
      <c r="AP250" t="inlineStr">
        <is>
          <t>Non Haz</t>
        </is>
      </c>
      <c r="AQ250" t="inlineStr">
        <is>
          <t>CY/CY</t>
        </is>
      </c>
      <c r="AT250" t="inlineStr">
        <is>
          <t>REF000000</t>
        </is>
      </c>
      <c r="AU250" t="n">
        <v>29000</v>
      </c>
      <c r="AV250" t="inlineStr">
        <is>
          <t>FROZEN PRODUCT</t>
        </is>
      </c>
      <c r="AX250" t="inlineStr">
        <is>
          <t>RSAMI122500025</t>
        </is>
      </c>
      <c r="AZ250" t="n">
        <v>0</v>
      </c>
      <c r="BA250" t="n">
        <v>10</v>
      </c>
      <c r="BB250" t="n">
        <v>10</v>
      </c>
      <c r="BC250" t="n">
        <v>7300</v>
      </c>
      <c r="BD250" t="inlineStr">
        <is>
          <t>No</t>
        </is>
      </c>
      <c r="BF250" t="inlineStr">
        <is>
          <t>Bengal Tiger Line -BTL</t>
        </is>
      </c>
      <c r="BG250" t="inlineStr">
        <is>
          <t>USSEA</t>
        </is>
      </c>
      <c r="BH250" t="n">
        <v>0</v>
      </c>
      <c r="BI250" t="n">
        <v>1</v>
      </c>
      <c r="BJ250" t="n">
        <v>7300</v>
      </c>
      <c r="BK250" t="inlineStr">
        <is>
          <t>LINE</t>
        </is>
      </c>
      <c r="BL250" t="inlineStr">
        <is>
          <t>WHALE REEFER</t>
        </is>
      </c>
      <c r="BM250" t="inlineStr">
        <is>
          <t>WHALE REEFER</t>
        </is>
      </c>
    </row>
    <row r="251">
      <c r="A251" t="n">
        <v>250</v>
      </c>
      <c r="B251" t="inlineStr">
        <is>
          <t>DEER DRY</t>
        </is>
      </c>
      <c r="C251" t="inlineStr">
        <is>
          <t>REF000000</t>
        </is>
      </c>
      <c r="D251" t="inlineStr">
        <is>
          <t>REF000000</t>
        </is>
      </c>
      <c r="E251" t="inlineStr">
        <is>
          <t>22-DEC-2025</t>
        </is>
      </c>
      <c r="F251" t="inlineStr">
        <is>
          <t>DEER DRY</t>
        </is>
      </c>
      <c r="H251" t="inlineStr">
        <is>
          <t>AdminAMI</t>
        </is>
      </c>
      <c r="J251" t="n">
        <v>46035</v>
      </c>
      <c r="K251" t="n">
        <v>46033</v>
      </c>
      <c r="L251" t="n">
        <v>46035</v>
      </c>
      <c r="M251" t="inlineStr">
        <is>
          <t>REF000000</t>
        </is>
      </c>
      <c r="N251" t="inlineStr">
        <is>
          <t>USSEA</t>
        </is>
      </c>
      <c r="O251" t="inlineStr">
        <is>
          <t>USSEA</t>
        </is>
      </c>
      <c r="P251" t="inlineStr">
        <is>
          <t>USNFK</t>
        </is>
      </c>
      <c r="U251" t="inlineStr">
        <is>
          <t>RULED</t>
        </is>
      </c>
      <c r="V251" t="inlineStr">
        <is>
          <t>RULED</t>
        </is>
      </c>
      <c r="W251" t="inlineStr">
        <is>
          <t>CANADA</t>
        </is>
      </c>
      <c r="X251" t="inlineStr">
        <is>
          <t>PERSIAN GULF</t>
        </is>
      </c>
      <c r="Y251" t="inlineStr">
        <is>
          <t>RUSSIA</t>
        </is>
      </c>
      <c r="Z251" t="inlineStr">
        <is>
          <t>External Review</t>
        </is>
      </c>
      <c r="AA251" t="inlineStr">
        <is>
          <t>HUB SHIPPING LLC-LED</t>
        </is>
      </c>
      <c r="AB251" t="inlineStr">
        <is>
          <t>Collect</t>
        </is>
      </c>
      <c r="AC251" t="inlineStr">
        <is>
          <t>TIGER PLATA/963N</t>
        </is>
      </c>
      <c r="AD251" t="inlineStr">
        <is>
          <t>MERCURY / 25016E</t>
        </is>
      </c>
      <c r="AE251" t="inlineStr">
        <is>
          <t>LADEN BOOKING</t>
        </is>
      </c>
      <c r="AF251" t="inlineStr">
        <is>
          <t>RenniAMI</t>
        </is>
      </c>
      <c r="AG251" t="inlineStr">
        <is>
          <t>HC40</t>
        </is>
      </c>
      <c r="AH251" t="inlineStr">
        <is>
          <t>NO</t>
        </is>
      </c>
      <c r="AI251" t="n">
        <v>40</v>
      </c>
      <c r="AJ251" t="n">
        <v>0</v>
      </c>
      <c r="AK251" t="n">
        <v>11</v>
      </c>
      <c r="AL251" t="inlineStr">
        <is>
          <t>ANON0000000,
ANON0000000,
ANON0000000,
ANON0000000,
ANON0000000,
ANON0000000,
ANON0000000,
ANON0000000,
ANON0000000,
ANON0000000,
ANON0000000</t>
        </is>
      </c>
      <c r="AP251" t="inlineStr">
        <is>
          <t>Non Haz</t>
        </is>
      </c>
      <c r="AQ251" t="inlineStr">
        <is>
          <t>CY/CY</t>
        </is>
      </c>
      <c r="AT251" t="inlineStr">
        <is>
          <t>REF000000</t>
        </is>
      </c>
      <c r="AU251" t="n">
        <v>26000</v>
      </c>
      <c r="AV251" t="inlineStr">
        <is>
          <t>GENERAL COMMODITY</t>
        </is>
      </c>
      <c r="AX251" t="inlineStr">
        <is>
          <t>RSAMI122500034</t>
        </is>
      </c>
      <c r="AZ251" t="n">
        <v>0</v>
      </c>
      <c r="BA251" t="n">
        <v>10</v>
      </c>
      <c r="BB251" t="n">
        <v>14</v>
      </c>
      <c r="BC251" t="n">
        <v>4600</v>
      </c>
      <c r="BD251" t="inlineStr">
        <is>
          <t>Yes</t>
        </is>
      </c>
      <c r="BF251" t="inlineStr">
        <is>
          <t>Bengal Tiger Line -BTL</t>
        </is>
      </c>
      <c r="BG251" t="inlineStr">
        <is>
          <t>RULED</t>
        </is>
      </c>
      <c r="BH251" t="n">
        <v>0</v>
      </c>
      <c r="BI251" t="n">
        <v>11</v>
      </c>
      <c r="BJ251" t="n">
        <v>50600</v>
      </c>
      <c r="BK251" t="inlineStr">
        <is>
          <t>LINE</t>
        </is>
      </c>
      <c r="BL251" t="inlineStr">
        <is>
          <t>DEER DRY</t>
        </is>
      </c>
      <c r="BM251" t="inlineStr">
        <is>
          <t>DEER DRY</t>
        </is>
      </c>
    </row>
    <row r="252">
      <c r="A252" t="n">
        <v>251</v>
      </c>
      <c r="B252" t="inlineStr">
        <is>
          <t>SHARK REEFER</t>
        </is>
      </c>
      <c r="C252" t="inlineStr">
        <is>
          <t>REF000000</t>
        </is>
      </c>
      <c r="D252" t="inlineStr">
        <is>
          <t>REF000000</t>
        </is>
      </c>
      <c r="E252" t="inlineStr">
        <is>
          <t>23-DEC-2025</t>
        </is>
      </c>
      <c r="F252" t="inlineStr">
        <is>
          <t>SHARK REEFER</t>
        </is>
      </c>
      <c r="G252" t="inlineStr">
        <is>
          <t>1x40RH TEMP -18</t>
        </is>
      </c>
      <c r="H252" t="inlineStr">
        <is>
          <t>AR_MARTIMA</t>
        </is>
      </c>
      <c r="J252" t="n">
        <v>46028</v>
      </c>
      <c r="K252" t="n">
        <v>46025</v>
      </c>
      <c r="L252" t="n">
        <v>46027</v>
      </c>
      <c r="M252" t="inlineStr">
        <is>
          <t>REF000000</t>
        </is>
      </c>
      <c r="N252" t="inlineStr">
        <is>
          <t>USSEA</t>
        </is>
      </c>
      <c r="O252" t="inlineStr">
        <is>
          <t>USSEA</t>
        </is>
      </c>
      <c r="P252" t="inlineStr">
        <is>
          <t>USNFK</t>
        </is>
      </c>
      <c r="U252" t="inlineStr">
        <is>
          <t>RULED</t>
        </is>
      </c>
      <c r="V252" t="inlineStr">
        <is>
          <t>RULED</t>
        </is>
      </c>
      <c r="W252" t="inlineStr">
        <is>
          <t>CANADA</t>
        </is>
      </c>
      <c r="X252" t="inlineStr">
        <is>
          <t>PERSIAN GULF</t>
        </is>
      </c>
      <c r="Y252" t="inlineStr">
        <is>
          <t>RUSSIA</t>
        </is>
      </c>
      <c r="Z252" t="inlineStr">
        <is>
          <t>External Review</t>
        </is>
      </c>
      <c r="AA252" t="inlineStr">
        <is>
          <t>HUB SHIPPING LLC-LED</t>
        </is>
      </c>
      <c r="AB252" t="inlineStr">
        <is>
          <t>Prepaid</t>
        </is>
      </c>
      <c r="AC252" t="inlineStr">
        <is>
          <t>TIGER PLATA/962N</t>
        </is>
      </c>
      <c r="AD252" t="inlineStr">
        <is>
          <t>MERCURY / 25016E</t>
        </is>
      </c>
      <c r="AE252" t="inlineStr">
        <is>
          <t>LADEN BOOKING</t>
        </is>
      </c>
      <c r="AF252" t="inlineStr">
        <is>
          <t>AR_MARTIMA</t>
        </is>
      </c>
      <c r="AG252" t="inlineStr">
        <is>
          <t>RH40</t>
        </is>
      </c>
      <c r="AH252" t="inlineStr">
        <is>
          <t>NO</t>
        </is>
      </c>
      <c r="AI252" t="n">
        <v>40</v>
      </c>
      <c r="AJ252" t="n">
        <v>0</v>
      </c>
      <c r="AK252" t="n">
        <v>1</v>
      </c>
      <c r="AL252" t="inlineStr">
        <is>
          <t>ANON0000000</t>
        </is>
      </c>
      <c r="AM252" t="n">
        <v>-18</v>
      </c>
      <c r="AP252" t="inlineStr">
        <is>
          <t>Non Haz</t>
        </is>
      </c>
      <c r="AQ252" t="inlineStr">
        <is>
          <t>CY/CY</t>
        </is>
      </c>
      <c r="AT252" t="inlineStr">
        <is>
          <t>REF000000</t>
        </is>
      </c>
      <c r="AU252" t="n">
        <v>29000</v>
      </c>
      <c r="AV252" t="inlineStr">
        <is>
          <t>FROZEN BONELESS BUFFALO MEAT</t>
        </is>
      </c>
      <c r="AW252" t="inlineStr">
        <is>
          <t>HS CODE: 0205.00 - 0504.00</t>
        </is>
      </c>
      <c r="AX252" t="inlineStr">
        <is>
          <t>RSAMI122500026</t>
        </is>
      </c>
      <c r="AZ252" t="n">
        <v>0</v>
      </c>
      <c r="BA252" t="n">
        <v>10</v>
      </c>
      <c r="BB252" t="n">
        <v>10</v>
      </c>
      <c r="BC252" t="n">
        <v>7300</v>
      </c>
      <c r="BD252" t="inlineStr">
        <is>
          <t>No</t>
        </is>
      </c>
      <c r="BF252" t="inlineStr">
        <is>
          <t>Bengal Tiger Line -BTL</t>
        </is>
      </c>
      <c r="BG252" t="inlineStr">
        <is>
          <t>USSEA</t>
        </is>
      </c>
      <c r="BH252" t="n">
        <v>0</v>
      </c>
      <c r="BI252" t="n">
        <v>1</v>
      </c>
      <c r="BJ252" t="n">
        <v>7300</v>
      </c>
      <c r="BK252" t="inlineStr">
        <is>
          <t>LINE</t>
        </is>
      </c>
      <c r="BL252" t="inlineStr">
        <is>
          <t>SHARK REEFER</t>
        </is>
      </c>
      <c r="BM252" t="inlineStr">
        <is>
          <t>SHARK REEFER</t>
        </is>
      </c>
    </row>
    <row r="253">
      <c r="A253" t="n">
        <v>252</v>
      </c>
      <c r="B253" t="inlineStr">
        <is>
          <t>BISON DRY</t>
        </is>
      </c>
      <c r="C253" t="inlineStr">
        <is>
          <t>REF000000</t>
        </is>
      </c>
      <c r="D253" t="inlineStr">
        <is>
          <t>REF000000</t>
        </is>
      </c>
      <c r="E253" t="inlineStr">
        <is>
          <t>24-DEC-2025</t>
        </is>
      </c>
      <c r="F253" t="inlineStr">
        <is>
          <t>BISON DRY</t>
        </is>
      </c>
      <c r="H253" t="inlineStr">
        <is>
          <t>AdminAMI</t>
        </is>
      </c>
      <c r="J253" t="n">
        <v>46035</v>
      </c>
      <c r="K253" t="n">
        <v>46033</v>
      </c>
      <c r="L253" t="n">
        <v>46035</v>
      </c>
      <c r="M253" t="inlineStr">
        <is>
          <t>REF000000</t>
        </is>
      </c>
      <c r="N253" t="inlineStr">
        <is>
          <t>USSEA</t>
        </is>
      </c>
      <c r="O253" t="inlineStr">
        <is>
          <t>USSEA</t>
        </is>
      </c>
      <c r="P253" t="inlineStr">
        <is>
          <t>USNFK</t>
        </is>
      </c>
      <c r="U253" t="inlineStr">
        <is>
          <t>RULED</t>
        </is>
      </c>
      <c r="V253" t="inlineStr">
        <is>
          <t>RULED</t>
        </is>
      </c>
      <c r="W253" t="inlineStr">
        <is>
          <t>CANADA</t>
        </is>
      </c>
      <c r="X253" t="inlineStr">
        <is>
          <t>PERSIAN GULF</t>
        </is>
      </c>
      <c r="Y253" t="inlineStr">
        <is>
          <t>RUSSIA</t>
        </is>
      </c>
      <c r="Z253" t="inlineStr">
        <is>
          <t>External Review</t>
        </is>
      </c>
      <c r="AA253" t="inlineStr">
        <is>
          <t>HUB SHIPPING LLC-LED</t>
        </is>
      </c>
      <c r="AB253" t="inlineStr">
        <is>
          <t>Collect</t>
        </is>
      </c>
      <c r="AC253" t="inlineStr">
        <is>
          <t>TIGER PLATA/963N</t>
        </is>
      </c>
      <c r="AD253" t="inlineStr">
        <is>
          <t>MERCURY / 25016E</t>
        </is>
      </c>
      <c r="AE253" t="inlineStr">
        <is>
          <t>LADEN BOOKING</t>
        </is>
      </c>
      <c r="AF253" t="inlineStr">
        <is>
          <t>RenniAMI</t>
        </is>
      </c>
      <c r="AG253" t="inlineStr">
        <is>
          <t>HC40</t>
        </is>
      </c>
      <c r="AH253" t="inlineStr">
        <is>
          <t>NO</t>
        </is>
      </c>
      <c r="AI253" t="n">
        <v>40</v>
      </c>
      <c r="AJ253" t="n">
        <v>0</v>
      </c>
      <c r="AK253" t="n">
        <v>2</v>
      </c>
      <c r="AL253" t="inlineStr">
        <is>
          <t>ANON0000000,
ANON0000000</t>
        </is>
      </c>
      <c r="AP253" t="inlineStr">
        <is>
          <t>Non Haz</t>
        </is>
      </c>
      <c r="AQ253" t="inlineStr">
        <is>
          <t>CY/CY</t>
        </is>
      </c>
      <c r="AT253" t="inlineStr">
        <is>
          <t>REF000000</t>
        </is>
      </c>
      <c r="AU253" t="n">
        <v>26000</v>
      </c>
      <c r="AV253" t="inlineStr">
        <is>
          <t>GENERAL COMMODITY</t>
        </is>
      </c>
      <c r="AW253" t="inlineStr">
        <is>
          <t>NCM: 1202.42.00.190Z</t>
        </is>
      </c>
      <c r="AX253" t="inlineStr">
        <is>
          <t>RSAMI122500034</t>
        </is>
      </c>
      <c r="AZ253" t="n">
        <v>0</v>
      </c>
      <c r="BA253" t="n">
        <v>10</v>
      </c>
      <c r="BB253" t="n">
        <v>14</v>
      </c>
      <c r="BC253" t="n">
        <v>4600</v>
      </c>
      <c r="BD253" t="inlineStr">
        <is>
          <t>Yes</t>
        </is>
      </c>
      <c r="BF253" t="inlineStr">
        <is>
          <t>Bengal Tiger Line -BTL</t>
        </is>
      </c>
      <c r="BG253" t="inlineStr">
        <is>
          <t>RULED</t>
        </is>
      </c>
      <c r="BH253" t="n">
        <v>0</v>
      </c>
      <c r="BI253" t="n">
        <v>2</v>
      </c>
      <c r="BJ253" t="n">
        <v>9200</v>
      </c>
      <c r="BK253" t="inlineStr">
        <is>
          <t>LINE</t>
        </is>
      </c>
      <c r="BL253" t="inlineStr">
        <is>
          <t>BISON DRY</t>
        </is>
      </c>
      <c r="BM253" t="inlineStr">
        <is>
          <t>BISON DRY</t>
        </is>
      </c>
    </row>
    <row r="254">
      <c r="A254" t="n">
        <v>253</v>
      </c>
      <c r="B254" t="inlineStr">
        <is>
          <t>EAGLE DRY</t>
        </is>
      </c>
      <c r="C254" t="inlineStr">
        <is>
          <t>REF000000</t>
        </is>
      </c>
      <c r="D254" t="inlineStr">
        <is>
          <t>REF000000</t>
        </is>
      </c>
      <c r="E254" t="inlineStr">
        <is>
          <t>25-DEC-2025</t>
        </is>
      </c>
      <c r="F254" t="inlineStr">
        <is>
          <t>EAGLE DRY</t>
        </is>
      </c>
      <c r="H254" t="inlineStr">
        <is>
          <t>AdminAMI</t>
        </is>
      </c>
      <c r="J254" t="n">
        <v>46041</v>
      </c>
      <c r="K254" t="n">
        <v>46040</v>
      </c>
      <c r="L254" t="n">
        <v>46041</v>
      </c>
      <c r="M254" t="inlineStr">
        <is>
          <t>REF000000</t>
        </is>
      </c>
      <c r="N254" t="inlineStr">
        <is>
          <t>USSEA</t>
        </is>
      </c>
      <c r="O254" t="inlineStr">
        <is>
          <t>USSEA</t>
        </is>
      </c>
      <c r="P254" t="inlineStr">
        <is>
          <t>USNFK</t>
        </is>
      </c>
      <c r="U254" t="inlineStr">
        <is>
          <t>RULED</t>
        </is>
      </c>
      <c r="V254" t="inlineStr">
        <is>
          <t>RULED</t>
        </is>
      </c>
      <c r="W254" t="inlineStr">
        <is>
          <t>CANADA</t>
        </is>
      </c>
      <c r="X254" t="inlineStr">
        <is>
          <t>PERSIAN GULF</t>
        </is>
      </c>
      <c r="Y254" t="inlineStr">
        <is>
          <t>RUSSIA</t>
        </is>
      </c>
      <c r="Z254" t="inlineStr">
        <is>
          <t>External Review</t>
        </is>
      </c>
      <c r="AA254" t="inlineStr">
        <is>
          <t>HUB SHIPPING LLC-LED</t>
        </is>
      </c>
      <c r="AB254" t="inlineStr">
        <is>
          <t>Collect</t>
        </is>
      </c>
      <c r="AC254" t="inlineStr">
        <is>
          <t>TIGER PLATA/964N</t>
        </is>
      </c>
      <c r="AD254" t="inlineStr">
        <is>
          <t>LI DA XING / VOYAGE 1</t>
        </is>
      </c>
      <c r="AE254" t="inlineStr">
        <is>
          <t>LADEN BOOKING</t>
        </is>
      </c>
      <c r="AF254" t="inlineStr">
        <is>
          <t>RenniAMI</t>
        </is>
      </c>
      <c r="AG254" t="inlineStr">
        <is>
          <t>DC20</t>
        </is>
      </c>
      <c r="AH254" t="inlineStr">
        <is>
          <t>NO</t>
        </is>
      </c>
      <c r="AI254" t="n">
        <v>20</v>
      </c>
      <c r="AJ254" t="n">
        <v>2</v>
      </c>
      <c r="AK254" t="n">
        <v>0</v>
      </c>
      <c r="AL254" t="inlineStr">
        <is>
          <t>ANON0000000,
ANON0000000</t>
        </is>
      </c>
      <c r="AP254" t="inlineStr">
        <is>
          <t>Non Haz</t>
        </is>
      </c>
      <c r="AQ254" t="inlineStr">
        <is>
          <t>CY/CY</t>
        </is>
      </c>
      <c r="AT254" t="inlineStr">
        <is>
          <t>REF000000</t>
        </is>
      </c>
      <c r="AU254" t="n">
        <v>26000</v>
      </c>
      <c r="AV254" t="inlineStr">
        <is>
          <t>GENERAL COMMODITY</t>
        </is>
      </c>
      <c r="AW254" t="inlineStr">
        <is>
          <t>N.C.M.: 3812.20</t>
        </is>
      </c>
      <c r="AX254" t="inlineStr">
        <is>
          <t>RSAMI122500035</t>
        </is>
      </c>
      <c r="AZ254" t="n">
        <v>0</v>
      </c>
      <c r="BA254" t="n">
        <v>10</v>
      </c>
      <c r="BB254" t="n">
        <v>14</v>
      </c>
      <c r="BC254" t="n">
        <v>3250</v>
      </c>
      <c r="BD254" t="inlineStr">
        <is>
          <t>Yes</t>
        </is>
      </c>
      <c r="BF254" t="inlineStr">
        <is>
          <t>Bengal Tiger Line -BTL</t>
        </is>
      </c>
      <c r="BG254" t="inlineStr">
        <is>
          <t>RULED</t>
        </is>
      </c>
      <c r="BH254" t="n">
        <v>2</v>
      </c>
      <c r="BI254" t="n">
        <v>0</v>
      </c>
      <c r="BJ254" t="n">
        <v>6500</v>
      </c>
      <c r="BK254" t="inlineStr">
        <is>
          <t>LINE</t>
        </is>
      </c>
      <c r="BL254" t="inlineStr">
        <is>
          <t>EAGLE DRY</t>
        </is>
      </c>
      <c r="BM254" t="inlineStr">
        <is>
          <t>EAGLE DRY</t>
        </is>
      </c>
    </row>
    <row r="255">
      <c r="A255" t="n">
        <v>254</v>
      </c>
      <c r="B255" t="inlineStr">
        <is>
          <t>TURTLE REEFER</t>
        </is>
      </c>
      <c r="C255" t="inlineStr">
        <is>
          <t>REF000000</t>
        </is>
      </c>
      <c r="D255" t="inlineStr">
        <is>
          <t>REF000000</t>
        </is>
      </c>
      <c r="E255" t="inlineStr">
        <is>
          <t>26-DEC-2025</t>
        </is>
      </c>
      <c r="F255" t="inlineStr">
        <is>
          <t>TURTLE REEFER</t>
        </is>
      </c>
      <c r="G255" t="inlineStr">
        <is>
          <t>1x40RH TEMP -18</t>
        </is>
      </c>
      <c r="H255" t="inlineStr">
        <is>
          <t>AR_MARTIMA</t>
        </is>
      </c>
      <c r="J255" t="n">
        <v>46028</v>
      </c>
      <c r="K255" t="n">
        <v>46025</v>
      </c>
      <c r="L255" t="n">
        <v>46027</v>
      </c>
      <c r="M255" t="inlineStr">
        <is>
          <t>REF000000</t>
        </is>
      </c>
      <c r="N255" t="inlineStr">
        <is>
          <t>USSEA</t>
        </is>
      </c>
      <c r="O255" t="inlineStr">
        <is>
          <t>USSEA</t>
        </is>
      </c>
      <c r="P255" t="inlineStr">
        <is>
          <t>USNFK</t>
        </is>
      </c>
      <c r="U255" t="inlineStr">
        <is>
          <t>RULED</t>
        </is>
      </c>
      <c r="V255" t="inlineStr">
        <is>
          <t>RULED</t>
        </is>
      </c>
      <c r="W255" t="inlineStr">
        <is>
          <t>CANADA</t>
        </is>
      </c>
      <c r="X255" t="inlineStr">
        <is>
          <t>PERSIAN GULF</t>
        </is>
      </c>
      <c r="Y255" t="inlineStr">
        <is>
          <t>RUSSIA</t>
        </is>
      </c>
      <c r="Z255" t="inlineStr">
        <is>
          <t>External Review</t>
        </is>
      </c>
      <c r="AA255" t="inlineStr">
        <is>
          <t>HUB SHIPPING LLC-LED</t>
        </is>
      </c>
      <c r="AB255" t="inlineStr">
        <is>
          <t>Prepaid</t>
        </is>
      </c>
      <c r="AC255" t="inlineStr">
        <is>
          <t>TIGER PLATA/962N</t>
        </is>
      </c>
      <c r="AD255" t="inlineStr">
        <is>
          <t>MERCURY / 25016E</t>
        </is>
      </c>
      <c r="AE255" t="inlineStr">
        <is>
          <t>LADEN BOOKING</t>
        </is>
      </c>
      <c r="AF255" t="inlineStr">
        <is>
          <t>AR_MARTIMA</t>
        </is>
      </c>
      <c r="AG255" t="inlineStr">
        <is>
          <t>RH40</t>
        </is>
      </c>
      <c r="AH255" t="inlineStr">
        <is>
          <t>NO</t>
        </is>
      </c>
      <c r="AI255" t="n">
        <v>40</v>
      </c>
      <c r="AJ255" t="n">
        <v>0</v>
      </c>
      <c r="AK255" t="n">
        <v>1</v>
      </c>
      <c r="AL255" t="inlineStr">
        <is>
          <t>ANON0000000</t>
        </is>
      </c>
      <c r="AM255" t="n">
        <v>-18</v>
      </c>
      <c r="AP255" t="inlineStr">
        <is>
          <t>Non Haz</t>
        </is>
      </c>
      <c r="AQ255" t="inlineStr">
        <is>
          <t>CY/CY</t>
        </is>
      </c>
      <c r="AT255" t="inlineStr">
        <is>
          <t>REF000000</t>
        </is>
      </c>
      <c r="AU255" t="n">
        <v>29000</v>
      </c>
      <c r="AV255" t="inlineStr">
        <is>
          <t>FROZEN MEAT</t>
        </is>
      </c>
      <c r="AW255" t="inlineStr">
        <is>
          <t>NCM 020622</t>
        </is>
      </c>
      <c r="AX255" t="inlineStr">
        <is>
          <t>RSAMI122500031</t>
        </is>
      </c>
      <c r="AZ255" t="n">
        <v>0</v>
      </c>
      <c r="BA255" t="n">
        <v>10</v>
      </c>
      <c r="BB255" t="n">
        <v>10</v>
      </c>
      <c r="BC255" t="n">
        <v>6800</v>
      </c>
      <c r="BD255" t="inlineStr">
        <is>
          <t>No</t>
        </is>
      </c>
      <c r="BF255" t="inlineStr">
        <is>
          <t>Bengal Tiger Line -BTL</t>
        </is>
      </c>
      <c r="BG255" t="inlineStr">
        <is>
          <t>USSEA</t>
        </is>
      </c>
      <c r="BH255" t="n">
        <v>0</v>
      </c>
      <c r="BI255" t="n">
        <v>1</v>
      </c>
      <c r="BJ255" t="n">
        <v>6800</v>
      </c>
      <c r="BK255" t="inlineStr">
        <is>
          <t>LINE</t>
        </is>
      </c>
      <c r="BL255" t="inlineStr">
        <is>
          <t>TURTLE REEFER</t>
        </is>
      </c>
      <c r="BM255" t="inlineStr">
        <is>
          <t>TURTLE REEFER</t>
        </is>
      </c>
    </row>
    <row r="256">
      <c r="A256" t="n">
        <v>255</v>
      </c>
      <c r="B256" t="inlineStr">
        <is>
          <t>ORCA REEFER</t>
        </is>
      </c>
      <c r="C256" t="inlineStr">
        <is>
          <t>REF000000</t>
        </is>
      </c>
      <c r="D256" t="inlineStr">
        <is>
          <t>REF000000</t>
        </is>
      </c>
      <c r="E256" t="inlineStr">
        <is>
          <t>26-DEC-2025</t>
        </is>
      </c>
      <c r="F256" t="inlineStr">
        <is>
          <t>ORCA REEFER</t>
        </is>
      </c>
      <c r="G256" t="inlineStr">
        <is>
          <t>ENTERED THROUGH SPLIT BOOKING FROM THE BOOKING ID REF000000, BY AR_MARTIMA, ON 12/26/2025 10:01:38 PM</t>
        </is>
      </c>
      <c r="H256" t="inlineStr">
        <is>
          <t>AR_MARTIMA</t>
        </is>
      </c>
      <c r="J256" t="n">
        <v>46028</v>
      </c>
      <c r="K256" t="n">
        <v>46025</v>
      </c>
      <c r="L256" t="n">
        <v>46027</v>
      </c>
      <c r="M256" t="inlineStr">
        <is>
          <t>REF000000</t>
        </is>
      </c>
      <c r="N256" t="inlineStr">
        <is>
          <t>USSEA</t>
        </is>
      </c>
      <c r="O256" t="inlineStr">
        <is>
          <t>USSEA</t>
        </is>
      </c>
      <c r="P256" t="inlineStr">
        <is>
          <t>USNFK</t>
        </is>
      </c>
      <c r="U256" t="inlineStr">
        <is>
          <t>RULED</t>
        </is>
      </c>
      <c r="V256" t="inlineStr">
        <is>
          <t>RULED</t>
        </is>
      </c>
      <c r="W256" t="inlineStr">
        <is>
          <t>CANADA</t>
        </is>
      </c>
      <c r="X256" t="inlineStr">
        <is>
          <t>PERSIAN GULF</t>
        </is>
      </c>
      <c r="Y256" t="inlineStr">
        <is>
          <t>RUSSIA</t>
        </is>
      </c>
      <c r="Z256" t="inlineStr">
        <is>
          <t>External Review</t>
        </is>
      </c>
      <c r="AA256" t="inlineStr">
        <is>
          <t>HUB SHIPPING LLC-LED</t>
        </is>
      </c>
      <c r="AB256" t="inlineStr">
        <is>
          <t>Prepaid</t>
        </is>
      </c>
      <c r="AC256" t="inlineStr">
        <is>
          <t>TIGER PLATA/962N</t>
        </is>
      </c>
      <c r="AD256" t="inlineStr">
        <is>
          <t>MERCURY / 25016E</t>
        </is>
      </c>
      <c r="AE256" t="inlineStr">
        <is>
          <t>LADEN BOOKING</t>
        </is>
      </c>
      <c r="AF256" t="inlineStr">
        <is>
          <t>AR_MARTIMA</t>
        </is>
      </c>
      <c r="AG256" t="inlineStr">
        <is>
          <t>RH40</t>
        </is>
      </c>
      <c r="AI256" t="n">
        <v>40</v>
      </c>
      <c r="AJ256" t="n">
        <v>0</v>
      </c>
      <c r="AK256" t="n">
        <v>1</v>
      </c>
      <c r="AL256" t="inlineStr">
        <is>
          <t>ANON0000000</t>
        </is>
      </c>
      <c r="AM256" t="n">
        <v>-18</v>
      </c>
      <c r="AP256" t="inlineStr">
        <is>
          <t>Non Haz</t>
        </is>
      </c>
      <c r="AQ256" t="inlineStr">
        <is>
          <t>CY/CY</t>
        </is>
      </c>
      <c r="AT256" t="inlineStr">
        <is>
          <t>REF000000</t>
        </is>
      </c>
      <c r="AU256" t="n">
        <v>29000</v>
      </c>
      <c r="AV256" t="inlineStr">
        <is>
          <t>FROZEN MEAT</t>
        </is>
      </c>
      <c r="AW256" t="inlineStr">
        <is>
          <t>NCM 020622</t>
        </is>
      </c>
      <c r="AX256" t="inlineStr">
        <is>
          <t>RSAMI122500031</t>
        </is>
      </c>
      <c r="AZ256" t="n">
        <v>0</v>
      </c>
      <c r="BA256" t="n">
        <v>10</v>
      </c>
      <c r="BB256" t="n">
        <v>10</v>
      </c>
      <c r="BC256" t="n">
        <v>6800</v>
      </c>
      <c r="BD256" t="inlineStr">
        <is>
          <t>No</t>
        </is>
      </c>
      <c r="BF256" t="inlineStr">
        <is>
          <t>Bengal Tiger Line -BTL</t>
        </is>
      </c>
      <c r="BG256" t="inlineStr">
        <is>
          <t>USSEA</t>
        </is>
      </c>
      <c r="BH256" t="n">
        <v>0</v>
      </c>
      <c r="BI256" t="n">
        <v>1</v>
      </c>
      <c r="BJ256" t="n">
        <v>6800</v>
      </c>
      <c r="BK256" t="inlineStr">
        <is>
          <t>LINE</t>
        </is>
      </c>
      <c r="BL256" t="inlineStr">
        <is>
          <t>ORCA REEFER</t>
        </is>
      </c>
      <c r="BM256" t="inlineStr">
        <is>
          <t>ORCA REEFER</t>
        </is>
      </c>
    </row>
    <row r="257">
      <c r="A257" t="n">
        <v>256</v>
      </c>
      <c r="B257" t="inlineStr">
        <is>
          <t>WHALE REEFER</t>
        </is>
      </c>
      <c r="C257" t="inlineStr">
        <is>
          <t>REF000000</t>
        </is>
      </c>
      <c r="D257" t="inlineStr">
        <is>
          <t>REF000000</t>
        </is>
      </c>
      <c r="E257" t="inlineStr">
        <is>
          <t>26-DEC-2025</t>
        </is>
      </c>
      <c r="F257" t="inlineStr">
        <is>
          <t>WHALE REEFER</t>
        </is>
      </c>
      <c r="G257" t="inlineStr">
        <is>
          <t>ENTERED THROUGH SPLIT BOOKING FROM THE BOOKING ID REF000000, BY AR_MARTIMA, ON 12/26/2025 10:01:38 PM</t>
        </is>
      </c>
      <c r="H257" t="inlineStr">
        <is>
          <t>AR_MARTIMA</t>
        </is>
      </c>
      <c r="J257" t="n">
        <v>46028</v>
      </c>
      <c r="K257" t="n">
        <v>46025</v>
      </c>
      <c r="L257" t="n">
        <v>46027</v>
      </c>
      <c r="M257" t="inlineStr">
        <is>
          <t>REF000000</t>
        </is>
      </c>
      <c r="N257" t="inlineStr">
        <is>
          <t>USSEA</t>
        </is>
      </c>
      <c r="O257" t="inlineStr">
        <is>
          <t>USSEA</t>
        </is>
      </c>
      <c r="P257" t="inlineStr">
        <is>
          <t>USNFK</t>
        </is>
      </c>
      <c r="U257" t="inlineStr">
        <is>
          <t>RULED</t>
        </is>
      </c>
      <c r="V257" t="inlineStr">
        <is>
          <t>RULED</t>
        </is>
      </c>
      <c r="W257" t="inlineStr">
        <is>
          <t>CANADA</t>
        </is>
      </c>
      <c r="X257" t="inlineStr">
        <is>
          <t>PERSIAN GULF</t>
        </is>
      </c>
      <c r="Y257" t="inlineStr">
        <is>
          <t>RUSSIA</t>
        </is>
      </c>
      <c r="Z257" t="inlineStr">
        <is>
          <t>External Review</t>
        </is>
      </c>
      <c r="AA257" t="inlineStr">
        <is>
          <t>HUB SHIPPING LLC-LED</t>
        </is>
      </c>
      <c r="AB257" t="inlineStr">
        <is>
          <t>Prepaid</t>
        </is>
      </c>
      <c r="AC257" t="inlineStr">
        <is>
          <t>TIGER PLATA/962N</t>
        </is>
      </c>
      <c r="AD257" t="inlineStr">
        <is>
          <t>MERCURY / 25016E</t>
        </is>
      </c>
      <c r="AE257" t="inlineStr">
        <is>
          <t>LADEN BOOKING</t>
        </is>
      </c>
      <c r="AF257" t="inlineStr">
        <is>
          <t>AR_MARTIMA</t>
        </is>
      </c>
      <c r="AG257" t="inlineStr">
        <is>
          <t>RH40</t>
        </is>
      </c>
      <c r="AI257" t="n">
        <v>40</v>
      </c>
      <c r="AJ257" t="n">
        <v>0</v>
      </c>
      <c r="AK257" t="n">
        <v>1</v>
      </c>
      <c r="AL257" t="inlineStr">
        <is>
          <t>ANON0000000</t>
        </is>
      </c>
      <c r="AM257" t="n">
        <v>-18</v>
      </c>
      <c r="AP257" t="inlineStr">
        <is>
          <t>Non Haz</t>
        </is>
      </c>
      <c r="AQ257" t="inlineStr">
        <is>
          <t>CY/CY</t>
        </is>
      </c>
      <c r="AT257" t="inlineStr">
        <is>
          <t>REF000000</t>
        </is>
      </c>
      <c r="AU257" t="n">
        <v>29000</v>
      </c>
      <c r="AV257" t="inlineStr">
        <is>
          <t>FROZEN MEAT</t>
        </is>
      </c>
      <c r="AW257" t="inlineStr">
        <is>
          <t>NCM 020621</t>
        </is>
      </c>
      <c r="AX257" t="inlineStr">
        <is>
          <t>RSAMI122500031</t>
        </is>
      </c>
      <c r="AZ257" t="n">
        <v>0</v>
      </c>
      <c r="BA257" t="n">
        <v>10</v>
      </c>
      <c r="BB257" t="n">
        <v>10</v>
      </c>
      <c r="BC257" t="n">
        <v>6800</v>
      </c>
      <c r="BD257" t="inlineStr">
        <is>
          <t>No</t>
        </is>
      </c>
      <c r="BF257" t="inlineStr">
        <is>
          <t>Bengal Tiger Line -BTL</t>
        </is>
      </c>
      <c r="BG257" t="inlineStr">
        <is>
          <t>USSEA</t>
        </is>
      </c>
      <c r="BH257" t="n">
        <v>0</v>
      </c>
      <c r="BI257" t="n">
        <v>1</v>
      </c>
      <c r="BJ257" t="n">
        <v>6800</v>
      </c>
      <c r="BK257" t="inlineStr">
        <is>
          <t>LINE</t>
        </is>
      </c>
      <c r="BL257" t="inlineStr">
        <is>
          <t>WHALE REEFER</t>
        </is>
      </c>
      <c r="BM257" t="inlineStr">
        <is>
          <t>WHALE REEFER</t>
        </is>
      </c>
    </row>
    <row r="258">
      <c r="A258" t="n">
        <v>257</v>
      </c>
      <c r="B258" t="inlineStr">
        <is>
          <t>SEAL REEFER</t>
        </is>
      </c>
      <c r="C258" t="inlineStr">
        <is>
          <t>REF000000</t>
        </is>
      </c>
      <c r="D258" t="inlineStr">
        <is>
          <t>REF000000</t>
        </is>
      </c>
      <c r="E258" t="inlineStr">
        <is>
          <t>26-DEC-2025</t>
        </is>
      </c>
      <c r="F258" t="inlineStr">
        <is>
          <t>SEAL REEFER</t>
        </is>
      </c>
      <c r="G258" t="inlineStr">
        <is>
          <t>ENTERED THROUGH SPLIT BOOKING FROM THE BOOKING ID REF000000, BY AR_MARTIMA, ON 12/26/2025 10:01:38 PM</t>
        </is>
      </c>
      <c r="H258" t="inlineStr">
        <is>
          <t>AR_MARTIMA</t>
        </is>
      </c>
      <c r="J258" t="n">
        <v>46028</v>
      </c>
      <c r="K258" t="n">
        <v>46025</v>
      </c>
      <c r="L258" t="n">
        <v>46027</v>
      </c>
      <c r="M258" t="inlineStr">
        <is>
          <t>REF000000</t>
        </is>
      </c>
      <c r="N258" t="inlineStr">
        <is>
          <t>USSEA</t>
        </is>
      </c>
      <c r="O258" t="inlineStr">
        <is>
          <t>USSEA</t>
        </is>
      </c>
      <c r="P258" t="inlineStr">
        <is>
          <t>USNFK</t>
        </is>
      </c>
      <c r="U258" t="inlineStr">
        <is>
          <t>RULED</t>
        </is>
      </c>
      <c r="V258" t="inlineStr">
        <is>
          <t>RULED</t>
        </is>
      </c>
      <c r="W258" t="inlineStr">
        <is>
          <t>CANADA</t>
        </is>
      </c>
      <c r="X258" t="inlineStr">
        <is>
          <t>PERSIAN GULF</t>
        </is>
      </c>
      <c r="Y258" t="inlineStr">
        <is>
          <t>RUSSIA</t>
        </is>
      </c>
      <c r="Z258" t="inlineStr">
        <is>
          <t>External Review</t>
        </is>
      </c>
      <c r="AA258" t="inlineStr">
        <is>
          <t>HUB SHIPPING LLC-LED</t>
        </is>
      </c>
      <c r="AB258" t="inlineStr">
        <is>
          <t>Prepaid</t>
        </is>
      </c>
      <c r="AC258" t="inlineStr">
        <is>
          <t>TIGER PLATA/962N</t>
        </is>
      </c>
      <c r="AD258" t="inlineStr">
        <is>
          <t>MERCURY / 25016E</t>
        </is>
      </c>
      <c r="AE258" t="inlineStr">
        <is>
          <t>LADEN BOOKING</t>
        </is>
      </c>
      <c r="AF258" t="inlineStr">
        <is>
          <t>AR_MARTIMA</t>
        </is>
      </c>
      <c r="AG258" t="inlineStr">
        <is>
          <t>RH40</t>
        </is>
      </c>
      <c r="AI258" t="n">
        <v>40</v>
      </c>
      <c r="AJ258" t="n">
        <v>0</v>
      </c>
      <c r="AK258" t="n">
        <v>1</v>
      </c>
      <c r="AL258" t="inlineStr">
        <is>
          <t>ANON0000000</t>
        </is>
      </c>
      <c r="AM258" t="n">
        <v>-18</v>
      </c>
      <c r="AP258" t="inlineStr">
        <is>
          <t>Non Haz</t>
        </is>
      </c>
      <c r="AQ258" t="inlineStr">
        <is>
          <t>CY/CY</t>
        </is>
      </c>
      <c r="AT258" t="inlineStr">
        <is>
          <t>REF000000</t>
        </is>
      </c>
      <c r="AU258" t="n">
        <v>29000</v>
      </c>
      <c r="AV258" t="inlineStr">
        <is>
          <t>FROZEN MEAT</t>
        </is>
      </c>
      <c r="AX258" t="inlineStr">
        <is>
          <t>RSAMI122500031</t>
        </is>
      </c>
      <c r="AZ258" t="n">
        <v>0</v>
      </c>
      <c r="BA258" t="n">
        <v>10</v>
      </c>
      <c r="BB258" t="n">
        <v>10</v>
      </c>
      <c r="BC258" t="n">
        <v>6800</v>
      </c>
      <c r="BD258" t="inlineStr">
        <is>
          <t>No</t>
        </is>
      </c>
      <c r="BF258" t="inlineStr">
        <is>
          <t>Bengal Tiger Line -BTL</t>
        </is>
      </c>
      <c r="BG258" t="inlineStr">
        <is>
          <t>USSEA</t>
        </is>
      </c>
      <c r="BH258" t="n">
        <v>0</v>
      </c>
      <c r="BI258" t="n">
        <v>1</v>
      </c>
      <c r="BJ258" t="n">
        <v>6800</v>
      </c>
      <c r="BK258" t="inlineStr">
        <is>
          <t>LINE</t>
        </is>
      </c>
      <c r="BL258" t="inlineStr">
        <is>
          <t>SEAL REEFER</t>
        </is>
      </c>
      <c r="BM258" t="inlineStr">
        <is>
          <t>SEAL REEFER</t>
        </is>
      </c>
    </row>
    <row r="259">
      <c r="A259" t="n">
        <v>258</v>
      </c>
      <c r="B259" t="inlineStr">
        <is>
          <t>SHARK REEFER</t>
        </is>
      </c>
      <c r="C259" t="inlineStr">
        <is>
          <t>REF000000</t>
        </is>
      </c>
      <c r="D259" t="inlineStr">
        <is>
          <t>REF000000</t>
        </is>
      </c>
      <c r="E259" t="inlineStr">
        <is>
          <t>26-DEC-2025</t>
        </is>
      </c>
      <c r="F259" t="inlineStr">
        <is>
          <t>SHARK REEFER</t>
        </is>
      </c>
      <c r="G259" t="inlineStr">
        <is>
          <t>ENTERED THROUGH SPLIT BOOKING FROM THE BOOKING ID REF000000, BY AR_MARTIMA, ON 12/26/2025 10:01:38 PM</t>
        </is>
      </c>
      <c r="H259" t="inlineStr">
        <is>
          <t>AR_MARTIMA</t>
        </is>
      </c>
      <c r="J259" t="n">
        <v>46028</v>
      </c>
      <c r="K259" t="n">
        <v>46025</v>
      </c>
      <c r="L259" t="n">
        <v>46027</v>
      </c>
      <c r="M259" t="inlineStr">
        <is>
          <t>REF000000</t>
        </is>
      </c>
      <c r="N259" t="inlineStr">
        <is>
          <t>USSEA</t>
        </is>
      </c>
      <c r="O259" t="inlineStr">
        <is>
          <t>USSEA</t>
        </is>
      </c>
      <c r="P259" t="inlineStr">
        <is>
          <t>USNFK</t>
        </is>
      </c>
      <c r="U259" t="inlineStr">
        <is>
          <t>RULED</t>
        </is>
      </c>
      <c r="V259" t="inlineStr">
        <is>
          <t>RULED</t>
        </is>
      </c>
      <c r="W259" t="inlineStr">
        <is>
          <t>CANADA</t>
        </is>
      </c>
      <c r="X259" t="inlineStr">
        <is>
          <t>PERSIAN GULF</t>
        </is>
      </c>
      <c r="Y259" t="inlineStr">
        <is>
          <t>RUSSIA</t>
        </is>
      </c>
      <c r="Z259" t="inlineStr">
        <is>
          <t>External Review</t>
        </is>
      </c>
      <c r="AA259" t="inlineStr">
        <is>
          <t>HUB SHIPPING LLC-LED</t>
        </is>
      </c>
      <c r="AB259" t="inlineStr">
        <is>
          <t>Prepaid</t>
        </is>
      </c>
      <c r="AC259" t="inlineStr">
        <is>
          <t>TIGER PLATA/962N</t>
        </is>
      </c>
      <c r="AD259" t="inlineStr">
        <is>
          <t>MERCURY / 25016E</t>
        </is>
      </c>
      <c r="AE259" t="inlineStr">
        <is>
          <t>LADEN BOOKING</t>
        </is>
      </c>
      <c r="AF259" t="inlineStr">
        <is>
          <t>AR_MARTIMA</t>
        </is>
      </c>
      <c r="AG259" t="inlineStr">
        <is>
          <t>RH40</t>
        </is>
      </c>
      <c r="AI259" t="n">
        <v>40</v>
      </c>
      <c r="AJ259" t="n">
        <v>0</v>
      </c>
      <c r="AK259" t="n">
        <v>1</v>
      </c>
      <c r="AL259" t="inlineStr">
        <is>
          <t>ANON0000000</t>
        </is>
      </c>
      <c r="AM259" t="n">
        <v>-18</v>
      </c>
      <c r="AP259" t="inlineStr">
        <is>
          <t>Non Haz</t>
        </is>
      </c>
      <c r="AQ259" t="inlineStr">
        <is>
          <t>CY/CY</t>
        </is>
      </c>
      <c r="AT259" t="inlineStr">
        <is>
          <t>REF000000</t>
        </is>
      </c>
      <c r="AU259" t="n">
        <v>29000</v>
      </c>
      <c r="AV259" t="inlineStr">
        <is>
          <t>FROZEN MEAT</t>
        </is>
      </c>
      <c r="AX259" t="inlineStr">
        <is>
          <t>RSAMI122500031</t>
        </is>
      </c>
      <c r="AZ259" t="n">
        <v>0</v>
      </c>
      <c r="BA259" t="n">
        <v>10</v>
      </c>
      <c r="BB259" t="n">
        <v>10</v>
      </c>
      <c r="BC259" t="n">
        <v>6800</v>
      </c>
      <c r="BD259" t="inlineStr">
        <is>
          <t>No</t>
        </is>
      </c>
      <c r="BF259" t="inlineStr">
        <is>
          <t>Bengal Tiger Line -BTL</t>
        </is>
      </c>
      <c r="BG259" t="inlineStr">
        <is>
          <t>USSEA</t>
        </is>
      </c>
      <c r="BH259" t="n">
        <v>0</v>
      </c>
      <c r="BI259" t="n">
        <v>1</v>
      </c>
      <c r="BJ259" t="n">
        <v>6800</v>
      </c>
      <c r="BK259" t="inlineStr">
        <is>
          <t>LINE</t>
        </is>
      </c>
      <c r="BL259" t="inlineStr">
        <is>
          <t>SHARK REEFER</t>
        </is>
      </c>
      <c r="BM259" t="inlineStr">
        <is>
          <t>SHARK REEFER</t>
        </is>
      </c>
    </row>
    <row r="260">
      <c r="A260" t="n">
        <v>259</v>
      </c>
      <c r="B260" t="inlineStr">
        <is>
          <t>DOLPHIN REEFER</t>
        </is>
      </c>
      <c r="C260" t="inlineStr">
        <is>
          <t>REF000000</t>
        </is>
      </c>
      <c r="D260" t="inlineStr">
        <is>
          <t>REF000000</t>
        </is>
      </c>
      <c r="E260" t="inlineStr">
        <is>
          <t>26-DEC-2025</t>
        </is>
      </c>
      <c r="F260" t="inlineStr">
        <is>
          <t>DOLPHIN REEFER</t>
        </is>
      </c>
      <c r="G260" t="inlineStr">
        <is>
          <t>ENTERED THROUGH SPLIT BOOKING FROM THE BOOKING ID REF000000, BY AR_MARTIMA, ON 12/26/2025 10:01:38 PM</t>
        </is>
      </c>
      <c r="H260" t="inlineStr">
        <is>
          <t>AR_MARTIMA</t>
        </is>
      </c>
      <c r="J260" t="n">
        <v>46028</v>
      </c>
      <c r="K260" t="n">
        <v>46025</v>
      </c>
      <c r="L260" t="n">
        <v>46027</v>
      </c>
      <c r="M260" t="inlineStr">
        <is>
          <t>REF000000</t>
        </is>
      </c>
      <c r="N260" t="inlineStr">
        <is>
          <t>USSEA</t>
        </is>
      </c>
      <c r="O260" t="inlineStr">
        <is>
          <t>USSEA</t>
        </is>
      </c>
      <c r="P260" t="inlineStr">
        <is>
          <t>USNFK</t>
        </is>
      </c>
      <c r="U260" t="inlineStr">
        <is>
          <t>RULED</t>
        </is>
      </c>
      <c r="V260" t="inlineStr">
        <is>
          <t>RULED</t>
        </is>
      </c>
      <c r="W260" t="inlineStr">
        <is>
          <t>CANADA</t>
        </is>
      </c>
      <c r="X260" t="inlineStr">
        <is>
          <t>PERSIAN GULF</t>
        </is>
      </c>
      <c r="Y260" t="inlineStr">
        <is>
          <t>RUSSIA</t>
        </is>
      </c>
      <c r="Z260" t="inlineStr">
        <is>
          <t>External Review</t>
        </is>
      </c>
      <c r="AA260" t="inlineStr">
        <is>
          <t>HUB SHIPPING LLC-LED</t>
        </is>
      </c>
      <c r="AB260" t="inlineStr">
        <is>
          <t>Prepaid</t>
        </is>
      </c>
      <c r="AC260" t="inlineStr">
        <is>
          <t>TIGER PLATA/962N</t>
        </is>
      </c>
      <c r="AD260" t="inlineStr">
        <is>
          <t>MERCURY / 25016E</t>
        </is>
      </c>
      <c r="AE260" t="inlineStr">
        <is>
          <t>LADEN BOOKING</t>
        </is>
      </c>
      <c r="AF260" t="inlineStr">
        <is>
          <t>AR_MARTIMA</t>
        </is>
      </c>
      <c r="AG260" t="inlineStr">
        <is>
          <t>RH40</t>
        </is>
      </c>
      <c r="AI260" t="n">
        <v>40</v>
      </c>
      <c r="AJ260" t="n">
        <v>0</v>
      </c>
      <c r="AK260" t="n">
        <v>1</v>
      </c>
      <c r="AL260" t="inlineStr">
        <is>
          <t>ANON0000000</t>
        </is>
      </c>
      <c r="AM260" t="n">
        <v>-18</v>
      </c>
      <c r="AP260" t="inlineStr">
        <is>
          <t>Non Haz</t>
        </is>
      </c>
      <c r="AQ260" t="inlineStr">
        <is>
          <t>CY/CY</t>
        </is>
      </c>
      <c r="AT260" t="inlineStr">
        <is>
          <t>REF000000</t>
        </is>
      </c>
      <c r="AU260" t="n">
        <v>29000</v>
      </c>
      <c r="AV260" t="inlineStr">
        <is>
          <t>FROZEN MEAT</t>
        </is>
      </c>
      <c r="AX260" t="inlineStr">
        <is>
          <t>RSAMI122500031</t>
        </is>
      </c>
      <c r="AZ260" t="n">
        <v>0</v>
      </c>
      <c r="BA260" t="n">
        <v>10</v>
      </c>
      <c r="BB260" t="n">
        <v>10</v>
      </c>
      <c r="BC260" t="n">
        <v>6800</v>
      </c>
      <c r="BD260" t="inlineStr">
        <is>
          <t>No</t>
        </is>
      </c>
      <c r="BF260" t="inlineStr">
        <is>
          <t>Bengal Tiger Line -BTL</t>
        </is>
      </c>
      <c r="BG260" t="inlineStr">
        <is>
          <t>USSEA</t>
        </is>
      </c>
      <c r="BH260" t="n">
        <v>0</v>
      </c>
      <c r="BI260" t="n">
        <v>1</v>
      </c>
      <c r="BJ260" t="n">
        <v>6800</v>
      </c>
      <c r="BK260" t="inlineStr">
        <is>
          <t>LINE</t>
        </is>
      </c>
      <c r="BL260" t="inlineStr">
        <is>
          <t>DOLPHIN REEFER</t>
        </is>
      </c>
      <c r="BM260" t="inlineStr">
        <is>
          <t>DOLPHIN REEFER</t>
        </is>
      </c>
    </row>
    <row r="261">
      <c r="A261" t="n">
        <v>260</v>
      </c>
      <c r="B261" t="inlineStr">
        <is>
          <t>MARLIN REEFER</t>
        </is>
      </c>
      <c r="C261" t="inlineStr">
        <is>
          <t>REF000000</t>
        </is>
      </c>
      <c r="D261" t="inlineStr">
        <is>
          <t>REF000000</t>
        </is>
      </c>
      <c r="E261" t="inlineStr">
        <is>
          <t>26-DEC-2025</t>
        </is>
      </c>
      <c r="F261" t="inlineStr">
        <is>
          <t>MARLIN REEFER</t>
        </is>
      </c>
      <c r="G261" t="inlineStr">
        <is>
          <t>ENTERED THROUGH SPLIT BOOKING FROM THE BOOKING ID REF000000, BY AR_MARTIMA, ON 12/26/2025 10:01:39 PM</t>
        </is>
      </c>
      <c r="H261" t="inlineStr">
        <is>
          <t>AR_MARTIMA</t>
        </is>
      </c>
      <c r="J261" t="n">
        <v>46028</v>
      </c>
      <c r="K261" t="n">
        <v>46025</v>
      </c>
      <c r="L261" t="n">
        <v>46027</v>
      </c>
      <c r="M261" t="inlineStr">
        <is>
          <t>REF000000</t>
        </is>
      </c>
      <c r="N261" t="inlineStr">
        <is>
          <t>USSEA</t>
        </is>
      </c>
      <c r="O261" t="inlineStr">
        <is>
          <t>USSEA</t>
        </is>
      </c>
      <c r="P261" t="inlineStr">
        <is>
          <t>USNFK</t>
        </is>
      </c>
      <c r="U261" t="inlineStr">
        <is>
          <t>RULED</t>
        </is>
      </c>
      <c r="V261" t="inlineStr">
        <is>
          <t>RULED</t>
        </is>
      </c>
      <c r="W261" t="inlineStr">
        <is>
          <t>CANADA</t>
        </is>
      </c>
      <c r="X261" t="inlineStr">
        <is>
          <t>PERSIAN GULF</t>
        </is>
      </c>
      <c r="Y261" t="inlineStr">
        <is>
          <t>RUSSIA</t>
        </is>
      </c>
      <c r="Z261" t="inlineStr">
        <is>
          <t>External Review</t>
        </is>
      </c>
      <c r="AA261" t="inlineStr">
        <is>
          <t>HUB SHIPPING LLC-LED</t>
        </is>
      </c>
      <c r="AB261" t="inlineStr">
        <is>
          <t>Prepaid</t>
        </is>
      </c>
      <c r="AC261" t="inlineStr">
        <is>
          <t>TIGER PLATA/962N</t>
        </is>
      </c>
      <c r="AD261" t="inlineStr">
        <is>
          <t>MERCURY / 25016E</t>
        </is>
      </c>
      <c r="AE261" t="inlineStr">
        <is>
          <t>LADEN BOOKING</t>
        </is>
      </c>
      <c r="AF261" t="inlineStr">
        <is>
          <t>AR_MARTIMA</t>
        </is>
      </c>
      <c r="AG261" t="inlineStr">
        <is>
          <t>RH40</t>
        </is>
      </c>
      <c r="AI261" t="n">
        <v>40</v>
      </c>
      <c r="AJ261" t="n">
        <v>0</v>
      </c>
      <c r="AK261" t="n">
        <v>1</v>
      </c>
      <c r="AL261" t="inlineStr">
        <is>
          <t>ANON0000000</t>
        </is>
      </c>
      <c r="AM261" t="n">
        <v>-18</v>
      </c>
      <c r="AP261" t="inlineStr">
        <is>
          <t>Non Haz</t>
        </is>
      </c>
      <c r="AQ261" t="inlineStr">
        <is>
          <t>CY/CY</t>
        </is>
      </c>
      <c r="AT261" t="inlineStr">
        <is>
          <t>REF000000</t>
        </is>
      </c>
      <c r="AU261" t="n">
        <v>29000</v>
      </c>
      <c r="AV261" t="inlineStr">
        <is>
          <t>FROZEN MEAT</t>
        </is>
      </c>
      <c r="AX261" t="inlineStr">
        <is>
          <t>RSAMI122500031</t>
        </is>
      </c>
      <c r="AZ261" t="n">
        <v>0</v>
      </c>
      <c r="BA261" t="n">
        <v>10</v>
      </c>
      <c r="BB261" t="n">
        <v>10</v>
      </c>
      <c r="BC261" t="n">
        <v>6800</v>
      </c>
      <c r="BD261" t="inlineStr">
        <is>
          <t>No</t>
        </is>
      </c>
      <c r="BF261" t="inlineStr">
        <is>
          <t>Bengal Tiger Line -BTL</t>
        </is>
      </c>
      <c r="BG261" t="inlineStr">
        <is>
          <t>USSEA</t>
        </is>
      </c>
      <c r="BH261" t="n">
        <v>0</v>
      </c>
      <c r="BI261" t="n">
        <v>1</v>
      </c>
      <c r="BJ261" t="n">
        <v>6800</v>
      </c>
      <c r="BK261" t="inlineStr">
        <is>
          <t>LINE</t>
        </is>
      </c>
      <c r="BL261" t="inlineStr">
        <is>
          <t>MARLIN REEFER</t>
        </is>
      </c>
      <c r="BM261" t="inlineStr">
        <is>
          <t>MARLIN REEFER</t>
        </is>
      </c>
    </row>
    <row r="262">
      <c r="A262" t="n">
        <v>261</v>
      </c>
      <c r="B262" t="inlineStr">
        <is>
          <t>TURTLE REEFER</t>
        </is>
      </c>
      <c r="C262" t="inlineStr">
        <is>
          <t>REF000000</t>
        </is>
      </c>
      <c r="D262" t="inlineStr">
        <is>
          <t>REF000000</t>
        </is>
      </c>
      <c r="E262" t="inlineStr">
        <is>
          <t>26-DEC-2025</t>
        </is>
      </c>
      <c r="F262" t="inlineStr">
        <is>
          <t>TURTLE REEFER</t>
        </is>
      </c>
      <c r="G262" t="inlineStr">
        <is>
          <t>ENTERED THROUGH SPLIT BOOKING FROM THE BOOKING ID REF000000, BY AR_MARTIMA, ON 12/26/2025 10:01:39 PM</t>
        </is>
      </c>
      <c r="H262" t="inlineStr">
        <is>
          <t>AR_MARTIMA</t>
        </is>
      </c>
      <c r="J262" t="n">
        <v>46028</v>
      </c>
      <c r="K262" t="n">
        <v>46025</v>
      </c>
      <c r="L262" t="n">
        <v>46027</v>
      </c>
      <c r="M262" t="inlineStr">
        <is>
          <t>REF000000</t>
        </is>
      </c>
      <c r="N262" t="inlineStr">
        <is>
          <t>USSEA</t>
        </is>
      </c>
      <c r="O262" t="inlineStr">
        <is>
          <t>USSEA</t>
        </is>
      </c>
      <c r="P262" t="inlineStr">
        <is>
          <t>USNFK</t>
        </is>
      </c>
      <c r="U262" t="inlineStr">
        <is>
          <t>RULED</t>
        </is>
      </c>
      <c r="V262" t="inlineStr">
        <is>
          <t>RULED</t>
        </is>
      </c>
      <c r="W262" t="inlineStr">
        <is>
          <t>CANADA</t>
        </is>
      </c>
      <c r="X262" t="inlineStr">
        <is>
          <t>PERSIAN GULF</t>
        </is>
      </c>
      <c r="Y262" t="inlineStr">
        <is>
          <t>RUSSIA</t>
        </is>
      </c>
      <c r="Z262" t="inlineStr">
        <is>
          <t>External Review</t>
        </is>
      </c>
      <c r="AA262" t="inlineStr">
        <is>
          <t>HUB SHIPPING LLC-LED</t>
        </is>
      </c>
      <c r="AB262" t="inlineStr">
        <is>
          <t>Prepaid</t>
        </is>
      </c>
      <c r="AC262" t="inlineStr">
        <is>
          <t>TIGER PLATA/962N</t>
        </is>
      </c>
      <c r="AD262" t="inlineStr">
        <is>
          <t>MERCURY / 25016E</t>
        </is>
      </c>
      <c r="AE262" t="inlineStr">
        <is>
          <t>LADEN BOOKING</t>
        </is>
      </c>
      <c r="AF262" t="inlineStr">
        <is>
          <t>AR_MARTIMA</t>
        </is>
      </c>
      <c r="AG262" t="inlineStr">
        <is>
          <t>RH40</t>
        </is>
      </c>
      <c r="AI262" t="n">
        <v>40</v>
      </c>
      <c r="AJ262" t="n">
        <v>0</v>
      </c>
      <c r="AK262" t="n">
        <v>1</v>
      </c>
      <c r="AL262" t="inlineStr">
        <is>
          <t>ANON0000000</t>
        </is>
      </c>
      <c r="AM262" t="n">
        <v>-18</v>
      </c>
      <c r="AP262" t="inlineStr">
        <is>
          <t>Non Haz</t>
        </is>
      </c>
      <c r="AQ262" t="inlineStr">
        <is>
          <t>CY/CY</t>
        </is>
      </c>
      <c r="AT262" t="inlineStr">
        <is>
          <t>REF000000</t>
        </is>
      </c>
      <c r="AU262" t="n">
        <v>29000</v>
      </c>
      <c r="AV262" t="inlineStr">
        <is>
          <t>FROZEN MEAT</t>
        </is>
      </c>
      <c r="AX262" t="inlineStr">
        <is>
          <t>RSAMI122500031</t>
        </is>
      </c>
      <c r="AZ262" t="n">
        <v>0</v>
      </c>
      <c r="BA262" t="n">
        <v>10</v>
      </c>
      <c r="BB262" t="n">
        <v>10</v>
      </c>
      <c r="BC262" t="n">
        <v>6800</v>
      </c>
      <c r="BD262" t="inlineStr">
        <is>
          <t>No</t>
        </is>
      </c>
      <c r="BF262" t="inlineStr">
        <is>
          <t>Bengal Tiger Line -BTL</t>
        </is>
      </c>
      <c r="BG262" t="inlineStr">
        <is>
          <t>USSEA</t>
        </is>
      </c>
      <c r="BH262" t="n">
        <v>0</v>
      </c>
      <c r="BI262" t="n">
        <v>1</v>
      </c>
      <c r="BJ262" t="n">
        <v>6800</v>
      </c>
      <c r="BK262" t="inlineStr">
        <is>
          <t>LINE</t>
        </is>
      </c>
      <c r="BL262" t="inlineStr">
        <is>
          <t>TURTLE REEFER</t>
        </is>
      </c>
      <c r="BM262" t="inlineStr">
        <is>
          <t>TURTLE REEFER</t>
        </is>
      </c>
    </row>
    <row r="263">
      <c r="A263" t="n">
        <v>262</v>
      </c>
      <c r="B263" t="inlineStr">
        <is>
          <t>ORCA REEFER</t>
        </is>
      </c>
      <c r="C263" t="inlineStr">
        <is>
          <t>REF000000</t>
        </is>
      </c>
      <c r="D263" t="inlineStr">
        <is>
          <t>REF000000</t>
        </is>
      </c>
      <c r="E263" t="inlineStr">
        <is>
          <t>26-DEC-2025</t>
        </is>
      </c>
      <c r="F263" t="inlineStr">
        <is>
          <t>ORCA REEFER</t>
        </is>
      </c>
      <c r="G263" t="inlineStr">
        <is>
          <t>ENTERED THROUGH SPLIT BOOKING FROM THE BOOKING ID REF000000, BY AR_MARTIMA, ON 12/26/2025 10:01:39 PM</t>
        </is>
      </c>
      <c r="H263" t="inlineStr">
        <is>
          <t>AR_MARTIMA</t>
        </is>
      </c>
      <c r="J263" t="n">
        <v>46028</v>
      </c>
      <c r="K263" t="n">
        <v>46025</v>
      </c>
      <c r="L263" t="n">
        <v>46027</v>
      </c>
      <c r="M263" t="inlineStr">
        <is>
          <t>REF000000</t>
        </is>
      </c>
      <c r="N263" t="inlineStr">
        <is>
          <t>USSEA</t>
        </is>
      </c>
      <c r="O263" t="inlineStr">
        <is>
          <t>USSEA</t>
        </is>
      </c>
      <c r="P263" t="inlineStr">
        <is>
          <t>USNFK</t>
        </is>
      </c>
      <c r="U263" t="inlineStr">
        <is>
          <t>RULED</t>
        </is>
      </c>
      <c r="V263" t="inlineStr">
        <is>
          <t>RULED</t>
        </is>
      </c>
      <c r="W263" t="inlineStr">
        <is>
          <t>CANADA</t>
        </is>
      </c>
      <c r="X263" t="inlineStr">
        <is>
          <t>PERSIAN GULF</t>
        </is>
      </c>
      <c r="Y263" t="inlineStr">
        <is>
          <t>RUSSIA</t>
        </is>
      </c>
      <c r="Z263" t="inlineStr">
        <is>
          <t>External Review</t>
        </is>
      </c>
      <c r="AA263" t="inlineStr">
        <is>
          <t>HUB SHIPPING LLC-LED</t>
        </is>
      </c>
      <c r="AB263" t="inlineStr">
        <is>
          <t>Prepaid</t>
        </is>
      </c>
      <c r="AC263" t="inlineStr">
        <is>
          <t>TIGER PLATA/962N</t>
        </is>
      </c>
      <c r="AD263" t="inlineStr">
        <is>
          <t>MERCURY / 25016E</t>
        </is>
      </c>
      <c r="AE263" t="inlineStr">
        <is>
          <t>LADEN BOOKING</t>
        </is>
      </c>
      <c r="AF263" t="inlineStr">
        <is>
          <t>AR_MARTIMA</t>
        </is>
      </c>
      <c r="AG263" t="inlineStr">
        <is>
          <t>RH40</t>
        </is>
      </c>
      <c r="AI263" t="n">
        <v>40</v>
      </c>
      <c r="AJ263" t="n">
        <v>0</v>
      </c>
      <c r="AK263" t="n">
        <v>1</v>
      </c>
      <c r="AL263" t="inlineStr">
        <is>
          <t>ANON0000000</t>
        </is>
      </c>
      <c r="AM263" t="n">
        <v>-18</v>
      </c>
      <c r="AP263" t="inlineStr">
        <is>
          <t>Non Haz</t>
        </is>
      </c>
      <c r="AQ263" t="inlineStr">
        <is>
          <t>CY/CY</t>
        </is>
      </c>
      <c r="AT263" t="inlineStr">
        <is>
          <t>REF000000</t>
        </is>
      </c>
      <c r="AU263" t="n">
        <v>29000</v>
      </c>
      <c r="AV263" t="inlineStr">
        <is>
          <t>FROZEN MEAT</t>
        </is>
      </c>
      <c r="AX263" t="inlineStr">
        <is>
          <t>RSAMI122500031</t>
        </is>
      </c>
      <c r="AZ263" t="n">
        <v>0</v>
      </c>
      <c r="BA263" t="n">
        <v>10</v>
      </c>
      <c r="BB263" t="n">
        <v>10</v>
      </c>
      <c r="BC263" t="n">
        <v>6800</v>
      </c>
      <c r="BD263" t="inlineStr">
        <is>
          <t>No</t>
        </is>
      </c>
      <c r="BF263" t="inlineStr">
        <is>
          <t>Bengal Tiger Line -BTL</t>
        </is>
      </c>
      <c r="BG263" t="inlineStr">
        <is>
          <t>USSEA</t>
        </is>
      </c>
      <c r="BH263" t="n">
        <v>0</v>
      </c>
      <c r="BI263" t="n">
        <v>1</v>
      </c>
      <c r="BJ263" t="n">
        <v>6800</v>
      </c>
      <c r="BK263" t="inlineStr">
        <is>
          <t>LINE</t>
        </is>
      </c>
      <c r="BL263" t="inlineStr">
        <is>
          <t>ORCA REEFER</t>
        </is>
      </c>
      <c r="BM263" t="inlineStr">
        <is>
          <t>ORCA REEFER</t>
        </is>
      </c>
    </row>
    <row r="264">
      <c r="A264" t="n">
        <v>263</v>
      </c>
      <c r="B264" t="inlineStr">
        <is>
          <t>WHALE REEFER</t>
        </is>
      </c>
      <c r="C264" t="inlineStr">
        <is>
          <t>REF000000</t>
        </is>
      </c>
      <c r="D264" t="inlineStr">
        <is>
          <t>REF000000</t>
        </is>
      </c>
      <c r="E264" t="inlineStr">
        <is>
          <t>26-DEC-2025</t>
        </is>
      </c>
      <c r="F264" t="inlineStr">
        <is>
          <t>WHALE REEFER</t>
        </is>
      </c>
      <c r="G264" t="inlineStr">
        <is>
          <t>ENTERED THROUGH SPLIT BOOKING FROM THE BOOKING ID REF000000, BY AR_MARTIMA, ON 12/26/2025 10:01:39 PM</t>
        </is>
      </c>
      <c r="H264" t="inlineStr">
        <is>
          <t>AR_MARTIMA</t>
        </is>
      </c>
      <c r="J264" t="n">
        <v>46028</v>
      </c>
      <c r="K264" t="n">
        <v>46025</v>
      </c>
      <c r="L264" t="n">
        <v>46027</v>
      </c>
      <c r="M264" t="inlineStr">
        <is>
          <t>REF000000</t>
        </is>
      </c>
      <c r="N264" t="inlineStr">
        <is>
          <t>USSEA</t>
        </is>
      </c>
      <c r="O264" t="inlineStr">
        <is>
          <t>USSEA</t>
        </is>
      </c>
      <c r="P264" t="inlineStr">
        <is>
          <t>USNFK</t>
        </is>
      </c>
      <c r="U264" t="inlineStr">
        <is>
          <t>RULED</t>
        </is>
      </c>
      <c r="V264" t="inlineStr">
        <is>
          <t>RULED</t>
        </is>
      </c>
      <c r="W264" t="inlineStr">
        <is>
          <t>CANADA</t>
        </is>
      </c>
      <c r="X264" t="inlineStr">
        <is>
          <t>PERSIAN GULF</t>
        </is>
      </c>
      <c r="Y264" t="inlineStr">
        <is>
          <t>RUSSIA</t>
        </is>
      </c>
      <c r="Z264" t="inlineStr">
        <is>
          <t>External Review</t>
        </is>
      </c>
      <c r="AA264" t="inlineStr">
        <is>
          <t>HUB SHIPPING LLC-LED</t>
        </is>
      </c>
      <c r="AB264" t="inlineStr">
        <is>
          <t>Prepaid</t>
        </is>
      </c>
      <c r="AC264" t="inlineStr">
        <is>
          <t>TIGER PLATA/962N</t>
        </is>
      </c>
      <c r="AD264" t="inlineStr">
        <is>
          <t>MERCURY / 25016E</t>
        </is>
      </c>
      <c r="AE264" t="inlineStr">
        <is>
          <t>LADEN BOOKING</t>
        </is>
      </c>
      <c r="AF264" t="inlineStr">
        <is>
          <t>AR_MARTIMA</t>
        </is>
      </c>
      <c r="AG264" t="inlineStr">
        <is>
          <t>RH40</t>
        </is>
      </c>
      <c r="AI264" t="n">
        <v>40</v>
      </c>
      <c r="AJ264" t="n">
        <v>0</v>
      </c>
      <c r="AK264" t="n">
        <v>1</v>
      </c>
      <c r="AL264" t="inlineStr">
        <is>
          <t>ANON0000000</t>
        </is>
      </c>
      <c r="AM264" t="n">
        <v>-18</v>
      </c>
      <c r="AP264" t="inlineStr">
        <is>
          <t>Non Haz</t>
        </is>
      </c>
      <c r="AQ264" t="inlineStr">
        <is>
          <t>CY/CY</t>
        </is>
      </c>
      <c r="AT264" t="inlineStr">
        <is>
          <t>REF000000</t>
        </is>
      </c>
      <c r="AU264" t="n">
        <v>29000</v>
      </c>
      <c r="AV264" t="inlineStr">
        <is>
          <t>FROZEN MEAT</t>
        </is>
      </c>
      <c r="AX264" t="inlineStr">
        <is>
          <t>RSAMI122500031</t>
        </is>
      </c>
      <c r="AZ264" t="n">
        <v>0</v>
      </c>
      <c r="BA264" t="n">
        <v>10</v>
      </c>
      <c r="BB264" t="n">
        <v>10</v>
      </c>
      <c r="BC264" t="n">
        <v>6800</v>
      </c>
      <c r="BD264" t="inlineStr">
        <is>
          <t>No</t>
        </is>
      </c>
      <c r="BF264" t="inlineStr">
        <is>
          <t>Bengal Tiger Line -BTL</t>
        </is>
      </c>
      <c r="BG264" t="inlineStr">
        <is>
          <t>USSEA</t>
        </is>
      </c>
      <c r="BH264" t="n">
        <v>0</v>
      </c>
      <c r="BI264" t="n">
        <v>1</v>
      </c>
      <c r="BJ264" t="n">
        <v>6800</v>
      </c>
      <c r="BK264" t="inlineStr">
        <is>
          <t>LINE</t>
        </is>
      </c>
      <c r="BL264" t="inlineStr">
        <is>
          <t>WHALE REEFER</t>
        </is>
      </c>
      <c r="BM264" t="inlineStr">
        <is>
          <t>WHALE REEFER</t>
        </is>
      </c>
    </row>
    <row r="265">
      <c r="A265" t="n">
        <v>264</v>
      </c>
      <c r="B265" t="inlineStr">
        <is>
          <t>SEAL REEFER</t>
        </is>
      </c>
      <c r="C265" t="inlineStr">
        <is>
          <t>REF000000</t>
        </is>
      </c>
      <c r="D265" t="inlineStr">
        <is>
          <t>REF000000</t>
        </is>
      </c>
      <c r="E265" t="inlineStr">
        <is>
          <t>26-DEC-2025</t>
        </is>
      </c>
      <c r="F265" t="inlineStr">
        <is>
          <t>SEAL REEFER</t>
        </is>
      </c>
      <c r="G265" t="inlineStr">
        <is>
          <t>ENTERED THROUGH SPLIT BOOKING FROM THE BOOKING ID REF000000, BY AR_MARTIMA, ON 12/26/2025 10:01:39 PM</t>
        </is>
      </c>
      <c r="H265" t="inlineStr">
        <is>
          <t>AR_MARTIMA</t>
        </is>
      </c>
      <c r="J265" t="n">
        <v>46028</v>
      </c>
      <c r="K265" t="n">
        <v>46025</v>
      </c>
      <c r="L265" t="n">
        <v>46027</v>
      </c>
      <c r="M265" t="inlineStr">
        <is>
          <t>REF000000</t>
        </is>
      </c>
      <c r="N265" t="inlineStr">
        <is>
          <t>USSEA</t>
        </is>
      </c>
      <c r="O265" t="inlineStr">
        <is>
          <t>USSEA</t>
        </is>
      </c>
      <c r="P265" t="inlineStr">
        <is>
          <t>USNFK</t>
        </is>
      </c>
      <c r="U265" t="inlineStr">
        <is>
          <t>RULED</t>
        </is>
      </c>
      <c r="V265" t="inlineStr">
        <is>
          <t>RULED</t>
        </is>
      </c>
      <c r="W265" t="inlineStr">
        <is>
          <t>CANADA</t>
        </is>
      </c>
      <c r="X265" t="inlineStr">
        <is>
          <t>PERSIAN GULF</t>
        </is>
      </c>
      <c r="Y265" t="inlineStr">
        <is>
          <t>RUSSIA</t>
        </is>
      </c>
      <c r="Z265" t="inlineStr">
        <is>
          <t>External Review</t>
        </is>
      </c>
      <c r="AA265" t="inlineStr">
        <is>
          <t>HUB SHIPPING LLC-LED</t>
        </is>
      </c>
      <c r="AB265" t="inlineStr">
        <is>
          <t>Prepaid</t>
        </is>
      </c>
      <c r="AC265" t="inlineStr">
        <is>
          <t>TIGER PLATA/962N</t>
        </is>
      </c>
      <c r="AD265" t="inlineStr">
        <is>
          <t>MERCURY / 25016E</t>
        </is>
      </c>
      <c r="AE265" t="inlineStr">
        <is>
          <t>LADEN BOOKING</t>
        </is>
      </c>
      <c r="AF265" t="inlineStr">
        <is>
          <t>AR_MARTIMA</t>
        </is>
      </c>
      <c r="AG265" t="inlineStr">
        <is>
          <t>RH40</t>
        </is>
      </c>
      <c r="AI265" t="n">
        <v>40</v>
      </c>
      <c r="AJ265" t="n">
        <v>0</v>
      </c>
      <c r="AK265" t="n">
        <v>1</v>
      </c>
      <c r="AL265" t="inlineStr">
        <is>
          <t>ANON0000000</t>
        </is>
      </c>
      <c r="AM265" t="n">
        <v>-18</v>
      </c>
      <c r="AP265" t="inlineStr">
        <is>
          <t>Non Haz</t>
        </is>
      </c>
      <c r="AQ265" t="inlineStr">
        <is>
          <t>CY/CY</t>
        </is>
      </c>
      <c r="AT265" t="inlineStr">
        <is>
          <t>REF000000</t>
        </is>
      </c>
      <c r="AU265" t="n">
        <v>29000</v>
      </c>
      <c r="AV265" t="inlineStr">
        <is>
          <t>FROZEN MEAT</t>
        </is>
      </c>
      <c r="AX265" t="inlineStr">
        <is>
          <t>RSAMI122500031</t>
        </is>
      </c>
      <c r="AZ265" t="n">
        <v>0</v>
      </c>
      <c r="BA265" t="n">
        <v>10</v>
      </c>
      <c r="BB265" t="n">
        <v>10</v>
      </c>
      <c r="BC265" t="n">
        <v>6800</v>
      </c>
      <c r="BD265" t="inlineStr">
        <is>
          <t>No</t>
        </is>
      </c>
      <c r="BF265" t="inlineStr">
        <is>
          <t>Bengal Tiger Line -BTL</t>
        </is>
      </c>
      <c r="BG265" t="inlineStr">
        <is>
          <t>USSEA</t>
        </is>
      </c>
      <c r="BH265" t="n">
        <v>0</v>
      </c>
      <c r="BI265" t="n">
        <v>1</v>
      </c>
      <c r="BJ265" t="n">
        <v>6800</v>
      </c>
      <c r="BK265" t="inlineStr">
        <is>
          <t>LINE</t>
        </is>
      </c>
      <c r="BL265" t="inlineStr">
        <is>
          <t>SEAL REEFER</t>
        </is>
      </c>
      <c r="BM265" t="inlineStr">
        <is>
          <t>SEAL REEFER</t>
        </is>
      </c>
    </row>
    <row r="266">
      <c r="A266" t="n">
        <v>265</v>
      </c>
      <c r="B266" t="inlineStr">
        <is>
          <t>FOX DRY</t>
        </is>
      </c>
      <c r="C266" t="inlineStr">
        <is>
          <t>REF000000</t>
        </is>
      </c>
      <c r="D266" t="inlineStr">
        <is>
          <t>REF000000</t>
        </is>
      </c>
      <c r="E266" t="inlineStr">
        <is>
          <t>29-DEC-2025</t>
        </is>
      </c>
      <c r="F266" t="inlineStr">
        <is>
          <t>FOX DRY</t>
        </is>
      </c>
      <c r="H266" t="inlineStr">
        <is>
          <t>AdminAMI</t>
        </is>
      </c>
      <c r="J266" t="n">
        <v>46048</v>
      </c>
      <c r="K266" t="n">
        <v>46046</v>
      </c>
      <c r="L266" t="n">
        <v>46048</v>
      </c>
      <c r="M266" t="inlineStr">
        <is>
          <t>REF000000</t>
        </is>
      </c>
      <c r="N266" t="inlineStr">
        <is>
          <t>USSEA</t>
        </is>
      </c>
      <c r="O266" t="inlineStr">
        <is>
          <t>USSEA</t>
        </is>
      </c>
      <c r="P266" t="inlineStr">
        <is>
          <t>USNFK</t>
        </is>
      </c>
      <c r="U266" t="inlineStr">
        <is>
          <t>RULED</t>
        </is>
      </c>
      <c r="V266" t="inlineStr">
        <is>
          <t>RULED</t>
        </is>
      </c>
      <c r="W266" t="inlineStr">
        <is>
          <t>CANADA</t>
        </is>
      </c>
      <c r="X266" t="inlineStr">
        <is>
          <t>PERSIAN GULF</t>
        </is>
      </c>
      <c r="Y266" t="inlineStr">
        <is>
          <t>RUSSIA</t>
        </is>
      </c>
      <c r="Z266" t="inlineStr">
        <is>
          <t>External Review</t>
        </is>
      </c>
      <c r="AA266" t="inlineStr">
        <is>
          <t>HUB SHIPPING LLC-LED</t>
        </is>
      </c>
      <c r="AB266" t="inlineStr">
        <is>
          <t>Collect</t>
        </is>
      </c>
      <c r="AC266" t="inlineStr">
        <is>
          <t>TIGER PLATA/965N</t>
        </is>
      </c>
      <c r="AD266" t="inlineStr">
        <is>
          <t>LI DA XING / VOYAGE 1</t>
        </is>
      </c>
      <c r="AE266" t="inlineStr">
        <is>
          <t>LADEN BOOKING</t>
        </is>
      </c>
      <c r="AF266" t="inlineStr">
        <is>
          <t>RenniAMI</t>
        </is>
      </c>
      <c r="AG266" t="inlineStr">
        <is>
          <t>DC20</t>
        </is>
      </c>
      <c r="AH266" t="inlineStr">
        <is>
          <t>NO</t>
        </is>
      </c>
      <c r="AI266" t="n">
        <v>20</v>
      </c>
      <c r="AJ266" t="n">
        <v>2</v>
      </c>
      <c r="AK266" t="n">
        <v>0</v>
      </c>
      <c r="AL266" t="inlineStr">
        <is>
          <t>ANON0000000,
ANON0000000</t>
        </is>
      </c>
      <c r="AP266" t="inlineStr">
        <is>
          <t>Non Haz</t>
        </is>
      </c>
      <c r="AQ266" t="inlineStr">
        <is>
          <t>CY/CY</t>
        </is>
      </c>
      <c r="AT266" t="inlineStr">
        <is>
          <t>REF000000</t>
        </is>
      </c>
      <c r="AU266" t="n">
        <v>26000</v>
      </c>
      <c r="AV266" t="inlineStr">
        <is>
          <t>GENERAL COMMODITY</t>
        </is>
      </c>
      <c r="AW266" t="inlineStr">
        <is>
          <t>N.C.M.: 3812.20</t>
        </is>
      </c>
      <c r="AX266" t="inlineStr">
        <is>
          <t>RSAMI122500035</t>
        </is>
      </c>
      <c r="AZ266" t="n">
        <v>0</v>
      </c>
      <c r="BA266" t="n">
        <v>10</v>
      </c>
      <c r="BB266" t="n">
        <v>14</v>
      </c>
      <c r="BC266" t="n">
        <v>3250</v>
      </c>
      <c r="BD266" t="inlineStr">
        <is>
          <t>Yes</t>
        </is>
      </c>
      <c r="BF266" t="inlineStr">
        <is>
          <t>Bengal Tiger Line -BTL</t>
        </is>
      </c>
      <c r="BG266" t="inlineStr">
        <is>
          <t>RULED</t>
        </is>
      </c>
      <c r="BH266" t="n">
        <v>2</v>
      </c>
      <c r="BI266" t="n">
        <v>0</v>
      </c>
      <c r="BJ266" t="n">
        <v>6500</v>
      </c>
      <c r="BK266" t="inlineStr">
        <is>
          <t>LINE</t>
        </is>
      </c>
      <c r="BL266" t="inlineStr">
        <is>
          <t>FOX DRY</t>
        </is>
      </c>
      <c r="BM266" t="inlineStr">
        <is>
          <t>FOX DRY</t>
        </is>
      </c>
    </row>
    <row r="267">
      <c r="A267" t="n">
        <v>266</v>
      </c>
      <c r="B267" t="inlineStr">
        <is>
          <t>BISON DRY</t>
        </is>
      </c>
      <c r="C267" t="inlineStr">
        <is>
          <t>REF000000</t>
        </is>
      </c>
      <c r="D267" t="inlineStr">
        <is>
          <t>REF000000</t>
        </is>
      </c>
      <c r="E267" t="inlineStr">
        <is>
          <t>30-DEC-2025</t>
        </is>
      </c>
      <c r="F267" t="inlineStr">
        <is>
          <t>BISON DRY</t>
        </is>
      </c>
      <c r="H267" t="inlineStr">
        <is>
          <t>AdminAMI</t>
        </is>
      </c>
      <c r="J267" t="n">
        <v>46041</v>
      </c>
      <c r="K267" t="n">
        <v>46040</v>
      </c>
      <c r="L267" t="n">
        <v>46041</v>
      </c>
      <c r="M267" t="inlineStr">
        <is>
          <t>REF000000</t>
        </is>
      </c>
      <c r="N267" t="inlineStr">
        <is>
          <t>USSEA</t>
        </is>
      </c>
      <c r="O267" t="inlineStr">
        <is>
          <t>USSEA</t>
        </is>
      </c>
      <c r="P267" t="inlineStr">
        <is>
          <t>USNFK</t>
        </is>
      </c>
      <c r="U267" t="inlineStr">
        <is>
          <t>RUBLT</t>
        </is>
      </c>
      <c r="V267" t="inlineStr">
        <is>
          <t>RUBLT</t>
        </is>
      </c>
      <c r="W267" t="inlineStr">
        <is>
          <t>CANADA</t>
        </is>
      </c>
      <c r="X267" t="inlineStr">
        <is>
          <t>PERSIAN GULF</t>
        </is>
      </c>
      <c r="Y267" t="inlineStr">
        <is>
          <t>RUSSIA</t>
        </is>
      </c>
      <c r="Z267" t="inlineStr">
        <is>
          <t>External Review</t>
        </is>
      </c>
      <c r="AA267" t="inlineStr">
        <is>
          <t>HUB Shipping-Kaliningrad</t>
        </is>
      </c>
      <c r="AB267" t="inlineStr">
        <is>
          <t>Collect</t>
        </is>
      </c>
      <c r="AC267" t="inlineStr">
        <is>
          <t>TIGER PLATA/964N</t>
        </is>
      </c>
      <c r="AD267" t="inlineStr">
        <is>
          <t>LI DA XING / VOYAGE 1</t>
        </is>
      </c>
      <c r="AE267" t="inlineStr">
        <is>
          <t>LADEN BOOKING</t>
        </is>
      </c>
      <c r="AF267" t="inlineStr">
        <is>
          <t>AndreyAMI</t>
        </is>
      </c>
      <c r="AG267" t="inlineStr">
        <is>
          <t>DC20</t>
        </is>
      </c>
      <c r="AH267" t="inlineStr">
        <is>
          <t>NO</t>
        </is>
      </c>
      <c r="AI267" t="n">
        <v>20</v>
      </c>
      <c r="AJ267" t="n">
        <v>1</v>
      </c>
      <c r="AK267" t="n">
        <v>0</v>
      </c>
      <c r="AL267" t="inlineStr">
        <is>
          <t>ANON0000000,
ANON0000000</t>
        </is>
      </c>
      <c r="AP267" t="inlineStr">
        <is>
          <t>Non Haz</t>
        </is>
      </c>
      <c r="AQ267" t="inlineStr">
        <is>
          <t>CY/CY</t>
        </is>
      </c>
      <c r="AT267" t="inlineStr">
        <is>
          <t>REF000000,
REF000000</t>
        </is>
      </c>
      <c r="AU267" t="n">
        <v>20000</v>
      </c>
      <c r="AV267" t="inlineStr">
        <is>
          <t>GENERAL COMMODITY</t>
        </is>
      </c>
      <c r="AX267" t="inlineStr">
        <is>
          <t>MRG368649</t>
        </is>
      </c>
      <c r="AY267" t="inlineStr">
        <is>
          <t>LINE</t>
        </is>
      </c>
      <c r="AZ267" t="n">
        <v>0</v>
      </c>
      <c r="BA267" t="n">
        <v>14</v>
      </c>
      <c r="BB267" t="n">
        <v>7</v>
      </c>
      <c r="BC267" t="n">
        <v>4200</v>
      </c>
      <c r="BD267" t="inlineStr">
        <is>
          <t>Yes</t>
        </is>
      </c>
      <c r="BF267" t="inlineStr">
        <is>
          <t>Bengal Tiger Line -BTL</t>
        </is>
      </c>
      <c r="BG267" t="inlineStr">
        <is>
          <t>RUBLT</t>
        </is>
      </c>
      <c r="BH267" t="n">
        <v>1</v>
      </c>
      <c r="BI267" t="n">
        <v>0</v>
      </c>
      <c r="BJ267" t="n">
        <v>4200</v>
      </c>
      <c r="BK267" t="inlineStr">
        <is>
          <t>LINE</t>
        </is>
      </c>
      <c r="BL267" t="inlineStr">
        <is>
          <t>BISON DRY</t>
        </is>
      </c>
      <c r="BM267" t="inlineStr">
        <is>
          <t>BISON DRY</t>
        </is>
      </c>
    </row>
    <row r="268">
      <c r="A268" t="n">
        <v>267</v>
      </c>
      <c r="B268" t="inlineStr">
        <is>
          <t>MARLIN REEFER</t>
        </is>
      </c>
      <c r="C268" t="inlineStr">
        <is>
          <t>REF000000</t>
        </is>
      </c>
      <c r="D268" t="inlineStr">
        <is>
          <t>REF000000</t>
        </is>
      </c>
      <c r="E268" t="inlineStr">
        <is>
          <t>30-DEC-2025</t>
        </is>
      </c>
      <c r="F268" t="inlineStr">
        <is>
          <t>MARLIN REEFER</t>
        </is>
      </c>
      <c r="G268" t="inlineStr">
        <is>
          <t>1x40rh temp -18</t>
        </is>
      </c>
      <c r="H268" t="inlineStr">
        <is>
          <t>AR_MARTIMA</t>
        </is>
      </c>
      <c r="J268" t="n">
        <v>46035</v>
      </c>
      <c r="K268" t="n">
        <v>46033</v>
      </c>
      <c r="L268" t="n">
        <v>46035</v>
      </c>
      <c r="M268" t="inlineStr">
        <is>
          <t>REF000000</t>
        </is>
      </c>
      <c r="N268" t="inlineStr">
        <is>
          <t>USSEA</t>
        </is>
      </c>
      <c r="O268" t="inlineStr">
        <is>
          <t>USSEA</t>
        </is>
      </c>
      <c r="P268" t="inlineStr">
        <is>
          <t>USNFK</t>
        </is>
      </c>
      <c r="U268" t="inlineStr">
        <is>
          <t>RULED</t>
        </is>
      </c>
      <c r="V268" t="inlineStr">
        <is>
          <t>RULED</t>
        </is>
      </c>
      <c r="W268" t="inlineStr">
        <is>
          <t>CANADA</t>
        </is>
      </c>
      <c r="X268" t="inlineStr">
        <is>
          <t>PERSIAN GULF</t>
        </is>
      </c>
      <c r="Y268" t="inlineStr">
        <is>
          <t>RUSSIA</t>
        </is>
      </c>
      <c r="Z268" t="inlineStr">
        <is>
          <t>External Review</t>
        </is>
      </c>
      <c r="AA268" t="inlineStr">
        <is>
          <t>HUB SHIPPING LLC-LED</t>
        </is>
      </c>
      <c r="AB268" t="inlineStr">
        <is>
          <t>Prepaid</t>
        </is>
      </c>
      <c r="AC268" t="inlineStr">
        <is>
          <t>TIGER PLATA/963N</t>
        </is>
      </c>
      <c r="AD268" t="inlineStr">
        <is>
          <t>MERCURY / 25016E</t>
        </is>
      </c>
      <c r="AE268" t="inlineStr">
        <is>
          <t>LADEN BOOKING</t>
        </is>
      </c>
      <c r="AF268" t="inlineStr">
        <is>
          <t>AR_MARTIMA</t>
        </is>
      </c>
      <c r="AG268" t="inlineStr">
        <is>
          <t>RH40</t>
        </is>
      </c>
      <c r="AH268" t="inlineStr">
        <is>
          <t>NO</t>
        </is>
      </c>
      <c r="AI268" t="n">
        <v>40</v>
      </c>
      <c r="AJ268" t="n">
        <v>0</v>
      </c>
      <c r="AK268" t="n">
        <v>1</v>
      </c>
      <c r="AL268" t="inlineStr">
        <is>
          <t>ANON0000000</t>
        </is>
      </c>
      <c r="AM268" t="n">
        <v>-18</v>
      </c>
      <c r="AP268" t="inlineStr">
        <is>
          <t>Non Haz</t>
        </is>
      </c>
      <c r="AQ268" t="inlineStr">
        <is>
          <t>CY/CY</t>
        </is>
      </c>
      <c r="AT268" t="inlineStr">
        <is>
          <t>REF000000</t>
        </is>
      </c>
      <c r="AU268" t="n">
        <v>29000</v>
      </c>
      <c r="AV268" t="inlineStr">
        <is>
          <t>FROZEN MEAT</t>
        </is>
      </c>
      <c r="AW268" t="inlineStr">
        <is>
          <t>NCM: 0206.29</t>
        </is>
      </c>
      <c r="AX268" t="inlineStr">
        <is>
          <t>RSAMI122500031</t>
        </is>
      </c>
      <c r="AZ268" t="n">
        <v>0</v>
      </c>
      <c r="BA268" t="n">
        <v>10</v>
      </c>
      <c r="BB268" t="n">
        <v>10</v>
      </c>
      <c r="BC268" t="n">
        <v>6800</v>
      </c>
      <c r="BD268" t="inlineStr">
        <is>
          <t>No</t>
        </is>
      </c>
      <c r="BF268" t="inlineStr">
        <is>
          <t>Bengal Tiger Line -BTL</t>
        </is>
      </c>
      <c r="BG268" t="inlineStr">
        <is>
          <t>USSEA</t>
        </is>
      </c>
      <c r="BH268" t="n">
        <v>0</v>
      </c>
      <c r="BI268" t="n">
        <v>1</v>
      </c>
      <c r="BJ268" t="n">
        <v>6800</v>
      </c>
      <c r="BK268" t="inlineStr">
        <is>
          <t>LINE</t>
        </is>
      </c>
      <c r="BL268" t="inlineStr">
        <is>
          <t>MARLIN REEFER</t>
        </is>
      </c>
      <c r="BM268" t="inlineStr">
        <is>
          <t>MARLIN REEFER</t>
        </is>
      </c>
    </row>
    <row r="269">
      <c r="A269" t="n">
        <v>268</v>
      </c>
      <c r="B269" t="inlineStr">
        <is>
          <t>TURTLE REEFER</t>
        </is>
      </c>
      <c r="C269" t="inlineStr">
        <is>
          <t>REF000000</t>
        </is>
      </c>
      <c r="D269" t="inlineStr">
        <is>
          <t>REF000000</t>
        </is>
      </c>
      <c r="E269" t="inlineStr">
        <is>
          <t>30-DEC-2025</t>
        </is>
      </c>
      <c r="F269" t="inlineStr">
        <is>
          <t>TURTLE REEFER</t>
        </is>
      </c>
      <c r="G269" t="inlineStr">
        <is>
          <t>ENTERED THROUGH SPLIT BOOKING FROM THE BOOKING ID REF000000, BY AR_MARTIMA, ON 12/30/2025 11:16:35 PM</t>
        </is>
      </c>
      <c r="H269" t="inlineStr">
        <is>
          <t>AR_MARTIMA</t>
        </is>
      </c>
      <c r="J269" t="n">
        <v>46035</v>
      </c>
      <c r="K269" t="n">
        <v>46033</v>
      </c>
      <c r="L269" t="n">
        <v>46035</v>
      </c>
      <c r="M269" t="inlineStr">
        <is>
          <t>REF000000</t>
        </is>
      </c>
      <c r="N269" t="inlineStr">
        <is>
          <t>USSEA</t>
        </is>
      </c>
      <c r="O269" t="inlineStr">
        <is>
          <t>USSEA</t>
        </is>
      </c>
      <c r="P269" t="inlineStr">
        <is>
          <t>USNFK</t>
        </is>
      </c>
      <c r="U269" t="inlineStr">
        <is>
          <t>RULED</t>
        </is>
      </c>
      <c r="V269" t="inlineStr">
        <is>
          <t>RULED</t>
        </is>
      </c>
      <c r="W269" t="inlineStr">
        <is>
          <t>CANADA</t>
        </is>
      </c>
      <c r="X269" t="inlineStr">
        <is>
          <t>PERSIAN GULF</t>
        </is>
      </c>
      <c r="Y269" t="inlineStr">
        <is>
          <t>RUSSIA</t>
        </is>
      </c>
      <c r="Z269" t="inlineStr">
        <is>
          <t>External Review</t>
        </is>
      </c>
      <c r="AA269" t="inlineStr">
        <is>
          <t>HUB SHIPPING LLC-LED</t>
        </is>
      </c>
      <c r="AB269" t="inlineStr">
        <is>
          <t>Prepaid</t>
        </is>
      </c>
      <c r="AC269" t="inlineStr">
        <is>
          <t>TIGER PLATA/963N</t>
        </is>
      </c>
      <c r="AD269" t="inlineStr">
        <is>
          <t>MERCURY / 25016E</t>
        </is>
      </c>
      <c r="AE269" t="inlineStr">
        <is>
          <t>LADEN BOOKING</t>
        </is>
      </c>
      <c r="AF269" t="inlineStr">
        <is>
          <t>AR_MARTIMA</t>
        </is>
      </c>
      <c r="AG269" t="inlineStr">
        <is>
          <t>RH40</t>
        </is>
      </c>
      <c r="AI269" t="n">
        <v>40</v>
      </c>
      <c r="AJ269" t="n">
        <v>0</v>
      </c>
      <c r="AK269" t="n">
        <v>1</v>
      </c>
      <c r="AL269" t="inlineStr">
        <is>
          <t>ANON0000000</t>
        </is>
      </c>
      <c r="AM269" t="n">
        <v>-18</v>
      </c>
      <c r="AP269" t="inlineStr">
        <is>
          <t>Non Haz</t>
        </is>
      </c>
      <c r="AQ269" t="inlineStr">
        <is>
          <t>CY/CY</t>
        </is>
      </c>
      <c r="AT269" t="inlineStr">
        <is>
          <t>REF000000</t>
        </is>
      </c>
      <c r="AU269" t="n">
        <v>29000</v>
      </c>
      <c r="AV269" t="inlineStr">
        <is>
          <t>FROZEN MEAT</t>
        </is>
      </c>
      <c r="AX269" t="inlineStr">
        <is>
          <t>RSAMI122500031</t>
        </is>
      </c>
      <c r="AZ269" t="n">
        <v>0</v>
      </c>
      <c r="BA269" t="n">
        <v>10</v>
      </c>
      <c r="BB269" t="n">
        <v>10</v>
      </c>
      <c r="BC269" t="n">
        <v>6800</v>
      </c>
      <c r="BD269" t="inlineStr">
        <is>
          <t>No</t>
        </is>
      </c>
      <c r="BF269" t="inlineStr">
        <is>
          <t>Bengal Tiger Line -BTL</t>
        </is>
      </c>
      <c r="BG269" t="inlineStr">
        <is>
          <t>USSEA</t>
        </is>
      </c>
      <c r="BH269" t="n">
        <v>0</v>
      </c>
      <c r="BI269" t="n">
        <v>1</v>
      </c>
      <c r="BJ269" t="n">
        <v>6800</v>
      </c>
      <c r="BK269" t="inlineStr">
        <is>
          <t>LINE</t>
        </is>
      </c>
      <c r="BL269" t="inlineStr">
        <is>
          <t>TURTLE REEFER</t>
        </is>
      </c>
      <c r="BM269" t="inlineStr">
        <is>
          <t>TURTLE REEFER</t>
        </is>
      </c>
    </row>
    <row r="270">
      <c r="A270" t="n">
        <v>269</v>
      </c>
      <c r="B270" t="inlineStr">
        <is>
          <t>ORCA REEFER</t>
        </is>
      </c>
      <c r="C270" t="inlineStr">
        <is>
          <t>REF000000</t>
        </is>
      </c>
      <c r="D270" t="inlineStr">
        <is>
          <t>REF000000</t>
        </is>
      </c>
      <c r="E270" t="inlineStr">
        <is>
          <t>30-DEC-2025</t>
        </is>
      </c>
      <c r="F270" t="inlineStr">
        <is>
          <t>ORCA REEFER</t>
        </is>
      </c>
      <c r="G270" t="inlineStr">
        <is>
          <t>ENTERED THROUGH SPLIT BOOKING FROM THE BOOKING ID REF000000, BY AR_MARTIMA, ON 12/30/2025 11:16:35 PM</t>
        </is>
      </c>
      <c r="H270" t="inlineStr">
        <is>
          <t>AR_MARTIMA</t>
        </is>
      </c>
      <c r="J270" t="n">
        <v>46035</v>
      </c>
      <c r="K270" t="n">
        <v>46033</v>
      </c>
      <c r="L270" t="n">
        <v>46035</v>
      </c>
      <c r="M270" t="inlineStr">
        <is>
          <t>REF000000</t>
        </is>
      </c>
      <c r="N270" t="inlineStr">
        <is>
          <t>USSEA</t>
        </is>
      </c>
      <c r="O270" t="inlineStr">
        <is>
          <t>USSEA</t>
        </is>
      </c>
      <c r="P270" t="inlineStr">
        <is>
          <t>USNFK</t>
        </is>
      </c>
      <c r="U270" t="inlineStr">
        <is>
          <t>RULED</t>
        </is>
      </c>
      <c r="V270" t="inlineStr">
        <is>
          <t>RULED</t>
        </is>
      </c>
      <c r="W270" t="inlineStr">
        <is>
          <t>CANADA</t>
        </is>
      </c>
      <c r="X270" t="inlineStr">
        <is>
          <t>PERSIAN GULF</t>
        </is>
      </c>
      <c r="Y270" t="inlineStr">
        <is>
          <t>RUSSIA</t>
        </is>
      </c>
      <c r="Z270" t="inlineStr">
        <is>
          <t>External Review</t>
        </is>
      </c>
      <c r="AA270" t="inlineStr">
        <is>
          <t>HUB SHIPPING LLC-LED</t>
        </is>
      </c>
      <c r="AB270" t="inlineStr">
        <is>
          <t>Prepaid</t>
        </is>
      </c>
      <c r="AC270" t="inlineStr">
        <is>
          <t>TIGER PLATA/963N</t>
        </is>
      </c>
      <c r="AD270" t="inlineStr">
        <is>
          <t>MERCURY / 25016E</t>
        </is>
      </c>
      <c r="AE270" t="inlineStr">
        <is>
          <t>LADEN BOOKING</t>
        </is>
      </c>
      <c r="AF270" t="inlineStr">
        <is>
          <t>AR_MARTIMA</t>
        </is>
      </c>
      <c r="AG270" t="inlineStr">
        <is>
          <t>RH40</t>
        </is>
      </c>
      <c r="AI270" t="n">
        <v>40</v>
      </c>
      <c r="AJ270" t="n">
        <v>0</v>
      </c>
      <c r="AK270" t="n">
        <v>1</v>
      </c>
      <c r="AL270" t="inlineStr">
        <is>
          <t>ANON0000000</t>
        </is>
      </c>
      <c r="AM270" t="n">
        <v>-18</v>
      </c>
      <c r="AP270" t="inlineStr">
        <is>
          <t>Non Haz</t>
        </is>
      </c>
      <c r="AQ270" t="inlineStr">
        <is>
          <t>CY/CY</t>
        </is>
      </c>
      <c r="AT270" t="inlineStr">
        <is>
          <t>REF000000</t>
        </is>
      </c>
      <c r="AU270" t="n">
        <v>29000</v>
      </c>
      <c r="AV270" t="inlineStr">
        <is>
          <t>FROZEN MEAT</t>
        </is>
      </c>
      <c r="AX270" t="inlineStr">
        <is>
          <t>RSAMI122500031</t>
        </is>
      </c>
      <c r="AZ270" t="n">
        <v>0</v>
      </c>
      <c r="BA270" t="n">
        <v>10</v>
      </c>
      <c r="BB270" t="n">
        <v>10</v>
      </c>
      <c r="BC270" t="n">
        <v>6800</v>
      </c>
      <c r="BD270" t="inlineStr">
        <is>
          <t>No</t>
        </is>
      </c>
      <c r="BF270" t="inlineStr">
        <is>
          <t>Bengal Tiger Line -BTL</t>
        </is>
      </c>
      <c r="BG270" t="inlineStr">
        <is>
          <t>USSEA</t>
        </is>
      </c>
      <c r="BH270" t="n">
        <v>0</v>
      </c>
      <c r="BI270" t="n">
        <v>1</v>
      </c>
      <c r="BJ270" t="n">
        <v>6800</v>
      </c>
      <c r="BK270" t="inlineStr">
        <is>
          <t>LINE</t>
        </is>
      </c>
      <c r="BL270" t="inlineStr">
        <is>
          <t>ORCA REEFER</t>
        </is>
      </c>
      <c r="BM270" t="inlineStr">
        <is>
          <t>ORCA REEFER</t>
        </is>
      </c>
    </row>
    <row r="271">
      <c r="A271" t="n">
        <v>270</v>
      </c>
      <c r="B271" t="inlineStr">
        <is>
          <t>WHALE REEFER</t>
        </is>
      </c>
      <c r="C271" t="inlineStr">
        <is>
          <t>REF000000</t>
        </is>
      </c>
      <c r="D271" t="inlineStr">
        <is>
          <t>REF000000</t>
        </is>
      </c>
      <c r="E271" t="inlineStr">
        <is>
          <t>30-DEC-2025</t>
        </is>
      </c>
      <c r="F271" t="inlineStr">
        <is>
          <t>WHALE REEFER</t>
        </is>
      </c>
      <c r="G271" t="inlineStr">
        <is>
          <t>ENTERED THROUGH SPLIT BOOKING FROM THE BOOKING ID REF000000, BY AR_MARTIMA, ON 12/30/2025 11:16:35 PM</t>
        </is>
      </c>
      <c r="H271" t="inlineStr">
        <is>
          <t>AR_MARTIMA</t>
        </is>
      </c>
      <c r="J271" t="n">
        <v>46035</v>
      </c>
      <c r="K271" t="n">
        <v>46033</v>
      </c>
      <c r="L271" t="n">
        <v>46035</v>
      </c>
      <c r="M271" t="inlineStr">
        <is>
          <t>REF000000</t>
        </is>
      </c>
      <c r="N271" t="inlineStr">
        <is>
          <t>USSEA</t>
        </is>
      </c>
      <c r="O271" t="inlineStr">
        <is>
          <t>USSEA</t>
        </is>
      </c>
      <c r="P271" t="inlineStr">
        <is>
          <t>USNFK</t>
        </is>
      </c>
      <c r="U271" t="inlineStr">
        <is>
          <t>RULED</t>
        </is>
      </c>
      <c r="V271" t="inlineStr">
        <is>
          <t>RULED</t>
        </is>
      </c>
      <c r="W271" t="inlineStr">
        <is>
          <t>CANADA</t>
        </is>
      </c>
      <c r="X271" t="inlineStr">
        <is>
          <t>PERSIAN GULF</t>
        </is>
      </c>
      <c r="Y271" t="inlineStr">
        <is>
          <t>RUSSIA</t>
        </is>
      </c>
      <c r="Z271" t="inlineStr">
        <is>
          <t>External Review</t>
        </is>
      </c>
      <c r="AA271" t="inlineStr">
        <is>
          <t>HUB SHIPPING LLC-LED</t>
        </is>
      </c>
      <c r="AB271" t="inlineStr">
        <is>
          <t>Prepaid</t>
        </is>
      </c>
      <c r="AC271" t="inlineStr">
        <is>
          <t>TIGER PLATA/963N</t>
        </is>
      </c>
      <c r="AD271" t="inlineStr">
        <is>
          <t>MERCURY / 25016E</t>
        </is>
      </c>
      <c r="AE271" t="inlineStr">
        <is>
          <t>LADEN BOOKING</t>
        </is>
      </c>
      <c r="AF271" t="inlineStr">
        <is>
          <t>AR_MARTIMA</t>
        </is>
      </c>
      <c r="AG271" t="inlineStr">
        <is>
          <t>RH40</t>
        </is>
      </c>
      <c r="AI271" t="n">
        <v>40</v>
      </c>
      <c r="AJ271" t="n">
        <v>0</v>
      </c>
      <c r="AK271" t="n">
        <v>1</v>
      </c>
      <c r="AL271" t="inlineStr">
        <is>
          <t>ANON0000000</t>
        </is>
      </c>
      <c r="AM271" t="n">
        <v>-18</v>
      </c>
      <c r="AP271" t="inlineStr">
        <is>
          <t>Non Haz</t>
        </is>
      </c>
      <c r="AQ271" t="inlineStr">
        <is>
          <t>CY/CY</t>
        </is>
      </c>
      <c r="AT271" t="inlineStr">
        <is>
          <t>REF000000</t>
        </is>
      </c>
      <c r="AU271" t="n">
        <v>29000</v>
      </c>
      <c r="AV271" t="inlineStr">
        <is>
          <t>FROZEN MEAT</t>
        </is>
      </c>
      <c r="AX271" t="inlineStr">
        <is>
          <t>RSAMI122500031</t>
        </is>
      </c>
      <c r="AZ271" t="n">
        <v>0</v>
      </c>
      <c r="BA271" t="n">
        <v>10</v>
      </c>
      <c r="BB271" t="n">
        <v>10</v>
      </c>
      <c r="BC271" t="n">
        <v>6800</v>
      </c>
      <c r="BD271" t="inlineStr">
        <is>
          <t>No</t>
        </is>
      </c>
      <c r="BF271" t="inlineStr">
        <is>
          <t>Bengal Tiger Line -BTL</t>
        </is>
      </c>
      <c r="BG271" t="inlineStr">
        <is>
          <t>USSEA</t>
        </is>
      </c>
      <c r="BH271" t="n">
        <v>0</v>
      </c>
      <c r="BI271" t="n">
        <v>1</v>
      </c>
      <c r="BJ271" t="n">
        <v>6800</v>
      </c>
      <c r="BK271" t="inlineStr">
        <is>
          <t>LINE</t>
        </is>
      </c>
      <c r="BL271" t="inlineStr">
        <is>
          <t>WHALE REEFER</t>
        </is>
      </c>
      <c r="BM271" t="inlineStr">
        <is>
          <t>WHALE REEFER</t>
        </is>
      </c>
    </row>
    <row r="272">
      <c r="A272" t="n">
        <v>271</v>
      </c>
      <c r="B272" t="inlineStr">
        <is>
          <t>SEAL REEFER</t>
        </is>
      </c>
      <c r="C272" t="inlineStr">
        <is>
          <t>REF000000</t>
        </is>
      </c>
      <c r="D272" t="inlineStr">
        <is>
          <t>REF000000</t>
        </is>
      </c>
      <c r="E272" t="inlineStr">
        <is>
          <t>30-DEC-2025</t>
        </is>
      </c>
      <c r="F272" t="inlineStr">
        <is>
          <t>SEAL REEFER</t>
        </is>
      </c>
      <c r="G272" t="inlineStr">
        <is>
          <t>ENTERED THROUGH SPLIT BOOKING FROM THE BOOKING ID REF000000, BY AR_MARTIMA, ON 12/30/2025 11:16:35 PM</t>
        </is>
      </c>
      <c r="H272" t="inlineStr">
        <is>
          <t>AR_MARTIMA</t>
        </is>
      </c>
      <c r="J272" t="n">
        <v>46035</v>
      </c>
      <c r="K272" t="n">
        <v>46033</v>
      </c>
      <c r="L272" t="n">
        <v>46035</v>
      </c>
      <c r="M272" t="inlineStr">
        <is>
          <t>REF000000</t>
        </is>
      </c>
      <c r="N272" t="inlineStr">
        <is>
          <t>USSEA</t>
        </is>
      </c>
      <c r="O272" t="inlineStr">
        <is>
          <t>USSEA</t>
        </is>
      </c>
      <c r="P272" t="inlineStr">
        <is>
          <t>USNFK</t>
        </is>
      </c>
      <c r="U272" t="inlineStr">
        <is>
          <t>RULED</t>
        </is>
      </c>
      <c r="V272" t="inlineStr">
        <is>
          <t>RULED</t>
        </is>
      </c>
      <c r="W272" t="inlineStr">
        <is>
          <t>CANADA</t>
        </is>
      </c>
      <c r="X272" t="inlineStr">
        <is>
          <t>PERSIAN GULF</t>
        </is>
      </c>
      <c r="Y272" t="inlineStr">
        <is>
          <t>RUSSIA</t>
        </is>
      </c>
      <c r="Z272" t="inlineStr">
        <is>
          <t>External Review</t>
        </is>
      </c>
      <c r="AA272" t="inlineStr">
        <is>
          <t>HUB SHIPPING LLC-LED</t>
        </is>
      </c>
      <c r="AB272" t="inlineStr">
        <is>
          <t>Prepaid</t>
        </is>
      </c>
      <c r="AC272" t="inlineStr">
        <is>
          <t>TIGER PLATA/963N</t>
        </is>
      </c>
      <c r="AD272" t="inlineStr">
        <is>
          <t>MERCURY / 25016E</t>
        </is>
      </c>
      <c r="AE272" t="inlineStr">
        <is>
          <t>LADEN BOOKING</t>
        </is>
      </c>
      <c r="AF272" t="inlineStr">
        <is>
          <t>AR_MARTIMA</t>
        </is>
      </c>
      <c r="AG272" t="inlineStr">
        <is>
          <t>RH40</t>
        </is>
      </c>
      <c r="AI272" t="n">
        <v>40</v>
      </c>
      <c r="AJ272" t="n">
        <v>0</v>
      </c>
      <c r="AK272" t="n">
        <v>1</v>
      </c>
      <c r="AL272" t="inlineStr">
        <is>
          <t>ANON0000000</t>
        </is>
      </c>
      <c r="AM272" t="n">
        <v>-18</v>
      </c>
      <c r="AP272" t="inlineStr">
        <is>
          <t>Non Haz</t>
        </is>
      </c>
      <c r="AQ272" t="inlineStr">
        <is>
          <t>CY/CY</t>
        </is>
      </c>
      <c r="AT272" t="inlineStr">
        <is>
          <t>REF000000</t>
        </is>
      </c>
      <c r="AU272" t="n">
        <v>29000</v>
      </c>
      <c r="AV272" t="inlineStr">
        <is>
          <t>FROZEN MEAT</t>
        </is>
      </c>
      <c r="AX272" t="inlineStr">
        <is>
          <t>RSAMI122500031</t>
        </is>
      </c>
      <c r="AZ272" t="n">
        <v>0</v>
      </c>
      <c r="BA272" t="n">
        <v>10</v>
      </c>
      <c r="BB272" t="n">
        <v>10</v>
      </c>
      <c r="BC272" t="n">
        <v>6800</v>
      </c>
      <c r="BD272" t="inlineStr">
        <is>
          <t>No</t>
        </is>
      </c>
      <c r="BF272" t="inlineStr">
        <is>
          <t>Bengal Tiger Line -BTL</t>
        </is>
      </c>
      <c r="BG272" t="inlineStr">
        <is>
          <t>USSEA</t>
        </is>
      </c>
      <c r="BH272" t="n">
        <v>0</v>
      </c>
      <c r="BI272" t="n">
        <v>1</v>
      </c>
      <c r="BJ272" t="n">
        <v>6800</v>
      </c>
      <c r="BK272" t="inlineStr">
        <is>
          <t>LINE</t>
        </is>
      </c>
      <c r="BL272" t="inlineStr">
        <is>
          <t>SEAL REEFER</t>
        </is>
      </c>
      <c r="BM272" t="inlineStr">
        <is>
          <t>SEAL REEFER</t>
        </is>
      </c>
    </row>
    <row r="273">
      <c r="A273" t="n">
        <v>272</v>
      </c>
      <c r="B273" t="inlineStr">
        <is>
          <t>SHARK REEFER</t>
        </is>
      </c>
      <c r="C273" t="inlineStr">
        <is>
          <t>REF000000</t>
        </is>
      </c>
      <c r="D273" t="inlineStr">
        <is>
          <t>REF000000</t>
        </is>
      </c>
      <c r="E273" t="inlineStr">
        <is>
          <t>30-DEC-2025</t>
        </is>
      </c>
      <c r="F273" t="inlineStr">
        <is>
          <t>SHARK REEFER</t>
        </is>
      </c>
      <c r="G273" t="inlineStr">
        <is>
          <t>ENTERED THROUGH SPLIT BOOKING FROM THE BOOKING ID REF000000, BY AR_MARTIMA, ON 12/30/2025 11:16:35 PM</t>
        </is>
      </c>
      <c r="H273" t="inlineStr">
        <is>
          <t>AR_MARTIMA</t>
        </is>
      </c>
      <c r="J273" t="n">
        <v>46041</v>
      </c>
      <c r="K273" t="n">
        <v>46040</v>
      </c>
      <c r="L273" t="n">
        <v>46041</v>
      </c>
      <c r="M273" t="inlineStr">
        <is>
          <t>REF000000</t>
        </is>
      </c>
      <c r="N273" t="inlineStr">
        <is>
          <t>USSEA</t>
        </is>
      </c>
      <c r="O273" t="inlineStr">
        <is>
          <t>USSEA</t>
        </is>
      </c>
      <c r="P273" t="inlineStr">
        <is>
          <t>USNFK</t>
        </is>
      </c>
      <c r="U273" t="inlineStr">
        <is>
          <t>RULED</t>
        </is>
      </c>
      <c r="V273" t="inlineStr">
        <is>
          <t>RULED</t>
        </is>
      </c>
      <c r="W273" t="inlineStr">
        <is>
          <t>CANADA</t>
        </is>
      </c>
      <c r="X273" t="inlineStr">
        <is>
          <t>PERSIAN GULF</t>
        </is>
      </c>
      <c r="Y273" t="inlineStr">
        <is>
          <t>RUSSIA</t>
        </is>
      </c>
      <c r="Z273" t="inlineStr">
        <is>
          <t>External Review</t>
        </is>
      </c>
      <c r="AA273" t="inlineStr">
        <is>
          <t>HUB SHIPPING LLC-LED</t>
        </is>
      </c>
      <c r="AB273" t="inlineStr">
        <is>
          <t>Prepaid</t>
        </is>
      </c>
      <c r="AC273" t="inlineStr">
        <is>
          <t>TIGER PLATA/964N</t>
        </is>
      </c>
      <c r="AD273" t="inlineStr">
        <is>
          <t>LI DA XING / VOYAGE 1</t>
        </is>
      </c>
      <c r="AE273" t="inlineStr">
        <is>
          <t>LADEN BOOKING</t>
        </is>
      </c>
      <c r="AF273" t="inlineStr">
        <is>
          <t>AR_MARTIMA</t>
        </is>
      </c>
      <c r="AG273" t="inlineStr">
        <is>
          <t>RH40</t>
        </is>
      </c>
      <c r="AH273" t="inlineStr">
        <is>
          <t>NO</t>
        </is>
      </c>
      <c r="AI273" t="n">
        <v>40</v>
      </c>
      <c r="AJ273" t="n">
        <v>0</v>
      </c>
      <c r="AK273" t="n">
        <v>1</v>
      </c>
      <c r="AL273" t="inlineStr">
        <is>
          <t>ANON0000000</t>
        </is>
      </c>
      <c r="AM273" t="n">
        <v>-18</v>
      </c>
      <c r="AP273" t="inlineStr">
        <is>
          <t>Non Haz</t>
        </is>
      </c>
      <c r="AQ273" t="inlineStr">
        <is>
          <t>CY/CY</t>
        </is>
      </c>
      <c r="AT273" t="inlineStr">
        <is>
          <t>REF000000</t>
        </is>
      </c>
      <c r="AU273" t="n">
        <v>29000</v>
      </c>
      <c r="AV273" t="inlineStr">
        <is>
          <t>FROZEN MEAT</t>
        </is>
      </c>
      <c r="AW273" t="inlineStr">
        <is>
          <t>NCM 020622</t>
        </is>
      </c>
      <c r="AX273" t="inlineStr">
        <is>
          <t>RSAMI122500031</t>
        </is>
      </c>
      <c r="AZ273" t="n">
        <v>0</v>
      </c>
      <c r="BA273" t="n">
        <v>10</v>
      </c>
      <c r="BB273" t="n">
        <v>10</v>
      </c>
      <c r="BC273" t="n">
        <v>6800</v>
      </c>
      <c r="BD273" t="inlineStr">
        <is>
          <t>No</t>
        </is>
      </c>
      <c r="BF273" t="inlineStr">
        <is>
          <t>Bengal Tiger Line -BTL</t>
        </is>
      </c>
      <c r="BG273" t="inlineStr">
        <is>
          <t>USSEA</t>
        </is>
      </c>
      <c r="BH273" t="n">
        <v>0</v>
      </c>
      <c r="BI273" t="n">
        <v>1</v>
      </c>
      <c r="BJ273" t="n">
        <v>6800</v>
      </c>
      <c r="BK273" t="inlineStr">
        <is>
          <t>LINE</t>
        </is>
      </c>
      <c r="BL273" t="inlineStr">
        <is>
          <t>SHARK REEFER</t>
        </is>
      </c>
      <c r="BM273" t="inlineStr">
        <is>
          <t>SHARK REEFER</t>
        </is>
      </c>
    </row>
    <row r="274">
      <c r="A274" t="n">
        <v>273</v>
      </c>
      <c r="B274" t="inlineStr">
        <is>
          <t>DOLPHIN REEFER</t>
        </is>
      </c>
      <c r="C274" t="inlineStr">
        <is>
          <t>REF000000</t>
        </is>
      </c>
      <c r="D274" t="inlineStr">
        <is>
          <t>REF000000</t>
        </is>
      </c>
      <c r="E274" t="inlineStr">
        <is>
          <t>30-DEC-2025</t>
        </is>
      </c>
      <c r="F274" t="inlineStr">
        <is>
          <t>DOLPHIN REEFER</t>
        </is>
      </c>
      <c r="G274" t="inlineStr">
        <is>
          <t>ENTERED THROUGH SPLIT BOOKING FROM THE BOOKING ID REF000000, BY AR_MARTIMA, ON 12/30/2025 11:16:36 PM</t>
        </is>
      </c>
      <c r="H274" t="inlineStr">
        <is>
          <t>AR_MARTIMA</t>
        </is>
      </c>
      <c r="J274" t="n">
        <v>46041</v>
      </c>
      <c r="K274" t="n">
        <v>46040</v>
      </c>
      <c r="L274" t="n">
        <v>46041</v>
      </c>
      <c r="M274" t="inlineStr">
        <is>
          <t>REF000000</t>
        </is>
      </c>
      <c r="N274" t="inlineStr">
        <is>
          <t>USSEA</t>
        </is>
      </c>
      <c r="O274" t="inlineStr">
        <is>
          <t>USSEA</t>
        </is>
      </c>
      <c r="P274" t="inlineStr">
        <is>
          <t>USNFK</t>
        </is>
      </c>
      <c r="U274" t="inlineStr">
        <is>
          <t>RULED</t>
        </is>
      </c>
      <c r="V274" t="inlineStr">
        <is>
          <t>RULED</t>
        </is>
      </c>
      <c r="W274" t="inlineStr">
        <is>
          <t>CANADA</t>
        </is>
      </c>
      <c r="X274" t="inlineStr">
        <is>
          <t>PERSIAN GULF</t>
        </is>
      </c>
      <c r="Y274" t="inlineStr">
        <is>
          <t>RUSSIA</t>
        </is>
      </c>
      <c r="Z274" t="inlineStr">
        <is>
          <t>External Review</t>
        </is>
      </c>
      <c r="AA274" t="inlineStr">
        <is>
          <t>HUB SHIPPING LLC-LED</t>
        </is>
      </c>
      <c r="AB274" t="inlineStr">
        <is>
          <t>Prepaid</t>
        </is>
      </c>
      <c r="AC274" t="inlineStr">
        <is>
          <t>TIGER PLATA/964N</t>
        </is>
      </c>
      <c r="AD274" t="inlineStr">
        <is>
          <t>LI DA XING / VOYAGE 1</t>
        </is>
      </c>
      <c r="AE274" t="inlineStr">
        <is>
          <t>LADEN BOOKING</t>
        </is>
      </c>
      <c r="AF274" t="inlineStr">
        <is>
          <t>AR_MARTIMA</t>
        </is>
      </c>
      <c r="AG274" t="inlineStr">
        <is>
          <t>RH40</t>
        </is>
      </c>
      <c r="AH274" t="inlineStr">
        <is>
          <t>NO</t>
        </is>
      </c>
      <c r="AI274" t="n">
        <v>40</v>
      </c>
      <c r="AJ274" t="n">
        <v>0</v>
      </c>
      <c r="AK274" t="n">
        <v>1</v>
      </c>
      <c r="AL274" t="inlineStr">
        <is>
          <t>ANON0000000</t>
        </is>
      </c>
      <c r="AM274" t="n">
        <v>-18</v>
      </c>
      <c r="AP274" t="inlineStr">
        <is>
          <t>Non Haz</t>
        </is>
      </c>
      <c r="AQ274" t="inlineStr">
        <is>
          <t>CY/CY</t>
        </is>
      </c>
      <c r="AT274" t="inlineStr">
        <is>
          <t>REF000000</t>
        </is>
      </c>
      <c r="AU274" t="n">
        <v>29000</v>
      </c>
      <c r="AV274" t="inlineStr">
        <is>
          <t>FROZEN MEAT</t>
        </is>
      </c>
      <c r="AW274" t="inlineStr">
        <is>
          <t>NCM 020621</t>
        </is>
      </c>
      <c r="AX274" t="inlineStr">
        <is>
          <t>RSAMI122500031</t>
        </is>
      </c>
      <c r="AZ274" t="n">
        <v>0</v>
      </c>
      <c r="BA274" t="n">
        <v>10</v>
      </c>
      <c r="BB274" t="n">
        <v>10</v>
      </c>
      <c r="BC274" t="n">
        <v>6800</v>
      </c>
      <c r="BD274" t="inlineStr">
        <is>
          <t>No</t>
        </is>
      </c>
      <c r="BF274" t="inlineStr">
        <is>
          <t>Bengal Tiger Line -BTL</t>
        </is>
      </c>
      <c r="BG274" t="inlineStr">
        <is>
          <t>USSEA</t>
        </is>
      </c>
      <c r="BH274" t="n">
        <v>0</v>
      </c>
      <c r="BI274" t="n">
        <v>1</v>
      </c>
      <c r="BJ274" t="n">
        <v>6800</v>
      </c>
      <c r="BK274" t="inlineStr">
        <is>
          <t>LINE</t>
        </is>
      </c>
      <c r="BL274" t="inlineStr">
        <is>
          <t>DOLPHIN REEFER</t>
        </is>
      </c>
      <c r="BM274" t="inlineStr">
        <is>
          <t>DOLPHIN REEFER</t>
        </is>
      </c>
    </row>
    <row r="275">
      <c r="A275" t="n">
        <v>274</v>
      </c>
      <c r="B275" t="inlineStr">
        <is>
          <t>MARLIN REEFER</t>
        </is>
      </c>
      <c r="C275" t="inlineStr">
        <is>
          <t>REF000000</t>
        </is>
      </c>
      <c r="D275" t="inlineStr">
        <is>
          <t>REF000000</t>
        </is>
      </c>
      <c r="E275" t="inlineStr">
        <is>
          <t>30-DEC-2025</t>
        </is>
      </c>
      <c r="F275" t="inlineStr">
        <is>
          <t>MARLIN REEFER</t>
        </is>
      </c>
      <c r="G275" t="inlineStr">
        <is>
          <t>ENTERED THROUGH SPLIT BOOKING FROM THE BOOKING ID REF000000, BY AR_MARTIMA, ON 12/30/2025 11:16:36 PM</t>
        </is>
      </c>
      <c r="H275" t="inlineStr">
        <is>
          <t>AR_MARTIMA</t>
        </is>
      </c>
      <c r="J275" t="n">
        <v>46041</v>
      </c>
      <c r="K275" t="n">
        <v>46040</v>
      </c>
      <c r="L275" t="n">
        <v>46041</v>
      </c>
      <c r="M275" t="inlineStr">
        <is>
          <t>REF000000</t>
        </is>
      </c>
      <c r="N275" t="inlineStr">
        <is>
          <t>USSEA</t>
        </is>
      </c>
      <c r="O275" t="inlineStr">
        <is>
          <t>USSEA</t>
        </is>
      </c>
      <c r="P275" t="inlineStr">
        <is>
          <t>USNFK</t>
        </is>
      </c>
      <c r="U275" t="inlineStr">
        <is>
          <t>RULED</t>
        </is>
      </c>
      <c r="V275" t="inlineStr">
        <is>
          <t>RULED</t>
        </is>
      </c>
      <c r="W275" t="inlineStr">
        <is>
          <t>CANADA</t>
        </is>
      </c>
      <c r="X275" t="inlineStr">
        <is>
          <t>PERSIAN GULF</t>
        </is>
      </c>
      <c r="Y275" t="inlineStr">
        <is>
          <t>RUSSIA</t>
        </is>
      </c>
      <c r="Z275" t="inlineStr">
        <is>
          <t>External Review</t>
        </is>
      </c>
      <c r="AA275" t="inlineStr">
        <is>
          <t>HUB SHIPPING LLC-LED</t>
        </is>
      </c>
      <c r="AB275" t="inlineStr">
        <is>
          <t>Prepaid</t>
        </is>
      </c>
      <c r="AC275" t="inlineStr">
        <is>
          <t>TIGER PLATA/964N</t>
        </is>
      </c>
      <c r="AD275" t="inlineStr">
        <is>
          <t>LI DA XING / VOYAGE 1</t>
        </is>
      </c>
      <c r="AE275" t="inlineStr">
        <is>
          <t>LADEN BOOKING</t>
        </is>
      </c>
      <c r="AF275" t="inlineStr">
        <is>
          <t>AR_MARTIMA</t>
        </is>
      </c>
      <c r="AG275" t="inlineStr">
        <is>
          <t>RH40</t>
        </is>
      </c>
      <c r="AH275" t="inlineStr">
        <is>
          <t>NO</t>
        </is>
      </c>
      <c r="AI275" t="n">
        <v>40</v>
      </c>
      <c r="AJ275" t="n">
        <v>0</v>
      </c>
      <c r="AK275" t="n">
        <v>1</v>
      </c>
      <c r="AL275" t="inlineStr">
        <is>
          <t>ANON0000000</t>
        </is>
      </c>
      <c r="AM275" t="n">
        <v>-18</v>
      </c>
      <c r="AP275" t="inlineStr">
        <is>
          <t>Non Haz</t>
        </is>
      </c>
      <c r="AQ275" t="inlineStr">
        <is>
          <t>CY/CY</t>
        </is>
      </c>
      <c r="AT275" t="inlineStr">
        <is>
          <t>REF000000</t>
        </is>
      </c>
      <c r="AU275" t="n">
        <v>29000</v>
      </c>
      <c r="AV275" t="inlineStr">
        <is>
          <t>FROZEN MEAT</t>
        </is>
      </c>
      <c r="AW275" t="inlineStr">
        <is>
          <t>NCM 020622</t>
        </is>
      </c>
      <c r="AX275" t="inlineStr">
        <is>
          <t>RSAMI122500031</t>
        </is>
      </c>
      <c r="AZ275" t="n">
        <v>0</v>
      </c>
      <c r="BA275" t="n">
        <v>10</v>
      </c>
      <c r="BB275" t="n">
        <v>10</v>
      </c>
      <c r="BC275" t="n">
        <v>6800</v>
      </c>
      <c r="BD275" t="inlineStr">
        <is>
          <t>No</t>
        </is>
      </c>
      <c r="BF275" t="inlineStr">
        <is>
          <t>Bengal Tiger Line -BTL</t>
        </is>
      </c>
      <c r="BG275" t="inlineStr">
        <is>
          <t>USSEA</t>
        </is>
      </c>
      <c r="BH275" t="n">
        <v>0</v>
      </c>
      <c r="BI275" t="n">
        <v>1</v>
      </c>
      <c r="BJ275" t="n">
        <v>6800</v>
      </c>
      <c r="BK275" t="inlineStr">
        <is>
          <t>LINE</t>
        </is>
      </c>
      <c r="BL275" t="inlineStr">
        <is>
          <t>MARLIN REEFER</t>
        </is>
      </c>
      <c r="BM275" t="inlineStr">
        <is>
          <t>MARLIN REEFER</t>
        </is>
      </c>
    </row>
    <row r="276">
      <c r="A276" t="n">
        <v>275</v>
      </c>
      <c r="B276" t="inlineStr">
        <is>
          <t>TURTLE REEFER</t>
        </is>
      </c>
      <c r="C276" t="inlineStr">
        <is>
          <t>REF000000</t>
        </is>
      </c>
      <c r="D276" t="inlineStr">
        <is>
          <t>REF000000</t>
        </is>
      </c>
      <c r="E276" t="inlineStr">
        <is>
          <t>30-DEC-2025</t>
        </is>
      </c>
      <c r="F276" t="inlineStr">
        <is>
          <t>TURTLE REEFER</t>
        </is>
      </c>
      <c r="G276" t="inlineStr">
        <is>
          <t>ENTERED THROUGH SPLIT BOOKING FROM THE BOOKING ID REF000000, BY AR_MARTIMA, ON 12/30/2025 11:16:36 PM</t>
        </is>
      </c>
      <c r="H276" t="inlineStr">
        <is>
          <t>AR_MARTIMA</t>
        </is>
      </c>
      <c r="J276" t="n">
        <v>46041</v>
      </c>
      <c r="K276" t="n">
        <v>46040</v>
      </c>
      <c r="L276" t="n">
        <v>46041</v>
      </c>
      <c r="M276" t="inlineStr">
        <is>
          <t>REF000000</t>
        </is>
      </c>
      <c r="N276" t="inlineStr">
        <is>
          <t>USSEA</t>
        </is>
      </c>
      <c r="O276" t="inlineStr">
        <is>
          <t>USSEA</t>
        </is>
      </c>
      <c r="P276" t="inlineStr">
        <is>
          <t>USNFK</t>
        </is>
      </c>
      <c r="U276" t="inlineStr">
        <is>
          <t>RULED</t>
        </is>
      </c>
      <c r="V276" t="inlineStr">
        <is>
          <t>RULED</t>
        </is>
      </c>
      <c r="W276" t="inlineStr">
        <is>
          <t>CANADA</t>
        </is>
      </c>
      <c r="X276" t="inlineStr">
        <is>
          <t>PERSIAN GULF</t>
        </is>
      </c>
      <c r="Y276" t="inlineStr">
        <is>
          <t>RUSSIA</t>
        </is>
      </c>
      <c r="Z276" t="inlineStr">
        <is>
          <t>External Review</t>
        </is>
      </c>
      <c r="AA276" t="inlineStr">
        <is>
          <t>HUB SHIPPING LLC-LED</t>
        </is>
      </c>
      <c r="AB276" t="inlineStr">
        <is>
          <t>Prepaid</t>
        </is>
      </c>
      <c r="AC276" t="inlineStr">
        <is>
          <t>TIGER PLATA/964N</t>
        </is>
      </c>
      <c r="AD276" t="inlineStr">
        <is>
          <t>LI DA XING / VOYAGE 1</t>
        </is>
      </c>
      <c r="AE276" t="inlineStr">
        <is>
          <t>LADEN BOOKING</t>
        </is>
      </c>
      <c r="AF276" t="inlineStr">
        <is>
          <t>AR_MARTIMA</t>
        </is>
      </c>
      <c r="AG276" t="inlineStr">
        <is>
          <t>RH40</t>
        </is>
      </c>
      <c r="AH276" t="inlineStr">
        <is>
          <t>NO</t>
        </is>
      </c>
      <c r="AI276" t="n">
        <v>40</v>
      </c>
      <c r="AJ276" t="n">
        <v>0</v>
      </c>
      <c r="AK276" t="n">
        <v>1</v>
      </c>
      <c r="AL276" t="inlineStr">
        <is>
          <t>ANON0000000</t>
        </is>
      </c>
      <c r="AM276" t="n">
        <v>-18</v>
      </c>
      <c r="AP276" t="inlineStr">
        <is>
          <t>Non Haz</t>
        </is>
      </c>
      <c r="AQ276" t="inlineStr">
        <is>
          <t>CY/CY</t>
        </is>
      </c>
      <c r="AT276" t="inlineStr">
        <is>
          <t>REF000000</t>
        </is>
      </c>
      <c r="AU276" t="n">
        <v>29000</v>
      </c>
      <c r="AV276" t="inlineStr">
        <is>
          <t>FROZEN MEAT</t>
        </is>
      </c>
      <c r="AW276" t="inlineStr">
        <is>
          <t>NCM 020622</t>
        </is>
      </c>
      <c r="AX276" t="inlineStr">
        <is>
          <t>RSAMI122500031</t>
        </is>
      </c>
      <c r="AZ276" t="n">
        <v>0</v>
      </c>
      <c r="BA276" t="n">
        <v>10</v>
      </c>
      <c r="BB276" t="n">
        <v>10</v>
      </c>
      <c r="BC276" t="n">
        <v>6800</v>
      </c>
      <c r="BD276" t="inlineStr">
        <is>
          <t>No</t>
        </is>
      </c>
      <c r="BF276" t="inlineStr">
        <is>
          <t>Bengal Tiger Line -BTL</t>
        </is>
      </c>
      <c r="BG276" t="inlineStr">
        <is>
          <t>USSEA</t>
        </is>
      </c>
      <c r="BH276" t="n">
        <v>0</v>
      </c>
      <c r="BI276" t="n">
        <v>1</v>
      </c>
      <c r="BJ276" t="n">
        <v>6800</v>
      </c>
      <c r="BK276" t="inlineStr">
        <is>
          <t>LINE</t>
        </is>
      </c>
      <c r="BL276" t="inlineStr">
        <is>
          <t>TURTLE REEFER</t>
        </is>
      </c>
      <c r="BM276" t="inlineStr">
        <is>
          <t>TURTLE REEFER</t>
        </is>
      </c>
    </row>
    <row r="277">
      <c r="A277" t="n">
        <v>276</v>
      </c>
      <c r="B277" t="inlineStr">
        <is>
          <t>ORCA REEFER</t>
        </is>
      </c>
      <c r="C277" t="inlineStr">
        <is>
          <t>REF000000</t>
        </is>
      </c>
      <c r="D277" t="inlineStr">
        <is>
          <t>REF000000</t>
        </is>
      </c>
      <c r="E277" t="inlineStr">
        <is>
          <t>30-DEC-2025</t>
        </is>
      </c>
      <c r="F277" t="inlineStr">
        <is>
          <t>ORCA REEFER</t>
        </is>
      </c>
      <c r="G277" t="inlineStr">
        <is>
          <t>ENTERED THROUGH SPLIT BOOKING FROM THE BOOKING ID REF000000, BY AR_MARTIMA, ON 12/30/2025 11:16:36 PM</t>
        </is>
      </c>
      <c r="H277" t="inlineStr">
        <is>
          <t>AR_MARTIMA</t>
        </is>
      </c>
      <c r="J277" t="n">
        <v>46041</v>
      </c>
      <c r="K277" t="n">
        <v>46040</v>
      </c>
      <c r="L277" t="n">
        <v>46041</v>
      </c>
      <c r="M277" t="inlineStr">
        <is>
          <t>REF000000</t>
        </is>
      </c>
      <c r="N277" t="inlineStr">
        <is>
          <t>USSEA</t>
        </is>
      </c>
      <c r="O277" t="inlineStr">
        <is>
          <t>USSEA</t>
        </is>
      </c>
      <c r="P277" t="inlineStr">
        <is>
          <t>USNFK</t>
        </is>
      </c>
      <c r="U277" t="inlineStr">
        <is>
          <t>RULED</t>
        </is>
      </c>
      <c r="V277" t="inlineStr">
        <is>
          <t>RULED</t>
        </is>
      </c>
      <c r="W277" t="inlineStr">
        <is>
          <t>CANADA</t>
        </is>
      </c>
      <c r="X277" t="inlineStr">
        <is>
          <t>PERSIAN GULF</t>
        </is>
      </c>
      <c r="Y277" t="inlineStr">
        <is>
          <t>RUSSIA</t>
        </is>
      </c>
      <c r="Z277" t="inlineStr">
        <is>
          <t>External Review</t>
        </is>
      </c>
      <c r="AA277" t="inlineStr">
        <is>
          <t>HUB SHIPPING LLC-LED</t>
        </is>
      </c>
      <c r="AB277" t="inlineStr">
        <is>
          <t>Prepaid</t>
        </is>
      </c>
      <c r="AC277" t="inlineStr">
        <is>
          <t>TIGER PLATA/964N</t>
        </is>
      </c>
      <c r="AD277" t="inlineStr">
        <is>
          <t>LI DA XING / VOYAGE 1</t>
        </is>
      </c>
      <c r="AE277" t="inlineStr">
        <is>
          <t>LADEN BOOKING</t>
        </is>
      </c>
      <c r="AF277" t="inlineStr">
        <is>
          <t>AR_MARTIMA</t>
        </is>
      </c>
      <c r="AG277" t="inlineStr">
        <is>
          <t>RH40</t>
        </is>
      </c>
      <c r="AH277" t="inlineStr">
        <is>
          <t>NO</t>
        </is>
      </c>
      <c r="AI277" t="n">
        <v>40</v>
      </c>
      <c r="AJ277" t="n">
        <v>0</v>
      </c>
      <c r="AK277" t="n">
        <v>1</v>
      </c>
      <c r="AL277" t="inlineStr">
        <is>
          <t>ANON0000000</t>
        </is>
      </c>
      <c r="AM277" t="n">
        <v>-18</v>
      </c>
      <c r="AP277" t="inlineStr">
        <is>
          <t>Non Haz</t>
        </is>
      </c>
      <c r="AQ277" t="inlineStr">
        <is>
          <t>CY/CY</t>
        </is>
      </c>
      <c r="AT277" t="inlineStr">
        <is>
          <t>REF000000</t>
        </is>
      </c>
      <c r="AU277" t="n">
        <v>29000</v>
      </c>
      <c r="AV277" t="inlineStr">
        <is>
          <t>FROZEN MEAT</t>
        </is>
      </c>
      <c r="AW277" t="inlineStr">
        <is>
          <t>NCM 020629</t>
        </is>
      </c>
      <c r="AX277" t="inlineStr">
        <is>
          <t>RSAMI122500031</t>
        </is>
      </c>
      <c r="AZ277" t="n">
        <v>0</v>
      </c>
      <c r="BA277" t="n">
        <v>10</v>
      </c>
      <c r="BB277" t="n">
        <v>10</v>
      </c>
      <c r="BC277" t="n">
        <v>6800</v>
      </c>
      <c r="BD277" t="inlineStr">
        <is>
          <t>No</t>
        </is>
      </c>
      <c r="BF277" t="inlineStr">
        <is>
          <t>Bengal Tiger Line -BTL</t>
        </is>
      </c>
      <c r="BG277" t="inlineStr">
        <is>
          <t>USSEA</t>
        </is>
      </c>
      <c r="BH277" t="n">
        <v>0</v>
      </c>
      <c r="BI277" t="n">
        <v>1</v>
      </c>
      <c r="BJ277" t="n">
        <v>6800</v>
      </c>
      <c r="BK277" t="inlineStr">
        <is>
          <t>LINE</t>
        </is>
      </c>
      <c r="BL277" t="inlineStr">
        <is>
          <t>ORCA REEFER</t>
        </is>
      </c>
      <c r="BM277" t="inlineStr">
        <is>
          <t>ORCA REEFER</t>
        </is>
      </c>
    </row>
    <row r="278">
      <c r="A278" t="n">
        <v>277</v>
      </c>
      <c r="B278" t="inlineStr">
        <is>
          <t>WHALE REEFER</t>
        </is>
      </c>
      <c r="C278" t="inlineStr">
        <is>
          <t>REF000000</t>
        </is>
      </c>
      <c r="D278" t="inlineStr">
        <is>
          <t>REF000000</t>
        </is>
      </c>
      <c r="E278" t="inlineStr">
        <is>
          <t>30-DEC-2025</t>
        </is>
      </c>
      <c r="F278" t="inlineStr">
        <is>
          <t>WHALE REEFER</t>
        </is>
      </c>
      <c r="G278" t="inlineStr">
        <is>
          <t>ENTERED THROUGH SPLIT BOOKING FROM THE BOOKING ID REF000000, BY AR_MARTIMA, ON 12/30/2025 11:16:36 PM</t>
        </is>
      </c>
      <c r="H278" t="inlineStr">
        <is>
          <t>AR_MARTIMA</t>
        </is>
      </c>
      <c r="J278" t="n">
        <v>46041</v>
      </c>
      <c r="K278" t="n">
        <v>46040</v>
      </c>
      <c r="L278" t="n">
        <v>46041</v>
      </c>
      <c r="M278" t="inlineStr">
        <is>
          <t>REF000000</t>
        </is>
      </c>
      <c r="N278" t="inlineStr">
        <is>
          <t>USSEA</t>
        </is>
      </c>
      <c r="O278" t="inlineStr">
        <is>
          <t>USSEA</t>
        </is>
      </c>
      <c r="P278" t="inlineStr">
        <is>
          <t>USNFK</t>
        </is>
      </c>
      <c r="U278" t="inlineStr">
        <is>
          <t>RULED</t>
        </is>
      </c>
      <c r="V278" t="inlineStr">
        <is>
          <t>RULED</t>
        </is>
      </c>
      <c r="W278" t="inlineStr">
        <is>
          <t>CANADA</t>
        </is>
      </c>
      <c r="X278" t="inlineStr">
        <is>
          <t>PERSIAN GULF</t>
        </is>
      </c>
      <c r="Y278" t="inlineStr">
        <is>
          <t>RUSSIA</t>
        </is>
      </c>
      <c r="Z278" t="inlineStr">
        <is>
          <t>External Review</t>
        </is>
      </c>
      <c r="AA278" t="inlineStr">
        <is>
          <t>HUB SHIPPING LLC-LED</t>
        </is>
      </c>
      <c r="AB278" t="inlineStr">
        <is>
          <t>Prepaid</t>
        </is>
      </c>
      <c r="AC278" t="inlineStr">
        <is>
          <t>TIGER PLATA/964N</t>
        </is>
      </c>
      <c r="AD278" t="inlineStr">
        <is>
          <t>LI DA XING / VOYAGE 1</t>
        </is>
      </c>
      <c r="AE278" t="inlineStr">
        <is>
          <t>LADEN BOOKING</t>
        </is>
      </c>
      <c r="AF278" t="inlineStr">
        <is>
          <t>AR_MARTIMA</t>
        </is>
      </c>
      <c r="AG278" t="inlineStr">
        <is>
          <t>RH40</t>
        </is>
      </c>
      <c r="AH278" t="inlineStr">
        <is>
          <t>NO</t>
        </is>
      </c>
      <c r="AI278" t="n">
        <v>40</v>
      </c>
      <c r="AJ278" t="n">
        <v>0</v>
      </c>
      <c r="AK278" t="n">
        <v>1</v>
      </c>
      <c r="AL278" t="inlineStr">
        <is>
          <t>ANON0000000</t>
        </is>
      </c>
      <c r="AM278" t="n">
        <v>-18</v>
      </c>
      <c r="AP278" t="inlineStr">
        <is>
          <t>Non Haz</t>
        </is>
      </c>
      <c r="AQ278" t="inlineStr">
        <is>
          <t>CY/CY</t>
        </is>
      </c>
      <c r="AT278" t="inlineStr">
        <is>
          <t>REF000000</t>
        </is>
      </c>
      <c r="AU278" t="n">
        <v>29000</v>
      </c>
      <c r="AV278" t="inlineStr">
        <is>
          <t>FROZEN MEAT</t>
        </is>
      </c>
      <c r="AW278" t="inlineStr">
        <is>
          <t>NCM 020622</t>
        </is>
      </c>
      <c r="AX278" t="inlineStr">
        <is>
          <t>RSAMI122500031</t>
        </is>
      </c>
      <c r="AZ278" t="n">
        <v>0</v>
      </c>
      <c r="BA278" t="n">
        <v>10</v>
      </c>
      <c r="BB278" t="n">
        <v>10</v>
      </c>
      <c r="BC278" t="n">
        <v>6800</v>
      </c>
      <c r="BD278" t="inlineStr">
        <is>
          <t>No</t>
        </is>
      </c>
      <c r="BF278" t="inlineStr">
        <is>
          <t>Bengal Tiger Line -BTL</t>
        </is>
      </c>
      <c r="BG278" t="inlineStr">
        <is>
          <t>USSEA</t>
        </is>
      </c>
      <c r="BH278" t="n">
        <v>0</v>
      </c>
      <c r="BI278" t="n">
        <v>1</v>
      </c>
      <c r="BJ278" t="n">
        <v>6800</v>
      </c>
      <c r="BK278" t="inlineStr">
        <is>
          <t>LINE</t>
        </is>
      </c>
      <c r="BL278" t="inlineStr">
        <is>
          <t>WHALE REEFER</t>
        </is>
      </c>
      <c r="BM278" t="inlineStr">
        <is>
          <t>WHALE REEFER</t>
        </is>
      </c>
    </row>
    <row r="279">
      <c r="A279" t="n">
        <v>278</v>
      </c>
      <c r="B279" t="inlineStr">
        <is>
          <t>SEAL REEFER</t>
        </is>
      </c>
      <c r="C279" t="inlineStr">
        <is>
          <t>REF000000</t>
        </is>
      </c>
      <c r="D279" t="inlineStr">
        <is>
          <t>REF000000</t>
        </is>
      </c>
      <c r="E279" t="inlineStr">
        <is>
          <t>30-DEC-2025</t>
        </is>
      </c>
      <c r="F279" t="inlineStr">
        <is>
          <t>SEAL REEFER</t>
        </is>
      </c>
      <c r="G279" t="inlineStr">
        <is>
          <t>1x40RH TEMP -18</t>
        </is>
      </c>
      <c r="H279" t="inlineStr">
        <is>
          <t>AR_MARTIMA</t>
        </is>
      </c>
      <c r="J279" t="n">
        <v>46048</v>
      </c>
      <c r="K279" t="n">
        <v>46046</v>
      </c>
      <c r="L279" t="n">
        <v>46048</v>
      </c>
      <c r="M279" t="inlineStr">
        <is>
          <t>REF000000</t>
        </is>
      </c>
      <c r="N279" t="inlineStr">
        <is>
          <t>USSEA</t>
        </is>
      </c>
      <c r="O279" t="inlineStr">
        <is>
          <t>USSEA</t>
        </is>
      </c>
      <c r="P279" t="inlineStr">
        <is>
          <t>USNFK</t>
        </is>
      </c>
      <c r="U279" t="inlineStr">
        <is>
          <t>RULED</t>
        </is>
      </c>
      <c r="V279" t="inlineStr">
        <is>
          <t>RULED</t>
        </is>
      </c>
      <c r="W279" t="inlineStr">
        <is>
          <t>CANADA</t>
        </is>
      </c>
      <c r="X279" t="inlineStr">
        <is>
          <t>PERSIAN GULF</t>
        </is>
      </c>
      <c r="Y279" t="inlineStr">
        <is>
          <t>RUSSIA</t>
        </is>
      </c>
      <c r="Z279" t="inlineStr">
        <is>
          <t>External Review</t>
        </is>
      </c>
      <c r="AA279" t="inlineStr">
        <is>
          <t>HUB SHIPPING LLC-LED</t>
        </is>
      </c>
      <c r="AB279" t="inlineStr">
        <is>
          <t>Prepaid</t>
        </is>
      </c>
      <c r="AC279" t="inlineStr">
        <is>
          <t>TIGER PLATA/965N</t>
        </is>
      </c>
      <c r="AD279" t="inlineStr">
        <is>
          <t>LI DA XING / VOYAGE 1</t>
        </is>
      </c>
      <c r="AE279" t="inlineStr">
        <is>
          <t>LADEN BOOKING</t>
        </is>
      </c>
      <c r="AF279" t="inlineStr">
        <is>
          <t>AR_MARTIMA</t>
        </is>
      </c>
      <c r="AG279" t="inlineStr">
        <is>
          <t>RH40</t>
        </is>
      </c>
      <c r="AH279" t="inlineStr">
        <is>
          <t>NO</t>
        </is>
      </c>
      <c r="AI279" t="n">
        <v>40</v>
      </c>
      <c r="AJ279" t="n">
        <v>0</v>
      </c>
      <c r="AK279" t="n">
        <v>1</v>
      </c>
      <c r="AL279" t="inlineStr">
        <is>
          <t>ANON0000000</t>
        </is>
      </c>
      <c r="AM279" t="n">
        <v>-18</v>
      </c>
      <c r="AP279" t="inlineStr">
        <is>
          <t>Non Haz</t>
        </is>
      </c>
      <c r="AQ279" t="inlineStr">
        <is>
          <t>CY/CY</t>
        </is>
      </c>
      <c r="AT279" t="inlineStr">
        <is>
          <t>REF000000</t>
        </is>
      </c>
      <c r="AU279" t="n">
        <v>29000</v>
      </c>
      <c r="AV279" t="inlineStr">
        <is>
          <t>FROZEN BONELESS BUFFALO MEAT</t>
        </is>
      </c>
      <c r="AW279" t="inlineStr">
        <is>
          <t>HS CODE: 020500</t>
        </is>
      </c>
      <c r="AX279" t="inlineStr">
        <is>
          <t>RSAMI122500026</t>
        </is>
      </c>
      <c r="AZ279" t="n">
        <v>0</v>
      </c>
      <c r="BA279" t="n">
        <v>10</v>
      </c>
      <c r="BB279" t="n">
        <v>10</v>
      </c>
      <c r="BC279" t="n">
        <v>7300</v>
      </c>
      <c r="BD279" t="inlineStr">
        <is>
          <t>No</t>
        </is>
      </c>
      <c r="BF279" t="inlineStr">
        <is>
          <t>Bengal Tiger Line -BTL</t>
        </is>
      </c>
      <c r="BG279" t="inlineStr">
        <is>
          <t>USSEA</t>
        </is>
      </c>
      <c r="BH279" t="n">
        <v>0</v>
      </c>
      <c r="BI279" t="n">
        <v>1</v>
      </c>
      <c r="BJ279" t="n">
        <v>7300</v>
      </c>
      <c r="BK279" t="inlineStr">
        <is>
          <t>LINE</t>
        </is>
      </c>
      <c r="BL279" t="inlineStr">
        <is>
          <t>SEAL REEFER</t>
        </is>
      </c>
      <c r="BM279" t="inlineStr">
        <is>
          <t>SEAL REEFER</t>
        </is>
      </c>
    </row>
    <row r="280">
      <c r="A280" t="n">
        <v>279</v>
      </c>
      <c r="B280" t="inlineStr">
        <is>
          <t>SHARK REEFER</t>
        </is>
      </c>
      <c r="C280" t="inlineStr">
        <is>
          <t>REF000000</t>
        </is>
      </c>
      <c r="D280" t="inlineStr">
        <is>
          <t>REF000000</t>
        </is>
      </c>
      <c r="E280" t="n">
        <v>46027</v>
      </c>
      <c r="F280" t="inlineStr">
        <is>
          <t>SHARK REEFER</t>
        </is>
      </c>
      <c r="G280" t="inlineStr">
        <is>
          <t>1x40RH TEMP: -18</t>
        </is>
      </c>
      <c r="H280" t="inlineStr">
        <is>
          <t>AR_MARTIMA</t>
        </is>
      </c>
      <c r="J280" t="n">
        <v>46041</v>
      </c>
      <c r="K280" t="n">
        <v>46040</v>
      </c>
      <c r="L280" t="n">
        <v>46041</v>
      </c>
      <c r="M280" t="inlineStr">
        <is>
          <t>REF000000</t>
        </is>
      </c>
      <c r="N280" t="inlineStr">
        <is>
          <t>USSEA</t>
        </is>
      </c>
      <c r="O280" t="inlineStr">
        <is>
          <t>USSEA</t>
        </is>
      </c>
      <c r="P280" t="inlineStr">
        <is>
          <t>USNFK</t>
        </is>
      </c>
      <c r="U280" t="inlineStr">
        <is>
          <t>RULED</t>
        </is>
      </c>
      <c r="V280" t="inlineStr">
        <is>
          <t>RULED</t>
        </is>
      </c>
      <c r="W280" t="inlineStr">
        <is>
          <t>CANADA</t>
        </is>
      </c>
      <c r="X280" t="inlineStr">
        <is>
          <t>PERSIAN GULF</t>
        </is>
      </c>
      <c r="Y280" t="inlineStr">
        <is>
          <t>RUSSIA</t>
        </is>
      </c>
      <c r="Z280" t="inlineStr">
        <is>
          <t>External Review</t>
        </is>
      </c>
      <c r="AA280" t="inlineStr">
        <is>
          <t>HUB SHIPPING LLC-LED</t>
        </is>
      </c>
      <c r="AB280" t="inlineStr">
        <is>
          <t>Collect</t>
        </is>
      </c>
      <c r="AC280" t="inlineStr">
        <is>
          <t>TIGER PLATA/964N</t>
        </is>
      </c>
      <c r="AD280" t="inlineStr">
        <is>
          <t>LI DA XING / VOYAGE 1</t>
        </is>
      </c>
      <c r="AE280" t="inlineStr">
        <is>
          <t>LADEN BOOKING</t>
        </is>
      </c>
      <c r="AF280" t="inlineStr">
        <is>
          <t>AR_MARTIMA</t>
        </is>
      </c>
      <c r="AG280" t="inlineStr">
        <is>
          <t>RH40</t>
        </is>
      </c>
      <c r="AH280" t="inlineStr">
        <is>
          <t>NO</t>
        </is>
      </c>
      <c r="AI280" t="n">
        <v>40</v>
      </c>
      <c r="AJ280" t="n">
        <v>0</v>
      </c>
      <c r="AK280" t="n">
        <v>1</v>
      </c>
      <c r="AL280" t="inlineStr">
        <is>
          <t>ANON0000000</t>
        </is>
      </c>
      <c r="AM280" t="n">
        <v>-18</v>
      </c>
      <c r="AP280" t="inlineStr">
        <is>
          <t>Non Haz</t>
        </is>
      </c>
      <c r="AQ280" t="inlineStr">
        <is>
          <t>CY/CY</t>
        </is>
      </c>
      <c r="AT280" t="inlineStr">
        <is>
          <t>REF000000</t>
        </is>
      </c>
      <c r="AU280" t="n">
        <v>29000</v>
      </c>
      <c r="AV280" t="inlineStr">
        <is>
          <t>FROZEN PRODUCT</t>
        </is>
      </c>
      <c r="AW280" t="inlineStr">
        <is>
          <t>NMC: 0202.30.00</t>
        </is>
      </c>
      <c r="AX280" t="inlineStr">
        <is>
          <t>RSAMI122500005</t>
        </is>
      </c>
      <c r="AZ280" t="n">
        <v>0</v>
      </c>
      <c r="BA280" t="n">
        <v>10</v>
      </c>
      <c r="BB280" t="n">
        <v>10</v>
      </c>
      <c r="BC280" t="n">
        <v>8200</v>
      </c>
      <c r="BD280" t="inlineStr">
        <is>
          <t>No</t>
        </is>
      </c>
      <c r="BF280" t="inlineStr">
        <is>
          <t>Bengal Tiger Line -BTL</t>
        </is>
      </c>
      <c r="BG280" t="inlineStr">
        <is>
          <t>USSEA</t>
        </is>
      </c>
      <c r="BH280" t="n">
        <v>0</v>
      </c>
      <c r="BI280" t="n">
        <v>1</v>
      </c>
      <c r="BJ280" t="n">
        <v>8200</v>
      </c>
      <c r="BK280" t="inlineStr">
        <is>
          <t>LINE</t>
        </is>
      </c>
      <c r="BL280" t="inlineStr">
        <is>
          <t>SHARK REEFER</t>
        </is>
      </c>
      <c r="BM280" t="inlineStr">
        <is>
          <t>SHARK REEFER</t>
        </is>
      </c>
    </row>
    <row r="281">
      <c r="A281" t="n">
        <v>280</v>
      </c>
      <c r="B281" t="inlineStr">
        <is>
          <t>DOLPHIN REEFER</t>
        </is>
      </c>
      <c r="C281" t="inlineStr">
        <is>
          <t>REF000000</t>
        </is>
      </c>
      <c r="D281" t="inlineStr">
        <is>
          <t>REF000000</t>
        </is>
      </c>
      <c r="E281" t="n">
        <v>46027</v>
      </c>
      <c r="F281" t="inlineStr">
        <is>
          <t>DOLPHIN REEFER</t>
        </is>
      </c>
      <c r="G281" t="inlineStr">
        <is>
          <t>1x40RH TEMP -18</t>
        </is>
      </c>
      <c r="H281" t="inlineStr">
        <is>
          <t>AR_MARTIMA</t>
        </is>
      </c>
      <c r="J281" t="n">
        <v>46035</v>
      </c>
      <c r="K281" t="n">
        <v>46033</v>
      </c>
      <c r="L281" t="n">
        <v>46035</v>
      </c>
      <c r="M281" t="inlineStr">
        <is>
          <t>REF000000</t>
        </is>
      </c>
      <c r="N281" t="inlineStr">
        <is>
          <t>USSEA</t>
        </is>
      </c>
      <c r="O281" t="inlineStr">
        <is>
          <t>USSEA</t>
        </is>
      </c>
      <c r="P281" t="inlineStr">
        <is>
          <t>USNFK</t>
        </is>
      </c>
      <c r="U281" t="inlineStr">
        <is>
          <t>RUBLT</t>
        </is>
      </c>
      <c r="V281" t="inlineStr">
        <is>
          <t>RUBLT</t>
        </is>
      </c>
      <c r="W281" t="inlineStr">
        <is>
          <t>CANADA</t>
        </is>
      </c>
      <c r="X281" t="inlineStr">
        <is>
          <t>PERSIAN GULF</t>
        </is>
      </c>
      <c r="Y281" t="inlineStr">
        <is>
          <t>RUSSIA</t>
        </is>
      </c>
      <c r="Z281" t="inlineStr">
        <is>
          <t>External Review</t>
        </is>
      </c>
      <c r="AA281" t="inlineStr">
        <is>
          <t>HUB Shipping-Kaliningrad</t>
        </is>
      </c>
      <c r="AB281" t="inlineStr">
        <is>
          <t>Prepaid</t>
        </is>
      </c>
      <c r="AC281" t="inlineStr">
        <is>
          <t>TIGER PLATA/963N</t>
        </is>
      </c>
      <c r="AD281" t="inlineStr">
        <is>
          <t>MERCURY / 25016E,SPARTA / SP1010109SB</t>
        </is>
      </c>
      <c r="AE281" t="inlineStr">
        <is>
          <t>LADEN BOOKING</t>
        </is>
      </c>
      <c r="AF281" t="inlineStr">
        <is>
          <t>AR_MARTIMA</t>
        </is>
      </c>
      <c r="AG281" t="inlineStr">
        <is>
          <t>RH40</t>
        </is>
      </c>
      <c r="AH281" t="inlineStr">
        <is>
          <t>NO</t>
        </is>
      </c>
      <c r="AI281" t="n">
        <v>40</v>
      </c>
      <c r="AJ281" t="n">
        <v>0</v>
      </c>
      <c r="AK281" t="n">
        <v>1</v>
      </c>
      <c r="AL281" t="inlineStr">
        <is>
          <t>ANON0000000</t>
        </is>
      </c>
      <c r="AM281" t="n">
        <v>-18</v>
      </c>
      <c r="AP281" t="inlineStr">
        <is>
          <t>Non Haz</t>
        </is>
      </c>
      <c r="AQ281" t="inlineStr">
        <is>
          <t>CY/CY</t>
        </is>
      </c>
      <c r="AT281" t="inlineStr">
        <is>
          <t>REF000000</t>
        </is>
      </c>
      <c r="AU281" t="n">
        <v>29000</v>
      </c>
      <c r="AV281" t="inlineStr">
        <is>
          <t>FROZEN BONELESS BUFFALO MEAT</t>
        </is>
      </c>
      <c r="AX281" t="inlineStr">
        <is>
          <t>RSAMI012600001</t>
        </is>
      </c>
      <c r="AZ281" t="n">
        <v>0</v>
      </c>
      <c r="BA281" t="n">
        <v>10</v>
      </c>
      <c r="BB281" t="n">
        <v>10</v>
      </c>
      <c r="BC281" t="n">
        <v>8400</v>
      </c>
      <c r="BD281" t="inlineStr">
        <is>
          <t>No</t>
        </is>
      </c>
      <c r="BF281" t="inlineStr">
        <is>
          <t>Bengal Tiger Line -BTL</t>
        </is>
      </c>
      <c r="BG281" t="inlineStr">
        <is>
          <t>USSEA</t>
        </is>
      </c>
      <c r="BH281" t="n">
        <v>0</v>
      </c>
      <c r="BI281" t="n">
        <v>1</v>
      </c>
      <c r="BJ281" t="n">
        <v>8400</v>
      </c>
      <c r="BK281" t="inlineStr">
        <is>
          <t>LINE</t>
        </is>
      </c>
      <c r="BL281" t="inlineStr">
        <is>
          <t>DOLPHIN REEFER</t>
        </is>
      </c>
      <c r="BM281" t="inlineStr">
        <is>
          <t>DOLPHIN REEFER</t>
        </is>
      </c>
    </row>
    <row r="282">
      <c r="A282" t="n">
        <v>281</v>
      </c>
      <c r="B282" t="inlineStr">
        <is>
          <t>MARLIN REEFER</t>
        </is>
      </c>
      <c r="C282" t="inlineStr">
        <is>
          <t>REF000000</t>
        </is>
      </c>
      <c r="D282" t="inlineStr">
        <is>
          <t>REF000000</t>
        </is>
      </c>
      <c r="E282" t="n">
        <v>46029</v>
      </c>
      <c r="F282" t="inlineStr">
        <is>
          <t>MARLIN REEFER</t>
        </is>
      </c>
      <c r="G282" t="inlineStr">
        <is>
          <t>1x40RH TEMP -18</t>
        </is>
      </c>
      <c r="H282" t="inlineStr">
        <is>
          <t>AR_MARTIMA</t>
        </is>
      </c>
      <c r="J282" t="inlineStr">
        <is>
          <t>03-FEB-2026</t>
        </is>
      </c>
      <c r="K282" t="inlineStr">
        <is>
          <t>01-FEB-2026</t>
        </is>
      </c>
      <c r="L282" t="inlineStr">
        <is>
          <t>03-FEB-2026</t>
        </is>
      </c>
      <c r="M282" t="inlineStr">
        <is>
          <t>REF000000</t>
        </is>
      </c>
      <c r="N282" t="inlineStr">
        <is>
          <t>USSEA</t>
        </is>
      </c>
      <c r="O282" t="inlineStr">
        <is>
          <t>USSEA</t>
        </is>
      </c>
      <c r="P282" t="inlineStr">
        <is>
          <t>USNFK</t>
        </is>
      </c>
      <c r="U282" t="inlineStr">
        <is>
          <t>RULED</t>
        </is>
      </c>
      <c r="V282" t="inlineStr">
        <is>
          <t>RULED</t>
        </is>
      </c>
      <c r="W282" t="inlineStr">
        <is>
          <t>CANADA</t>
        </is>
      </c>
      <c r="X282" t="inlineStr">
        <is>
          <t>PERSIAN GULF</t>
        </is>
      </c>
      <c r="Y282" t="inlineStr">
        <is>
          <t>RUSSIA</t>
        </is>
      </c>
      <c r="Z282" t="inlineStr">
        <is>
          <t>External Review</t>
        </is>
      </c>
      <c r="AA282" t="inlineStr">
        <is>
          <t>HUB SHIPPING LLC-LED</t>
        </is>
      </c>
      <c r="AB282" t="inlineStr">
        <is>
          <t>Prepaid</t>
        </is>
      </c>
      <c r="AC282" t="inlineStr">
        <is>
          <t>TIGER PLATA/966N</t>
        </is>
      </c>
      <c r="AD282" t="inlineStr">
        <is>
          <t>LI DA XING / VOYAGE 1</t>
        </is>
      </c>
      <c r="AE282" t="inlineStr">
        <is>
          <t>LADEN BOOKING</t>
        </is>
      </c>
      <c r="AF282" t="inlineStr">
        <is>
          <t>AR_MARTIMA</t>
        </is>
      </c>
      <c r="AG282" t="inlineStr">
        <is>
          <t>RH40</t>
        </is>
      </c>
      <c r="AH282" t="inlineStr">
        <is>
          <t>NO</t>
        </is>
      </c>
      <c r="AI282" t="n">
        <v>40</v>
      </c>
      <c r="AJ282" t="n">
        <v>0</v>
      </c>
      <c r="AK282" t="n">
        <v>1</v>
      </c>
      <c r="AL282" t="inlineStr">
        <is>
          <t>ANON0000000</t>
        </is>
      </c>
      <c r="AM282" t="n">
        <v>-18</v>
      </c>
      <c r="AP282" t="inlineStr">
        <is>
          <t>Non Haz</t>
        </is>
      </c>
      <c r="AQ282" t="inlineStr">
        <is>
          <t>CY/CY</t>
        </is>
      </c>
      <c r="AT282" t="inlineStr">
        <is>
          <t>REF000000</t>
        </is>
      </c>
      <c r="AU282" t="n">
        <v>29000</v>
      </c>
      <c r="AV282" t="inlineStr">
        <is>
          <t>FROZEN BONELESS BUFFALO MEAT</t>
        </is>
      </c>
      <c r="AW282" t="inlineStr">
        <is>
          <t>HS CODE: 020500</t>
        </is>
      </c>
      <c r="AX282" t="inlineStr">
        <is>
          <t>RSAMI122500026</t>
        </is>
      </c>
      <c r="AZ282" t="n">
        <v>0</v>
      </c>
      <c r="BA282" t="n">
        <v>10</v>
      </c>
      <c r="BB282" t="n">
        <v>10</v>
      </c>
      <c r="BC282" t="n">
        <v>7300</v>
      </c>
      <c r="BD282" t="inlineStr">
        <is>
          <t>No</t>
        </is>
      </c>
      <c r="BF282" t="inlineStr">
        <is>
          <t>Bengal Tiger Line -BTL</t>
        </is>
      </c>
      <c r="BG282" t="inlineStr">
        <is>
          <t>USSEA</t>
        </is>
      </c>
      <c r="BH282" t="n">
        <v>0</v>
      </c>
      <c r="BI282" t="n">
        <v>1</v>
      </c>
      <c r="BJ282" t="n">
        <v>7300</v>
      </c>
      <c r="BK282" t="inlineStr">
        <is>
          <t>LINE</t>
        </is>
      </c>
      <c r="BL282" t="inlineStr">
        <is>
          <t>MARLIN REEFER</t>
        </is>
      </c>
      <c r="BM282" t="inlineStr">
        <is>
          <t>MARLIN REEFER</t>
        </is>
      </c>
    </row>
    <row r="283">
      <c r="A283" t="n">
        <v>282</v>
      </c>
      <c r="B283" t="inlineStr">
        <is>
          <t>TURTLE REEFER</t>
        </is>
      </c>
      <c r="C283" t="inlineStr">
        <is>
          <t>REF000000</t>
        </is>
      </c>
      <c r="D283" t="inlineStr">
        <is>
          <t>REF000000</t>
        </is>
      </c>
      <c r="E283" t="n">
        <v>46031</v>
      </c>
      <c r="F283" t="inlineStr">
        <is>
          <t>TURTLE REEFER</t>
        </is>
      </c>
      <c r="G283" t="inlineStr">
        <is>
          <t>1x40RH TEMP -18</t>
        </is>
      </c>
      <c r="H283" t="inlineStr">
        <is>
          <t>AR_MARTIMA</t>
        </is>
      </c>
      <c r="J283" t="n">
        <v>46041</v>
      </c>
      <c r="K283" t="n">
        <v>46040</v>
      </c>
      <c r="L283" t="n">
        <v>46041</v>
      </c>
      <c r="M283" t="inlineStr">
        <is>
          <t>REF000000</t>
        </is>
      </c>
      <c r="N283" t="inlineStr">
        <is>
          <t>USSEA</t>
        </is>
      </c>
      <c r="O283" t="inlineStr">
        <is>
          <t>USSEA</t>
        </is>
      </c>
      <c r="P283" t="inlineStr">
        <is>
          <t>USNFK</t>
        </is>
      </c>
      <c r="U283" t="inlineStr">
        <is>
          <t>RULED</t>
        </is>
      </c>
      <c r="V283" t="inlineStr">
        <is>
          <t>RULED</t>
        </is>
      </c>
      <c r="W283" t="inlineStr">
        <is>
          <t>CANADA</t>
        </is>
      </c>
      <c r="X283" t="inlineStr">
        <is>
          <t>PERSIAN GULF</t>
        </is>
      </c>
      <c r="Y283" t="inlineStr">
        <is>
          <t>RUSSIA</t>
        </is>
      </c>
      <c r="Z283" t="inlineStr">
        <is>
          <t>External Review</t>
        </is>
      </c>
      <c r="AA283" t="inlineStr">
        <is>
          <t>HUB SHIPPING LLC-LED</t>
        </is>
      </c>
      <c r="AB283" t="inlineStr">
        <is>
          <t>Prepaid</t>
        </is>
      </c>
      <c r="AC283" t="inlineStr">
        <is>
          <t>TIGER PLATA/964N</t>
        </is>
      </c>
      <c r="AD283" t="inlineStr">
        <is>
          <t>LI DA XING / VOYAGE 1</t>
        </is>
      </c>
      <c r="AE283" t="inlineStr">
        <is>
          <t>LADEN BOOKING</t>
        </is>
      </c>
      <c r="AF283" t="inlineStr">
        <is>
          <t>AR_MARTIMA</t>
        </is>
      </c>
      <c r="AG283" t="inlineStr">
        <is>
          <t>RH40</t>
        </is>
      </c>
      <c r="AH283" t="inlineStr">
        <is>
          <t>NO</t>
        </is>
      </c>
      <c r="AI283" t="n">
        <v>40</v>
      </c>
      <c r="AJ283" t="n">
        <v>0</v>
      </c>
      <c r="AK283" t="n">
        <v>1</v>
      </c>
      <c r="AL283" t="inlineStr">
        <is>
          <t>ANON0000000</t>
        </is>
      </c>
      <c r="AM283" t="n">
        <v>-18</v>
      </c>
      <c r="AP283" t="inlineStr">
        <is>
          <t>Non Haz</t>
        </is>
      </c>
      <c r="AQ283" t="inlineStr">
        <is>
          <t>CY/CY</t>
        </is>
      </c>
      <c r="AT283" t="inlineStr">
        <is>
          <t>REF000000</t>
        </is>
      </c>
      <c r="AU283" t="n">
        <v>29000</v>
      </c>
      <c r="AV283" t="inlineStr">
        <is>
          <t>FROZEN MEAT</t>
        </is>
      </c>
      <c r="AW283" t="inlineStr">
        <is>
          <t>NCM 020622</t>
        </is>
      </c>
      <c r="AX283" t="inlineStr">
        <is>
          <t>RSAMI122500031</t>
        </is>
      </c>
      <c r="AZ283" t="n">
        <v>0</v>
      </c>
      <c r="BA283" t="n">
        <v>10</v>
      </c>
      <c r="BB283" t="n">
        <v>10</v>
      </c>
      <c r="BC283" t="n">
        <v>6800</v>
      </c>
      <c r="BD283" t="inlineStr">
        <is>
          <t>No</t>
        </is>
      </c>
      <c r="BF283" t="inlineStr">
        <is>
          <t>Bengal Tiger Line -BTL</t>
        </is>
      </c>
      <c r="BG283" t="inlineStr">
        <is>
          <t>USSEA</t>
        </is>
      </c>
      <c r="BH283" t="n">
        <v>0</v>
      </c>
      <c r="BI283" t="n">
        <v>1</v>
      </c>
      <c r="BJ283" t="n">
        <v>6800</v>
      </c>
      <c r="BK283" t="inlineStr">
        <is>
          <t>LINE</t>
        </is>
      </c>
      <c r="BL283" t="inlineStr">
        <is>
          <t>TURTLE REEFER</t>
        </is>
      </c>
      <c r="BM283" t="inlineStr">
        <is>
          <t>TURTLE REEFER</t>
        </is>
      </c>
    </row>
    <row r="284">
      <c r="A284" t="n">
        <v>283</v>
      </c>
      <c r="B284" t="inlineStr">
        <is>
          <t>ORCA REEFER</t>
        </is>
      </c>
      <c r="C284" t="inlineStr">
        <is>
          <t>REF000000</t>
        </is>
      </c>
      <c r="D284" t="inlineStr">
        <is>
          <t>REF000000</t>
        </is>
      </c>
      <c r="E284" t="n">
        <v>46031</v>
      </c>
      <c r="F284" t="inlineStr">
        <is>
          <t>ORCA REEFER</t>
        </is>
      </c>
      <c r="G284" t="inlineStr">
        <is>
          <t>ENTERED THROUGH SPLIT BOOKING FROM THE BOOKING ID REF000000, BY AR_MARTIMA, ON 1/9/2026 7:02:36 PM</t>
        </is>
      </c>
      <c r="H284" t="inlineStr">
        <is>
          <t>AR_MARTIMA</t>
        </is>
      </c>
      <c r="J284" t="n">
        <v>46041</v>
      </c>
      <c r="K284" t="n">
        <v>46040</v>
      </c>
      <c r="L284" t="n">
        <v>46041</v>
      </c>
      <c r="M284" t="inlineStr">
        <is>
          <t>REF000000</t>
        </is>
      </c>
      <c r="N284" t="inlineStr">
        <is>
          <t>USSEA</t>
        </is>
      </c>
      <c r="O284" t="inlineStr">
        <is>
          <t>USSEA</t>
        </is>
      </c>
      <c r="P284" t="inlineStr">
        <is>
          <t>USNFK</t>
        </is>
      </c>
      <c r="U284" t="inlineStr">
        <is>
          <t>RULED</t>
        </is>
      </c>
      <c r="V284" t="inlineStr">
        <is>
          <t>RULED</t>
        </is>
      </c>
      <c r="W284" t="inlineStr">
        <is>
          <t>CANADA</t>
        </is>
      </c>
      <c r="X284" t="inlineStr">
        <is>
          <t>PERSIAN GULF</t>
        </is>
      </c>
      <c r="Y284" t="inlineStr">
        <is>
          <t>RUSSIA</t>
        </is>
      </c>
      <c r="Z284" t="inlineStr">
        <is>
          <t>External Review</t>
        </is>
      </c>
      <c r="AA284" t="inlineStr">
        <is>
          <t>HUB SHIPPING LLC-LED</t>
        </is>
      </c>
      <c r="AB284" t="inlineStr">
        <is>
          <t>Prepaid</t>
        </is>
      </c>
      <c r="AC284" t="inlineStr">
        <is>
          <t>TIGER PLATA/964N</t>
        </is>
      </c>
      <c r="AD284" t="inlineStr">
        <is>
          <t>LI DA XING / VOYAGE 1</t>
        </is>
      </c>
      <c r="AE284" t="inlineStr">
        <is>
          <t>LADEN BOOKING</t>
        </is>
      </c>
      <c r="AF284" t="inlineStr">
        <is>
          <t>AR_MARTIMA</t>
        </is>
      </c>
      <c r="AG284" t="inlineStr">
        <is>
          <t>RH40</t>
        </is>
      </c>
      <c r="AI284" t="n">
        <v>40</v>
      </c>
      <c r="AJ284" t="n">
        <v>0</v>
      </c>
      <c r="AK284" t="n">
        <v>1</v>
      </c>
      <c r="AL284" t="inlineStr">
        <is>
          <t>ANON0000000</t>
        </is>
      </c>
      <c r="AM284" t="n">
        <v>-18</v>
      </c>
      <c r="AP284" t="inlineStr">
        <is>
          <t>Non Haz</t>
        </is>
      </c>
      <c r="AQ284" t="inlineStr">
        <is>
          <t>CY/CY</t>
        </is>
      </c>
      <c r="AT284" t="inlineStr">
        <is>
          <t>REF000000</t>
        </is>
      </c>
      <c r="AU284" t="n">
        <v>29000</v>
      </c>
      <c r="AV284" t="inlineStr">
        <is>
          <t>FROZEN MEAT</t>
        </is>
      </c>
      <c r="AW284" t="inlineStr">
        <is>
          <t>NCM 020622</t>
        </is>
      </c>
      <c r="AX284" t="inlineStr">
        <is>
          <t>RSAMI122500031</t>
        </is>
      </c>
      <c r="AZ284" t="n">
        <v>0</v>
      </c>
      <c r="BA284" t="n">
        <v>10</v>
      </c>
      <c r="BB284" t="n">
        <v>10</v>
      </c>
      <c r="BC284" t="n">
        <v>6800</v>
      </c>
      <c r="BD284" t="inlineStr">
        <is>
          <t>No</t>
        </is>
      </c>
      <c r="BF284" t="inlineStr">
        <is>
          <t>Bengal Tiger Line -BTL</t>
        </is>
      </c>
      <c r="BG284" t="inlineStr">
        <is>
          <t>USSEA</t>
        </is>
      </c>
      <c r="BH284" t="n">
        <v>0</v>
      </c>
      <c r="BI284" t="n">
        <v>1</v>
      </c>
      <c r="BJ284" t="n">
        <v>6800</v>
      </c>
      <c r="BK284" t="inlineStr">
        <is>
          <t>LINE</t>
        </is>
      </c>
      <c r="BL284" t="inlineStr">
        <is>
          <t>ORCA REEFER</t>
        </is>
      </c>
      <c r="BM284" t="inlineStr">
        <is>
          <t>ORCA REEFER</t>
        </is>
      </c>
    </row>
    <row r="285">
      <c r="A285" t="n">
        <v>284</v>
      </c>
      <c r="B285" t="inlineStr">
        <is>
          <t>WHALE REEFER</t>
        </is>
      </c>
      <c r="C285" t="inlineStr">
        <is>
          <t>REF000000</t>
        </is>
      </c>
      <c r="D285" t="inlineStr">
        <is>
          <t>REF000000</t>
        </is>
      </c>
      <c r="E285" t="n">
        <v>46031</v>
      </c>
      <c r="F285" t="inlineStr">
        <is>
          <t>WHALE REEFER</t>
        </is>
      </c>
      <c r="G285" t="inlineStr">
        <is>
          <t>ENTERED THROUGH SPLIT BOOKING FROM THE BOOKING ID REF000000, BY AR_MARTIMA, ON 1/9/2026 7:02:37 PM</t>
        </is>
      </c>
      <c r="H285" t="inlineStr">
        <is>
          <t>AR_MARTIMA</t>
        </is>
      </c>
      <c r="J285" t="n">
        <v>46041</v>
      </c>
      <c r="K285" t="n">
        <v>46040</v>
      </c>
      <c r="L285" t="n">
        <v>46041</v>
      </c>
      <c r="M285" t="inlineStr">
        <is>
          <t>REF000000</t>
        </is>
      </c>
      <c r="N285" t="inlineStr">
        <is>
          <t>USSEA</t>
        </is>
      </c>
      <c r="O285" t="inlineStr">
        <is>
          <t>USSEA</t>
        </is>
      </c>
      <c r="P285" t="inlineStr">
        <is>
          <t>USNFK</t>
        </is>
      </c>
      <c r="U285" t="inlineStr">
        <is>
          <t>RULED</t>
        </is>
      </c>
      <c r="V285" t="inlineStr">
        <is>
          <t>RULED</t>
        </is>
      </c>
      <c r="W285" t="inlineStr">
        <is>
          <t>CANADA</t>
        </is>
      </c>
      <c r="X285" t="inlineStr">
        <is>
          <t>PERSIAN GULF</t>
        </is>
      </c>
      <c r="Y285" t="inlineStr">
        <is>
          <t>RUSSIA</t>
        </is>
      </c>
      <c r="Z285" t="inlineStr">
        <is>
          <t>External Review</t>
        </is>
      </c>
      <c r="AA285" t="inlineStr">
        <is>
          <t>HUB SHIPPING LLC-LED</t>
        </is>
      </c>
      <c r="AB285" t="inlineStr">
        <is>
          <t>Prepaid</t>
        </is>
      </c>
      <c r="AC285" t="inlineStr">
        <is>
          <t>TIGER PLATA/964N</t>
        </is>
      </c>
      <c r="AD285" t="inlineStr">
        <is>
          <t>LI DA XING / VOYAGE 1</t>
        </is>
      </c>
      <c r="AE285" t="inlineStr">
        <is>
          <t>LADEN BOOKING</t>
        </is>
      </c>
      <c r="AF285" t="inlineStr">
        <is>
          <t>AR_MARTIMA</t>
        </is>
      </c>
      <c r="AG285" t="inlineStr">
        <is>
          <t>RH40</t>
        </is>
      </c>
      <c r="AI285" t="n">
        <v>40</v>
      </c>
      <c r="AJ285" t="n">
        <v>0</v>
      </c>
      <c r="AK285" t="n">
        <v>1</v>
      </c>
      <c r="AL285" t="inlineStr">
        <is>
          <t>ANON0000000</t>
        </is>
      </c>
      <c r="AM285" t="n">
        <v>-18</v>
      </c>
      <c r="AP285" t="inlineStr">
        <is>
          <t>Non Haz</t>
        </is>
      </c>
      <c r="AQ285" t="inlineStr">
        <is>
          <t>CY/CY</t>
        </is>
      </c>
      <c r="AT285" t="inlineStr">
        <is>
          <t>REF000000</t>
        </is>
      </c>
      <c r="AU285" t="n">
        <v>29000</v>
      </c>
      <c r="AV285" t="inlineStr">
        <is>
          <t>FROZEN MEAT</t>
        </is>
      </c>
      <c r="AW285" t="inlineStr">
        <is>
          <t>NCM 020622</t>
        </is>
      </c>
      <c r="AX285" t="inlineStr">
        <is>
          <t>RSAMI122500031</t>
        </is>
      </c>
      <c r="AZ285" t="n">
        <v>0</v>
      </c>
      <c r="BA285" t="n">
        <v>10</v>
      </c>
      <c r="BB285" t="n">
        <v>10</v>
      </c>
      <c r="BC285" t="n">
        <v>6800</v>
      </c>
      <c r="BD285" t="inlineStr">
        <is>
          <t>No</t>
        </is>
      </c>
      <c r="BF285" t="inlineStr">
        <is>
          <t>Bengal Tiger Line -BTL</t>
        </is>
      </c>
      <c r="BG285" t="inlineStr">
        <is>
          <t>USSEA</t>
        </is>
      </c>
      <c r="BH285" t="n">
        <v>0</v>
      </c>
      <c r="BI285" t="n">
        <v>1</v>
      </c>
      <c r="BJ285" t="n">
        <v>6800</v>
      </c>
      <c r="BK285" t="inlineStr">
        <is>
          <t>LINE</t>
        </is>
      </c>
      <c r="BL285" t="inlineStr">
        <is>
          <t>WHALE REEFER</t>
        </is>
      </c>
      <c r="BM285" t="inlineStr">
        <is>
          <t>WHALE REEFER</t>
        </is>
      </c>
    </row>
    <row r="286">
      <c r="A286" t="n">
        <v>285</v>
      </c>
      <c r="B286" t="inlineStr">
        <is>
          <t>SEAL REEFER</t>
        </is>
      </c>
      <c r="C286" t="inlineStr">
        <is>
          <t>REF000000</t>
        </is>
      </c>
      <c r="D286" t="inlineStr">
        <is>
          <t>REF000000</t>
        </is>
      </c>
      <c r="E286" t="n">
        <v>46031</v>
      </c>
      <c r="F286" t="inlineStr">
        <is>
          <t>SEAL REEFER</t>
        </is>
      </c>
      <c r="G286" t="inlineStr">
        <is>
          <t>ENTERED THROUGH SPLIT BOOKING FROM THE BOOKING ID REF000000, BY AR_MARTIMA, ON 1/9/2026 7:02:37 PM</t>
        </is>
      </c>
      <c r="H286" t="inlineStr">
        <is>
          <t>AR_MARTIMA</t>
        </is>
      </c>
      <c r="J286" t="n">
        <v>46041</v>
      </c>
      <c r="K286" t="n">
        <v>46040</v>
      </c>
      <c r="L286" t="n">
        <v>46041</v>
      </c>
      <c r="M286" t="inlineStr">
        <is>
          <t>REF000000</t>
        </is>
      </c>
      <c r="N286" t="inlineStr">
        <is>
          <t>USSEA</t>
        </is>
      </c>
      <c r="O286" t="inlineStr">
        <is>
          <t>USSEA</t>
        </is>
      </c>
      <c r="P286" t="inlineStr">
        <is>
          <t>USNFK</t>
        </is>
      </c>
      <c r="U286" t="inlineStr">
        <is>
          <t>RULED</t>
        </is>
      </c>
      <c r="V286" t="inlineStr">
        <is>
          <t>RULED</t>
        </is>
      </c>
      <c r="W286" t="inlineStr">
        <is>
          <t>CANADA</t>
        </is>
      </c>
      <c r="X286" t="inlineStr">
        <is>
          <t>PERSIAN GULF</t>
        </is>
      </c>
      <c r="Y286" t="inlineStr">
        <is>
          <t>RUSSIA</t>
        </is>
      </c>
      <c r="Z286" t="inlineStr">
        <is>
          <t>External Review</t>
        </is>
      </c>
      <c r="AA286" t="inlineStr">
        <is>
          <t>HUB SHIPPING LLC-LED</t>
        </is>
      </c>
      <c r="AB286" t="inlineStr">
        <is>
          <t>Prepaid</t>
        </is>
      </c>
      <c r="AC286" t="inlineStr">
        <is>
          <t>TIGER PLATA/964N</t>
        </is>
      </c>
      <c r="AD286" t="inlineStr">
        <is>
          <t>LI DA XING / VOYAGE 1</t>
        </is>
      </c>
      <c r="AE286" t="inlineStr">
        <is>
          <t>LADEN BOOKING</t>
        </is>
      </c>
      <c r="AF286" t="inlineStr">
        <is>
          <t>AR_MARTIMA</t>
        </is>
      </c>
      <c r="AG286" t="inlineStr">
        <is>
          <t>RH40</t>
        </is>
      </c>
      <c r="AI286" t="n">
        <v>40</v>
      </c>
      <c r="AJ286" t="n">
        <v>0</v>
      </c>
      <c r="AK286" t="n">
        <v>1</v>
      </c>
      <c r="AL286" t="inlineStr">
        <is>
          <t>ANON0000000</t>
        </is>
      </c>
      <c r="AM286" t="n">
        <v>-18</v>
      </c>
      <c r="AP286" t="inlineStr">
        <is>
          <t>Non Haz</t>
        </is>
      </c>
      <c r="AQ286" t="inlineStr">
        <is>
          <t>CY/CY</t>
        </is>
      </c>
      <c r="AT286" t="inlineStr">
        <is>
          <t>REF000000</t>
        </is>
      </c>
      <c r="AU286" t="n">
        <v>29000</v>
      </c>
      <c r="AV286" t="inlineStr">
        <is>
          <t>FROZEN MEAT</t>
        </is>
      </c>
      <c r="AW286" t="inlineStr">
        <is>
          <t>NCM 020622</t>
        </is>
      </c>
      <c r="AX286" t="inlineStr">
        <is>
          <t>RSAMI122500031</t>
        </is>
      </c>
      <c r="AZ286" t="n">
        <v>0</v>
      </c>
      <c r="BA286" t="n">
        <v>10</v>
      </c>
      <c r="BB286" t="n">
        <v>10</v>
      </c>
      <c r="BC286" t="n">
        <v>6800</v>
      </c>
      <c r="BD286" t="inlineStr">
        <is>
          <t>No</t>
        </is>
      </c>
      <c r="BF286" t="inlineStr">
        <is>
          <t>Bengal Tiger Line -BTL</t>
        </is>
      </c>
      <c r="BG286" t="inlineStr">
        <is>
          <t>USSEA</t>
        </is>
      </c>
      <c r="BH286" t="n">
        <v>0</v>
      </c>
      <c r="BI286" t="n">
        <v>1</v>
      </c>
      <c r="BJ286" t="n">
        <v>6800</v>
      </c>
      <c r="BK286" t="inlineStr">
        <is>
          <t>LINE</t>
        </is>
      </c>
      <c r="BL286" t="inlineStr">
        <is>
          <t>SEAL REEFER</t>
        </is>
      </c>
      <c r="BM286" t="inlineStr">
        <is>
          <t>SEAL REEFER</t>
        </is>
      </c>
    </row>
    <row r="287">
      <c r="A287" t="n">
        <v>286</v>
      </c>
      <c r="B287" t="inlineStr">
        <is>
          <t>SHARK REEFER</t>
        </is>
      </c>
      <c r="C287" t="inlineStr">
        <is>
          <t>REF000000</t>
        </is>
      </c>
      <c r="D287" t="inlineStr">
        <is>
          <t>REF000000</t>
        </is>
      </c>
      <c r="E287" t="n">
        <v>46031</v>
      </c>
      <c r="F287" t="inlineStr">
        <is>
          <t>SHARK REEFER</t>
        </is>
      </c>
      <c r="G287" t="inlineStr">
        <is>
          <t>ENTERED THROUGH SPLIT BOOKING FROM THE BOOKING ID REF000000, BY AR_MARTIMA, ON 1/9/2026 7:02:37 PM</t>
        </is>
      </c>
      <c r="H287" t="inlineStr">
        <is>
          <t>AR_MARTIMA</t>
        </is>
      </c>
      <c r="J287" t="n">
        <v>46041</v>
      </c>
      <c r="K287" t="n">
        <v>46040</v>
      </c>
      <c r="L287" t="n">
        <v>46041</v>
      </c>
      <c r="M287" t="inlineStr">
        <is>
          <t>REF000000</t>
        </is>
      </c>
      <c r="N287" t="inlineStr">
        <is>
          <t>USSEA</t>
        </is>
      </c>
      <c r="O287" t="inlineStr">
        <is>
          <t>USSEA</t>
        </is>
      </c>
      <c r="P287" t="inlineStr">
        <is>
          <t>USNFK</t>
        </is>
      </c>
      <c r="U287" t="inlineStr">
        <is>
          <t>RULED</t>
        </is>
      </c>
      <c r="V287" t="inlineStr">
        <is>
          <t>RULED</t>
        </is>
      </c>
      <c r="W287" t="inlineStr">
        <is>
          <t>CANADA</t>
        </is>
      </c>
      <c r="X287" t="inlineStr">
        <is>
          <t>PERSIAN GULF</t>
        </is>
      </c>
      <c r="Y287" t="inlineStr">
        <is>
          <t>RUSSIA</t>
        </is>
      </c>
      <c r="Z287" t="inlineStr">
        <is>
          <t>External Review</t>
        </is>
      </c>
      <c r="AA287" t="inlineStr">
        <is>
          <t>HUB SHIPPING LLC-LED</t>
        </is>
      </c>
      <c r="AB287" t="inlineStr">
        <is>
          <t>Prepaid</t>
        </is>
      </c>
      <c r="AC287" t="inlineStr">
        <is>
          <t>TIGER PLATA/964N</t>
        </is>
      </c>
      <c r="AD287" t="inlineStr">
        <is>
          <t>LI DA XING / VOYAGE 1</t>
        </is>
      </c>
      <c r="AE287" t="inlineStr">
        <is>
          <t>LADEN BOOKING</t>
        </is>
      </c>
      <c r="AF287" t="inlineStr">
        <is>
          <t>AR_MARTIMA</t>
        </is>
      </c>
      <c r="AG287" t="inlineStr">
        <is>
          <t>RH40</t>
        </is>
      </c>
      <c r="AI287" t="n">
        <v>40</v>
      </c>
      <c r="AJ287" t="n">
        <v>0</v>
      </c>
      <c r="AK287" t="n">
        <v>1</v>
      </c>
      <c r="AL287" t="inlineStr">
        <is>
          <t>ANON0000000</t>
        </is>
      </c>
      <c r="AM287" t="n">
        <v>-18</v>
      </c>
      <c r="AP287" t="inlineStr">
        <is>
          <t>Non Haz</t>
        </is>
      </c>
      <c r="AQ287" t="inlineStr">
        <is>
          <t>CY/CY</t>
        </is>
      </c>
      <c r="AT287" t="inlineStr">
        <is>
          <t>REF000000</t>
        </is>
      </c>
      <c r="AU287" t="n">
        <v>29000</v>
      </c>
      <c r="AV287" t="inlineStr">
        <is>
          <t>FROZEN MEAT</t>
        </is>
      </c>
      <c r="AW287" t="inlineStr">
        <is>
          <t>NCM 020622</t>
        </is>
      </c>
      <c r="AX287" t="inlineStr">
        <is>
          <t>RSAMI122500031</t>
        </is>
      </c>
      <c r="AZ287" t="n">
        <v>0</v>
      </c>
      <c r="BA287" t="n">
        <v>10</v>
      </c>
      <c r="BB287" t="n">
        <v>10</v>
      </c>
      <c r="BC287" t="n">
        <v>6800</v>
      </c>
      <c r="BD287" t="inlineStr">
        <is>
          <t>No</t>
        </is>
      </c>
      <c r="BF287" t="inlineStr">
        <is>
          <t>Bengal Tiger Line -BTL</t>
        </is>
      </c>
      <c r="BG287" t="inlineStr">
        <is>
          <t>USSEA</t>
        </is>
      </c>
      <c r="BH287" t="n">
        <v>0</v>
      </c>
      <c r="BI287" t="n">
        <v>1</v>
      </c>
      <c r="BJ287" t="n">
        <v>6800</v>
      </c>
      <c r="BK287" t="inlineStr">
        <is>
          <t>LINE</t>
        </is>
      </c>
      <c r="BL287" t="inlineStr">
        <is>
          <t>SHARK REEFER</t>
        </is>
      </c>
      <c r="BM287" t="inlineStr">
        <is>
          <t>SHARK REEFER</t>
        </is>
      </c>
    </row>
    <row r="288">
      <c r="A288" t="n">
        <v>287</v>
      </c>
      <c r="B288" t="inlineStr">
        <is>
          <t>DOLPHIN REEFER</t>
        </is>
      </c>
      <c r="C288" t="inlineStr">
        <is>
          <t>REF000000</t>
        </is>
      </c>
      <c r="D288" t="inlineStr">
        <is>
          <t>REF000000</t>
        </is>
      </c>
      <c r="E288" t="n">
        <v>46031</v>
      </c>
      <c r="F288" t="inlineStr">
        <is>
          <t>DOLPHIN REEFER</t>
        </is>
      </c>
      <c r="G288" t="inlineStr">
        <is>
          <t>ENTERED THROUGH SPLIT BOOKING FROM THE BOOKING ID REF000000, BY AR_MARTIMA, ON 1/9/2026 7:02:37 PM</t>
        </is>
      </c>
      <c r="H288" t="inlineStr">
        <is>
          <t>AR_MARTIMA</t>
        </is>
      </c>
      <c r="J288" t="n">
        <v>46041</v>
      </c>
      <c r="K288" t="n">
        <v>46040</v>
      </c>
      <c r="L288" t="n">
        <v>46041</v>
      </c>
      <c r="M288" t="inlineStr">
        <is>
          <t>REF000000</t>
        </is>
      </c>
      <c r="N288" t="inlineStr">
        <is>
          <t>USSEA</t>
        </is>
      </c>
      <c r="O288" t="inlineStr">
        <is>
          <t>USSEA</t>
        </is>
      </c>
      <c r="P288" t="inlineStr">
        <is>
          <t>USNFK</t>
        </is>
      </c>
      <c r="U288" t="inlineStr">
        <is>
          <t>RULED</t>
        </is>
      </c>
      <c r="V288" t="inlineStr">
        <is>
          <t>RULED</t>
        </is>
      </c>
      <c r="W288" t="inlineStr">
        <is>
          <t>CANADA</t>
        </is>
      </c>
      <c r="X288" t="inlineStr">
        <is>
          <t>PERSIAN GULF</t>
        </is>
      </c>
      <c r="Y288" t="inlineStr">
        <is>
          <t>RUSSIA</t>
        </is>
      </c>
      <c r="Z288" t="inlineStr">
        <is>
          <t>External Review</t>
        </is>
      </c>
      <c r="AA288" t="inlineStr">
        <is>
          <t>HUB SHIPPING LLC-LED</t>
        </is>
      </c>
      <c r="AB288" t="inlineStr">
        <is>
          <t>Prepaid</t>
        </is>
      </c>
      <c r="AC288" t="inlineStr">
        <is>
          <t>TIGER PLATA/964N</t>
        </is>
      </c>
      <c r="AD288" t="inlineStr">
        <is>
          <t>LI DA XING / VOYAGE 1</t>
        </is>
      </c>
      <c r="AE288" t="inlineStr">
        <is>
          <t>LADEN BOOKING</t>
        </is>
      </c>
      <c r="AF288" t="inlineStr">
        <is>
          <t>AR_MARTIMA</t>
        </is>
      </c>
      <c r="AG288" t="inlineStr">
        <is>
          <t>RH40</t>
        </is>
      </c>
      <c r="AI288" t="n">
        <v>40</v>
      </c>
      <c r="AJ288" t="n">
        <v>0</v>
      </c>
      <c r="AK288" t="n">
        <v>1</v>
      </c>
      <c r="AL288" t="inlineStr">
        <is>
          <t>ANON0000000</t>
        </is>
      </c>
      <c r="AM288" t="n">
        <v>-18</v>
      </c>
      <c r="AP288" t="inlineStr">
        <is>
          <t>Non Haz</t>
        </is>
      </c>
      <c r="AQ288" t="inlineStr">
        <is>
          <t>CY/CY</t>
        </is>
      </c>
      <c r="AT288" t="inlineStr">
        <is>
          <t>REF000000</t>
        </is>
      </c>
      <c r="AU288" t="n">
        <v>29000</v>
      </c>
      <c r="AV288" t="inlineStr">
        <is>
          <t>FROZEN MEAT</t>
        </is>
      </c>
      <c r="AW288" t="inlineStr">
        <is>
          <t>NCM 020622</t>
        </is>
      </c>
      <c r="AX288" t="inlineStr">
        <is>
          <t>RSAMI122500031</t>
        </is>
      </c>
      <c r="AZ288" t="n">
        <v>0</v>
      </c>
      <c r="BA288" t="n">
        <v>10</v>
      </c>
      <c r="BB288" t="n">
        <v>10</v>
      </c>
      <c r="BC288" t="n">
        <v>6800</v>
      </c>
      <c r="BD288" t="inlineStr">
        <is>
          <t>No</t>
        </is>
      </c>
      <c r="BF288" t="inlineStr">
        <is>
          <t>Bengal Tiger Line -BTL</t>
        </is>
      </c>
      <c r="BG288" t="inlineStr">
        <is>
          <t>USSEA</t>
        </is>
      </c>
      <c r="BH288" t="n">
        <v>0</v>
      </c>
      <c r="BI288" t="n">
        <v>1</v>
      </c>
      <c r="BJ288" t="n">
        <v>6800</v>
      </c>
      <c r="BK288" t="inlineStr">
        <is>
          <t>LINE</t>
        </is>
      </c>
      <c r="BL288" t="inlineStr">
        <is>
          <t>DOLPHIN REEFER</t>
        </is>
      </c>
      <c r="BM288" t="inlineStr">
        <is>
          <t>DOLPHIN REEFER</t>
        </is>
      </c>
    </row>
    <row r="289">
      <c r="A289" t="n">
        <v>288</v>
      </c>
      <c r="B289" t="inlineStr">
        <is>
          <t>EAGLE DRY</t>
        </is>
      </c>
      <c r="C289" t="inlineStr">
        <is>
          <t>REF000000</t>
        </is>
      </c>
      <c r="D289" t="inlineStr">
        <is>
          <t>REF000000</t>
        </is>
      </c>
      <c r="E289" t="n">
        <v>46034</v>
      </c>
      <c r="F289" t="inlineStr">
        <is>
          <t>EAGLE DRY</t>
        </is>
      </c>
      <c r="H289" t="inlineStr">
        <is>
          <t>AdminAMI</t>
        </is>
      </c>
      <c r="J289" t="n">
        <v>46048</v>
      </c>
      <c r="K289" t="n">
        <v>46046</v>
      </c>
      <c r="L289" t="n">
        <v>46048</v>
      </c>
      <c r="M289" t="inlineStr">
        <is>
          <t>REF000000</t>
        </is>
      </c>
      <c r="N289" t="inlineStr">
        <is>
          <t>USSEA</t>
        </is>
      </c>
      <c r="O289" t="inlineStr">
        <is>
          <t>USSEA</t>
        </is>
      </c>
      <c r="P289" t="inlineStr">
        <is>
          <t>USNFK</t>
        </is>
      </c>
      <c r="U289" t="inlineStr">
        <is>
          <t>RULED</t>
        </is>
      </c>
      <c r="V289" t="inlineStr">
        <is>
          <t>RULED</t>
        </is>
      </c>
      <c r="W289" t="inlineStr">
        <is>
          <t>CANADA</t>
        </is>
      </c>
      <c r="X289" t="inlineStr">
        <is>
          <t>PERSIAN GULF</t>
        </is>
      </c>
      <c r="Y289" t="inlineStr">
        <is>
          <t>RUSSIA</t>
        </is>
      </c>
      <c r="Z289" t="inlineStr">
        <is>
          <t>External Review</t>
        </is>
      </c>
      <c r="AA289" t="inlineStr">
        <is>
          <t>HUB SHIPPING LLC-LED</t>
        </is>
      </c>
      <c r="AB289" t="inlineStr">
        <is>
          <t>Collect</t>
        </is>
      </c>
      <c r="AC289" t="inlineStr">
        <is>
          <t>TIGER PLATA/965N</t>
        </is>
      </c>
      <c r="AD289" t="inlineStr">
        <is>
          <t>LI DA XING / VOYAGE 1</t>
        </is>
      </c>
      <c r="AE289" t="inlineStr">
        <is>
          <t>LADEN BOOKING</t>
        </is>
      </c>
      <c r="AF289" t="inlineStr">
        <is>
          <t>RenniAMI</t>
        </is>
      </c>
      <c r="AG289" t="inlineStr">
        <is>
          <t>HC40</t>
        </is>
      </c>
      <c r="AH289" t="inlineStr">
        <is>
          <t>NO</t>
        </is>
      </c>
      <c r="AI289" t="n">
        <v>40</v>
      </c>
      <c r="AJ289" t="n">
        <v>0</v>
      </c>
      <c r="AK289" t="n">
        <v>11</v>
      </c>
      <c r="AL289" t="inlineStr">
        <is>
          <t>ANON0000000,
ANON0000000,
ANON0000000,
ANON0000000,
ANON0000000,
ANON0000000,
ANON0000000,
ANON0000000,
ANON0000000,
ANON0000000,
ANON0000000</t>
        </is>
      </c>
      <c r="AP289" t="inlineStr">
        <is>
          <t>Non Haz</t>
        </is>
      </c>
      <c r="AQ289" t="inlineStr">
        <is>
          <t>CY/CY</t>
        </is>
      </c>
      <c r="AT289" t="inlineStr">
        <is>
          <t>REF000000</t>
        </is>
      </c>
      <c r="AU289" t="n">
        <v>26000</v>
      </c>
      <c r="AV289" t="inlineStr">
        <is>
          <t>GENERAL COMMODITY</t>
        </is>
      </c>
      <c r="AW289" t="inlineStr">
        <is>
          <t>NCM: 1202.42.00</t>
        </is>
      </c>
      <c r="AX289" t="inlineStr">
        <is>
          <t>RSAMI122500034</t>
        </is>
      </c>
      <c r="AZ289" t="n">
        <v>0</v>
      </c>
      <c r="BA289" t="n">
        <v>10</v>
      </c>
      <c r="BB289" t="n">
        <v>14</v>
      </c>
      <c r="BC289" t="n">
        <v>4600</v>
      </c>
      <c r="BD289" t="inlineStr">
        <is>
          <t>Yes</t>
        </is>
      </c>
      <c r="BF289" t="inlineStr">
        <is>
          <t>Bengal Tiger Line -BTL</t>
        </is>
      </c>
      <c r="BG289" t="inlineStr">
        <is>
          <t>RULED</t>
        </is>
      </c>
      <c r="BH289" t="n">
        <v>0</v>
      </c>
      <c r="BI289" t="n">
        <v>11</v>
      </c>
      <c r="BJ289" t="n">
        <v>50600</v>
      </c>
      <c r="BK289" t="inlineStr">
        <is>
          <t>LINE</t>
        </is>
      </c>
      <c r="BL289" t="inlineStr">
        <is>
          <t>EAGLE DRY</t>
        </is>
      </c>
      <c r="BM289" t="inlineStr">
        <is>
          <t>EAGLE DRY</t>
        </is>
      </c>
    </row>
    <row r="290">
      <c r="A290" t="n">
        <v>289</v>
      </c>
      <c r="B290" t="inlineStr">
        <is>
          <t>TURTLE REEFER</t>
        </is>
      </c>
      <c r="C290" t="inlineStr">
        <is>
          <t>REF000000</t>
        </is>
      </c>
      <c r="D290" t="inlineStr">
        <is>
          <t>REF000000</t>
        </is>
      </c>
      <c r="E290" t="n">
        <v>46035</v>
      </c>
      <c r="F290" t="inlineStr">
        <is>
          <t>TURTLE REEFER</t>
        </is>
      </c>
      <c r="G290" t="inlineStr">
        <is>
          <t>final reefer details should be collected and provided to carrier by agents of POL</t>
        </is>
      </c>
      <c r="H290" t="inlineStr">
        <is>
          <t>AdminAMI</t>
        </is>
      </c>
      <c r="J290" t="n">
        <v>46048</v>
      </c>
      <c r="K290" t="n">
        <v>46046</v>
      </c>
      <c r="L290" t="n">
        <v>46048</v>
      </c>
      <c r="M290" t="inlineStr">
        <is>
          <t>REF000000</t>
        </is>
      </c>
      <c r="N290" t="inlineStr">
        <is>
          <t>USSEA</t>
        </is>
      </c>
      <c r="O290" t="inlineStr">
        <is>
          <t>USSEA</t>
        </is>
      </c>
      <c r="P290" t="inlineStr">
        <is>
          <t>USNFK</t>
        </is>
      </c>
      <c r="U290" t="inlineStr">
        <is>
          <t>RULED</t>
        </is>
      </c>
      <c r="V290" t="inlineStr">
        <is>
          <t>RULED</t>
        </is>
      </c>
      <c r="W290" t="inlineStr">
        <is>
          <t>CANADA</t>
        </is>
      </c>
      <c r="X290" t="inlineStr">
        <is>
          <t>PERSIAN GULF</t>
        </is>
      </c>
      <c r="Y290" t="inlineStr">
        <is>
          <t>RUSSIA</t>
        </is>
      </c>
      <c r="Z290" t="inlineStr">
        <is>
          <t>External Review</t>
        </is>
      </c>
      <c r="AA290" t="inlineStr">
        <is>
          <t>HUB SHIPPING LLC-LED</t>
        </is>
      </c>
      <c r="AB290" t="inlineStr">
        <is>
          <t>Collect</t>
        </is>
      </c>
      <c r="AC290" t="inlineStr">
        <is>
          <t>TIGER PLATA/965N</t>
        </is>
      </c>
      <c r="AD290" t="inlineStr">
        <is>
          <t>LI DA XING / VOYAGE 1</t>
        </is>
      </c>
      <c r="AE290" t="inlineStr">
        <is>
          <t>LADEN BOOKING</t>
        </is>
      </c>
      <c r="AF290" t="inlineStr">
        <is>
          <t>RenniAMI</t>
        </is>
      </c>
      <c r="AG290" t="inlineStr">
        <is>
          <t>RH40</t>
        </is>
      </c>
      <c r="AH290" t="inlineStr">
        <is>
          <t>NO</t>
        </is>
      </c>
      <c r="AI290" t="n">
        <v>40</v>
      </c>
      <c r="AJ290" t="n">
        <v>0</v>
      </c>
      <c r="AK290" t="n">
        <v>1</v>
      </c>
      <c r="AL290" t="inlineStr">
        <is>
          <t>ANON0000000</t>
        </is>
      </c>
      <c r="AM290" t="n">
        <v>0</v>
      </c>
      <c r="AP290" t="inlineStr">
        <is>
          <t>Non Haz</t>
        </is>
      </c>
      <c r="AQ290" t="inlineStr">
        <is>
          <t>CY/CY</t>
        </is>
      </c>
      <c r="AT290" t="inlineStr">
        <is>
          <t>REF000000</t>
        </is>
      </c>
      <c r="AU290" t="n">
        <v>20000</v>
      </c>
      <c r="AV290" t="inlineStr">
        <is>
          <t>CHEESE</t>
        </is>
      </c>
      <c r="AW290" t="inlineStr">
        <is>
          <t>HS-CODE: 04 06 40</t>
        </is>
      </c>
      <c r="AX290" t="inlineStr">
        <is>
          <t>RSAMI012600006</t>
        </is>
      </c>
      <c r="AZ290" t="n">
        <v>0</v>
      </c>
      <c r="BA290" t="n">
        <v>10</v>
      </c>
      <c r="BB290" t="n">
        <v>7</v>
      </c>
      <c r="BC290" t="n">
        <v>7950</v>
      </c>
      <c r="BD290" t="inlineStr">
        <is>
          <t>Yes</t>
        </is>
      </c>
      <c r="BF290" t="inlineStr">
        <is>
          <t>Bengal Tiger Line -BTL</t>
        </is>
      </c>
      <c r="BG290" t="inlineStr">
        <is>
          <t>RULED</t>
        </is>
      </c>
      <c r="BH290" t="n">
        <v>0</v>
      </c>
      <c r="BI290" t="n">
        <v>1</v>
      </c>
      <c r="BJ290" t="n">
        <v>7950</v>
      </c>
      <c r="BK290" t="inlineStr">
        <is>
          <t>LINE</t>
        </is>
      </c>
      <c r="BL290" t="inlineStr">
        <is>
          <t>TURTLE REEFER</t>
        </is>
      </c>
      <c r="BM290" t="inlineStr">
        <is>
          <t>TURTLE REEFER</t>
        </is>
      </c>
    </row>
    <row r="291">
      <c r="A291" t="n">
        <v>290</v>
      </c>
      <c r="B291" t="inlineStr">
        <is>
          <t>ORCA REEFER</t>
        </is>
      </c>
      <c r="C291" t="inlineStr">
        <is>
          <t>REF000000</t>
        </is>
      </c>
      <c r="D291" t="inlineStr">
        <is>
          <t>REF000000</t>
        </is>
      </c>
      <c r="E291" t="n">
        <v>46035</v>
      </c>
      <c r="F291" t="inlineStr">
        <is>
          <t>ORCA REEFER</t>
        </is>
      </c>
      <c r="G291" t="inlineStr">
        <is>
          <t>final reefer details should be collected and provided to carrier by agents of POL</t>
        </is>
      </c>
      <c r="H291" t="inlineStr">
        <is>
          <t>AdminAMI</t>
        </is>
      </c>
      <c r="J291" t="n">
        <v>46041</v>
      </c>
      <c r="K291" t="n">
        <v>46040</v>
      </c>
      <c r="L291" t="n">
        <v>46041</v>
      </c>
      <c r="M291" t="inlineStr">
        <is>
          <t>REF000000</t>
        </is>
      </c>
      <c r="N291" t="inlineStr">
        <is>
          <t>USSEA</t>
        </is>
      </c>
      <c r="O291" t="inlineStr">
        <is>
          <t>USSEA</t>
        </is>
      </c>
      <c r="P291" t="inlineStr">
        <is>
          <t>USNFK</t>
        </is>
      </c>
      <c r="U291" t="inlineStr">
        <is>
          <t>RULED</t>
        </is>
      </c>
      <c r="V291" t="inlineStr">
        <is>
          <t>RULED</t>
        </is>
      </c>
      <c r="W291" t="inlineStr">
        <is>
          <t>CANADA</t>
        </is>
      </c>
      <c r="X291" t="inlineStr">
        <is>
          <t>PERSIAN GULF</t>
        </is>
      </c>
      <c r="Y291" t="inlineStr">
        <is>
          <t>RUSSIA</t>
        </is>
      </c>
      <c r="Z291" t="inlineStr">
        <is>
          <t>External Review</t>
        </is>
      </c>
      <c r="AA291" t="inlineStr">
        <is>
          <t>HUB SHIPPING LLC-LED</t>
        </is>
      </c>
      <c r="AB291" t="inlineStr">
        <is>
          <t>Collect</t>
        </is>
      </c>
      <c r="AC291" t="inlineStr">
        <is>
          <t>TIGER PLATA/964N</t>
        </is>
      </c>
      <c r="AD291" t="inlineStr">
        <is>
          <t>LI DA XING / VOYAGE 1</t>
        </is>
      </c>
      <c r="AE291" t="inlineStr">
        <is>
          <t>LADEN BOOKING</t>
        </is>
      </c>
      <c r="AF291" t="inlineStr">
        <is>
          <t>RenniAMI</t>
        </is>
      </c>
      <c r="AG291" t="inlineStr">
        <is>
          <t>RH40</t>
        </is>
      </c>
      <c r="AH291" t="inlineStr">
        <is>
          <t>NO</t>
        </is>
      </c>
      <c r="AI291" t="n">
        <v>40</v>
      </c>
      <c r="AJ291" t="n">
        <v>0</v>
      </c>
      <c r="AK291" t="n">
        <v>1</v>
      </c>
      <c r="AL291" t="inlineStr">
        <is>
          <t>ANON0000000</t>
        </is>
      </c>
      <c r="AM291" t="n">
        <v>0</v>
      </c>
      <c r="AP291" t="inlineStr">
        <is>
          <t>Non Haz</t>
        </is>
      </c>
      <c r="AQ291" t="inlineStr">
        <is>
          <t>CY/CY</t>
        </is>
      </c>
      <c r="AT291" t="inlineStr">
        <is>
          <t>REF000000</t>
        </is>
      </c>
      <c r="AU291" t="n">
        <v>20000</v>
      </c>
      <c r="AV291" t="inlineStr">
        <is>
          <t>CHEESE</t>
        </is>
      </c>
      <c r="AW291" t="inlineStr">
        <is>
          <t>NCM 04 06 40</t>
        </is>
      </c>
      <c r="AX291" t="inlineStr">
        <is>
          <t>RSAMI012600006</t>
        </is>
      </c>
      <c r="AZ291" t="n">
        <v>0</v>
      </c>
      <c r="BA291" t="n">
        <v>10</v>
      </c>
      <c r="BB291" t="n">
        <v>7</v>
      </c>
      <c r="BC291" t="n">
        <v>7950</v>
      </c>
      <c r="BD291" t="inlineStr">
        <is>
          <t>Yes</t>
        </is>
      </c>
      <c r="BF291" t="inlineStr">
        <is>
          <t>Bengal Tiger Line -BTL</t>
        </is>
      </c>
      <c r="BG291" t="inlineStr">
        <is>
          <t>RULED</t>
        </is>
      </c>
      <c r="BH291" t="n">
        <v>0</v>
      </c>
      <c r="BI291" t="n">
        <v>1</v>
      </c>
      <c r="BJ291" t="n">
        <v>7950</v>
      </c>
      <c r="BK291" t="inlineStr">
        <is>
          <t>LINE</t>
        </is>
      </c>
      <c r="BL291" t="inlineStr">
        <is>
          <t>ORCA REEFER</t>
        </is>
      </c>
      <c r="BM291" t="inlineStr">
        <is>
          <t>ORCA REEFER</t>
        </is>
      </c>
    </row>
    <row r="292">
      <c r="A292" t="n">
        <v>291</v>
      </c>
      <c r="B292" t="inlineStr">
        <is>
          <t>WHALE REEFER</t>
        </is>
      </c>
      <c r="C292" t="inlineStr">
        <is>
          <t>REF000000</t>
        </is>
      </c>
      <c r="D292" t="inlineStr">
        <is>
          <t>REF000000</t>
        </is>
      </c>
      <c r="E292" t="n">
        <v>46035</v>
      </c>
      <c r="F292" t="inlineStr">
        <is>
          <t>WHALE REEFER</t>
        </is>
      </c>
      <c r="G292" t="inlineStr">
        <is>
          <t>1x40RH TEMP -18</t>
        </is>
      </c>
      <c r="H292" t="inlineStr">
        <is>
          <t>AR_MARTIMA</t>
        </is>
      </c>
      <c r="J292" t="n">
        <v>46041</v>
      </c>
      <c r="K292" t="n">
        <v>46040</v>
      </c>
      <c r="L292" t="n">
        <v>46041</v>
      </c>
      <c r="M292" t="inlineStr">
        <is>
          <t>REF000000</t>
        </is>
      </c>
      <c r="N292" t="inlineStr">
        <is>
          <t>USSEA</t>
        </is>
      </c>
      <c r="O292" t="inlineStr">
        <is>
          <t>USSEA</t>
        </is>
      </c>
      <c r="P292" t="inlineStr">
        <is>
          <t>USNFK</t>
        </is>
      </c>
      <c r="U292" t="inlineStr">
        <is>
          <t>RULED</t>
        </is>
      </c>
      <c r="V292" t="inlineStr">
        <is>
          <t>RULED</t>
        </is>
      </c>
      <c r="W292" t="inlineStr">
        <is>
          <t>CANADA</t>
        </is>
      </c>
      <c r="X292" t="inlineStr">
        <is>
          <t>PERSIAN GULF</t>
        </is>
      </c>
      <c r="Y292" t="inlineStr">
        <is>
          <t>RUSSIA</t>
        </is>
      </c>
      <c r="Z292" t="inlineStr">
        <is>
          <t>External Review</t>
        </is>
      </c>
      <c r="AA292" t="inlineStr">
        <is>
          <t>HUB SHIPPING LLC-LED</t>
        </is>
      </c>
      <c r="AB292" t="inlineStr">
        <is>
          <t>Prepaid</t>
        </is>
      </c>
      <c r="AC292" t="inlineStr">
        <is>
          <t>TIGER PLATA/964N</t>
        </is>
      </c>
      <c r="AD292" t="inlineStr">
        <is>
          <t>LI DA XING / VOYAGE 1</t>
        </is>
      </c>
      <c r="AE292" t="inlineStr">
        <is>
          <t>LADEN BOOKING</t>
        </is>
      </c>
      <c r="AF292" t="inlineStr">
        <is>
          <t>AR_MARTIMA</t>
        </is>
      </c>
      <c r="AG292" t="inlineStr">
        <is>
          <t>RH40</t>
        </is>
      </c>
      <c r="AH292" t="inlineStr">
        <is>
          <t>NO</t>
        </is>
      </c>
      <c r="AI292" t="n">
        <v>40</v>
      </c>
      <c r="AJ292" t="n">
        <v>0</v>
      </c>
      <c r="AK292" t="n">
        <v>1</v>
      </c>
      <c r="AL292" t="inlineStr">
        <is>
          <t>ANON0000000</t>
        </is>
      </c>
      <c r="AM292" t="n">
        <v>-18</v>
      </c>
      <c r="AP292" t="inlineStr">
        <is>
          <t>Non Haz</t>
        </is>
      </c>
      <c r="AQ292" t="inlineStr">
        <is>
          <t>CY/CY</t>
        </is>
      </c>
      <c r="AT292" t="inlineStr">
        <is>
          <t>REF000000</t>
        </is>
      </c>
      <c r="AU292" t="n">
        <v>29000</v>
      </c>
      <c r="AV292" t="inlineStr">
        <is>
          <t>FROZEN BONELESS BUFFALO MEAT</t>
        </is>
      </c>
      <c r="AW292" t="inlineStr">
        <is>
          <t>N.C.M.: 0206.22</t>
        </is>
      </c>
      <c r="AX292" t="inlineStr">
        <is>
          <t>RSAMI122500027</t>
        </is>
      </c>
      <c r="AZ292" t="n">
        <v>0</v>
      </c>
      <c r="BA292" t="n">
        <v>10</v>
      </c>
      <c r="BB292" t="n">
        <v>10</v>
      </c>
      <c r="BC292" t="n">
        <v>7300</v>
      </c>
      <c r="BD292" t="inlineStr">
        <is>
          <t>No</t>
        </is>
      </c>
      <c r="BF292" t="inlineStr">
        <is>
          <t>Bengal Tiger Line -BTL</t>
        </is>
      </c>
      <c r="BG292" t="inlineStr">
        <is>
          <t>USSEA</t>
        </is>
      </c>
      <c r="BH292" t="n">
        <v>0</v>
      </c>
      <c r="BI292" t="n">
        <v>1</v>
      </c>
      <c r="BJ292" t="n">
        <v>7300</v>
      </c>
      <c r="BK292" t="inlineStr">
        <is>
          <t>LINE</t>
        </is>
      </c>
      <c r="BL292" t="inlineStr">
        <is>
          <t>WHALE REEFER</t>
        </is>
      </c>
      <c r="BM292" t="inlineStr">
        <is>
          <t>WHALE REEFER</t>
        </is>
      </c>
    </row>
    <row r="293">
      <c r="A293" t="n">
        <v>292</v>
      </c>
      <c r="B293" t="inlineStr">
        <is>
          <t>SEAL REEFER</t>
        </is>
      </c>
      <c r="C293" t="inlineStr">
        <is>
          <t>REF000000</t>
        </is>
      </c>
      <c r="D293" t="inlineStr">
        <is>
          <t>REF000000</t>
        </is>
      </c>
      <c r="E293" t="n">
        <v>46035</v>
      </c>
      <c r="F293" t="inlineStr">
        <is>
          <t>SEAL REEFER</t>
        </is>
      </c>
      <c r="G293" t="inlineStr">
        <is>
          <t>1X40RH TEMP -18</t>
        </is>
      </c>
      <c r="H293" t="inlineStr">
        <is>
          <t>AR_MARTIMA</t>
        </is>
      </c>
      <c r="J293" t="n">
        <v>46041</v>
      </c>
      <c r="K293" t="n">
        <v>46040</v>
      </c>
      <c r="L293" t="n">
        <v>46041</v>
      </c>
      <c r="M293" t="inlineStr">
        <is>
          <t>REF000000</t>
        </is>
      </c>
      <c r="N293" t="inlineStr">
        <is>
          <t>USSEA</t>
        </is>
      </c>
      <c r="O293" t="inlineStr">
        <is>
          <t>USSEA</t>
        </is>
      </c>
      <c r="P293" t="inlineStr">
        <is>
          <t>USNFK</t>
        </is>
      </c>
      <c r="U293" t="inlineStr">
        <is>
          <t>RULED</t>
        </is>
      </c>
      <c r="V293" t="inlineStr">
        <is>
          <t>RULED</t>
        </is>
      </c>
      <c r="W293" t="inlineStr">
        <is>
          <t>CANADA</t>
        </is>
      </c>
      <c r="X293" t="inlineStr">
        <is>
          <t>PERSIAN GULF</t>
        </is>
      </c>
      <c r="Y293" t="inlineStr">
        <is>
          <t>RUSSIA</t>
        </is>
      </c>
      <c r="Z293" t="inlineStr">
        <is>
          <t>External Review</t>
        </is>
      </c>
      <c r="AA293" t="inlineStr">
        <is>
          <t>HUB SHIPPING LLC-LED</t>
        </is>
      </c>
      <c r="AB293" t="inlineStr">
        <is>
          <t>Prepaid</t>
        </is>
      </c>
      <c r="AC293" t="inlineStr">
        <is>
          <t>TIGER PLATA/964N</t>
        </is>
      </c>
      <c r="AD293" t="inlineStr">
        <is>
          <t>LI DA XING / VOYAGE 1</t>
        </is>
      </c>
      <c r="AE293" t="inlineStr">
        <is>
          <t>LADEN BOOKING</t>
        </is>
      </c>
      <c r="AF293" t="inlineStr">
        <is>
          <t>AR_MARTIMA</t>
        </is>
      </c>
      <c r="AG293" t="inlineStr">
        <is>
          <t>RH40</t>
        </is>
      </c>
      <c r="AH293" t="inlineStr">
        <is>
          <t>NO</t>
        </is>
      </c>
      <c r="AI293" t="n">
        <v>40</v>
      </c>
      <c r="AJ293" t="n">
        <v>0</v>
      </c>
      <c r="AK293" t="n">
        <v>1</v>
      </c>
      <c r="AL293" t="inlineStr">
        <is>
          <t>ANON0000000</t>
        </is>
      </c>
      <c r="AM293" t="n">
        <v>-18</v>
      </c>
      <c r="AP293" t="inlineStr">
        <is>
          <t>Non Haz</t>
        </is>
      </c>
      <c r="AQ293" t="inlineStr">
        <is>
          <t>CY/CY</t>
        </is>
      </c>
      <c r="AT293" t="inlineStr">
        <is>
          <t>REF000000</t>
        </is>
      </c>
      <c r="AU293" t="n">
        <v>29000</v>
      </c>
      <c r="AV293" t="inlineStr">
        <is>
          <t>FROZEN BONELESS BUFFALO MEAT</t>
        </is>
      </c>
      <c r="AW293" t="inlineStr">
        <is>
          <t>N.C.M.: 0206.22</t>
        </is>
      </c>
      <c r="AX293" t="inlineStr">
        <is>
          <t>RSAMI122500027</t>
        </is>
      </c>
      <c r="AZ293" t="n">
        <v>0</v>
      </c>
      <c r="BA293" t="n">
        <v>10</v>
      </c>
      <c r="BB293" t="n">
        <v>10</v>
      </c>
      <c r="BC293" t="n">
        <v>7300</v>
      </c>
      <c r="BD293" t="inlineStr">
        <is>
          <t>No</t>
        </is>
      </c>
      <c r="BF293" t="inlineStr">
        <is>
          <t>Bengal Tiger Line -BTL</t>
        </is>
      </c>
      <c r="BG293" t="inlineStr">
        <is>
          <t>USSEA</t>
        </is>
      </c>
      <c r="BH293" t="n">
        <v>0</v>
      </c>
      <c r="BI293" t="n">
        <v>1</v>
      </c>
      <c r="BJ293" t="n">
        <v>7300</v>
      </c>
      <c r="BK293" t="inlineStr">
        <is>
          <t>LINE</t>
        </is>
      </c>
      <c r="BL293" t="inlineStr">
        <is>
          <t>SEAL REEFER</t>
        </is>
      </c>
      <c r="BM293" t="inlineStr">
        <is>
          <t>SEAL REEFER</t>
        </is>
      </c>
    </row>
    <row r="294">
      <c r="A294" t="n">
        <v>293</v>
      </c>
      <c r="B294" t="inlineStr">
        <is>
          <t>SHARK REEFER</t>
        </is>
      </c>
      <c r="C294" t="inlineStr">
        <is>
          <t>REF000000</t>
        </is>
      </c>
      <c r="D294" t="inlineStr">
        <is>
          <t>REF000000</t>
        </is>
      </c>
      <c r="E294" t="n">
        <v>46035</v>
      </c>
      <c r="F294" t="inlineStr">
        <is>
          <t>SHARK REEFER</t>
        </is>
      </c>
      <c r="G294" t="inlineStr">
        <is>
          <t>1x40RH TEMP -18</t>
        </is>
      </c>
      <c r="H294" t="inlineStr">
        <is>
          <t>AR_MARTIMA</t>
        </is>
      </c>
      <c r="J294" t="n">
        <v>46041</v>
      </c>
      <c r="K294" t="n">
        <v>46040</v>
      </c>
      <c r="L294" t="n">
        <v>46041</v>
      </c>
      <c r="M294" t="inlineStr">
        <is>
          <t>REF000000</t>
        </is>
      </c>
      <c r="N294" t="inlineStr">
        <is>
          <t>USSEA</t>
        </is>
      </c>
      <c r="O294" t="inlineStr">
        <is>
          <t>USSEA</t>
        </is>
      </c>
      <c r="P294" t="inlineStr">
        <is>
          <t>USNFK</t>
        </is>
      </c>
      <c r="U294" t="inlineStr">
        <is>
          <t>RULED</t>
        </is>
      </c>
      <c r="V294" t="inlineStr">
        <is>
          <t>RULED</t>
        </is>
      </c>
      <c r="W294" t="inlineStr">
        <is>
          <t>CANADA</t>
        </is>
      </c>
      <c r="X294" t="inlineStr">
        <is>
          <t>PERSIAN GULF</t>
        </is>
      </c>
      <c r="Y294" t="inlineStr">
        <is>
          <t>RUSSIA</t>
        </is>
      </c>
      <c r="Z294" t="inlineStr">
        <is>
          <t>External Review</t>
        </is>
      </c>
      <c r="AA294" t="inlineStr">
        <is>
          <t>HUB SHIPPING LLC-LED</t>
        </is>
      </c>
      <c r="AB294" t="inlineStr">
        <is>
          <t>Prepaid</t>
        </is>
      </c>
      <c r="AC294" t="inlineStr">
        <is>
          <t>TIGER PLATA/964N</t>
        </is>
      </c>
      <c r="AD294" t="inlineStr">
        <is>
          <t>LI DA XING / VOYAGE 1</t>
        </is>
      </c>
      <c r="AE294" t="inlineStr">
        <is>
          <t>LADEN BOOKING</t>
        </is>
      </c>
      <c r="AF294" t="inlineStr">
        <is>
          <t>AR_MARTIMA</t>
        </is>
      </c>
      <c r="AG294" t="inlineStr">
        <is>
          <t>RH40</t>
        </is>
      </c>
      <c r="AH294" t="inlineStr">
        <is>
          <t>NO</t>
        </is>
      </c>
      <c r="AI294" t="n">
        <v>40</v>
      </c>
      <c r="AJ294" t="n">
        <v>0</v>
      </c>
      <c r="AK294" t="n">
        <v>1</v>
      </c>
      <c r="AL294" t="inlineStr">
        <is>
          <t>ANON0000000</t>
        </is>
      </c>
      <c r="AM294" t="n">
        <v>-18</v>
      </c>
      <c r="AP294" t="inlineStr">
        <is>
          <t>Non Haz</t>
        </is>
      </c>
      <c r="AQ294" t="inlineStr">
        <is>
          <t>CY/CY</t>
        </is>
      </c>
      <c r="AT294" t="inlineStr">
        <is>
          <t>REF000000</t>
        </is>
      </c>
      <c r="AU294" t="n">
        <v>29000</v>
      </c>
      <c r="AV294" t="inlineStr">
        <is>
          <t>FROZEN BONELESS BUFFALO MEAT</t>
        </is>
      </c>
      <c r="AW294" t="inlineStr">
        <is>
          <t>N.C.M.: 0206.21</t>
        </is>
      </c>
      <c r="AX294" t="inlineStr">
        <is>
          <t>RSAMI122500027</t>
        </is>
      </c>
      <c r="AZ294" t="n">
        <v>0</v>
      </c>
      <c r="BA294" t="n">
        <v>10</v>
      </c>
      <c r="BB294" t="n">
        <v>10</v>
      </c>
      <c r="BC294" t="n">
        <v>7300</v>
      </c>
      <c r="BD294" t="inlineStr">
        <is>
          <t>No</t>
        </is>
      </c>
      <c r="BF294" t="inlineStr">
        <is>
          <t>Bengal Tiger Line -BTL</t>
        </is>
      </c>
      <c r="BG294" t="inlineStr">
        <is>
          <t>USSEA</t>
        </is>
      </c>
      <c r="BH294" t="n">
        <v>0</v>
      </c>
      <c r="BI294" t="n">
        <v>1</v>
      </c>
      <c r="BJ294" t="n">
        <v>7300</v>
      </c>
      <c r="BK294" t="inlineStr">
        <is>
          <t>LINE</t>
        </is>
      </c>
      <c r="BL294" t="inlineStr">
        <is>
          <t>SHARK REEFER</t>
        </is>
      </c>
      <c r="BM294" t="inlineStr">
        <is>
          <t>SHARK REEFER</t>
        </is>
      </c>
    </row>
    <row r="295">
      <c r="A295" t="n">
        <v>294</v>
      </c>
      <c r="B295" t="inlineStr">
        <is>
          <t>DOLPHIN REEFER</t>
        </is>
      </c>
      <c r="C295" t="inlineStr">
        <is>
          <t>REF000000</t>
        </is>
      </c>
      <c r="D295" t="inlineStr">
        <is>
          <t>REF000000</t>
        </is>
      </c>
      <c r="E295" t="n">
        <v>46036</v>
      </c>
      <c r="F295" t="inlineStr">
        <is>
          <t>DOLPHIN REEFER</t>
        </is>
      </c>
      <c r="G295" t="inlineStr">
        <is>
          <t>1x40RH TEMP -18</t>
        </is>
      </c>
      <c r="H295" t="inlineStr">
        <is>
          <t>AR_MARTIMA</t>
        </is>
      </c>
      <c r="J295" t="n">
        <v>46041</v>
      </c>
      <c r="K295" t="n">
        <v>46040</v>
      </c>
      <c r="L295" t="n">
        <v>46041</v>
      </c>
      <c r="M295" t="inlineStr">
        <is>
          <t>REF000000</t>
        </is>
      </c>
      <c r="N295" t="inlineStr">
        <is>
          <t>USSEA</t>
        </is>
      </c>
      <c r="O295" t="inlineStr">
        <is>
          <t>USSEA</t>
        </is>
      </c>
      <c r="P295" t="inlineStr">
        <is>
          <t>USNFK</t>
        </is>
      </c>
      <c r="U295" t="inlineStr">
        <is>
          <t>RULED</t>
        </is>
      </c>
      <c r="V295" t="inlineStr">
        <is>
          <t>RULED</t>
        </is>
      </c>
      <c r="W295" t="inlineStr">
        <is>
          <t>CANADA</t>
        </is>
      </c>
      <c r="X295" t="inlineStr">
        <is>
          <t>PERSIAN GULF</t>
        </is>
      </c>
      <c r="Y295" t="inlineStr">
        <is>
          <t>RUSSIA</t>
        </is>
      </c>
      <c r="Z295" t="inlineStr">
        <is>
          <t>External Review</t>
        </is>
      </c>
      <c r="AA295" t="inlineStr">
        <is>
          <t>HUB SHIPPING LLC-LED</t>
        </is>
      </c>
      <c r="AB295" t="inlineStr">
        <is>
          <t>Prepaid</t>
        </is>
      </c>
      <c r="AC295" t="inlineStr">
        <is>
          <t>TIGER PLATA/964N</t>
        </is>
      </c>
      <c r="AD295" t="inlineStr">
        <is>
          <t>LI DA XING / VOYAGE 1</t>
        </is>
      </c>
      <c r="AE295" t="inlineStr">
        <is>
          <t>LADEN BOOKING</t>
        </is>
      </c>
      <c r="AF295" t="inlineStr">
        <is>
          <t>AR_MARTIMA</t>
        </is>
      </c>
      <c r="AG295" t="inlineStr">
        <is>
          <t>RH40</t>
        </is>
      </c>
      <c r="AH295" t="inlineStr">
        <is>
          <t>NO</t>
        </is>
      </c>
      <c r="AI295" t="n">
        <v>40</v>
      </c>
      <c r="AJ295" t="n">
        <v>0</v>
      </c>
      <c r="AK295" t="n">
        <v>1</v>
      </c>
      <c r="AL295" t="inlineStr">
        <is>
          <t>ANON0000000</t>
        </is>
      </c>
      <c r="AM295" t="n">
        <v>-18</v>
      </c>
      <c r="AP295" t="inlineStr">
        <is>
          <t>Non Haz</t>
        </is>
      </c>
      <c r="AQ295" t="inlineStr">
        <is>
          <t>CY/CY</t>
        </is>
      </c>
      <c r="AT295" t="inlineStr">
        <is>
          <t>REF000000</t>
        </is>
      </c>
      <c r="AU295" t="n">
        <v>29000</v>
      </c>
      <c r="AV295" t="inlineStr">
        <is>
          <t>FROZEN MEAT</t>
        </is>
      </c>
      <c r="AW295" t="inlineStr">
        <is>
          <t>NCM 020629</t>
        </is>
      </c>
      <c r="AX295" t="inlineStr">
        <is>
          <t>RSAMI122500031</t>
        </is>
      </c>
      <c r="AZ295" t="n">
        <v>0</v>
      </c>
      <c r="BA295" t="n">
        <v>10</v>
      </c>
      <c r="BB295" t="n">
        <v>10</v>
      </c>
      <c r="BC295" t="n">
        <v>6800</v>
      </c>
      <c r="BD295" t="inlineStr">
        <is>
          <t>No</t>
        </is>
      </c>
      <c r="BF295" t="inlineStr">
        <is>
          <t>Bengal Tiger Line -BTL</t>
        </is>
      </c>
      <c r="BG295" t="inlineStr">
        <is>
          <t>USSEA</t>
        </is>
      </c>
      <c r="BH295" t="n">
        <v>0</v>
      </c>
      <c r="BI295" t="n">
        <v>1</v>
      </c>
      <c r="BJ295" t="n">
        <v>6800</v>
      </c>
      <c r="BK295" t="inlineStr">
        <is>
          <t>LINE</t>
        </is>
      </c>
      <c r="BL295" t="inlineStr">
        <is>
          <t>DOLPHIN REEFER</t>
        </is>
      </c>
      <c r="BM295" t="inlineStr">
        <is>
          <t>DOLPHIN REEFER</t>
        </is>
      </c>
    </row>
    <row r="296">
      <c r="A296" t="n">
        <v>295</v>
      </c>
      <c r="B296" t="inlineStr">
        <is>
          <t>MARLIN REEFER</t>
        </is>
      </c>
      <c r="C296" t="inlineStr">
        <is>
          <t>REF000000</t>
        </is>
      </c>
      <c r="D296" t="inlineStr">
        <is>
          <t>REF000000</t>
        </is>
      </c>
      <c r="E296" t="n">
        <v>46036</v>
      </c>
      <c r="F296" t="inlineStr">
        <is>
          <t>MARLIN REEFER</t>
        </is>
      </c>
      <c r="G296" t="inlineStr">
        <is>
          <t>ENTERED THROUGH SPLIT BOOKING FROM THE BOOKING ID REF000000, BY AR_MARTIMA, ON 1/14/2026 4:51:51 PM</t>
        </is>
      </c>
      <c r="H296" t="inlineStr">
        <is>
          <t>AR_MARTIMA</t>
        </is>
      </c>
      <c r="J296" t="n">
        <v>46041</v>
      </c>
      <c r="K296" t="n">
        <v>46040</v>
      </c>
      <c r="L296" t="n">
        <v>46041</v>
      </c>
      <c r="M296" t="inlineStr">
        <is>
          <t>REF000000</t>
        </is>
      </c>
      <c r="N296" t="inlineStr">
        <is>
          <t>USSEA</t>
        </is>
      </c>
      <c r="O296" t="inlineStr">
        <is>
          <t>USSEA</t>
        </is>
      </c>
      <c r="P296" t="inlineStr">
        <is>
          <t>USNFK</t>
        </is>
      </c>
      <c r="U296" t="inlineStr">
        <is>
          <t>RULED</t>
        </is>
      </c>
      <c r="V296" t="inlineStr">
        <is>
          <t>RULED</t>
        </is>
      </c>
      <c r="W296" t="inlineStr">
        <is>
          <t>CANADA</t>
        </is>
      </c>
      <c r="X296" t="inlineStr">
        <is>
          <t>PERSIAN GULF</t>
        </is>
      </c>
      <c r="Y296" t="inlineStr">
        <is>
          <t>RUSSIA</t>
        </is>
      </c>
      <c r="Z296" t="inlineStr">
        <is>
          <t>External Review</t>
        </is>
      </c>
      <c r="AA296" t="inlineStr">
        <is>
          <t>HUB SHIPPING LLC-LED</t>
        </is>
      </c>
      <c r="AB296" t="inlineStr">
        <is>
          <t>Prepaid</t>
        </is>
      </c>
      <c r="AC296" t="inlineStr">
        <is>
          <t>TIGER PLATA/964N</t>
        </is>
      </c>
      <c r="AD296" t="inlineStr">
        <is>
          <t>LI DA XING / VOYAGE 1</t>
        </is>
      </c>
      <c r="AE296" t="inlineStr">
        <is>
          <t>LADEN BOOKING</t>
        </is>
      </c>
      <c r="AF296" t="inlineStr">
        <is>
          <t>AR_MARTIMA</t>
        </is>
      </c>
      <c r="AG296" t="inlineStr">
        <is>
          <t>RH40</t>
        </is>
      </c>
      <c r="AI296" t="n">
        <v>40</v>
      </c>
      <c r="AJ296" t="n">
        <v>0</v>
      </c>
      <c r="AK296" t="n">
        <v>1</v>
      </c>
      <c r="AL296" t="inlineStr">
        <is>
          <t>ANON0000000</t>
        </is>
      </c>
      <c r="AM296" t="n">
        <v>-18</v>
      </c>
      <c r="AP296" t="inlineStr">
        <is>
          <t>Non Haz</t>
        </is>
      </c>
      <c r="AQ296" t="inlineStr">
        <is>
          <t>CY/CY</t>
        </is>
      </c>
      <c r="AT296" t="inlineStr">
        <is>
          <t>REF000000</t>
        </is>
      </c>
      <c r="AU296" t="n">
        <v>29000</v>
      </c>
      <c r="AV296" t="inlineStr">
        <is>
          <t>FROZEN MEAT</t>
        </is>
      </c>
      <c r="AW296" t="inlineStr">
        <is>
          <t>NCM 020629</t>
        </is>
      </c>
      <c r="AX296" t="inlineStr">
        <is>
          <t>RSAMI122500031</t>
        </is>
      </c>
      <c r="AZ296" t="n">
        <v>0</v>
      </c>
      <c r="BA296" t="n">
        <v>10</v>
      </c>
      <c r="BB296" t="n">
        <v>10</v>
      </c>
      <c r="BC296" t="n">
        <v>6800</v>
      </c>
      <c r="BD296" t="inlineStr">
        <is>
          <t>No</t>
        </is>
      </c>
      <c r="BF296" t="inlineStr">
        <is>
          <t>Bengal Tiger Line -BTL</t>
        </is>
      </c>
      <c r="BG296" t="inlineStr">
        <is>
          <t>USSEA</t>
        </is>
      </c>
      <c r="BH296" t="n">
        <v>0</v>
      </c>
      <c r="BI296" t="n">
        <v>1</v>
      </c>
      <c r="BJ296" t="n">
        <v>6800</v>
      </c>
      <c r="BK296" t="inlineStr">
        <is>
          <t>LINE</t>
        </is>
      </c>
      <c r="BL296" t="inlineStr">
        <is>
          <t>MARLIN REEFER</t>
        </is>
      </c>
      <c r="BM296" t="inlineStr">
        <is>
          <t>MARLIN REEFER</t>
        </is>
      </c>
    </row>
    <row r="297">
      <c r="A297" t="n">
        <v>296</v>
      </c>
      <c r="B297" t="inlineStr">
        <is>
          <t>COYOTE DRY</t>
        </is>
      </c>
      <c r="C297" t="inlineStr">
        <is>
          <t>REF000000</t>
        </is>
      </c>
      <c r="D297" t="inlineStr">
        <is>
          <t>REF000000</t>
        </is>
      </c>
      <c r="E297" t="n">
        <v>46036</v>
      </c>
      <c r="F297" t="inlineStr">
        <is>
          <t>COYOTE DRY</t>
        </is>
      </c>
      <c r="G297" t="inlineStr">
        <is>
          <t>1X20DC USSEA - RULED</t>
        </is>
      </c>
      <c r="H297" t="inlineStr">
        <is>
          <t>AR_MARTIMA</t>
        </is>
      </c>
      <c r="J297" t="n">
        <v>46041</v>
      </c>
      <c r="K297" t="n">
        <v>46040</v>
      </c>
      <c r="L297" t="n">
        <v>46041</v>
      </c>
      <c r="M297" t="inlineStr">
        <is>
          <t>REF000000</t>
        </is>
      </c>
      <c r="N297" t="inlineStr">
        <is>
          <t>USSEA</t>
        </is>
      </c>
      <c r="O297" t="inlineStr">
        <is>
          <t>USSEA</t>
        </is>
      </c>
      <c r="P297" t="inlineStr">
        <is>
          <t>USNFK</t>
        </is>
      </c>
      <c r="U297" t="inlineStr">
        <is>
          <t>RULED</t>
        </is>
      </c>
      <c r="V297" t="inlineStr">
        <is>
          <t>RULED</t>
        </is>
      </c>
      <c r="W297" t="inlineStr">
        <is>
          <t>CANADA</t>
        </is>
      </c>
      <c r="X297" t="inlineStr">
        <is>
          <t>PERSIAN GULF</t>
        </is>
      </c>
      <c r="Y297" t="inlineStr">
        <is>
          <t>RUSSIA</t>
        </is>
      </c>
      <c r="Z297" t="inlineStr">
        <is>
          <t>External Review</t>
        </is>
      </c>
      <c r="AA297" t="inlineStr">
        <is>
          <t>HUB SHIPPING LLC-LED</t>
        </is>
      </c>
      <c r="AB297" t="inlineStr">
        <is>
          <t>Prepaid</t>
        </is>
      </c>
      <c r="AC297" t="inlineStr">
        <is>
          <t>TIGER PLATA/964N</t>
        </is>
      </c>
      <c r="AD297" t="inlineStr">
        <is>
          <t>LI DA XING / VOYAGE 1</t>
        </is>
      </c>
      <c r="AE297" t="inlineStr">
        <is>
          <t>LADEN BOOKING</t>
        </is>
      </c>
      <c r="AF297" t="inlineStr">
        <is>
          <t>AR_MARTIMA</t>
        </is>
      </c>
      <c r="AG297" t="inlineStr">
        <is>
          <t>DC20</t>
        </is>
      </c>
      <c r="AH297" t="inlineStr">
        <is>
          <t>NO</t>
        </is>
      </c>
      <c r="AI297" t="n">
        <v>20</v>
      </c>
      <c r="AJ297" t="n">
        <v>1</v>
      </c>
      <c r="AK297" t="n">
        <v>0</v>
      </c>
      <c r="AL297" t="inlineStr">
        <is>
          <t>ANON0000000</t>
        </is>
      </c>
      <c r="AP297" t="inlineStr">
        <is>
          <t>Non Haz</t>
        </is>
      </c>
      <c r="AQ297" t="inlineStr">
        <is>
          <t>CY/CY</t>
        </is>
      </c>
      <c r="AT297" t="inlineStr">
        <is>
          <t>REF000000</t>
        </is>
      </c>
      <c r="AU297" t="n">
        <v>27000</v>
      </c>
      <c r="AV297" t="inlineStr">
        <is>
          <t>GENERAL COMMODITY</t>
        </is>
      </c>
      <c r="AW297" t="inlineStr">
        <is>
          <t>NCM 0504.00.11.291R</t>
        </is>
      </c>
      <c r="AX297" t="inlineStr">
        <is>
          <t>RSAMI012600008</t>
        </is>
      </c>
      <c r="AZ297" t="n">
        <v>0</v>
      </c>
      <c r="BA297" t="n">
        <v>14</v>
      </c>
      <c r="BB297" t="n">
        <v>14</v>
      </c>
      <c r="BC297" t="n">
        <v>4000</v>
      </c>
      <c r="BD297" t="inlineStr">
        <is>
          <t>No</t>
        </is>
      </c>
      <c r="BF297" t="inlineStr">
        <is>
          <t>Bengal Tiger Line -BTL</t>
        </is>
      </c>
      <c r="BG297" t="inlineStr">
        <is>
          <t>USSEA</t>
        </is>
      </c>
      <c r="BH297" t="n">
        <v>1</v>
      </c>
      <c r="BI297" t="n">
        <v>0</v>
      </c>
      <c r="BJ297" t="n">
        <v>4000</v>
      </c>
      <c r="BK297" t="inlineStr">
        <is>
          <t>LINE</t>
        </is>
      </c>
      <c r="BL297" t="inlineStr">
        <is>
          <t>COYOTE DRY</t>
        </is>
      </c>
      <c r="BM297" t="inlineStr">
        <is>
          <t>COYOTE DRY</t>
        </is>
      </c>
    </row>
    <row r="298">
      <c r="A298" t="n">
        <v>297</v>
      </c>
      <c r="B298" t="inlineStr">
        <is>
          <t>ORCA REEFER</t>
        </is>
      </c>
      <c r="C298" t="inlineStr">
        <is>
          <t>REF000000</t>
        </is>
      </c>
      <c r="D298" t="inlineStr">
        <is>
          <t>REF000000</t>
        </is>
      </c>
      <c r="E298" t="n">
        <v>46037</v>
      </c>
      <c r="F298" t="inlineStr">
        <is>
          <t>ORCA REEFER</t>
        </is>
      </c>
      <c r="G298" t="inlineStr">
        <is>
          <t>1x40RH TEMP -18</t>
        </is>
      </c>
      <c r="H298" t="inlineStr">
        <is>
          <t>AR_MARTIMA</t>
        </is>
      </c>
      <c r="J298" t="n">
        <v>46041</v>
      </c>
      <c r="K298" t="n">
        <v>46040</v>
      </c>
      <c r="L298" t="n">
        <v>46041</v>
      </c>
      <c r="M298" t="inlineStr">
        <is>
          <t>REF000000</t>
        </is>
      </c>
      <c r="N298" t="inlineStr">
        <is>
          <t>USSEA</t>
        </is>
      </c>
      <c r="O298" t="inlineStr">
        <is>
          <t>USSEA</t>
        </is>
      </c>
      <c r="P298" t="inlineStr">
        <is>
          <t>USNFK</t>
        </is>
      </c>
      <c r="U298" t="inlineStr">
        <is>
          <t>RULED</t>
        </is>
      </c>
      <c r="V298" t="inlineStr">
        <is>
          <t>RULED</t>
        </is>
      </c>
      <c r="W298" t="inlineStr">
        <is>
          <t>CANADA</t>
        </is>
      </c>
      <c r="X298" t="inlineStr">
        <is>
          <t>PERSIAN GULF</t>
        </is>
      </c>
      <c r="Y298" t="inlineStr">
        <is>
          <t>RUSSIA</t>
        </is>
      </c>
      <c r="Z298" t="inlineStr">
        <is>
          <t>External Review</t>
        </is>
      </c>
      <c r="AA298" t="inlineStr">
        <is>
          <t>HUB SHIPPING LLC-LED</t>
        </is>
      </c>
      <c r="AB298" t="inlineStr">
        <is>
          <t>Prepaid</t>
        </is>
      </c>
      <c r="AC298" t="inlineStr">
        <is>
          <t>TIGER PLATA/964N</t>
        </is>
      </c>
      <c r="AD298" t="inlineStr">
        <is>
          <t>LI DA XING / VOYAGE 1</t>
        </is>
      </c>
      <c r="AE298" t="inlineStr">
        <is>
          <t>LADEN BOOKING</t>
        </is>
      </c>
      <c r="AF298" t="inlineStr">
        <is>
          <t>AR_MARTIMA</t>
        </is>
      </c>
      <c r="AG298" t="inlineStr">
        <is>
          <t>RH40</t>
        </is>
      </c>
      <c r="AH298" t="inlineStr">
        <is>
          <t>NO</t>
        </is>
      </c>
      <c r="AI298" t="n">
        <v>40</v>
      </c>
      <c r="AJ298" t="n">
        <v>0</v>
      </c>
      <c r="AK298" t="n">
        <v>1</v>
      </c>
      <c r="AL298" t="inlineStr">
        <is>
          <t>ANON0000000</t>
        </is>
      </c>
      <c r="AM298" t="n">
        <v>-18</v>
      </c>
      <c r="AP298" t="inlineStr">
        <is>
          <t>Non Haz</t>
        </is>
      </c>
      <c r="AQ298" t="inlineStr">
        <is>
          <t>CY/CY</t>
        </is>
      </c>
      <c r="AT298" t="inlineStr">
        <is>
          <t>REF000000</t>
        </is>
      </c>
      <c r="AU298" t="n">
        <v>29000</v>
      </c>
      <c r="AV298" t="inlineStr">
        <is>
          <t>FROZEN MEAT</t>
        </is>
      </c>
      <c r="AW298" t="inlineStr">
        <is>
          <t>NCM 020621</t>
        </is>
      </c>
      <c r="AX298" t="inlineStr">
        <is>
          <t>RSAMI122500031</t>
        </is>
      </c>
      <c r="AZ298" t="n">
        <v>0</v>
      </c>
      <c r="BA298" t="n">
        <v>10</v>
      </c>
      <c r="BB298" t="n">
        <v>10</v>
      </c>
      <c r="BC298" t="n">
        <v>6800</v>
      </c>
      <c r="BD298" t="inlineStr">
        <is>
          <t>No</t>
        </is>
      </c>
      <c r="BF298" t="inlineStr">
        <is>
          <t>Bengal Tiger Line -BTL</t>
        </is>
      </c>
      <c r="BG298" t="inlineStr">
        <is>
          <t>USSEA</t>
        </is>
      </c>
      <c r="BH298" t="n">
        <v>0</v>
      </c>
      <c r="BI298" t="n">
        <v>1</v>
      </c>
      <c r="BJ298" t="n">
        <v>6800</v>
      </c>
      <c r="BK298" t="inlineStr">
        <is>
          <t>LINE</t>
        </is>
      </c>
      <c r="BL298" t="inlineStr">
        <is>
          <t>ORCA REEFER</t>
        </is>
      </c>
      <c r="BM298" t="inlineStr">
        <is>
          <t>ORCA REEFER</t>
        </is>
      </c>
    </row>
    <row r="299">
      <c r="A299" t="n">
        <v>298</v>
      </c>
      <c r="B299" t="inlineStr">
        <is>
          <t>WHALE REEFER</t>
        </is>
      </c>
      <c r="C299" t="inlineStr">
        <is>
          <t>REF000000</t>
        </is>
      </c>
      <c r="D299" t="inlineStr">
        <is>
          <t>REF000000</t>
        </is>
      </c>
      <c r="E299" t="n">
        <v>46038</v>
      </c>
      <c r="F299" t="inlineStr">
        <is>
          <t>WHALE REEFER</t>
        </is>
      </c>
      <c r="G299" t="inlineStr">
        <is>
          <t>1x40RH TEMP -18</t>
        </is>
      </c>
      <c r="H299" t="inlineStr">
        <is>
          <t>AR_MARTIMA</t>
        </is>
      </c>
      <c r="J299" t="n">
        <v>46048</v>
      </c>
      <c r="K299" t="n">
        <v>46046</v>
      </c>
      <c r="L299" t="n">
        <v>46048</v>
      </c>
      <c r="M299" t="inlineStr">
        <is>
          <t>REF000000</t>
        </is>
      </c>
      <c r="N299" t="inlineStr">
        <is>
          <t>USSEA</t>
        </is>
      </c>
      <c r="O299" t="inlineStr">
        <is>
          <t>USSEA</t>
        </is>
      </c>
      <c r="P299" t="inlineStr">
        <is>
          <t>USNFK</t>
        </is>
      </c>
      <c r="U299" t="inlineStr">
        <is>
          <t>RULED</t>
        </is>
      </c>
      <c r="V299" t="inlineStr">
        <is>
          <t>RULED</t>
        </is>
      </c>
      <c r="W299" t="inlineStr">
        <is>
          <t>CANADA</t>
        </is>
      </c>
      <c r="X299" t="inlineStr">
        <is>
          <t>PERSIAN GULF</t>
        </is>
      </c>
      <c r="Y299" t="inlineStr">
        <is>
          <t>RUSSIA</t>
        </is>
      </c>
      <c r="Z299" t="inlineStr">
        <is>
          <t>External Review</t>
        </is>
      </c>
      <c r="AA299" t="inlineStr">
        <is>
          <t>HUB SHIPPING LLC-LED</t>
        </is>
      </c>
      <c r="AB299" t="inlineStr">
        <is>
          <t>Prepaid</t>
        </is>
      </c>
      <c r="AC299" t="inlineStr">
        <is>
          <t>TIGER PLATA/965N</t>
        </is>
      </c>
      <c r="AD299" t="inlineStr">
        <is>
          <t>LI DA XING / VOYAGE 1</t>
        </is>
      </c>
      <c r="AE299" t="inlineStr">
        <is>
          <t>LADEN BOOKING</t>
        </is>
      </c>
      <c r="AF299" t="inlineStr">
        <is>
          <t>AR_MARTIMA</t>
        </is>
      </c>
      <c r="AG299" t="inlineStr">
        <is>
          <t>RH40</t>
        </is>
      </c>
      <c r="AH299" t="inlineStr">
        <is>
          <t>NO</t>
        </is>
      </c>
      <c r="AI299" t="n">
        <v>40</v>
      </c>
      <c r="AJ299" t="n">
        <v>0</v>
      </c>
      <c r="AK299" t="n">
        <v>1</v>
      </c>
      <c r="AL299" t="inlineStr">
        <is>
          <t>ANON0000000</t>
        </is>
      </c>
      <c r="AM299" t="n">
        <v>-18</v>
      </c>
      <c r="AP299" t="inlineStr">
        <is>
          <t>Non Haz</t>
        </is>
      </c>
      <c r="AQ299" t="inlineStr">
        <is>
          <t>CY/CY</t>
        </is>
      </c>
      <c r="AT299" t="inlineStr">
        <is>
          <t>REF000000</t>
        </is>
      </c>
      <c r="AU299" t="n">
        <v>29000</v>
      </c>
      <c r="AV299" t="inlineStr">
        <is>
          <t>FROZEN BONELESS BUFFALO MEAT</t>
        </is>
      </c>
      <c r="AW299" t="inlineStr">
        <is>
          <t>N.C.M.: 0206.29</t>
        </is>
      </c>
      <c r="AX299" t="inlineStr">
        <is>
          <t>RSAMI122500027</t>
        </is>
      </c>
      <c r="AZ299" t="n">
        <v>0</v>
      </c>
      <c r="BA299" t="n">
        <v>10</v>
      </c>
      <c r="BB299" t="n">
        <v>10</v>
      </c>
      <c r="BC299" t="n">
        <v>7300</v>
      </c>
      <c r="BD299" t="inlineStr">
        <is>
          <t>No</t>
        </is>
      </c>
      <c r="BF299" t="inlineStr">
        <is>
          <t>Bengal Tiger Line -BTL</t>
        </is>
      </c>
      <c r="BG299" t="inlineStr">
        <is>
          <t>USSEA</t>
        </is>
      </c>
      <c r="BH299" t="n">
        <v>0</v>
      </c>
      <c r="BI299" t="n">
        <v>1</v>
      </c>
      <c r="BJ299" t="n">
        <v>7300</v>
      </c>
      <c r="BK299" t="inlineStr">
        <is>
          <t>LINE</t>
        </is>
      </c>
      <c r="BL299" t="inlineStr">
        <is>
          <t>WHALE REEFER</t>
        </is>
      </c>
      <c r="BM299" t="inlineStr">
        <is>
          <t>WHALE REEFER</t>
        </is>
      </c>
    </row>
    <row r="300">
      <c r="A300" t="n">
        <v>299</v>
      </c>
      <c r="B300" t="inlineStr">
        <is>
          <t>SEAL REEFER</t>
        </is>
      </c>
      <c r="C300" t="inlineStr">
        <is>
          <t>REF000000</t>
        </is>
      </c>
      <c r="D300" t="inlineStr">
        <is>
          <t>REF000000</t>
        </is>
      </c>
      <c r="E300" t="n">
        <v>46038</v>
      </c>
      <c r="F300" t="inlineStr">
        <is>
          <t>SEAL REEFER</t>
        </is>
      </c>
      <c r="G300" t="inlineStr">
        <is>
          <t>ENTERED THROUGH SPLIT BOOKING FROM THE BOOKING ID REF000000, BY AR_MARTIMA, ON 1/16/2026 11:37:05 PM</t>
        </is>
      </c>
      <c r="H300" t="inlineStr">
        <is>
          <t>AR_MARTIMA</t>
        </is>
      </c>
      <c r="J300" t="n">
        <v>46048</v>
      </c>
      <c r="K300" t="n">
        <v>46046</v>
      </c>
      <c r="L300" t="n">
        <v>46048</v>
      </c>
      <c r="M300" t="inlineStr">
        <is>
          <t>REF000000</t>
        </is>
      </c>
      <c r="N300" t="inlineStr">
        <is>
          <t>USSEA</t>
        </is>
      </c>
      <c r="O300" t="inlineStr">
        <is>
          <t>USSEA</t>
        </is>
      </c>
      <c r="P300" t="inlineStr">
        <is>
          <t>USNFK</t>
        </is>
      </c>
      <c r="U300" t="inlineStr">
        <is>
          <t>RULED</t>
        </is>
      </c>
      <c r="V300" t="inlineStr">
        <is>
          <t>RULED</t>
        </is>
      </c>
      <c r="W300" t="inlineStr">
        <is>
          <t>CANADA</t>
        </is>
      </c>
      <c r="X300" t="inlineStr">
        <is>
          <t>PERSIAN GULF</t>
        </is>
      </c>
      <c r="Y300" t="inlineStr">
        <is>
          <t>RUSSIA</t>
        </is>
      </c>
      <c r="Z300" t="inlineStr">
        <is>
          <t>External Review</t>
        </is>
      </c>
      <c r="AA300" t="inlineStr">
        <is>
          <t>HUB SHIPPING LLC-LED</t>
        </is>
      </c>
      <c r="AB300" t="inlineStr">
        <is>
          <t>Prepaid</t>
        </is>
      </c>
      <c r="AC300" t="inlineStr">
        <is>
          <t>TIGER PLATA/965N</t>
        </is>
      </c>
      <c r="AD300" t="inlineStr">
        <is>
          <t>LI DA XING / VOYAGE 1</t>
        </is>
      </c>
      <c r="AE300" t="inlineStr">
        <is>
          <t>LADEN BOOKING</t>
        </is>
      </c>
      <c r="AF300" t="inlineStr">
        <is>
          <t>AR_MARTIMA</t>
        </is>
      </c>
      <c r="AG300" t="inlineStr">
        <is>
          <t>RH40</t>
        </is>
      </c>
      <c r="AI300" t="n">
        <v>40</v>
      </c>
      <c r="AJ300" t="n">
        <v>0</v>
      </c>
      <c r="AK300" t="n">
        <v>1</v>
      </c>
      <c r="AL300" t="inlineStr">
        <is>
          <t>ANON0000000</t>
        </is>
      </c>
      <c r="AM300" t="n">
        <v>-18</v>
      </c>
      <c r="AP300" t="inlineStr">
        <is>
          <t>Non Haz</t>
        </is>
      </c>
      <c r="AQ300" t="inlineStr">
        <is>
          <t>CY/CY</t>
        </is>
      </c>
      <c r="AT300" t="inlineStr">
        <is>
          <t>REF000000</t>
        </is>
      </c>
      <c r="AU300" t="n">
        <v>29000</v>
      </c>
      <c r="AV300" t="inlineStr">
        <is>
          <t>FROZEN BONELESS BUFFALO MEAT</t>
        </is>
      </c>
      <c r="AW300" t="inlineStr">
        <is>
          <t>N.C.M.: 0206.29</t>
        </is>
      </c>
      <c r="AX300" t="inlineStr">
        <is>
          <t>RSAMI122500027</t>
        </is>
      </c>
      <c r="AZ300" t="n">
        <v>0</v>
      </c>
      <c r="BA300" t="n">
        <v>10</v>
      </c>
      <c r="BB300" t="n">
        <v>10</v>
      </c>
      <c r="BC300" t="n">
        <v>7300</v>
      </c>
      <c r="BD300" t="inlineStr">
        <is>
          <t>No</t>
        </is>
      </c>
      <c r="BF300" t="inlineStr">
        <is>
          <t>Bengal Tiger Line -BTL</t>
        </is>
      </c>
      <c r="BG300" t="inlineStr">
        <is>
          <t>USSEA</t>
        </is>
      </c>
      <c r="BH300" t="n">
        <v>0</v>
      </c>
      <c r="BI300" t="n">
        <v>1</v>
      </c>
      <c r="BJ300" t="n">
        <v>7300</v>
      </c>
      <c r="BK300" t="inlineStr">
        <is>
          <t>LINE</t>
        </is>
      </c>
      <c r="BL300" t="inlineStr">
        <is>
          <t>SEAL REEFER</t>
        </is>
      </c>
      <c r="BM300" t="inlineStr">
        <is>
          <t>SEAL REEFER</t>
        </is>
      </c>
    </row>
    <row r="301">
      <c r="A301" t="n">
        <v>300</v>
      </c>
      <c r="B301" t="inlineStr">
        <is>
          <t>SHARK REEFER</t>
        </is>
      </c>
      <c r="C301" t="inlineStr">
        <is>
          <t>REF000000</t>
        </is>
      </c>
      <c r="D301" t="inlineStr">
        <is>
          <t>REF000000</t>
        </is>
      </c>
      <c r="E301" t="n">
        <v>46038</v>
      </c>
      <c r="F301" t="inlineStr">
        <is>
          <t>SHARK REEFER</t>
        </is>
      </c>
      <c r="G301" t="inlineStr">
        <is>
          <t>ENTERED THROUGH SPLIT BOOKING FROM THE BOOKING ID REF000000, BY AR_MARTIMA, ON 1/16/2026 11:37:05 PM</t>
        </is>
      </c>
      <c r="H301" t="inlineStr">
        <is>
          <t>AR_MARTIMA</t>
        </is>
      </c>
      <c r="J301" t="n">
        <v>46048</v>
      </c>
      <c r="K301" t="n">
        <v>46046</v>
      </c>
      <c r="L301" t="n">
        <v>46048</v>
      </c>
      <c r="M301" t="inlineStr">
        <is>
          <t>REF000000</t>
        </is>
      </c>
      <c r="N301" t="inlineStr">
        <is>
          <t>USSEA</t>
        </is>
      </c>
      <c r="O301" t="inlineStr">
        <is>
          <t>USSEA</t>
        </is>
      </c>
      <c r="P301" t="inlineStr">
        <is>
          <t>USNFK</t>
        </is>
      </c>
      <c r="U301" t="inlineStr">
        <is>
          <t>RULED</t>
        </is>
      </c>
      <c r="V301" t="inlineStr">
        <is>
          <t>RULED</t>
        </is>
      </c>
      <c r="W301" t="inlineStr">
        <is>
          <t>CANADA</t>
        </is>
      </c>
      <c r="X301" t="inlineStr">
        <is>
          <t>PERSIAN GULF</t>
        </is>
      </c>
      <c r="Y301" t="inlineStr">
        <is>
          <t>RUSSIA</t>
        </is>
      </c>
      <c r="Z301" t="inlineStr">
        <is>
          <t>External Review</t>
        </is>
      </c>
      <c r="AA301" t="inlineStr">
        <is>
          <t>HUB SHIPPING LLC-LED</t>
        </is>
      </c>
      <c r="AB301" t="inlineStr">
        <is>
          <t>Prepaid</t>
        </is>
      </c>
      <c r="AC301" t="inlineStr">
        <is>
          <t>TIGER PLATA/965N</t>
        </is>
      </c>
      <c r="AD301" t="inlineStr">
        <is>
          <t>LI DA XING / VOYAGE 1</t>
        </is>
      </c>
      <c r="AE301" t="inlineStr">
        <is>
          <t>LADEN BOOKING</t>
        </is>
      </c>
      <c r="AF301" t="inlineStr">
        <is>
          <t>AR_MARTIMA</t>
        </is>
      </c>
      <c r="AG301" t="inlineStr">
        <is>
          <t>RH40</t>
        </is>
      </c>
      <c r="AI301" t="n">
        <v>40</v>
      </c>
      <c r="AJ301" t="n">
        <v>0</v>
      </c>
      <c r="AK301" t="n">
        <v>1</v>
      </c>
      <c r="AL301" t="inlineStr">
        <is>
          <t>ANON0000000</t>
        </is>
      </c>
      <c r="AM301" t="n">
        <v>-18</v>
      </c>
      <c r="AP301" t="inlineStr">
        <is>
          <t>Non Haz</t>
        </is>
      </c>
      <c r="AQ301" t="inlineStr">
        <is>
          <t>CY/CY</t>
        </is>
      </c>
      <c r="AT301" t="inlineStr">
        <is>
          <t>REF000000</t>
        </is>
      </c>
      <c r="AU301" t="n">
        <v>29000</v>
      </c>
      <c r="AV301" t="inlineStr">
        <is>
          <t>FROZEN BONELESS BUFFALO MEAT</t>
        </is>
      </c>
      <c r="AW301" t="inlineStr">
        <is>
          <t>N.C.M.: 0206.29</t>
        </is>
      </c>
      <c r="AX301" t="inlineStr">
        <is>
          <t>RSAMI122500027</t>
        </is>
      </c>
      <c r="AZ301" t="n">
        <v>0</v>
      </c>
      <c r="BA301" t="n">
        <v>10</v>
      </c>
      <c r="BB301" t="n">
        <v>10</v>
      </c>
      <c r="BC301" t="n">
        <v>7300</v>
      </c>
      <c r="BD301" t="inlineStr">
        <is>
          <t>No</t>
        </is>
      </c>
      <c r="BF301" t="inlineStr">
        <is>
          <t>Bengal Tiger Line -BTL</t>
        </is>
      </c>
      <c r="BG301" t="inlineStr">
        <is>
          <t>USSEA</t>
        </is>
      </c>
      <c r="BH301" t="n">
        <v>0</v>
      </c>
      <c r="BI301" t="n">
        <v>1</v>
      </c>
      <c r="BJ301" t="n">
        <v>7300</v>
      </c>
      <c r="BK301" t="inlineStr">
        <is>
          <t>LINE</t>
        </is>
      </c>
      <c r="BL301" t="inlineStr">
        <is>
          <t>SHARK REEFER</t>
        </is>
      </c>
      <c r="BM301" t="inlineStr">
        <is>
          <t>SHARK REEFER</t>
        </is>
      </c>
    </row>
    <row r="302">
      <c r="A302" t="n">
        <v>301</v>
      </c>
      <c r="B302" t="inlineStr">
        <is>
          <t>BISON DRY</t>
        </is>
      </c>
      <c r="C302" t="inlineStr">
        <is>
          <t>REF000000</t>
        </is>
      </c>
      <c r="D302" t="inlineStr">
        <is>
          <t>REF000000</t>
        </is>
      </c>
      <c r="E302" t="n">
        <v>46041</v>
      </c>
      <c r="F302" t="inlineStr">
        <is>
          <t>BISON DRY</t>
        </is>
      </c>
      <c r="H302" t="inlineStr">
        <is>
          <t>AdminAMI</t>
        </is>
      </c>
      <c r="J302" t="inlineStr">
        <is>
          <t>03-FEB-2026</t>
        </is>
      </c>
      <c r="K302" t="inlineStr">
        <is>
          <t>01-FEB-2026</t>
        </is>
      </c>
      <c r="L302" t="inlineStr">
        <is>
          <t>03-FEB-2026</t>
        </is>
      </c>
      <c r="M302" t="inlineStr">
        <is>
          <t>REF000000</t>
        </is>
      </c>
      <c r="N302" t="inlineStr">
        <is>
          <t>USSEA</t>
        </is>
      </c>
      <c r="O302" t="inlineStr">
        <is>
          <t>USSEA</t>
        </is>
      </c>
      <c r="P302" t="inlineStr">
        <is>
          <t>USNFK</t>
        </is>
      </c>
      <c r="U302" t="inlineStr">
        <is>
          <t>RULED</t>
        </is>
      </c>
      <c r="V302" t="inlineStr">
        <is>
          <t>RULED</t>
        </is>
      </c>
      <c r="W302" t="inlineStr">
        <is>
          <t>CANADA</t>
        </is>
      </c>
      <c r="X302" t="inlineStr">
        <is>
          <t>PERSIAN GULF</t>
        </is>
      </c>
      <c r="Y302" t="inlineStr">
        <is>
          <t>RUSSIA</t>
        </is>
      </c>
      <c r="Z302" t="inlineStr">
        <is>
          <t>External Review</t>
        </is>
      </c>
      <c r="AA302" t="inlineStr">
        <is>
          <t>HUB SHIPPING LLC-LED</t>
        </is>
      </c>
      <c r="AB302" t="inlineStr">
        <is>
          <t>Collect</t>
        </is>
      </c>
      <c r="AC302" t="inlineStr">
        <is>
          <t>TIGER PLATA/966N</t>
        </is>
      </c>
      <c r="AD302" t="inlineStr">
        <is>
          <t>LI DA XING / VOYAGE 1</t>
        </is>
      </c>
      <c r="AE302" t="inlineStr">
        <is>
          <t>LADEN BOOKING</t>
        </is>
      </c>
      <c r="AF302" t="inlineStr">
        <is>
          <t>RenniAMI</t>
        </is>
      </c>
      <c r="AG302" t="inlineStr">
        <is>
          <t>DC20</t>
        </is>
      </c>
      <c r="AH302" t="inlineStr">
        <is>
          <t>NO</t>
        </is>
      </c>
      <c r="AI302" t="n">
        <v>20</v>
      </c>
      <c r="AJ302" t="n">
        <v>1</v>
      </c>
      <c r="AK302" t="n">
        <v>0</v>
      </c>
      <c r="AL302" t="inlineStr">
        <is>
          <t>ANON0000000</t>
        </is>
      </c>
      <c r="AP302" t="inlineStr">
        <is>
          <t>Non Haz</t>
        </is>
      </c>
      <c r="AQ302" t="inlineStr">
        <is>
          <t>CY/CY</t>
        </is>
      </c>
      <c r="AT302" t="inlineStr">
        <is>
          <t>REF000000</t>
        </is>
      </c>
      <c r="AU302" t="n">
        <v>23000</v>
      </c>
      <c r="AV302" t="inlineStr">
        <is>
          <t>GENERAL COMMODITY</t>
        </is>
      </c>
      <c r="AW302" t="inlineStr">
        <is>
          <t>N.C.M.: 3812.20</t>
        </is>
      </c>
      <c r="AX302" t="inlineStr">
        <is>
          <t>MRG382802</t>
        </is>
      </c>
      <c r="AY302" t="inlineStr">
        <is>
          <t>LINE</t>
        </is>
      </c>
      <c r="AZ302" t="n">
        <v>0</v>
      </c>
      <c r="BA302" t="n">
        <v>14</v>
      </c>
      <c r="BB302" t="n">
        <v>14</v>
      </c>
      <c r="BC302" t="n">
        <v>4000</v>
      </c>
      <c r="BD302" t="inlineStr">
        <is>
          <t>Yes</t>
        </is>
      </c>
      <c r="BF302" t="inlineStr">
        <is>
          <t>Bengal Tiger Line -BTL</t>
        </is>
      </c>
      <c r="BG302" t="inlineStr">
        <is>
          <t>RULED</t>
        </is>
      </c>
      <c r="BH302" t="n">
        <v>1</v>
      </c>
      <c r="BI302" t="n">
        <v>0</v>
      </c>
      <c r="BJ302" t="n">
        <v>4000</v>
      </c>
      <c r="BK302" t="inlineStr">
        <is>
          <t>LINE</t>
        </is>
      </c>
      <c r="BL302" t="inlineStr">
        <is>
          <t>BISON DRY</t>
        </is>
      </c>
      <c r="BM302" t="inlineStr">
        <is>
          <t>BISON DRY</t>
        </is>
      </c>
    </row>
    <row r="303">
      <c r="A303" t="n">
        <v>302</v>
      </c>
      <c r="B303" t="inlineStr">
        <is>
          <t>MARLIN REEFER</t>
        </is>
      </c>
      <c r="C303" t="inlineStr">
        <is>
          <t>REF000000</t>
        </is>
      </c>
      <c r="D303" t="inlineStr">
        <is>
          <t>REF000000</t>
        </is>
      </c>
      <c r="E303" t="n">
        <v>46041</v>
      </c>
      <c r="F303" t="inlineStr">
        <is>
          <t>MARLIN REEFER</t>
        </is>
      </c>
      <c r="G303" t="inlineStr">
        <is>
          <t>1x40RH TEMP -18</t>
        </is>
      </c>
      <c r="H303" t="inlineStr">
        <is>
          <t>AR_MARTIMA</t>
        </is>
      </c>
      <c r="J303" t="n">
        <v>46048</v>
      </c>
      <c r="K303" t="n">
        <v>46046</v>
      </c>
      <c r="L303" t="n">
        <v>46048</v>
      </c>
      <c r="M303" t="inlineStr">
        <is>
          <t>REF000000</t>
        </is>
      </c>
      <c r="N303" t="inlineStr">
        <is>
          <t>USSEA</t>
        </is>
      </c>
      <c r="O303" t="inlineStr">
        <is>
          <t>USSEA</t>
        </is>
      </c>
      <c r="P303" t="inlineStr">
        <is>
          <t>USNFK</t>
        </is>
      </c>
      <c r="U303" t="inlineStr">
        <is>
          <t>RULED</t>
        </is>
      </c>
      <c r="V303" t="inlineStr">
        <is>
          <t>RULED</t>
        </is>
      </c>
      <c r="W303" t="inlineStr">
        <is>
          <t>CANADA</t>
        </is>
      </c>
      <c r="X303" t="inlineStr">
        <is>
          <t>PERSIAN GULF</t>
        </is>
      </c>
      <c r="Y303" t="inlineStr">
        <is>
          <t>RUSSIA</t>
        </is>
      </c>
      <c r="Z303" t="inlineStr">
        <is>
          <t>External Review</t>
        </is>
      </c>
      <c r="AA303" t="inlineStr">
        <is>
          <t>HUB SHIPPING LLC-LED</t>
        </is>
      </c>
      <c r="AB303" t="inlineStr">
        <is>
          <t>Prepaid</t>
        </is>
      </c>
      <c r="AC303" t="inlineStr">
        <is>
          <t>TIGER PLATA/965N</t>
        </is>
      </c>
      <c r="AD303" t="inlineStr">
        <is>
          <t>LI DA XING / VOYAGE 1</t>
        </is>
      </c>
      <c r="AE303" t="inlineStr">
        <is>
          <t>LADEN BOOKING</t>
        </is>
      </c>
      <c r="AF303" t="inlineStr">
        <is>
          <t>AR_MARTIMA</t>
        </is>
      </c>
      <c r="AG303" t="inlineStr">
        <is>
          <t>RH40</t>
        </is>
      </c>
      <c r="AH303" t="inlineStr">
        <is>
          <t>NO</t>
        </is>
      </c>
      <c r="AI303" t="n">
        <v>40</v>
      </c>
      <c r="AJ303" t="n">
        <v>0</v>
      </c>
      <c r="AK303" t="n">
        <v>1</v>
      </c>
      <c r="AL303" t="inlineStr">
        <is>
          <t>ANON0000000</t>
        </is>
      </c>
      <c r="AM303" t="n">
        <v>-18</v>
      </c>
      <c r="AP303" t="inlineStr">
        <is>
          <t>Non Haz</t>
        </is>
      </c>
      <c r="AQ303" t="inlineStr">
        <is>
          <t>CY/CY</t>
        </is>
      </c>
      <c r="AT303" t="inlineStr">
        <is>
          <t>REF000000</t>
        </is>
      </c>
      <c r="AU303" t="n">
        <v>29000</v>
      </c>
      <c r="AV303" t="inlineStr">
        <is>
          <t>FROZEN MEAT</t>
        </is>
      </c>
      <c r="AW303" t="inlineStr">
        <is>
          <t>NCM 020622</t>
        </is>
      </c>
      <c r="AX303" t="inlineStr">
        <is>
          <t>RSAMI122500031</t>
        </is>
      </c>
      <c r="AZ303" t="n">
        <v>0</v>
      </c>
      <c r="BA303" t="n">
        <v>10</v>
      </c>
      <c r="BB303" t="n">
        <v>10</v>
      </c>
      <c r="BC303" t="n">
        <v>6800</v>
      </c>
      <c r="BD303" t="inlineStr">
        <is>
          <t>No</t>
        </is>
      </c>
      <c r="BF303" t="inlineStr">
        <is>
          <t>Bengal Tiger Line -BTL</t>
        </is>
      </c>
      <c r="BG303" t="inlineStr">
        <is>
          <t>USSEA</t>
        </is>
      </c>
      <c r="BH303" t="n">
        <v>0</v>
      </c>
      <c r="BI303" t="n">
        <v>1</v>
      </c>
      <c r="BJ303" t="n">
        <v>6800</v>
      </c>
      <c r="BK303" t="inlineStr">
        <is>
          <t>LINE</t>
        </is>
      </c>
      <c r="BL303" t="inlineStr">
        <is>
          <t>MARLIN REEFER</t>
        </is>
      </c>
      <c r="BM303" t="inlineStr">
        <is>
          <t>MARLIN REEFER</t>
        </is>
      </c>
    </row>
    <row r="304">
      <c r="A304" t="n">
        <v>303</v>
      </c>
      <c r="B304" t="inlineStr">
        <is>
          <t>TURTLE REEFER</t>
        </is>
      </c>
      <c r="C304" t="inlineStr">
        <is>
          <t>REF000000</t>
        </is>
      </c>
      <c r="D304" t="inlineStr">
        <is>
          <t>REF000000</t>
        </is>
      </c>
      <c r="E304" t="n">
        <v>46041</v>
      </c>
      <c r="F304" t="inlineStr">
        <is>
          <t>TURTLE REEFER</t>
        </is>
      </c>
      <c r="G304" t="inlineStr">
        <is>
          <t>ENTERED THROUGH SPLIT BOOKING FROM THE BOOKING ID REF000000, BY AR_MARTIMA, ON 1/19/2026 4:57:47 PM</t>
        </is>
      </c>
      <c r="H304" t="inlineStr">
        <is>
          <t>AR_MARTIMA</t>
        </is>
      </c>
      <c r="J304" t="n">
        <v>46048</v>
      </c>
      <c r="K304" t="n">
        <v>46046</v>
      </c>
      <c r="L304" t="n">
        <v>46048</v>
      </c>
      <c r="M304" t="inlineStr">
        <is>
          <t>REF000000</t>
        </is>
      </c>
      <c r="N304" t="inlineStr">
        <is>
          <t>USSEA</t>
        </is>
      </c>
      <c r="O304" t="inlineStr">
        <is>
          <t>USSEA</t>
        </is>
      </c>
      <c r="P304" t="inlineStr">
        <is>
          <t>USNFK</t>
        </is>
      </c>
      <c r="U304" t="inlineStr">
        <is>
          <t>RULED</t>
        </is>
      </c>
      <c r="V304" t="inlineStr">
        <is>
          <t>RULED</t>
        </is>
      </c>
      <c r="W304" t="inlineStr">
        <is>
          <t>CANADA</t>
        </is>
      </c>
      <c r="X304" t="inlineStr">
        <is>
          <t>PERSIAN GULF</t>
        </is>
      </c>
      <c r="Y304" t="inlineStr">
        <is>
          <t>RUSSIA</t>
        </is>
      </c>
      <c r="Z304" t="inlineStr">
        <is>
          <t>External Review</t>
        </is>
      </c>
      <c r="AA304" t="inlineStr">
        <is>
          <t>HUB SHIPPING LLC-LED</t>
        </is>
      </c>
      <c r="AB304" t="inlineStr">
        <is>
          <t>Prepaid</t>
        </is>
      </c>
      <c r="AC304" t="inlineStr">
        <is>
          <t>TIGER PLATA/965N</t>
        </is>
      </c>
      <c r="AD304" t="inlineStr">
        <is>
          <t>LI DA XING / VOYAGE 1</t>
        </is>
      </c>
      <c r="AE304" t="inlineStr">
        <is>
          <t>LADEN BOOKING</t>
        </is>
      </c>
      <c r="AF304" t="inlineStr">
        <is>
          <t>AR_MARTIMA</t>
        </is>
      </c>
      <c r="AG304" t="inlineStr">
        <is>
          <t>RH40</t>
        </is>
      </c>
      <c r="AI304" t="n">
        <v>40</v>
      </c>
      <c r="AJ304" t="n">
        <v>0</v>
      </c>
      <c r="AK304" t="n">
        <v>1</v>
      </c>
      <c r="AL304" t="inlineStr">
        <is>
          <t>ANON0000000</t>
        </is>
      </c>
      <c r="AM304" t="n">
        <v>-18</v>
      </c>
      <c r="AP304" t="inlineStr">
        <is>
          <t>Non Haz</t>
        </is>
      </c>
      <c r="AQ304" t="inlineStr">
        <is>
          <t>CY/CY</t>
        </is>
      </c>
      <c r="AT304" t="inlineStr">
        <is>
          <t>REF000000</t>
        </is>
      </c>
      <c r="AU304" t="n">
        <v>29000</v>
      </c>
      <c r="AV304" t="inlineStr">
        <is>
          <t>FROZEN MEAT</t>
        </is>
      </c>
      <c r="AW304" t="inlineStr">
        <is>
          <t>NCM 020622</t>
        </is>
      </c>
      <c r="AX304" t="inlineStr">
        <is>
          <t>RSAMI122500031</t>
        </is>
      </c>
      <c r="AZ304" t="n">
        <v>0</v>
      </c>
      <c r="BA304" t="n">
        <v>10</v>
      </c>
      <c r="BB304" t="n">
        <v>10</v>
      </c>
      <c r="BC304" t="n">
        <v>6800</v>
      </c>
      <c r="BD304" t="inlineStr">
        <is>
          <t>No</t>
        </is>
      </c>
      <c r="BF304" t="inlineStr">
        <is>
          <t>Bengal Tiger Line -BTL</t>
        </is>
      </c>
      <c r="BG304" t="inlineStr">
        <is>
          <t>USSEA</t>
        </is>
      </c>
      <c r="BH304" t="n">
        <v>0</v>
      </c>
      <c r="BI304" t="n">
        <v>1</v>
      </c>
      <c r="BJ304" t="n">
        <v>6800</v>
      </c>
      <c r="BK304" t="inlineStr">
        <is>
          <t>LINE</t>
        </is>
      </c>
      <c r="BL304" t="inlineStr">
        <is>
          <t>TURTLE REEFER</t>
        </is>
      </c>
      <c r="BM304" t="inlineStr">
        <is>
          <t>TURTLE REEFER</t>
        </is>
      </c>
    </row>
    <row r="305">
      <c r="A305" t="n">
        <v>304</v>
      </c>
      <c r="B305" t="inlineStr">
        <is>
          <t>ORCA REEFER</t>
        </is>
      </c>
      <c r="C305" t="inlineStr">
        <is>
          <t>REF000000</t>
        </is>
      </c>
      <c r="D305" t="inlineStr">
        <is>
          <t>REF000000</t>
        </is>
      </c>
      <c r="E305" t="n">
        <v>46041</v>
      </c>
      <c r="F305" t="inlineStr">
        <is>
          <t>ORCA REEFER</t>
        </is>
      </c>
      <c r="G305" t="inlineStr">
        <is>
          <t>ENTERED THROUGH SPLIT BOOKING FROM THE BOOKING ID REF000000, BY AR_MARTIMA, ON 1/19/2026 4:57:47 PM</t>
        </is>
      </c>
      <c r="H305" t="inlineStr">
        <is>
          <t>AR_MARTIMA</t>
        </is>
      </c>
      <c r="J305" t="n">
        <v>46048</v>
      </c>
      <c r="K305" t="n">
        <v>46046</v>
      </c>
      <c r="L305" t="n">
        <v>46048</v>
      </c>
      <c r="M305" t="inlineStr">
        <is>
          <t>REF000000</t>
        </is>
      </c>
      <c r="N305" t="inlineStr">
        <is>
          <t>USSEA</t>
        </is>
      </c>
      <c r="O305" t="inlineStr">
        <is>
          <t>USSEA</t>
        </is>
      </c>
      <c r="P305" t="inlineStr">
        <is>
          <t>USNFK</t>
        </is>
      </c>
      <c r="U305" t="inlineStr">
        <is>
          <t>RULED</t>
        </is>
      </c>
      <c r="V305" t="inlineStr">
        <is>
          <t>RULED</t>
        </is>
      </c>
      <c r="W305" t="inlineStr">
        <is>
          <t>CANADA</t>
        </is>
      </c>
      <c r="X305" t="inlineStr">
        <is>
          <t>PERSIAN GULF</t>
        </is>
      </c>
      <c r="Y305" t="inlineStr">
        <is>
          <t>RUSSIA</t>
        </is>
      </c>
      <c r="Z305" t="inlineStr">
        <is>
          <t>External Review</t>
        </is>
      </c>
      <c r="AA305" t="inlineStr">
        <is>
          <t>HUB SHIPPING LLC-LED</t>
        </is>
      </c>
      <c r="AB305" t="inlineStr">
        <is>
          <t>Prepaid</t>
        </is>
      </c>
      <c r="AC305" t="inlineStr">
        <is>
          <t>TIGER PLATA/965N</t>
        </is>
      </c>
      <c r="AD305" t="inlineStr">
        <is>
          <t>LI DA XING / VOYAGE 1</t>
        </is>
      </c>
      <c r="AE305" t="inlineStr">
        <is>
          <t>LADEN BOOKING</t>
        </is>
      </c>
      <c r="AF305" t="inlineStr">
        <is>
          <t>AR_MARTIMA</t>
        </is>
      </c>
      <c r="AG305" t="inlineStr">
        <is>
          <t>RH40</t>
        </is>
      </c>
      <c r="AI305" t="n">
        <v>40</v>
      </c>
      <c r="AJ305" t="n">
        <v>0</v>
      </c>
      <c r="AK305" t="n">
        <v>1</v>
      </c>
      <c r="AL305" t="inlineStr">
        <is>
          <t>ANON0000000</t>
        </is>
      </c>
      <c r="AM305" t="n">
        <v>-18</v>
      </c>
      <c r="AP305" t="inlineStr">
        <is>
          <t>Non Haz</t>
        </is>
      </c>
      <c r="AQ305" t="inlineStr">
        <is>
          <t>CY/CY</t>
        </is>
      </c>
      <c r="AT305" t="inlineStr">
        <is>
          <t>REF000000</t>
        </is>
      </c>
      <c r="AU305" t="n">
        <v>29000</v>
      </c>
      <c r="AV305" t="inlineStr">
        <is>
          <t>FROZEN MEAT</t>
        </is>
      </c>
      <c r="AW305" t="inlineStr">
        <is>
          <t>NCM 020622</t>
        </is>
      </c>
      <c r="AX305" t="inlineStr">
        <is>
          <t>RSAMI122500031</t>
        </is>
      </c>
      <c r="AZ305" t="n">
        <v>0</v>
      </c>
      <c r="BA305" t="n">
        <v>10</v>
      </c>
      <c r="BB305" t="n">
        <v>10</v>
      </c>
      <c r="BC305" t="n">
        <v>6800</v>
      </c>
      <c r="BD305" t="inlineStr">
        <is>
          <t>No</t>
        </is>
      </c>
      <c r="BF305" t="inlineStr">
        <is>
          <t>Bengal Tiger Line -BTL</t>
        </is>
      </c>
      <c r="BG305" t="inlineStr">
        <is>
          <t>USSEA</t>
        </is>
      </c>
      <c r="BH305" t="n">
        <v>0</v>
      </c>
      <c r="BI305" t="n">
        <v>1</v>
      </c>
      <c r="BJ305" t="n">
        <v>6800</v>
      </c>
      <c r="BK305" t="inlineStr">
        <is>
          <t>LINE</t>
        </is>
      </c>
      <c r="BL305" t="inlineStr">
        <is>
          <t>ORCA REEFER</t>
        </is>
      </c>
      <c r="BM305" t="inlineStr">
        <is>
          <t>ORCA REEFER</t>
        </is>
      </c>
    </row>
    <row r="306">
      <c r="A306" t="n">
        <v>305</v>
      </c>
      <c r="B306" t="inlineStr">
        <is>
          <t>WHALE REEFER</t>
        </is>
      </c>
      <c r="C306" t="inlineStr">
        <is>
          <t>REF000000</t>
        </is>
      </c>
      <c r="D306" t="inlineStr">
        <is>
          <t>REF000000</t>
        </is>
      </c>
      <c r="E306" t="n">
        <v>46041</v>
      </c>
      <c r="F306" t="inlineStr">
        <is>
          <t>WHALE REEFER</t>
        </is>
      </c>
      <c r="G306" t="inlineStr">
        <is>
          <t>ENTERED THROUGH SPLIT BOOKING FROM THE BOOKING ID REF000000, BY AR_MARTIMA, ON 1/19/2026 4:57:48 PM</t>
        </is>
      </c>
      <c r="H306" t="inlineStr">
        <is>
          <t>AR_MARTIMA</t>
        </is>
      </c>
      <c r="J306" t="n">
        <v>46048</v>
      </c>
      <c r="K306" t="n">
        <v>46046</v>
      </c>
      <c r="L306" t="n">
        <v>46048</v>
      </c>
      <c r="M306" t="inlineStr">
        <is>
          <t>REF000000</t>
        </is>
      </c>
      <c r="N306" t="inlineStr">
        <is>
          <t>USSEA</t>
        </is>
      </c>
      <c r="O306" t="inlineStr">
        <is>
          <t>USSEA</t>
        </is>
      </c>
      <c r="P306" t="inlineStr">
        <is>
          <t>USNFK</t>
        </is>
      </c>
      <c r="U306" t="inlineStr">
        <is>
          <t>RULED</t>
        </is>
      </c>
      <c r="V306" t="inlineStr">
        <is>
          <t>RULED</t>
        </is>
      </c>
      <c r="W306" t="inlineStr">
        <is>
          <t>CANADA</t>
        </is>
      </c>
      <c r="X306" t="inlineStr">
        <is>
          <t>PERSIAN GULF</t>
        </is>
      </c>
      <c r="Y306" t="inlineStr">
        <is>
          <t>RUSSIA</t>
        </is>
      </c>
      <c r="Z306" t="inlineStr">
        <is>
          <t>External Review</t>
        </is>
      </c>
      <c r="AA306" t="inlineStr">
        <is>
          <t>HUB SHIPPING LLC-LED</t>
        </is>
      </c>
      <c r="AB306" t="inlineStr">
        <is>
          <t>Prepaid</t>
        </is>
      </c>
      <c r="AC306" t="inlineStr">
        <is>
          <t>TIGER PLATA/965N</t>
        </is>
      </c>
      <c r="AD306" t="inlineStr">
        <is>
          <t>LI DA XING / VOYAGE 1</t>
        </is>
      </c>
      <c r="AE306" t="inlineStr">
        <is>
          <t>LADEN BOOKING</t>
        </is>
      </c>
      <c r="AF306" t="inlineStr">
        <is>
          <t>AR_MARTIMA</t>
        </is>
      </c>
      <c r="AG306" t="inlineStr">
        <is>
          <t>RH40</t>
        </is>
      </c>
      <c r="AI306" t="n">
        <v>40</v>
      </c>
      <c r="AJ306" t="n">
        <v>0</v>
      </c>
      <c r="AK306" t="n">
        <v>1</v>
      </c>
      <c r="AL306" t="inlineStr">
        <is>
          <t>ANON0000000</t>
        </is>
      </c>
      <c r="AM306" t="n">
        <v>-18</v>
      </c>
      <c r="AP306" t="inlineStr">
        <is>
          <t>Non Haz</t>
        </is>
      </c>
      <c r="AQ306" t="inlineStr">
        <is>
          <t>CY/CY</t>
        </is>
      </c>
      <c r="AT306" t="inlineStr">
        <is>
          <t>REF000000</t>
        </is>
      </c>
      <c r="AU306" t="n">
        <v>29000</v>
      </c>
      <c r="AV306" t="inlineStr">
        <is>
          <t>FROZEN MEAT</t>
        </is>
      </c>
      <c r="AW306" t="inlineStr">
        <is>
          <t>NCM 020622</t>
        </is>
      </c>
      <c r="AX306" t="inlineStr">
        <is>
          <t>RSAMI122500031</t>
        </is>
      </c>
      <c r="AZ306" t="n">
        <v>0</v>
      </c>
      <c r="BA306" t="n">
        <v>10</v>
      </c>
      <c r="BB306" t="n">
        <v>10</v>
      </c>
      <c r="BC306" t="n">
        <v>6800</v>
      </c>
      <c r="BD306" t="inlineStr">
        <is>
          <t>No</t>
        </is>
      </c>
      <c r="BF306" t="inlineStr">
        <is>
          <t>Bengal Tiger Line -BTL</t>
        </is>
      </c>
      <c r="BG306" t="inlineStr">
        <is>
          <t>USSEA</t>
        </is>
      </c>
      <c r="BH306" t="n">
        <v>0</v>
      </c>
      <c r="BI306" t="n">
        <v>1</v>
      </c>
      <c r="BJ306" t="n">
        <v>6800</v>
      </c>
      <c r="BK306" t="inlineStr">
        <is>
          <t>LINE</t>
        </is>
      </c>
      <c r="BL306" t="inlineStr">
        <is>
          <t>WHALE REEFER</t>
        </is>
      </c>
      <c r="BM306" t="inlineStr">
        <is>
          <t>WHALE REEFER</t>
        </is>
      </c>
    </row>
    <row r="307">
      <c r="A307" t="n">
        <v>306</v>
      </c>
      <c r="B307" t="inlineStr">
        <is>
          <t>SEAL REEFER</t>
        </is>
      </c>
      <c r="C307" t="inlineStr">
        <is>
          <t>REF000000</t>
        </is>
      </c>
      <c r="D307" t="inlineStr">
        <is>
          <t>REF000000</t>
        </is>
      </c>
      <c r="E307" t="n">
        <v>46041</v>
      </c>
      <c r="F307" t="inlineStr">
        <is>
          <t>SEAL REEFER</t>
        </is>
      </c>
      <c r="G307" t="inlineStr">
        <is>
          <t>ENTERED THROUGH SPLIT BOOKING FROM THE BOOKING ID REF000000, BY AR_MARTIMA, ON 1/19/2026 4:57:48 PM</t>
        </is>
      </c>
      <c r="H307" t="inlineStr">
        <is>
          <t>AR_MARTIMA</t>
        </is>
      </c>
      <c r="J307" t="n">
        <v>46048</v>
      </c>
      <c r="K307" t="n">
        <v>46046</v>
      </c>
      <c r="L307" t="n">
        <v>46048</v>
      </c>
      <c r="M307" t="inlineStr">
        <is>
          <t>REF000000</t>
        </is>
      </c>
      <c r="N307" t="inlineStr">
        <is>
          <t>USSEA</t>
        </is>
      </c>
      <c r="O307" t="inlineStr">
        <is>
          <t>USSEA</t>
        </is>
      </c>
      <c r="P307" t="inlineStr">
        <is>
          <t>USNFK</t>
        </is>
      </c>
      <c r="U307" t="inlineStr">
        <is>
          <t>RULED</t>
        </is>
      </c>
      <c r="V307" t="inlineStr">
        <is>
          <t>RULED</t>
        </is>
      </c>
      <c r="W307" t="inlineStr">
        <is>
          <t>CANADA</t>
        </is>
      </c>
      <c r="X307" t="inlineStr">
        <is>
          <t>PERSIAN GULF</t>
        </is>
      </c>
      <c r="Y307" t="inlineStr">
        <is>
          <t>RUSSIA</t>
        </is>
      </c>
      <c r="Z307" t="inlineStr">
        <is>
          <t>External Review</t>
        </is>
      </c>
      <c r="AA307" t="inlineStr">
        <is>
          <t>HUB SHIPPING LLC-LED</t>
        </is>
      </c>
      <c r="AB307" t="inlineStr">
        <is>
          <t>Prepaid</t>
        </is>
      </c>
      <c r="AC307" t="inlineStr">
        <is>
          <t>TIGER PLATA/965N</t>
        </is>
      </c>
      <c r="AD307" t="inlineStr">
        <is>
          <t>LI DA XING / VOYAGE 1</t>
        </is>
      </c>
      <c r="AE307" t="inlineStr">
        <is>
          <t>LADEN BOOKING</t>
        </is>
      </c>
      <c r="AF307" t="inlineStr">
        <is>
          <t>AR_MARTIMA</t>
        </is>
      </c>
      <c r="AG307" t="inlineStr">
        <is>
          <t>RH40</t>
        </is>
      </c>
      <c r="AI307" t="n">
        <v>40</v>
      </c>
      <c r="AJ307" t="n">
        <v>0</v>
      </c>
      <c r="AK307" t="n">
        <v>1</v>
      </c>
      <c r="AL307" t="inlineStr">
        <is>
          <t>ANON0000000</t>
        </is>
      </c>
      <c r="AM307" t="n">
        <v>-18</v>
      </c>
      <c r="AP307" t="inlineStr">
        <is>
          <t>Non Haz</t>
        </is>
      </c>
      <c r="AQ307" t="inlineStr">
        <is>
          <t>CY/CY</t>
        </is>
      </c>
      <c r="AT307" t="inlineStr">
        <is>
          <t>REF000000</t>
        </is>
      </c>
      <c r="AU307" t="n">
        <v>29000</v>
      </c>
      <c r="AV307" t="inlineStr">
        <is>
          <t>FROZEN MEAT</t>
        </is>
      </c>
      <c r="AW307" t="inlineStr">
        <is>
          <t>NCM 020621</t>
        </is>
      </c>
      <c r="AX307" t="inlineStr">
        <is>
          <t>RSAMI122500031</t>
        </is>
      </c>
      <c r="AZ307" t="n">
        <v>0</v>
      </c>
      <c r="BA307" t="n">
        <v>10</v>
      </c>
      <c r="BB307" t="n">
        <v>10</v>
      </c>
      <c r="BC307" t="n">
        <v>6800</v>
      </c>
      <c r="BD307" t="inlineStr">
        <is>
          <t>No</t>
        </is>
      </c>
      <c r="BF307" t="inlineStr">
        <is>
          <t>Bengal Tiger Line -BTL</t>
        </is>
      </c>
      <c r="BG307" t="inlineStr">
        <is>
          <t>USSEA</t>
        </is>
      </c>
      <c r="BH307" t="n">
        <v>0</v>
      </c>
      <c r="BI307" t="n">
        <v>1</v>
      </c>
      <c r="BJ307" t="n">
        <v>6800</v>
      </c>
      <c r="BK307" t="inlineStr">
        <is>
          <t>LINE</t>
        </is>
      </c>
      <c r="BL307" t="inlineStr">
        <is>
          <t>SEAL REEFER</t>
        </is>
      </c>
      <c r="BM307" t="inlineStr">
        <is>
          <t>SEAL REEFER</t>
        </is>
      </c>
    </row>
    <row r="308">
      <c r="A308" t="n">
        <v>307</v>
      </c>
      <c r="B308" t="inlineStr">
        <is>
          <t>SHARK REEFER</t>
        </is>
      </c>
      <c r="C308" t="inlineStr">
        <is>
          <t>REF000000</t>
        </is>
      </c>
      <c r="D308" t="inlineStr">
        <is>
          <t>REF000000</t>
        </is>
      </c>
      <c r="E308" t="n">
        <v>46041</v>
      </c>
      <c r="F308" t="inlineStr">
        <is>
          <t>SHARK REEFER</t>
        </is>
      </c>
      <c r="G308" t="inlineStr">
        <is>
          <t>ENTERED THROUGH SPLIT BOOKING FROM THE BOOKING ID REF000000, BY AR_MARTIMA, ON 1/19/2026 4:57:48 PM</t>
        </is>
      </c>
      <c r="H308" t="inlineStr">
        <is>
          <t>AR_MARTIMA</t>
        </is>
      </c>
      <c r="J308" t="n">
        <v>46048</v>
      </c>
      <c r="K308" t="n">
        <v>46046</v>
      </c>
      <c r="L308" t="n">
        <v>46048</v>
      </c>
      <c r="M308" t="inlineStr">
        <is>
          <t>REF000000</t>
        </is>
      </c>
      <c r="N308" t="inlineStr">
        <is>
          <t>USSEA</t>
        </is>
      </c>
      <c r="O308" t="inlineStr">
        <is>
          <t>USSEA</t>
        </is>
      </c>
      <c r="P308" t="inlineStr">
        <is>
          <t>USNFK</t>
        </is>
      </c>
      <c r="U308" t="inlineStr">
        <is>
          <t>RULED</t>
        </is>
      </c>
      <c r="V308" t="inlineStr">
        <is>
          <t>RULED</t>
        </is>
      </c>
      <c r="W308" t="inlineStr">
        <is>
          <t>CANADA</t>
        </is>
      </c>
      <c r="X308" t="inlineStr">
        <is>
          <t>PERSIAN GULF</t>
        </is>
      </c>
      <c r="Y308" t="inlineStr">
        <is>
          <t>RUSSIA</t>
        </is>
      </c>
      <c r="Z308" t="inlineStr">
        <is>
          <t>External Review</t>
        </is>
      </c>
      <c r="AA308" t="inlineStr">
        <is>
          <t>HUB SHIPPING LLC-LED</t>
        </is>
      </c>
      <c r="AB308" t="inlineStr">
        <is>
          <t>Prepaid</t>
        </is>
      </c>
      <c r="AC308" t="inlineStr">
        <is>
          <t>TIGER PLATA/965N</t>
        </is>
      </c>
      <c r="AD308" t="inlineStr">
        <is>
          <t>LI DA XING / VOYAGE 1</t>
        </is>
      </c>
      <c r="AE308" t="inlineStr">
        <is>
          <t>LADEN BOOKING</t>
        </is>
      </c>
      <c r="AF308" t="inlineStr">
        <is>
          <t>AR_MARTIMA</t>
        </is>
      </c>
      <c r="AG308" t="inlineStr">
        <is>
          <t>RH40</t>
        </is>
      </c>
      <c r="AI308" t="n">
        <v>40</v>
      </c>
      <c r="AJ308" t="n">
        <v>0</v>
      </c>
      <c r="AK308" t="n">
        <v>1</v>
      </c>
      <c r="AL308" t="inlineStr">
        <is>
          <t>ANON0000000</t>
        </is>
      </c>
      <c r="AM308" t="n">
        <v>-18</v>
      </c>
      <c r="AP308" t="inlineStr">
        <is>
          <t>Non Haz</t>
        </is>
      </c>
      <c r="AQ308" t="inlineStr">
        <is>
          <t>CY/CY</t>
        </is>
      </c>
      <c r="AT308" t="inlineStr">
        <is>
          <t>REF000000</t>
        </is>
      </c>
      <c r="AU308" t="n">
        <v>29000</v>
      </c>
      <c r="AV308" t="inlineStr">
        <is>
          <t>FROZEN MEAT</t>
        </is>
      </c>
      <c r="AW308" t="inlineStr">
        <is>
          <t>NCM: 0206.29</t>
        </is>
      </c>
      <c r="AX308" t="inlineStr">
        <is>
          <t>RSAMI122500031</t>
        </is>
      </c>
      <c r="AZ308" t="n">
        <v>0</v>
      </c>
      <c r="BA308" t="n">
        <v>10</v>
      </c>
      <c r="BB308" t="n">
        <v>10</v>
      </c>
      <c r="BC308" t="n">
        <v>6800</v>
      </c>
      <c r="BD308" t="inlineStr">
        <is>
          <t>No</t>
        </is>
      </c>
      <c r="BF308" t="inlineStr">
        <is>
          <t>Bengal Tiger Line -BTL</t>
        </is>
      </c>
      <c r="BG308" t="inlineStr">
        <is>
          <t>USSEA</t>
        </is>
      </c>
      <c r="BH308" t="n">
        <v>0</v>
      </c>
      <c r="BI308" t="n">
        <v>1</v>
      </c>
      <c r="BJ308" t="n">
        <v>6800</v>
      </c>
      <c r="BK308" t="inlineStr">
        <is>
          <t>LINE</t>
        </is>
      </c>
      <c r="BL308" t="inlineStr">
        <is>
          <t>SHARK REEFER</t>
        </is>
      </c>
      <c r="BM308" t="inlineStr">
        <is>
          <t>SHARK REEFER</t>
        </is>
      </c>
    </row>
    <row r="309">
      <c r="A309" t="n">
        <v>308</v>
      </c>
      <c r="B309" t="inlineStr">
        <is>
          <t>DOLPHIN REEFER</t>
        </is>
      </c>
      <c r="C309" t="inlineStr">
        <is>
          <t>REF000000</t>
        </is>
      </c>
      <c r="D309" t="inlineStr">
        <is>
          <t>REF000000</t>
        </is>
      </c>
      <c r="E309" t="n">
        <v>46041</v>
      </c>
      <c r="F309" t="inlineStr">
        <is>
          <t>DOLPHIN REEFER</t>
        </is>
      </c>
      <c r="G309" t="inlineStr">
        <is>
          <t>ENTERED THROUGH SPLIT BOOKING FROM THE BOOKING ID REF000000, BY AR_MARTIMA, ON 1/19/2026 4:57:48 PM</t>
        </is>
      </c>
      <c r="H309" t="inlineStr">
        <is>
          <t>AR_MARTIMA</t>
        </is>
      </c>
      <c r="J309" t="n">
        <v>46048</v>
      </c>
      <c r="K309" t="n">
        <v>46046</v>
      </c>
      <c r="L309" t="n">
        <v>46048</v>
      </c>
      <c r="M309" t="inlineStr">
        <is>
          <t>REF000000</t>
        </is>
      </c>
      <c r="N309" t="inlineStr">
        <is>
          <t>USSEA</t>
        </is>
      </c>
      <c r="O309" t="inlineStr">
        <is>
          <t>USSEA</t>
        </is>
      </c>
      <c r="P309" t="inlineStr">
        <is>
          <t>USNFK</t>
        </is>
      </c>
      <c r="U309" t="inlineStr">
        <is>
          <t>RULED</t>
        </is>
      </c>
      <c r="V309" t="inlineStr">
        <is>
          <t>RULED</t>
        </is>
      </c>
      <c r="W309" t="inlineStr">
        <is>
          <t>CANADA</t>
        </is>
      </c>
      <c r="X309" t="inlineStr">
        <is>
          <t>PERSIAN GULF</t>
        </is>
      </c>
      <c r="Y309" t="inlineStr">
        <is>
          <t>RUSSIA</t>
        </is>
      </c>
      <c r="Z309" t="inlineStr">
        <is>
          <t>External Review</t>
        </is>
      </c>
      <c r="AA309" t="inlineStr">
        <is>
          <t>HUB SHIPPING LLC-LED</t>
        </is>
      </c>
      <c r="AB309" t="inlineStr">
        <is>
          <t>Prepaid</t>
        </is>
      </c>
      <c r="AC309" t="inlineStr">
        <is>
          <t>TIGER PLATA/965N</t>
        </is>
      </c>
      <c r="AD309" t="inlineStr">
        <is>
          <t>LI DA XING / VOYAGE 1</t>
        </is>
      </c>
      <c r="AE309" t="inlineStr">
        <is>
          <t>LADEN BOOKING</t>
        </is>
      </c>
      <c r="AF309" t="inlineStr">
        <is>
          <t>AR_MARTIMA</t>
        </is>
      </c>
      <c r="AG309" t="inlineStr">
        <is>
          <t>RH40</t>
        </is>
      </c>
      <c r="AI309" t="n">
        <v>40</v>
      </c>
      <c r="AJ309" t="n">
        <v>0</v>
      </c>
      <c r="AK309" t="n">
        <v>1</v>
      </c>
      <c r="AL309" t="inlineStr">
        <is>
          <t>ANON0000000</t>
        </is>
      </c>
      <c r="AM309" t="n">
        <v>-18</v>
      </c>
      <c r="AP309" t="inlineStr">
        <is>
          <t>Non Haz</t>
        </is>
      </c>
      <c r="AQ309" t="inlineStr">
        <is>
          <t>CY/CY</t>
        </is>
      </c>
      <c r="AT309" t="inlineStr">
        <is>
          <t>REF000000</t>
        </is>
      </c>
      <c r="AU309" t="n">
        <v>29000</v>
      </c>
      <c r="AV309" t="inlineStr">
        <is>
          <t>FROZEN MEAT</t>
        </is>
      </c>
      <c r="AW309" t="inlineStr">
        <is>
          <t>NCM 020622</t>
        </is>
      </c>
      <c r="AX309" t="inlineStr">
        <is>
          <t>RSAMI122500031</t>
        </is>
      </c>
      <c r="AZ309" t="n">
        <v>0</v>
      </c>
      <c r="BA309" t="n">
        <v>10</v>
      </c>
      <c r="BB309" t="n">
        <v>10</v>
      </c>
      <c r="BC309" t="n">
        <v>6800</v>
      </c>
      <c r="BD309" t="inlineStr">
        <is>
          <t>No</t>
        </is>
      </c>
      <c r="BF309" t="inlineStr">
        <is>
          <t>Bengal Tiger Line -BTL</t>
        </is>
      </c>
      <c r="BG309" t="inlineStr">
        <is>
          <t>USSEA</t>
        </is>
      </c>
      <c r="BH309" t="n">
        <v>0</v>
      </c>
      <c r="BI309" t="n">
        <v>1</v>
      </c>
      <c r="BJ309" t="n">
        <v>6800</v>
      </c>
      <c r="BK309" t="inlineStr">
        <is>
          <t>LINE</t>
        </is>
      </c>
      <c r="BL309" t="inlineStr">
        <is>
          <t>DOLPHIN REEFER</t>
        </is>
      </c>
      <c r="BM309" t="inlineStr">
        <is>
          <t>DOLPHIN REEFER</t>
        </is>
      </c>
    </row>
    <row r="310">
      <c r="A310" t="n">
        <v>309</v>
      </c>
      <c r="B310" t="inlineStr">
        <is>
          <t>MARLIN REEFER</t>
        </is>
      </c>
      <c r="C310" t="inlineStr">
        <is>
          <t>REF000000</t>
        </is>
      </c>
      <c r="D310" t="inlineStr">
        <is>
          <t>REF000000</t>
        </is>
      </c>
      <c r="E310" t="n">
        <v>46041</v>
      </c>
      <c r="F310" t="inlineStr">
        <is>
          <t>MARLIN REEFER</t>
        </is>
      </c>
      <c r="G310" t="inlineStr">
        <is>
          <t>ENTERED THROUGH SPLIT BOOKING FROM THE BOOKING ID REF000000, BY AR_MARTIMA, ON 1/19/2026 4:57:48 PM</t>
        </is>
      </c>
      <c r="H310" t="inlineStr">
        <is>
          <t>AR_MARTIMA</t>
        </is>
      </c>
      <c r="J310" t="n">
        <v>46048</v>
      </c>
      <c r="K310" t="n">
        <v>46046</v>
      </c>
      <c r="L310" t="n">
        <v>46048</v>
      </c>
      <c r="M310" t="inlineStr">
        <is>
          <t>REF000000</t>
        </is>
      </c>
      <c r="N310" t="inlineStr">
        <is>
          <t>USSEA</t>
        </is>
      </c>
      <c r="O310" t="inlineStr">
        <is>
          <t>USSEA</t>
        </is>
      </c>
      <c r="P310" t="inlineStr">
        <is>
          <t>USNFK</t>
        </is>
      </c>
      <c r="U310" t="inlineStr">
        <is>
          <t>RULED</t>
        </is>
      </c>
      <c r="V310" t="inlineStr">
        <is>
          <t>RULED</t>
        </is>
      </c>
      <c r="W310" t="inlineStr">
        <is>
          <t>CANADA</t>
        </is>
      </c>
      <c r="X310" t="inlineStr">
        <is>
          <t>PERSIAN GULF</t>
        </is>
      </c>
      <c r="Y310" t="inlineStr">
        <is>
          <t>RUSSIA</t>
        </is>
      </c>
      <c r="Z310" t="inlineStr">
        <is>
          <t>External Review</t>
        </is>
      </c>
      <c r="AA310" t="inlineStr">
        <is>
          <t>HUB SHIPPING LLC-LED</t>
        </is>
      </c>
      <c r="AB310" t="inlineStr">
        <is>
          <t>Prepaid</t>
        </is>
      </c>
      <c r="AC310" t="inlineStr">
        <is>
          <t>TIGER PLATA/965N</t>
        </is>
      </c>
      <c r="AD310" t="inlineStr">
        <is>
          <t>LI DA XING / VOYAGE 1</t>
        </is>
      </c>
      <c r="AE310" t="inlineStr">
        <is>
          <t>LADEN BOOKING</t>
        </is>
      </c>
      <c r="AF310" t="inlineStr">
        <is>
          <t>AR_MARTIMA</t>
        </is>
      </c>
      <c r="AG310" t="inlineStr">
        <is>
          <t>RH40</t>
        </is>
      </c>
      <c r="AI310" t="n">
        <v>40</v>
      </c>
      <c r="AJ310" t="n">
        <v>0</v>
      </c>
      <c r="AK310" t="n">
        <v>1</v>
      </c>
      <c r="AL310" t="inlineStr">
        <is>
          <t>ANON0000000</t>
        </is>
      </c>
      <c r="AM310" t="n">
        <v>-18</v>
      </c>
      <c r="AP310" t="inlineStr">
        <is>
          <t>Non Haz</t>
        </is>
      </c>
      <c r="AQ310" t="inlineStr">
        <is>
          <t>CY/CY</t>
        </is>
      </c>
      <c r="AT310" t="inlineStr">
        <is>
          <t>REF000000</t>
        </is>
      </c>
      <c r="AU310" t="n">
        <v>29000</v>
      </c>
      <c r="AV310" t="inlineStr">
        <is>
          <t>FROZEN MEAT</t>
        </is>
      </c>
      <c r="AW310" t="inlineStr">
        <is>
          <t>NCM 020622</t>
        </is>
      </c>
      <c r="AX310" t="inlineStr">
        <is>
          <t>RSAMI122500031</t>
        </is>
      </c>
      <c r="AZ310" t="n">
        <v>0</v>
      </c>
      <c r="BA310" t="n">
        <v>10</v>
      </c>
      <c r="BB310" t="n">
        <v>10</v>
      </c>
      <c r="BC310" t="n">
        <v>6800</v>
      </c>
      <c r="BD310" t="inlineStr">
        <is>
          <t>No</t>
        </is>
      </c>
      <c r="BF310" t="inlineStr">
        <is>
          <t>Bengal Tiger Line -BTL</t>
        </is>
      </c>
      <c r="BG310" t="inlineStr">
        <is>
          <t>USSEA</t>
        </is>
      </c>
      <c r="BH310" t="n">
        <v>0</v>
      </c>
      <c r="BI310" t="n">
        <v>1</v>
      </c>
      <c r="BJ310" t="n">
        <v>6800</v>
      </c>
      <c r="BK310" t="inlineStr">
        <is>
          <t>LINE</t>
        </is>
      </c>
      <c r="BL310" t="inlineStr">
        <is>
          <t>MARLIN REEFER</t>
        </is>
      </c>
      <c r="BM310" t="inlineStr">
        <is>
          <t>MARLIN REEFER</t>
        </is>
      </c>
    </row>
    <row r="311">
      <c r="A311" t="n">
        <v>310</v>
      </c>
      <c r="B311" t="inlineStr">
        <is>
          <t>TURTLE REEFER</t>
        </is>
      </c>
      <c r="C311" t="inlineStr">
        <is>
          <t>REF000000</t>
        </is>
      </c>
      <c r="D311" t="inlineStr">
        <is>
          <t>REF000000</t>
        </is>
      </c>
      <c r="E311" t="n">
        <v>46041</v>
      </c>
      <c r="F311" t="inlineStr">
        <is>
          <t>TURTLE REEFER</t>
        </is>
      </c>
      <c r="G311" t="inlineStr">
        <is>
          <t>ENTERED THROUGH SPLIT BOOKING FROM THE BOOKING ID REF000000, BY AR_MARTIMA, ON 1/19/2026 4:57:48 PM</t>
        </is>
      </c>
      <c r="H311" t="inlineStr">
        <is>
          <t>AR_MARTIMA</t>
        </is>
      </c>
      <c r="J311" t="n">
        <v>46048</v>
      </c>
      <c r="K311" t="n">
        <v>46046</v>
      </c>
      <c r="L311" t="n">
        <v>46048</v>
      </c>
      <c r="M311" t="inlineStr">
        <is>
          <t>REF000000</t>
        </is>
      </c>
      <c r="N311" t="inlineStr">
        <is>
          <t>USSEA</t>
        </is>
      </c>
      <c r="O311" t="inlineStr">
        <is>
          <t>USSEA</t>
        </is>
      </c>
      <c r="P311" t="inlineStr">
        <is>
          <t>USNFK</t>
        </is>
      </c>
      <c r="U311" t="inlineStr">
        <is>
          <t>RULED</t>
        </is>
      </c>
      <c r="V311" t="inlineStr">
        <is>
          <t>RULED</t>
        </is>
      </c>
      <c r="W311" t="inlineStr">
        <is>
          <t>CANADA</t>
        </is>
      </c>
      <c r="X311" t="inlineStr">
        <is>
          <t>PERSIAN GULF</t>
        </is>
      </c>
      <c r="Y311" t="inlineStr">
        <is>
          <t>RUSSIA</t>
        </is>
      </c>
      <c r="Z311" t="inlineStr">
        <is>
          <t>External Review</t>
        </is>
      </c>
      <c r="AA311" t="inlineStr">
        <is>
          <t>HUB SHIPPING LLC-LED</t>
        </is>
      </c>
      <c r="AB311" t="inlineStr">
        <is>
          <t>Prepaid</t>
        </is>
      </c>
      <c r="AC311" t="inlineStr">
        <is>
          <t>TIGER PLATA/965N</t>
        </is>
      </c>
      <c r="AD311" t="inlineStr">
        <is>
          <t>LI DA XING / VOYAGE 1</t>
        </is>
      </c>
      <c r="AE311" t="inlineStr">
        <is>
          <t>LADEN BOOKING</t>
        </is>
      </c>
      <c r="AF311" t="inlineStr">
        <is>
          <t>AR_MARTIMA</t>
        </is>
      </c>
      <c r="AG311" t="inlineStr">
        <is>
          <t>RH40</t>
        </is>
      </c>
      <c r="AI311" t="n">
        <v>40</v>
      </c>
      <c r="AJ311" t="n">
        <v>0</v>
      </c>
      <c r="AK311" t="n">
        <v>1</v>
      </c>
      <c r="AL311" t="inlineStr">
        <is>
          <t>ANON0000000</t>
        </is>
      </c>
      <c r="AM311" t="n">
        <v>-18</v>
      </c>
      <c r="AP311" t="inlineStr">
        <is>
          <t>Non Haz</t>
        </is>
      </c>
      <c r="AQ311" t="inlineStr">
        <is>
          <t>CY/CY</t>
        </is>
      </c>
      <c r="AT311" t="inlineStr">
        <is>
          <t>REF000000</t>
        </is>
      </c>
      <c r="AU311" t="n">
        <v>29000</v>
      </c>
      <c r="AV311" t="inlineStr">
        <is>
          <t>FROZEN MEAT</t>
        </is>
      </c>
      <c r="AW311" t="inlineStr">
        <is>
          <t>NCM 020629</t>
        </is>
      </c>
      <c r="AX311" t="inlineStr">
        <is>
          <t>RSAMI122500031</t>
        </is>
      </c>
      <c r="AZ311" t="n">
        <v>0</v>
      </c>
      <c r="BA311" t="n">
        <v>10</v>
      </c>
      <c r="BB311" t="n">
        <v>10</v>
      </c>
      <c r="BC311" t="n">
        <v>6800</v>
      </c>
      <c r="BD311" t="inlineStr">
        <is>
          <t>No</t>
        </is>
      </c>
      <c r="BF311" t="inlineStr">
        <is>
          <t>Bengal Tiger Line -BTL</t>
        </is>
      </c>
      <c r="BG311" t="inlineStr">
        <is>
          <t>USSEA</t>
        </is>
      </c>
      <c r="BH311" t="n">
        <v>0</v>
      </c>
      <c r="BI311" t="n">
        <v>1</v>
      </c>
      <c r="BJ311" t="n">
        <v>6800</v>
      </c>
      <c r="BK311" t="inlineStr">
        <is>
          <t>LINE</t>
        </is>
      </c>
      <c r="BL311" t="inlineStr">
        <is>
          <t>TURTLE REEFER</t>
        </is>
      </c>
      <c r="BM311" t="inlineStr">
        <is>
          <t>TURTLE REEFER</t>
        </is>
      </c>
    </row>
    <row r="312">
      <c r="A312" t="n">
        <v>311</v>
      </c>
      <c r="B312" t="inlineStr">
        <is>
          <t>ORCA REEFER</t>
        </is>
      </c>
      <c r="C312" t="inlineStr">
        <is>
          <t>REF000000</t>
        </is>
      </c>
      <c r="D312" t="inlineStr">
        <is>
          <t>REF000000</t>
        </is>
      </c>
      <c r="E312" t="n">
        <v>46041</v>
      </c>
      <c r="F312" t="inlineStr">
        <is>
          <t>ORCA REEFER</t>
        </is>
      </c>
      <c r="G312" t="inlineStr">
        <is>
          <t>ENTERED THROUGH SPLIT BOOKING FROM THE BOOKING ID REF000000, BY AR_MARTIMA, ON 1/19/2026 4:57:48 PM</t>
        </is>
      </c>
      <c r="H312" t="inlineStr">
        <is>
          <t>AR_MARTIMA</t>
        </is>
      </c>
      <c r="J312" t="n">
        <v>46048</v>
      </c>
      <c r="K312" t="n">
        <v>46046</v>
      </c>
      <c r="L312" t="n">
        <v>46048</v>
      </c>
      <c r="M312" t="inlineStr">
        <is>
          <t>REF000000</t>
        </is>
      </c>
      <c r="N312" t="inlineStr">
        <is>
          <t>USSEA</t>
        </is>
      </c>
      <c r="O312" t="inlineStr">
        <is>
          <t>USSEA</t>
        </is>
      </c>
      <c r="P312" t="inlineStr">
        <is>
          <t>USNFK</t>
        </is>
      </c>
      <c r="U312" t="inlineStr">
        <is>
          <t>RULED</t>
        </is>
      </c>
      <c r="V312" t="inlineStr">
        <is>
          <t>RULED</t>
        </is>
      </c>
      <c r="W312" t="inlineStr">
        <is>
          <t>CANADA</t>
        </is>
      </c>
      <c r="X312" t="inlineStr">
        <is>
          <t>PERSIAN GULF</t>
        </is>
      </c>
      <c r="Y312" t="inlineStr">
        <is>
          <t>RUSSIA</t>
        </is>
      </c>
      <c r="Z312" t="inlineStr">
        <is>
          <t>External Review</t>
        </is>
      </c>
      <c r="AA312" t="inlineStr">
        <is>
          <t>HUB SHIPPING LLC-LED</t>
        </is>
      </c>
      <c r="AB312" t="inlineStr">
        <is>
          <t>Prepaid</t>
        </is>
      </c>
      <c r="AC312" t="inlineStr">
        <is>
          <t>TIGER PLATA/965N</t>
        </is>
      </c>
      <c r="AD312" t="inlineStr">
        <is>
          <t>LI DA XING / VOYAGE 1</t>
        </is>
      </c>
      <c r="AE312" t="inlineStr">
        <is>
          <t>LADEN BOOKING</t>
        </is>
      </c>
      <c r="AF312" t="inlineStr">
        <is>
          <t>AR_MARTIMA</t>
        </is>
      </c>
      <c r="AG312" t="inlineStr">
        <is>
          <t>RH40</t>
        </is>
      </c>
      <c r="AI312" t="n">
        <v>40</v>
      </c>
      <c r="AJ312" t="n">
        <v>0</v>
      </c>
      <c r="AK312" t="n">
        <v>1</v>
      </c>
      <c r="AL312" t="inlineStr">
        <is>
          <t>ANON0000000</t>
        </is>
      </c>
      <c r="AM312" t="n">
        <v>-18</v>
      </c>
      <c r="AP312" t="inlineStr">
        <is>
          <t>Non Haz</t>
        </is>
      </c>
      <c r="AQ312" t="inlineStr">
        <is>
          <t>CY/CY</t>
        </is>
      </c>
      <c r="AT312" t="inlineStr">
        <is>
          <t>REF000000</t>
        </is>
      </c>
      <c r="AU312" t="n">
        <v>29000</v>
      </c>
      <c r="AV312" t="inlineStr">
        <is>
          <t>FROZEN MEAT</t>
        </is>
      </c>
      <c r="AW312" t="inlineStr">
        <is>
          <t>NCM: 0206.29</t>
        </is>
      </c>
      <c r="AX312" t="inlineStr">
        <is>
          <t>RSAMI122500031</t>
        </is>
      </c>
      <c r="AZ312" t="n">
        <v>0</v>
      </c>
      <c r="BA312" t="n">
        <v>10</v>
      </c>
      <c r="BB312" t="n">
        <v>10</v>
      </c>
      <c r="BC312" t="n">
        <v>6800</v>
      </c>
      <c r="BD312" t="inlineStr">
        <is>
          <t>No</t>
        </is>
      </c>
      <c r="BF312" t="inlineStr">
        <is>
          <t>Bengal Tiger Line -BTL</t>
        </is>
      </c>
      <c r="BG312" t="inlineStr">
        <is>
          <t>USSEA</t>
        </is>
      </c>
      <c r="BH312" t="n">
        <v>0</v>
      </c>
      <c r="BI312" t="n">
        <v>1</v>
      </c>
      <c r="BJ312" t="n">
        <v>6800</v>
      </c>
      <c r="BK312" t="inlineStr">
        <is>
          <t>LINE</t>
        </is>
      </c>
      <c r="BL312" t="inlineStr">
        <is>
          <t>ORCA REEFER</t>
        </is>
      </c>
      <c r="BM312" t="inlineStr">
        <is>
          <t>ORCA REEFER</t>
        </is>
      </c>
    </row>
    <row r="313">
      <c r="A313" t="n">
        <v>312</v>
      </c>
      <c r="B313" t="inlineStr">
        <is>
          <t>WHALE REEFER</t>
        </is>
      </c>
      <c r="C313" t="inlineStr">
        <is>
          <t>REF000000</t>
        </is>
      </c>
      <c r="D313" t="inlineStr">
        <is>
          <t>REF000000</t>
        </is>
      </c>
      <c r="E313" t="n">
        <v>46041</v>
      </c>
      <c r="F313" t="inlineStr">
        <is>
          <t>WHALE REEFER</t>
        </is>
      </c>
      <c r="G313" t="inlineStr">
        <is>
          <t>1x40RH TEMP -18</t>
        </is>
      </c>
      <c r="H313" t="inlineStr">
        <is>
          <t>AR_MARTIMA</t>
        </is>
      </c>
      <c r="J313" t="n">
        <v>46048</v>
      </c>
      <c r="K313" t="n">
        <v>46046</v>
      </c>
      <c r="L313" t="n">
        <v>46048</v>
      </c>
      <c r="M313" t="inlineStr">
        <is>
          <t>REF000000</t>
        </is>
      </c>
      <c r="N313" t="inlineStr">
        <is>
          <t>USSEA</t>
        </is>
      </c>
      <c r="O313" t="inlineStr">
        <is>
          <t>USSEA</t>
        </is>
      </c>
      <c r="P313" t="inlineStr">
        <is>
          <t>USNFK</t>
        </is>
      </c>
      <c r="U313" t="inlineStr">
        <is>
          <t>RULED</t>
        </is>
      </c>
      <c r="V313" t="inlineStr">
        <is>
          <t>RULED</t>
        </is>
      </c>
      <c r="W313" t="inlineStr">
        <is>
          <t>CANADA</t>
        </is>
      </c>
      <c r="X313" t="inlineStr">
        <is>
          <t>PERSIAN GULF</t>
        </is>
      </c>
      <c r="Y313" t="inlineStr">
        <is>
          <t>RUSSIA</t>
        </is>
      </c>
      <c r="Z313" t="inlineStr">
        <is>
          <t>External Review</t>
        </is>
      </c>
      <c r="AA313" t="inlineStr">
        <is>
          <t>HUB SHIPPING LLC-LED</t>
        </is>
      </c>
      <c r="AB313" t="inlineStr">
        <is>
          <t>Prepaid</t>
        </is>
      </c>
      <c r="AC313" t="inlineStr">
        <is>
          <t>TIGER PLATA/965N</t>
        </is>
      </c>
      <c r="AD313" t="inlineStr">
        <is>
          <t>LI DA XING / VOYAGE 1</t>
        </is>
      </c>
      <c r="AE313" t="inlineStr">
        <is>
          <t>LADEN BOOKING</t>
        </is>
      </c>
      <c r="AF313" t="inlineStr">
        <is>
          <t>AR_MARTIMA</t>
        </is>
      </c>
      <c r="AG313" t="inlineStr">
        <is>
          <t>RH40</t>
        </is>
      </c>
      <c r="AH313" t="inlineStr">
        <is>
          <t>NO</t>
        </is>
      </c>
      <c r="AI313" t="n">
        <v>40</v>
      </c>
      <c r="AJ313" t="n">
        <v>0</v>
      </c>
      <c r="AK313" t="n">
        <v>1</v>
      </c>
      <c r="AL313" t="inlineStr">
        <is>
          <t>ANON0000000</t>
        </is>
      </c>
      <c r="AM313" t="n">
        <v>-18</v>
      </c>
      <c r="AP313" t="inlineStr">
        <is>
          <t>Non Haz</t>
        </is>
      </c>
      <c r="AQ313" t="inlineStr">
        <is>
          <t>CY/CY</t>
        </is>
      </c>
      <c r="AT313" t="inlineStr">
        <is>
          <t>REF000000</t>
        </is>
      </c>
      <c r="AU313" t="n">
        <v>29000</v>
      </c>
      <c r="AV313" t="inlineStr">
        <is>
          <t>FROZEN MEAT</t>
        </is>
      </c>
      <c r="AW313" t="inlineStr">
        <is>
          <t>NCM: 0206.21 NCM: 0206.22</t>
        </is>
      </c>
      <c r="AX313" t="inlineStr">
        <is>
          <t>RSAMI122500031</t>
        </is>
      </c>
      <c r="AZ313" t="n">
        <v>0</v>
      </c>
      <c r="BA313" t="n">
        <v>10</v>
      </c>
      <c r="BB313" t="n">
        <v>10</v>
      </c>
      <c r="BC313" t="n">
        <v>6800</v>
      </c>
      <c r="BD313" t="inlineStr">
        <is>
          <t>No</t>
        </is>
      </c>
      <c r="BF313" t="inlineStr">
        <is>
          <t>Bengal Tiger Line -BTL</t>
        </is>
      </c>
      <c r="BG313" t="inlineStr">
        <is>
          <t>USSEA</t>
        </is>
      </c>
      <c r="BH313" t="n">
        <v>0</v>
      </c>
      <c r="BI313" t="n">
        <v>1</v>
      </c>
      <c r="BJ313" t="n">
        <v>6800</v>
      </c>
      <c r="BK313" t="inlineStr">
        <is>
          <t>LINE</t>
        </is>
      </c>
      <c r="BL313" t="inlineStr">
        <is>
          <t>WHALE REEFER</t>
        </is>
      </c>
      <c r="BM313" t="inlineStr">
        <is>
          <t>WHALE REEFER</t>
        </is>
      </c>
    </row>
    <row r="314">
      <c r="A314" t="n">
        <v>313</v>
      </c>
      <c r="B314" t="inlineStr">
        <is>
          <t>SEAL REEFER</t>
        </is>
      </c>
      <c r="C314" t="inlineStr">
        <is>
          <t>REF000000</t>
        </is>
      </c>
      <c r="D314" t="inlineStr">
        <is>
          <t>REF000000</t>
        </is>
      </c>
      <c r="E314" t="n">
        <v>46041</v>
      </c>
      <c r="F314" t="inlineStr">
        <is>
          <t>SEAL REEFER</t>
        </is>
      </c>
      <c r="G314" t="inlineStr">
        <is>
          <t>ENTERED THROUGH SPLIT BOOKING FROM THE BOOKING ID REF000000, BY AR_MARTIMA, ON 1/19/2026 5:12:59 PM</t>
        </is>
      </c>
      <c r="H314" t="inlineStr">
        <is>
          <t>AR_MARTIMA</t>
        </is>
      </c>
      <c r="J314" t="n">
        <v>46048</v>
      </c>
      <c r="K314" t="n">
        <v>46046</v>
      </c>
      <c r="L314" t="n">
        <v>46048</v>
      </c>
      <c r="M314" t="inlineStr">
        <is>
          <t>REF000000</t>
        </is>
      </c>
      <c r="N314" t="inlineStr">
        <is>
          <t>USSEA</t>
        </is>
      </c>
      <c r="O314" t="inlineStr">
        <is>
          <t>USSEA</t>
        </is>
      </c>
      <c r="P314" t="inlineStr">
        <is>
          <t>USNFK</t>
        </is>
      </c>
      <c r="U314" t="inlineStr">
        <is>
          <t>RULED</t>
        </is>
      </c>
      <c r="V314" t="inlineStr">
        <is>
          <t>RULED</t>
        </is>
      </c>
      <c r="W314" t="inlineStr">
        <is>
          <t>CANADA</t>
        </is>
      </c>
      <c r="X314" t="inlineStr">
        <is>
          <t>PERSIAN GULF</t>
        </is>
      </c>
      <c r="Y314" t="inlineStr">
        <is>
          <t>RUSSIA</t>
        </is>
      </c>
      <c r="Z314" t="inlineStr">
        <is>
          <t>External Review</t>
        </is>
      </c>
      <c r="AA314" t="inlineStr">
        <is>
          <t>HUB SHIPPING LLC-LED</t>
        </is>
      </c>
      <c r="AB314" t="inlineStr">
        <is>
          <t>Prepaid</t>
        </is>
      </c>
      <c r="AC314" t="inlineStr">
        <is>
          <t>TIGER PLATA/965N</t>
        </is>
      </c>
      <c r="AD314" t="inlineStr">
        <is>
          <t>LI DA XING / VOYAGE 1</t>
        </is>
      </c>
      <c r="AE314" t="inlineStr">
        <is>
          <t>LADEN BOOKING</t>
        </is>
      </c>
      <c r="AF314" t="inlineStr">
        <is>
          <t>AR_MARTIMA</t>
        </is>
      </c>
      <c r="AG314" t="inlineStr">
        <is>
          <t>RH40</t>
        </is>
      </c>
      <c r="AI314" t="n">
        <v>40</v>
      </c>
      <c r="AJ314" t="n">
        <v>0</v>
      </c>
      <c r="AK314" t="n">
        <v>1</v>
      </c>
      <c r="AL314" t="inlineStr">
        <is>
          <t>ANON0000000</t>
        </is>
      </c>
      <c r="AM314" t="n">
        <v>-18</v>
      </c>
      <c r="AP314" t="inlineStr">
        <is>
          <t>Non Haz</t>
        </is>
      </c>
      <c r="AQ314" t="inlineStr">
        <is>
          <t>CY/CY</t>
        </is>
      </c>
      <c r="AT314" t="inlineStr">
        <is>
          <t>REF000000</t>
        </is>
      </c>
      <c r="AU314" t="n">
        <v>29000</v>
      </c>
      <c r="AV314" t="inlineStr">
        <is>
          <t>FROZEN MEAT</t>
        </is>
      </c>
      <c r="AX314" t="inlineStr">
        <is>
          <t>RSAMI122500031</t>
        </is>
      </c>
      <c r="AZ314" t="n">
        <v>0</v>
      </c>
      <c r="BA314" t="n">
        <v>10</v>
      </c>
      <c r="BB314" t="n">
        <v>10</v>
      </c>
      <c r="BC314" t="n">
        <v>6800</v>
      </c>
      <c r="BD314" t="inlineStr">
        <is>
          <t>No</t>
        </is>
      </c>
      <c r="BF314" t="inlineStr">
        <is>
          <t>Bengal Tiger Line -BTL</t>
        </is>
      </c>
      <c r="BG314" t="inlineStr">
        <is>
          <t>USSEA</t>
        </is>
      </c>
      <c r="BH314" t="n">
        <v>0</v>
      </c>
      <c r="BI314" t="n">
        <v>1</v>
      </c>
      <c r="BJ314" t="n">
        <v>6800</v>
      </c>
      <c r="BK314" t="inlineStr">
        <is>
          <t>LINE</t>
        </is>
      </c>
      <c r="BL314" t="inlineStr">
        <is>
          <t>SEAL REEFER</t>
        </is>
      </c>
      <c r="BM314" t="inlineStr">
        <is>
          <t>SEAL REEFER</t>
        </is>
      </c>
    </row>
    <row r="315">
      <c r="A315" t="n">
        <v>314</v>
      </c>
      <c r="B315" t="inlineStr">
        <is>
          <t>SHARK REEFER</t>
        </is>
      </c>
      <c r="C315" t="inlineStr">
        <is>
          <t>REF000000</t>
        </is>
      </c>
      <c r="D315" t="inlineStr">
        <is>
          <t>REF000000</t>
        </is>
      </c>
      <c r="E315" t="n">
        <v>46042</v>
      </c>
      <c r="F315" t="inlineStr">
        <is>
          <t>SHARK REEFER</t>
        </is>
      </c>
      <c r="G315" t="inlineStr">
        <is>
          <t>final reefer details should be collected and provided to carrier by agents of POL</t>
        </is>
      </c>
      <c r="H315" t="inlineStr">
        <is>
          <t>AdminAMI</t>
        </is>
      </c>
      <c r="J315" t="inlineStr">
        <is>
          <t>03-FEB-2026</t>
        </is>
      </c>
      <c r="K315" t="inlineStr">
        <is>
          <t>01-FEB-2026</t>
        </is>
      </c>
      <c r="L315" t="inlineStr">
        <is>
          <t>03-FEB-2026</t>
        </is>
      </c>
      <c r="M315" t="inlineStr">
        <is>
          <t>REF000000</t>
        </is>
      </c>
      <c r="N315" t="inlineStr">
        <is>
          <t>USSEA</t>
        </is>
      </c>
      <c r="O315" t="inlineStr">
        <is>
          <t>USSEA</t>
        </is>
      </c>
      <c r="P315" t="inlineStr">
        <is>
          <t>USNFK</t>
        </is>
      </c>
      <c r="U315" t="inlineStr">
        <is>
          <t>RULED</t>
        </is>
      </c>
      <c r="V315" t="inlineStr">
        <is>
          <t>RULED</t>
        </is>
      </c>
      <c r="W315" t="inlineStr">
        <is>
          <t>CANADA</t>
        </is>
      </c>
      <c r="X315" t="inlineStr">
        <is>
          <t>PERSIAN GULF</t>
        </is>
      </c>
      <c r="Y315" t="inlineStr">
        <is>
          <t>RUSSIA</t>
        </is>
      </c>
      <c r="Z315" t="inlineStr">
        <is>
          <t>External Review</t>
        </is>
      </c>
      <c r="AA315" t="inlineStr">
        <is>
          <t>HUB SHIPPING LLC-LED</t>
        </is>
      </c>
      <c r="AB315" t="inlineStr">
        <is>
          <t>Collect</t>
        </is>
      </c>
      <c r="AC315" t="inlineStr">
        <is>
          <t>TIGER PLATA/966N</t>
        </is>
      </c>
      <c r="AD315" t="inlineStr">
        <is>
          <t>LI DA XING / VOYAGE 1</t>
        </is>
      </c>
      <c r="AE315" t="inlineStr">
        <is>
          <t>LADEN BOOKING</t>
        </is>
      </c>
      <c r="AF315" t="inlineStr">
        <is>
          <t>RenniAMI</t>
        </is>
      </c>
      <c r="AG315" t="inlineStr">
        <is>
          <t>RH40</t>
        </is>
      </c>
      <c r="AH315" t="inlineStr">
        <is>
          <t>NO</t>
        </is>
      </c>
      <c r="AI315" t="n">
        <v>40</v>
      </c>
      <c r="AJ315" t="n">
        <v>0</v>
      </c>
      <c r="AK315" t="n">
        <v>1</v>
      </c>
      <c r="AL315" t="inlineStr">
        <is>
          <t>ANON0000000</t>
        </is>
      </c>
      <c r="AM315" t="n">
        <v>0</v>
      </c>
      <c r="AP315" t="inlineStr">
        <is>
          <t>Non Haz</t>
        </is>
      </c>
      <c r="AQ315" t="inlineStr">
        <is>
          <t>CY/CY</t>
        </is>
      </c>
      <c r="AT315" t="inlineStr">
        <is>
          <t>REF000000</t>
        </is>
      </c>
      <c r="AU315" t="n">
        <v>20000</v>
      </c>
      <c r="AV315" t="inlineStr">
        <is>
          <t>CHEESE</t>
        </is>
      </c>
      <c r="AW315" t="inlineStr">
        <is>
          <t>NCM: 0406.40.00</t>
        </is>
      </c>
      <c r="AX315" t="inlineStr">
        <is>
          <t>RSAMI012600006</t>
        </is>
      </c>
      <c r="AZ315" t="n">
        <v>0</v>
      </c>
      <c r="BA315" t="n">
        <v>10</v>
      </c>
      <c r="BB315" t="n">
        <v>7</v>
      </c>
      <c r="BC315" t="n">
        <v>7950</v>
      </c>
      <c r="BD315" t="inlineStr">
        <is>
          <t>Yes</t>
        </is>
      </c>
      <c r="BF315" t="inlineStr">
        <is>
          <t>Bengal Tiger Line -BTL</t>
        </is>
      </c>
      <c r="BG315" t="inlineStr">
        <is>
          <t>RULED</t>
        </is>
      </c>
      <c r="BH315" t="n">
        <v>0</v>
      </c>
      <c r="BI315" t="n">
        <v>1</v>
      </c>
      <c r="BJ315" t="n">
        <v>7950</v>
      </c>
      <c r="BK315" t="inlineStr">
        <is>
          <t>LINE</t>
        </is>
      </c>
      <c r="BL315" t="inlineStr">
        <is>
          <t>SHARK REEFER</t>
        </is>
      </c>
      <c r="BM315" t="inlineStr">
        <is>
          <t>SHARK REEFER</t>
        </is>
      </c>
    </row>
    <row r="316">
      <c r="A316" t="n">
        <v>315</v>
      </c>
      <c r="B316" t="inlineStr">
        <is>
          <t>BISON DRY</t>
        </is>
      </c>
      <c r="C316" t="inlineStr">
        <is>
          <t>REF000000</t>
        </is>
      </c>
      <c r="D316" t="inlineStr">
        <is>
          <t>REF000000</t>
        </is>
      </c>
      <c r="E316" t="n">
        <v>46042</v>
      </c>
      <c r="F316" t="inlineStr">
        <is>
          <t>BISON DRY</t>
        </is>
      </c>
      <c r="G316" t="inlineStr">
        <is>
          <t>1X40HQ ENTREGAR APTO ALIMENTO</t>
        </is>
      </c>
      <c r="H316" t="inlineStr">
        <is>
          <t>AR_MARTIMA</t>
        </is>
      </c>
      <c r="J316" t="n">
        <v>46048</v>
      </c>
      <c r="K316" t="n">
        <v>46046</v>
      </c>
      <c r="L316" t="n">
        <v>46048</v>
      </c>
      <c r="M316" t="inlineStr">
        <is>
          <t>REF000000</t>
        </is>
      </c>
      <c r="N316" t="inlineStr">
        <is>
          <t>USSEA</t>
        </is>
      </c>
      <c r="O316" t="inlineStr">
        <is>
          <t>USSEA</t>
        </is>
      </c>
      <c r="P316" t="inlineStr">
        <is>
          <t>USNFK</t>
        </is>
      </c>
      <c r="U316" t="inlineStr">
        <is>
          <t>RULED</t>
        </is>
      </c>
      <c r="V316" t="inlineStr">
        <is>
          <t>RULED</t>
        </is>
      </c>
      <c r="W316" t="inlineStr">
        <is>
          <t>CANADA</t>
        </is>
      </c>
      <c r="X316" t="inlineStr">
        <is>
          <t>PERSIAN GULF</t>
        </is>
      </c>
      <c r="Y316" t="inlineStr">
        <is>
          <t>RUSSIA</t>
        </is>
      </c>
      <c r="Z316" t="inlineStr">
        <is>
          <t>External Review</t>
        </is>
      </c>
      <c r="AA316" t="inlineStr">
        <is>
          <t>HUB SHIPPING LLC-LED</t>
        </is>
      </c>
      <c r="AB316" t="inlineStr">
        <is>
          <t>Prepaid</t>
        </is>
      </c>
      <c r="AC316" t="inlineStr">
        <is>
          <t>TIGER PLATA/965N</t>
        </is>
      </c>
      <c r="AD316" t="inlineStr">
        <is>
          <t>LI DA XING / VOYAGE 1</t>
        </is>
      </c>
      <c r="AE316" t="inlineStr">
        <is>
          <t>LADEN BOOKING</t>
        </is>
      </c>
      <c r="AF316" t="inlineStr">
        <is>
          <t>AR_MARTIMA</t>
        </is>
      </c>
      <c r="AG316" t="inlineStr">
        <is>
          <t>HC40</t>
        </is>
      </c>
      <c r="AH316" t="inlineStr">
        <is>
          <t>NO</t>
        </is>
      </c>
      <c r="AI316" t="n">
        <v>40</v>
      </c>
      <c r="AJ316" t="n">
        <v>0</v>
      </c>
      <c r="AK316" t="n">
        <v>1</v>
      </c>
      <c r="AL316" t="inlineStr">
        <is>
          <t>ANON0000000</t>
        </is>
      </c>
      <c r="AP316" t="inlineStr">
        <is>
          <t>Non Haz</t>
        </is>
      </c>
      <c r="AQ316" t="inlineStr">
        <is>
          <t>CY/CY</t>
        </is>
      </c>
      <c r="AT316" t="inlineStr">
        <is>
          <t>REF000000</t>
        </is>
      </c>
      <c r="AU316" t="n">
        <v>29000</v>
      </c>
      <c r="AV316" t="inlineStr">
        <is>
          <t>GENERAL COMMODITY</t>
        </is>
      </c>
      <c r="AW316" t="inlineStr">
        <is>
          <t>NCM 1202.42.00</t>
        </is>
      </c>
      <c r="AX316" t="inlineStr">
        <is>
          <t>MRG368673</t>
        </is>
      </c>
      <c r="AY316" t="inlineStr">
        <is>
          <t>LINE</t>
        </is>
      </c>
      <c r="AZ316" t="n">
        <v>0</v>
      </c>
      <c r="BA316" t="n">
        <v>14</v>
      </c>
      <c r="BB316" t="n">
        <v>14</v>
      </c>
      <c r="BC316" t="n">
        <v>5200</v>
      </c>
      <c r="BD316" t="inlineStr">
        <is>
          <t>No</t>
        </is>
      </c>
      <c r="BF316" t="inlineStr">
        <is>
          <t>Bengal Tiger Line -BTL</t>
        </is>
      </c>
      <c r="BG316" t="inlineStr">
        <is>
          <t>USSEA</t>
        </is>
      </c>
      <c r="BH316" t="n">
        <v>0</v>
      </c>
      <c r="BI316" t="n">
        <v>1</v>
      </c>
      <c r="BJ316" t="n">
        <v>5200</v>
      </c>
      <c r="BK316" t="inlineStr">
        <is>
          <t>LINE</t>
        </is>
      </c>
      <c r="BL316" t="inlineStr">
        <is>
          <t>BISON DRY</t>
        </is>
      </c>
      <c r="BM316" t="inlineStr">
        <is>
          <t>BISON DRY</t>
        </is>
      </c>
    </row>
    <row r="317">
      <c r="A317" t="n">
        <v>316</v>
      </c>
      <c r="B317" t="inlineStr">
        <is>
          <t>MARLIN REEFER</t>
        </is>
      </c>
      <c r="C317" t="inlineStr">
        <is>
          <t>REF000000</t>
        </is>
      </c>
      <c r="D317" t="inlineStr">
        <is>
          <t>REF000000</t>
        </is>
      </c>
      <c r="E317" t="n">
        <v>46045</v>
      </c>
      <c r="F317" t="inlineStr">
        <is>
          <t>MARLIN REEFER</t>
        </is>
      </c>
      <c r="G317" t="inlineStr">
        <is>
          <t>1X40RH TEMP -18</t>
        </is>
      </c>
      <c r="H317" t="inlineStr">
        <is>
          <t>AR_MARTIMA</t>
        </is>
      </c>
      <c r="J317" t="inlineStr">
        <is>
          <t>03-FEB-2026</t>
        </is>
      </c>
      <c r="K317" t="inlineStr">
        <is>
          <t>01-FEB-2026</t>
        </is>
      </c>
      <c r="L317" t="inlineStr">
        <is>
          <t>03-FEB-2026</t>
        </is>
      </c>
      <c r="M317" t="inlineStr">
        <is>
          <t>REF000000</t>
        </is>
      </c>
      <c r="N317" t="inlineStr">
        <is>
          <t>USSEA</t>
        </is>
      </c>
      <c r="O317" t="inlineStr">
        <is>
          <t>USSEA</t>
        </is>
      </c>
      <c r="P317" t="inlineStr">
        <is>
          <t>USNFK</t>
        </is>
      </c>
      <c r="U317" t="inlineStr">
        <is>
          <t>RULED</t>
        </is>
      </c>
      <c r="V317" t="inlineStr">
        <is>
          <t>RULED</t>
        </is>
      </c>
      <c r="W317" t="inlineStr">
        <is>
          <t>CANADA</t>
        </is>
      </c>
      <c r="X317" t="inlineStr">
        <is>
          <t>PERSIAN GULF</t>
        </is>
      </c>
      <c r="Y317" t="inlineStr">
        <is>
          <t>RUSSIA</t>
        </is>
      </c>
      <c r="Z317" t="inlineStr">
        <is>
          <t>External Review</t>
        </is>
      </c>
      <c r="AA317" t="inlineStr">
        <is>
          <t>HUB SHIPPING LLC-LED</t>
        </is>
      </c>
      <c r="AB317" t="inlineStr">
        <is>
          <t>Prepaid</t>
        </is>
      </c>
      <c r="AC317" t="inlineStr">
        <is>
          <t>TIGER PLATA/966N</t>
        </is>
      </c>
      <c r="AD317" t="inlineStr">
        <is>
          <t>LI DA XING / VOYAGE 1</t>
        </is>
      </c>
      <c r="AE317" t="inlineStr">
        <is>
          <t>LADEN BOOKING</t>
        </is>
      </c>
      <c r="AF317" t="inlineStr">
        <is>
          <t>AR_MARTIMA</t>
        </is>
      </c>
      <c r="AG317" t="inlineStr">
        <is>
          <t>RH40</t>
        </is>
      </c>
      <c r="AH317" t="inlineStr">
        <is>
          <t>NO</t>
        </is>
      </c>
      <c r="AI317" t="n">
        <v>40</v>
      </c>
      <c r="AJ317" t="n">
        <v>0</v>
      </c>
      <c r="AK317" t="n">
        <v>1</v>
      </c>
      <c r="AL317" t="inlineStr">
        <is>
          <t>ANON0000000</t>
        </is>
      </c>
      <c r="AM317" t="n">
        <v>-18</v>
      </c>
      <c r="AP317" t="inlineStr">
        <is>
          <t>Non Haz</t>
        </is>
      </c>
      <c r="AQ317" t="inlineStr">
        <is>
          <t>CY/CY</t>
        </is>
      </c>
      <c r="AT317" t="inlineStr">
        <is>
          <t>REF000000</t>
        </is>
      </c>
      <c r="AU317" t="n">
        <v>29000</v>
      </c>
      <c r="AV317" t="inlineStr">
        <is>
          <t>FROZEN BONELESS BUFFALO MEAT</t>
        </is>
      </c>
      <c r="AW317" t="inlineStr">
        <is>
          <t>N.C.M.: 0206.21</t>
        </is>
      </c>
      <c r="AX317" t="inlineStr">
        <is>
          <t>RSAMI122500027</t>
        </is>
      </c>
      <c r="AZ317" t="n">
        <v>0</v>
      </c>
      <c r="BA317" t="n">
        <v>10</v>
      </c>
      <c r="BB317" t="n">
        <v>10</v>
      </c>
      <c r="BC317" t="n">
        <v>7300</v>
      </c>
      <c r="BD317" t="inlineStr">
        <is>
          <t>No</t>
        </is>
      </c>
      <c r="BF317" t="inlineStr">
        <is>
          <t>Bengal Tiger Line -BTL</t>
        </is>
      </c>
      <c r="BG317" t="inlineStr">
        <is>
          <t>USSEA</t>
        </is>
      </c>
      <c r="BH317" t="n">
        <v>0</v>
      </c>
      <c r="BI317" t="n">
        <v>1</v>
      </c>
      <c r="BJ317" t="n">
        <v>7300</v>
      </c>
      <c r="BK317" t="inlineStr">
        <is>
          <t>LINE</t>
        </is>
      </c>
      <c r="BL317" t="inlineStr">
        <is>
          <t>MARLIN REEFER</t>
        </is>
      </c>
      <c r="BM317" t="inlineStr">
        <is>
          <t>MARLIN REEFER</t>
        </is>
      </c>
    </row>
    <row r="318">
      <c r="A318" t="n">
        <v>317</v>
      </c>
      <c r="B318" t="inlineStr">
        <is>
          <t>TURTLE REEFER</t>
        </is>
      </c>
      <c r="C318" t="inlineStr">
        <is>
          <t>REF000000</t>
        </is>
      </c>
      <c r="D318" t="inlineStr">
        <is>
          <t>REF000000</t>
        </is>
      </c>
      <c r="E318" t="n">
        <v>46045</v>
      </c>
      <c r="F318" t="inlineStr">
        <is>
          <t>TURTLE REEFER</t>
        </is>
      </c>
      <c r="G318" t="inlineStr">
        <is>
          <t>ENTERED THROUGH SPLIT BOOKING FROM THE BOOKING ID REF000000, BY AR_MARTIMA, ON 1/23/2026 10:53:39 PM</t>
        </is>
      </c>
      <c r="H318" t="inlineStr">
        <is>
          <t>AR_MARTIMA</t>
        </is>
      </c>
      <c r="J318" t="inlineStr">
        <is>
          <t>03-FEB-2026</t>
        </is>
      </c>
      <c r="K318" t="inlineStr">
        <is>
          <t>01-FEB-2026</t>
        </is>
      </c>
      <c r="L318" t="inlineStr">
        <is>
          <t>03-FEB-2026</t>
        </is>
      </c>
      <c r="M318" t="inlineStr">
        <is>
          <t>REF000000</t>
        </is>
      </c>
      <c r="N318" t="inlineStr">
        <is>
          <t>USSEA</t>
        </is>
      </c>
      <c r="O318" t="inlineStr">
        <is>
          <t>USSEA</t>
        </is>
      </c>
      <c r="P318" t="inlineStr">
        <is>
          <t>USNFK</t>
        </is>
      </c>
      <c r="U318" t="inlineStr">
        <is>
          <t>RULED</t>
        </is>
      </c>
      <c r="V318" t="inlineStr">
        <is>
          <t>RULED</t>
        </is>
      </c>
      <c r="W318" t="inlineStr">
        <is>
          <t>CANADA</t>
        </is>
      </c>
      <c r="X318" t="inlineStr">
        <is>
          <t>PERSIAN GULF</t>
        </is>
      </c>
      <c r="Y318" t="inlineStr">
        <is>
          <t>RUSSIA</t>
        </is>
      </c>
      <c r="Z318" t="inlineStr">
        <is>
          <t>External Review</t>
        </is>
      </c>
      <c r="AA318" t="inlineStr">
        <is>
          <t>HUB SHIPPING LLC-LED</t>
        </is>
      </c>
      <c r="AB318" t="inlineStr">
        <is>
          <t>Prepaid</t>
        </is>
      </c>
      <c r="AC318" t="inlineStr">
        <is>
          <t>TIGER PLATA/966N</t>
        </is>
      </c>
      <c r="AD318" t="inlineStr">
        <is>
          <t>LI DA XING / VOYAGE 1</t>
        </is>
      </c>
      <c r="AE318" t="inlineStr">
        <is>
          <t>LADEN BOOKING</t>
        </is>
      </c>
      <c r="AF318" t="inlineStr">
        <is>
          <t>AR_MARTIMA</t>
        </is>
      </c>
      <c r="AG318" t="inlineStr">
        <is>
          <t>RH40</t>
        </is>
      </c>
      <c r="AI318" t="n">
        <v>40</v>
      </c>
      <c r="AJ318" t="n">
        <v>0</v>
      </c>
      <c r="AK318" t="n">
        <v>1</v>
      </c>
      <c r="AL318" t="inlineStr">
        <is>
          <t>ANON0000000</t>
        </is>
      </c>
      <c r="AM318" t="n">
        <v>-18</v>
      </c>
      <c r="AP318" t="inlineStr">
        <is>
          <t>Non Haz</t>
        </is>
      </c>
      <c r="AQ318" t="inlineStr">
        <is>
          <t>CY/CY</t>
        </is>
      </c>
      <c r="AT318" t="inlineStr">
        <is>
          <t>REF000000</t>
        </is>
      </c>
      <c r="AU318" t="n">
        <v>29000</v>
      </c>
      <c r="AV318" t="inlineStr">
        <is>
          <t>FROZEN BONELESS BUFFALO MEAT</t>
        </is>
      </c>
      <c r="AW318" t="inlineStr">
        <is>
          <t>N.C.M.: 0206.22</t>
        </is>
      </c>
      <c r="AX318" t="inlineStr">
        <is>
          <t>RSAMI122500027</t>
        </is>
      </c>
      <c r="AZ318" t="n">
        <v>0</v>
      </c>
      <c r="BA318" t="n">
        <v>10</v>
      </c>
      <c r="BB318" t="n">
        <v>10</v>
      </c>
      <c r="BC318" t="n">
        <v>7300</v>
      </c>
      <c r="BD318" t="inlineStr">
        <is>
          <t>No</t>
        </is>
      </c>
      <c r="BF318" t="inlineStr">
        <is>
          <t>Bengal Tiger Line -BTL</t>
        </is>
      </c>
      <c r="BG318" t="inlineStr">
        <is>
          <t>USSEA</t>
        </is>
      </c>
      <c r="BH318" t="n">
        <v>0</v>
      </c>
      <c r="BI318" t="n">
        <v>1</v>
      </c>
      <c r="BJ318" t="n">
        <v>7300</v>
      </c>
      <c r="BK318" t="inlineStr">
        <is>
          <t>LINE</t>
        </is>
      </c>
      <c r="BL318" t="inlineStr">
        <is>
          <t>TURTLE REEFER</t>
        </is>
      </c>
      <c r="BM318" t="inlineStr">
        <is>
          <t>TURTLE REEFER</t>
        </is>
      </c>
    </row>
    <row r="319">
      <c r="A319" t="n">
        <v>318</v>
      </c>
      <c r="B319" t="inlineStr">
        <is>
          <t>ORCA REEFER</t>
        </is>
      </c>
      <c r="C319" t="inlineStr">
        <is>
          <t>REF000000</t>
        </is>
      </c>
      <c r="D319" t="inlineStr">
        <is>
          <t>REF000000</t>
        </is>
      </c>
      <c r="E319" t="n">
        <v>46045</v>
      </c>
      <c r="F319" t="inlineStr">
        <is>
          <t>ORCA REEFER</t>
        </is>
      </c>
      <c r="G319" t="inlineStr">
        <is>
          <t>ENTERED THROUGH SPLIT BOOKING FROM THE BOOKING ID REF000000, BY AR_MARTIMA, ON 1/23/2026 10:53:39 PM</t>
        </is>
      </c>
      <c r="H319" t="inlineStr">
        <is>
          <t>AR_MARTIMA</t>
        </is>
      </c>
      <c r="J319" t="inlineStr">
        <is>
          <t>03-FEB-2026</t>
        </is>
      </c>
      <c r="K319" t="inlineStr">
        <is>
          <t>01-FEB-2026</t>
        </is>
      </c>
      <c r="L319" t="inlineStr">
        <is>
          <t>03-FEB-2026</t>
        </is>
      </c>
      <c r="M319" t="inlineStr">
        <is>
          <t>REF000000</t>
        </is>
      </c>
      <c r="N319" t="inlineStr">
        <is>
          <t>USSEA</t>
        </is>
      </c>
      <c r="O319" t="inlineStr">
        <is>
          <t>USSEA</t>
        </is>
      </c>
      <c r="P319" t="inlineStr">
        <is>
          <t>USNFK</t>
        </is>
      </c>
      <c r="U319" t="inlineStr">
        <is>
          <t>RULED</t>
        </is>
      </c>
      <c r="V319" t="inlineStr">
        <is>
          <t>RULED</t>
        </is>
      </c>
      <c r="W319" t="inlineStr">
        <is>
          <t>CANADA</t>
        </is>
      </c>
      <c r="X319" t="inlineStr">
        <is>
          <t>PERSIAN GULF</t>
        </is>
      </c>
      <c r="Y319" t="inlineStr">
        <is>
          <t>RUSSIA</t>
        </is>
      </c>
      <c r="Z319" t="inlineStr">
        <is>
          <t>External Review</t>
        </is>
      </c>
      <c r="AA319" t="inlineStr">
        <is>
          <t>HUB SHIPPING LLC-LED</t>
        </is>
      </c>
      <c r="AB319" t="inlineStr">
        <is>
          <t>Prepaid</t>
        </is>
      </c>
      <c r="AC319" t="inlineStr">
        <is>
          <t>TIGER PLATA/966N</t>
        </is>
      </c>
      <c r="AD319" t="inlineStr">
        <is>
          <t>LI DA XING / VOYAGE 1</t>
        </is>
      </c>
      <c r="AE319" t="inlineStr">
        <is>
          <t>LADEN BOOKING</t>
        </is>
      </c>
      <c r="AF319" t="inlineStr">
        <is>
          <t>AR_MARTIMA</t>
        </is>
      </c>
      <c r="AG319" t="inlineStr">
        <is>
          <t>RH40</t>
        </is>
      </c>
      <c r="AI319" t="n">
        <v>40</v>
      </c>
      <c r="AJ319" t="n">
        <v>0</v>
      </c>
      <c r="AK319" t="n">
        <v>1</v>
      </c>
      <c r="AL319" t="inlineStr">
        <is>
          <t>ANON0000000</t>
        </is>
      </c>
      <c r="AM319" t="n">
        <v>-18</v>
      </c>
      <c r="AP319" t="inlineStr">
        <is>
          <t>Non Haz</t>
        </is>
      </c>
      <c r="AQ319" t="inlineStr">
        <is>
          <t>CY/CY</t>
        </is>
      </c>
      <c r="AT319" t="inlineStr">
        <is>
          <t>REF000000</t>
        </is>
      </c>
      <c r="AU319" t="n">
        <v>29000</v>
      </c>
      <c r="AV319" t="inlineStr">
        <is>
          <t>FROZEN BONELESS BUFFALO MEAT</t>
        </is>
      </c>
      <c r="AW319" t="inlineStr">
        <is>
          <t>N.C.M.: 0206.22</t>
        </is>
      </c>
      <c r="AX319" t="inlineStr">
        <is>
          <t>RSAMI122500027</t>
        </is>
      </c>
      <c r="AZ319" t="n">
        <v>0</v>
      </c>
      <c r="BA319" t="n">
        <v>10</v>
      </c>
      <c r="BB319" t="n">
        <v>10</v>
      </c>
      <c r="BC319" t="n">
        <v>7300</v>
      </c>
      <c r="BD319" t="inlineStr">
        <is>
          <t>No</t>
        </is>
      </c>
      <c r="BF319" t="inlineStr">
        <is>
          <t>Bengal Tiger Line -BTL</t>
        </is>
      </c>
      <c r="BG319" t="inlineStr">
        <is>
          <t>USSEA</t>
        </is>
      </c>
      <c r="BH319" t="n">
        <v>0</v>
      </c>
      <c r="BI319" t="n">
        <v>1</v>
      </c>
      <c r="BJ319" t="n">
        <v>7300</v>
      </c>
      <c r="BK319" t="inlineStr">
        <is>
          <t>LINE</t>
        </is>
      </c>
      <c r="BL319" t="inlineStr">
        <is>
          <t>ORCA REEFER</t>
        </is>
      </c>
      <c r="BM319" t="inlineStr">
        <is>
          <t>ORCA REEFER</t>
        </is>
      </c>
    </row>
    <row r="320">
      <c r="A320" t="n">
        <v>319</v>
      </c>
      <c r="B320" t="inlineStr">
        <is>
          <t>WHALE REEFER</t>
        </is>
      </c>
      <c r="C320" t="inlineStr">
        <is>
          <t>REF000000</t>
        </is>
      </c>
      <c r="D320" t="inlineStr">
        <is>
          <t>REF000000</t>
        </is>
      </c>
      <c r="E320" t="n">
        <v>46048</v>
      </c>
      <c r="F320" t="inlineStr">
        <is>
          <t>WHALE REEFER</t>
        </is>
      </c>
      <c r="G320" t="inlineStr">
        <is>
          <t>1X40RH TEMP -18</t>
        </is>
      </c>
      <c r="H320" t="inlineStr">
        <is>
          <t>AR_MARTIMA</t>
        </is>
      </c>
      <c r="J320" t="inlineStr">
        <is>
          <t>03-FEB-2026</t>
        </is>
      </c>
      <c r="K320" t="inlineStr">
        <is>
          <t>01-FEB-2026</t>
        </is>
      </c>
      <c r="L320" t="inlineStr">
        <is>
          <t>03-FEB-2026</t>
        </is>
      </c>
      <c r="M320" t="inlineStr">
        <is>
          <t>REF000000</t>
        </is>
      </c>
      <c r="N320" t="inlineStr">
        <is>
          <t>USSEA</t>
        </is>
      </c>
      <c r="O320" t="inlineStr">
        <is>
          <t>USSEA</t>
        </is>
      </c>
      <c r="P320" t="inlineStr">
        <is>
          <t>USNFK</t>
        </is>
      </c>
      <c r="U320" t="inlineStr">
        <is>
          <t>RULED</t>
        </is>
      </c>
      <c r="V320" t="inlineStr">
        <is>
          <t>RULED</t>
        </is>
      </c>
      <c r="W320" t="inlineStr">
        <is>
          <t>CANADA</t>
        </is>
      </c>
      <c r="X320" t="inlineStr">
        <is>
          <t>PERSIAN GULF</t>
        </is>
      </c>
      <c r="Y320" t="inlineStr">
        <is>
          <t>RUSSIA</t>
        </is>
      </c>
      <c r="Z320" t="inlineStr">
        <is>
          <t>External Review</t>
        </is>
      </c>
      <c r="AA320" t="inlineStr">
        <is>
          <t>HUB SHIPPING LLC-LED</t>
        </is>
      </c>
      <c r="AB320" t="inlineStr">
        <is>
          <t>Prepaid</t>
        </is>
      </c>
      <c r="AC320" t="inlineStr">
        <is>
          <t>TIGER PLATA/966N</t>
        </is>
      </c>
      <c r="AD320" t="inlineStr">
        <is>
          <t>LI DA XING / VOYAGE 1</t>
        </is>
      </c>
      <c r="AE320" t="inlineStr">
        <is>
          <t>LADEN BOOKING</t>
        </is>
      </c>
      <c r="AF320" t="inlineStr">
        <is>
          <t>AR_MARTIMA</t>
        </is>
      </c>
      <c r="AG320" t="inlineStr">
        <is>
          <t>RH40</t>
        </is>
      </c>
      <c r="AH320" t="inlineStr">
        <is>
          <t>NO</t>
        </is>
      </c>
      <c r="AI320" t="n">
        <v>40</v>
      </c>
      <c r="AJ320" t="n">
        <v>0</v>
      </c>
      <c r="AK320" t="n">
        <v>1</v>
      </c>
      <c r="AL320" t="inlineStr">
        <is>
          <t>ANON0000000</t>
        </is>
      </c>
      <c r="AM320" t="n">
        <v>-18</v>
      </c>
      <c r="AP320" t="inlineStr">
        <is>
          <t>Non Haz</t>
        </is>
      </c>
      <c r="AQ320" t="inlineStr">
        <is>
          <t>CY/CY</t>
        </is>
      </c>
      <c r="AT320" t="inlineStr">
        <is>
          <t>REF000000</t>
        </is>
      </c>
      <c r="AU320" t="n">
        <v>29000</v>
      </c>
      <c r="AV320" t="inlineStr">
        <is>
          <t>FROZEN BONELESS BUFFALO MEAT</t>
        </is>
      </c>
      <c r="AW320" t="inlineStr">
        <is>
          <t>N.C.M.: 0206.29</t>
        </is>
      </c>
      <c r="AX320" t="inlineStr">
        <is>
          <t>RSAMI122500027</t>
        </is>
      </c>
      <c r="AZ320" t="n">
        <v>0</v>
      </c>
      <c r="BA320" t="n">
        <v>10</v>
      </c>
      <c r="BB320" t="n">
        <v>10</v>
      </c>
      <c r="BC320" t="n">
        <v>7300</v>
      </c>
      <c r="BD320" t="inlineStr">
        <is>
          <t>No</t>
        </is>
      </c>
      <c r="BF320" t="inlineStr">
        <is>
          <t>Bengal Tiger Line -BTL</t>
        </is>
      </c>
      <c r="BG320" t="inlineStr">
        <is>
          <t>USSEA</t>
        </is>
      </c>
      <c r="BH320" t="n">
        <v>0</v>
      </c>
      <c r="BI320" t="n">
        <v>1</v>
      </c>
      <c r="BJ320" t="n">
        <v>7300</v>
      </c>
      <c r="BK320" t="inlineStr">
        <is>
          <t>LINE</t>
        </is>
      </c>
      <c r="BL320" t="inlineStr">
        <is>
          <t>WHALE REEFER</t>
        </is>
      </c>
      <c r="BM320" t="inlineStr">
        <is>
          <t>WHALE REEFER</t>
        </is>
      </c>
    </row>
    <row r="321">
      <c r="A321" t="n">
        <v>320</v>
      </c>
      <c r="B321" t="inlineStr">
        <is>
          <t>SEAL REEFER</t>
        </is>
      </c>
      <c r="C321" t="inlineStr">
        <is>
          <t>REF000000</t>
        </is>
      </c>
      <c r="D321" t="inlineStr">
        <is>
          <t>REF000000</t>
        </is>
      </c>
      <c r="E321" t="n">
        <v>46048</v>
      </c>
      <c r="F321" t="inlineStr">
        <is>
          <t>SEAL REEFER</t>
        </is>
      </c>
      <c r="G321" t="inlineStr">
        <is>
          <t>ENTERED THROUGH SPLIT BOOKING FROM THE BOOKING ID REF000000, BY AR_MARTIMA, ON 1/26/2026 11:54:36 PM</t>
        </is>
      </c>
      <c r="H321" t="inlineStr">
        <is>
          <t>AR_MARTIMA</t>
        </is>
      </c>
      <c r="J321" t="inlineStr">
        <is>
          <t>03-FEB-2026</t>
        </is>
      </c>
      <c r="K321" t="inlineStr">
        <is>
          <t>01-FEB-2026</t>
        </is>
      </c>
      <c r="L321" t="inlineStr">
        <is>
          <t>03-FEB-2026</t>
        </is>
      </c>
      <c r="M321" t="inlineStr">
        <is>
          <t>REF000000</t>
        </is>
      </c>
      <c r="N321" t="inlineStr">
        <is>
          <t>USSEA</t>
        </is>
      </c>
      <c r="O321" t="inlineStr">
        <is>
          <t>USSEA</t>
        </is>
      </c>
      <c r="P321" t="inlineStr">
        <is>
          <t>USNFK</t>
        </is>
      </c>
      <c r="U321" t="inlineStr">
        <is>
          <t>RULED</t>
        </is>
      </c>
      <c r="V321" t="inlineStr">
        <is>
          <t>RULED</t>
        </is>
      </c>
      <c r="W321" t="inlineStr">
        <is>
          <t>CANADA</t>
        </is>
      </c>
      <c r="X321" t="inlineStr">
        <is>
          <t>PERSIAN GULF</t>
        </is>
      </c>
      <c r="Y321" t="inlineStr">
        <is>
          <t>RUSSIA</t>
        </is>
      </c>
      <c r="Z321" t="inlineStr">
        <is>
          <t>External Review</t>
        </is>
      </c>
      <c r="AA321" t="inlineStr">
        <is>
          <t>HUB SHIPPING LLC-LED</t>
        </is>
      </c>
      <c r="AB321" t="inlineStr">
        <is>
          <t>Prepaid</t>
        </is>
      </c>
      <c r="AC321" t="inlineStr">
        <is>
          <t>TIGER PLATA/966N</t>
        </is>
      </c>
      <c r="AD321" t="inlineStr">
        <is>
          <t>LI DA XING / VOYAGE 1</t>
        </is>
      </c>
      <c r="AE321" t="inlineStr">
        <is>
          <t>LADEN BOOKING</t>
        </is>
      </c>
      <c r="AF321" t="inlineStr">
        <is>
          <t>AR_MARTIMA</t>
        </is>
      </c>
      <c r="AG321" t="inlineStr">
        <is>
          <t>RH40</t>
        </is>
      </c>
      <c r="AI321" t="n">
        <v>40</v>
      </c>
      <c r="AJ321" t="n">
        <v>0</v>
      </c>
      <c r="AK321" t="n">
        <v>1</v>
      </c>
      <c r="AL321" t="inlineStr">
        <is>
          <t>ANON0000000</t>
        </is>
      </c>
      <c r="AM321" t="n">
        <v>-18</v>
      </c>
      <c r="AP321" t="inlineStr">
        <is>
          <t>Non Haz</t>
        </is>
      </c>
      <c r="AQ321" t="inlineStr">
        <is>
          <t>CY/CY</t>
        </is>
      </c>
      <c r="AT321" t="inlineStr">
        <is>
          <t>REF000000</t>
        </is>
      </c>
      <c r="AU321" t="n">
        <v>29000</v>
      </c>
      <c r="AV321" t="inlineStr">
        <is>
          <t>FROZEN BONELESS BUFFALO MEAT</t>
        </is>
      </c>
      <c r="AW321" t="inlineStr">
        <is>
          <t>N.C.M.: 0206.29</t>
        </is>
      </c>
      <c r="AX321" t="inlineStr">
        <is>
          <t>RSAMI122500027</t>
        </is>
      </c>
      <c r="AZ321" t="n">
        <v>0</v>
      </c>
      <c r="BA321" t="n">
        <v>10</v>
      </c>
      <c r="BB321" t="n">
        <v>10</v>
      </c>
      <c r="BC321" t="n">
        <v>7300</v>
      </c>
      <c r="BD321" t="inlineStr">
        <is>
          <t>No</t>
        </is>
      </c>
      <c r="BF321" t="inlineStr">
        <is>
          <t>Bengal Tiger Line -BTL</t>
        </is>
      </c>
      <c r="BG321" t="inlineStr">
        <is>
          <t>USSEA</t>
        </is>
      </c>
      <c r="BH321" t="n">
        <v>0</v>
      </c>
      <c r="BI321" t="n">
        <v>1</v>
      </c>
      <c r="BJ321" t="n">
        <v>7300</v>
      </c>
      <c r="BK321" t="inlineStr">
        <is>
          <t>LINE</t>
        </is>
      </c>
      <c r="BL321" t="inlineStr">
        <is>
          <t>SEAL REEFER</t>
        </is>
      </c>
      <c r="BM321" t="inlineStr">
        <is>
          <t>SEAL REEFER</t>
        </is>
      </c>
    </row>
    <row r="322">
      <c r="A322" t="n">
        <v>321</v>
      </c>
      <c r="B322" t="inlineStr">
        <is>
          <t>SHARK REEFER</t>
        </is>
      </c>
      <c r="C322" t="inlineStr">
        <is>
          <t>REF000000</t>
        </is>
      </c>
      <c r="D322" t="inlineStr">
        <is>
          <t>REF000000</t>
        </is>
      </c>
      <c r="E322" t="n">
        <v>46049</v>
      </c>
      <c r="F322" t="inlineStr">
        <is>
          <t>SHARK REEFER</t>
        </is>
      </c>
      <c r="G322" t="inlineStr">
        <is>
          <t>1x40RH TEMP -18</t>
        </is>
      </c>
      <c r="H322" t="inlineStr">
        <is>
          <t>AR_MARTIMA</t>
        </is>
      </c>
      <c r="J322" t="inlineStr">
        <is>
          <t>03-FEB-2026</t>
        </is>
      </c>
      <c r="K322" t="inlineStr">
        <is>
          <t>01-FEB-2026</t>
        </is>
      </c>
      <c r="L322" t="inlineStr">
        <is>
          <t>03-FEB-2026</t>
        </is>
      </c>
      <c r="M322" t="inlineStr">
        <is>
          <t>REF000000</t>
        </is>
      </c>
      <c r="N322" t="inlineStr">
        <is>
          <t>USSEA</t>
        </is>
      </c>
      <c r="O322" t="inlineStr">
        <is>
          <t>USSEA</t>
        </is>
      </c>
      <c r="P322" t="inlineStr">
        <is>
          <t>USNFK</t>
        </is>
      </c>
      <c r="U322" t="inlineStr">
        <is>
          <t>RULED</t>
        </is>
      </c>
      <c r="V322" t="inlineStr">
        <is>
          <t>RULED</t>
        </is>
      </c>
      <c r="W322" t="inlineStr">
        <is>
          <t>CANADA</t>
        </is>
      </c>
      <c r="X322" t="inlineStr">
        <is>
          <t>PERSIAN GULF</t>
        </is>
      </c>
      <c r="Y322" t="inlineStr">
        <is>
          <t>RUSSIA</t>
        </is>
      </c>
      <c r="Z322" t="inlineStr">
        <is>
          <t>External Review</t>
        </is>
      </c>
      <c r="AA322" t="inlineStr">
        <is>
          <t>HUB SHIPPING LLC-LED</t>
        </is>
      </c>
      <c r="AB322" t="inlineStr">
        <is>
          <t>Prepaid</t>
        </is>
      </c>
      <c r="AC322" t="inlineStr">
        <is>
          <t>TIGER PLATA/966N</t>
        </is>
      </c>
      <c r="AD322" t="inlineStr">
        <is>
          <t>LI DA XING / VOYAGE 1</t>
        </is>
      </c>
      <c r="AE322" t="inlineStr">
        <is>
          <t>LADEN BOOKING</t>
        </is>
      </c>
      <c r="AF322" t="inlineStr">
        <is>
          <t>AR_MARTIMA</t>
        </is>
      </c>
      <c r="AG322" t="inlineStr">
        <is>
          <t>RH40</t>
        </is>
      </c>
      <c r="AH322" t="inlineStr">
        <is>
          <t>NO</t>
        </is>
      </c>
      <c r="AI322" t="n">
        <v>40</v>
      </c>
      <c r="AJ322" t="n">
        <v>0</v>
      </c>
      <c r="AK322" t="n">
        <v>1</v>
      </c>
      <c r="AL322" t="inlineStr">
        <is>
          <t>ANON0000000</t>
        </is>
      </c>
      <c r="AM322" t="n">
        <v>-18</v>
      </c>
      <c r="AP322" t="inlineStr">
        <is>
          <t>Non Haz</t>
        </is>
      </c>
      <c r="AQ322" t="inlineStr">
        <is>
          <t>CY/CY</t>
        </is>
      </c>
      <c r="AT322" t="inlineStr">
        <is>
          <t>REF000000</t>
        </is>
      </c>
      <c r="AU322" t="n">
        <v>29000</v>
      </c>
      <c r="AV322" t="inlineStr">
        <is>
          <t>FROZEN MEAT</t>
        </is>
      </c>
      <c r="AW322" t="inlineStr">
        <is>
          <t>NCM 020622</t>
        </is>
      </c>
      <c r="AX322" t="inlineStr">
        <is>
          <t>RSAMI122500031</t>
        </is>
      </c>
      <c r="AZ322" t="n">
        <v>0</v>
      </c>
      <c r="BA322" t="n">
        <v>10</v>
      </c>
      <c r="BB322" t="n">
        <v>10</v>
      </c>
      <c r="BC322" t="n">
        <v>6800</v>
      </c>
      <c r="BD322" t="inlineStr">
        <is>
          <t>No</t>
        </is>
      </c>
      <c r="BF322" t="inlineStr">
        <is>
          <t>Bengal Tiger Line -BTL</t>
        </is>
      </c>
      <c r="BG322" t="inlineStr">
        <is>
          <t>USSEA</t>
        </is>
      </c>
      <c r="BH322" t="n">
        <v>0</v>
      </c>
      <c r="BI322" t="n">
        <v>1</v>
      </c>
      <c r="BJ322" t="n">
        <v>6800</v>
      </c>
      <c r="BK322" t="inlineStr">
        <is>
          <t>LINE</t>
        </is>
      </c>
      <c r="BL322" t="inlineStr">
        <is>
          <t>SHARK REEFER</t>
        </is>
      </c>
      <c r="BM322" t="inlineStr">
        <is>
          <t>SHARK REEFER</t>
        </is>
      </c>
    </row>
    <row r="323">
      <c r="A323" t="n">
        <v>322</v>
      </c>
      <c r="B323" t="inlineStr">
        <is>
          <t>DOLPHIN REEFER</t>
        </is>
      </c>
      <c r="C323" t="inlineStr">
        <is>
          <t>REF000000</t>
        </is>
      </c>
      <c r="D323" t="inlineStr">
        <is>
          <t>REF000000</t>
        </is>
      </c>
      <c r="E323" t="n">
        <v>46049</v>
      </c>
      <c r="F323" t="inlineStr">
        <is>
          <t>DOLPHIN REEFER</t>
        </is>
      </c>
      <c r="G323" t="inlineStr">
        <is>
          <t>ENTERED THROUGH SPLIT BOOKING FROM THE BOOKING ID REF000000, BY AR_MARTIMA, ON 1/27/2026 5:20:35 PM</t>
        </is>
      </c>
      <c r="H323" t="inlineStr">
        <is>
          <t>AR_MARTIMA</t>
        </is>
      </c>
      <c r="J323" t="inlineStr">
        <is>
          <t>03-FEB-2026</t>
        </is>
      </c>
      <c r="K323" t="inlineStr">
        <is>
          <t>01-FEB-2026</t>
        </is>
      </c>
      <c r="L323" t="inlineStr">
        <is>
          <t>03-FEB-2026</t>
        </is>
      </c>
      <c r="M323" t="inlineStr">
        <is>
          <t>REF000000</t>
        </is>
      </c>
      <c r="N323" t="inlineStr">
        <is>
          <t>USSEA</t>
        </is>
      </c>
      <c r="O323" t="inlineStr">
        <is>
          <t>USSEA</t>
        </is>
      </c>
      <c r="P323" t="inlineStr">
        <is>
          <t>USNFK</t>
        </is>
      </c>
      <c r="U323" t="inlineStr">
        <is>
          <t>RULED</t>
        </is>
      </c>
      <c r="V323" t="inlineStr">
        <is>
          <t>RULED</t>
        </is>
      </c>
      <c r="W323" t="inlineStr">
        <is>
          <t>CANADA</t>
        </is>
      </c>
      <c r="X323" t="inlineStr">
        <is>
          <t>PERSIAN GULF</t>
        </is>
      </c>
      <c r="Y323" t="inlineStr">
        <is>
          <t>RUSSIA</t>
        </is>
      </c>
      <c r="Z323" t="inlineStr">
        <is>
          <t>External Review</t>
        </is>
      </c>
      <c r="AA323" t="inlineStr">
        <is>
          <t>HUB SHIPPING LLC-LED</t>
        </is>
      </c>
      <c r="AB323" t="inlineStr">
        <is>
          <t>Prepaid</t>
        </is>
      </c>
      <c r="AC323" t="inlineStr">
        <is>
          <t>TIGER PLATA/966N</t>
        </is>
      </c>
      <c r="AD323" t="inlineStr">
        <is>
          <t>LI DA XING / VOYAGE 1</t>
        </is>
      </c>
      <c r="AE323" t="inlineStr">
        <is>
          <t>LADEN BOOKING</t>
        </is>
      </c>
      <c r="AF323" t="inlineStr">
        <is>
          <t>AR_MARTIMA</t>
        </is>
      </c>
      <c r="AG323" t="inlineStr">
        <is>
          <t>RH40</t>
        </is>
      </c>
      <c r="AI323" t="n">
        <v>40</v>
      </c>
      <c r="AJ323" t="n">
        <v>0</v>
      </c>
      <c r="AK323" t="n">
        <v>1</v>
      </c>
      <c r="AL323" t="inlineStr">
        <is>
          <t>ANON0000000</t>
        </is>
      </c>
      <c r="AM323" t="n">
        <v>-18</v>
      </c>
      <c r="AP323" t="inlineStr">
        <is>
          <t>Non Haz</t>
        </is>
      </c>
      <c r="AQ323" t="inlineStr">
        <is>
          <t>CY/CY</t>
        </is>
      </c>
      <c r="AT323" t="inlineStr">
        <is>
          <t>REF000000</t>
        </is>
      </c>
      <c r="AU323" t="n">
        <v>29000</v>
      </c>
      <c r="AV323" t="inlineStr">
        <is>
          <t>FROZEN MEAT</t>
        </is>
      </c>
      <c r="AW323" t="inlineStr">
        <is>
          <t>NCM 020622</t>
        </is>
      </c>
      <c r="AX323" t="inlineStr">
        <is>
          <t>RSAMI122500031</t>
        </is>
      </c>
      <c r="AZ323" t="n">
        <v>0</v>
      </c>
      <c r="BA323" t="n">
        <v>10</v>
      </c>
      <c r="BB323" t="n">
        <v>10</v>
      </c>
      <c r="BC323" t="n">
        <v>6800</v>
      </c>
      <c r="BD323" t="inlineStr">
        <is>
          <t>No</t>
        </is>
      </c>
      <c r="BF323" t="inlineStr">
        <is>
          <t>Bengal Tiger Line -BTL</t>
        </is>
      </c>
      <c r="BG323" t="inlineStr">
        <is>
          <t>USSEA</t>
        </is>
      </c>
      <c r="BH323" t="n">
        <v>0</v>
      </c>
      <c r="BI323" t="n">
        <v>1</v>
      </c>
      <c r="BJ323" t="n">
        <v>6800</v>
      </c>
      <c r="BK323" t="inlineStr">
        <is>
          <t>LINE</t>
        </is>
      </c>
      <c r="BL323" t="inlineStr">
        <is>
          <t>DOLPHIN REEFER</t>
        </is>
      </c>
      <c r="BM323" t="inlineStr">
        <is>
          <t>DOLPHIN REEFER</t>
        </is>
      </c>
    </row>
    <row r="324">
      <c r="A324" t="n">
        <v>323</v>
      </c>
      <c r="B324" t="inlineStr">
        <is>
          <t>MARLIN REEFER</t>
        </is>
      </c>
      <c r="C324" t="inlineStr">
        <is>
          <t>REF000000</t>
        </is>
      </c>
      <c r="D324" t="inlineStr">
        <is>
          <t>REF000000</t>
        </is>
      </c>
      <c r="E324" t="n">
        <v>46049</v>
      </c>
      <c r="F324" t="inlineStr">
        <is>
          <t>MARLIN REEFER</t>
        </is>
      </c>
      <c r="G324" t="inlineStr">
        <is>
          <t>ENTERED THROUGH SPLIT BOOKING FROM THE BOOKING ID REF000000, BY AR_MARTIMA, ON 1/27/2026 5:20:35 PM</t>
        </is>
      </c>
      <c r="H324" t="inlineStr">
        <is>
          <t>AR_MARTIMA</t>
        </is>
      </c>
      <c r="J324" t="inlineStr">
        <is>
          <t>03-FEB-2026</t>
        </is>
      </c>
      <c r="K324" t="inlineStr">
        <is>
          <t>01-FEB-2026</t>
        </is>
      </c>
      <c r="L324" t="inlineStr">
        <is>
          <t>03-FEB-2026</t>
        </is>
      </c>
      <c r="M324" t="inlineStr">
        <is>
          <t>REF000000</t>
        </is>
      </c>
      <c r="N324" t="inlineStr">
        <is>
          <t>USSEA</t>
        </is>
      </c>
      <c r="O324" t="inlineStr">
        <is>
          <t>USSEA</t>
        </is>
      </c>
      <c r="P324" t="inlineStr">
        <is>
          <t>USNFK</t>
        </is>
      </c>
      <c r="U324" t="inlineStr">
        <is>
          <t>RULED</t>
        </is>
      </c>
      <c r="V324" t="inlineStr">
        <is>
          <t>RULED</t>
        </is>
      </c>
      <c r="W324" t="inlineStr">
        <is>
          <t>CANADA</t>
        </is>
      </c>
      <c r="X324" t="inlineStr">
        <is>
          <t>PERSIAN GULF</t>
        </is>
      </c>
      <c r="Y324" t="inlineStr">
        <is>
          <t>RUSSIA</t>
        </is>
      </c>
      <c r="Z324" t="inlineStr">
        <is>
          <t>External Review</t>
        </is>
      </c>
      <c r="AA324" t="inlineStr">
        <is>
          <t>HUB SHIPPING LLC-LED</t>
        </is>
      </c>
      <c r="AB324" t="inlineStr">
        <is>
          <t>Prepaid</t>
        </is>
      </c>
      <c r="AC324" t="inlineStr">
        <is>
          <t>TIGER PLATA/966N</t>
        </is>
      </c>
      <c r="AD324" t="inlineStr">
        <is>
          <t>LI DA XING / VOYAGE 1</t>
        </is>
      </c>
      <c r="AE324" t="inlineStr">
        <is>
          <t>LADEN BOOKING</t>
        </is>
      </c>
      <c r="AF324" t="inlineStr">
        <is>
          <t>AR_MARTIMA</t>
        </is>
      </c>
      <c r="AG324" t="inlineStr">
        <is>
          <t>RH40</t>
        </is>
      </c>
      <c r="AI324" t="n">
        <v>40</v>
      </c>
      <c r="AJ324" t="n">
        <v>0</v>
      </c>
      <c r="AK324" t="n">
        <v>1</v>
      </c>
      <c r="AL324" t="inlineStr">
        <is>
          <t>ANON0000000</t>
        </is>
      </c>
      <c r="AM324" t="n">
        <v>-18</v>
      </c>
      <c r="AP324" t="inlineStr">
        <is>
          <t>Non Haz</t>
        </is>
      </c>
      <c r="AQ324" t="inlineStr">
        <is>
          <t>CY/CY</t>
        </is>
      </c>
      <c r="AT324" t="inlineStr">
        <is>
          <t>REF000000</t>
        </is>
      </c>
      <c r="AU324" t="n">
        <v>29000</v>
      </c>
      <c r="AV324" t="inlineStr">
        <is>
          <t>FROZEN MEAT</t>
        </is>
      </c>
      <c r="AW324" t="inlineStr">
        <is>
          <t>NCM 020622</t>
        </is>
      </c>
      <c r="AX324" t="inlineStr">
        <is>
          <t>RSAMI122500031</t>
        </is>
      </c>
      <c r="AZ324" t="n">
        <v>0</v>
      </c>
      <c r="BA324" t="n">
        <v>10</v>
      </c>
      <c r="BB324" t="n">
        <v>10</v>
      </c>
      <c r="BC324" t="n">
        <v>6800</v>
      </c>
      <c r="BD324" t="inlineStr">
        <is>
          <t>No</t>
        </is>
      </c>
      <c r="BF324" t="inlineStr">
        <is>
          <t>Bengal Tiger Line -BTL</t>
        </is>
      </c>
      <c r="BG324" t="inlineStr">
        <is>
          <t>USSEA</t>
        </is>
      </c>
      <c r="BH324" t="n">
        <v>0</v>
      </c>
      <c r="BI324" t="n">
        <v>1</v>
      </c>
      <c r="BJ324" t="n">
        <v>6800</v>
      </c>
      <c r="BK324" t="inlineStr">
        <is>
          <t>LINE</t>
        </is>
      </c>
      <c r="BL324" t="inlineStr">
        <is>
          <t>MARLIN REEFER</t>
        </is>
      </c>
      <c r="BM324" t="inlineStr">
        <is>
          <t>MARLIN REEFER</t>
        </is>
      </c>
    </row>
    <row r="325">
      <c r="A325" t="n">
        <v>324</v>
      </c>
      <c r="B325" t="inlineStr">
        <is>
          <t>TURTLE REEFER</t>
        </is>
      </c>
      <c r="C325" t="inlineStr">
        <is>
          <t>REF000000</t>
        </is>
      </c>
      <c r="D325" t="inlineStr">
        <is>
          <t>REF000000</t>
        </is>
      </c>
      <c r="E325" t="n">
        <v>46049</v>
      </c>
      <c r="F325" t="inlineStr">
        <is>
          <t>TURTLE REEFER</t>
        </is>
      </c>
      <c r="G325" t="inlineStr">
        <is>
          <t>ENTERED THROUGH SPLIT BOOKING FROM THE BOOKING ID REF000000, BY AR_MARTIMA, ON 1/27/2026 5:20:35 PM</t>
        </is>
      </c>
      <c r="H325" t="inlineStr">
        <is>
          <t>AR_MARTIMA</t>
        </is>
      </c>
      <c r="J325" t="inlineStr">
        <is>
          <t>03-FEB-2026</t>
        </is>
      </c>
      <c r="K325" t="inlineStr">
        <is>
          <t>01-FEB-2026</t>
        </is>
      </c>
      <c r="L325" t="inlineStr">
        <is>
          <t>03-FEB-2026</t>
        </is>
      </c>
      <c r="M325" t="inlineStr">
        <is>
          <t>REF000000</t>
        </is>
      </c>
      <c r="N325" t="inlineStr">
        <is>
          <t>USSEA</t>
        </is>
      </c>
      <c r="O325" t="inlineStr">
        <is>
          <t>USSEA</t>
        </is>
      </c>
      <c r="P325" t="inlineStr">
        <is>
          <t>USNFK</t>
        </is>
      </c>
      <c r="U325" t="inlineStr">
        <is>
          <t>RULED</t>
        </is>
      </c>
      <c r="V325" t="inlineStr">
        <is>
          <t>RULED</t>
        </is>
      </c>
      <c r="W325" t="inlineStr">
        <is>
          <t>CANADA</t>
        </is>
      </c>
      <c r="X325" t="inlineStr">
        <is>
          <t>PERSIAN GULF</t>
        </is>
      </c>
      <c r="Y325" t="inlineStr">
        <is>
          <t>RUSSIA</t>
        </is>
      </c>
      <c r="Z325" t="inlineStr">
        <is>
          <t>External Review</t>
        </is>
      </c>
      <c r="AA325" t="inlineStr">
        <is>
          <t>HUB SHIPPING LLC-LED</t>
        </is>
      </c>
      <c r="AB325" t="inlineStr">
        <is>
          <t>Prepaid</t>
        </is>
      </c>
      <c r="AC325" t="inlineStr">
        <is>
          <t>TIGER PLATA/966N</t>
        </is>
      </c>
      <c r="AD325" t="inlineStr">
        <is>
          <t>LI DA XING / VOYAGE 1</t>
        </is>
      </c>
      <c r="AE325" t="inlineStr">
        <is>
          <t>LADEN BOOKING</t>
        </is>
      </c>
      <c r="AF325" t="inlineStr">
        <is>
          <t>AR_MARTIMA</t>
        </is>
      </c>
      <c r="AG325" t="inlineStr">
        <is>
          <t>RH40</t>
        </is>
      </c>
      <c r="AI325" t="n">
        <v>40</v>
      </c>
      <c r="AJ325" t="n">
        <v>0</v>
      </c>
      <c r="AK325" t="n">
        <v>1</v>
      </c>
      <c r="AL325" t="inlineStr">
        <is>
          <t>ANON0000000</t>
        </is>
      </c>
      <c r="AM325" t="n">
        <v>-18</v>
      </c>
      <c r="AP325" t="inlineStr">
        <is>
          <t>Non Haz</t>
        </is>
      </c>
      <c r="AQ325" t="inlineStr">
        <is>
          <t>CY/CY</t>
        </is>
      </c>
      <c r="AT325" t="inlineStr">
        <is>
          <t>REF000000</t>
        </is>
      </c>
      <c r="AU325" t="n">
        <v>29000</v>
      </c>
      <c r="AV325" t="inlineStr">
        <is>
          <t>FROZEN MEAT</t>
        </is>
      </c>
      <c r="AW325" t="inlineStr">
        <is>
          <t>NCM 020621</t>
        </is>
      </c>
      <c r="AX325" t="inlineStr">
        <is>
          <t>RSAMI122500031</t>
        </is>
      </c>
      <c r="AZ325" t="n">
        <v>0</v>
      </c>
      <c r="BA325" t="n">
        <v>10</v>
      </c>
      <c r="BB325" t="n">
        <v>10</v>
      </c>
      <c r="BC325" t="n">
        <v>6800</v>
      </c>
      <c r="BD325" t="inlineStr">
        <is>
          <t>No</t>
        </is>
      </c>
      <c r="BF325" t="inlineStr">
        <is>
          <t>Bengal Tiger Line -BTL</t>
        </is>
      </c>
      <c r="BG325" t="inlineStr">
        <is>
          <t>USSEA</t>
        </is>
      </c>
      <c r="BH325" t="n">
        <v>0</v>
      </c>
      <c r="BI325" t="n">
        <v>1</v>
      </c>
      <c r="BJ325" t="n">
        <v>6800</v>
      </c>
      <c r="BK325" t="inlineStr">
        <is>
          <t>LINE</t>
        </is>
      </c>
      <c r="BL325" t="inlineStr">
        <is>
          <t>TURTLE REEFER</t>
        </is>
      </c>
      <c r="BM325" t="inlineStr">
        <is>
          <t>TURTLE REEFER</t>
        </is>
      </c>
    </row>
    <row r="326">
      <c r="A326" t="n">
        <v>325</v>
      </c>
      <c r="B326" t="inlineStr">
        <is>
          <t>ORCA REEFER</t>
        </is>
      </c>
      <c r="C326" t="inlineStr">
        <is>
          <t>REF000000</t>
        </is>
      </c>
      <c r="D326" t="inlineStr">
        <is>
          <t>REF000000</t>
        </is>
      </c>
      <c r="E326" t="n">
        <v>46049</v>
      </c>
      <c r="F326" t="inlineStr">
        <is>
          <t>ORCA REEFER</t>
        </is>
      </c>
      <c r="G326" t="inlineStr">
        <is>
          <t>ENTERED THROUGH SPLIT BOOKING FROM THE BOOKING ID REF000000, BY AR_MARTIMA, ON 1/27/2026 5:20:36 PM</t>
        </is>
      </c>
      <c r="H326" t="inlineStr">
        <is>
          <t>AR_MARTIMA</t>
        </is>
      </c>
      <c r="J326" t="inlineStr">
        <is>
          <t>03-FEB-2026</t>
        </is>
      </c>
      <c r="K326" t="inlineStr">
        <is>
          <t>01-FEB-2026</t>
        </is>
      </c>
      <c r="L326" t="inlineStr">
        <is>
          <t>03-FEB-2026</t>
        </is>
      </c>
      <c r="M326" t="inlineStr">
        <is>
          <t>REF000000</t>
        </is>
      </c>
      <c r="N326" t="inlineStr">
        <is>
          <t>USSEA</t>
        </is>
      </c>
      <c r="O326" t="inlineStr">
        <is>
          <t>USSEA</t>
        </is>
      </c>
      <c r="P326" t="inlineStr">
        <is>
          <t>USNFK</t>
        </is>
      </c>
      <c r="U326" t="inlineStr">
        <is>
          <t>RULED</t>
        </is>
      </c>
      <c r="V326" t="inlineStr">
        <is>
          <t>RULED</t>
        </is>
      </c>
      <c r="W326" t="inlineStr">
        <is>
          <t>CANADA</t>
        </is>
      </c>
      <c r="X326" t="inlineStr">
        <is>
          <t>PERSIAN GULF</t>
        </is>
      </c>
      <c r="Y326" t="inlineStr">
        <is>
          <t>RUSSIA</t>
        </is>
      </c>
      <c r="Z326" t="inlineStr">
        <is>
          <t>External Review</t>
        </is>
      </c>
      <c r="AA326" t="inlineStr">
        <is>
          <t>HUB SHIPPING LLC-LED</t>
        </is>
      </c>
      <c r="AB326" t="inlineStr">
        <is>
          <t>Prepaid</t>
        </is>
      </c>
      <c r="AC326" t="inlineStr">
        <is>
          <t>TIGER PLATA/966N</t>
        </is>
      </c>
      <c r="AD326" t="inlineStr">
        <is>
          <t>LI DA XING / VOYAGE 1</t>
        </is>
      </c>
      <c r="AE326" t="inlineStr">
        <is>
          <t>LADEN BOOKING</t>
        </is>
      </c>
      <c r="AF326" t="inlineStr">
        <is>
          <t>AR_MARTIMA</t>
        </is>
      </c>
      <c r="AG326" t="inlineStr">
        <is>
          <t>RH40</t>
        </is>
      </c>
      <c r="AI326" t="n">
        <v>40</v>
      </c>
      <c r="AJ326" t="n">
        <v>0</v>
      </c>
      <c r="AK326" t="n">
        <v>1</v>
      </c>
      <c r="AL326" t="inlineStr">
        <is>
          <t>ANON0000000</t>
        </is>
      </c>
      <c r="AM326" t="n">
        <v>-18</v>
      </c>
      <c r="AP326" t="inlineStr">
        <is>
          <t>Non Haz</t>
        </is>
      </c>
      <c r="AQ326" t="inlineStr">
        <is>
          <t>CY/CY</t>
        </is>
      </c>
      <c r="AT326" t="inlineStr">
        <is>
          <t>REF000000</t>
        </is>
      </c>
      <c r="AU326" t="n">
        <v>29000</v>
      </c>
      <c r="AV326" t="inlineStr">
        <is>
          <t>FROZEN MEAT</t>
        </is>
      </c>
      <c r="AW326" t="inlineStr">
        <is>
          <t>NCM 020629</t>
        </is>
      </c>
      <c r="AX326" t="inlineStr">
        <is>
          <t>RSAMI122500031</t>
        </is>
      </c>
      <c r="AZ326" t="n">
        <v>0</v>
      </c>
      <c r="BA326" t="n">
        <v>10</v>
      </c>
      <c r="BB326" t="n">
        <v>10</v>
      </c>
      <c r="BC326" t="n">
        <v>6800</v>
      </c>
      <c r="BD326" t="inlineStr">
        <is>
          <t>No</t>
        </is>
      </c>
      <c r="BF326" t="inlineStr">
        <is>
          <t>Bengal Tiger Line -BTL</t>
        </is>
      </c>
      <c r="BG326" t="inlineStr">
        <is>
          <t>USSEA</t>
        </is>
      </c>
      <c r="BH326" t="n">
        <v>0</v>
      </c>
      <c r="BI326" t="n">
        <v>1</v>
      </c>
      <c r="BJ326" t="n">
        <v>6800</v>
      </c>
      <c r="BK326" t="inlineStr">
        <is>
          <t>LINE</t>
        </is>
      </c>
      <c r="BL326" t="inlineStr">
        <is>
          <t>ORCA REEFER</t>
        </is>
      </c>
      <c r="BM326" t="inlineStr">
        <is>
          <t>ORCA REEFER</t>
        </is>
      </c>
    </row>
    <row r="327">
      <c r="A327" t="n">
        <v>326</v>
      </c>
      <c r="B327" t="inlineStr">
        <is>
          <t>WHALE REEFER</t>
        </is>
      </c>
      <c r="C327" t="inlineStr">
        <is>
          <t>REF000000</t>
        </is>
      </c>
      <c r="D327" t="inlineStr">
        <is>
          <t>REF000000</t>
        </is>
      </c>
      <c r="E327" t="n">
        <v>46049</v>
      </c>
      <c r="F327" t="inlineStr">
        <is>
          <t>WHALE REEFER</t>
        </is>
      </c>
      <c r="G327" t="inlineStr">
        <is>
          <t>ENTERED THROUGH SPLIT BOOKING FROM THE BOOKING ID REF000000, BY AR_MARTIMA, ON 1/27/2026 5:20:36 PM</t>
        </is>
      </c>
      <c r="H327" t="inlineStr">
        <is>
          <t>AR_MARTIMA</t>
        </is>
      </c>
      <c r="J327" t="inlineStr">
        <is>
          <t>03-FEB-2026</t>
        </is>
      </c>
      <c r="K327" t="inlineStr">
        <is>
          <t>01-FEB-2026</t>
        </is>
      </c>
      <c r="L327" t="inlineStr">
        <is>
          <t>03-FEB-2026</t>
        </is>
      </c>
      <c r="M327" t="inlineStr">
        <is>
          <t>REF000000</t>
        </is>
      </c>
      <c r="N327" t="inlineStr">
        <is>
          <t>USSEA</t>
        </is>
      </c>
      <c r="O327" t="inlineStr">
        <is>
          <t>USSEA</t>
        </is>
      </c>
      <c r="P327" t="inlineStr">
        <is>
          <t>USNFK</t>
        </is>
      </c>
      <c r="U327" t="inlineStr">
        <is>
          <t>RULED</t>
        </is>
      </c>
      <c r="V327" t="inlineStr">
        <is>
          <t>RULED</t>
        </is>
      </c>
      <c r="W327" t="inlineStr">
        <is>
          <t>CANADA</t>
        </is>
      </c>
      <c r="X327" t="inlineStr">
        <is>
          <t>PERSIAN GULF</t>
        </is>
      </c>
      <c r="Y327" t="inlineStr">
        <is>
          <t>RUSSIA</t>
        </is>
      </c>
      <c r="Z327" t="inlineStr">
        <is>
          <t>External Review</t>
        </is>
      </c>
      <c r="AA327" t="inlineStr">
        <is>
          <t>HUB SHIPPING LLC-LED</t>
        </is>
      </c>
      <c r="AB327" t="inlineStr">
        <is>
          <t>Prepaid</t>
        </is>
      </c>
      <c r="AC327" t="inlineStr">
        <is>
          <t>TIGER PLATA/966N</t>
        </is>
      </c>
      <c r="AD327" t="inlineStr">
        <is>
          <t>LI DA XING / VOYAGE 1</t>
        </is>
      </c>
      <c r="AE327" t="inlineStr">
        <is>
          <t>LADEN BOOKING</t>
        </is>
      </c>
      <c r="AF327" t="inlineStr">
        <is>
          <t>AR_MARTIMA</t>
        </is>
      </c>
      <c r="AG327" t="inlineStr">
        <is>
          <t>RH40</t>
        </is>
      </c>
      <c r="AI327" t="n">
        <v>40</v>
      </c>
      <c r="AJ327" t="n">
        <v>0</v>
      </c>
      <c r="AK327" t="n">
        <v>1</v>
      </c>
      <c r="AL327" t="inlineStr">
        <is>
          <t>ANON0000000</t>
        </is>
      </c>
      <c r="AM327" t="n">
        <v>-18</v>
      </c>
      <c r="AP327" t="inlineStr">
        <is>
          <t>Non Haz</t>
        </is>
      </c>
      <c r="AQ327" t="inlineStr">
        <is>
          <t>CY/CY</t>
        </is>
      </c>
      <c r="AT327" t="inlineStr">
        <is>
          <t>REF000000</t>
        </is>
      </c>
      <c r="AU327" t="n">
        <v>29000</v>
      </c>
      <c r="AV327" t="inlineStr">
        <is>
          <t>FROZEN MEAT</t>
        </is>
      </c>
      <c r="AW327" t="inlineStr">
        <is>
          <t>NCM: 0206.29 NCM: 0206.21</t>
        </is>
      </c>
      <c r="AX327" t="inlineStr">
        <is>
          <t>RSAMI122500031</t>
        </is>
      </c>
      <c r="AZ327" t="n">
        <v>0</v>
      </c>
      <c r="BA327" t="n">
        <v>10</v>
      </c>
      <c r="BB327" t="n">
        <v>10</v>
      </c>
      <c r="BC327" t="n">
        <v>6800</v>
      </c>
      <c r="BD327" t="inlineStr">
        <is>
          <t>No</t>
        </is>
      </c>
      <c r="BF327" t="inlineStr">
        <is>
          <t>Bengal Tiger Line -BTL</t>
        </is>
      </c>
      <c r="BG327" t="inlineStr">
        <is>
          <t>USSEA</t>
        </is>
      </c>
      <c r="BH327" t="n">
        <v>0</v>
      </c>
      <c r="BI327" t="n">
        <v>1</v>
      </c>
      <c r="BJ327" t="n">
        <v>6800</v>
      </c>
      <c r="BK327" t="inlineStr">
        <is>
          <t>LINE</t>
        </is>
      </c>
      <c r="BL327" t="inlineStr">
        <is>
          <t>WHALE REEFER</t>
        </is>
      </c>
      <c r="BM327" t="inlineStr">
        <is>
          <t>WHALE REEFER</t>
        </is>
      </c>
    </row>
    <row r="328">
      <c r="A328" t="n">
        <v>327</v>
      </c>
      <c r="B328" t="inlineStr">
        <is>
          <t>SEAL REEFER</t>
        </is>
      </c>
      <c r="C328" t="inlineStr">
        <is>
          <t>REF000000</t>
        </is>
      </c>
      <c r="D328" t="inlineStr">
        <is>
          <t>REF000000</t>
        </is>
      </c>
      <c r="E328" t="n">
        <v>46049</v>
      </c>
      <c r="F328" t="inlineStr">
        <is>
          <t>SEAL REEFER</t>
        </is>
      </c>
      <c r="G328" t="inlineStr">
        <is>
          <t>ENTERED THROUGH SPLIT BOOKING FROM THE BOOKING ID REF000000, BY AR_MARTIMA, ON 1/27/2026 5:20:36 PM</t>
        </is>
      </c>
      <c r="H328" t="inlineStr">
        <is>
          <t>AR_MARTIMA</t>
        </is>
      </c>
      <c r="J328" t="inlineStr">
        <is>
          <t>03-FEB-2026</t>
        </is>
      </c>
      <c r="K328" t="inlineStr">
        <is>
          <t>01-FEB-2026</t>
        </is>
      </c>
      <c r="L328" t="inlineStr">
        <is>
          <t>03-FEB-2026</t>
        </is>
      </c>
      <c r="M328" t="inlineStr">
        <is>
          <t>REF000000</t>
        </is>
      </c>
      <c r="N328" t="inlineStr">
        <is>
          <t>USSEA</t>
        </is>
      </c>
      <c r="O328" t="inlineStr">
        <is>
          <t>USSEA</t>
        </is>
      </c>
      <c r="P328" t="inlineStr">
        <is>
          <t>USNFK</t>
        </is>
      </c>
      <c r="U328" t="inlineStr">
        <is>
          <t>RULED</t>
        </is>
      </c>
      <c r="V328" t="inlineStr">
        <is>
          <t>RULED</t>
        </is>
      </c>
      <c r="W328" t="inlineStr">
        <is>
          <t>CANADA</t>
        </is>
      </c>
      <c r="X328" t="inlineStr">
        <is>
          <t>PERSIAN GULF</t>
        </is>
      </c>
      <c r="Y328" t="inlineStr">
        <is>
          <t>RUSSIA</t>
        </is>
      </c>
      <c r="Z328" t="inlineStr">
        <is>
          <t>External Review</t>
        </is>
      </c>
      <c r="AA328" t="inlineStr">
        <is>
          <t>HUB SHIPPING LLC-LED</t>
        </is>
      </c>
      <c r="AB328" t="inlineStr">
        <is>
          <t>Prepaid</t>
        </is>
      </c>
      <c r="AC328" t="inlineStr">
        <is>
          <t>TIGER PLATA/966N</t>
        </is>
      </c>
      <c r="AD328" t="inlineStr">
        <is>
          <t>LI DA XING / VOYAGE 1</t>
        </is>
      </c>
      <c r="AE328" t="inlineStr">
        <is>
          <t>LADEN BOOKING</t>
        </is>
      </c>
      <c r="AF328" t="inlineStr">
        <is>
          <t>AR_MARTIMA</t>
        </is>
      </c>
      <c r="AG328" t="inlineStr">
        <is>
          <t>RH40</t>
        </is>
      </c>
      <c r="AI328" t="n">
        <v>40</v>
      </c>
      <c r="AJ328" t="n">
        <v>0</v>
      </c>
      <c r="AK328" t="n">
        <v>1</v>
      </c>
      <c r="AL328" t="inlineStr">
        <is>
          <t>ANON0000000</t>
        </is>
      </c>
      <c r="AM328" t="n">
        <v>-18</v>
      </c>
      <c r="AP328" t="inlineStr">
        <is>
          <t>Non Haz</t>
        </is>
      </c>
      <c r="AQ328" t="inlineStr">
        <is>
          <t>CY/CY</t>
        </is>
      </c>
      <c r="AT328" t="inlineStr">
        <is>
          <t>REF000000</t>
        </is>
      </c>
      <c r="AU328" t="n">
        <v>29000</v>
      </c>
      <c r="AV328" t="inlineStr">
        <is>
          <t>FROZEN MEAT</t>
        </is>
      </c>
      <c r="AW328" t="inlineStr">
        <is>
          <t>NCM 020622</t>
        </is>
      </c>
      <c r="AX328" t="inlineStr">
        <is>
          <t>RSAMI122500031</t>
        </is>
      </c>
      <c r="AZ328" t="n">
        <v>0</v>
      </c>
      <c r="BA328" t="n">
        <v>10</v>
      </c>
      <c r="BB328" t="n">
        <v>10</v>
      </c>
      <c r="BC328" t="n">
        <v>6800</v>
      </c>
      <c r="BD328" t="inlineStr">
        <is>
          <t>No</t>
        </is>
      </c>
      <c r="BF328" t="inlineStr">
        <is>
          <t>Bengal Tiger Line -BTL</t>
        </is>
      </c>
      <c r="BG328" t="inlineStr">
        <is>
          <t>USSEA</t>
        </is>
      </c>
      <c r="BH328" t="n">
        <v>0</v>
      </c>
      <c r="BI328" t="n">
        <v>1</v>
      </c>
      <c r="BJ328" t="n">
        <v>6800</v>
      </c>
      <c r="BK328" t="inlineStr">
        <is>
          <t>LINE</t>
        </is>
      </c>
      <c r="BL328" t="inlineStr">
        <is>
          <t>SEAL REEFER</t>
        </is>
      </c>
      <c r="BM328" t="inlineStr">
        <is>
          <t>SEAL REEFER</t>
        </is>
      </c>
    </row>
    <row r="329">
      <c r="A329" t="n">
        <v>328</v>
      </c>
      <c r="B329" t="inlineStr">
        <is>
          <t>SHARK REEFER</t>
        </is>
      </c>
      <c r="C329" t="inlineStr">
        <is>
          <t>REF000000</t>
        </is>
      </c>
      <c r="D329" t="inlineStr">
        <is>
          <t>REF000000</t>
        </is>
      </c>
      <c r="E329" t="n">
        <v>46049</v>
      </c>
      <c r="F329" t="inlineStr">
        <is>
          <t>SHARK REEFER</t>
        </is>
      </c>
      <c r="G329" t="inlineStr">
        <is>
          <t>ENTERED THROUGH SPLIT BOOKING FROM THE BOOKING ID REF000000, BY AR_MARTIMA, ON 1/27/2026 5:20:36 PM</t>
        </is>
      </c>
      <c r="H329" t="inlineStr">
        <is>
          <t>AR_MARTIMA</t>
        </is>
      </c>
      <c r="J329" t="inlineStr">
        <is>
          <t>03-FEB-2026</t>
        </is>
      </c>
      <c r="K329" t="inlineStr">
        <is>
          <t>01-FEB-2026</t>
        </is>
      </c>
      <c r="L329" t="inlineStr">
        <is>
          <t>03-FEB-2026</t>
        </is>
      </c>
      <c r="M329" t="inlineStr">
        <is>
          <t>REF000000</t>
        </is>
      </c>
      <c r="N329" t="inlineStr">
        <is>
          <t>USSEA</t>
        </is>
      </c>
      <c r="O329" t="inlineStr">
        <is>
          <t>USSEA</t>
        </is>
      </c>
      <c r="P329" t="inlineStr">
        <is>
          <t>USNFK</t>
        </is>
      </c>
      <c r="U329" t="inlineStr">
        <is>
          <t>RULED</t>
        </is>
      </c>
      <c r="V329" t="inlineStr">
        <is>
          <t>RULED</t>
        </is>
      </c>
      <c r="W329" t="inlineStr">
        <is>
          <t>CANADA</t>
        </is>
      </c>
      <c r="X329" t="inlineStr">
        <is>
          <t>PERSIAN GULF</t>
        </is>
      </c>
      <c r="Y329" t="inlineStr">
        <is>
          <t>RUSSIA</t>
        </is>
      </c>
      <c r="Z329" t="inlineStr">
        <is>
          <t>External Review</t>
        </is>
      </c>
      <c r="AA329" t="inlineStr">
        <is>
          <t>HUB SHIPPING LLC-LED</t>
        </is>
      </c>
      <c r="AB329" t="inlineStr">
        <is>
          <t>Prepaid</t>
        </is>
      </c>
      <c r="AC329" t="inlineStr">
        <is>
          <t>TIGER PLATA/966N</t>
        </is>
      </c>
      <c r="AD329" t="inlineStr">
        <is>
          <t>LI DA XING / VOYAGE 1</t>
        </is>
      </c>
      <c r="AE329" t="inlineStr">
        <is>
          <t>LADEN BOOKING</t>
        </is>
      </c>
      <c r="AF329" t="inlineStr">
        <is>
          <t>AR_MARTIMA</t>
        </is>
      </c>
      <c r="AG329" t="inlineStr">
        <is>
          <t>RH40</t>
        </is>
      </c>
      <c r="AI329" t="n">
        <v>40</v>
      </c>
      <c r="AJ329" t="n">
        <v>0</v>
      </c>
      <c r="AK329" t="n">
        <v>1</v>
      </c>
      <c r="AL329" t="inlineStr">
        <is>
          <t>ANON0000000</t>
        </is>
      </c>
      <c r="AM329" t="n">
        <v>-18</v>
      </c>
      <c r="AP329" t="inlineStr">
        <is>
          <t>Non Haz</t>
        </is>
      </c>
      <c r="AQ329" t="inlineStr">
        <is>
          <t>CY/CY</t>
        </is>
      </c>
      <c r="AT329" t="inlineStr">
        <is>
          <t>REF000000</t>
        </is>
      </c>
      <c r="AU329" t="n">
        <v>29000</v>
      </c>
      <c r="AV329" t="inlineStr">
        <is>
          <t>FROZEN MEAT</t>
        </is>
      </c>
      <c r="AW329" t="inlineStr">
        <is>
          <t>NCM 020622</t>
        </is>
      </c>
      <c r="AX329" t="inlineStr">
        <is>
          <t>RSAMI122500031</t>
        </is>
      </c>
      <c r="AZ329" t="n">
        <v>0</v>
      </c>
      <c r="BA329" t="n">
        <v>10</v>
      </c>
      <c r="BB329" t="n">
        <v>10</v>
      </c>
      <c r="BC329" t="n">
        <v>6800</v>
      </c>
      <c r="BD329" t="inlineStr">
        <is>
          <t>No</t>
        </is>
      </c>
      <c r="BF329" t="inlineStr">
        <is>
          <t>Bengal Tiger Line -BTL</t>
        </is>
      </c>
      <c r="BG329" t="inlineStr">
        <is>
          <t>USSEA</t>
        </is>
      </c>
      <c r="BH329" t="n">
        <v>0</v>
      </c>
      <c r="BI329" t="n">
        <v>1</v>
      </c>
      <c r="BJ329" t="n">
        <v>6800</v>
      </c>
      <c r="BK329" t="inlineStr">
        <is>
          <t>LINE</t>
        </is>
      </c>
      <c r="BL329" t="inlineStr">
        <is>
          <t>SHARK REEFER</t>
        </is>
      </c>
      <c r="BM329" t="inlineStr">
        <is>
          <t>SHARK REEFER</t>
        </is>
      </c>
    </row>
    <row r="330">
      <c r="A330" t="n">
        <v>329</v>
      </c>
      <c r="B330" t="inlineStr">
        <is>
          <t>DOLPHIN REEFER</t>
        </is>
      </c>
      <c r="C330" t="inlineStr">
        <is>
          <t>REF000000</t>
        </is>
      </c>
      <c r="D330" t="inlineStr">
        <is>
          <t>REF000000</t>
        </is>
      </c>
      <c r="E330" t="n">
        <v>46049</v>
      </c>
      <c r="F330" t="inlineStr">
        <is>
          <t>DOLPHIN REEFER</t>
        </is>
      </c>
      <c r="G330" t="inlineStr">
        <is>
          <t>ENTERED THROUGH SPLIT BOOKING FROM THE BOOKING ID REF000000, BY AR_MARTIMA, ON 1/27/2026 5:20:36 PM</t>
        </is>
      </c>
      <c r="H330" t="inlineStr">
        <is>
          <t>AR_MARTIMA</t>
        </is>
      </c>
      <c r="J330" t="inlineStr">
        <is>
          <t>03-FEB-2026</t>
        </is>
      </c>
      <c r="K330" t="inlineStr">
        <is>
          <t>01-FEB-2026</t>
        </is>
      </c>
      <c r="L330" t="inlineStr">
        <is>
          <t>03-FEB-2026</t>
        </is>
      </c>
      <c r="M330" t="inlineStr">
        <is>
          <t>REF000000</t>
        </is>
      </c>
      <c r="N330" t="inlineStr">
        <is>
          <t>USSEA</t>
        </is>
      </c>
      <c r="O330" t="inlineStr">
        <is>
          <t>USSEA</t>
        </is>
      </c>
      <c r="P330" t="inlineStr">
        <is>
          <t>USNFK</t>
        </is>
      </c>
      <c r="U330" t="inlineStr">
        <is>
          <t>RULED</t>
        </is>
      </c>
      <c r="V330" t="inlineStr">
        <is>
          <t>RULED</t>
        </is>
      </c>
      <c r="W330" t="inlineStr">
        <is>
          <t>CANADA</t>
        </is>
      </c>
      <c r="X330" t="inlineStr">
        <is>
          <t>PERSIAN GULF</t>
        </is>
      </c>
      <c r="Y330" t="inlineStr">
        <is>
          <t>RUSSIA</t>
        </is>
      </c>
      <c r="Z330" t="inlineStr">
        <is>
          <t>External Review</t>
        </is>
      </c>
      <c r="AA330" t="inlineStr">
        <is>
          <t>HUB SHIPPING LLC-LED</t>
        </is>
      </c>
      <c r="AB330" t="inlineStr">
        <is>
          <t>Prepaid</t>
        </is>
      </c>
      <c r="AC330" t="inlineStr">
        <is>
          <t>TIGER PLATA/966N</t>
        </is>
      </c>
      <c r="AD330" t="inlineStr">
        <is>
          <t>LI DA XING / VOYAGE 1</t>
        </is>
      </c>
      <c r="AE330" t="inlineStr">
        <is>
          <t>LADEN BOOKING</t>
        </is>
      </c>
      <c r="AF330" t="inlineStr">
        <is>
          <t>AR_MARTIMA</t>
        </is>
      </c>
      <c r="AG330" t="inlineStr">
        <is>
          <t>RH40</t>
        </is>
      </c>
      <c r="AI330" t="n">
        <v>40</v>
      </c>
      <c r="AJ330" t="n">
        <v>0</v>
      </c>
      <c r="AK330" t="n">
        <v>1</v>
      </c>
      <c r="AL330" t="inlineStr">
        <is>
          <t>ANON0000000</t>
        </is>
      </c>
      <c r="AM330" t="n">
        <v>-18</v>
      </c>
      <c r="AP330" t="inlineStr">
        <is>
          <t>Non Haz</t>
        </is>
      </c>
      <c r="AQ330" t="inlineStr">
        <is>
          <t>CY/CY</t>
        </is>
      </c>
      <c r="AT330" t="inlineStr">
        <is>
          <t>REF000000</t>
        </is>
      </c>
      <c r="AU330" t="n">
        <v>29000</v>
      </c>
      <c r="AV330" t="inlineStr">
        <is>
          <t>FROZEN MEAT</t>
        </is>
      </c>
      <c r="AW330" t="inlineStr">
        <is>
          <t>NCM 020622</t>
        </is>
      </c>
      <c r="AX330" t="inlineStr">
        <is>
          <t>RSAMI122500031</t>
        </is>
      </c>
      <c r="AZ330" t="n">
        <v>0</v>
      </c>
      <c r="BA330" t="n">
        <v>10</v>
      </c>
      <c r="BB330" t="n">
        <v>10</v>
      </c>
      <c r="BC330" t="n">
        <v>6800</v>
      </c>
      <c r="BD330" t="inlineStr">
        <is>
          <t>No</t>
        </is>
      </c>
      <c r="BF330" t="inlineStr">
        <is>
          <t>Bengal Tiger Line -BTL</t>
        </is>
      </c>
      <c r="BG330" t="inlineStr">
        <is>
          <t>USSEA</t>
        </is>
      </c>
      <c r="BH330" t="n">
        <v>0</v>
      </c>
      <c r="BI330" t="n">
        <v>1</v>
      </c>
      <c r="BJ330" t="n">
        <v>6800</v>
      </c>
      <c r="BK330" t="inlineStr">
        <is>
          <t>LINE</t>
        </is>
      </c>
      <c r="BL330" t="inlineStr">
        <is>
          <t>DOLPHIN REEFER</t>
        </is>
      </c>
      <c r="BM330" t="inlineStr">
        <is>
          <t>DOLPHIN REEFER</t>
        </is>
      </c>
    </row>
    <row r="331">
      <c r="A331" t="n">
        <v>330</v>
      </c>
      <c r="B331" t="inlineStr">
        <is>
          <t>MARLIN REEFER</t>
        </is>
      </c>
      <c r="C331" t="inlineStr">
        <is>
          <t>REF000000</t>
        </is>
      </c>
      <c r="D331" t="inlineStr">
        <is>
          <t>REF000000</t>
        </is>
      </c>
      <c r="E331" t="n">
        <v>46049</v>
      </c>
      <c r="F331" t="inlineStr">
        <is>
          <t>MARLIN REEFER</t>
        </is>
      </c>
      <c r="G331" t="inlineStr">
        <is>
          <t>ENTERED THROUGH SPLIT BOOKING FROM THE BOOKING ID REF000000, BY AR_MARTIMA, ON 1/27/2026 5:20:36 PM</t>
        </is>
      </c>
      <c r="H331" t="inlineStr">
        <is>
          <t>AR_MARTIMA</t>
        </is>
      </c>
      <c r="J331" t="inlineStr">
        <is>
          <t>03-FEB-2026</t>
        </is>
      </c>
      <c r="K331" t="inlineStr">
        <is>
          <t>01-FEB-2026</t>
        </is>
      </c>
      <c r="L331" t="inlineStr">
        <is>
          <t>03-FEB-2026</t>
        </is>
      </c>
      <c r="M331" t="inlineStr">
        <is>
          <t>REF000000</t>
        </is>
      </c>
      <c r="N331" t="inlineStr">
        <is>
          <t>USSEA</t>
        </is>
      </c>
      <c r="O331" t="inlineStr">
        <is>
          <t>USSEA</t>
        </is>
      </c>
      <c r="P331" t="inlineStr">
        <is>
          <t>USNFK</t>
        </is>
      </c>
      <c r="U331" t="inlineStr">
        <is>
          <t>RULED</t>
        </is>
      </c>
      <c r="V331" t="inlineStr">
        <is>
          <t>RULED</t>
        </is>
      </c>
      <c r="W331" t="inlineStr">
        <is>
          <t>CANADA</t>
        </is>
      </c>
      <c r="X331" t="inlineStr">
        <is>
          <t>PERSIAN GULF</t>
        </is>
      </c>
      <c r="Y331" t="inlineStr">
        <is>
          <t>RUSSIA</t>
        </is>
      </c>
      <c r="Z331" t="inlineStr">
        <is>
          <t>External Review</t>
        </is>
      </c>
      <c r="AA331" t="inlineStr">
        <is>
          <t>HUB SHIPPING LLC-LED</t>
        </is>
      </c>
      <c r="AB331" t="inlineStr">
        <is>
          <t>Prepaid</t>
        </is>
      </c>
      <c r="AC331" t="inlineStr">
        <is>
          <t>TIGER PLATA/966N</t>
        </is>
      </c>
      <c r="AD331" t="inlineStr">
        <is>
          <t>LI DA XING / VOYAGE 1</t>
        </is>
      </c>
      <c r="AE331" t="inlineStr">
        <is>
          <t>LADEN BOOKING</t>
        </is>
      </c>
      <c r="AF331" t="inlineStr">
        <is>
          <t>AR_MARTIMA</t>
        </is>
      </c>
      <c r="AG331" t="inlineStr">
        <is>
          <t>RH40</t>
        </is>
      </c>
      <c r="AI331" t="n">
        <v>40</v>
      </c>
      <c r="AJ331" t="n">
        <v>0</v>
      </c>
      <c r="AK331" t="n">
        <v>1</v>
      </c>
      <c r="AL331" t="inlineStr">
        <is>
          <t>ANON0000000</t>
        </is>
      </c>
      <c r="AM331" t="n">
        <v>-18</v>
      </c>
      <c r="AP331" t="inlineStr">
        <is>
          <t>Non Haz</t>
        </is>
      </c>
      <c r="AQ331" t="inlineStr">
        <is>
          <t>CY/CY</t>
        </is>
      </c>
      <c r="AT331" t="inlineStr">
        <is>
          <t>REF000000</t>
        </is>
      </c>
      <c r="AU331" t="n">
        <v>29000</v>
      </c>
      <c r="AV331" t="inlineStr">
        <is>
          <t>FROZEN MEAT</t>
        </is>
      </c>
      <c r="AW331" t="inlineStr">
        <is>
          <t>NCM 020622</t>
        </is>
      </c>
      <c r="AX331" t="inlineStr">
        <is>
          <t>RSAMI122500031</t>
        </is>
      </c>
      <c r="AZ331" t="n">
        <v>0</v>
      </c>
      <c r="BA331" t="n">
        <v>10</v>
      </c>
      <c r="BB331" t="n">
        <v>10</v>
      </c>
      <c r="BC331" t="n">
        <v>6800</v>
      </c>
      <c r="BD331" t="inlineStr">
        <is>
          <t>No</t>
        </is>
      </c>
      <c r="BF331" t="inlineStr">
        <is>
          <t>Bengal Tiger Line -BTL</t>
        </is>
      </c>
      <c r="BG331" t="inlineStr">
        <is>
          <t>USSEA</t>
        </is>
      </c>
      <c r="BH331" t="n">
        <v>0</v>
      </c>
      <c r="BI331" t="n">
        <v>1</v>
      </c>
      <c r="BJ331" t="n">
        <v>6800</v>
      </c>
      <c r="BK331" t="inlineStr">
        <is>
          <t>LINE</t>
        </is>
      </c>
      <c r="BL331" t="inlineStr">
        <is>
          <t>MARLIN REEFER</t>
        </is>
      </c>
      <c r="BM331" t="inlineStr">
        <is>
          <t>MARLIN REEFER</t>
        </is>
      </c>
    </row>
    <row r="332">
      <c r="A332" t="n">
        <v>331</v>
      </c>
      <c r="B332" t="inlineStr">
        <is>
          <t>TURTLE REEFER</t>
        </is>
      </c>
      <c r="C332" t="inlineStr">
        <is>
          <t>REF000000</t>
        </is>
      </c>
      <c r="D332" t="inlineStr">
        <is>
          <t>REF000000</t>
        </is>
      </c>
      <c r="E332" t="n">
        <v>46049</v>
      </c>
      <c r="F332" t="inlineStr">
        <is>
          <t>TURTLE REEFER</t>
        </is>
      </c>
      <c r="G332" t="inlineStr">
        <is>
          <t>ENTERED THROUGH SPLIT BOOKING FROM THE BOOKING ID REF000000, BY AR_MARTIMA, ON 1/27/2026 5:20:36 PM</t>
        </is>
      </c>
      <c r="H332" t="inlineStr">
        <is>
          <t>AR_MARTIMA</t>
        </is>
      </c>
      <c r="J332" t="inlineStr">
        <is>
          <t>03-FEB-2026</t>
        </is>
      </c>
      <c r="K332" t="inlineStr">
        <is>
          <t>01-FEB-2026</t>
        </is>
      </c>
      <c r="L332" t="inlineStr">
        <is>
          <t>03-FEB-2026</t>
        </is>
      </c>
      <c r="M332" t="inlineStr">
        <is>
          <t>REF000000</t>
        </is>
      </c>
      <c r="N332" t="inlineStr">
        <is>
          <t>USSEA</t>
        </is>
      </c>
      <c r="O332" t="inlineStr">
        <is>
          <t>USSEA</t>
        </is>
      </c>
      <c r="P332" t="inlineStr">
        <is>
          <t>USNFK</t>
        </is>
      </c>
      <c r="U332" t="inlineStr">
        <is>
          <t>RULED</t>
        </is>
      </c>
      <c r="V332" t="inlineStr">
        <is>
          <t>RULED</t>
        </is>
      </c>
      <c r="W332" t="inlineStr">
        <is>
          <t>CANADA</t>
        </is>
      </c>
      <c r="X332" t="inlineStr">
        <is>
          <t>PERSIAN GULF</t>
        </is>
      </c>
      <c r="Y332" t="inlineStr">
        <is>
          <t>RUSSIA</t>
        </is>
      </c>
      <c r="Z332" t="inlineStr">
        <is>
          <t>External Review</t>
        </is>
      </c>
      <c r="AA332" t="inlineStr">
        <is>
          <t>HUB SHIPPING LLC-LED</t>
        </is>
      </c>
      <c r="AB332" t="inlineStr">
        <is>
          <t>Prepaid</t>
        </is>
      </c>
      <c r="AC332" t="inlineStr">
        <is>
          <t>TIGER PLATA/966N</t>
        </is>
      </c>
      <c r="AD332" t="inlineStr">
        <is>
          <t>LI DA XING / VOYAGE 1</t>
        </is>
      </c>
      <c r="AE332" t="inlineStr">
        <is>
          <t>LADEN BOOKING</t>
        </is>
      </c>
      <c r="AF332" t="inlineStr">
        <is>
          <t>AR_MARTIMA</t>
        </is>
      </c>
      <c r="AG332" t="inlineStr">
        <is>
          <t>RH40</t>
        </is>
      </c>
      <c r="AI332" t="n">
        <v>40</v>
      </c>
      <c r="AJ332" t="n">
        <v>0</v>
      </c>
      <c r="AK332" t="n">
        <v>1</v>
      </c>
      <c r="AL332" t="inlineStr">
        <is>
          <t>ANON0000000</t>
        </is>
      </c>
      <c r="AM332" t="n">
        <v>-18</v>
      </c>
      <c r="AP332" t="inlineStr">
        <is>
          <t>Non Haz</t>
        </is>
      </c>
      <c r="AQ332" t="inlineStr">
        <is>
          <t>CY/CY</t>
        </is>
      </c>
      <c r="AT332" t="inlineStr">
        <is>
          <t>REF000000</t>
        </is>
      </c>
      <c r="AU332" t="n">
        <v>29000</v>
      </c>
      <c r="AV332" t="inlineStr">
        <is>
          <t>FROZEN MEAT</t>
        </is>
      </c>
      <c r="AW332" t="inlineStr">
        <is>
          <t>NCM: 0206.21 NCM: 0206.29</t>
        </is>
      </c>
      <c r="AX332" t="inlineStr">
        <is>
          <t>RSAMI122500031</t>
        </is>
      </c>
      <c r="AZ332" t="n">
        <v>0</v>
      </c>
      <c r="BA332" t="n">
        <v>10</v>
      </c>
      <c r="BB332" t="n">
        <v>10</v>
      </c>
      <c r="BC332" t="n">
        <v>6800</v>
      </c>
      <c r="BD332" t="inlineStr">
        <is>
          <t>No</t>
        </is>
      </c>
      <c r="BF332" t="inlineStr">
        <is>
          <t>Bengal Tiger Line -BTL</t>
        </is>
      </c>
      <c r="BG332" t="inlineStr">
        <is>
          <t>USSEA</t>
        </is>
      </c>
      <c r="BH332" t="n">
        <v>0</v>
      </c>
      <c r="BI332" t="n">
        <v>1</v>
      </c>
      <c r="BJ332" t="n">
        <v>6800</v>
      </c>
      <c r="BK332" t="inlineStr">
        <is>
          <t>LINE</t>
        </is>
      </c>
      <c r="BL332" t="inlineStr">
        <is>
          <t>TURTLE REEFER</t>
        </is>
      </c>
      <c r="BM332" t="inlineStr">
        <is>
          <t>TURTLE REEFER</t>
        </is>
      </c>
    </row>
    <row r="333">
      <c r="A333" t="n">
        <v>332</v>
      </c>
      <c r="B333" t="inlineStr">
        <is>
          <t>ORCA REEFER</t>
        </is>
      </c>
      <c r="C333" t="inlineStr">
        <is>
          <t>REF000000</t>
        </is>
      </c>
      <c r="D333" t="inlineStr">
        <is>
          <t>REF000000</t>
        </is>
      </c>
      <c r="E333" t="n">
        <v>46049</v>
      </c>
      <c r="F333" t="inlineStr">
        <is>
          <t>ORCA REEFER</t>
        </is>
      </c>
      <c r="G333" t="inlineStr">
        <is>
          <t>1x40RH TEMP -18 RUBLT</t>
        </is>
      </c>
      <c r="H333" t="inlineStr">
        <is>
          <t>AR_MARTIMA</t>
        </is>
      </c>
      <c r="J333" t="inlineStr">
        <is>
          <t>03-FEB-2026</t>
        </is>
      </c>
      <c r="K333" t="inlineStr">
        <is>
          <t>01-FEB-2026</t>
        </is>
      </c>
      <c r="L333" t="inlineStr">
        <is>
          <t>03-FEB-2026</t>
        </is>
      </c>
      <c r="M333" t="inlineStr">
        <is>
          <t>REF000000</t>
        </is>
      </c>
      <c r="N333" t="inlineStr">
        <is>
          <t>USSEA</t>
        </is>
      </c>
      <c r="O333" t="inlineStr">
        <is>
          <t>USSEA</t>
        </is>
      </c>
      <c r="P333" t="inlineStr">
        <is>
          <t>USNFK</t>
        </is>
      </c>
      <c r="U333" t="inlineStr">
        <is>
          <t>RUBLT</t>
        </is>
      </c>
      <c r="V333" t="inlineStr">
        <is>
          <t>RUBLT</t>
        </is>
      </c>
      <c r="W333" t="inlineStr">
        <is>
          <t>CANADA</t>
        </is>
      </c>
      <c r="X333" t="inlineStr">
        <is>
          <t>PERSIAN GULF</t>
        </is>
      </c>
      <c r="Y333" t="inlineStr">
        <is>
          <t>RUSSIA</t>
        </is>
      </c>
      <c r="Z333" t="inlineStr">
        <is>
          <t>External Review</t>
        </is>
      </c>
      <c r="AA333" t="inlineStr">
        <is>
          <t>HUB Shipping-Kaliningrad</t>
        </is>
      </c>
      <c r="AB333" t="inlineStr">
        <is>
          <t>Prepaid</t>
        </is>
      </c>
      <c r="AC333" t="inlineStr">
        <is>
          <t>TIGER PLATA/966N</t>
        </is>
      </c>
      <c r="AD333" t="inlineStr">
        <is>
          <t>LI DA XING / VOYAGE 1</t>
        </is>
      </c>
      <c r="AE333" t="inlineStr">
        <is>
          <t>LADEN BOOKING</t>
        </is>
      </c>
      <c r="AF333" t="inlineStr">
        <is>
          <t>AR_MARTIMA</t>
        </is>
      </c>
      <c r="AG333" t="inlineStr">
        <is>
          <t>RH40</t>
        </is>
      </c>
      <c r="AH333" t="inlineStr">
        <is>
          <t>NO</t>
        </is>
      </c>
      <c r="AI333" t="n">
        <v>40</v>
      </c>
      <c r="AJ333" t="n">
        <v>0</v>
      </c>
      <c r="AK333" t="n">
        <v>1</v>
      </c>
      <c r="AL333" t="inlineStr">
        <is>
          <t>ANON0000000</t>
        </is>
      </c>
      <c r="AM333" t="n">
        <v>-18</v>
      </c>
      <c r="AP333" t="inlineStr">
        <is>
          <t>Non Haz</t>
        </is>
      </c>
      <c r="AQ333" t="inlineStr">
        <is>
          <t>CY/CY</t>
        </is>
      </c>
      <c r="AT333" t="inlineStr">
        <is>
          <t>REF000000</t>
        </is>
      </c>
      <c r="AU333" t="n">
        <v>29000</v>
      </c>
      <c r="AV333" t="inlineStr">
        <is>
          <t>FROZEN BONELESS BUFFALO MEAT</t>
        </is>
      </c>
      <c r="AW333" t="inlineStr">
        <is>
          <t>NCM: 0206.29 NCM: 0206.22 NCM: 0206.21</t>
        </is>
      </c>
      <c r="AX333" t="inlineStr">
        <is>
          <t>RSAMI012600001</t>
        </is>
      </c>
      <c r="AZ333" t="n">
        <v>0</v>
      </c>
      <c r="BA333" t="n">
        <v>10</v>
      </c>
      <c r="BB333" t="n">
        <v>10</v>
      </c>
      <c r="BC333" t="n">
        <v>8400</v>
      </c>
      <c r="BD333" t="inlineStr">
        <is>
          <t>No</t>
        </is>
      </c>
      <c r="BF333" t="inlineStr">
        <is>
          <t>Bengal Tiger Line -BTL</t>
        </is>
      </c>
      <c r="BG333" t="inlineStr">
        <is>
          <t>USSEA</t>
        </is>
      </c>
      <c r="BH333" t="n">
        <v>0</v>
      </c>
      <c r="BI333" t="n">
        <v>1</v>
      </c>
      <c r="BJ333" t="n">
        <v>8400</v>
      </c>
      <c r="BK333" t="inlineStr">
        <is>
          <t>LINE</t>
        </is>
      </c>
      <c r="BL333" t="inlineStr">
        <is>
          <t>ORCA REEFER</t>
        </is>
      </c>
      <c r="BM333" t="inlineStr">
        <is>
          <t>ORCA REEFER</t>
        </is>
      </c>
    </row>
    <row r="334">
      <c r="A334" t="n">
        <v>333</v>
      </c>
      <c r="B334" t="inlineStr">
        <is>
          <t>WHALE REEFER</t>
        </is>
      </c>
      <c r="C334" t="inlineStr">
        <is>
          <t>REF000000</t>
        </is>
      </c>
      <c r="D334" t="inlineStr">
        <is>
          <t>REF000000</t>
        </is>
      </c>
      <c r="E334" t="n">
        <v>46050</v>
      </c>
      <c r="F334" t="inlineStr">
        <is>
          <t>WHALE REEFER</t>
        </is>
      </c>
      <c r="G334" t="inlineStr">
        <is>
          <t>final reefer details should be collected and provided to carrier by agents of POL</t>
        </is>
      </c>
      <c r="H334" t="inlineStr">
        <is>
          <t>AdminAMI</t>
        </is>
      </c>
      <c r="J334" t="inlineStr">
        <is>
          <t>18-FEB-2026</t>
        </is>
      </c>
      <c r="K334" t="inlineStr">
        <is>
          <t>16-FEB-2026</t>
        </is>
      </c>
      <c r="L334" t="inlineStr">
        <is>
          <t>17-FEB-2026</t>
        </is>
      </c>
      <c r="M334" t="inlineStr">
        <is>
          <t>REF000000</t>
        </is>
      </c>
      <c r="N334" t="inlineStr">
        <is>
          <t>USSEA</t>
        </is>
      </c>
      <c r="O334" t="inlineStr">
        <is>
          <t>USSEA</t>
        </is>
      </c>
      <c r="P334" t="inlineStr">
        <is>
          <t>USNFK</t>
        </is>
      </c>
      <c r="U334" t="inlineStr">
        <is>
          <t>RULED</t>
        </is>
      </c>
      <c r="V334" t="inlineStr">
        <is>
          <t>RULED</t>
        </is>
      </c>
      <c r="W334" t="inlineStr">
        <is>
          <t>CANADA</t>
        </is>
      </c>
      <c r="X334" t="inlineStr">
        <is>
          <t>PERSIAN GULF</t>
        </is>
      </c>
      <c r="Y334" t="inlineStr">
        <is>
          <t>RUSSIA</t>
        </is>
      </c>
      <c r="Z334" t="inlineStr">
        <is>
          <t>External Review</t>
        </is>
      </c>
      <c r="AA334" t="inlineStr">
        <is>
          <t>HUB SHIPPING LLC-LED</t>
        </is>
      </c>
      <c r="AB334" t="inlineStr">
        <is>
          <t>Collect</t>
        </is>
      </c>
      <c r="AC334" t="inlineStr">
        <is>
          <t>TIGER PLATA/968N</t>
        </is>
      </c>
      <c r="AD334" t="inlineStr">
        <is>
          <t>LI DA XING / VOYAGE 1</t>
        </is>
      </c>
      <c r="AE334" t="inlineStr">
        <is>
          <t>LADEN BOOKING</t>
        </is>
      </c>
      <c r="AF334" t="inlineStr">
        <is>
          <t>RenniAMI</t>
        </is>
      </c>
      <c r="AG334" t="inlineStr">
        <is>
          <t>RH40</t>
        </is>
      </c>
      <c r="AH334" t="inlineStr">
        <is>
          <t>NO</t>
        </is>
      </c>
      <c r="AI334" t="n">
        <v>40</v>
      </c>
      <c r="AJ334" t="n">
        <v>0</v>
      </c>
      <c r="AK334" t="n">
        <v>1</v>
      </c>
      <c r="AL334" t="inlineStr">
        <is>
          <t>ANON0000000</t>
        </is>
      </c>
      <c r="AM334" t="n">
        <v>0</v>
      </c>
      <c r="AP334" t="inlineStr">
        <is>
          <t>Non Haz</t>
        </is>
      </c>
      <c r="AQ334" t="inlineStr">
        <is>
          <t>CY/CY</t>
        </is>
      </c>
      <c r="AT334" t="inlineStr">
        <is>
          <t>REF000000</t>
        </is>
      </c>
      <c r="AU334" t="n">
        <v>20000</v>
      </c>
      <c r="AV334" t="inlineStr">
        <is>
          <t>CHEESE</t>
        </is>
      </c>
      <c r="AW334" t="inlineStr">
        <is>
          <t>04 06 40</t>
        </is>
      </c>
      <c r="AX334" t="inlineStr">
        <is>
          <t>RSAMI012600006</t>
        </is>
      </c>
      <c r="AZ334" t="n">
        <v>0</v>
      </c>
      <c r="BA334" t="n">
        <v>10</v>
      </c>
      <c r="BB334" t="n">
        <v>7</v>
      </c>
      <c r="BC334" t="n">
        <v>7950</v>
      </c>
      <c r="BD334" t="inlineStr">
        <is>
          <t>Yes</t>
        </is>
      </c>
      <c r="BF334" t="inlineStr">
        <is>
          <t>Bengal Tiger Line -BTL</t>
        </is>
      </c>
      <c r="BG334" t="inlineStr">
        <is>
          <t>RULED</t>
        </is>
      </c>
      <c r="BH334" t="n">
        <v>0</v>
      </c>
      <c r="BI334" t="n">
        <v>1</v>
      </c>
      <c r="BJ334" t="n">
        <v>7950</v>
      </c>
      <c r="BK334" t="inlineStr">
        <is>
          <t>LINE</t>
        </is>
      </c>
      <c r="BL334" t="inlineStr">
        <is>
          <t>WHALE REEFER</t>
        </is>
      </c>
      <c r="BM334" t="inlineStr">
        <is>
          <t>WHALE REEFER</t>
        </is>
      </c>
    </row>
    <row r="335">
      <c r="A335" t="n">
        <v>334</v>
      </c>
      <c r="B335" t="inlineStr">
        <is>
          <t>SEAL REEFER</t>
        </is>
      </c>
      <c r="C335" t="inlineStr">
        <is>
          <t>REF000000</t>
        </is>
      </c>
      <c r="D335" t="inlineStr">
        <is>
          <t>REF000000</t>
        </is>
      </c>
      <c r="E335" t="n">
        <v>46050</v>
      </c>
      <c r="F335" t="inlineStr">
        <is>
          <t>SEAL REEFER</t>
        </is>
      </c>
      <c r="G335" t="inlineStr">
        <is>
          <t>final reefer details should be collected and provided to carrier by agents of POL</t>
        </is>
      </c>
      <c r="H335" t="inlineStr">
        <is>
          <t>AdminAMI</t>
        </is>
      </c>
      <c r="J335" t="inlineStr">
        <is>
          <t>08-FEB-2026</t>
        </is>
      </c>
      <c r="K335" t="inlineStr">
        <is>
          <t>07-FEB-2026</t>
        </is>
      </c>
      <c r="L335" t="inlineStr">
        <is>
          <t>08-FEB-2026</t>
        </is>
      </c>
      <c r="M335" t="inlineStr">
        <is>
          <t>REF000000</t>
        </is>
      </c>
      <c r="N335" t="inlineStr">
        <is>
          <t>USSEA</t>
        </is>
      </c>
      <c r="O335" t="inlineStr">
        <is>
          <t>USSEA</t>
        </is>
      </c>
      <c r="P335" t="inlineStr">
        <is>
          <t>USNFK</t>
        </is>
      </c>
      <c r="U335" t="inlineStr">
        <is>
          <t>RULED</t>
        </is>
      </c>
      <c r="V335" t="inlineStr">
        <is>
          <t>RULED</t>
        </is>
      </c>
      <c r="W335" t="inlineStr">
        <is>
          <t>CANADA</t>
        </is>
      </c>
      <c r="X335" t="inlineStr">
        <is>
          <t>PERSIAN GULF</t>
        </is>
      </c>
      <c r="Y335" t="inlineStr">
        <is>
          <t>RUSSIA</t>
        </is>
      </c>
      <c r="Z335" t="inlineStr">
        <is>
          <t>External Review</t>
        </is>
      </c>
      <c r="AA335" t="inlineStr">
        <is>
          <t>HUB SHIPPING LLC-LED</t>
        </is>
      </c>
      <c r="AB335" t="inlineStr">
        <is>
          <t>Collect</t>
        </is>
      </c>
      <c r="AC335" t="inlineStr">
        <is>
          <t>TIGER PLATA/967N</t>
        </is>
      </c>
      <c r="AD335" t="inlineStr">
        <is>
          <t>LI DA XING / VOYAGE 1</t>
        </is>
      </c>
      <c r="AE335" t="inlineStr">
        <is>
          <t>LADEN BOOKING</t>
        </is>
      </c>
      <c r="AF335" t="inlineStr">
        <is>
          <t>RenniAMI</t>
        </is>
      </c>
      <c r="AG335" t="inlineStr">
        <is>
          <t>RH40</t>
        </is>
      </c>
      <c r="AH335" t="inlineStr">
        <is>
          <t>NO</t>
        </is>
      </c>
      <c r="AI335" t="n">
        <v>40</v>
      </c>
      <c r="AJ335" t="n">
        <v>0</v>
      </c>
      <c r="AK335" t="n">
        <v>1</v>
      </c>
      <c r="AL335" t="inlineStr">
        <is>
          <t>ANON0000000</t>
        </is>
      </c>
      <c r="AM335" t="n">
        <v>0</v>
      </c>
      <c r="AP335" t="inlineStr">
        <is>
          <t>Non Haz</t>
        </is>
      </c>
      <c r="AQ335" t="inlineStr">
        <is>
          <t>CY/CY</t>
        </is>
      </c>
      <c r="AT335" t="inlineStr">
        <is>
          <t>REF000000</t>
        </is>
      </c>
      <c r="AU335" t="n">
        <v>20000</v>
      </c>
      <c r="AV335" t="inlineStr">
        <is>
          <t>CHEESE</t>
        </is>
      </c>
      <c r="AW335" t="inlineStr">
        <is>
          <t>HS-CODE: 04 06 40</t>
        </is>
      </c>
      <c r="AX335" t="inlineStr">
        <is>
          <t>RSAMI012600006</t>
        </is>
      </c>
      <c r="AZ335" t="n">
        <v>0</v>
      </c>
      <c r="BA335" t="n">
        <v>10</v>
      </c>
      <c r="BB335" t="n">
        <v>7</v>
      </c>
      <c r="BC335" t="n">
        <v>7950</v>
      </c>
      <c r="BD335" t="inlineStr">
        <is>
          <t>Yes</t>
        </is>
      </c>
      <c r="BF335" t="inlineStr">
        <is>
          <t>Bengal Tiger Line -BTL</t>
        </is>
      </c>
      <c r="BG335" t="inlineStr">
        <is>
          <t>RULED</t>
        </is>
      </c>
      <c r="BH335" t="n">
        <v>0</v>
      </c>
      <c r="BI335" t="n">
        <v>1</v>
      </c>
      <c r="BJ335" t="n">
        <v>7950</v>
      </c>
      <c r="BK335" t="inlineStr">
        <is>
          <t>LINE</t>
        </is>
      </c>
      <c r="BL335" t="inlineStr">
        <is>
          <t>SEAL REEFER</t>
        </is>
      </c>
      <c r="BM335" t="inlineStr">
        <is>
          <t>SEAL REEFER</t>
        </is>
      </c>
    </row>
    <row r="336">
      <c r="A336" t="n">
        <v>335</v>
      </c>
      <c r="B336" t="inlineStr">
        <is>
          <t>SHARK REEFER</t>
        </is>
      </c>
      <c r="C336" t="inlineStr">
        <is>
          <t>REF000000</t>
        </is>
      </c>
      <c r="D336" t="inlineStr">
        <is>
          <t>REF000000</t>
        </is>
      </c>
      <c r="E336" t="n">
        <v>46050</v>
      </c>
      <c r="F336" t="inlineStr">
        <is>
          <t>SHARK REEFER</t>
        </is>
      </c>
      <c r="G336" t="inlineStr">
        <is>
          <t>1x40RH TEMP -18</t>
        </is>
      </c>
      <c r="H336" t="inlineStr">
        <is>
          <t>AR_MARTIMA</t>
        </is>
      </c>
      <c r="J336" t="inlineStr">
        <is>
          <t>03-FEB-2026</t>
        </is>
      </c>
      <c r="K336" t="inlineStr">
        <is>
          <t>01-FEB-2026</t>
        </is>
      </c>
      <c r="L336" t="inlineStr">
        <is>
          <t>03-FEB-2026</t>
        </is>
      </c>
      <c r="M336" t="inlineStr">
        <is>
          <t>REF000000</t>
        </is>
      </c>
      <c r="N336" t="inlineStr">
        <is>
          <t>USSEA</t>
        </is>
      </c>
      <c r="O336" t="inlineStr">
        <is>
          <t>USSEA</t>
        </is>
      </c>
      <c r="P336" t="inlineStr">
        <is>
          <t>USNFK</t>
        </is>
      </c>
      <c r="U336" t="inlineStr">
        <is>
          <t>RULED</t>
        </is>
      </c>
      <c r="V336" t="inlineStr">
        <is>
          <t>RULED</t>
        </is>
      </c>
      <c r="W336" t="inlineStr">
        <is>
          <t>CANADA</t>
        </is>
      </c>
      <c r="X336" t="inlineStr">
        <is>
          <t>PERSIAN GULF</t>
        </is>
      </c>
      <c r="Y336" t="inlineStr">
        <is>
          <t>RUSSIA</t>
        </is>
      </c>
      <c r="Z336" t="inlineStr">
        <is>
          <t>External Review</t>
        </is>
      </c>
      <c r="AA336" t="inlineStr">
        <is>
          <t>HUB SHIPPING LLC-LED</t>
        </is>
      </c>
      <c r="AB336" t="inlineStr">
        <is>
          <t>Prepaid</t>
        </is>
      </c>
      <c r="AC336" t="inlineStr">
        <is>
          <t>TIGER PLATA/966N</t>
        </is>
      </c>
      <c r="AD336" t="inlineStr">
        <is>
          <t>LI DA XING / VOYAGE 1</t>
        </is>
      </c>
      <c r="AE336" t="inlineStr">
        <is>
          <t>LADEN BOOKING</t>
        </is>
      </c>
      <c r="AF336" t="inlineStr">
        <is>
          <t>AR_MARTIMA</t>
        </is>
      </c>
      <c r="AG336" t="inlineStr">
        <is>
          <t>RH40</t>
        </is>
      </c>
      <c r="AH336" t="inlineStr">
        <is>
          <t>NO</t>
        </is>
      </c>
      <c r="AI336" t="n">
        <v>40</v>
      </c>
      <c r="AJ336" t="n">
        <v>0</v>
      </c>
      <c r="AK336" t="n">
        <v>1</v>
      </c>
      <c r="AL336" t="inlineStr">
        <is>
          <t>ANON0000000</t>
        </is>
      </c>
      <c r="AM336" t="n">
        <v>-18</v>
      </c>
      <c r="AP336" t="inlineStr">
        <is>
          <t>Non Haz</t>
        </is>
      </c>
      <c r="AQ336" t="inlineStr">
        <is>
          <t>CY/CY</t>
        </is>
      </c>
      <c r="AT336" t="inlineStr">
        <is>
          <t>REF000000</t>
        </is>
      </c>
      <c r="AU336" t="n">
        <v>29000</v>
      </c>
      <c r="AV336" t="inlineStr">
        <is>
          <t>FROZEN MEAT</t>
        </is>
      </c>
      <c r="AW336" t="inlineStr">
        <is>
          <t>NCM 020629</t>
        </is>
      </c>
      <c r="AX336" t="inlineStr">
        <is>
          <t>RSAMI122500031</t>
        </is>
      </c>
      <c r="AZ336" t="n">
        <v>0</v>
      </c>
      <c r="BA336" t="n">
        <v>10</v>
      </c>
      <c r="BB336" t="n">
        <v>10</v>
      </c>
      <c r="BC336" t="n">
        <v>6800</v>
      </c>
      <c r="BD336" t="inlineStr">
        <is>
          <t>No</t>
        </is>
      </c>
      <c r="BF336" t="inlineStr">
        <is>
          <t>Bengal Tiger Line -BTL</t>
        </is>
      </c>
      <c r="BG336" t="inlineStr">
        <is>
          <t>USSEA</t>
        </is>
      </c>
      <c r="BH336" t="n">
        <v>0</v>
      </c>
      <c r="BI336" t="n">
        <v>1</v>
      </c>
      <c r="BJ336" t="n">
        <v>6800</v>
      </c>
      <c r="BK336" t="inlineStr">
        <is>
          <t>LINE</t>
        </is>
      </c>
      <c r="BL336" t="inlineStr">
        <is>
          <t>SHARK REEFER</t>
        </is>
      </c>
      <c r="BM336" t="inlineStr">
        <is>
          <t>SHARK REEFER</t>
        </is>
      </c>
    </row>
    <row r="337">
      <c r="A337" t="n">
        <v>336</v>
      </c>
      <c r="B337" t="inlineStr">
        <is>
          <t>DOLPHIN REEFER</t>
        </is>
      </c>
      <c r="C337" t="inlineStr">
        <is>
          <t>REF000000</t>
        </is>
      </c>
      <c r="D337" t="inlineStr">
        <is>
          <t>REF000000</t>
        </is>
      </c>
      <c r="E337" t="n">
        <v>46050</v>
      </c>
      <c r="F337" t="inlineStr">
        <is>
          <t>DOLPHIN REEFER</t>
        </is>
      </c>
      <c r="G337" t="inlineStr">
        <is>
          <t>ENTERED THROUGH SPLIT BOOKING FROM THE BOOKING ID REF000000, BY AR_MARTIMA, ON 1/28/2026 4:42:33 PM</t>
        </is>
      </c>
      <c r="H337" t="inlineStr">
        <is>
          <t>AR_MARTIMA</t>
        </is>
      </c>
      <c r="J337" t="inlineStr">
        <is>
          <t>03-FEB-2026</t>
        </is>
      </c>
      <c r="K337" t="inlineStr">
        <is>
          <t>01-FEB-2026</t>
        </is>
      </c>
      <c r="L337" t="inlineStr">
        <is>
          <t>03-FEB-2026</t>
        </is>
      </c>
      <c r="M337" t="inlineStr">
        <is>
          <t>REF000000</t>
        </is>
      </c>
      <c r="N337" t="inlineStr">
        <is>
          <t>USSEA</t>
        </is>
      </c>
      <c r="O337" t="inlineStr">
        <is>
          <t>USSEA</t>
        </is>
      </c>
      <c r="P337" t="inlineStr">
        <is>
          <t>USNFK</t>
        </is>
      </c>
      <c r="U337" t="inlineStr">
        <is>
          <t>RULED</t>
        </is>
      </c>
      <c r="V337" t="inlineStr">
        <is>
          <t>RULED</t>
        </is>
      </c>
      <c r="W337" t="inlineStr">
        <is>
          <t>CANADA</t>
        </is>
      </c>
      <c r="X337" t="inlineStr">
        <is>
          <t>PERSIAN GULF</t>
        </is>
      </c>
      <c r="Y337" t="inlineStr">
        <is>
          <t>RUSSIA</t>
        </is>
      </c>
      <c r="Z337" t="inlineStr">
        <is>
          <t>External Review</t>
        </is>
      </c>
      <c r="AA337" t="inlineStr">
        <is>
          <t>HUB SHIPPING LLC-LED</t>
        </is>
      </c>
      <c r="AB337" t="inlineStr">
        <is>
          <t>Prepaid</t>
        </is>
      </c>
      <c r="AC337" t="inlineStr">
        <is>
          <t>TIGER PLATA/966N</t>
        </is>
      </c>
      <c r="AE337" t="inlineStr">
        <is>
          <t>LADEN BOOKING</t>
        </is>
      </c>
      <c r="AF337" t="inlineStr">
        <is>
          <t>AR_MARTIMA</t>
        </is>
      </c>
      <c r="AG337" t="inlineStr">
        <is>
          <t>RH40</t>
        </is>
      </c>
      <c r="AI337" t="n">
        <v>40</v>
      </c>
      <c r="AJ337" t="n">
        <v>0</v>
      </c>
      <c r="AK337" t="n">
        <v>1</v>
      </c>
      <c r="AL337" t="inlineStr">
        <is>
          <t>ANON0000000</t>
        </is>
      </c>
      <c r="AM337" t="n">
        <v>-18</v>
      </c>
      <c r="AP337" t="inlineStr">
        <is>
          <t>Non Haz</t>
        </is>
      </c>
      <c r="AQ337" t="inlineStr">
        <is>
          <t>CY/CY</t>
        </is>
      </c>
      <c r="AT337" t="inlineStr">
        <is>
          <t>REF000000</t>
        </is>
      </c>
      <c r="AU337" t="n">
        <v>29000</v>
      </c>
      <c r="AV337" t="inlineStr">
        <is>
          <t>FROZEN MEAT</t>
        </is>
      </c>
      <c r="AW337" t="inlineStr">
        <is>
          <t>NCM 020629</t>
        </is>
      </c>
      <c r="AX337" t="inlineStr">
        <is>
          <t>RSAMI122500031</t>
        </is>
      </c>
      <c r="AZ337" t="n">
        <v>0</v>
      </c>
      <c r="BA337" t="n">
        <v>10</v>
      </c>
      <c r="BB337" t="n">
        <v>10</v>
      </c>
      <c r="BC337" t="n">
        <v>6800</v>
      </c>
      <c r="BD337" t="inlineStr">
        <is>
          <t>No</t>
        </is>
      </c>
      <c r="BF337" t="inlineStr">
        <is>
          <t>Bengal Tiger Line -BTL</t>
        </is>
      </c>
      <c r="BG337" t="inlineStr">
        <is>
          <t>USSEA</t>
        </is>
      </c>
      <c r="BH337" t="n">
        <v>0</v>
      </c>
      <c r="BI337" t="n">
        <v>1</v>
      </c>
      <c r="BJ337" t="n">
        <v>6800</v>
      </c>
      <c r="BK337" t="inlineStr">
        <is>
          <t>LINE</t>
        </is>
      </c>
      <c r="BL337" t="inlineStr">
        <is>
          <t>DOLPHIN REEFER</t>
        </is>
      </c>
      <c r="BM337" t="inlineStr">
        <is>
          <t>DOLPHIN REEFER</t>
        </is>
      </c>
    </row>
    <row r="338">
      <c r="A338" t="n">
        <v>337</v>
      </c>
      <c r="B338" t="inlineStr">
        <is>
          <t>MARLIN REEFER</t>
        </is>
      </c>
      <c r="C338" t="inlineStr">
        <is>
          <t>REF000000</t>
        </is>
      </c>
      <c r="D338" t="inlineStr">
        <is>
          <t>REF000000</t>
        </is>
      </c>
      <c r="E338" t="n">
        <v>46050</v>
      </c>
      <c r="F338" t="inlineStr">
        <is>
          <t>MARLIN REEFER</t>
        </is>
      </c>
      <c r="G338" t="inlineStr">
        <is>
          <t>ENTERED THROUGH SPLIT BOOKING FROM THE BOOKING ID REF000000, BY AR_MARTIMA, ON 1/28/2026 4:42:33 PM</t>
        </is>
      </c>
      <c r="H338" t="inlineStr">
        <is>
          <t>AR_MARTIMA</t>
        </is>
      </c>
      <c r="J338" t="inlineStr">
        <is>
          <t>03-FEB-2026</t>
        </is>
      </c>
      <c r="K338" t="inlineStr">
        <is>
          <t>01-FEB-2026</t>
        </is>
      </c>
      <c r="L338" t="inlineStr">
        <is>
          <t>03-FEB-2026</t>
        </is>
      </c>
      <c r="M338" t="inlineStr">
        <is>
          <t>REF000000</t>
        </is>
      </c>
      <c r="N338" t="inlineStr">
        <is>
          <t>USSEA</t>
        </is>
      </c>
      <c r="O338" t="inlineStr">
        <is>
          <t>USSEA</t>
        </is>
      </c>
      <c r="P338" t="inlineStr">
        <is>
          <t>USNFK</t>
        </is>
      </c>
      <c r="U338" t="inlineStr">
        <is>
          <t>RULED</t>
        </is>
      </c>
      <c r="V338" t="inlineStr">
        <is>
          <t>RULED</t>
        </is>
      </c>
      <c r="W338" t="inlineStr">
        <is>
          <t>CANADA</t>
        </is>
      </c>
      <c r="X338" t="inlineStr">
        <is>
          <t>PERSIAN GULF</t>
        </is>
      </c>
      <c r="Y338" t="inlineStr">
        <is>
          <t>RUSSIA</t>
        </is>
      </c>
      <c r="Z338" t="inlineStr">
        <is>
          <t>External Review</t>
        </is>
      </c>
      <c r="AA338" t="inlineStr">
        <is>
          <t>HUB SHIPPING LLC-LED</t>
        </is>
      </c>
      <c r="AB338" t="inlineStr">
        <is>
          <t>Prepaid</t>
        </is>
      </c>
      <c r="AC338" t="inlineStr">
        <is>
          <t>TIGER PLATA/966N</t>
        </is>
      </c>
      <c r="AD338" t="inlineStr">
        <is>
          <t>LI DA XING / VOYAGE 1</t>
        </is>
      </c>
      <c r="AE338" t="inlineStr">
        <is>
          <t>LADEN BOOKING</t>
        </is>
      </c>
      <c r="AF338" t="inlineStr">
        <is>
          <t>AR_MARTIMA</t>
        </is>
      </c>
      <c r="AG338" t="inlineStr">
        <is>
          <t>RH40</t>
        </is>
      </c>
      <c r="AI338" t="n">
        <v>40</v>
      </c>
      <c r="AJ338" t="n">
        <v>0</v>
      </c>
      <c r="AK338" t="n">
        <v>1</v>
      </c>
      <c r="AL338" t="inlineStr">
        <is>
          <t>ANON0000000</t>
        </is>
      </c>
      <c r="AM338" t="n">
        <v>-18</v>
      </c>
      <c r="AP338" t="inlineStr">
        <is>
          <t>Non Haz</t>
        </is>
      </c>
      <c r="AQ338" t="inlineStr">
        <is>
          <t>CY/CY</t>
        </is>
      </c>
      <c r="AT338" t="inlineStr">
        <is>
          <t>REF000000</t>
        </is>
      </c>
      <c r="AU338" t="n">
        <v>29000</v>
      </c>
      <c r="AV338" t="inlineStr">
        <is>
          <t>FROZEN MEAT</t>
        </is>
      </c>
      <c r="AW338" t="inlineStr">
        <is>
          <t>NCM 020629</t>
        </is>
      </c>
      <c r="AX338" t="inlineStr">
        <is>
          <t>RSAMI122500031</t>
        </is>
      </c>
      <c r="AZ338" t="n">
        <v>0</v>
      </c>
      <c r="BA338" t="n">
        <v>10</v>
      </c>
      <c r="BB338" t="n">
        <v>10</v>
      </c>
      <c r="BC338" t="n">
        <v>6800</v>
      </c>
      <c r="BD338" t="inlineStr">
        <is>
          <t>No</t>
        </is>
      </c>
      <c r="BF338" t="inlineStr">
        <is>
          <t>Bengal Tiger Line -BTL</t>
        </is>
      </c>
      <c r="BG338" t="inlineStr">
        <is>
          <t>USSEA</t>
        </is>
      </c>
      <c r="BH338" t="n">
        <v>0</v>
      </c>
      <c r="BI338" t="n">
        <v>1</v>
      </c>
      <c r="BJ338" t="n">
        <v>6800</v>
      </c>
      <c r="BK338" t="inlineStr">
        <is>
          <t>LINE</t>
        </is>
      </c>
      <c r="BL338" t="inlineStr">
        <is>
          <t>MARLIN REEFER</t>
        </is>
      </c>
      <c r="BM338" t="inlineStr">
        <is>
          <t>MARLIN REEFER</t>
        </is>
      </c>
    </row>
    <row r="339">
      <c r="A339" t="n">
        <v>338</v>
      </c>
      <c r="B339" t="inlineStr">
        <is>
          <t>TURTLE REEFER</t>
        </is>
      </c>
      <c r="C339" t="inlineStr">
        <is>
          <t>REF000000</t>
        </is>
      </c>
      <c r="D339" t="inlineStr">
        <is>
          <t>REF000000</t>
        </is>
      </c>
      <c r="E339" t="n">
        <v>46050</v>
      </c>
      <c r="F339" t="inlineStr">
        <is>
          <t>TURTLE REEFER</t>
        </is>
      </c>
      <c r="G339" t="inlineStr">
        <is>
          <t>ENTERED THROUGH SPLIT BOOKING FROM THE BOOKING ID REF000000, BY AR_MARTIMA, ON 1/28/2026 4:42:33 PM</t>
        </is>
      </c>
      <c r="H339" t="inlineStr">
        <is>
          <t>AR_MARTIMA</t>
        </is>
      </c>
      <c r="J339" t="inlineStr">
        <is>
          <t>03-FEB-2026</t>
        </is>
      </c>
      <c r="K339" t="inlineStr">
        <is>
          <t>01-FEB-2026</t>
        </is>
      </c>
      <c r="L339" t="inlineStr">
        <is>
          <t>03-FEB-2026</t>
        </is>
      </c>
      <c r="M339" t="inlineStr">
        <is>
          <t>REF000000</t>
        </is>
      </c>
      <c r="N339" t="inlineStr">
        <is>
          <t>USSEA</t>
        </is>
      </c>
      <c r="O339" t="inlineStr">
        <is>
          <t>USSEA</t>
        </is>
      </c>
      <c r="P339" t="inlineStr">
        <is>
          <t>USNFK</t>
        </is>
      </c>
      <c r="U339" t="inlineStr">
        <is>
          <t>RULED</t>
        </is>
      </c>
      <c r="V339" t="inlineStr">
        <is>
          <t>RULED</t>
        </is>
      </c>
      <c r="W339" t="inlineStr">
        <is>
          <t>CANADA</t>
        </is>
      </c>
      <c r="X339" t="inlineStr">
        <is>
          <t>PERSIAN GULF</t>
        </is>
      </c>
      <c r="Y339" t="inlineStr">
        <is>
          <t>RUSSIA</t>
        </is>
      </c>
      <c r="Z339" t="inlineStr">
        <is>
          <t>External Review</t>
        </is>
      </c>
      <c r="AA339" t="inlineStr">
        <is>
          <t>HUB SHIPPING LLC-LED</t>
        </is>
      </c>
      <c r="AB339" t="inlineStr">
        <is>
          <t>Prepaid</t>
        </is>
      </c>
      <c r="AC339" t="inlineStr">
        <is>
          <t>TIGER PLATA/966N</t>
        </is>
      </c>
      <c r="AD339" t="inlineStr">
        <is>
          <t>LI DA XING / VOYAGE 1</t>
        </is>
      </c>
      <c r="AE339" t="inlineStr">
        <is>
          <t>LADEN BOOKING</t>
        </is>
      </c>
      <c r="AF339" t="inlineStr">
        <is>
          <t>AR_MARTIMA</t>
        </is>
      </c>
      <c r="AG339" t="inlineStr">
        <is>
          <t>RH40</t>
        </is>
      </c>
      <c r="AI339" t="n">
        <v>40</v>
      </c>
      <c r="AJ339" t="n">
        <v>0</v>
      </c>
      <c r="AK339" t="n">
        <v>1</v>
      </c>
      <c r="AL339" t="inlineStr">
        <is>
          <t>ANON0000000</t>
        </is>
      </c>
      <c r="AM339" t="n">
        <v>-18</v>
      </c>
      <c r="AP339" t="inlineStr">
        <is>
          <t>Non Haz</t>
        </is>
      </c>
      <c r="AQ339" t="inlineStr">
        <is>
          <t>CY/CY</t>
        </is>
      </c>
      <c r="AT339" t="inlineStr">
        <is>
          <t>REF000000</t>
        </is>
      </c>
      <c r="AU339" t="n">
        <v>29000</v>
      </c>
      <c r="AV339" t="inlineStr">
        <is>
          <t>FROZEN MEAT</t>
        </is>
      </c>
      <c r="AW339" t="inlineStr">
        <is>
          <t>NCM 020621</t>
        </is>
      </c>
      <c r="AX339" t="inlineStr">
        <is>
          <t>RSAMI122500031</t>
        </is>
      </c>
      <c r="AZ339" t="n">
        <v>0</v>
      </c>
      <c r="BA339" t="n">
        <v>10</v>
      </c>
      <c r="BB339" t="n">
        <v>10</v>
      </c>
      <c r="BC339" t="n">
        <v>6800</v>
      </c>
      <c r="BD339" t="inlineStr">
        <is>
          <t>No</t>
        </is>
      </c>
      <c r="BF339" t="inlineStr">
        <is>
          <t>Bengal Tiger Line -BTL</t>
        </is>
      </c>
      <c r="BG339" t="inlineStr">
        <is>
          <t>USSEA</t>
        </is>
      </c>
      <c r="BH339" t="n">
        <v>0</v>
      </c>
      <c r="BI339" t="n">
        <v>1</v>
      </c>
      <c r="BJ339" t="n">
        <v>6800</v>
      </c>
      <c r="BK339" t="inlineStr">
        <is>
          <t>LINE</t>
        </is>
      </c>
      <c r="BL339" t="inlineStr">
        <is>
          <t>TURTLE REEFER</t>
        </is>
      </c>
      <c r="BM339" t="inlineStr">
        <is>
          <t>TURTLE REEFER</t>
        </is>
      </c>
    </row>
    <row r="340">
      <c r="A340" t="n">
        <v>339</v>
      </c>
      <c r="B340" t="inlineStr">
        <is>
          <t>ORCA REEFER</t>
        </is>
      </c>
      <c r="C340" t="inlineStr">
        <is>
          <t>REF000000</t>
        </is>
      </c>
      <c r="D340" t="inlineStr">
        <is>
          <t>REF000000</t>
        </is>
      </c>
      <c r="E340" t="n">
        <v>46050</v>
      </c>
      <c r="F340" t="inlineStr">
        <is>
          <t>ORCA REEFER</t>
        </is>
      </c>
      <c r="G340" t="inlineStr">
        <is>
          <t>ENTERED THROUGH SPLIT BOOKING FROM THE BOOKING ID REF000000, BY AR_MARTIMA, ON 1/28/2026 4:42:34 PM</t>
        </is>
      </c>
      <c r="H340" t="inlineStr">
        <is>
          <t>AR_MARTIMA</t>
        </is>
      </c>
      <c r="J340" t="inlineStr">
        <is>
          <t>03-FEB-2026</t>
        </is>
      </c>
      <c r="K340" t="inlineStr">
        <is>
          <t>01-FEB-2026</t>
        </is>
      </c>
      <c r="L340" t="inlineStr">
        <is>
          <t>03-FEB-2026</t>
        </is>
      </c>
      <c r="M340" t="inlineStr">
        <is>
          <t>REF000000</t>
        </is>
      </c>
      <c r="N340" t="inlineStr">
        <is>
          <t>USSEA</t>
        </is>
      </c>
      <c r="O340" t="inlineStr">
        <is>
          <t>USSEA</t>
        </is>
      </c>
      <c r="P340" t="inlineStr">
        <is>
          <t>USNFK</t>
        </is>
      </c>
      <c r="U340" t="inlineStr">
        <is>
          <t>RULED</t>
        </is>
      </c>
      <c r="V340" t="inlineStr">
        <is>
          <t>RULED</t>
        </is>
      </c>
      <c r="W340" t="inlineStr">
        <is>
          <t>CANADA</t>
        </is>
      </c>
      <c r="X340" t="inlineStr">
        <is>
          <t>PERSIAN GULF</t>
        </is>
      </c>
      <c r="Y340" t="inlineStr">
        <is>
          <t>RUSSIA</t>
        </is>
      </c>
      <c r="Z340" t="inlineStr">
        <is>
          <t>External Review</t>
        </is>
      </c>
      <c r="AA340" t="inlineStr">
        <is>
          <t>HUB SHIPPING LLC-LED</t>
        </is>
      </c>
      <c r="AB340" t="inlineStr">
        <is>
          <t>Prepaid</t>
        </is>
      </c>
      <c r="AC340" t="inlineStr">
        <is>
          <t>TIGER PLATA/966N</t>
        </is>
      </c>
      <c r="AD340" t="inlineStr">
        <is>
          <t>LI DA XING / VOYAGE 1</t>
        </is>
      </c>
      <c r="AE340" t="inlineStr">
        <is>
          <t>LADEN BOOKING</t>
        </is>
      </c>
      <c r="AF340" t="inlineStr">
        <is>
          <t>AR_MARTIMA</t>
        </is>
      </c>
      <c r="AG340" t="inlineStr">
        <is>
          <t>RH40</t>
        </is>
      </c>
      <c r="AI340" t="n">
        <v>40</v>
      </c>
      <c r="AJ340" t="n">
        <v>0</v>
      </c>
      <c r="AK340" t="n">
        <v>1</v>
      </c>
      <c r="AL340" t="inlineStr">
        <is>
          <t>ANON0000000</t>
        </is>
      </c>
      <c r="AM340" t="n">
        <v>-18</v>
      </c>
      <c r="AP340" t="inlineStr">
        <is>
          <t>Non Haz</t>
        </is>
      </c>
      <c r="AQ340" t="inlineStr">
        <is>
          <t>CY/CY</t>
        </is>
      </c>
      <c r="AT340" t="inlineStr">
        <is>
          <t>REF000000</t>
        </is>
      </c>
      <c r="AU340" t="n">
        <v>29000</v>
      </c>
      <c r="AV340" t="inlineStr">
        <is>
          <t>FROZEN MEAT</t>
        </is>
      </c>
      <c r="AW340" t="inlineStr">
        <is>
          <t>NCM 020622</t>
        </is>
      </c>
      <c r="AX340" t="inlineStr">
        <is>
          <t>RSAMI122500031</t>
        </is>
      </c>
      <c r="AZ340" t="n">
        <v>0</v>
      </c>
      <c r="BA340" t="n">
        <v>10</v>
      </c>
      <c r="BB340" t="n">
        <v>10</v>
      </c>
      <c r="BC340" t="n">
        <v>6800</v>
      </c>
      <c r="BD340" t="inlineStr">
        <is>
          <t>No</t>
        </is>
      </c>
      <c r="BF340" t="inlineStr">
        <is>
          <t>Bengal Tiger Line -BTL</t>
        </is>
      </c>
      <c r="BG340" t="inlineStr">
        <is>
          <t>USSEA</t>
        </is>
      </c>
      <c r="BH340" t="n">
        <v>0</v>
      </c>
      <c r="BI340" t="n">
        <v>1</v>
      </c>
      <c r="BJ340" t="n">
        <v>6800</v>
      </c>
      <c r="BK340" t="inlineStr">
        <is>
          <t>LINE</t>
        </is>
      </c>
      <c r="BL340" t="inlineStr">
        <is>
          <t>ORCA REEFER</t>
        </is>
      </c>
      <c r="BM340" t="inlineStr">
        <is>
          <t>ORCA REEFER</t>
        </is>
      </c>
    </row>
    <row r="341">
      <c r="A341" t="n">
        <v>340</v>
      </c>
      <c r="B341" t="inlineStr">
        <is>
          <t>WOLF DRY</t>
        </is>
      </c>
      <c r="C341" t="inlineStr">
        <is>
          <t>REF000000</t>
        </is>
      </c>
      <c r="D341" t="inlineStr">
        <is>
          <t>REF000000</t>
        </is>
      </c>
      <c r="E341" t="n">
        <v>46050</v>
      </c>
      <c r="F341" t="inlineStr">
        <is>
          <t>WOLF DRY</t>
        </is>
      </c>
      <c r="G341" t="inlineStr">
        <is>
          <t>3x40HQ</t>
        </is>
      </c>
      <c r="H341" t="inlineStr">
        <is>
          <t>AR_MARTIMA</t>
        </is>
      </c>
      <c r="J341" t="inlineStr">
        <is>
          <t>18-FEB-2026</t>
        </is>
      </c>
      <c r="K341" t="inlineStr">
        <is>
          <t>16-FEB-2026</t>
        </is>
      </c>
      <c r="L341" t="inlineStr">
        <is>
          <t>17-FEB-2026</t>
        </is>
      </c>
      <c r="M341" t="inlineStr">
        <is>
          <t>REF000000</t>
        </is>
      </c>
      <c r="N341" t="inlineStr">
        <is>
          <t>USSEA</t>
        </is>
      </c>
      <c r="O341" t="inlineStr">
        <is>
          <t>USSEA</t>
        </is>
      </c>
      <c r="P341" t="inlineStr">
        <is>
          <t>USNFK</t>
        </is>
      </c>
      <c r="U341" t="inlineStr">
        <is>
          <t>RULED</t>
        </is>
      </c>
      <c r="V341" t="inlineStr">
        <is>
          <t>RULED</t>
        </is>
      </c>
      <c r="W341" t="inlineStr">
        <is>
          <t>CANADA</t>
        </is>
      </c>
      <c r="X341" t="inlineStr">
        <is>
          <t>PERSIAN GULF</t>
        </is>
      </c>
      <c r="Y341" t="inlineStr">
        <is>
          <t>RUSSIA</t>
        </is>
      </c>
      <c r="Z341" t="inlineStr">
        <is>
          <t>External Review</t>
        </is>
      </c>
      <c r="AA341" t="inlineStr">
        <is>
          <t>HUB SHIPPING LLC-LED</t>
        </is>
      </c>
      <c r="AB341" t="inlineStr">
        <is>
          <t>Prepaid</t>
        </is>
      </c>
      <c r="AC341" t="inlineStr">
        <is>
          <t>TIGER PLATA/968N</t>
        </is>
      </c>
      <c r="AD341" t="inlineStr">
        <is>
          <t>LI DA XING / VOYAGE 1</t>
        </is>
      </c>
      <c r="AE341" t="inlineStr">
        <is>
          <t>LADEN BOOKING</t>
        </is>
      </c>
      <c r="AF341" t="inlineStr">
        <is>
          <t>AR_MARTIMA</t>
        </is>
      </c>
      <c r="AG341" t="inlineStr">
        <is>
          <t>HC40</t>
        </is>
      </c>
      <c r="AH341" t="inlineStr">
        <is>
          <t>NO</t>
        </is>
      </c>
      <c r="AI341" t="n">
        <v>40</v>
      </c>
      <c r="AJ341" t="n">
        <v>0</v>
      </c>
      <c r="AK341" t="n">
        <v>3</v>
      </c>
      <c r="AL341" t="inlineStr">
        <is>
          <t>ANON0000000,
ANON0000000,
ANON0000000</t>
        </is>
      </c>
      <c r="AP341" t="inlineStr">
        <is>
          <t>Non Haz</t>
        </is>
      </c>
      <c r="AQ341" t="inlineStr">
        <is>
          <t>CY/CY</t>
        </is>
      </c>
      <c r="AT341" t="inlineStr">
        <is>
          <t>REF000000</t>
        </is>
      </c>
      <c r="AU341" t="n">
        <v>29000</v>
      </c>
      <c r="AV341" t="inlineStr">
        <is>
          <t>PEANUTS</t>
        </is>
      </c>
      <c r="AW341" t="inlineStr">
        <is>
          <t>P.A.: 1202.42.00.190Z</t>
        </is>
      </c>
      <c r="AX341" t="inlineStr">
        <is>
          <t>RSAMI122500014</t>
        </is>
      </c>
      <c r="AZ341" t="n">
        <v>0</v>
      </c>
      <c r="BA341" t="n">
        <v>21</v>
      </c>
      <c r="BB341" t="n">
        <v>14</v>
      </c>
      <c r="BC341" t="n">
        <v>5200</v>
      </c>
      <c r="BD341" t="inlineStr">
        <is>
          <t>No</t>
        </is>
      </c>
      <c r="BF341" t="inlineStr">
        <is>
          <t>Bengal Tiger Line -BTL</t>
        </is>
      </c>
      <c r="BG341" t="inlineStr">
        <is>
          <t>USSEA</t>
        </is>
      </c>
      <c r="BH341" t="n">
        <v>0</v>
      </c>
      <c r="BI341" t="n">
        <v>3</v>
      </c>
      <c r="BJ341" t="n">
        <v>15600</v>
      </c>
      <c r="BK341" t="inlineStr">
        <is>
          <t>LINE</t>
        </is>
      </c>
      <c r="BL341" t="inlineStr">
        <is>
          <t>WOLF DRY</t>
        </is>
      </c>
      <c r="BM341" t="inlineStr">
        <is>
          <t>WOLF DRY</t>
        </is>
      </c>
    </row>
    <row r="342">
      <c r="A342" t="n">
        <v>341</v>
      </c>
      <c r="B342" t="inlineStr">
        <is>
          <t>DEER DRY</t>
        </is>
      </c>
      <c r="C342" t="inlineStr">
        <is>
          <t>REF000000</t>
        </is>
      </c>
      <c r="D342" t="inlineStr">
        <is>
          <t>REF000000</t>
        </is>
      </c>
      <c r="E342" t="n">
        <v>46051</v>
      </c>
      <c r="F342" t="inlineStr">
        <is>
          <t>DEER DRY</t>
        </is>
      </c>
      <c r="H342" t="inlineStr">
        <is>
          <t>AdminAMI</t>
        </is>
      </c>
      <c r="J342" t="inlineStr">
        <is>
          <t>23-FEB-2026</t>
        </is>
      </c>
      <c r="K342" t="inlineStr">
        <is>
          <t>22-FEB-2026</t>
        </is>
      </c>
      <c r="L342" t="inlineStr">
        <is>
          <t>23-FEB-2026</t>
        </is>
      </c>
      <c r="M342" t="inlineStr">
        <is>
          <t>REF000000</t>
        </is>
      </c>
      <c r="N342" t="inlineStr">
        <is>
          <t>USSEA</t>
        </is>
      </c>
      <c r="O342" t="inlineStr">
        <is>
          <t>USSEA</t>
        </is>
      </c>
      <c r="P342" t="inlineStr">
        <is>
          <t>USNFK</t>
        </is>
      </c>
      <c r="U342" t="inlineStr">
        <is>
          <t>RULED</t>
        </is>
      </c>
      <c r="V342" t="inlineStr">
        <is>
          <t>RULED</t>
        </is>
      </c>
      <c r="W342" t="inlineStr">
        <is>
          <t>CANADA</t>
        </is>
      </c>
      <c r="X342" t="inlineStr">
        <is>
          <t>PERSIAN GULF</t>
        </is>
      </c>
      <c r="Y342" t="inlineStr">
        <is>
          <t>RUSSIA</t>
        </is>
      </c>
      <c r="Z342" t="inlineStr">
        <is>
          <t>External Review</t>
        </is>
      </c>
      <c r="AA342" t="inlineStr">
        <is>
          <t>HUB SHIPPING LLC-LED</t>
        </is>
      </c>
      <c r="AB342" t="inlineStr">
        <is>
          <t>Collect</t>
        </is>
      </c>
      <c r="AC342" t="inlineStr">
        <is>
          <t>TIGER PLATA/969N</t>
        </is>
      </c>
      <c r="AD342" t="inlineStr">
        <is>
          <t>LI DA XING / VOYAGE 1</t>
        </is>
      </c>
      <c r="AE342" t="inlineStr">
        <is>
          <t>LADEN BOOKING</t>
        </is>
      </c>
      <c r="AF342" t="inlineStr">
        <is>
          <t>RenniAMI</t>
        </is>
      </c>
      <c r="AG342" t="inlineStr">
        <is>
          <t>DC20</t>
        </is>
      </c>
      <c r="AH342" t="inlineStr">
        <is>
          <t>NO</t>
        </is>
      </c>
      <c r="AI342" t="n">
        <v>20</v>
      </c>
      <c r="AJ342" t="n">
        <v>1</v>
      </c>
      <c r="AK342" t="n">
        <v>0</v>
      </c>
      <c r="AL342" t="inlineStr">
        <is>
          <t>ANON0000000</t>
        </is>
      </c>
      <c r="AP342" t="inlineStr">
        <is>
          <t>Non Haz</t>
        </is>
      </c>
      <c r="AQ342" t="inlineStr">
        <is>
          <t>CY/CY</t>
        </is>
      </c>
      <c r="AT342" t="inlineStr">
        <is>
          <t>REF000000</t>
        </is>
      </c>
      <c r="AU342" t="n">
        <v>23000</v>
      </c>
      <c r="AV342" t="inlineStr">
        <is>
          <t>GENERAL COMMODITY</t>
        </is>
      </c>
      <c r="AW342" t="inlineStr">
        <is>
          <t>N.C.M.: 3812.20</t>
        </is>
      </c>
      <c r="AX342" t="inlineStr">
        <is>
          <t>MRG382802</t>
        </is>
      </c>
      <c r="AY342" t="inlineStr">
        <is>
          <t>LINE</t>
        </is>
      </c>
      <c r="AZ342" t="n">
        <v>0</v>
      </c>
      <c r="BA342" t="n">
        <v>14</v>
      </c>
      <c r="BB342" t="n">
        <v>14</v>
      </c>
      <c r="BC342" t="n">
        <v>4000</v>
      </c>
      <c r="BD342" t="inlineStr">
        <is>
          <t>Yes</t>
        </is>
      </c>
      <c r="BF342" t="inlineStr">
        <is>
          <t>Bengal Tiger Line -BTL</t>
        </is>
      </c>
      <c r="BG342" t="inlineStr">
        <is>
          <t>RULED</t>
        </is>
      </c>
      <c r="BH342" t="n">
        <v>1</v>
      </c>
      <c r="BI342" t="n">
        <v>0</v>
      </c>
      <c r="BJ342" t="n">
        <v>4000</v>
      </c>
      <c r="BK342" t="inlineStr">
        <is>
          <t>LINE</t>
        </is>
      </c>
      <c r="BL342" t="inlineStr">
        <is>
          <t>DEER DRY</t>
        </is>
      </c>
      <c r="BM342" t="inlineStr">
        <is>
          <t>DEER DRY</t>
        </is>
      </c>
    </row>
    <row r="343">
      <c r="A343" t="n">
        <v>342</v>
      </c>
      <c r="B343" t="inlineStr">
        <is>
          <t>FOX DRY</t>
        </is>
      </c>
      <c r="C343" t="inlineStr">
        <is>
          <t>REF000000</t>
        </is>
      </c>
      <c r="D343" t="inlineStr">
        <is>
          <t>REF000000</t>
        </is>
      </c>
      <c r="E343" t="n">
        <v>46051</v>
      </c>
      <c r="F343" t="inlineStr">
        <is>
          <t>FOX DRY</t>
        </is>
      </c>
      <c r="H343" t="inlineStr">
        <is>
          <t>AdminAMI</t>
        </is>
      </c>
      <c r="J343" t="inlineStr">
        <is>
          <t>23-FEB-2026</t>
        </is>
      </c>
      <c r="K343" t="inlineStr">
        <is>
          <t>22-FEB-2026</t>
        </is>
      </c>
      <c r="L343" t="inlineStr">
        <is>
          <t>23-FEB-2026</t>
        </is>
      </c>
      <c r="M343" t="inlineStr">
        <is>
          <t>REF000000</t>
        </is>
      </c>
      <c r="N343" t="inlineStr">
        <is>
          <t>USSEA</t>
        </is>
      </c>
      <c r="O343" t="inlineStr">
        <is>
          <t>USSEA</t>
        </is>
      </c>
      <c r="P343" t="inlineStr">
        <is>
          <t>USNFK</t>
        </is>
      </c>
      <c r="U343" t="inlineStr">
        <is>
          <t>RULED</t>
        </is>
      </c>
      <c r="V343" t="inlineStr">
        <is>
          <t>RULED</t>
        </is>
      </c>
      <c r="W343" t="inlineStr">
        <is>
          <t>CANADA</t>
        </is>
      </c>
      <c r="X343" t="inlineStr">
        <is>
          <t>PERSIAN GULF</t>
        </is>
      </c>
      <c r="Y343" t="inlineStr">
        <is>
          <t>RUSSIA</t>
        </is>
      </c>
      <c r="Z343" t="inlineStr">
        <is>
          <t>External Review</t>
        </is>
      </c>
      <c r="AA343" t="inlineStr">
        <is>
          <t>HUB SHIPPING LLC-LED</t>
        </is>
      </c>
      <c r="AB343" t="inlineStr">
        <is>
          <t>Collect</t>
        </is>
      </c>
      <c r="AC343" t="inlineStr">
        <is>
          <t>TIGER PLATA/969N</t>
        </is>
      </c>
      <c r="AD343" t="inlineStr">
        <is>
          <t>LI DA XING / VOYAGE 1</t>
        </is>
      </c>
      <c r="AE343" t="inlineStr">
        <is>
          <t>LADEN BOOKING</t>
        </is>
      </c>
      <c r="AF343" t="inlineStr">
        <is>
          <t>RenniAMI</t>
        </is>
      </c>
      <c r="AG343" t="inlineStr">
        <is>
          <t>HC40</t>
        </is>
      </c>
      <c r="AH343" t="inlineStr">
        <is>
          <t>NO</t>
        </is>
      </c>
      <c r="AI343" t="n">
        <v>40</v>
      </c>
      <c r="AJ343" t="n">
        <v>0</v>
      </c>
      <c r="AK343" t="n">
        <v>7</v>
      </c>
      <c r="AL343" t="inlineStr">
        <is>
          <t>ANON0000000,
ANON0000000,
ANON0000000,
ANON0000000,
ANON0000000,
ANON0000000,
ANON0000000</t>
        </is>
      </c>
      <c r="AP343" t="inlineStr">
        <is>
          <t>Non Haz</t>
        </is>
      </c>
      <c r="AQ343" t="inlineStr">
        <is>
          <t>CY/CY</t>
        </is>
      </c>
      <c r="AT343" t="inlineStr">
        <is>
          <t>REF000000</t>
        </is>
      </c>
      <c r="AU343" t="n">
        <v>26000</v>
      </c>
      <c r="AV343" t="inlineStr">
        <is>
          <t>GENERAL COMMODITY</t>
        </is>
      </c>
      <c r="AW343" t="inlineStr">
        <is>
          <t>NCM: 1202.42.00</t>
        </is>
      </c>
      <c r="AX343" t="inlineStr">
        <is>
          <t>RSAMI012600009</t>
        </is>
      </c>
      <c r="AZ343" t="n">
        <v>0</v>
      </c>
      <c r="BA343" t="n">
        <v>10</v>
      </c>
      <c r="BB343" t="n">
        <v>14</v>
      </c>
      <c r="BC343" t="n">
        <v>4600</v>
      </c>
      <c r="BD343" t="inlineStr">
        <is>
          <t>Yes</t>
        </is>
      </c>
      <c r="BF343" t="inlineStr">
        <is>
          <t>Bengal Tiger Line -BTL</t>
        </is>
      </c>
      <c r="BG343" t="inlineStr">
        <is>
          <t>RULED</t>
        </is>
      </c>
      <c r="BH343" t="n">
        <v>0</v>
      </c>
      <c r="BI343" t="n">
        <v>7</v>
      </c>
      <c r="BJ343" t="n">
        <v>32200</v>
      </c>
      <c r="BK343" t="inlineStr">
        <is>
          <t>LINE</t>
        </is>
      </c>
      <c r="BL343" t="inlineStr">
        <is>
          <t>FOX DRY</t>
        </is>
      </c>
      <c r="BM343" t="inlineStr">
        <is>
          <t>FOX DRY</t>
        </is>
      </c>
    </row>
    <row r="344">
      <c r="A344" t="n">
        <v>343</v>
      </c>
      <c r="B344" t="inlineStr">
        <is>
          <t>DOLPHIN REEFER</t>
        </is>
      </c>
      <c r="C344" t="inlineStr">
        <is>
          <t>REF000000</t>
        </is>
      </c>
      <c r="D344" t="inlineStr">
        <is>
          <t>REF000000</t>
        </is>
      </c>
      <c r="E344" t="n">
        <v>46051</v>
      </c>
      <c r="F344" t="inlineStr">
        <is>
          <t>DOLPHIN REEFER</t>
        </is>
      </c>
      <c r="G344" t="inlineStr">
        <is>
          <t>1x40RH TEMP -18</t>
        </is>
      </c>
      <c r="H344" t="inlineStr">
        <is>
          <t>AR_MARTIMA</t>
        </is>
      </c>
      <c r="J344" t="inlineStr">
        <is>
          <t>03-FEB-2026</t>
        </is>
      </c>
      <c r="K344" t="inlineStr">
        <is>
          <t>01-FEB-2026</t>
        </is>
      </c>
      <c r="L344" t="inlineStr">
        <is>
          <t>03-FEB-2026</t>
        </is>
      </c>
      <c r="M344" t="inlineStr">
        <is>
          <t>REF000000</t>
        </is>
      </c>
      <c r="N344" t="inlineStr">
        <is>
          <t>USSEA</t>
        </is>
      </c>
      <c r="O344" t="inlineStr">
        <is>
          <t>USSEA</t>
        </is>
      </c>
      <c r="P344" t="inlineStr">
        <is>
          <t>USNFK</t>
        </is>
      </c>
      <c r="U344" t="inlineStr">
        <is>
          <t>RULED</t>
        </is>
      </c>
      <c r="V344" t="inlineStr">
        <is>
          <t>RULED</t>
        </is>
      </c>
      <c r="W344" t="inlineStr">
        <is>
          <t>CANADA</t>
        </is>
      </c>
      <c r="X344" t="inlineStr">
        <is>
          <t>PERSIAN GULF</t>
        </is>
      </c>
      <c r="Y344" t="inlineStr">
        <is>
          <t>RUSSIA</t>
        </is>
      </c>
      <c r="Z344" t="inlineStr">
        <is>
          <t>External Review</t>
        </is>
      </c>
      <c r="AA344" t="inlineStr">
        <is>
          <t>HUB SHIPPING LLC-LED</t>
        </is>
      </c>
      <c r="AB344" t="inlineStr">
        <is>
          <t>Prepaid</t>
        </is>
      </c>
      <c r="AC344" t="inlineStr">
        <is>
          <t>TIGER PLATA/966N</t>
        </is>
      </c>
      <c r="AD344" t="inlineStr">
        <is>
          <t>LI DA XING / VOYAGE 1</t>
        </is>
      </c>
      <c r="AE344" t="inlineStr">
        <is>
          <t>LADEN BOOKING</t>
        </is>
      </c>
      <c r="AF344" t="inlineStr">
        <is>
          <t>AR_MARTIMA</t>
        </is>
      </c>
      <c r="AG344" t="inlineStr">
        <is>
          <t>RH40</t>
        </is>
      </c>
      <c r="AH344" t="inlineStr">
        <is>
          <t>NO</t>
        </is>
      </c>
      <c r="AI344" t="n">
        <v>40</v>
      </c>
      <c r="AJ344" t="n">
        <v>0</v>
      </c>
      <c r="AK344" t="n">
        <v>1</v>
      </c>
      <c r="AL344" t="inlineStr">
        <is>
          <t>ANON0000000</t>
        </is>
      </c>
      <c r="AM344" t="n">
        <v>-18</v>
      </c>
      <c r="AP344" t="inlineStr">
        <is>
          <t>Non Haz</t>
        </is>
      </c>
      <c r="AQ344" t="inlineStr">
        <is>
          <t>CY/CY</t>
        </is>
      </c>
      <c r="AT344" t="inlineStr">
        <is>
          <t>REF000000</t>
        </is>
      </c>
      <c r="AU344" t="n">
        <v>29000</v>
      </c>
      <c r="AV344" t="inlineStr">
        <is>
          <t>FROZEN MEAT</t>
        </is>
      </c>
      <c r="AW344" t="inlineStr">
        <is>
          <t>NCM 020622</t>
        </is>
      </c>
      <c r="AX344" t="inlineStr">
        <is>
          <t>RSAMI122500031</t>
        </is>
      </c>
      <c r="AZ344" t="n">
        <v>0</v>
      </c>
      <c r="BA344" t="n">
        <v>10</v>
      </c>
      <c r="BB344" t="n">
        <v>10</v>
      </c>
      <c r="BC344" t="n">
        <v>6800</v>
      </c>
      <c r="BD344" t="inlineStr">
        <is>
          <t>No</t>
        </is>
      </c>
      <c r="BF344" t="inlineStr">
        <is>
          <t>Bengal Tiger Line -BTL</t>
        </is>
      </c>
      <c r="BG344" t="inlineStr">
        <is>
          <t>USSEA</t>
        </is>
      </c>
      <c r="BH344" t="n">
        <v>0</v>
      </c>
      <c r="BI344" t="n">
        <v>1</v>
      </c>
      <c r="BJ344" t="n">
        <v>6800</v>
      </c>
      <c r="BK344" t="inlineStr">
        <is>
          <t>LINE</t>
        </is>
      </c>
      <c r="BL344" t="inlineStr">
        <is>
          <t>DOLPHIN REEFER</t>
        </is>
      </c>
      <c r="BM344" t="inlineStr">
        <is>
          <t>DOLPHIN REEFER</t>
        </is>
      </c>
    </row>
    <row r="345">
      <c r="A345" t="n">
        <v>344</v>
      </c>
      <c r="B345" t="inlineStr">
        <is>
          <t>MARLIN REEFER</t>
        </is>
      </c>
      <c r="C345" t="inlineStr">
        <is>
          <t>REF000000</t>
        </is>
      </c>
      <c r="D345" t="inlineStr">
        <is>
          <t>REF000000</t>
        </is>
      </c>
      <c r="E345" t="n">
        <v>46051</v>
      </c>
      <c r="F345" t="inlineStr">
        <is>
          <t>MARLIN REEFER</t>
        </is>
      </c>
      <c r="G345" t="inlineStr">
        <is>
          <t>ENTERED THROUGH SPLIT BOOKING FROM THE BOOKING ID REF000000, BY AR_MARTIMA, ON 1/29/2026 4:38:27 PM</t>
        </is>
      </c>
      <c r="H345" t="inlineStr">
        <is>
          <t>AR_MARTIMA</t>
        </is>
      </c>
      <c r="J345" t="inlineStr">
        <is>
          <t>03-FEB-2026</t>
        </is>
      </c>
      <c r="K345" t="inlineStr">
        <is>
          <t>01-FEB-2026</t>
        </is>
      </c>
      <c r="L345" t="inlineStr">
        <is>
          <t>03-FEB-2026</t>
        </is>
      </c>
      <c r="M345" t="inlineStr">
        <is>
          <t>REF000000</t>
        </is>
      </c>
      <c r="N345" t="inlineStr">
        <is>
          <t>USSEA</t>
        </is>
      </c>
      <c r="O345" t="inlineStr">
        <is>
          <t>USSEA</t>
        </is>
      </c>
      <c r="P345" t="inlineStr">
        <is>
          <t>USNFK</t>
        </is>
      </c>
      <c r="U345" t="inlineStr">
        <is>
          <t>RULED</t>
        </is>
      </c>
      <c r="V345" t="inlineStr">
        <is>
          <t>RULED</t>
        </is>
      </c>
      <c r="W345" t="inlineStr">
        <is>
          <t>CANADA</t>
        </is>
      </c>
      <c r="X345" t="inlineStr">
        <is>
          <t>PERSIAN GULF</t>
        </is>
      </c>
      <c r="Y345" t="inlineStr">
        <is>
          <t>RUSSIA</t>
        </is>
      </c>
      <c r="Z345" t="inlineStr">
        <is>
          <t>External Review</t>
        </is>
      </c>
      <c r="AA345" t="inlineStr">
        <is>
          <t>HUB SHIPPING LLC-LED</t>
        </is>
      </c>
      <c r="AB345" t="inlineStr">
        <is>
          <t>Prepaid</t>
        </is>
      </c>
      <c r="AC345" t="inlineStr">
        <is>
          <t>TIGER PLATA/966N</t>
        </is>
      </c>
      <c r="AD345" t="inlineStr">
        <is>
          <t>LI DA XING / VOYAGE 1</t>
        </is>
      </c>
      <c r="AE345" t="inlineStr">
        <is>
          <t>LADEN BOOKING</t>
        </is>
      </c>
      <c r="AF345" t="inlineStr">
        <is>
          <t>AR_MARTIMA</t>
        </is>
      </c>
      <c r="AG345" t="inlineStr">
        <is>
          <t>RH40</t>
        </is>
      </c>
      <c r="AI345" t="n">
        <v>40</v>
      </c>
      <c r="AJ345" t="n">
        <v>0</v>
      </c>
      <c r="AK345" t="n">
        <v>1</v>
      </c>
      <c r="AL345" t="inlineStr">
        <is>
          <t>ANON0000000</t>
        </is>
      </c>
      <c r="AM345" t="n">
        <v>-18</v>
      </c>
      <c r="AP345" t="inlineStr">
        <is>
          <t>Non Haz</t>
        </is>
      </c>
      <c r="AQ345" t="inlineStr">
        <is>
          <t>CY/CY</t>
        </is>
      </c>
      <c r="AT345" t="inlineStr">
        <is>
          <t>REF000000</t>
        </is>
      </c>
      <c r="AU345" t="n">
        <v>29000</v>
      </c>
      <c r="AV345" t="inlineStr">
        <is>
          <t>FROZEN MEAT</t>
        </is>
      </c>
      <c r="AW345" t="inlineStr">
        <is>
          <t>NCM 020622</t>
        </is>
      </c>
      <c r="AX345" t="inlineStr">
        <is>
          <t>RSAMI122500031</t>
        </is>
      </c>
      <c r="AZ345" t="n">
        <v>0</v>
      </c>
      <c r="BA345" t="n">
        <v>10</v>
      </c>
      <c r="BB345" t="n">
        <v>10</v>
      </c>
      <c r="BC345" t="n">
        <v>6800</v>
      </c>
      <c r="BD345" t="inlineStr">
        <is>
          <t>No</t>
        </is>
      </c>
      <c r="BF345" t="inlineStr">
        <is>
          <t>Bengal Tiger Line -BTL</t>
        </is>
      </c>
      <c r="BG345" t="inlineStr">
        <is>
          <t>USSEA</t>
        </is>
      </c>
      <c r="BH345" t="n">
        <v>0</v>
      </c>
      <c r="BI345" t="n">
        <v>1</v>
      </c>
      <c r="BJ345" t="n">
        <v>6800</v>
      </c>
      <c r="BK345" t="inlineStr">
        <is>
          <t>LINE</t>
        </is>
      </c>
      <c r="BL345" t="inlineStr">
        <is>
          <t>MARLIN REEFER</t>
        </is>
      </c>
      <c r="BM345" t="inlineStr">
        <is>
          <t>MARLIN REEFER</t>
        </is>
      </c>
    </row>
    <row r="346">
      <c r="A346" t="n">
        <v>345</v>
      </c>
      <c r="B346" t="inlineStr">
        <is>
          <t>TURTLE REEFER</t>
        </is>
      </c>
      <c r="C346" t="inlineStr">
        <is>
          <t>REF000000</t>
        </is>
      </c>
      <c r="D346" t="inlineStr">
        <is>
          <t>REF000000</t>
        </is>
      </c>
      <c r="E346" t="n">
        <v>46051</v>
      </c>
      <c r="F346" t="inlineStr">
        <is>
          <t>TURTLE REEFER</t>
        </is>
      </c>
      <c r="G346" t="inlineStr">
        <is>
          <t>ENTERED THROUGH SPLIT BOOKING FROM THE BOOKING ID REF000000, BY AR_MARTIMA, ON 1/29/2026 4:38:28 PM</t>
        </is>
      </c>
      <c r="H346" t="inlineStr">
        <is>
          <t>AR_MARTIMA</t>
        </is>
      </c>
      <c r="J346" t="inlineStr">
        <is>
          <t>03-FEB-2026</t>
        </is>
      </c>
      <c r="K346" t="inlineStr">
        <is>
          <t>01-FEB-2026</t>
        </is>
      </c>
      <c r="L346" t="inlineStr">
        <is>
          <t>03-FEB-2026</t>
        </is>
      </c>
      <c r="M346" t="inlineStr">
        <is>
          <t>REF000000</t>
        </is>
      </c>
      <c r="N346" t="inlineStr">
        <is>
          <t>USSEA</t>
        </is>
      </c>
      <c r="O346" t="inlineStr">
        <is>
          <t>USSEA</t>
        </is>
      </c>
      <c r="P346" t="inlineStr">
        <is>
          <t>USNFK</t>
        </is>
      </c>
      <c r="U346" t="inlineStr">
        <is>
          <t>RULED</t>
        </is>
      </c>
      <c r="V346" t="inlineStr">
        <is>
          <t>RULED</t>
        </is>
      </c>
      <c r="W346" t="inlineStr">
        <is>
          <t>CANADA</t>
        </is>
      </c>
      <c r="X346" t="inlineStr">
        <is>
          <t>PERSIAN GULF</t>
        </is>
      </c>
      <c r="Y346" t="inlineStr">
        <is>
          <t>RUSSIA</t>
        </is>
      </c>
      <c r="Z346" t="inlineStr">
        <is>
          <t>External Review</t>
        </is>
      </c>
      <c r="AA346" t="inlineStr">
        <is>
          <t>HUB SHIPPING LLC-LED</t>
        </is>
      </c>
      <c r="AB346" t="inlineStr">
        <is>
          <t>Prepaid</t>
        </is>
      </c>
      <c r="AC346" t="inlineStr">
        <is>
          <t>TIGER PLATA/966N</t>
        </is>
      </c>
      <c r="AD346" t="inlineStr">
        <is>
          <t>LI DA XING / VOYAGE 1</t>
        </is>
      </c>
      <c r="AE346" t="inlineStr">
        <is>
          <t>LADEN BOOKING</t>
        </is>
      </c>
      <c r="AF346" t="inlineStr">
        <is>
          <t>AR_MARTIMA</t>
        </is>
      </c>
      <c r="AG346" t="inlineStr">
        <is>
          <t>RH40</t>
        </is>
      </c>
      <c r="AI346" t="n">
        <v>40</v>
      </c>
      <c r="AJ346" t="n">
        <v>0</v>
      </c>
      <c r="AK346" t="n">
        <v>1</v>
      </c>
      <c r="AL346" t="inlineStr">
        <is>
          <t>ANON0000000</t>
        </is>
      </c>
      <c r="AM346" t="n">
        <v>-18</v>
      </c>
      <c r="AP346" t="inlineStr">
        <is>
          <t>Non Haz</t>
        </is>
      </c>
      <c r="AQ346" t="inlineStr">
        <is>
          <t>CY/CY</t>
        </is>
      </c>
      <c r="AT346" t="inlineStr">
        <is>
          <t>REF000000</t>
        </is>
      </c>
      <c r="AU346" t="n">
        <v>29000</v>
      </c>
      <c r="AV346" t="inlineStr">
        <is>
          <t>FROZEN MEAT</t>
        </is>
      </c>
      <c r="AW346" t="inlineStr">
        <is>
          <t>NCM 020622</t>
        </is>
      </c>
      <c r="AX346" t="inlineStr">
        <is>
          <t>RSAMI122500031</t>
        </is>
      </c>
      <c r="AZ346" t="n">
        <v>0</v>
      </c>
      <c r="BA346" t="n">
        <v>10</v>
      </c>
      <c r="BB346" t="n">
        <v>10</v>
      </c>
      <c r="BC346" t="n">
        <v>6800</v>
      </c>
      <c r="BD346" t="inlineStr">
        <is>
          <t>No</t>
        </is>
      </c>
      <c r="BF346" t="inlineStr">
        <is>
          <t>Bengal Tiger Line -BTL</t>
        </is>
      </c>
      <c r="BG346" t="inlineStr">
        <is>
          <t>USSEA</t>
        </is>
      </c>
      <c r="BH346" t="n">
        <v>0</v>
      </c>
      <c r="BI346" t="n">
        <v>1</v>
      </c>
      <c r="BJ346" t="n">
        <v>6800</v>
      </c>
      <c r="BK346" t="inlineStr">
        <is>
          <t>LINE</t>
        </is>
      </c>
      <c r="BL346" t="inlineStr">
        <is>
          <t>TURTLE REEFER</t>
        </is>
      </c>
      <c r="BM346" t="inlineStr">
        <is>
          <t>TURTLE REEFER</t>
        </is>
      </c>
    </row>
    <row r="347">
      <c r="A347" t="n">
        <v>346</v>
      </c>
      <c r="B347" t="inlineStr">
        <is>
          <t>ORCA REEFER</t>
        </is>
      </c>
      <c r="C347" t="inlineStr">
        <is>
          <t>REF000000</t>
        </is>
      </c>
      <c r="D347" t="inlineStr">
        <is>
          <t>REF000000</t>
        </is>
      </c>
      <c r="E347" t="n">
        <v>46051</v>
      </c>
      <c r="F347" t="inlineStr">
        <is>
          <t>ORCA REEFER</t>
        </is>
      </c>
      <c r="G347" t="inlineStr">
        <is>
          <t>1x40RH TEMP -18</t>
        </is>
      </c>
      <c r="H347" t="inlineStr">
        <is>
          <t>AR_MARTIMA</t>
        </is>
      </c>
      <c r="J347" t="inlineStr">
        <is>
          <t>08-FEB-2026</t>
        </is>
      </c>
      <c r="K347" t="inlineStr">
        <is>
          <t>07-FEB-2026</t>
        </is>
      </c>
      <c r="L347" t="inlineStr">
        <is>
          <t>08-FEB-2026</t>
        </is>
      </c>
      <c r="M347" t="inlineStr">
        <is>
          <t>REF000000</t>
        </is>
      </c>
      <c r="N347" t="inlineStr">
        <is>
          <t>USSEA</t>
        </is>
      </c>
      <c r="O347" t="inlineStr">
        <is>
          <t>USSEA</t>
        </is>
      </c>
      <c r="P347" t="inlineStr">
        <is>
          <t>USNFK</t>
        </is>
      </c>
      <c r="U347" t="inlineStr">
        <is>
          <t>RULED</t>
        </is>
      </c>
      <c r="V347" t="inlineStr">
        <is>
          <t>RULED</t>
        </is>
      </c>
      <c r="W347" t="inlineStr">
        <is>
          <t>CANADA</t>
        </is>
      </c>
      <c r="X347" t="inlineStr">
        <is>
          <t>PERSIAN GULF</t>
        </is>
      </c>
      <c r="Y347" t="inlineStr">
        <is>
          <t>RUSSIA</t>
        </is>
      </c>
      <c r="Z347" t="inlineStr">
        <is>
          <t>External Review</t>
        </is>
      </c>
      <c r="AA347" t="inlineStr">
        <is>
          <t>HUB SHIPPING LLC-LED</t>
        </is>
      </c>
      <c r="AB347" t="inlineStr">
        <is>
          <t>Prepaid</t>
        </is>
      </c>
      <c r="AC347" t="inlineStr">
        <is>
          <t>TIGER PLATA/967N</t>
        </is>
      </c>
      <c r="AD347" t="inlineStr">
        <is>
          <t>LI DA XING / VOYAGE 1</t>
        </is>
      </c>
      <c r="AE347" t="inlineStr">
        <is>
          <t>LADEN BOOKING</t>
        </is>
      </c>
      <c r="AF347" t="inlineStr">
        <is>
          <t>AR_MARTIMA</t>
        </is>
      </c>
      <c r="AG347" t="inlineStr">
        <is>
          <t>RH40</t>
        </is>
      </c>
      <c r="AH347" t="inlineStr">
        <is>
          <t>NO</t>
        </is>
      </c>
      <c r="AI347" t="n">
        <v>40</v>
      </c>
      <c r="AJ347" t="n">
        <v>0</v>
      </c>
      <c r="AK347" t="n">
        <v>1</v>
      </c>
      <c r="AL347" t="inlineStr">
        <is>
          <t>ANON0000000</t>
        </is>
      </c>
      <c r="AM347" t="n">
        <v>-18</v>
      </c>
      <c r="AP347" t="inlineStr">
        <is>
          <t>Non Haz</t>
        </is>
      </c>
      <c r="AQ347" t="inlineStr">
        <is>
          <t>CY/CY</t>
        </is>
      </c>
      <c r="AT347" t="inlineStr">
        <is>
          <t>REF000000</t>
        </is>
      </c>
      <c r="AU347" t="n">
        <v>29000</v>
      </c>
      <c r="AV347" t="inlineStr">
        <is>
          <t>FROZEN BONELESS BUFFALO MEAT</t>
        </is>
      </c>
      <c r="AW347" t="inlineStr">
        <is>
          <t>HS CODE: 0205.00 - 0504.00</t>
        </is>
      </c>
      <c r="AX347" t="inlineStr">
        <is>
          <t>RSAMI122500026</t>
        </is>
      </c>
      <c r="AZ347" t="n">
        <v>0</v>
      </c>
      <c r="BA347" t="n">
        <v>10</v>
      </c>
      <c r="BB347" t="n">
        <v>10</v>
      </c>
      <c r="BC347" t="n">
        <v>7300</v>
      </c>
      <c r="BD347" t="inlineStr">
        <is>
          <t>No</t>
        </is>
      </c>
      <c r="BF347" t="inlineStr">
        <is>
          <t>Bengal Tiger Line -BTL</t>
        </is>
      </c>
      <c r="BG347" t="inlineStr">
        <is>
          <t>USSEA</t>
        </is>
      </c>
      <c r="BH347" t="n">
        <v>0</v>
      </c>
      <c r="BI347" t="n">
        <v>1</v>
      </c>
      <c r="BJ347" t="n">
        <v>7300</v>
      </c>
      <c r="BK347" t="inlineStr">
        <is>
          <t>LINE</t>
        </is>
      </c>
      <c r="BL347" t="inlineStr">
        <is>
          <t>ORCA REEFER</t>
        </is>
      </c>
      <c r="BM347" t="inlineStr">
        <is>
          <t>ORCA REEFER</t>
        </is>
      </c>
    </row>
    <row r="348">
      <c r="A348" t="n">
        <v>347</v>
      </c>
      <c r="B348" t="inlineStr">
        <is>
          <t>WHALE REEFER</t>
        </is>
      </c>
      <c r="C348" t="inlineStr">
        <is>
          <t>REF000000</t>
        </is>
      </c>
      <c r="D348" t="inlineStr">
        <is>
          <t>REF000000</t>
        </is>
      </c>
      <c r="E348" t="n">
        <v>46051</v>
      </c>
      <c r="F348" t="inlineStr">
        <is>
          <t>WHALE REEFER</t>
        </is>
      </c>
      <c r="G348" t="inlineStr">
        <is>
          <t>1x40RH TEMP -18</t>
        </is>
      </c>
      <c r="H348" t="inlineStr">
        <is>
          <t>AR_MARTIMA</t>
        </is>
      </c>
      <c r="J348" t="inlineStr">
        <is>
          <t>08-FEB-2026</t>
        </is>
      </c>
      <c r="K348" t="inlineStr">
        <is>
          <t>07-FEB-2026</t>
        </is>
      </c>
      <c r="L348" t="inlineStr">
        <is>
          <t>08-FEB-2026</t>
        </is>
      </c>
      <c r="M348" t="inlineStr">
        <is>
          <t>REF000000</t>
        </is>
      </c>
      <c r="N348" t="inlineStr">
        <is>
          <t>USSEA</t>
        </is>
      </c>
      <c r="O348" t="inlineStr">
        <is>
          <t>USSEA</t>
        </is>
      </c>
      <c r="P348" t="inlineStr">
        <is>
          <t>USNFK</t>
        </is>
      </c>
      <c r="U348" t="inlineStr">
        <is>
          <t>RULED</t>
        </is>
      </c>
      <c r="V348" t="inlineStr">
        <is>
          <t>RULED</t>
        </is>
      </c>
      <c r="W348" t="inlineStr">
        <is>
          <t>CANADA</t>
        </is>
      </c>
      <c r="X348" t="inlineStr">
        <is>
          <t>PERSIAN GULF</t>
        </is>
      </c>
      <c r="Y348" t="inlineStr">
        <is>
          <t>RUSSIA</t>
        </is>
      </c>
      <c r="Z348" t="inlineStr">
        <is>
          <t>External Review</t>
        </is>
      </c>
      <c r="AA348" t="inlineStr">
        <is>
          <t>HUB SHIPPING LLC-LED</t>
        </is>
      </c>
      <c r="AB348" t="inlineStr">
        <is>
          <t>Prepaid</t>
        </is>
      </c>
      <c r="AC348" t="inlineStr">
        <is>
          <t>TIGER PLATA/967N</t>
        </is>
      </c>
      <c r="AD348" t="inlineStr">
        <is>
          <t>LI DA XING / VOYAGE 1</t>
        </is>
      </c>
      <c r="AE348" t="inlineStr">
        <is>
          <t>LADEN BOOKING</t>
        </is>
      </c>
      <c r="AF348" t="inlineStr">
        <is>
          <t>AR_MARTIMA</t>
        </is>
      </c>
      <c r="AG348" t="inlineStr">
        <is>
          <t>RH40</t>
        </is>
      </c>
      <c r="AH348" t="inlineStr">
        <is>
          <t>NO</t>
        </is>
      </c>
      <c r="AI348" t="n">
        <v>40</v>
      </c>
      <c r="AJ348" t="n">
        <v>0</v>
      </c>
      <c r="AK348" t="n">
        <v>1</v>
      </c>
      <c r="AL348" t="inlineStr">
        <is>
          <t>ANON0000000</t>
        </is>
      </c>
      <c r="AM348" t="n">
        <v>-18</v>
      </c>
      <c r="AP348" t="inlineStr">
        <is>
          <t>Non Haz</t>
        </is>
      </c>
      <c r="AQ348" t="inlineStr">
        <is>
          <t>CY/CY</t>
        </is>
      </c>
      <c r="AT348" t="inlineStr">
        <is>
          <t>REF000000</t>
        </is>
      </c>
      <c r="AU348" t="n">
        <v>29000</v>
      </c>
      <c r="AV348" t="inlineStr">
        <is>
          <t>FROZEN BONELESS BUFFALO MEAT</t>
        </is>
      </c>
      <c r="AW348" t="inlineStr">
        <is>
          <t>N.C.M.: 0206.22</t>
        </is>
      </c>
      <c r="AX348" t="inlineStr">
        <is>
          <t>RSAMI122500027</t>
        </is>
      </c>
      <c r="AZ348" t="n">
        <v>0</v>
      </c>
      <c r="BA348" t="n">
        <v>10</v>
      </c>
      <c r="BB348" t="n">
        <v>10</v>
      </c>
      <c r="BC348" t="n">
        <v>7300</v>
      </c>
      <c r="BD348" t="inlineStr">
        <is>
          <t>No</t>
        </is>
      </c>
      <c r="BF348" t="inlineStr">
        <is>
          <t>Bengal Tiger Line -BTL</t>
        </is>
      </c>
      <c r="BG348" t="inlineStr">
        <is>
          <t>USSEA</t>
        </is>
      </c>
      <c r="BH348" t="n">
        <v>0</v>
      </c>
      <c r="BI348" t="n">
        <v>1</v>
      </c>
      <c r="BJ348" t="n">
        <v>7300</v>
      </c>
      <c r="BK348" t="inlineStr">
        <is>
          <t>LINE</t>
        </is>
      </c>
      <c r="BL348" t="inlineStr">
        <is>
          <t>WHALE REEFER</t>
        </is>
      </c>
      <c r="BM348" t="inlineStr">
        <is>
          <t>WHALE REEFER</t>
        </is>
      </c>
    </row>
    <row r="349">
      <c r="A349" t="n">
        <v>348</v>
      </c>
      <c r="B349" t="inlineStr">
        <is>
          <t>SEAL REEFER</t>
        </is>
      </c>
      <c r="C349" t="inlineStr">
        <is>
          <t>REF000000</t>
        </is>
      </c>
      <c r="D349" t="inlineStr">
        <is>
          <t>REF000000</t>
        </is>
      </c>
      <c r="E349" t="n">
        <v>46051</v>
      </c>
      <c r="F349" t="inlineStr">
        <is>
          <t>SEAL REEFER</t>
        </is>
      </c>
      <c r="G349" t="inlineStr">
        <is>
          <t>1x40RH TEMP -18</t>
        </is>
      </c>
      <c r="H349" t="inlineStr">
        <is>
          <t>AR_MARTIMA</t>
        </is>
      </c>
      <c r="J349" t="inlineStr">
        <is>
          <t>08-FEB-2026</t>
        </is>
      </c>
      <c r="K349" t="inlineStr">
        <is>
          <t>07-FEB-2026</t>
        </is>
      </c>
      <c r="L349" t="inlineStr">
        <is>
          <t>08-FEB-2026</t>
        </is>
      </c>
      <c r="M349" t="inlineStr">
        <is>
          <t>REF000000</t>
        </is>
      </c>
      <c r="N349" t="inlineStr">
        <is>
          <t>USSEA</t>
        </is>
      </c>
      <c r="O349" t="inlineStr">
        <is>
          <t>USSEA</t>
        </is>
      </c>
      <c r="P349" t="inlineStr">
        <is>
          <t>USNFK</t>
        </is>
      </c>
      <c r="U349" t="inlineStr">
        <is>
          <t>RULED</t>
        </is>
      </c>
      <c r="V349" t="inlineStr">
        <is>
          <t>RULED</t>
        </is>
      </c>
      <c r="W349" t="inlineStr">
        <is>
          <t>CANADA</t>
        </is>
      </c>
      <c r="X349" t="inlineStr">
        <is>
          <t>PERSIAN GULF</t>
        </is>
      </c>
      <c r="Y349" t="inlineStr">
        <is>
          <t>RUSSIA</t>
        </is>
      </c>
      <c r="Z349" t="inlineStr">
        <is>
          <t>External Review</t>
        </is>
      </c>
      <c r="AA349" t="inlineStr">
        <is>
          <t>HUB SHIPPING LLC-LED</t>
        </is>
      </c>
      <c r="AB349" t="inlineStr">
        <is>
          <t>Prepaid</t>
        </is>
      </c>
      <c r="AC349" t="inlineStr">
        <is>
          <t>TIGER PLATA/967N</t>
        </is>
      </c>
      <c r="AD349" t="inlineStr">
        <is>
          <t>LI DA XING / VOYAGE 1</t>
        </is>
      </c>
      <c r="AE349" t="inlineStr">
        <is>
          <t>LADEN BOOKING</t>
        </is>
      </c>
      <c r="AF349" t="inlineStr">
        <is>
          <t>AR_MARTIMA</t>
        </is>
      </c>
      <c r="AG349" t="inlineStr">
        <is>
          <t>RH40</t>
        </is>
      </c>
      <c r="AH349" t="inlineStr">
        <is>
          <t>NO</t>
        </is>
      </c>
      <c r="AI349" t="n">
        <v>40</v>
      </c>
      <c r="AJ349" t="n">
        <v>0</v>
      </c>
      <c r="AK349" t="n">
        <v>1</v>
      </c>
      <c r="AL349" t="inlineStr">
        <is>
          <t>ANON0000000</t>
        </is>
      </c>
      <c r="AM349" t="n">
        <v>-18</v>
      </c>
      <c r="AP349" t="inlineStr">
        <is>
          <t>Non Haz</t>
        </is>
      </c>
      <c r="AQ349" t="inlineStr">
        <is>
          <t>CY/CY</t>
        </is>
      </c>
      <c r="AT349" t="inlineStr">
        <is>
          <t>REF000000</t>
        </is>
      </c>
      <c r="AU349" t="n">
        <v>29000</v>
      </c>
      <c r="AV349" t="inlineStr">
        <is>
          <t>FROZEN BONELESS BUFFALO MEAT</t>
        </is>
      </c>
      <c r="AW349" t="inlineStr">
        <is>
          <t>N.C.M.: 0206.22</t>
        </is>
      </c>
      <c r="AX349" t="inlineStr">
        <is>
          <t>RSAMI122500027</t>
        </is>
      </c>
      <c r="AZ349" t="n">
        <v>0</v>
      </c>
      <c r="BA349" t="n">
        <v>10</v>
      </c>
      <c r="BB349" t="n">
        <v>10</v>
      </c>
      <c r="BC349" t="n">
        <v>7300</v>
      </c>
      <c r="BD349" t="inlineStr">
        <is>
          <t>No</t>
        </is>
      </c>
      <c r="BF349" t="inlineStr">
        <is>
          <t>Bengal Tiger Line -BTL</t>
        </is>
      </c>
      <c r="BG349" t="inlineStr">
        <is>
          <t>USSEA</t>
        </is>
      </c>
      <c r="BH349" t="n">
        <v>0</v>
      </c>
      <c r="BI349" t="n">
        <v>1</v>
      </c>
      <c r="BJ349" t="n">
        <v>7300</v>
      </c>
      <c r="BK349" t="inlineStr">
        <is>
          <t>LINE</t>
        </is>
      </c>
      <c r="BL349" t="inlineStr">
        <is>
          <t>SEAL REEFER</t>
        </is>
      </c>
      <c r="BM349" t="inlineStr">
        <is>
          <t>SEAL REEFER</t>
        </is>
      </c>
    </row>
    <row r="350">
      <c r="A350" t="n">
        <v>349</v>
      </c>
      <c r="B350" t="inlineStr">
        <is>
          <t>SHARK REEFER</t>
        </is>
      </c>
      <c r="C350" t="inlineStr">
        <is>
          <t>REF000000</t>
        </is>
      </c>
      <c r="D350" t="inlineStr">
        <is>
          <t>REF000000</t>
        </is>
      </c>
      <c r="E350" t="n">
        <v>46051</v>
      </c>
      <c r="F350" t="inlineStr">
        <is>
          <t>SHARK REEFER</t>
        </is>
      </c>
      <c r="G350" t="inlineStr">
        <is>
          <t>ENTERED THROUGH SPLIT BOOKING FROM THE BOOKING ID REF000000, BY AR_MARTIMA, ON 1/29/2026 10:41:34 PM</t>
        </is>
      </c>
      <c r="H350" t="inlineStr">
        <is>
          <t>AR_MARTIMA</t>
        </is>
      </c>
      <c r="J350" t="inlineStr">
        <is>
          <t>08-FEB-2026</t>
        </is>
      </c>
      <c r="K350" t="inlineStr">
        <is>
          <t>07-FEB-2026</t>
        </is>
      </c>
      <c r="L350" t="inlineStr">
        <is>
          <t>08-FEB-2026</t>
        </is>
      </c>
      <c r="M350" t="inlineStr">
        <is>
          <t>REF000000</t>
        </is>
      </c>
      <c r="N350" t="inlineStr">
        <is>
          <t>USSEA</t>
        </is>
      </c>
      <c r="O350" t="inlineStr">
        <is>
          <t>USSEA</t>
        </is>
      </c>
      <c r="P350" t="inlineStr">
        <is>
          <t>USNFK</t>
        </is>
      </c>
      <c r="U350" t="inlineStr">
        <is>
          <t>RULED</t>
        </is>
      </c>
      <c r="V350" t="inlineStr">
        <is>
          <t>RULED</t>
        </is>
      </c>
      <c r="W350" t="inlineStr">
        <is>
          <t>CANADA</t>
        </is>
      </c>
      <c r="X350" t="inlineStr">
        <is>
          <t>PERSIAN GULF</t>
        </is>
      </c>
      <c r="Y350" t="inlineStr">
        <is>
          <t>RUSSIA</t>
        </is>
      </c>
      <c r="Z350" t="inlineStr">
        <is>
          <t>External Review</t>
        </is>
      </c>
      <c r="AA350" t="inlineStr">
        <is>
          <t>HUB SHIPPING LLC-LED</t>
        </is>
      </c>
      <c r="AB350" t="inlineStr">
        <is>
          <t>Prepaid</t>
        </is>
      </c>
      <c r="AC350" t="inlineStr">
        <is>
          <t>TIGER PLATA/967N</t>
        </is>
      </c>
      <c r="AD350" t="inlineStr">
        <is>
          <t>LI DA XING / VOYAGE 1</t>
        </is>
      </c>
      <c r="AE350" t="inlineStr">
        <is>
          <t>LADEN BOOKING</t>
        </is>
      </c>
      <c r="AF350" t="inlineStr">
        <is>
          <t>AR_MARTIMA</t>
        </is>
      </c>
      <c r="AG350" t="inlineStr">
        <is>
          <t>RH40</t>
        </is>
      </c>
      <c r="AI350" t="n">
        <v>40</v>
      </c>
      <c r="AJ350" t="n">
        <v>0</v>
      </c>
      <c r="AK350" t="n">
        <v>1</v>
      </c>
      <c r="AL350" t="inlineStr">
        <is>
          <t>ANON0000000</t>
        </is>
      </c>
      <c r="AM350" t="n">
        <v>-18</v>
      </c>
      <c r="AP350" t="inlineStr">
        <is>
          <t>Non Haz</t>
        </is>
      </c>
      <c r="AQ350" t="inlineStr">
        <is>
          <t>CY/CY</t>
        </is>
      </c>
      <c r="AT350" t="inlineStr">
        <is>
          <t>REF000000</t>
        </is>
      </c>
      <c r="AU350" t="n">
        <v>29000</v>
      </c>
      <c r="AV350" t="inlineStr">
        <is>
          <t>FROZEN BONELESS BUFFALO MEAT</t>
        </is>
      </c>
      <c r="AW350" t="inlineStr">
        <is>
          <t>N.C.M.: 0206.29</t>
        </is>
      </c>
      <c r="AX350" t="inlineStr">
        <is>
          <t>RSAMI122500027</t>
        </is>
      </c>
      <c r="AZ350" t="n">
        <v>0</v>
      </c>
      <c r="BA350" t="n">
        <v>10</v>
      </c>
      <c r="BB350" t="n">
        <v>10</v>
      </c>
      <c r="BC350" t="n">
        <v>7300</v>
      </c>
      <c r="BD350" t="inlineStr">
        <is>
          <t>No</t>
        </is>
      </c>
      <c r="BF350" t="inlineStr">
        <is>
          <t>Bengal Tiger Line -BTL</t>
        </is>
      </c>
      <c r="BG350" t="inlineStr">
        <is>
          <t>USSEA</t>
        </is>
      </c>
      <c r="BH350" t="n">
        <v>0</v>
      </c>
      <c r="BI350" t="n">
        <v>1</v>
      </c>
      <c r="BJ350" t="n">
        <v>7300</v>
      </c>
      <c r="BK350" t="inlineStr">
        <is>
          <t>LINE</t>
        </is>
      </c>
      <c r="BL350" t="inlineStr">
        <is>
          <t>SHARK REEFER</t>
        </is>
      </c>
      <c r="BM350" t="inlineStr">
        <is>
          <t>SHARK REEFER</t>
        </is>
      </c>
    </row>
    <row r="351">
      <c r="A351" t="n">
        <v>350</v>
      </c>
      <c r="B351" t="inlineStr">
        <is>
          <t>DOLPHIN REEFER</t>
        </is>
      </c>
      <c r="C351" t="inlineStr">
        <is>
          <t>REF000000</t>
        </is>
      </c>
      <c r="D351" t="inlineStr">
        <is>
          <t>REF000000</t>
        </is>
      </c>
      <c r="E351" t="n">
        <v>46052</v>
      </c>
      <c r="F351" t="inlineStr">
        <is>
          <t>DOLPHIN REEFER</t>
        </is>
      </c>
      <c r="G351" t="inlineStr">
        <is>
          <t>1x40RH TEMP -18</t>
        </is>
      </c>
      <c r="H351" t="inlineStr">
        <is>
          <t>AR_MARTIMA</t>
        </is>
      </c>
      <c r="J351" t="inlineStr">
        <is>
          <t>08-FEB-2026</t>
        </is>
      </c>
      <c r="K351" t="inlineStr">
        <is>
          <t>07-FEB-2026</t>
        </is>
      </c>
      <c r="L351" t="inlineStr">
        <is>
          <t>08-FEB-2026</t>
        </is>
      </c>
      <c r="M351" t="inlineStr">
        <is>
          <t>REF000000</t>
        </is>
      </c>
      <c r="N351" t="inlineStr">
        <is>
          <t>USSEA</t>
        </is>
      </c>
      <c r="O351" t="inlineStr">
        <is>
          <t>USSEA</t>
        </is>
      </c>
      <c r="P351" t="inlineStr">
        <is>
          <t>USNFK</t>
        </is>
      </c>
      <c r="U351" t="inlineStr">
        <is>
          <t>RULED</t>
        </is>
      </c>
      <c r="V351" t="inlineStr">
        <is>
          <t>RULED</t>
        </is>
      </c>
      <c r="W351" t="inlineStr">
        <is>
          <t>CANADA</t>
        </is>
      </c>
      <c r="X351" t="inlineStr">
        <is>
          <t>PERSIAN GULF</t>
        </is>
      </c>
      <c r="Y351" t="inlineStr">
        <is>
          <t>RUSSIA</t>
        </is>
      </c>
      <c r="Z351" t="inlineStr">
        <is>
          <t>External Review</t>
        </is>
      </c>
      <c r="AA351" t="inlineStr">
        <is>
          <t>HUB SHIPPING LLC-LED</t>
        </is>
      </c>
      <c r="AB351" t="inlineStr">
        <is>
          <t>Prepaid</t>
        </is>
      </c>
      <c r="AC351" t="inlineStr">
        <is>
          <t>TIGER PLATA/967N</t>
        </is>
      </c>
      <c r="AD351" t="inlineStr">
        <is>
          <t>LI DA XING / VOYAGE 1</t>
        </is>
      </c>
      <c r="AE351" t="inlineStr">
        <is>
          <t>LADEN BOOKING</t>
        </is>
      </c>
      <c r="AF351" t="inlineStr">
        <is>
          <t>AR_MARTIMA</t>
        </is>
      </c>
      <c r="AG351" t="inlineStr">
        <is>
          <t>RH40</t>
        </is>
      </c>
      <c r="AH351" t="inlineStr">
        <is>
          <t>NO</t>
        </is>
      </c>
      <c r="AI351" t="n">
        <v>40</v>
      </c>
      <c r="AJ351" t="n">
        <v>0</v>
      </c>
      <c r="AK351" t="n">
        <v>1</v>
      </c>
      <c r="AL351" t="inlineStr">
        <is>
          <t>ANON0000000</t>
        </is>
      </c>
      <c r="AM351" t="n">
        <v>-18</v>
      </c>
      <c r="AP351" t="inlineStr">
        <is>
          <t>Non Haz</t>
        </is>
      </c>
      <c r="AQ351" t="inlineStr">
        <is>
          <t>CY/CY</t>
        </is>
      </c>
      <c r="AT351" t="inlineStr">
        <is>
          <t>REF000000</t>
        </is>
      </c>
      <c r="AU351" t="n">
        <v>29000</v>
      </c>
      <c r="AV351" t="inlineStr">
        <is>
          <t>FROZEN MEAT</t>
        </is>
      </c>
      <c r="AW351" t="inlineStr">
        <is>
          <t>NCM: 0206.29</t>
        </is>
      </c>
      <c r="AX351" t="inlineStr">
        <is>
          <t>RSAMI122500031</t>
        </is>
      </c>
      <c r="AZ351" t="n">
        <v>0</v>
      </c>
      <c r="BA351" t="n">
        <v>10</v>
      </c>
      <c r="BB351" t="n">
        <v>10</v>
      </c>
      <c r="BC351" t="n">
        <v>6800</v>
      </c>
      <c r="BD351" t="inlineStr">
        <is>
          <t>No</t>
        </is>
      </c>
      <c r="BF351" t="inlineStr">
        <is>
          <t>Bengal Tiger Line -BTL</t>
        </is>
      </c>
      <c r="BG351" t="inlineStr">
        <is>
          <t>USSEA</t>
        </is>
      </c>
      <c r="BH351" t="n">
        <v>0</v>
      </c>
      <c r="BI351" t="n">
        <v>1</v>
      </c>
      <c r="BJ351" t="n">
        <v>6800</v>
      </c>
      <c r="BK351" t="inlineStr">
        <is>
          <t>LINE</t>
        </is>
      </c>
      <c r="BL351" t="inlineStr">
        <is>
          <t>DOLPHIN REEFER</t>
        </is>
      </c>
      <c r="BM351" t="inlineStr">
        <is>
          <t>DOLPHIN REEFER</t>
        </is>
      </c>
    </row>
    <row r="352">
      <c r="A352" t="n">
        <v>351</v>
      </c>
      <c r="B352" t="inlineStr">
        <is>
          <t>MARLIN REEFER</t>
        </is>
      </c>
      <c r="C352" t="inlineStr">
        <is>
          <t>REF000000</t>
        </is>
      </c>
      <c r="D352" t="inlineStr">
        <is>
          <t>REF000000</t>
        </is>
      </c>
      <c r="E352" t="n">
        <v>46052</v>
      </c>
      <c r="F352" t="inlineStr">
        <is>
          <t>MARLIN REEFER</t>
        </is>
      </c>
      <c r="G352" t="inlineStr">
        <is>
          <t>ENTERED THROUGH SPLIT BOOKING FROM THE BOOKING ID REF000000, BY AR_MARTIMA, ON 1/30/2026 7:25:39 PM</t>
        </is>
      </c>
      <c r="H352" t="inlineStr">
        <is>
          <t>AR_MARTIMA</t>
        </is>
      </c>
      <c r="J352" t="inlineStr">
        <is>
          <t>08-FEB-2026</t>
        </is>
      </c>
      <c r="K352" t="inlineStr">
        <is>
          <t>07-FEB-2026</t>
        </is>
      </c>
      <c r="L352" t="inlineStr">
        <is>
          <t>08-FEB-2026</t>
        </is>
      </c>
      <c r="M352" t="inlineStr">
        <is>
          <t>REF000000</t>
        </is>
      </c>
      <c r="N352" t="inlineStr">
        <is>
          <t>USSEA</t>
        </is>
      </c>
      <c r="O352" t="inlineStr">
        <is>
          <t>USSEA</t>
        </is>
      </c>
      <c r="P352" t="inlineStr">
        <is>
          <t>USNFK</t>
        </is>
      </c>
      <c r="U352" t="inlineStr">
        <is>
          <t>RULED</t>
        </is>
      </c>
      <c r="V352" t="inlineStr">
        <is>
          <t>RULED</t>
        </is>
      </c>
      <c r="W352" t="inlineStr">
        <is>
          <t>CANADA</t>
        </is>
      </c>
      <c r="X352" t="inlineStr">
        <is>
          <t>PERSIAN GULF</t>
        </is>
      </c>
      <c r="Y352" t="inlineStr">
        <is>
          <t>RUSSIA</t>
        </is>
      </c>
      <c r="Z352" t="inlineStr">
        <is>
          <t>External Review</t>
        </is>
      </c>
      <c r="AA352" t="inlineStr">
        <is>
          <t>HUB SHIPPING LLC-LED</t>
        </is>
      </c>
      <c r="AB352" t="inlineStr">
        <is>
          <t>Prepaid</t>
        </is>
      </c>
      <c r="AC352" t="inlineStr">
        <is>
          <t>TIGER PLATA/967N</t>
        </is>
      </c>
      <c r="AD352" t="inlineStr">
        <is>
          <t>LI DA XING / VOYAGE 1</t>
        </is>
      </c>
      <c r="AE352" t="inlineStr">
        <is>
          <t>LADEN BOOKING</t>
        </is>
      </c>
      <c r="AF352" t="inlineStr">
        <is>
          <t>AR_MARTIMA</t>
        </is>
      </c>
      <c r="AG352" t="inlineStr">
        <is>
          <t>RH40</t>
        </is>
      </c>
      <c r="AH352" t="inlineStr">
        <is>
          <t>NO</t>
        </is>
      </c>
      <c r="AI352" t="n">
        <v>40</v>
      </c>
      <c r="AJ352" t="n">
        <v>0</v>
      </c>
      <c r="AK352" t="n">
        <v>1</v>
      </c>
      <c r="AL352" t="inlineStr">
        <is>
          <t>ANON0000000</t>
        </is>
      </c>
      <c r="AM352" t="n">
        <v>-18</v>
      </c>
      <c r="AP352" t="inlineStr">
        <is>
          <t>Non Haz</t>
        </is>
      </c>
      <c r="AQ352" t="inlineStr">
        <is>
          <t>CY/CY</t>
        </is>
      </c>
      <c r="AT352" t="inlineStr">
        <is>
          <t>REF000000</t>
        </is>
      </c>
      <c r="AU352" t="n">
        <v>29000</v>
      </c>
      <c r="AV352" t="inlineStr">
        <is>
          <t>FROZEN MEAT</t>
        </is>
      </c>
      <c r="AW352" t="inlineStr">
        <is>
          <t>NCM 020622</t>
        </is>
      </c>
      <c r="AX352" t="inlineStr">
        <is>
          <t>RSAMI122500031</t>
        </is>
      </c>
      <c r="AZ352" t="n">
        <v>0</v>
      </c>
      <c r="BA352" t="n">
        <v>10</v>
      </c>
      <c r="BB352" t="n">
        <v>10</v>
      </c>
      <c r="BC352" t="n">
        <v>6800</v>
      </c>
      <c r="BD352" t="inlineStr">
        <is>
          <t>No</t>
        </is>
      </c>
      <c r="BF352" t="inlineStr">
        <is>
          <t>Bengal Tiger Line -BTL</t>
        </is>
      </c>
      <c r="BG352" t="inlineStr">
        <is>
          <t>USSEA</t>
        </is>
      </c>
      <c r="BH352" t="n">
        <v>0</v>
      </c>
      <c r="BI352" t="n">
        <v>1</v>
      </c>
      <c r="BJ352" t="n">
        <v>6800</v>
      </c>
      <c r="BK352" t="inlineStr">
        <is>
          <t>LINE</t>
        </is>
      </c>
      <c r="BL352" t="inlineStr">
        <is>
          <t>MARLIN REEFER</t>
        </is>
      </c>
      <c r="BM352" t="inlineStr">
        <is>
          <t>MARLIN REEFER</t>
        </is>
      </c>
    </row>
    <row r="353">
      <c r="A353" t="n">
        <v>352</v>
      </c>
      <c r="B353" t="inlineStr">
        <is>
          <t>TURTLE REEFER</t>
        </is>
      </c>
      <c r="C353" t="inlineStr">
        <is>
          <t>REF000000</t>
        </is>
      </c>
      <c r="D353" t="inlineStr">
        <is>
          <t>REF000000</t>
        </is>
      </c>
      <c r="E353" t="n">
        <v>46052</v>
      </c>
      <c r="F353" t="inlineStr">
        <is>
          <t>TURTLE REEFER</t>
        </is>
      </c>
      <c r="G353" t="inlineStr">
        <is>
          <t>ENTERED THROUGH SPLIT BOOKING FROM THE BOOKING ID REF000000, BY AR_MARTIMA, ON 1/30/2026 7:25:39 PM</t>
        </is>
      </c>
      <c r="H353" t="inlineStr">
        <is>
          <t>AR_MARTIMA</t>
        </is>
      </c>
      <c r="J353" t="inlineStr">
        <is>
          <t>08-FEB-2026</t>
        </is>
      </c>
      <c r="K353" t="inlineStr">
        <is>
          <t>07-FEB-2026</t>
        </is>
      </c>
      <c r="L353" t="inlineStr">
        <is>
          <t>08-FEB-2026</t>
        </is>
      </c>
      <c r="M353" t="inlineStr">
        <is>
          <t>REF000000</t>
        </is>
      </c>
      <c r="N353" t="inlineStr">
        <is>
          <t>USSEA</t>
        </is>
      </c>
      <c r="O353" t="inlineStr">
        <is>
          <t>USSEA</t>
        </is>
      </c>
      <c r="P353" t="inlineStr">
        <is>
          <t>USNFK</t>
        </is>
      </c>
      <c r="U353" t="inlineStr">
        <is>
          <t>RULED</t>
        </is>
      </c>
      <c r="V353" t="inlineStr">
        <is>
          <t>RULED</t>
        </is>
      </c>
      <c r="W353" t="inlineStr">
        <is>
          <t>CANADA</t>
        </is>
      </c>
      <c r="X353" t="inlineStr">
        <is>
          <t>PERSIAN GULF</t>
        </is>
      </c>
      <c r="Y353" t="inlineStr">
        <is>
          <t>RUSSIA</t>
        </is>
      </c>
      <c r="Z353" t="inlineStr">
        <is>
          <t>External Review</t>
        </is>
      </c>
      <c r="AA353" t="inlineStr">
        <is>
          <t>HUB SHIPPING LLC-LED</t>
        </is>
      </c>
      <c r="AB353" t="inlineStr">
        <is>
          <t>Prepaid</t>
        </is>
      </c>
      <c r="AC353" t="inlineStr">
        <is>
          <t>TIGER PLATA/967N</t>
        </is>
      </c>
      <c r="AD353" t="inlineStr">
        <is>
          <t>LI DA XING / VOYAGE 1</t>
        </is>
      </c>
      <c r="AE353" t="inlineStr">
        <is>
          <t>LADEN BOOKING</t>
        </is>
      </c>
      <c r="AF353" t="inlineStr">
        <is>
          <t>AR_MARTIMA</t>
        </is>
      </c>
      <c r="AG353" t="inlineStr">
        <is>
          <t>RH40</t>
        </is>
      </c>
      <c r="AH353" t="inlineStr">
        <is>
          <t>NO</t>
        </is>
      </c>
      <c r="AI353" t="n">
        <v>40</v>
      </c>
      <c r="AJ353" t="n">
        <v>0</v>
      </c>
      <c r="AK353" t="n">
        <v>1</v>
      </c>
      <c r="AL353" t="inlineStr">
        <is>
          <t>ANON0000000</t>
        </is>
      </c>
      <c r="AM353" t="n">
        <v>-18</v>
      </c>
      <c r="AP353" t="inlineStr">
        <is>
          <t>Non Haz</t>
        </is>
      </c>
      <c r="AQ353" t="inlineStr">
        <is>
          <t>CY/CY</t>
        </is>
      </c>
      <c r="AT353" t="inlineStr">
        <is>
          <t>REF000000</t>
        </is>
      </c>
      <c r="AU353" t="n">
        <v>29000</v>
      </c>
      <c r="AV353" t="inlineStr">
        <is>
          <t>FROZEN MEAT</t>
        </is>
      </c>
      <c r="AW353" t="inlineStr">
        <is>
          <t>NCM 020622</t>
        </is>
      </c>
      <c r="AX353" t="inlineStr">
        <is>
          <t>RSAMI122500031</t>
        </is>
      </c>
      <c r="AZ353" t="n">
        <v>0</v>
      </c>
      <c r="BA353" t="n">
        <v>10</v>
      </c>
      <c r="BB353" t="n">
        <v>10</v>
      </c>
      <c r="BC353" t="n">
        <v>6800</v>
      </c>
      <c r="BD353" t="inlineStr">
        <is>
          <t>No</t>
        </is>
      </c>
      <c r="BF353" t="inlineStr">
        <is>
          <t>Bengal Tiger Line -BTL</t>
        </is>
      </c>
      <c r="BG353" t="inlineStr">
        <is>
          <t>USSEA</t>
        </is>
      </c>
      <c r="BH353" t="n">
        <v>0</v>
      </c>
      <c r="BI353" t="n">
        <v>1</v>
      </c>
      <c r="BJ353" t="n">
        <v>6800</v>
      </c>
      <c r="BK353" t="inlineStr">
        <is>
          <t>LINE</t>
        </is>
      </c>
      <c r="BL353" t="inlineStr">
        <is>
          <t>TURTLE REEFER</t>
        </is>
      </c>
      <c r="BM353" t="inlineStr">
        <is>
          <t>TURTLE REEFER</t>
        </is>
      </c>
    </row>
    <row r="354">
      <c r="A354" t="n">
        <v>353</v>
      </c>
      <c r="B354" t="inlineStr">
        <is>
          <t>ORCA REEFER</t>
        </is>
      </c>
      <c r="C354" t="inlineStr">
        <is>
          <t>REF000000</t>
        </is>
      </c>
      <c r="D354" t="inlineStr">
        <is>
          <t>REF000000</t>
        </is>
      </c>
      <c r="E354" t="n">
        <v>46052</v>
      </c>
      <c r="F354" t="inlineStr">
        <is>
          <t>ORCA REEFER</t>
        </is>
      </c>
      <c r="G354" t="inlineStr">
        <is>
          <t>ENTERED THROUGH SPLIT BOOKING FROM THE BOOKING ID REF000000, BY AR_MARTIMA, ON 1/30/2026 7:25:39 PM</t>
        </is>
      </c>
      <c r="H354" t="inlineStr">
        <is>
          <t>AR_MARTIMA</t>
        </is>
      </c>
      <c r="J354" t="inlineStr">
        <is>
          <t>08-FEB-2026</t>
        </is>
      </c>
      <c r="K354" t="inlineStr">
        <is>
          <t>07-FEB-2026</t>
        </is>
      </c>
      <c r="L354" t="inlineStr">
        <is>
          <t>08-FEB-2026</t>
        </is>
      </c>
      <c r="M354" t="inlineStr">
        <is>
          <t>REF000000</t>
        </is>
      </c>
      <c r="N354" t="inlineStr">
        <is>
          <t>USSEA</t>
        </is>
      </c>
      <c r="O354" t="inlineStr">
        <is>
          <t>USSEA</t>
        </is>
      </c>
      <c r="P354" t="inlineStr">
        <is>
          <t>USNFK</t>
        </is>
      </c>
      <c r="U354" t="inlineStr">
        <is>
          <t>RULED</t>
        </is>
      </c>
      <c r="V354" t="inlineStr">
        <is>
          <t>RULED</t>
        </is>
      </c>
      <c r="W354" t="inlineStr">
        <is>
          <t>CANADA</t>
        </is>
      </c>
      <c r="X354" t="inlineStr">
        <is>
          <t>PERSIAN GULF</t>
        </is>
      </c>
      <c r="Y354" t="inlineStr">
        <is>
          <t>RUSSIA</t>
        </is>
      </c>
      <c r="Z354" t="inlineStr">
        <is>
          <t>External Review</t>
        </is>
      </c>
      <c r="AA354" t="inlineStr">
        <is>
          <t>HUB SHIPPING LLC-LED</t>
        </is>
      </c>
      <c r="AB354" t="inlineStr">
        <is>
          <t>Prepaid</t>
        </is>
      </c>
      <c r="AC354" t="inlineStr">
        <is>
          <t>TIGER PLATA/967N</t>
        </is>
      </c>
      <c r="AD354" t="inlineStr">
        <is>
          <t>LI DA XING / VOYAGE 1</t>
        </is>
      </c>
      <c r="AE354" t="inlineStr">
        <is>
          <t>LADEN BOOKING</t>
        </is>
      </c>
      <c r="AF354" t="inlineStr">
        <is>
          <t>AR_MARTIMA</t>
        </is>
      </c>
      <c r="AG354" t="inlineStr">
        <is>
          <t>RH40</t>
        </is>
      </c>
      <c r="AH354" t="inlineStr">
        <is>
          <t>NO</t>
        </is>
      </c>
      <c r="AI354" t="n">
        <v>40</v>
      </c>
      <c r="AJ354" t="n">
        <v>0</v>
      </c>
      <c r="AK354" t="n">
        <v>1</v>
      </c>
      <c r="AL354" t="inlineStr">
        <is>
          <t>ANON0000000</t>
        </is>
      </c>
      <c r="AM354" t="n">
        <v>-18</v>
      </c>
      <c r="AP354" t="inlineStr">
        <is>
          <t>Non Haz</t>
        </is>
      </c>
      <c r="AQ354" t="inlineStr">
        <is>
          <t>CY/CY</t>
        </is>
      </c>
      <c r="AT354" t="inlineStr">
        <is>
          <t>REF000000</t>
        </is>
      </c>
      <c r="AU354" t="n">
        <v>29000</v>
      </c>
      <c r="AV354" t="inlineStr">
        <is>
          <t>FROZEN MEAT</t>
        </is>
      </c>
      <c r="AW354" t="inlineStr">
        <is>
          <t>NCM 020622</t>
        </is>
      </c>
      <c r="AX354" t="inlineStr">
        <is>
          <t>RSAMI122500031</t>
        </is>
      </c>
      <c r="AZ354" t="n">
        <v>0</v>
      </c>
      <c r="BA354" t="n">
        <v>10</v>
      </c>
      <c r="BB354" t="n">
        <v>10</v>
      </c>
      <c r="BC354" t="n">
        <v>6800</v>
      </c>
      <c r="BD354" t="inlineStr">
        <is>
          <t>No</t>
        </is>
      </c>
      <c r="BF354" t="inlineStr">
        <is>
          <t>Bengal Tiger Line -BTL</t>
        </is>
      </c>
      <c r="BG354" t="inlineStr">
        <is>
          <t>USSEA</t>
        </is>
      </c>
      <c r="BH354" t="n">
        <v>0</v>
      </c>
      <c r="BI354" t="n">
        <v>1</v>
      </c>
      <c r="BJ354" t="n">
        <v>6800</v>
      </c>
      <c r="BK354" t="inlineStr">
        <is>
          <t>LINE</t>
        </is>
      </c>
      <c r="BL354" t="inlineStr">
        <is>
          <t>ORCA REEFER</t>
        </is>
      </c>
      <c r="BM354" t="inlineStr">
        <is>
          <t>ORCA REEFER</t>
        </is>
      </c>
    </row>
    <row r="355">
      <c r="A355" t="n">
        <v>354</v>
      </c>
      <c r="B355" t="inlineStr">
        <is>
          <t>WHALE REEFER</t>
        </is>
      </c>
      <c r="C355" t="inlineStr">
        <is>
          <t>REF000000</t>
        </is>
      </c>
      <c r="D355" t="inlineStr">
        <is>
          <t>REF000000</t>
        </is>
      </c>
      <c r="E355" t="n">
        <v>46052</v>
      </c>
      <c r="F355" t="inlineStr">
        <is>
          <t>WHALE REEFER</t>
        </is>
      </c>
      <c r="G355" t="inlineStr">
        <is>
          <t>ENTERED THROUGH SPLIT BOOKING FROM THE BOOKING ID REF000000, BY AR_MARTIMA, ON 1/30/2026 7:25:40 PM</t>
        </is>
      </c>
      <c r="H355" t="inlineStr">
        <is>
          <t>AR_MARTIMA</t>
        </is>
      </c>
      <c r="J355" t="inlineStr">
        <is>
          <t>08-FEB-2026</t>
        </is>
      </c>
      <c r="K355" t="inlineStr">
        <is>
          <t>07-FEB-2026</t>
        </is>
      </c>
      <c r="L355" t="inlineStr">
        <is>
          <t>08-FEB-2026</t>
        </is>
      </c>
      <c r="M355" t="inlineStr">
        <is>
          <t>REF000000</t>
        </is>
      </c>
      <c r="N355" t="inlineStr">
        <is>
          <t>USSEA</t>
        </is>
      </c>
      <c r="O355" t="inlineStr">
        <is>
          <t>USSEA</t>
        </is>
      </c>
      <c r="P355" t="inlineStr">
        <is>
          <t>USNFK</t>
        </is>
      </c>
      <c r="U355" t="inlineStr">
        <is>
          <t>RULED</t>
        </is>
      </c>
      <c r="V355" t="inlineStr">
        <is>
          <t>RULED</t>
        </is>
      </c>
      <c r="W355" t="inlineStr">
        <is>
          <t>CANADA</t>
        </is>
      </c>
      <c r="X355" t="inlineStr">
        <is>
          <t>PERSIAN GULF</t>
        </is>
      </c>
      <c r="Y355" t="inlineStr">
        <is>
          <t>RUSSIA</t>
        </is>
      </c>
      <c r="Z355" t="inlineStr">
        <is>
          <t>External Review</t>
        </is>
      </c>
      <c r="AA355" t="inlineStr">
        <is>
          <t>HUB SHIPPING LLC-LED</t>
        </is>
      </c>
      <c r="AB355" t="inlineStr">
        <is>
          <t>Prepaid</t>
        </is>
      </c>
      <c r="AC355" t="inlineStr">
        <is>
          <t>TIGER PLATA/967N</t>
        </is>
      </c>
      <c r="AD355" t="inlineStr">
        <is>
          <t>LI DA XING / VOYAGE 1</t>
        </is>
      </c>
      <c r="AE355" t="inlineStr">
        <is>
          <t>LADEN BOOKING</t>
        </is>
      </c>
      <c r="AF355" t="inlineStr">
        <is>
          <t>AR_MARTIMA</t>
        </is>
      </c>
      <c r="AG355" t="inlineStr">
        <is>
          <t>RH40</t>
        </is>
      </c>
      <c r="AH355" t="inlineStr">
        <is>
          <t>NO</t>
        </is>
      </c>
      <c r="AI355" t="n">
        <v>40</v>
      </c>
      <c r="AJ355" t="n">
        <v>0</v>
      </c>
      <c r="AK355" t="n">
        <v>1</v>
      </c>
      <c r="AL355" t="inlineStr">
        <is>
          <t>ANON0000000</t>
        </is>
      </c>
      <c r="AM355" t="n">
        <v>-18</v>
      </c>
      <c r="AP355" t="inlineStr">
        <is>
          <t>Non Haz</t>
        </is>
      </c>
      <c r="AQ355" t="inlineStr">
        <is>
          <t>CY/CY</t>
        </is>
      </c>
      <c r="AT355" t="inlineStr">
        <is>
          <t>REF000000</t>
        </is>
      </c>
      <c r="AU355" t="n">
        <v>29000</v>
      </c>
      <c r="AV355" t="inlineStr">
        <is>
          <t>FROZEN MEAT</t>
        </is>
      </c>
      <c r="AW355" t="inlineStr">
        <is>
          <t>NCM 020622</t>
        </is>
      </c>
      <c r="AX355" t="inlineStr">
        <is>
          <t>RSAMI122500031</t>
        </is>
      </c>
      <c r="AZ355" t="n">
        <v>0</v>
      </c>
      <c r="BA355" t="n">
        <v>10</v>
      </c>
      <c r="BB355" t="n">
        <v>10</v>
      </c>
      <c r="BC355" t="n">
        <v>6800</v>
      </c>
      <c r="BD355" t="inlineStr">
        <is>
          <t>No</t>
        </is>
      </c>
      <c r="BF355" t="inlineStr">
        <is>
          <t>Bengal Tiger Line -BTL</t>
        </is>
      </c>
      <c r="BG355" t="inlineStr">
        <is>
          <t>USSEA</t>
        </is>
      </c>
      <c r="BH355" t="n">
        <v>0</v>
      </c>
      <c r="BI355" t="n">
        <v>1</v>
      </c>
      <c r="BJ355" t="n">
        <v>6800</v>
      </c>
      <c r="BK355" t="inlineStr">
        <is>
          <t>LINE</t>
        </is>
      </c>
      <c r="BL355" t="inlineStr">
        <is>
          <t>WHALE REEFER</t>
        </is>
      </c>
      <c r="BM355" t="inlineStr">
        <is>
          <t>WHALE REEFER</t>
        </is>
      </c>
    </row>
    <row r="356">
      <c r="A356" t="n">
        <v>355</v>
      </c>
      <c r="B356" t="inlineStr">
        <is>
          <t>SEAL REEFER</t>
        </is>
      </c>
      <c r="C356" t="inlineStr">
        <is>
          <t>REF000000</t>
        </is>
      </c>
      <c r="D356" t="inlineStr">
        <is>
          <t>REF000000</t>
        </is>
      </c>
      <c r="E356" t="n">
        <v>46052</v>
      </c>
      <c r="F356" t="inlineStr">
        <is>
          <t>SEAL REEFER</t>
        </is>
      </c>
      <c r="G356" t="inlineStr">
        <is>
          <t>ENTERED THROUGH SPLIT BOOKING FROM THE BOOKING ID REF000000, BY AR_MARTIMA, ON 1/30/2026 7:25:40 PM</t>
        </is>
      </c>
      <c r="H356" t="inlineStr">
        <is>
          <t>AR_MARTIMA</t>
        </is>
      </c>
      <c r="J356" t="inlineStr">
        <is>
          <t>08-FEB-2026</t>
        </is>
      </c>
      <c r="K356" t="inlineStr">
        <is>
          <t>07-FEB-2026</t>
        </is>
      </c>
      <c r="L356" t="inlineStr">
        <is>
          <t>08-FEB-2026</t>
        </is>
      </c>
      <c r="M356" t="inlineStr">
        <is>
          <t>REF000000</t>
        </is>
      </c>
      <c r="N356" t="inlineStr">
        <is>
          <t>USSEA</t>
        </is>
      </c>
      <c r="O356" t="inlineStr">
        <is>
          <t>USSEA</t>
        </is>
      </c>
      <c r="P356" t="inlineStr">
        <is>
          <t>USNFK</t>
        </is>
      </c>
      <c r="U356" t="inlineStr">
        <is>
          <t>RULED</t>
        </is>
      </c>
      <c r="V356" t="inlineStr">
        <is>
          <t>RULED</t>
        </is>
      </c>
      <c r="W356" t="inlineStr">
        <is>
          <t>CANADA</t>
        </is>
      </c>
      <c r="X356" t="inlineStr">
        <is>
          <t>PERSIAN GULF</t>
        </is>
      </c>
      <c r="Y356" t="inlineStr">
        <is>
          <t>RUSSIA</t>
        </is>
      </c>
      <c r="Z356" t="inlineStr">
        <is>
          <t>External Review</t>
        </is>
      </c>
      <c r="AA356" t="inlineStr">
        <is>
          <t>HUB SHIPPING LLC-LED</t>
        </is>
      </c>
      <c r="AB356" t="inlineStr">
        <is>
          <t>Prepaid</t>
        </is>
      </c>
      <c r="AC356" t="inlineStr">
        <is>
          <t>TIGER PLATA/967N</t>
        </is>
      </c>
      <c r="AD356" t="inlineStr">
        <is>
          <t>LI DA XING / VOYAGE 1</t>
        </is>
      </c>
      <c r="AE356" t="inlineStr">
        <is>
          <t>LADEN BOOKING</t>
        </is>
      </c>
      <c r="AF356" t="inlineStr">
        <is>
          <t>AR_MARTIMA</t>
        </is>
      </c>
      <c r="AG356" t="inlineStr">
        <is>
          <t>RH40</t>
        </is>
      </c>
      <c r="AH356" t="inlineStr">
        <is>
          <t>NO</t>
        </is>
      </c>
      <c r="AI356" t="n">
        <v>40</v>
      </c>
      <c r="AJ356" t="n">
        <v>0</v>
      </c>
      <c r="AK356" t="n">
        <v>1</v>
      </c>
      <c r="AL356" t="inlineStr">
        <is>
          <t>ANON0000000</t>
        </is>
      </c>
      <c r="AM356" t="n">
        <v>-18</v>
      </c>
      <c r="AP356" t="inlineStr">
        <is>
          <t>Non Haz</t>
        </is>
      </c>
      <c r="AQ356" t="inlineStr">
        <is>
          <t>CY/CY</t>
        </is>
      </c>
      <c r="AT356" t="inlineStr">
        <is>
          <t>REF000000</t>
        </is>
      </c>
      <c r="AU356" t="n">
        <v>29000</v>
      </c>
      <c r="AV356" t="inlineStr">
        <is>
          <t>FROZEN MEAT</t>
        </is>
      </c>
      <c r="AW356" t="inlineStr">
        <is>
          <t>NCM 020622</t>
        </is>
      </c>
      <c r="AX356" t="inlineStr">
        <is>
          <t>RSAMI122500031</t>
        </is>
      </c>
      <c r="AZ356" t="n">
        <v>0</v>
      </c>
      <c r="BA356" t="n">
        <v>10</v>
      </c>
      <c r="BB356" t="n">
        <v>10</v>
      </c>
      <c r="BC356" t="n">
        <v>6800</v>
      </c>
      <c r="BD356" t="inlineStr">
        <is>
          <t>No</t>
        </is>
      </c>
      <c r="BF356" t="inlineStr">
        <is>
          <t>Bengal Tiger Line -BTL</t>
        </is>
      </c>
      <c r="BG356" t="inlineStr">
        <is>
          <t>USSEA</t>
        </is>
      </c>
      <c r="BH356" t="n">
        <v>0</v>
      </c>
      <c r="BI356" t="n">
        <v>1</v>
      </c>
      <c r="BJ356" t="n">
        <v>6800</v>
      </c>
      <c r="BK356" t="inlineStr">
        <is>
          <t>LINE</t>
        </is>
      </c>
      <c r="BL356" t="inlineStr">
        <is>
          <t>SEAL REEFER</t>
        </is>
      </c>
      <c r="BM356" t="inlineStr">
        <is>
          <t>SEAL REEFER</t>
        </is>
      </c>
    </row>
    <row r="357">
      <c r="A357" t="n">
        <v>356</v>
      </c>
      <c r="B357" t="inlineStr">
        <is>
          <t>SHARK REEFER</t>
        </is>
      </c>
      <c r="C357" t="inlineStr">
        <is>
          <t>REF000000</t>
        </is>
      </c>
      <c r="D357" t="inlineStr">
        <is>
          <t>REF000000</t>
        </is>
      </c>
      <c r="E357" t="n">
        <v>46052</v>
      </c>
      <c r="F357" t="inlineStr">
        <is>
          <t>SHARK REEFER</t>
        </is>
      </c>
      <c r="G357" t="inlineStr">
        <is>
          <t>ENTERED THROUGH SPLIT BOOKING FROM THE BOOKING ID REF000000, BY AR_MARTIMA, ON 1/30/2026 7:25:40 PM</t>
        </is>
      </c>
      <c r="H357" t="inlineStr">
        <is>
          <t>AR_MARTIMA</t>
        </is>
      </c>
      <c r="J357" t="inlineStr">
        <is>
          <t>08-FEB-2026</t>
        </is>
      </c>
      <c r="K357" t="inlineStr">
        <is>
          <t>07-FEB-2026</t>
        </is>
      </c>
      <c r="L357" t="inlineStr">
        <is>
          <t>08-FEB-2026</t>
        </is>
      </c>
      <c r="M357" t="inlineStr">
        <is>
          <t>REF000000</t>
        </is>
      </c>
      <c r="N357" t="inlineStr">
        <is>
          <t>USSEA</t>
        </is>
      </c>
      <c r="O357" t="inlineStr">
        <is>
          <t>USSEA</t>
        </is>
      </c>
      <c r="P357" t="inlineStr">
        <is>
          <t>USNFK</t>
        </is>
      </c>
      <c r="U357" t="inlineStr">
        <is>
          <t>RULED</t>
        </is>
      </c>
      <c r="V357" t="inlineStr">
        <is>
          <t>RULED</t>
        </is>
      </c>
      <c r="W357" t="inlineStr">
        <is>
          <t>CANADA</t>
        </is>
      </c>
      <c r="X357" t="inlineStr">
        <is>
          <t>PERSIAN GULF</t>
        </is>
      </c>
      <c r="Y357" t="inlineStr">
        <is>
          <t>RUSSIA</t>
        </is>
      </c>
      <c r="Z357" t="inlineStr">
        <is>
          <t>External Review</t>
        </is>
      </c>
      <c r="AA357" t="inlineStr">
        <is>
          <t>HUB SHIPPING LLC-LED</t>
        </is>
      </c>
      <c r="AB357" t="inlineStr">
        <is>
          <t>Prepaid</t>
        </is>
      </c>
      <c r="AC357" t="inlineStr">
        <is>
          <t>TIGER PLATA/967N</t>
        </is>
      </c>
      <c r="AD357" t="inlineStr">
        <is>
          <t>LI DA XING / VOYAGE 1</t>
        </is>
      </c>
      <c r="AE357" t="inlineStr">
        <is>
          <t>LADEN BOOKING</t>
        </is>
      </c>
      <c r="AF357" t="inlineStr">
        <is>
          <t>AR_MARTIMA</t>
        </is>
      </c>
      <c r="AG357" t="inlineStr">
        <is>
          <t>RH40</t>
        </is>
      </c>
      <c r="AH357" t="inlineStr">
        <is>
          <t>NO</t>
        </is>
      </c>
      <c r="AI357" t="n">
        <v>40</v>
      </c>
      <c r="AJ357" t="n">
        <v>0</v>
      </c>
      <c r="AK357" t="n">
        <v>1</v>
      </c>
      <c r="AL357" t="inlineStr">
        <is>
          <t>ANON0000000</t>
        </is>
      </c>
      <c r="AM357" t="n">
        <v>-18</v>
      </c>
      <c r="AP357" t="inlineStr">
        <is>
          <t>Non Haz</t>
        </is>
      </c>
      <c r="AQ357" t="inlineStr">
        <is>
          <t>CY/CY</t>
        </is>
      </c>
      <c r="AT357" t="inlineStr">
        <is>
          <t>REF000000</t>
        </is>
      </c>
      <c r="AU357" t="n">
        <v>29000</v>
      </c>
      <c r="AV357" t="inlineStr">
        <is>
          <t>FROZEN MEAT</t>
        </is>
      </c>
      <c r="AW357" t="inlineStr">
        <is>
          <t>NCM 020622</t>
        </is>
      </c>
      <c r="AX357" t="inlineStr">
        <is>
          <t>RSAMI122500031</t>
        </is>
      </c>
      <c r="AZ357" t="n">
        <v>0</v>
      </c>
      <c r="BA357" t="n">
        <v>10</v>
      </c>
      <c r="BB357" t="n">
        <v>10</v>
      </c>
      <c r="BC357" t="n">
        <v>6800</v>
      </c>
      <c r="BD357" t="inlineStr">
        <is>
          <t>No</t>
        </is>
      </c>
      <c r="BF357" t="inlineStr">
        <is>
          <t>Bengal Tiger Line -BTL</t>
        </is>
      </c>
      <c r="BG357" t="inlineStr">
        <is>
          <t>USSEA</t>
        </is>
      </c>
      <c r="BH357" t="n">
        <v>0</v>
      </c>
      <c r="BI357" t="n">
        <v>1</v>
      </c>
      <c r="BJ357" t="n">
        <v>6800</v>
      </c>
      <c r="BK357" t="inlineStr">
        <is>
          <t>LINE</t>
        </is>
      </c>
      <c r="BL357" t="inlineStr">
        <is>
          <t>SHARK REEFER</t>
        </is>
      </c>
      <c r="BM357" t="inlineStr">
        <is>
          <t>SHARK REEFER</t>
        </is>
      </c>
    </row>
    <row r="358">
      <c r="A358" t="n">
        <v>357</v>
      </c>
      <c r="B358" t="inlineStr">
        <is>
          <t>DOLPHIN REEFER</t>
        </is>
      </c>
      <c r="C358" t="inlineStr">
        <is>
          <t>REF000000</t>
        </is>
      </c>
      <c r="D358" t="inlineStr">
        <is>
          <t>REF000000</t>
        </is>
      </c>
      <c r="E358" t="n">
        <v>46052</v>
      </c>
      <c r="F358" t="inlineStr">
        <is>
          <t>DOLPHIN REEFER</t>
        </is>
      </c>
      <c r="G358" t="inlineStr">
        <is>
          <t>ENTERED THROUGH SPLIT BOOKING FROM THE BOOKING ID REF000000, BY AR_MARTIMA, ON 1/30/2026 7:25:40 PM</t>
        </is>
      </c>
      <c r="H358" t="inlineStr">
        <is>
          <t>AR_MARTIMA</t>
        </is>
      </c>
      <c r="J358" t="inlineStr">
        <is>
          <t>08-FEB-2026</t>
        </is>
      </c>
      <c r="K358" t="inlineStr">
        <is>
          <t>07-FEB-2026</t>
        </is>
      </c>
      <c r="L358" t="inlineStr">
        <is>
          <t>08-FEB-2026</t>
        </is>
      </c>
      <c r="M358" t="inlineStr">
        <is>
          <t>REF000000</t>
        </is>
      </c>
      <c r="N358" t="inlineStr">
        <is>
          <t>USSEA</t>
        </is>
      </c>
      <c r="O358" t="inlineStr">
        <is>
          <t>USSEA</t>
        </is>
      </c>
      <c r="P358" t="inlineStr">
        <is>
          <t>USNFK</t>
        </is>
      </c>
      <c r="U358" t="inlineStr">
        <is>
          <t>RULED</t>
        </is>
      </c>
      <c r="V358" t="inlineStr">
        <is>
          <t>RULED</t>
        </is>
      </c>
      <c r="W358" t="inlineStr">
        <is>
          <t>CANADA</t>
        </is>
      </c>
      <c r="X358" t="inlineStr">
        <is>
          <t>PERSIAN GULF</t>
        </is>
      </c>
      <c r="Y358" t="inlineStr">
        <is>
          <t>RUSSIA</t>
        </is>
      </c>
      <c r="Z358" t="inlineStr">
        <is>
          <t>External Review</t>
        </is>
      </c>
      <c r="AA358" t="inlineStr">
        <is>
          <t>HUB SHIPPING LLC-LED</t>
        </is>
      </c>
      <c r="AB358" t="inlineStr">
        <is>
          <t>Prepaid</t>
        </is>
      </c>
      <c r="AC358" t="inlineStr">
        <is>
          <t>TIGER PLATA/967N</t>
        </is>
      </c>
      <c r="AD358" t="inlineStr">
        <is>
          <t>LI DA XING / VOYAGE 1</t>
        </is>
      </c>
      <c r="AE358" t="inlineStr">
        <is>
          <t>LADEN BOOKING</t>
        </is>
      </c>
      <c r="AF358" t="inlineStr">
        <is>
          <t>AR_MARTIMA</t>
        </is>
      </c>
      <c r="AG358" t="inlineStr">
        <is>
          <t>RH40</t>
        </is>
      </c>
      <c r="AH358" t="inlineStr">
        <is>
          <t>NO</t>
        </is>
      </c>
      <c r="AI358" t="n">
        <v>40</v>
      </c>
      <c r="AJ358" t="n">
        <v>0</v>
      </c>
      <c r="AK358" t="n">
        <v>1</v>
      </c>
      <c r="AL358" t="inlineStr">
        <is>
          <t>ANON0000000</t>
        </is>
      </c>
      <c r="AM358" t="n">
        <v>-18</v>
      </c>
      <c r="AP358" t="inlineStr">
        <is>
          <t>Non Haz</t>
        </is>
      </c>
      <c r="AQ358" t="inlineStr">
        <is>
          <t>CY/CY</t>
        </is>
      </c>
      <c r="AT358" t="inlineStr">
        <is>
          <t>REF000000</t>
        </is>
      </c>
      <c r="AU358" t="n">
        <v>29000</v>
      </c>
      <c r="AV358" t="inlineStr">
        <is>
          <t>FROZEN MEAT</t>
        </is>
      </c>
      <c r="AW358" t="inlineStr">
        <is>
          <t>NCM 020629</t>
        </is>
      </c>
      <c r="AX358" t="inlineStr">
        <is>
          <t>RSAMI122500031</t>
        </is>
      </c>
      <c r="AZ358" t="n">
        <v>0</v>
      </c>
      <c r="BA358" t="n">
        <v>10</v>
      </c>
      <c r="BB358" t="n">
        <v>10</v>
      </c>
      <c r="BC358" t="n">
        <v>6800</v>
      </c>
      <c r="BD358" t="inlineStr">
        <is>
          <t>No</t>
        </is>
      </c>
      <c r="BF358" t="inlineStr">
        <is>
          <t>Bengal Tiger Line -BTL</t>
        </is>
      </c>
      <c r="BG358" t="inlineStr">
        <is>
          <t>USSEA</t>
        </is>
      </c>
      <c r="BH358" t="n">
        <v>0</v>
      </c>
      <c r="BI358" t="n">
        <v>1</v>
      </c>
      <c r="BJ358" t="n">
        <v>6800</v>
      </c>
      <c r="BK358" t="inlineStr">
        <is>
          <t>LINE</t>
        </is>
      </c>
      <c r="BL358" t="inlineStr">
        <is>
          <t>DOLPHIN REEFER</t>
        </is>
      </c>
      <c r="BM358" t="inlineStr">
        <is>
          <t>DOLPHIN REEFER</t>
        </is>
      </c>
    </row>
    <row r="359">
      <c r="A359" t="n">
        <v>358</v>
      </c>
      <c r="B359" t="inlineStr">
        <is>
          <t>MARLIN REEFER</t>
        </is>
      </c>
      <c r="C359" t="inlineStr">
        <is>
          <t>REF000000</t>
        </is>
      </c>
      <c r="D359" t="inlineStr">
        <is>
          <t>REF000000</t>
        </is>
      </c>
      <c r="E359" t="n">
        <v>46052</v>
      </c>
      <c r="F359" t="inlineStr">
        <is>
          <t>MARLIN REEFER</t>
        </is>
      </c>
      <c r="G359" t="inlineStr">
        <is>
          <t>ENTERED THROUGH SPLIT BOOKING FROM THE BOOKING ID REF000000, BY AR_MARTIMA, ON 1/30/2026 7:25:40 PM</t>
        </is>
      </c>
      <c r="H359" t="inlineStr">
        <is>
          <t>AR_MARTIMA</t>
        </is>
      </c>
      <c r="J359" t="inlineStr">
        <is>
          <t>08-FEB-2026</t>
        </is>
      </c>
      <c r="K359" t="inlineStr">
        <is>
          <t>07-FEB-2026</t>
        </is>
      </c>
      <c r="L359" t="inlineStr">
        <is>
          <t>08-FEB-2026</t>
        </is>
      </c>
      <c r="M359" t="inlineStr">
        <is>
          <t>REF000000</t>
        </is>
      </c>
      <c r="N359" t="inlineStr">
        <is>
          <t>USSEA</t>
        </is>
      </c>
      <c r="O359" t="inlineStr">
        <is>
          <t>USSEA</t>
        </is>
      </c>
      <c r="P359" t="inlineStr">
        <is>
          <t>USNFK</t>
        </is>
      </c>
      <c r="U359" t="inlineStr">
        <is>
          <t>RULED</t>
        </is>
      </c>
      <c r="V359" t="inlineStr">
        <is>
          <t>RULED</t>
        </is>
      </c>
      <c r="W359" t="inlineStr">
        <is>
          <t>CANADA</t>
        </is>
      </c>
      <c r="X359" t="inlineStr">
        <is>
          <t>PERSIAN GULF</t>
        </is>
      </c>
      <c r="Y359" t="inlineStr">
        <is>
          <t>RUSSIA</t>
        </is>
      </c>
      <c r="Z359" t="inlineStr">
        <is>
          <t>External Review</t>
        </is>
      </c>
      <c r="AA359" t="inlineStr">
        <is>
          <t>HUB SHIPPING LLC-LED</t>
        </is>
      </c>
      <c r="AB359" t="inlineStr">
        <is>
          <t>Prepaid</t>
        </is>
      </c>
      <c r="AC359" t="inlineStr">
        <is>
          <t>TIGER PLATA/967N</t>
        </is>
      </c>
      <c r="AD359" t="inlineStr">
        <is>
          <t>LI DA XING / VOYAGE 1</t>
        </is>
      </c>
      <c r="AE359" t="inlineStr">
        <is>
          <t>LADEN BOOKING</t>
        </is>
      </c>
      <c r="AF359" t="inlineStr">
        <is>
          <t>AR_MARTIMA</t>
        </is>
      </c>
      <c r="AG359" t="inlineStr">
        <is>
          <t>RH40</t>
        </is>
      </c>
      <c r="AH359" t="inlineStr">
        <is>
          <t>NO</t>
        </is>
      </c>
      <c r="AI359" t="n">
        <v>40</v>
      </c>
      <c r="AJ359" t="n">
        <v>0</v>
      </c>
      <c r="AK359" t="n">
        <v>1</v>
      </c>
      <c r="AL359" t="inlineStr">
        <is>
          <t>ANON0000000</t>
        </is>
      </c>
      <c r="AM359" t="n">
        <v>-18</v>
      </c>
      <c r="AP359" t="inlineStr">
        <is>
          <t>Non Haz</t>
        </is>
      </c>
      <c r="AQ359" t="inlineStr">
        <is>
          <t>CY/CY</t>
        </is>
      </c>
      <c r="AT359" t="inlineStr">
        <is>
          <t>REF000000</t>
        </is>
      </c>
      <c r="AU359" t="n">
        <v>29000</v>
      </c>
      <c r="AV359" t="inlineStr">
        <is>
          <t>FROZEN MEAT</t>
        </is>
      </c>
      <c r="AW359" t="inlineStr">
        <is>
          <t>NCM: 0206.29</t>
        </is>
      </c>
      <c r="AX359" t="inlineStr">
        <is>
          <t>RSAMI122500031</t>
        </is>
      </c>
      <c r="AZ359" t="n">
        <v>0</v>
      </c>
      <c r="BA359" t="n">
        <v>10</v>
      </c>
      <c r="BB359" t="n">
        <v>10</v>
      </c>
      <c r="BC359" t="n">
        <v>6800</v>
      </c>
      <c r="BD359" t="inlineStr">
        <is>
          <t>No</t>
        </is>
      </c>
      <c r="BF359" t="inlineStr">
        <is>
          <t>Bengal Tiger Line -BTL</t>
        </is>
      </c>
      <c r="BG359" t="inlineStr">
        <is>
          <t>USSEA</t>
        </is>
      </c>
      <c r="BH359" t="n">
        <v>0</v>
      </c>
      <c r="BI359" t="n">
        <v>1</v>
      </c>
      <c r="BJ359" t="n">
        <v>6800</v>
      </c>
      <c r="BK359" t="inlineStr">
        <is>
          <t>LINE</t>
        </is>
      </c>
      <c r="BL359" t="inlineStr">
        <is>
          <t>MARLIN REEFER</t>
        </is>
      </c>
      <c r="BM359" t="inlineStr">
        <is>
          <t>MARLIN REEFER</t>
        </is>
      </c>
    </row>
    <row r="360">
      <c r="A360" t="n">
        <v>359</v>
      </c>
      <c r="B360" t="inlineStr">
        <is>
          <t>TURTLE REEFER</t>
        </is>
      </c>
      <c r="C360" t="inlineStr">
        <is>
          <t>REF000000</t>
        </is>
      </c>
      <c r="D360" t="inlineStr">
        <is>
          <t>REF000000</t>
        </is>
      </c>
      <c r="E360" t="n">
        <v>46052</v>
      </c>
      <c r="F360" t="inlineStr">
        <is>
          <t>TURTLE REEFER</t>
        </is>
      </c>
      <c r="G360" t="inlineStr">
        <is>
          <t>ENTERED THROUGH SPLIT BOOKING FROM THE BOOKING ID REF000000, BY AR_MARTIMA, ON 1/30/2026 7:25:40 PM</t>
        </is>
      </c>
      <c r="H360" t="inlineStr">
        <is>
          <t>AR_MARTIMA</t>
        </is>
      </c>
      <c r="J360" t="inlineStr">
        <is>
          <t>08-FEB-2026</t>
        </is>
      </c>
      <c r="K360" t="inlineStr">
        <is>
          <t>07-FEB-2026</t>
        </is>
      </c>
      <c r="L360" t="inlineStr">
        <is>
          <t>08-FEB-2026</t>
        </is>
      </c>
      <c r="M360" t="inlineStr">
        <is>
          <t>REF000000</t>
        </is>
      </c>
      <c r="N360" t="inlineStr">
        <is>
          <t>USSEA</t>
        </is>
      </c>
      <c r="O360" t="inlineStr">
        <is>
          <t>USSEA</t>
        </is>
      </c>
      <c r="P360" t="inlineStr">
        <is>
          <t>USNFK</t>
        </is>
      </c>
      <c r="U360" t="inlineStr">
        <is>
          <t>RULED</t>
        </is>
      </c>
      <c r="V360" t="inlineStr">
        <is>
          <t>RULED</t>
        </is>
      </c>
      <c r="W360" t="inlineStr">
        <is>
          <t>CANADA</t>
        </is>
      </c>
      <c r="X360" t="inlineStr">
        <is>
          <t>PERSIAN GULF</t>
        </is>
      </c>
      <c r="Y360" t="inlineStr">
        <is>
          <t>RUSSIA</t>
        </is>
      </c>
      <c r="Z360" t="inlineStr">
        <is>
          <t>External Review</t>
        </is>
      </c>
      <c r="AA360" t="inlineStr">
        <is>
          <t>HUB SHIPPING LLC-LED</t>
        </is>
      </c>
      <c r="AB360" t="inlineStr">
        <is>
          <t>Prepaid</t>
        </is>
      </c>
      <c r="AC360" t="inlineStr">
        <is>
          <t>TIGER PLATA/967N</t>
        </is>
      </c>
      <c r="AD360" t="inlineStr">
        <is>
          <t>LI DA XING / VOYAGE 1</t>
        </is>
      </c>
      <c r="AE360" t="inlineStr">
        <is>
          <t>LADEN BOOKING</t>
        </is>
      </c>
      <c r="AF360" t="inlineStr">
        <is>
          <t>AR_MARTIMA</t>
        </is>
      </c>
      <c r="AG360" t="inlineStr">
        <is>
          <t>RH40</t>
        </is>
      </c>
      <c r="AH360" t="inlineStr">
        <is>
          <t>NO</t>
        </is>
      </c>
      <c r="AI360" t="n">
        <v>40</v>
      </c>
      <c r="AJ360" t="n">
        <v>0</v>
      </c>
      <c r="AK360" t="n">
        <v>1</v>
      </c>
      <c r="AL360" t="inlineStr">
        <is>
          <t>ANON0000000</t>
        </is>
      </c>
      <c r="AM360" t="n">
        <v>-18</v>
      </c>
      <c r="AP360" t="inlineStr">
        <is>
          <t>Non Haz</t>
        </is>
      </c>
      <c r="AQ360" t="inlineStr">
        <is>
          <t>CY/CY</t>
        </is>
      </c>
      <c r="AT360" t="inlineStr">
        <is>
          <t>REF000000</t>
        </is>
      </c>
      <c r="AU360" t="n">
        <v>29000</v>
      </c>
      <c r="AV360" t="inlineStr">
        <is>
          <t>FROZEN MEAT</t>
        </is>
      </c>
      <c r="AW360" t="inlineStr">
        <is>
          <t>NCM 020622</t>
        </is>
      </c>
      <c r="AX360" t="inlineStr">
        <is>
          <t>RSAMI122500031</t>
        </is>
      </c>
      <c r="AZ360" t="n">
        <v>0</v>
      </c>
      <c r="BA360" t="n">
        <v>10</v>
      </c>
      <c r="BB360" t="n">
        <v>10</v>
      </c>
      <c r="BC360" t="n">
        <v>6800</v>
      </c>
      <c r="BD360" t="inlineStr">
        <is>
          <t>No</t>
        </is>
      </c>
      <c r="BF360" t="inlineStr">
        <is>
          <t>Bengal Tiger Line -BTL</t>
        </is>
      </c>
      <c r="BG360" t="inlineStr">
        <is>
          <t>USSEA</t>
        </is>
      </c>
      <c r="BH360" t="n">
        <v>0</v>
      </c>
      <c r="BI360" t="n">
        <v>1</v>
      </c>
      <c r="BJ360" t="n">
        <v>6800</v>
      </c>
      <c r="BK360" t="inlineStr">
        <is>
          <t>LINE</t>
        </is>
      </c>
      <c r="BL360" t="inlineStr">
        <is>
          <t>TURTLE REEFER</t>
        </is>
      </c>
      <c r="BM360" t="inlineStr">
        <is>
          <t>TURTLE REEFER</t>
        </is>
      </c>
    </row>
    <row r="361">
      <c r="A361" t="n">
        <v>360</v>
      </c>
      <c r="B361" t="inlineStr">
        <is>
          <t>ORCA REEFER</t>
        </is>
      </c>
      <c r="C361" t="inlineStr">
        <is>
          <t>REF000000</t>
        </is>
      </c>
      <c r="D361" t="inlineStr">
        <is>
          <t>REF000000</t>
        </is>
      </c>
      <c r="E361" t="n">
        <v>46052</v>
      </c>
      <c r="F361" t="inlineStr">
        <is>
          <t>ORCA REEFER</t>
        </is>
      </c>
      <c r="G361" t="inlineStr">
        <is>
          <t>ENTERED THROUGH SPLIT BOOKING FROM THE BOOKING ID REF000000, BY AR_MARTIMA, ON 1/30/2026 7:25:40 PM</t>
        </is>
      </c>
      <c r="H361" t="inlineStr">
        <is>
          <t>AR_MARTIMA</t>
        </is>
      </c>
      <c r="J361" t="inlineStr">
        <is>
          <t>18-FEB-2026</t>
        </is>
      </c>
      <c r="K361" t="inlineStr">
        <is>
          <t>16-FEB-2026</t>
        </is>
      </c>
      <c r="L361" t="inlineStr">
        <is>
          <t>17-FEB-2026</t>
        </is>
      </c>
      <c r="M361" t="inlineStr">
        <is>
          <t>REF000000</t>
        </is>
      </c>
      <c r="N361" t="inlineStr">
        <is>
          <t>USSEA</t>
        </is>
      </c>
      <c r="O361" t="inlineStr">
        <is>
          <t>USSEA</t>
        </is>
      </c>
      <c r="P361" t="inlineStr">
        <is>
          <t>USNFK</t>
        </is>
      </c>
      <c r="U361" t="inlineStr">
        <is>
          <t>RULED</t>
        </is>
      </c>
      <c r="V361" t="inlineStr">
        <is>
          <t>RULED</t>
        </is>
      </c>
      <c r="W361" t="inlineStr">
        <is>
          <t>CANADA</t>
        </is>
      </c>
      <c r="X361" t="inlineStr">
        <is>
          <t>PERSIAN GULF</t>
        </is>
      </c>
      <c r="Y361" t="inlineStr">
        <is>
          <t>RUSSIA</t>
        </is>
      </c>
      <c r="Z361" t="inlineStr">
        <is>
          <t>External Review</t>
        </is>
      </c>
      <c r="AA361" t="inlineStr">
        <is>
          <t>HUB SHIPPING LLC-LED</t>
        </is>
      </c>
      <c r="AB361" t="inlineStr">
        <is>
          <t>Prepaid</t>
        </is>
      </c>
      <c r="AC361" t="inlineStr">
        <is>
          <t>TIGER PLATA/968N</t>
        </is>
      </c>
      <c r="AD361" t="inlineStr">
        <is>
          <t>LI DA XING / VOYAGE 1</t>
        </is>
      </c>
      <c r="AE361" t="inlineStr">
        <is>
          <t>LADEN BOOKING</t>
        </is>
      </c>
      <c r="AF361" t="inlineStr">
        <is>
          <t>AR_MARTIMA</t>
        </is>
      </c>
      <c r="AG361" t="inlineStr">
        <is>
          <t>RH40</t>
        </is>
      </c>
      <c r="AH361" t="inlineStr">
        <is>
          <t>NO</t>
        </is>
      </c>
      <c r="AI361" t="n">
        <v>40</v>
      </c>
      <c r="AJ361" t="n">
        <v>0</v>
      </c>
      <c r="AK361" t="n">
        <v>1</v>
      </c>
      <c r="AL361" t="inlineStr">
        <is>
          <t>ANON0000000</t>
        </is>
      </c>
      <c r="AM361" t="n">
        <v>-18</v>
      </c>
      <c r="AP361" t="inlineStr">
        <is>
          <t>Non Haz</t>
        </is>
      </c>
      <c r="AQ361" t="inlineStr">
        <is>
          <t>CY/CY</t>
        </is>
      </c>
      <c r="AT361" t="inlineStr">
        <is>
          <t>REF000000</t>
        </is>
      </c>
      <c r="AU361" t="n">
        <v>29000</v>
      </c>
      <c r="AV361" t="inlineStr">
        <is>
          <t>FROZEN MEAT</t>
        </is>
      </c>
      <c r="AW361" t="inlineStr">
        <is>
          <t>NCM 020621</t>
        </is>
      </c>
      <c r="AX361" t="inlineStr">
        <is>
          <t>RSAMI122500031</t>
        </is>
      </c>
      <c r="AZ361" t="n">
        <v>0</v>
      </c>
      <c r="BA361" t="n">
        <v>10</v>
      </c>
      <c r="BB361" t="n">
        <v>10</v>
      </c>
      <c r="BC361" t="n">
        <v>6800</v>
      </c>
      <c r="BD361" t="inlineStr">
        <is>
          <t>No</t>
        </is>
      </c>
      <c r="BF361" t="inlineStr">
        <is>
          <t>Bengal Tiger Line -BTL</t>
        </is>
      </c>
      <c r="BG361" t="inlineStr">
        <is>
          <t>USSEA</t>
        </is>
      </c>
      <c r="BH361" t="n">
        <v>0</v>
      </c>
      <c r="BI361" t="n">
        <v>1</v>
      </c>
      <c r="BJ361" t="n">
        <v>6800</v>
      </c>
      <c r="BK361" t="inlineStr">
        <is>
          <t>LINE</t>
        </is>
      </c>
      <c r="BL361" t="inlineStr">
        <is>
          <t>ORCA REEFER</t>
        </is>
      </c>
      <c r="BM361" t="inlineStr">
        <is>
          <t>ORCA REEFER</t>
        </is>
      </c>
    </row>
    <row r="362">
      <c r="A362" t="n">
        <v>361</v>
      </c>
      <c r="B362" t="inlineStr">
        <is>
          <t>WHALE REEFER</t>
        </is>
      </c>
      <c r="C362" t="inlineStr">
        <is>
          <t>REF000000</t>
        </is>
      </c>
      <c r="D362" t="inlineStr">
        <is>
          <t>REF000000</t>
        </is>
      </c>
      <c r="E362" t="n">
        <v>46052</v>
      </c>
      <c r="F362" t="inlineStr">
        <is>
          <t>WHALE REEFER</t>
        </is>
      </c>
      <c r="G362" t="inlineStr">
        <is>
          <t>1x40RH TEMP -18</t>
        </is>
      </c>
      <c r="H362" t="inlineStr">
        <is>
          <t>AR_MARTIMA</t>
        </is>
      </c>
      <c r="J362" t="inlineStr">
        <is>
          <t>08-FEB-2026</t>
        </is>
      </c>
      <c r="K362" t="inlineStr">
        <is>
          <t>07-FEB-2026</t>
        </is>
      </c>
      <c r="L362" t="inlineStr">
        <is>
          <t>08-FEB-2026</t>
        </is>
      </c>
      <c r="M362" t="inlineStr">
        <is>
          <t>REF000000</t>
        </is>
      </c>
      <c r="N362" t="inlineStr">
        <is>
          <t>USSEA</t>
        </is>
      </c>
      <c r="O362" t="inlineStr">
        <is>
          <t>USSEA</t>
        </is>
      </c>
      <c r="P362" t="inlineStr">
        <is>
          <t>USNFK</t>
        </is>
      </c>
      <c r="U362" t="inlineStr">
        <is>
          <t>RUBLT</t>
        </is>
      </c>
      <c r="V362" t="inlineStr">
        <is>
          <t>RUBLT</t>
        </is>
      </c>
      <c r="W362" t="inlineStr">
        <is>
          <t>CANADA</t>
        </is>
      </c>
      <c r="X362" t="inlineStr">
        <is>
          <t>PERSIAN GULF</t>
        </is>
      </c>
      <c r="Y362" t="inlineStr">
        <is>
          <t>RUSSIA</t>
        </is>
      </c>
      <c r="Z362" t="inlineStr">
        <is>
          <t>External Review</t>
        </is>
      </c>
      <c r="AA362" t="inlineStr">
        <is>
          <t>HUB Shipping-Kaliningrad</t>
        </is>
      </c>
      <c r="AB362" t="inlineStr">
        <is>
          <t>Prepaid</t>
        </is>
      </c>
      <c r="AC362" t="inlineStr">
        <is>
          <t>TIGER PLATA/967N</t>
        </is>
      </c>
      <c r="AD362" t="inlineStr">
        <is>
          <t>LI DA XING / VOYAGE 1</t>
        </is>
      </c>
      <c r="AE362" t="inlineStr">
        <is>
          <t>LADEN BOOKING</t>
        </is>
      </c>
      <c r="AF362" t="inlineStr">
        <is>
          <t>AR_MARTIMA</t>
        </is>
      </c>
      <c r="AG362" t="inlineStr">
        <is>
          <t>RH40</t>
        </is>
      </c>
      <c r="AH362" t="inlineStr">
        <is>
          <t>NO</t>
        </is>
      </c>
      <c r="AI362" t="n">
        <v>40</v>
      </c>
      <c r="AJ362" t="n">
        <v>0</v>
      </c>
      <c r="AK362" t="n">
        <v>1</v>
      </c>
      <c r="AL362" t="inlineStr">
        <is>
          <t>ANON0000000</t>
        </is>
      </c>
      <c r="AM362" t="n">
        <v>-18</v>
      </c>
      <c r="AP362" t="inlineStr">
        <is>
          <t>Non Haz</t>
        </is>
      </c>
      <c r="AQ362" t="inlineStr">
        <is>
          <t>CY/CY</t>
        </is>
      </c>
      <c r="AT362" t="inlineStr">
        <is>
          <t>REF000000</t>
        </is>
      </c>
      <c r="AU362" t="n">
        <v>29000</v>
      </c>
      <c r="AV362" t="inlineStr">
        <is>
          <t>FROZEN BONELESS BUFFALO MEAT</t>
        </is>
      </c>
      <c r="AW362" t="inlineStr">
        <is>
          <t>NCM 020622</t>
        </is>
      </c>
      <c r="AX362" t="inlineStr">
        <is>
          <t>RSAMI012600001</t>
        </is>
      </c>
      <c r="AZ362" t="n">
        <v>0</v>
      </c>
      <c r="BA362" t="n">
        <v>10</v>
      </c>
      <c r="BB362" t="n">
        <v>10</v>
      </c>
      <c r="BC362" t="n">
        <v>8400</v>
      </c>
      <c r="BD362" t="inlineStr">
        <is>
          <t>No</t>
        </is>
      </c>
      <c r="BF362" t="inlineStr">
        <is>
          <t>Bengal Tiger Line -BTL</t>
        </is>
      </c>
      <c r="BG362" t="inlineStr">
        <is>
          <t>USSEA</t>
        </is>
      </c>
      <c r="BH362" t="n">
        <v>0</v>
      </c>
      <c r="BI362" t="n">
        <v>1</v>
      </c>
      <c r="BJ362" t="n">
        <v>8400</v>
      </c>
      <c r="BK362" t="inlineStr">
        <is>
          <t>LINE</t>
        </is>
      </c>
      <c r="BL362" t="inlineStr">
        <is>
          <t>WHALE REEFER</t>
        </is>
      </c>
      <c r="BM362" t="inlineStr">
        <is>
          <t>WHALE REEFER</t>
        </is>
      </c>
    </row>
    <row r="363">
      <c r="A363" t="n">
        <v>362</v>
      </c>
      <c r="B363" t="inlineStr">
        <is>
          <t>SEAL REEFER</t>
        </is>
      </c>
      <c r="C363" t="inlineStr">
        <is>
          <t>REF000000</t>
        </is>
      </c>
      <c r="D363" t="inlineStr">
        <is>
          <t>REF000000</t>
        </is>
      </c>
      <c r="E363" t="n">
        <v>46052</v>
      </c>
      <c r="F363" t="inlineStr">
        <is>
          <t>SEAL REEFER</t>
        </is>
      </c>
      <c r="G363" t="inlineStr">
        <is>
          <t>1x40RH TEMP -18</t>
        </is>
      </c>
      <c r="H363" t="inlineStr">
        <is>
          <t>AR_MARTIMA</t>
        </is>
      </c>
      <c r="J363" t="inlineStr">
        <is>
          <t>08-FEB-2026</t>
        </is>
      </c>
      <c r="K363" t="inlineStr">
        <is>
          <t>07-FEB-2026</t>
        </is>
      </c>
      <c r="L363" t="inlineStr">
        <is>
          <t>08-FEB-2026</t>
        </is>
      </c>
      <c r="M363" t="inlineStr">
        <is>
          <t>REF000000</t>
        </is>
      </c>
      <c r="N363" t="inlineStr">
        <is>
          <t>USSEA</t>
        </is>
      </c>
      <c r="O363" t="inlineStr">
        <is>
          <t>USSEA</t>
        </is>
      </c>
      <c r="P363" t="inlineStr">
        <is>
          <t>USNFK</t>
        </is>
      </c>
      <c r="U363" t="inlineStr">
        <is>
          <t>RULED</t>
        </is>
      </c>
      <c r="V363" t="inlineStr">
        <is>
          <t>RULED</t>
        </is>
      </c>
      <c r="W363" t="inlineStr">
        <is>
          <t>CANADA</t>
        </is>
      </c>
      <c r="X363" t="inlineStr">
        <is>
          <t>PERSIAN GULF</t>
        </is>
      </c>
      <c r="Y363" t="inlineStr">
        <is>
          <t>RUSSIA</t>
        </is>
      </c>
      <c r="Z363" t="inlineStr">
        <is>
          <t>External Review</t>
        </is>
      </c>
      <c r="AA363" t="inlineStr">
        <is>
          <t>HUB SHIPPING LLC-LED</t>
        </is>
      </c>
      <c r="AB363" t="inlineStr">
        <is>
          <t>Prepaid</t>
        </is>
      </c>
      <c r="AC363" t="inlineStr">
        <is>
          <t>TIGER PLATA/967N</t>
        </is>
      </c>
      <c r="AD363" t="inlineStr">
        <is>
          <t>LI DA XING / VOYAGE 1</t>
        </is>
      </c>
      <c r="AE363" t="inlineStr">
        <is>
          <t>LADEN BOOKING</t>
        </is>
      </c>
      <c r="AF363" t="inlineStr">
        <is>
          <t>AR_MARTIMA</t>
        </is>
      </c>
      <c r="AG363" t="inlineStr">
        <is>
          <t>RH40</t>
        </is>
      </c>
      <c r="AH363" t="inlineStr">
        <is>
          <t>NO</t>
        </is>
      </c>
      <c r="AI363" t="n">
        <v>40</v>
      </c>
      <c r="AJ363" t="n">
        <v>0</v>
      </c>
      <c r="AK363" t="n">
        <v>1</v>
      </c>
      <c r="AL363" t="inlineStr">
        <is>
          <t>ANON0000000</t>
        </is>
      </c>
      <c r="AM363" t="n">
        <v>-18</v>
      </c>
      <c r="AP363" t="inlineStr">
        <is>
          <t>Non Haz</t>
        </is>
      </c>
      <c r="AQ363" t="inlineStr">
        <is>
          <t>CY/CY</t>
        </is>
      </c>
      <c r="AT363" t="inlineStr">
        <is>
          <t>REF000000</t>
        </is>
      </c>
      <c r="AU363" t="n">
        <v>29000</v>
      </c>
      <c r="AV363" t="inlineStr">
        <is>
          <t>FROZEN BONELESS BUFFALO MEAT</t>
        </is>
      </c>
      <c r="AW363" t="inlineStr">
        <is>
          <t>N.C.M.: 0206.21</t>
        </is>
      </c>
      <c r="AX363" t="inlineStr">
        <is>
          <t>RSAMI122500027</t>
        </is>
      </c>
      <c r="AZ363" t="n">
        <v>0</v>
      </c>
      <c r="BA363" t="n">
        <v>10</v>
      </c>
      <c r="BB363" t="n">
        <v>10</v>
      </c>
      <c r="BC363" t="n">
        <v>7300</v>
      </c>
      <c r="BD363" t="inlineStr">
        <is>
          <t>No</t>
        </is>
      </c>
      <c r="BF363" t="inlineStr">
        <is>
          <t>Bengal Tiger Line -BTL</t>
        </is>
      </c>
      <c r="BG363" t="inlineStr">
        <is>
          <t>USSEA</t>
        </is>
      </c>
      <c r="BH363" t="n">
        <v>0</v>
      </c>
      <c r="BI363" t="n">
        <v>1</v>
      </c>
      <c r="BJ363" t="n">
        <v>7300</v>
      </c>
      <c r="BK363" t="inlineStr">
        <is>
          <t>LINE</t>
        </is>
      </c>
      <c r="BL363" t="inlineStr">
        <is>
          <t>SEAL REEFER</t>
        </is>
      </c>
      <c r="BM363" t="inlineStr">
        <is>
          <t>SEAL REEFER</t>
        </is>
      </c>
    </row>
    <row r="364">
      <c r="A364" t="n">
        <v>363</v>
      </c>
      <c r="B364" t="inlineStr">
        <is>
          <t>FOX DRY</t>
        </is>
      </c>
      <c r="C364" t="inlineStr">
        <is>
          <t>REF000000</t>
        </is>
      </c>
      <c r="D364" t="inlineStr">
        <is>
          <t>REF000000</t>
        </is>
      </c>
      <c r="E364" t="inlineStr">
        <is>
          <t>03-FEB-2026</t>
        </is>
      </c>
      <c r="F364" t="inlineStr">
        <is>
          <t>FOX DRY</t>
        </is>
      </c>
      <c r="H364" t="inlineStr">
        <is>
          <t>AdminAMI</t>
        </is>
      </c>
      <c r="J364" t="inlineStr">
        <is>
          <t>18-FEB-2026</t>
        </is>
      </c>
      <c r="K364" t="inlineStr">
        <is>
          <t>16-FEB-2026</t>
        </is>
      </c>
      <c r="L364" t="inlineStr">
        <is>
          <t>17-FEB-2026</t>
        </is>
      </c>
      <c r="M364" t="inlineStr">
        <is>
          <t>REF000000</t>
        </is>
      </c>
      <c r="N364" t="inlineStr">
        <is>
          <t>USSEA</t>
        </is>
      </c>
      <c r="O364" t="inlineStr">
        <is>
          <t>USSEA</t>
        </is>
      </c>
      <c r="P364" t="inlineStr">
        <is>
          <t>USNFK</t>
        </is>
      </c>
      <c r="U364" t="inlineStr">
        <is>
          <t>RULED</t>
        </is>
      </c>
      <c r="V364" t="inlineStr">
        <is>
          <t>RULED</t>
        </is>
      </c>
      <c r="W364" t="inlineStr">
        <is>
          <t>CANADA</t>
        </is>
      </c>
      <c r="X364" t="inlineStr">
        <is>
          <t>PERSIAN GULF</t>
        </is>
      </c>
      <c r="Y364" t="inlineStr">
        <is>
          <t>RUSSIA</t>
        </is>
      </c>
      <c r="Z364" t="inlineStr">
        <is>
          <t>External Review</t>
        </is>
      </c>
      <c r="AA364" t="inlineStr">
        <is>
          <t>HUB SHIPPING LLC-LED</t>
        </is>
      </c>
      <c r="AB364" t="inlineStr">
        <is>
          <t>Collect</t>
        </is>
      </c>
      <c r="AC364" t="inlineStr">
        <is>
          <t>TIGER PLATA/968N</t>
        </is>
      </c>
      <c r="AD364" t="inlineStr">
        <is>
          <t>LI DA XING / VOYAGE 1</t>
        </is>
      </c>
      <c r="AE364" t="inlineStr">
        <is>
          <t>LADEN BOOKING</t>
        </is>
      </c>
      <c r="AF364" t="inlineStr">
        <is>
          <t>RenniAMI</t>
        </is>
      </c>
      <c r="AG364" t="inlineStr">
        <is>
          <t>DC20</t>
        </is>
      </c>
      <c r="AH364" t="inlineStr">
        <is>
          <t>NO</t>
        </is>
      </c>
      <c r="AI364" t="n">
        <v>20</v>
      </c>
      <c r="AJ364" t="n">
        <v>1</v>
      </c>
      <c r="AK364" t="n">
        <v>0</v>
      </c>
      <c r="AL364" t="inlineStr">
        <is>
          <t>ANON0000000</t>
        </is>
      </c>
      <c r="AP364" t="inlineStr">
        <is>
          <t>Non Haz</t>
        </is>
      </c>
      <c r="AQ364" t="inlineStr">
        <is>
          <t>CY/CY</t>
        </is>
      </c>
      <c r="AT364" t="inlineStr">
        <is>
          <t>REF000000</t>
        </is>
      </c>
      <c r="AU364" t="n">
        <v>26000</v>
      </c>
      <c r="AV364" t="inlineStr">
        <is>
          <t>GENERAL COMMODITY</t>
        </is>
      </c>
      <c r="AW364" t="inlineStr">
        <is>
          <t>N.C.M.: 3812.20</t>
        </is>
      </c>
      <c r="AX364" t="inlineStr">
        <is>
          <t>RSAMI012600014</t>
        </is>
      </c>
      <c r="AZ364" t="n">
        <v>0</v>
      </c>
      <c r="BA364" t="n">
        <v>10</v>
      </c>
      <c r="BB364" t="n">
        <v>14</v>
      </c>
      <c r="BC364" t="n">
        <v>3250</v>
      </c>
      <c r="BD364" t="inlineStr">
        <is>
          <t>Yes</t>
        </is>
      </c>
      <c r="BF364" t="inlineStr">
        <is>
          <t>Bengal Tiger Line -BTL</t>
        </is>
      </c>
      <c r="BG364" t="inlineStr">
        <is>
          <t>RULED</t>
        </is>
      </c>
      <c r="BH364" t="n">
        <v>1</v>
      </c>
      <c r="BI364" t="n">
        <v>0</v>
      </c>
      <c r="BJ364" t="n">
        <v>3250</v>
      </c>
      <c r="BK364" t="inlineStr">
        <is>
          <t>LINE</t>
        </is>
      </c>
      <c r="BL364" t="inlineStr">
        <is>
          <t>FOX DRY</t>
        </is>
      </c>
      <c r="BM364" t="inlineStr">
        <is>
          <t>FOX DRY</t>
        </is>
      </c>
    </row>
    <row r="365">
      <c r="A365" t="n">
        <v>364</v>
      </c>
      <c r="B365" t="inlineStr">
        <is>
          <t>BISON DRY</t>
        </is>
      </c>
      <c r="C365" t="inlineStr">
        <is>
          <t>REF000000</t>
        </is>
      </c>
      <c r="D365" t="inlineStr">
        <is>
          <t>REF000000</t>
        </is>
      </c>
      <c r="E365" t="inlineStr">
        <is>
          <t>03-FEB-2026</t>
        </is>
      </c>
      <c r="F365" t="inlineStr">
        <is>
          <t>BISON DRY</t>
        </is>
      </c>
      <c r="H365" t="inlineStr">
        <is>
          <t>AdminAMI</t>
        </is>
      </c>
      <c r="J365" t="inlineStr">
        <is>
          <t>23-FEB-2026</t>
        </is>
      </c>
      <c r="K365" t="inlineStr">
        <is>
          <t>22-FEB-2026</t>
        </is>
      </c>
      <c r="L365" t="inlineStr">
        <is>
          <t>23-FEB-2026</t>
        </is>
      </c>
      <c r="M365" t="inlineStr">
        <is>
          <t>REF000000</t>
        </is>
      </c>
      <c r="N365" t="inlineStr">
        <is>
          <t>USSEA</t>
        </is>
      </c>
      <c r="O365" t="inlineStr">
        <is>
          <t>USSEA</t>
        </is>
      </c>
      <c r="P365" t="inlineStr">
        <is>
          <t>USNFK</t>
        </is>
      </c>
      <c r="U365" t="inlineStr">
        <is>
          <t>RULED</t>
        </is>
      </c>
      <c r="V365" t="inlineStr">
        <is>
          <t>RULED</t>
        </is>
      </c>
      <c r="W365" t="inlineStr">
        <is>
          <t>CANADA</t>
        </is>
      </c>
      <c r="X365" t="inlineStr">
        <is>
          <t>PERSIAN GULF</t>
        </is>
      </c>
      <c r="Y365" t="inlineStr">
        <is>
          <t>RUSSIA</t>
        </is>
      </c>
      <c r="Z365" t="inlineStr">
        <is>
          <t>External Review</t>
        </is>
      </c>
      <c r="AA365" t="inlineStr">
        <is>
          <t>HUB SHIPPING LLC-LED</t>
        </is>
      </c>
      <c r="AB365" t="inlineStr">
        <is>
          <t>Collect</t>
        </is>
      </c>
      <c r="AC365" t="inlineStr">
        <is>
          <t>TIGER PLATA/969N</t>
        </is>
      </c>
      <c r="AD365" t="inlineStr">
        <is>
          <t>LI DA XING / VOYAGE 1</t>
        </is>
      </c>
      <c r="AE365" t="inlineStr">
        <is>
          <t>LADEN BOOKING</t>
        </is>
      </c>
      <c r="AF365" t="inlineStr">
        <is>
          <t>RenniAMI</t>
        </is>
      </c>
      <c r="AG365" t="inlineStr">
        <is>
          <t>DC20</t>
        </is>
      </c>
      <c r="AH365" t="inlineStr">
        <is>
          <t>NO</t>
        </is>
      </c>
      <c r="AI365" t="n">
        <v>20</v>
      </c>
      <c r="AJ365" t="n">
        <v>1</v>
      </c>
      <c r="AK365" t="n">
        <v>0</v>
      </c>
      <c r="AL365" t="inlineStr">
        <is>
          <t>ANON0000000</t>
        </is>
      </c>
      <c r="AP365" t="inlineStr">
        <is>
          <t>Non Haz</t>
        </is>
      </c>
      <c r="AQ365" t="inlineStr">
        <is>
          <t>CY/CY</t>
        </is>
      </c>
      <c r="AT365" t="inlineStr">
        <is>
          <t>REF000000</t>
        </is>
      </c>
      <c r="AU365" t="n">
        <v>26000</v>
      </c>
      <c r="AV365" t="inlineStr">
        <is>
          <t>GENERAL COMMODITY</t>
        </is>
      </c>
      <c r="AW365" t="inlineStr">
        <is>
          <t>N.C.M.: 3812.20</t>
        </is>
      </c>
      <c r="AX365" t="inlineStr">
        <is>
          <t>RSAMI012600014</t>
        </is>
      </c>
      <c r="AZ365" t="n">
        <v>0</v>
      </c>
      <c r="BA365" t="n">
        <v>10</v>
      </c>
      <c r="BB365" t="n">
        <v>14</v>
      </c>
      <c r="BC365" t="n">
        <v>3250</v>
      </c>
      <c r="BD365" t="inlineStr">
        <is>
          <t>Yes</t>
        </is>
      </c>
      <c r="BF365" t="inlineStr">
        <is>
          <t>Bengal Tiger Line -BTL</t>
        </is>
      </c>
      <c r="BG365" t="inlineStr">
        <is>
          <t>RULED</t>
        </is>
      </c>
      <c r="BH365" t="n">
        <v>1</v>
      </c>
      <c r="BI365" t="n">
        <v>0</v>
      </c>
      <c r="BJ365" t="n">
        <v>3250</v>
      </c>
      <c r="BK365" t="inlineStr">
        <is>
          <t>LINE</t>
        </is>
      </c>
      <c r="BL365" t="inlineStr">
        <is>
          <t>BISON DRY</t>
        </is>
      </c>
      <c r="BM365" t="inlineStr">
        <is>
          <t>BISON DRY</t>
        </is>
      </c>
    </row>
    <row r="366">
      <c r="A366" t="n">
        <v>365</v>
      </c>
      <c r="B366" t="inlineStr">
        <is>
          <t>EAGLE DRY</t>
        </is>
      </c>
      <c r="C366" t="inlineStr">
        <is>
          <t>REF000000</t>
        </is>
      </c>
      <c r="D366" t="inlineStr">
        <is>
          <t>REF000000</t>
        </is>
      </c>
      <c r="E366" t="inlineStr">
        <is>
          <t>04-FEB-2026</t>
        </is>
      </c>
      <c r="F366" t="inlineStr">
        <is>
          <t>EAGLE DRY</t>
        </is>
      </c>
      <c r="H366" t="inlineStr">
        <is>
          <t>AdminAMI</t>
        </is>
      </c>
      <c r="J366" t="n">
        <v>46082</v>
      </c>
      <c r="K366" t="inlineStr">
        <is>
          <t>28-FEB-2026</t>
        </is>
      </c>
      <c r="L366" t="n">
        <v>46082</v>
      </c>
      <c r="M366" t="inlineStr">
        <is>
          <t>REF000000</t>
        </is>
      </c>
      <c r="N366" t="inlineStr">
        <is>
          <t>USSEA</t>
        </is>
      </c>
      <c r="O366" t="inlineStr">
        <is>
          <t>USSEA</t>
        </is>
      </c>
      <c r="P366" t="inlineStr">
        <is>
          <t>USNFK</t>
        </is>
      </c>
      <c r="U366" t="inlineStr">
        <is>
          <t>RULED</t>
        </is>
      </c>
      <c r="V366" t="inlineStr">
        <is>
          <t>RULED</t>
        </is>
      </c>
      <c r="W366" t="inlineStr">
        <is>
          <t>CANADA</t>
        </is>
      </c>
      <c r="X366" t="inlineStr">
        <is>
          <t>PERSIAN GULF</t>
        </is>
      </c>
      <c r="Y366" t="inlineStr">
        <is>
          <t>RUSSIA</t>
        </is>
      </c>
      <c r="Z366" t="inlineStr">
        <is>
          <t>External Review</t>
        </is>
      </c>
      <c r="AA366" t="inlineStr">
        <is>
          <t>HUB SHIPPING LLC-LED</t>
        </is>
      </c>
      <c r="AB366" t="inlineStr">
        <is>
          <t>Collect</t>
        </is>
      </c>
      <c r="AC366" t="inlineStr">
        <is>
          <t>TIGER PLATA/970N</t>
        </is>
      </c>
      <c r="AE366" t="inlineStr">
        <is>
          <t>LADEN BOOKING</t>
        </is>
      </c>
      <c r="AF366" t="inlineStr">
        <is>
          <t>RenniAMI</t>
        </is>
      </c>
      <c r="AG366" t="inlineStr">
        <is>
          <t>DC20</t>
        </is>
      </c>
      <c r="AH366" t="inlineStr">
        <is>
          <t>NO</t>
        </is>
      </c>
      <c r="AI366" t="n">
        <v>20</v>
      </c>
      <c r="AJ366" t="n">
        <v>3</v>
      </c>
      <c r="AK366" t="n">
        <v>0</v>
      </c>
      <c r="AL366" t="inlineStr">
        <is>
          <t>ANON0000000,
ANON0000000,
ANON0000000</t>
        </is>
      </c>
      <c r="AP366" t="inlineStr">
        <is>
          <t>Non Haz</t>
        </is>
      </c>
      <c r="AQ366" t="inlineStr">
        <is>
          <t>CY/CY</t>
        </is>
      </c>
      <c r="AT366" t="inlineStr">
        <is>
          <t>REF000000</t>
        </is>
      </c>
      <c r="AU366" t="n">
        <v>26000</v>
      </c>
      <c r="AV366" t="inlineStr">
        <is>
          <t>GENERAL COMMODITY</t>
        </is>
      </c>
      <c r="AW366" t="inlineStr">
        <is>
          <t>3812.20</t>
        </is>
      </c>
      <c r="AX366" t="inlineStr">
        <is>
          <t>MRG395749</t>
        </is>
      </c>
      <c r="AY366" t="inlineStr">
        <is>
          <t>LINE</t>
        </is>
      </c>
      <c r="AZ366" t="n">
        <v>0</v>
      </c>
      <c r="BA366" t="n">
        <v>14</v>
      </c>
      <c r="BB366" t="n">
        <v>14</v>
      </c>
      <c r="BC366" t="n">
        <v>4000</v>
      </c>
      <c r="BD366" t="inlineStr">
        <is>
          <t>Yes</t>
        </is>
      </c>
      <c r="BF366" t="inlineStr">
        <is>
          <t>Bengal Tiger Line -BTL</t>
        </is>
      </c>
      <c r="BG366" t="inlineStr">
        <is>
          <t>RULED</t>
        </is>
      </c>
      <c r="BH366" t="n">
        <v>3</v>
      </c>
      <c r="BI366" t="n">
        <v>0</v>
      </c>
      <c r="BJ366" t="n">
        <v>12000</v>
      </c>
      <c r="BK366" t="inlineStr">
        <is>
          <t>LINE</t>
        </is>
      </c>
      <c r="BL366" t="inlineStr">
        <is>
          <t>EAGLE DRY</t>
        </is>
      </c>
      <c r="BM366" t="inlineStr">
        <is>
          <t>EAGLE DRY</t>
        </is>
      </c>
    </row>
    <row r="367">
      <c r="A367" t="n">
        <v>366</v>
      </c>
      <c r="B367" t="inlineStr">
        <is>
          <t>COYOTE DRY</t>
        </is>
      </c>
      <c r="C367" t="inlineStr">
        <is>
          <t>REF000000</t>
        </is>
      </c>
      <c r="D367" t="inlineStr">
        <is>
          <t>REF000000</t>
        </is>
      </c>
      <c r="E367" t="inlineStr">
        <is>
          <t>04-FEB-2026</t>
        </is>
      </c>
      <c r="F367" t="inlineStr">
        <is>
          <t>COYOTE DRY</t>
        </is>
      </c>
      <c r="H367" t="inlineStr">
        <is>
          <t>AdminAMI</t>
        </is>
      </c>
      <c r="J367" t="n">
        <v>46082</v>
      </c>
      <c r="K367" t="inlineStr">
        <is>
          <t>28-FEB-2026</t>
        </is>
      </c>
      <c r="L367" t="n">
        <v>46082</v>
      </c>
      <c r="M367" t="inlineStr">
        <is>
          <t>REF000000</t>
        </is>
      </c>
      <c r="N367" t="inlineStr">
        <is>
          <t>USSEA</t>
        </is>
      </c>
      <c r="O367" t="inlineStr">
        <is>
          <t>USSEA</t>
        </is>
      </c>
      <c r="P367" t="inlineStr">
        <is>
          <t>USNFK</t>
        </is>
      </c>
      <c r="U367" t="inlineStr">
        <is>
          <t>RULED</t>
        </is>
      </c>
      <c r="V367" t="inlineStr">
        <is>
          <t>RULED</t>
        </is>
      </c>
      <c r="W367" t="inlineStr">
        <is>
          <t>CANADA</t>
        </is>
      </c>
      <c r="X367" t="inlineStr">
        <is>
          <t>PERSIAN GULF</t>
        </is>
      </c>
      <c r="Y367" t="inlineStr">
        <is>
          <t>RUSSIA</t>
        </is>
      </c>
      <c r="Z367" t="inlineStr">
        <is>
          <t>External Review</t>
        </is>
      </c>
      <c r="AA367" t="inlineStr">
        <is>
          <t>HUB SHIPPING LLC-LED</t>
        </is>
      </c>
      <c r="AB367" t="inlineStr">
        <is>
          <t>Collect</t>
        </is>
      </c>
      <c r="AC367" t="inlineStr">
        <is>
          <t>TIGER PLATA/970N</t>
        </is>
      </c>
      <c r="AE367" t="inlineStr">
        <is>
          <t>LADEN BOOKING</t>
        </is>
      </c>
      <c r="AF367" t="inlineStr">
        <is>
          <t>RenniAMI</t>
        </is>
      </c>
      <c r="AG367" t="inlineStr">
        <is>
          <t>DC20</t>
        </is>
      </c>
      <c r="AH367" t="inlineStr">
        <is>
          <t>NO</t>
        </is>
      </c>
      <c r="AI367" t="n">
        <v>20</v>
      </c>
      <c r="AJ367" t="n">
        <v>1</v>
      </c>
      <c r="AK367" t="n">
        <v>0</v>
      </c>
      <c r="AL367" t="inlineStr">
        <is>
          <t>ANON0000000</t>
        </is>
      </c>
      <c r="AP367" t="inlineStr">
        <is>
          <t>Non Haz</t>
        </is>
      </c>
      <c r="AQ367" t="inlineStr">
        <is>
          <t>CY/CY</t>
        </is>
      </c>
      <c r="AT367" t="inlineStr">
        <is>
          <t>REF000000</t>
        </is>
      </c>
      <c r="AU367" t="n">
        <v>21000</v>
      </c>
      <c r="AV367" t="inlineStr">
        <is>
          <t>GENERAL COMMODITY</t>
        </is>
      </c>
      <c r="AW367" t="inlineStr">
        <is>
          <t>NCM: 3201.10.00</t>
        </is>
      </c>
      <c r="AX367" t="inlineStr">
        <is>
          <t>MRG395749</t>
        </is>
      </c>
      <c r="AY367" t="inlineStr">
        <is>
          <t>LINE</t>
        </is>
      </c>
      <c r="AZ367" t="n">
        <v>0</v>
      </c>
      <c r="BA367" t="n">
        <v>14</v>
      </c>
      <c r="BB367" t="n">
        <v>14</v>
      </c>
      <c r="BC367" t="n">
        <v>4000</v>
      </c>
      <c r="BD367" t="inlineStr">
        <is>
          <t>Yes</t>
        </is>
      </c>
      <c r="BF367" t="inlineStr">
        <is>
          <t>Bengal Tiger Line -BTL</t>
        </is>
      </c>
      <c r="BG367" t="inlineStr">
        <is>
          <t>RULED</t>
        </is>
      </c>
      <c r="BH367" t="n">
        <v>1</v>
      </c>
      <c r="BI367" t="n">
        <v>0</v>
      </c>
      <c r="BJ367" t="n">
        <v>4000</v>
      </c>
      <c r="BK367" t="inlineStr">
        <is>
          <t>LINE</t>
        </is>
      </c>
      <c r="BL367" t="inlineStr">
        <is>
          <t>COYOTE DRY</t>
        </is>
      </c>
      <c r="BM367" t="inlineStr">
        <is>
          <t>COYOTE DRY</t>
        </is>
      </c>
    </row>
    <row r="368">
      <c r="A368" t="n">
        <v>367</v>
      </c>
      <c r="B368" t="inlineStr">
        <is>
          <t>ORCA REEFER</t>
        </is>
      </c>
      <c r="C368" t="inlineStr">
        <is>
          <t>REF000000</t>
        </is>
      </c>
      <c r="D368" t="inlineStr">
        <is>
          <t>REF000000</t>
        </is>
      </c>
      <c r="E368" t="inlineStr">
        <is>
          <t>04-FEB-2026</t>
        </is>
      </c>
      <c r="F368" t="inlineStr">
        <is>
          <t>ORCA REEFER</t>
        </is>
      </c>
      <c r="G368" t="inlineStr">
        <is>
          <t>TEMPERATURE +4</t>
        </is>
      </c>
      <c r="H368" t="inlineStr">
        <is>
          <t>AR_MARTIMA</t>
        </is>
      </c>
      <c r="J368" t="n">
        <v>46082</v>
      </c>
      <c r="K368" t="inlineStr">
        <is>
          <t>28-FEB-2026</t>
        </is>
      </c>
      <c r="L368" t="n">
        <v>46082</v>
      </c>
      <c r="M368" t="inlineStr">
        <is>
          <t>REF000000</t>
        </is>
      </c>
      <c r="N368" t="inlineStr">
        <is>
          <t>USSEA</t>
        </is>
      </c>
      <c r="O368" t="inlineStr">
        <is>
          <t>USSEA</t>
        </is>
      </c>
      <c r="P368" t="inlineStr">
        <is>
          <t>USNFK</t>
        </is>
      </c>
      <c r="U368" t="inlineStr">
        <is>
          <t>RULED</t>
        </is>
      </c>
      <c r="V368" t="inlineStr">
        <is>
          <t>RULED</t>
        </is>
      </c>
      <c r="W368" t="inlineStr">
        <is>
          <t>CANADA</t>
        </is>
      </c>
      <c r="X368" t="inlineStr">
        <is>
          <t>PERSIAN GULF</t>
        </is>
      </c>
      <c r="Y368" t="inlineStr">
        <is>
          <t>RUSSIA</t>
        </is>
      </c>
      <c r="Z368" t="inlineStr">
        <is>
          <t>External Review</t>
        </is>
      </c>
      <c r="AA368" t="inlineStr">
        <is>
          <t>HUB SHIPPING LLC-LED</t>
        </is>
      </c>
      <c r="AB368" t="inlineStr">
        <is>
          <t>Prepaid</t>
        </is>
      </c>
      <c r="AC368" t="inlineStr">
        <is>
          <t>TIGER PLATA/970N</t>
        </is>
      </c>
      <c r="AE368" t="inlineStr">
        <is>
          <t>LADEN BOOKING</t>
        </is>
      </c>
      <c r="AF368" t="inlineStr">
        <is>
          <t>AR_MARTIMA</t>
        </is>
      </c>
      <c r="AG368" t="inlineStr">
        <is>
          <t>RH40</t>
        </is>
      </c>
      <c r="AH368" t="inlineStr">
        <is>
          <t>NO</t>
        </is>
      </c>
      <c r="AI368" t="n">
        <v>40</v>
      </c>
      <c r="AJ368" t="n">
        <v>0</v>
      </c>
      <c r="AK368" t="n">
        <v>1</v>
      </c>
      <c r="AL368" t="inlineStr">
        <is>
          <t>ANON0000000</t>
        </is>
      </c>
      <c r="AM368" t="n">
        <v>4</v>
      </c>
      <c r="AP368" t="inlineStr">
        <is>
          <t>Non Haz</t>
        </is>
      </c>
      <c r="AQ368" t="inlineStr">
        <is>
          <t>CY/CY</t>
        </is>
      </c>
      <c r="AT368" t="inlineStr">
        <is>
          <t>REF000000</t>
        </is>
      </c>
      <c r="AU368" t="n">
        <v>29000</v>
      </c>
      <c r="AV368" t="inlineStr">
        <is>
          <t>FROZEN PRODUCT</t>
        </is>
      </c>
      <c r="AW368" t="inlineStr">
        <is>
          <t>HS CODE 0406.90</t>
        </is>
      </c>
      <c r="AX368" t="inlineStr">
        <is>
          <t>RSAMI122500025</t>
        </is>
      </c>
      <c r="AZ368" t="n">
        <v>0</v>
      </c>
      <c r="BA368" t="n">
        <v>10</v>
      </c>
      <c r="BB368" t="n">
        <v>10</v>
      </c>
      <c r="BC368" t="n">
        <v>7300</v>
      </c>
      <c r="BD368" t="inlineStr">
        <is>
          <t>No</t>
        </is>
      </c>
      <c r="BF368" t="inlineStr">
        <is>
          <t>Bengal Tiger Line -BTL</t>
        </is>
      </c>
      <c r="BG368" t="inlineStr">
        <is>
          <t>USSEA</t>
        </is>
      </c>
      <c r="BH368" t="n">
        <v>0</v>
      </c>
      <c r="BI368" t="n">
        <v>1</v>
      </c>
      <c r="BJ368" t="n">
        <v>7300</v>
      </c>
      <c r="BK368" t="inlineStr">
        <is>
          <t>LINE</t>
        </is>
      </c>
      <c r="BL368" t="inlineStr">
        <is>
          <t>ORCA REEFER</t>
        </is>
      </c>
      <c r="BM368" t="inlineStr">
        <is>
          <t>ORCA REEFER</t>
        </is>
      </c>
    </row>
    <row r="369">
      <c r="A369" t="n">
        <v>368</v>
      </c>
      <c r="B369" t="inlineStr">
        <is>
          <t>WHALE REEFER</t>
        </is>
      </c>
      <c r="C369" t="inlineStr">
        <is>
          <t>REF000000</t>
        </is>
      </c>
      <c r="D369" t="inlineStr">
        <is>
          <t>REF000000</t>
        </is>
      </c>
      <c r="E369" t="inlineStr">
        <is>
          <t>04-FEB-2026</t>
        </is>
      </c>
      <c r="F369" t="inlineStr">
        <is>
          <t>WHALE REEFER</t>
        </is>
      </c>
      <c r="G369" t="inlineStr">
        <is>
          <t>TEPERATURE +2</t>
        </is>
      </c>
      <c r="H369" t="inlineStr">
        <is>
          <t>AR_MARTIMA</t>
        </is>
      </c>
      <c r="J369" t="n">
        <v>46082</v>
      </c>
      <c r="K369" t="inlineStr">
        <is>
          <t>28-FEB-2026</t>
        </is>
      </c>
      <c r="L369" t="n">
        <v>46082</v>
      </c>
      <c r="M369" t="inlineStr">
        <is>
          <t>REF000000</t>
        </is>
      </c>
      <c r="N369" t="inlineStr">
        <is>
          <t>USSEA</t>
        </is>
      </c>
      <c r="O369" t="inlineStr">
        <is>
          <t>USSEA</t>
        </is>
      </c>
      <c r="P369" t="inlineStr">
        <is>
          <t>USNFK</t>
        </is>
      </c>
      <c r="U369" t="inlineStr">
        <is>
          <t>RULED</t>
        </is>
      </c>
      <c r="V369" t="inlineStr">
        <is>
          <t>RULED</t>
        </is>
      </c>
      <c r="W369" t="inlineStr">
        <is>
          <t>CANADA</t>
        </is>
      </c>
      <c r="X369" t="inlineStr">
        <is>
          <t>PERSIAN GULF</t>
        </is>
      </c>
      <c r="Y369" t="inlineStr">
        <is>
          <t>RUSSIA</t>
        </is>
      </c>
      <c r="Z369" t="inlineStr">
        <is>
          <t>External Review</t>
        </is>
      </c>
      <c r="AA369" t="inlineStr">
        <is>
          <t>HUB SHIPPING LLC-LED</t>
        </is>
      </c>
      <c r="AB369" t="inlineStr">
        <is>
          <t>Prepaid</t>
        </is>
      </c>
      <c r="AC369" t="inlineStr">
        <is>
          <t>TIGER PLATA/970N</t>
        </is>
      </c>
      <c r="AE369" t="inlineStr">
        <is>
          <t>LADEN BOOKING</t>
        </is>
      </c>
      <c r="AF369" t="inlineStr">
        <is>
          <t>AR_MARTIMA</t>
        </is>
      </c>
      <c r="AG369" t="inlineStr">
        <is>
          <t>RH40</t>
        </is>
      </c>
      <c r="AH369" t="inlineStr">
        <is>
          <t>NO</t>
        </is>
      </c>
      <c r="AI369" t="n">
        <v>40</v>
      </c>
      <c r="AJ369" t="n">
        <v>0</v>
      </c>
      <c r="AK369" t="n">
        <v>1</v>
      </c>
      <c r="AL369" t="inlineStr">
        <is>
          <t>ANON0000000</t>
        </is>
      </c>
      <c r="AM369" t="n">
        <v>2</v>
      </c>
      <c r="AP369" t="inlineStr">
        <is>
          <t>Non Haz</t>
        </is>
      </c>
      <c r="AQ369" t="inlineStr">
        <is>
          <t>CY/CY</t>
        </is>
      </c>
      <c r="AT369" t="inlineStr">
        <is>
          <t>REF000000</t>
        </is>
      </c>
      <c r="AU369" t="n">
        <v>29000</v>
      </c>
      <c r="AV369" t="inlineStr">
        <is>
          <t>FROZEN PRODUCT</t>
        </is>
      </c>
      <c r="AW369" t="inlineStr">
        <is>
          <t>HS CODE: 0406.90</t>
        </is>
      </c>
      <c r="AX369" t="inlineStr">
        <is>
          <t>RSAMI122500025</t>
        </is>
      </c>
      <c r="AZ369" t="n">
        <v>0</v>
      </c>
      <c r="BA369" t="n">
        <v>10</v>
      </c>
      <c r="BB369" t="n">
        <v>10</v>
      </c>
      <c r="BC369" t="n">
        <v>7300</v>
      </c>
      <c r="BD369" t="inlineStr">
        <is>
          <t>No</t>
        </is>
      </c>
      <c r="BF369" t="inlineStr">
        <is>
          <t>Bengal Tiger Line -BTL</t>
        </is>
      </c>
      <c r="BG369" t="inlineStr">
        <is>
          <t>USSEA</t>
        </is>
      </c>
      <c r="BH369" t="n">
        <v>0</v>
      </c>
      <c r="BI369" t="n">
        <v>1</v>
      </c>
      <c r="BJ369" t="n">
        <v>7300</v>
      </c>
      <c r="BK369" t="inlineStr">
        <is>
          <t>LINE</t>
        </is>
      </c>
      <c r="BL369" t="inlineStr">
        <is>
          <t>WHALE REEFER</t>
        </is>
      </c>
      <c r="BM369" t="inlineStr">
        <is>
          <t>WHALE REEFER</t>
        </is>
      </c>
    </row>
    <row r="370">
      <c r="A370" t="n">
        <v>369</v>
      </c>
      <c r="B370" t="inlineStr">
        <is>
          <t>SEAL REEFER</t>
        </is>
      </c>
      <c r="C370" t="inlineStr">
        <is>
          <t>REF000000</t>
        </is>
      </c>
      <c r="D370" t="inlineStr">
        <is>
          <t>REF000000</t>
        </is>
      </c>
      <c r="E370" t="inlineStr">
        <is>
          <t>04-FEB-2026</t>
        </is>
      </c>
      <c r="F370" t="inlineStr">
        <is>
          <t>SEAL REEFER</t>
        </is>
      </c>
      <c r="G370" t="inlineStr">
        <is>
          <t>1x40RH TEMP -18</t>
        </is>
      </c>
      <c r="H370" t="inlineStr">
        <is>
          <t>AR_MARTIMA</t>
        </is>
      </c>
      <c r="J370" t="inlineStr">
        <is>
          <t>18-FEB-2026</t>
        </is>
      </c>
      <c r="K370" t="inlineStr">
        <is>
          <t>16-FEB-2026</t>
        </is>
      </c>
      <c r="L370" t="inlineStr">
        <is>
          <t>17-FEB-2026</t>
        </is>
      </c>
      <c r="M370" t="inlineStr">
        <is>
          <t>REF000000</t>
        </is>
      </c>
      <c r="N370" t="inlineStr">
        <is>
          <t>USSEA</t>
        </is>
      </c>
      <c r="O370" t="inlineStr">
        <is>
          <t>USSEA</t>
        </is>
      </c>
      <c r="P370" t="inlineStr">
        <is>
          <t>USNFK</t>
        </is>
      </c>
      <c r="U370" t="inlineStr">
        <is>
          <t>RULED</t>
        </is>
      </c>
      <c r="V370" t="inlineStr">
        <is>
          <t>RULED</t>
        </is>
      </c>
      <c r="W370" t="inlineStr">
        <is>
          <t>CANADA</t>
        </is>
      </c>
      <c r="X370" t="inlineStr">
        <is>
          <t>PERSIAN GULF</t>
        </is>
      </c>
      <c r="Y370" t="inlineStr">
        <is>
          <t>RUSSIA</t>
        </is>
      </c>
      <c r="Z370" t="inlineStr">
        <is>
          <t>External Review</t>
        </is>
      </c>
      <c r="AA370" t="inlineStr">
        <is>
          <t>HUB SHIPPING LLC-LED</t>
        </is>
      </c>
      <c r="AB370" t="inlineStr">
        <is>
          <t>Prepaid</t>
        </is>
      </c>
      <c r="AC370" t="inlineStr">
        <is>
          <t>TIGER PLATA/968N</t>
        </is>
      </c>
      <c r="AD370" t="inlineStr">
        <is>
          <t>LI DA XING / VOYAGE 1</t>
        </is>
      </c>
      <c r="AE370" t="inlineStr">
        <is>
          <t>LADEN BOOKING</t>
        </is>
      </c>
      <c r="AF370" t="inlineStr">
        <is>
          <t>AR_MARTIMA</t>
        </is>
      </c>
      <c r="AG370" t="inlineStr">
        <is>
          <t>RH40</t>
        </is>
      </c>
      <c r="AH370" t="inlineStr">
        <is>
          <t>NO</t>
        </is>
      </c>
      <c r="AI370" t="n">
        <v>40</v>
      </c>
      <c r="AJ370" t="n">
        <v>0</v>
      </c>
      <c r="AK370" t="n">
        <v>1</v>
      </c>
      <c r="AL370" t="inlineStr">
        <is>
          <t>ANON0000000</t>
        </is>
      </c>
      <c r="AM370" t="n">
        <v>-18</v>
      </c>
      <c r="AP370" t="inlineStr">
        <is>
          <t>Non Haz</t>
        </is>
      </c>
      <c r="AQ370" t="inlineStr">
        <is>
          <t>CY/CY</t>
        </is>
      </c>
      <c r="AT370" t="inlineStr">
        <is>
          <t>REF000000</t>
        </is>
      </c>
      <c r="AU370" t="n">
        <v>29000</v>
      </c>
      <c r="AV370" t="inlineStr">
        <is>
          <t>FROZEN BONELESS BUFFALO MEAT</t>
        </is>
      </c>
      <c r="AW370" t="inlineStr">
        <is>
          <t>HS CODE: 020500</t>
        </is>
      </c>
      <c r="AX370" t="inlineStr">
        <is>
          <t>RSAMI122500026</t>
        </is>
      </c>
      <c r="AZ370" t="n">
        <v>0</v>
      </c>
      <c r="BA370" t="n">
        <v>10</v>
      </c>
      <c r="BB370" t="n">
        <v>10</v>
      </c>
      <c r="BC370" t="n">
        <v>7300</v>
      </c>
      <c r="BD370" t="inlineStr">
        <is>
          <t>No</t>
        </is>
      </c>
      <c r="BF370" t="inlineStr">
        <is>
          <t>Bengal Tiger Line -BTL</t>
        </is>
      </c>
      <c r="BG370" t="inlineStr">
        <is>
          <t>USSEA</t>
        </is>
      </c>
      <c r="BH370" t="n">
        <v>0</v>
      </c>
      <c r="BI370" t="n">
        <v>1</v>
      </c>
      <c r="BJ370" t="n">
        <v>7300</v>
      </c>
      <c r="BK370" t="inlineStr">
        <is>
          <t>LINE</t>
        </is>
      </c>
      <c r="BL370" t="inlineStr">
        <is>
          <t>SEAL REEFER</t>
        </is>
      </c>
      <c r="BM370" t="inlineStr">
        <is>
          <t>SEAL REEFER</t>
        </is>
      </c>
    </row>
    <row r="371">
      <c r="A371" t="n">
        <v>370</v>
      </c>
      <c r="B371" t="inlineStr">
        <is>
          <t>FOX DRY</t>
        </is>
      </c>
      <c r="C371" t="inlineStr">
        <is>
          <t>REF000000</t>
        </is>
      </c>
      <c r="D371" t="inlineStr">
        <is>
          <t>REF000000</t>
        </is>
      </c>
      <c r="E371" t="inlineStr">
        <is>
          <t>05-FEB-2026</t>
        </is>
      </c>
      <c r="F371" t="inlineStr">
        <is>
          <t>FOX DRY</t>
        </is>
      </c>
      <c r="G371" t="inlineStr">
        <is>
          <t>RETIRA 4 x 40HQ APTO ALIMENTO O CARGA GENERAL EN BUEN ESTADO</t>
        </is>
      </c>
      <c r="H371" t="inlineStr">
        <is>
          <t>AR_MARTIMA</t>
        </is>
      </c>
      <c r="J371" t="n">
        <v>46089</v>
      </c>
      <c r="K371" t="n">
        <v>46088</v>
      </c>
      <c r="L371" t="n">
        <v>46090</v>
      </c>
      <c r="M371" t="inlineStr">
        <is>
          <t>REF000000</t>
        </is>
      </c>
      <c r="N371" t="inlineStr">
        <is>
          <t>USSEA</t>
        </is>
      </c>
      <c r="O371" t="inlineStr">
        <is>
          <t>USSEA</t>
        </is>
      </c>
      <c r="P371" t="inlineStr">
        <is>
          <t>USNFK</t>
        </is>
      </c>
      <c r="U371" t="inlineStr">
        <is>
          <t>RULED</t>
        </is>
      </c>
      <c r="V371" t="inlineStr">
        <is>
          <t>RULED</t>
        </is>
      </c>
      <c r="W371" t="inlineStr">
        <is>
          <t>CANADA</t>
        </is>
      </c>
      <c r="X371" t="inlineStr">
        <is>
          <t>PERSIAN GULF</t>
        </is>
      </c>
      <c r="Y371" t="inlineStr">
        <is>
          <t>RUSSIA</t>
        </is>
      </c>
      <c r="Z371" t="inlineStr">
        <is>
          <t>External Review</t>
        </is>
      </c>
      <c r="AA371" t="inlineStr">
        <is>
          <t>HUB SHIPPING LLC-LED</t>
        </is>
      </c>
      <c r="AB371" t="inlineStr">
        <is>
          <t>Prepaid</t>
        </is>
      </c>
      <c r="AC371" t="inlineStr">
        <is>
          <t>TIGER PLATA/971N</t>
        </is>
      </c>
      <c r="AE371" t="inlineStr">
        <is>
          <t>LADEN BOOKING</t>
        </is>
      </c>
      <c r="AF371" t="inlineStr">
        <is>
          <t>AR_MARTIMA</t>
        </is>
      </c>
      <c r="AG371" t="inlineStr">
        <is>
          <t>HC40</t>
        </is>
      </c>
      <c r="AH371" t="inlineStr">
        <is>
          <t>NO</t>
        </is>
      </c>
      <c r="AI371" t="n">
        <v>40</v>
      </c>
      <c r="AJ371" t="n">
        <v>0</v>
      </c>
      <c r="AK371" t="n">
        <v>4</v>
      </c>
      <c r="AL371" t="inlineStr">
        <is>
          <t>ANON0000000,
ANON0000000,
ANON0000000,
ANON0000000</t>
        </is>
      </c>
      <c r="AP371" t="inlineStr">
        <is>
          <t>Non Haz</t>
        </is>
      </c>
      <c r="AQ371" t="inlineStr">
        <is>
          <t>CY/CY</t>
        </is>
      </c>
      <c r="AT371" t="inlineStr">
        <is>
          <t>REF000000</t>
        </is>
      </c>
      <c r="AU371" t="n">
        <v>29000</v>
      </c>
      <c r="AV371" t="inlineStr">
        <is>
          <t>PEANUTS</t>
        </is>
      </c>
      <c r="AW371" t="inlineStr">
        <is>
          <t>P.A.: 1202.42.00.190Z</t>
        </is>
      </c>
      <c r="AX371" t="inlineStr">
        <is>
          <t>RSAMI122500014</t>
        </is>
      </c>
      <c r="AZ371" t="n">
        <v>0</v>
      </c>
      <c r="BA371" t="n">
        <v>21</v>
      </c>
      <c r="BB371" t="n">
        <v>14</v>
      </c>
      <c r="BC371" t="n">
        <v>5200</v>
      </c>
      <c r="BD371" t="inlineStr">
        <is>
          <t>No</t>
        </is>
      </c>
      <c r="BF371" t="inlineStr">
        <is>
          <t>Bengal Tiger Line -BTL</t>
        </is>
      </c>
      <c r="BG371" t="inlineStr">
        <is>
          <t>USSEA</t>
        </is>
      </c>
      <c r="BH371" t="n">
        <v>0</v>
      </c>
      <c r="BI371" t="n">
        <v>4</v>
      </c>
      <c r="BJ371" t="n">
        <v>20800</v>
      </c>
      <c r="BK371" t="inlineStr">
        <is>
          <t>LINE</t>
        </is>
      </c>
      <c r="BL371" t="inlineStr">
        <is>
          <t>FOX DRY</t>
        </is>
      </c>
      <c r="BM371" t="inlineStr">
        <is>
          <t>FOX DRY</t>
        </is>
      </c>
    </row>
    <row r="372">
      <c r="A372" t="n">
        <v>371</v>
      </c>
      <c r="B372" t="inlineStr">
        <is>
          <t>DOLPHIN REEFER</t>
        </is>
      </c>
      <c r="C372" t="inlineStr">
        <is>
          <t>REF000000</t>
        </is>
      </c>
      <c r="D372" t="inlineStr">
        <is>
          <t>REF000000</t>
        </is>
      </c>
      <c r="E372" t="inlineStr">
        <is>
          <t>05-FEB-2026</t>
        </is>
      </c>
      <c r="F372" t="inlineStr">
        <is>
          <t>DOLPHIN REEFER</t>
        </is>
      </c>
      <c r="G372" t="inlineStr">
        <is>
          <t>ENTERED THROUGH SPLIT BOOKING FROM THE BOOKING ID VX18FA25000559, BY AR_MARTIMA, ON 6/5/2025 10:48:29 PM</t>
        </is>
      </c>
      <c r="H372" t="inlineStr">
        <is>
          <t>AR_MARTIMA</t>
        </is>
      </c>
      <c r="J372" t="inlineStr">
        <is>
          <t>18-FEB-2026</t>
        </is>
      </c>
      <c r="K372" t="inlineStr">
        <is>
          <t>16-FEB-2026</t>
        </is>
      </c>
      <c r="L372" t="inlineStr">
        <is>
          <t>17-FEB-2026</t>
        </is>
      </c>
      <c r="M372" t="inlineStr">
        <is>
          <t>REF000000</t>
        </is>
      </c>
      <c r="N372" t="inlineStr">
        <is>
          <t>USSEA</t>
        </is>
      </c>
      <c r="O372" t="inlineStr">
        <is>
          <t>USSEA</t>
        </is>
      </c>
      <c r="P372" t="inlineStr">
        <is>
          <t>USNFK</t>
        </is>
      </c>
      <c r="U372" t="inlineStr">
        <is>
          <t>RULED</t>
        </is>
      </c>
      <c r="V372" t="inlineStr">
        <is>
          <t>RULED</t>
        </is>
      </c>
      <c r="W372" t="inlineStr">
        <is>
          <t>CANADA</t>
        </is>
      </c>
      <c r="X372" t="inlineStr">
        <is>
          <t>PERSIAN GULF</t>
        </is>
      </c>
      <c r="Y372" t="inlineStr">
        <is>
          <t>RUSSIA</t>
        </is>
      </c>
      <c r="Z372" t="inlineStr">
        <is>
          <t>External Review</t>
        </is>
      </c>
      <c r="AA372" t="inlineStr">
        <is>
          <t>HUB SHIPPING LLC-LED</t>
        </is>
      </c>
      <c r="AB372" t="inlineStr">
        <is>
          <t>Prepaid</t>
        </is>
      </c>
      <c r="AC372" t="inlineStr">
        <is>
          <t>TIGER PLATA/968N</t>
        </is>
      </c>
      <c r="AD372" t="inlineStr">
        <is>
          <t>LI DA XING / VOYAGE 1</t>
        </is>
      </c>
      <c r="AE372" t="inlineStr">
        <is>
          <t>LADEN BOOKING</t>
        </is>
      </c>
      <c r="AF372" t="inlineStr">
        <is>
          <t>AR_MARTIMA</t>
        </is>
      </c>
      <c r="AG372" t="inlineStr">
        <is>
          <t>RH40</t>
        </is>
      </c>
      <c r="AH372" t="inlineStr">
        <is>
          <t>NO</t>
        </is>
      </c>
      <c r="AI372" t="n">
        <v>40</v>
      </c>
      <c r="AJ372" t="n">
        <v>0</v>
      </c>
      <c r="AK372" t="n">
        <v>1</v>
      </c>
      <c r="AL372" t="inlineStr">
        <is>
          <t>ANON0000000</t>
        </is>
      </c>
      <c r="AM372" t="n">
        <v>-18</v>
      </c>
      <c r="AP372" t="inlineStr">
        <is>
          <t>Non Haz</t>
        </is>
      </c>
      <c r="AQ372" t="inlineStr">
        <is>
          <t>CY/CY</t>
        </is>
      </c>
      <c r="AT372" t="inlineStr">
        <is>
          <t>REF000000</t>
        </is>
      </c>
      <c r="AU372" t="n">
        <v>29000</v>
      </c>
      <c r="AV372" t="inlineStr">
        <is>
          <t>FROZEN BONELESS BUFFALO MEAT</t>
        </is>
      </c>
      <c r="AW372" t="inlineStr">
        <is>
          <t>N.C.M.: 0206.29</t>
        </is>
      </c>
      <c r="AX372" t="inlineStr">
        <is>
          <t>RSAMI122500027</t>
        </is>
      </c>
      <c r="AZ372" t="n">
        <v>0</v>
      </c>
      <c r="BA372" t="n">
        <v>10</v>
      </c>
      <c r="BB372" t="n">
        <v>10</v>
      </c>
      <c r="BC372" t="n">
        <v>7300</v>
      </c>
      <c r="BD372" t="inlineStr">
        <is>
          <t>No</t>
        </is>
      </c>
      <c r="BF372" t="inlineStr">
        <is>
          <t>Bengal Tiger Line -BTL</t>
        </is>
      </c>
      <c r="BG372" t="inlineStr">
        <is>
          <t>USSEA</t>
        </is>
      </c>
      <c r="BH372" t="n">
        <v>0</v>
      </c>
      <c r="BI372" t="n">
        <v>1</v>
      </c>
      <c r="BJ372" t="n">
        <v>7300</v>
      </c>
      <c r="BK372" t="inlineStr">
        <is>
          <t>LINE</t>
        </is>
      </c>
      <c r="BL372" t="inlineStr">
        <is>
          <t>DOLPHIN REEFER</t>
        </is>
      </c>
      <c r="BM372" t="inlineStr">
        <is>
          <t>DOLPHIN REEFER</t>
        </is>
      </c>
    </row>
    <row r="373">
      <c r="A373" t="n">
        <v>372</v>
      </c>
      <c r="B373" t="inlineStr">
        <is>
          <t>MARLIN REEFER</t>
        </is>
      </c>
      <c r="C373" t="inlineStr">
        <is>
          <t>REF000000</t>
        </is>
      </c>
      <c r="D373" t="inlineStr">
        <is>
          <t>REF000000</t>
        </is>
      </c>
      <c r="E373" t="inlineStr">
        <is>
          <t>05-FEB-2026</t>
        </is>
      </c>
      <c r="F373" t="inlineStr">
        <is>
          <t>MARLIN REEFER</t>
        </is>
      </c>
      <c r="G373" t="inlineStr">
        <is>
          <t>1 x 40RF TEMP: -18</t>
        </is>
      </c>
      <c r="H373" t="inlineStr">
        <is>
          <t>AR_MARTIMA</t>
        </is>
      </c>
      <c r="J373" t="inlineStr">
        <is>
          <t>18-FEB-2026</t>
        </is>
      </c>
      <c r="K373" t="inlineStr">
        <is>
          <t>16-FEB-2026</t>
        </is>
      </c>
      <c r="L373" t="inlineStr">
        <is>
          <t>17-FEB-2026</t>
        </is>
      </c>
      <c r="M373" t="inlineStr">
        <is>
          <t>REF000000</t>
        </is>
      </c>
      <c r="N373" t="inlineStr">
        <is>
          <t>USSEA</t>
        </is>
      </c>
      <c r="O373" t="inlineStr">
        <is>
          <t>USSEA</t>
        </is>
      </c>
      <c r="P373" t="inlineStr">
        <is>
          <t>USNFK</t>
        </is>
      </c>
      <c r="Q373" t="inlineStr">
        <is>
          <t>MACAS</t>
        </is>
      </c>
      <c r="U373" t="inlineStr">
        <is>
          <t>RULED</t>
        </is>
      </c>
      <c r="V373" t="inlineStr">
        <is>
          <t>RULED</t>
        </is>
      </c>
      <c r="W373" t="inlineStr">
        <is>
          <t>CANADA</t>
        </is>
      </c>
      <c r="X373" t="inlineStr">
        <is>
          <t>PERSIAN GULF</t>
        </is>
      </c>
      <c r="Y373" t="inlineStr">
        <is>
          <t>RUSSIA</t>
        </is>
      </c>
      <c r="Z373" t="inlineStr">
        <is>
          <t>External Review</t>
        </is>
      </c>
      <c r="AA373" t="inlineStr">
        <is>
          <t>HUB SHIPPING LLC-LED</t>
        </is>
      </c>
      <c r="AB373" t="inlineStr">
        <is>
          <t>Prepaid</t>
        </is>
      </c>
      <c r="AC373" t="inlineStr">
        <is>
          <t>TIGER PLATA/968N</t>
        </is>
      </c>
      <c r="AD373" t="inlineStr">
        <is>
          <t>LI DA XING / VOYAGE 1</t>
        </is>
      </c>
      <c r="AE373" t="inlineStr">
        <is>
          <t>LADEN BOOKING</t>
        </is>
      </c>
      <c r="AF373" t="inlineStr">
        <is>
          <t>AR_MARTIMA</t>
        </is>
      </c>
      <c r="AG373" t="inlineStr">
        <is>
          <t>RH40</t>
        </is>
      </c>
      <c r="AH373" t="inlineStr">
        <is>
          <t>NO</t>
        </is>
      </c>
      <c r="AI373" t="n">
        <v>40</v>
      </c>
      <c r="AJ373" t="n">
        <v>0</v>
      </c>
      <c r="AK373" t="n">
        <v>1</v>
      </c>
      <c r="AL373" t="inlineStr">
        <is>
          <t>ANON0000000</t>
        </is>
      </c>
      <c r="AM373" t="n">
        <v>-18</v>
      </c>
      <c r="AP373" t="inlineStr">
        <is>
          <t>Non Haz</t>
        </is>
      </c>
      <c r="AQ373" t="inlineStr">
        <is>
          <t>CY/CY</t>
        </is>
      </c>
      <c r="AT373" t="inlineStr">
        <is>
          <t>REF000000</t>
        </is>
      </c>
      <c r="AU373" t="n">
        <v>29000</v>
      </c>
      <c r="AV373" t="inlineStr">
        <is>
          <t>FROZEN MEAT</t>
        </is>
      </c>
      <c r="AW373" t="inlineStr">
        <is>
          <t>NCM: 0206.29</t>
        </is>
      </c>
      <c r="AX373" t="inlineStr">
        <is>
          <t>RSAMI012600010</t>
        </is>
      </c>
      <c r="AZ373" t="n">
        <v>5</v>
      </c>
      <c r="BA373" t="n">
        <v>30</v>
      </c>
      <c r="BB373" t="n">
        <v>15</v>
      </c>
      <c r="BC373" t="n">
        <v>7500</v>
      </c>
      <c r="BD373" t="inlineStr">
        <is>
          <t>No</t>
        </is>
      </c>
      <c r="BF373" t="inlineStr">
        <is>
          <t>Bengal Tiger Line -BTL</t>
        </is>
      </c>
      <c r="BG373" t="inlineStr">
        <is>
          <t>USSEA</t>
        </is>
      </c>
      <c r="BH373" t="n">
        <v>0</v>
      </c>
      <c r="BI373" t="n">
        <v>1</v>
      </c>
      <c r="BJ373" t="n">
        <v>7500</v>
      </c>
      <c r="BK373" t="inlineStr">
        <is>
          <t>LINE</t>
        </is>
      </c>
      <c r="BL373" t="inlineStr">
        <is>
          <t>MARLIN REEFER</t>
        </is>
      </c>
      <c r="BM373" t="inlineStr">
        <is>
          <t>MARLIN REEFER</t>
        </is>
      </c>
    </row>
    <row r="374">
      <c r="A374" t="n">
        <v>373</v>
      </c>
      <c r="B374" t="inlineStr">
        <is>
          <t>COYOTE DRY</t>
        </is>
      </c>
      <c r="C374" t="inlineStr">
        <is>
          <t>REF000000</t>
        </is>
      </c>
      <c r="D374" t="inlineStr">
        <is>
          <t>REF000000</t>
        </is>
      </c>
      <c r="E374" t="inlineStr">
        <is>
          <t>06-FEB-2026</t>
        </is>
      </c>
      <c r="F374" t="inlineStr">
        <is>
          <t>COYOTE DRY</t>
        </is>
      </c>
      <c r="H374" t="inlineStr">
        <is>
          <t>AdminAMI</t>
        </is>
      </c>
      <c r="J374" t="inlineStr">
        <is>
          <t>23-FEB-2026</t>
        </is>
      </c>
      <c r="K374" t="inlineStr">
        <is>
          <t>22-FEB-2026</t>
        </is>
      </c>
      <c r="L374" t="inlineStr">
        <is>
          <t>23-FEB-2026</t>
        </is>
      </c>
      <c r="M374" t="inlineStr">
        <is>
          <t>REF000000</t>
        </is>
      </c>
      <c r="N374" t="inlineStr">
        <is>
          <t>USSEA</t>
        </is>
      </c>
      <c r="O374" t="inlineStr">
        <is>
          <t>USSEA</t>
        </is>
      </c>
      <c r="P374" t="inlineStr">
        <is>
          <t>USNFK</t>
        </is>
      </c>
      <c r="U374" t="inlineStr">
        <is>
          <t>RULED</t>
        </is>
      </c>
      <c r="V374" t="inlineStr">
        <is>
          <t>RULED</t>
        </is>
      </c>
      <c r="W374" t="inlineStr">
        <is>
          <t>CANADA</t>
        </is>
      </c>
      <c r="X374" t="inlineStr">
        <is>
          <t>PERSIAN GULF</t>
        </is>
      </c>
      <c r="Y374" t="inlineStr">
        <is>
          <t>RUSSIA</t>
        </is>
      </c>
      <c r="Z374" t="inlineStr">
        <is>
          <t>External Review</t>
        </is>
      </c>
      <c r="AA374" t="inlineStr">
        <is>
          <t>HUB SHIPPING LLC-LED</t>
        </is>
      </c>
      <c r="AB374" t="inlineStr">
        <is>
          <t>Collect</t>
        </is>
      </c>
      <c r="AC374" t="inlineStr">
        <is>
          <t>TIGER PLATA/969N</t>
        </is>
      </c>
      <c r="AD374" t="inlineStr">
        <is>
          <t>LI DA XING / VOYAGE 1</t>
        </is>
      </c>
      <c r="AE374" t="inlineStr">
        <is>
          <t>LADEN BOOKING</t>
        </is>
      </c>
      <c r="AF374" t="inlineStr">
        <is>
          <t>RenniAMI</t>
        </is>
      </c>
      <c r="AG374" t="inlineStr">
        <is>
          <t>HC40</t>
        </is>
      </c>
      <c r="AH374" t="inlineStr">
        <is>
          <t>NO</t>
        </is>
      </c>
      <c r="AI374" t="n">
        <v>40</v>
      </c>
      <c r="AJ374" t="n">
        <v>0</v>
      </c>
      <c r="AK374" t="n">
        <v>2</v>
      </c>
      <c r="AL374" t="inlineStr">
        <is>
          <t>ANON0000000,
ANON0000000</t>
        </is>
      </c>
      <c r="AP374" t="inlineStr">
        <is>
          <t>Non Haz</t>
        </is>
      </c>
      <c r="AQ374" t="inlineStr">
        <is>
          <t>CY/CY</t>
        </is>
      </c>
      <c r="AT374" t="inlineStr">
        <is>
          <t>REF000000</t>
        </is>
      </c>
      <c r="AU374" t="n">
        <v>26000</v>
      </c>
      <c r="AV374" t="inlineStr">
        <is>
          <t>GENERAL COMMODITY</t>
        </is>
      </c>
      <c r="AW374" t="inlineStr">
        <is>
          <t>NCM: 1202.42.00.190Z</t>
        </is>
      </c>
      <c r="AX374" t="inlineStr">
        <is>
          <t>RSAMI012600009</t>
        </is>
      </c>
      <c r="AZ374" t="n">
        <v>0</v>
      </c>
      <c r="BA374" t="n">
        <v>10</v>
      </c>
      <c r="BB374" t="n">
        <v>14</v>
      </c>
      <c r="BC374" t="n">
        <v>4600</v>
      </c>
      <c r="BD374" t="inlineStr">
        <is>
          <t>Yes</t>
        </is>
      </c>
      <c r="BF374" t="inlineStr">
        <is>
          <t>Bengal Tiger Line -BTL</t>
        </is>
      </c>
      <c r="BG374" t="inlineStr">
        <is>
          <t>RULED</t>
        </is>
      </c>
      <c r="BH374" t="n">
        <v>0</v>
      </c>
      <c r="BI374" t="n">
        <v>2</v>
      </c>
      <c r="BJ374" t="n">
        <v>9200</v>
      </c>
      <c r="BK374" t="inlineStr">
        <is>
          <t>LINE</t>
        </is>
      </c>
      <c r="BL374" t="inlineStr">
        <is>
          <t>COYOTE DRY</t>
        </is>
      </c>
      <c r="BM374" t="inlineStr">
        <is>
          <t>COYOTE DRY</t>
        </is>
      </c>
    </row>
    <row r="375">
      <c r="A375" t="n">
        <v>374</v>
      </c>
      <c r="B375" t="inlineStr">
        <is>
          <t>ORCA REEFER</t>
        </is>
      </c>
      <c r="C375" t="inlineStr">
        <is>
          <t>REF000000</t>
        </is>
      </c>
      <c r="D375" t="inlineStr">
        <is>
          <t>REF000000</t>
        </is>
      </c>
      <c r="E375" t="inlineStr">
        <is>
          <t>06-FEB-2026</t>
        </is>
      </c>
      <c r="F375" t="inlineStr">
        <is>
          <t>ORCA REEFER</t>
        </is>
      </c>
      <c r="G375" t="inlineStr">
        <is>
          <t>1x40RF TEMP -18</t>
        </is>
      </c>
      <c r="H375" t="inlineStr">
        <is>
          <t>AR_MARTIMA</t>
        </is>
      </c>
      <c r="J375" t="inlineStr">
        <is>
          <t>18-FEB-2026</t>
        </is>
      </c>
      <c r="K375" t="inlineStr">
        <is>
          <t>16-FEB-2026</t>
        </is>
      </c>
      <c r="L375" t="inlineStr">
        <is>
          <t>17-FEB-2026</t>
        </is>
      </c>
      <c r="M375" t="inlineStr">
        <is>
          <t>REF000000</t>
        </is>
      </c>
      <c r="N375" t="inlineStr">
        <is>
          <t>USSEA</t>
        </is>
      </c>
      <c r="O375" t="inlineStr">
        <is>
          <t>USSEA</t>
        </is>
      </c>
      <c r="P375" t="inlineStr">
        <is>
          <t>USNFK</t>
        </is>
      </c>
      <c r="U375" t="inlineStr">
        <is>
          <t>RULED</t>
        </is>
      </c>
      <c r="V375" t="inlineStr">
        <is>
          <t>RULED</t>
        </is>
      </c>
      <c r="W375" t="inlineStr">
        <is>
          <t>CANADA</t>
        </is>
      </c>
      <c r="X375" t="inlineStr">
        <is>
          <t>PERSIAN GULF</t>
        </is>
      </c>
      <c r="Y375" t="inlineStr">
        <is>
          <t>RUSSIA</t>
        </is>
      </c>
      <c r="Z375" t="inlineStr">
        <is>
          <t>External Review</t>
        </is>
      </c>
      <c r="AA375" t="inlineStr">
        <is>
          <t>HUB SHIPPING LLC-LED</t>
        </is>
      </c>
      <c r="AB375" t="inlineStr">
        <is>
          <t>Prepaid</t>
        </is>
      </c>
      <c r="AC375" t="inlineStr">
        <is>
          <t>TIGER PLATA/968N</t>
        </is>
      </c>
      <c r="AD375" t="inlineStr">
        <is>
          <t>LI DA XING / VOYAGE 1</t>
        </is>
      </c>
      <c r="AE375" t="inlineStr">
        <is>
          <t>LADEN BOOKING</t>
        </is>
      </c>
      <c r="AF375" t="inlineStr">
        <is>
          <t>AR_MARTIMA</t>
        </is>
      </c>
      <c r="AG375" t="inlineStr">
        <is>
          <t>RH40</t>
        </is>
      </c>
      <c r="AH375" t="inlineStr">
        <is>
          <t>NO</t>
        </is>
      </c>
      <c r="AI375" t="n">
        <v>40</v>
      </c>
      <c r="AJ375" t="n">
        <v>0</v>
      </c>
      <c r="AK375" t="n">
        <v>1</v>
      </c>
      <c r="AL375" t="inlineStr">
        <is>
          <t>ANON0000000</t>
        </is>
      </c>
      <c r="AM375" t="n">
        <v>-18</v>
      </c>
      <c r="AP375" t="inlineStr">
        <is>
          <t>Non Haz</t>
        </is>
      </c>
      <c r="AQ375" t="inlineStr">
        <is>
          <t>CY/CY</t>
        </is>
      </c>
      <c r="AT375" t="inlineStr">
        <is>
          <t>REF000000</t>
        </is>
      </c>
      <c r="AU375" t="n">
        <v>29000</v>
      </c>
      <c r="AV375" t="inlineStr">
        <is>
          <t>FROZEN BONELESS BUFFALO MEAT</t>
        </is>
      </c>
      <c r="AW375" t="inlineStr">
        <is>
          <t>N.C.M.: 0206.29</t>
        </is>
      </c>
      <c r="AX375" t="inlineStr">
        <is>
          <t>RSAMI122500027</t>
        </is>
      </c>
      <c r="AZ375" t="n">
        <v>0</v>
      </c>
      <c r="BA375" t="n">
        <v>10</v>
      </c>
      <c r="BB375" t="n">
        <v>10</v>
      </c>
      <c r="BC375" t="n">
        <v>7300</v>
      </c>
      <c r="BD375" t="inlineStr">
        <is>
          <t>No</t>
        </is>
      </c>
      <c r="BF375" t="inlineStr">
        <is>
          <t>Bengal Tiger Line -BTL</t>
        </is>
      </c>
      <c r="BG375" t="inlineStr">
        <is>
          <t>USSEA</t>
        </is>
      </c>
      <c r="BH375" t="n">
        <v>0</v>
      </c>
      <c r="BI375" t="n">
        <v>1</v>
      </c>
      <c r="BJ375" t="n">
        <v>7300</v>
      </c>
      <c r="BK375" t="inlineStr">
        <is>
          <t>LINE</t>
        </is>
      </c>
      <c r="BL375" t="inlineStr">
        <is>
          <t>ORCA REEFER</t>
        </is>
      </c>
      <c r="BM375" t="inlineStr">
        <is>
          <t>ORCA REEFER</t>
        </is>
      </c>
    </row>
    <row r="376">
      <c r="A376" t="n">
        <v>375</v>
      </c>
      <c r="B376" t="inlineStr">
        <is>
          <t>WHALE REEFER</t>
        </is>
      </c>
      <c r="C376" t="inlineStr">
        <is>
          <t>REF000000</t>
        </is>
      </c>
      <c r="D376" t="inlineStr">
        <is>
          <t>REF000000</t>
        </is>
      </c>
      <c r="E376" t="inlineStr">
        <is>
          <t>06-FEB-2026</t>
        </is>
      </c>
      <c r="F376" t="inlineStr">
        <is>
          <t>WHALE REEFER</t>
        </is>
      </c>
      <c r="G376" t="inlineStr">
        <is>
          <t>1x40RF TEMP -18</t>
        </is>
      </c>
      <c r="H376" t="inlineStr">
        <is>
          <t>AR_MARTIMA</t>
        </is>
      </c>
      <c r="J376" t="inlineStr">
        <is>
          <t>18-FEB-2026</t>
        </is>
      </c>
      <c r="K376" t="inlineStr">
        <is>
          <t>16-FEB-2026</t>
        </is>
      </c>
      <c r="L376" t="inlineStr">
        <is>
          <t>17-FEB-2026</t>
        </is>
      </c>
      <c r="M376" t="inlineStr">
        <is>
          <t>REF000000</t>
        </is>
      </c>
      <c r="N376" t="inlineStr">
        <is>
          <t>USSEA</t>
        </is>
      </c>
      <c r="O376" t="inlineStr">
        <is>
          <t>USSEA</t>
        </is>
      </c>
      <c r="P376" t="inlineStr">
        <is>
          <t>USNFK</t>
        </is>
      </c>
      <c r="U376" t="inlineStr">
        <is>
          <t>RULED</t>
        </is>
      </c>
      <c r="V376" t="inlineStr">
        <is>
          <t>RULED</t>
        </is>
      </c>
      <c r="W376" t="inlineStr">
        <is>
          <t>CANADA</t>
        </is>
      </c>
      <c r="X376" t="inlineStr">
        <is>
          <t>PERSIAN GULF</t>
        </is>
      </c>
      <c r="Y376" t="inlineStr">
        <is>
          <t>RUSSIA</t>
        </is>
      </c>
      <c r="Z376" t="inlineStr">
        <is>
          <t>External Review</t>
        </is>
      </c>
      <c r="AA376" t="inlineStr">
        <is>
          <t>HUB SHIPPING LLC-LED</t>
        </is>
      </c>
      <c r="AB376" t="inlineStr">
        <is>
          <t>Prepaid</t>
        </is>
      </c>
      <c r="AC376" t="inlineStr">
        <is>
          <t>TIGER PLATA/968N</t>
        </is>
      </c>
      <c r="AD376" t="inlineStr">
        <is>
          <t>LI DA XING / VOYAGE 1</t>
        </is>
      </c>
      <c r="AE376" t="inlineStr">
        <is>
          <t>LADEN BOOKING</t>
        </is>
      </c>
      <c r="AF376" t="inlineStr">
        <is>
          <t>AR_MARTIMA</t>
        </is>
      </c>
      <c r="AG376" t="inlineStr">
        <is>
          <t>RH40</t>
        </is>
      </c>
      <c r="AH376" t="inlineStr">
        <is>
          <t>NO</t>
        </is>
      </c>
      <c r="AI376" t="n">
        <v>40</v>
      </c>
      <c r="AJ376" t="n">
        <v>0</v>
      </c>
      <c r="AK376" t="n">
        <v>1</v>
      </c>
      <c r="AL376" t="inlineStr">
        <is>
          <t>ANON0000000</t>
        </is>
      </c>
      <c r="AM376" t="n">
        <v>-18</v>
      </c>
      <c r="AP376" t="inlineStr">
        <is>
          <t>Non Haz</t>
        </is>
      </c>
      <c r="AQ376" t="inlineStr">
        <is>
          <t>CY/CY</t>
        </is>
      </c>
      <c r="AT376" t="inlineStr">
        <is>
          <t>REF000000</t>
        </is>
      </c>
      <c r="AU376" t="n">
        <v>29000</v>
      </c>
      <c r="AV376" t="inlineStr">
        <is>
          <t>FROZEN BONELESS BUFFALO MEAT</t>
        </is>
      </c>
      <c r="AW376" t="inlineStr">
        <is>
          <t>N.C.M.: 0206.29</t>
        </is>
      </c>
      <c r="AX376" t="inlineStr">
        <is>
          <t>RSAMI122500027</t>
        </is>
      </c>
      <c r="AZ376" t="n">
        <v>0</v>
      </c>
      <c r="BA376" t="n">
        <v>10</v>
      </c>
      <c r="BB376" t="n">
        <v>10</v>
      </c>
      <c r="BC376" t="n">
        <v>7300</v>
      </c>
      <c r="BD376" t="inlineStr">
        <is>
          <t>No</t>
        </is>
      </c>
      <c r="BF376" t="inlineStr">
        <is>
          <t>Bengal Tiger Line -BTL</t>
        </is>
      </c>
      <c r="BG376" t="inlineStr">
        <is>
          <t>USSEA</t>
        </is>
      </c>
      <c r="BH376" t="n">
        <v>0</v>
      </c>
      <c r="BI376" t="n">
        <v>1</v>
      </c>
      <c r="BJ376" t="n">
        <v>7300</v>
      </c>
      <c r="BK376" t="inlineStr">
        <is>
          <t>LINE</t>
        </is>
      </c>
      <c r="BL376" t="inlineStr">
        <is>
          <t>WHALE REEFER</t>
        </is>
      </c>
      <c r="BM376" t="inlineStr">
        <is>
          <t>WHALE REEFER</t>
        </is>
      </c>
    </row>
    <row r="377">
      <c r="A377" t="n">
        <v>376</v>
      </c>
      <c r="B377" t="inlineStr">
        <is>
          <t>SEAL REEFER</t>
        </is>
      </c>
      <c r="C377" t="inlineStr">
        <is>
          <t>REF000000</t>
        </is>
      </c>
      <c r="D377" t="inlineStr">
        <is>
          <t>REF000000</t>
        </is>
      </c>
      <c r="E377" t="inlineStr">
        <is>
          <t>06-FEB-2026</t>
        </is>
      </c>
      <c r="F377" t="inlineStr">
        <is>
          <t>SEAL REEFER</t>
        </is>
      </c>
      <c r="G377" t="inlineStr">
        <is>
          <t>1x40RF TEMP -18</t>
        </is>
      </c>
      <c r="H377" t="inlineStr">
        <is>
          <t>AR_MARTIMA</t>
        </is>
      </c>
      <c r="J377" t="inlineStr">
        <is>
          <t>18-FEB-2026</t>
        </is>
      </c>
      <c r="K377" t="inlineStr">
        <is>
          <t>16-FEB-2026</t>
        </is>
      </c>
      <c r="L377" t="inlineStr">
        <is>
          <t>17-FEB-2026</t>
        </is>
      </c>
      <c r="M377" t="inlineStr">
        <is>
          <t>REF000000</t>
        </is>
      </c>
      <c r="N377" t="inlineStr">
        <is>
          <t>USSEA</t>
        </is>
      </c>
      <c r="O377" t="inlineStr">
        <is>
          <t>USSEA</t>
        </is>
      </c>
      <c r="P377" t="inlineStr">
        <is>
          <t>USNFK</t>
        </is>
      </c>
      <c r="U377" t="inlineStr">
        <is>
          <t>RULED</t>
        </is>
      </c>
      <c r="V377" t="inlineStr">
        <is>
          <t>RULED</t>
        </is>
      </c>
      <c r="W377" t="inlineStr">
        <is>
          <t>CANADA</t>
        </is>
      </c>
      <c r="X377" t="inlineStr">
        <is>
          <t>PERSIAN GULF</t>
        </is>
      </c>
      <c r="Y377" t="inlineStr">
        <is>
          <t>RUSSIA</t>
        </is>
      </c>
      <c r="Z377" t="inlineStr">
        <is>
          <t>External Review</t>
        </is>
      </c>
      <c r="AA377" t="inlineStr">
        <is>
          <t>HUB SHIPPING LLC-LED</t>
        </is>
      </c>
      <c r="AB377" t="inlineStr">
        <is>
          <t>Prepaid</t>
        </is>
      </c>
      <c r="AC377" t="inlineStr">
        <is>
          <t>TIGER PLATA/968N</t>
        </is>
      </c>
      <c r="AD377" t="inlineStr">
        <is>
          <t>LI DA XING / VOYAGE 1</t>
        </is>
      </c>
      <c r="AE377" t="inlineStr">
        <is>
          <t>LADEN BOOKING</t>
        </is>
      </c>
      <c r="AF377" t="inlineStr">
        <is>
          <t>AR_MARTIMA</t>
        </is>
      </c>
      <c r="AG377" t="inlineStr">
        <is>
          <t>RH40</t>
        </is>
      </c>
      <c r="AH377" t="inlineStr">
        <is>
          <t>NO</t>
        </is>
      </c>
      <c r="AI377" t="n">
        <v>40</v>
      </c>
      <c r="AJ377" t="n">
        <v>0</v>
      </c>
      <c r="AK377" t="n">
        <v>1</v>
      </c>
      <c r="AL377" t="inlineStr">
        <is>
          <t>ANON0000000</t>
        </is>
      </c>
      <c r="AM377" t="n">
        <v>-18</v>
      </c>
      <c r="AP377" t="inlineStr">
        <is>
          <t>Non Haz</t>
        </is>
      </c>
      <c r="AQ377" t="inlineStr">
        <is>
          <t>CY/CY</t>
        </is>
      </c>
      <c r="AT377" t="inlineStr">
        <is>
          <t>REF000000</t>
        </is>
      </c>
      <c r="AU377" t="n">
        <v>29000</v>
      </c>
      <c r="AV377" t="inlineStr">
        <is>
          <t>FROZEN BONELESS BUFFALO MEAT</t>
        </is>
      </c>
      <c r="AW377" t="inlineStr">
        <is>
          <t>N.C.M.: 0206.22</t>
        </is>
      </c>
      <c r="AX377" t="inlineStr">
        <is>
          <t>RSAMI122500027</t>
        </is>
      </c>
      <c r="AZ377" t="n">
        <v>0</v>
      </c>
      <c r="BA377" t="n">
        <v>10</v>
      </c>
      <c r="BB377" t="n">
        <v>10</v>
      </c>
      <c r="BC377" t="n">
        <v>7300</v>
      </c>
      <c r="BD377" t="inlineStr">
        <is>
          <t>No</t>
        </is>
      </c>
      <c r="BF377" t="inlineStr">
        <is>
          <t>Bengal Tiger Line -BTL</t>
        </is>
      </c>
      <c r="BG377" t="inlineStr">
        <is>
          <t>USSEA</t>
        </is>
      </c>
      <c r="BH377" t="n">
        <v>0</v>
      </c>
      <c r="BI377" t="n">
        <v>1</v>
      </c>
      <c r="BJ377" t="n">
        <v>7300</v>
      </c>
      <c r="BK377" t="inlineStr">
        <is>
          <t>LINE</t>
        </is>
      </c>
      <c r="BL377" t="inlineStr">
        <is>
          <t>SEAL REEFER</t>
        </is>
      </c>
      <c r="BM377" t="inlineStr">
        <is>
          <t>SEAL REEFER</t>
        </is>
      </c>
    </row>
    <row r="378">
      <c r="A378" t="n">
        <v>377</v>
      </c>
      <c r="B378" t="inlineStr">
        <is>
          <t>SHARK REEFER</t>
        </is>
      </c>
      <c r="C378" t="inlineStr">
        <is>
          <t>REF000000</t>
        </is>
      </c>
      <c r="D378" t="inlineStr">
        <is>
          <t>REF000000</t>
        </is>
      </c>
      <c r="E378" t="inlineStr">
        <is>
          <t>06-FEB-2026</t>
        </is>
      </c>
      <c r="F378" t="inlineStr">
        <is>
          <t>SHARK REEFER</t>
        </is>
      </c>
      <c r="G378" t="inlineStr">
        <is>
          <t>RETIRA 1 X 40RF TEMP_ -18</t>
        </is>
      </c>
      <c r="H378" t="inlineStr">
        <is>
          <t>AR_MARTIMA</t>
        </is>
      </c>
      <c r="J378" t="inlineStr">
        <is>
          <t>18-FEB-2026</t>
        </is>
      </c>
      <c r="K378" t="inlineStr">
        <is>
          <t>16-FEB-2026</t>
        </is>
      </c>
      <c r="L378" t="inlineStr">
        <is>
          <t>17-FEB-2026</t>
        </is>
      </c>
      <c r="M378" t="inlineStr">
        <is>
          <t>REF000000</t>
        </is>
      </c>
      <c r="N378" t="inlineStr">
        <is>
          <t>USSEA</t>
        </is>
      </c>
      <c r="O378" t="inlineStr">
        <is>
          <t>USSEA</t>
        </is>
      </c>
      <c r="P378" t="inlineStr">
        <is>
          <t>USNFK</t>
        </is>
      </c>
      <c r="U378" t="inlineStr">
        <is>
          <t>RULED</t>
        </is>
      </c>
      <c r="V378" t="inlineStr">
        <is>
          <t>RULED</t>
        </is>
      </c>
      <c r="W378" t="inlineStr">
        <is>
          <t>CANADA</t>
        </is>
      </c>
      <c r="X378" t="inlineStr">
        <is>
          <t>PERSIAN GULF</t>
        </is>
      </c>
      <c r="Y378" t="inlineStr">
        <is>
          <t>RUSSIA</t>
        </is>
      </c>
      <c r="Z378" t="inlineStr">
        <is>
          <t>External Review</t>
        </is>
      </c>
      <c r="AA378" t="inlineStr">
        <is>
          <t>HUB SHIPPING LLC-LED</t>
        </is>
      </c>
      <c r="AB378" t="inlineStr">
        <is>
          <t>Prepaid</t>
        </is>
      </c>
      <c r="AC378" t="inlineStr">
        <is>
          <t>TIGER PLATA/968N</t>
        </is>
      </c>
      <c r="AD378" t="inlineStr">
        <is>
          <t>LI DA XING / VOYAGE 1</t>
        </is>
      </c>
      <c r="AE378" t="inlineStr">
        <is>
          <t>LADEN BOOKING</t>
        </is>
      </c>
      <c r="AF378" t="inlineStr">
        <is>
          <t>AR_MARTIMA</t>
        </is>
      </c>
      <c r="AG378" t="inlineStr">
        <is>
          <t>RH40</t>
        </is>
      </c>
      <c r="AH378" t="inlineStr">
        <is>
          <t>NO</t>
        </is>
      </c>
      <c r="AI378" t="n">
        <v>40</v>
      </c>
      <c r="AJ378" t="n">
        <v>0</v>
      </c>
      <c r="AK378" t="n">
        <v>1</v>
      </c>
      <c r="AL378" t="inlineStr">
        <is>
          <t>ANON0000000</t>
        </is>
      </c>
      <c r="AM378" t="n">
        <v>-18</v>
      </c>
      <c r="AP378" t="inlineStr">
        <is>
          <t>Non Haz</t>
        </is>
      </c>
      <c r="AQ378" t="inlineStr">
        <is>
          <t>CY/CY</t>
        </is>
      </c>
      <c r="AT378" t="inlineStr">
        <is>
          <t>REF000000</t>
        </is>
      </c>
      <c r="AU378" t="n">
        <v>29000</v>
      </c>
      <c r="AV378" t="inlineStr">
        <is>
          <t>FROZEN MEAT</t>
        </is>
      </c>
      <c r="AW378" t="inlineStr">
        <is>
          <t>NCM 020622</t>
        </is>
      </c>
      <c r="AX378" t="inlineStr">
        <is>
          <t>RSAMI122500031</t>
        </is>
      </c>
      <c r="AZ378" t="n">
        <v>0</v>
      </c>
      <c r="BA378" t="n">
        <v>10</v>
      </c>
      <c r="BB378" t="n">
        <v>10</v>
      </c>
      <c r="BC378" t="n">
        <v>6800</v>
      </c>
      <c r="BD378" t="inlineStr">
        <is>
          <t>No</t>
        </is>
      </c>
      <c r="BF378" t="inlineStr">
        <is>
          <t>Bengal Tiger Line -BTL</t>
        </is>
      </c>
      <c r="BG378" t="inlineStr">
        <is>
          <t>USSEA</t>
        </is>
      </c>
      <c r="BH378" t="n">
        <v>0</v>
      </c>
      <c r="BI378" t="n">
        <v>1</v>
      </c>
      <c r="BJ378" t="n">
        <v>6800</v>
      </c>
      <c r="BK378" t="inlineStr">
        <is>
          <t>LINE</t>
        </is>
      </c>
      <c r="BL378" t="inlineStr">
        <is>
          <t>SHARK REEFER</t>
        </is>
      </c>
      <c r="BM378" t="inlineStr">
        <is>
          <t>SHARK REEFER</t>
        </is>
      </c>
    </row>
    <row r="379">
      <c r="A379" t="n">
        <v>378</v>
      </c>
      <c r="B379" t="inlineStr">
        <is>
          <t>DOLPHIN REEFER</t>
        </is>
      </c>
      <c r="C379" t="inlineStr">
        <is>
          <t>REF000000</t>
        </is>
      </c>
      <c r="D379" t="inlineStr">
        <is>
          <t>REF000000</t>
        </is>
      </c>
      <c r="E379" t="inlineStr">
        <is>
          <t>06-FEB-2026</t>
        </is>
      </c>
      <c r="F379" t="inlineStr">
        <is>
          <t>DOLPHIN REEFER</t>
        </is>
      </c>
      <c r="G379" t="inlineStr">
        <is>
          <t>ENTERED THROUGH SPLIT BOOKING FROM THE BOOKING ID REF000000, BY AR_MARTIMA, ON 2/6/2026 10:02:14 PM</t>
        </is>
      </c>
      <c r="H379" t="inlineStr">
        <is>
          <t>AR_MARTIMA</t>
        </is>
      </c>
      <c r="J379" t="inlineStr">
        <is>
          <t>18-FEB-2026</t>
        </is>
      </c>
      <c r="K379" t="inlineStr">
        <is>
          <t>16-FEB-2026</t>
        </is>
      </c>
      <c r="L379" t="inlineStr">
        <is>
          <t>17-FEB-2026</t>
        </is>
      </c>
      <c r="M379" t="inlineStr">
        <is>
          <t>REF000000</t>
        </is>
      </c>
      <c r="N379" t="inlineStr">
        <is>
          <t>USSEA</t>
        </is>
      </c>
      <c r="O379" t="inlineStr">
        <is>
          <t>USSEA</t>
        </is>
      </c>
      <c r="P379" t="inlineStr">
        <is>
          <t>USNFK</t>
        </is>
      </c>
      <c r="U379" t="inlineStr">
        <is>
          <t>RULED</t>
        </is>
      </c>
      <c r="V379" t="inlineStr">
        <is>
          <t>RULED</t>
        </is>
      </c>
      <c r="W379" t="inlineStr">
        <is>
          <t>CANADA</t>
        </is>
      </c>
      <c r="X379" t="inlineStr">
        <is>
          <t>PERSIAN GULF</t>
        </is>
      </c>
      <c r="Y379" t="inlineStr">
        <is>
          <t>RUSSIA</t>
        </is>
      </c>
      <c r="Z379" t="inlineStr">
        <is>
          <t>External Review</t>
        </is>
      </c>
      <c r="AA379" t="inlineStr">
        <is>
          <t>HUB SHIPPING LLC-LED</t>
        </is>
      </c>
      <c r="AB379" t="inlineStr">
        <is>
          <t>Prepaid</t>
        </is>
      </c>
      <c r="AC379" t="inlineStr">
        <is>
          <t>TIGER PLATA/968N</t>
        </is>
      </c>
      <c r="AD379" t="inlineStr">
        <is>
          <t>LI DA XING / VOYAGE 1</t>
        </is>
      </c>
      <c r="AE379" t="inlineStr">
        <is>
          <t>LADEN BOOKING</t>
        </is>
      </c>
      <c r="AF379" t="inlineStr">
        <is>
          <t>AR_MARTIMA</t>
        </is>
      </c>
      <c r="AG379" t="inlineStr">
        <is>
          <t>RH40</t>
        </is>
      </c>
      <c r="AI379" t="n">
        <v>40</v>
      </c>
      <c r="AJ379" t="n">
        <v>0</v>
      </c>
      <c r="AK379" t="n">
        <v>1</v>
      </c>
      <c r="AL379" t="inlineStr">
        <is>
          <t>ANON0000000</t>
        </is>
      </c>
      <c r="AM379" t="n">
        <v>-18</v>
      </c>
      <c r="AP379" t="inlineStr">
        <is>
          <t>Non Haz</t>
        </is>
      </c>
      <c r="AQ379" t="inlineStr">
        <is>
          <t>CY/CY</t>
        </is>
      </c>
      <c r="AT379" t="inlineStr">
        <is>
          <t>REF000000</t>
        </is>
      </c>
      <c r="AU379" t="n">
        <v>29000</v>
      </c>
      <c r="AV379" t="inlineStr">
        <is>
          <t>FROZEN MEAT</t>
        </is>
      </c>
      <c r="AW379" t="inlineStr">
        <is>
          <t>NCM 020622</t>
        </is>
      </c>
      <c r="AX379" t="inlineStr">
        <is>
          <t>RSAMI122500031</t>
        </is>
      </c>
      <c r="AZ379" t="n">
        <v>0</v>
      </c>
      <c r="BA379" t="n">
        <v>10</v>
      </c>
      <c r="BB379" t="n">
        <v>10</v>
      </c>
      <c r="BC379" t="n">
        <v>6800</v>
      </c>
      <c r="BD379" t="inlineStr">
        <is>
          <t>No</t>
        </is>
      </c>
      <c r="BF379" t="inlineStr">
        <is>
          <t>Bengal Tiger Line -BTL</t>
        </is>
      </c>
      <c r="BG379" t="inlineStr">
        <is>
          <t>USSEA</t>
        </is>
      </c>
      <c r="BH379" t="n">
        <v>0</v>
      </c>
      <c r="BI379" t="n">
        <v>1</v>
      </c>
      <c r="BJ379" t="n">
        <v>6800</v>
      </c>
      <c r="BK379" t="inlineStr">
        <is>
          <t>LINE</t>
        </is>
      </c>
      <c r="BL379" t="inlineStr">
        <is>
          <t>DOLPHIN REEFER</t>
        </is>
      </c>
      <c r="BM379" t="inlineStr">
        <is>
          <t>DOLPHIN REEFER</t>
        </is>
      </c>
    </row>
    <row r="380">
      <c r="A380" t="n">
        <v>379</v>
      </c>
      <c r="B380" t="inlineStr">
        <is>
          <t>MARLIN REEFER</t>
        </is>
      </c>
      <c r="C380" t="inlineStr">
        <is>
          <t>REF000000</t>
        </is>
      </c>
      <c r="D380" t="inlineStr">
        <is>
          <t>REF000000</t>
        </is>
      </c>
      <c r="E380" t="inlineStr">
        <is>
          <t>06-FEB-2026</t>
        </is>
      </c>
      <c r="F380" t="inlineStr">
        <is>
          <t>MARLIN REEFER</t>
        </is>
      </c>
      <c r="G380" t="inlineStr">
        <is>
          <t>ENTERED THROUGH SPLIT BOOKING FROM THE BOOKING ID REF000000, BY AR_MARTIMA, ON 2/6/2026 10:02:14 PM</t>
        </is>
      </c>
      <c r="H380" t="inlineStr">
        <is>
          <t>AR_MARTIMA</t>
        </is>
      </c>
      <c r="J380" t="inlineStr">
        <is>
          <t>18-FEB-2026</t>
        </is>
      </c>
      <c r="K380" t="inlineStr">
        <is>
          <t>16-FEB-2026</t>
        </is>
      </c>
      <c r="L380" t="inlineStr">
        <is>
          <t>17-FEB-2026</t>
        </is>
      </c>
      <c r="M380" t="inlineStr">
        <is>
          <t>REF000000</t>
        </is>
      </c>
      <c r="N380" t="inlineStr">
        <is>
          <t>USSEA</t>
        </is>
      </c>
      <c r="O380" t="inlineStr">
        <is>
          <t>USSEA</t>
        </is>
      </c>
      <c r="P380" t="inlineStr">
        <is>
          <t>USNFK</t>
        </is>
      </c>
      <c r="U380" t="inlineStr">
        <is>
          <t>RULED</t>
        </is>
      </c>
      <c r="V380" t="inlineStr">
        <is>
          <t>RULED</t>
        </is>
      </c>
      <c r="W380" t="inlineStr">
        <is>
          <t>CANADA</t>
        </is>
      </c>
      <c r="X380" t="inlineStr">
        <is>
          <t>PERSIAN GULF</t>
        </is>
      </c>
      <c r="Y380" t="inlineStr">
        <is>
          <t>RUSSIA</t>
        </is>
      </c>
      <c r="Z380" t="inlineStr">
        <is>
          <t>External Review</t>
        </is>
      </c>
      <c r="AA380" t="inlineStr">
        <is>
          <t>HUB SHIPPING LLC-LED</t>
        </is>
      </c>
      <c r="AB380" t="inlineStr">
        <is>
          <t>Prepaid</t>
        </is>
      </c>
      <c r="AC380" t="inlineStr">
        <is>
          <t>TIGER PLATA/968N</t>
        </is>
      </c>
      <c r="AD380" t="inlineStr">
        <is>
          <t>LI DA XING / VOYAGE 1</t>
        </is>
      </c>
      <c r="AE380" t="inlineStr">
        <is>
          <t>LADEN BOOKING</t>
        </is>
      </c>
      <c r="AF380" t="inlineStr">
        <is>
          <t>AR_MARTIMA</t>
        </is>
      </c>
      <c r="AG380" t="inlineStr">
        <is>
          <t>RH40</t>
        </is>
      </c>
      <c r="AI380" t="n">
        <v>40</v>
      </c>
      <c r="AJ380" t="n">
        <v>0</v>
      </c>
      <c r="AK380" t="n">
        <v>1</v>
      </c>
      <c r="AL380" t="inlineStr">
        <is>
          <t>ANON0000000</t>
        </is>
      </c>
      <c r="AM380" t="n">
        <v>-18</v>
      </c>
      <c r="AP380" t="inlineStr">
        <is>
          <t>Non Haz</t>
        </is>
      </c>
      <c r="AQ380" t="inlineStr">
        <is>
          <t>CY/CY</t>
        </is>
      </c>
      <c r="AT380" t="inlineStr">
        <is>
          <t>REF000000</t>
        </is>
      </c>
      <c r="AU380" t="n">
        <v>29000</v>
      </c>
      <c r="AV380" t="inlineStr">
        <is>
          <t>FROZEN MEAT</t>
        </is>
      </c>
      <c r="AW380" t="inlineStr">
        <is>
          <t>NCM 020622</t>
        </is>
      </c>
      <c r="AX380" t="inlineStr">
        <is>
          <t>RSAMI122500031</t>
        </is>
      </c>
      <c r="AZ380" t="n">
        <v>0</v>
      </c>
      <c r="BA380" t="n">
        <v>10</v>
      </c>
      <c r="BB380" t="n">
        <v>10</v>
      </c>
      <c r="BC380" t="n">
        <v>6800</v>
      </c>
      <c r="BD380" t="inlineStr">
        <is>
          <t>No</t>
        </is>
      </c>
      <c r="BF380" t="inlineStr">
        <is>
          <t>Bengal Tiger Line -BTL</t>
        </is>
      </c>
      <c r="BG380" t="inlineStr">
        <is>
          <t>USSEA</t>
        </is>
      </c>
      <c r="BH380" t="n">
        <v>0</v>
      </c>
      <c r="BI380" t="n">
        <v>1</v>
      </c>
      <c r="BJ380" t="n">
        <v>6800</v>
      </c>
      <c r="BK380" t="inlineStr">
        <is>
          <t>LINE</t>
        </is>
      </c>
      <c r="BL380" t="inlineStr">
        <is>
          <t>MARLIN REEFER</t>
        </is>
      </c>
      <c r="BM380" t="inlineStr">
        <is>
          <t>MARLIN REEFER</t>
        </is>
      </c>
    </row>
    <row r="381">
      <c r="A381" t="n">
        <v>380</v>
      </c>
      <c r="B381" t="inlineStr">
        <is>
          <t>TURTLE REEFER</t>
        </is>
      </c>
      <c r="C381" t="inlineStr">
        <is>
          <t>REF000000</t>
        </is>
      </c>
      <c r="D381" t="inlineStr">
        <is>
          <t>REF000000</t>
        </is>
      </c>
      <c r="E381" t="inlineStr">
        <is>
          <t>06-FEB-2026</t>
        </is>
      </c>
      <c r="F381" t="inlineStr">
        <is>
          <t>TURTLE REEFER</t>
        </is>
      </c>
      <c r="G381" t="inlineStr">
        <is>
          <t>ENTERED THROUGH SPLIT BOOKING FROM THE BOOKING ID REF000000, BY AR_MARTIMA, ON 2/6/2026 10:02:14 PM</t>
        </is>
      </c>
      <c r="H381" t="inlineStr">
        <is>
          <t>AR_MARTIMA</t>
        </is>
      </c>
      <c r="J381" t="inlineStr">
        <is>
          <t>18-FEB-2026</t>
        </is>
      </c>
      <c r="K381" t="inlineStr">
        <is>
          <t>16-FEB-2026</t>
        </is>
      </c>
      <c r="L381" t="inlineStr">
        <is>
          <t>17-FEB-2026</t>
        </is>
      </c>
      <c r="M381" t="inlineStr">
        <is>
          <t>REF000000</t>
        </is>
      </c>
      <c r="N381" t="inlineStr">
        <is>
          <t>USSEA</t>
        </is>
      </c>
      <c r="O381" t="inlineStr">
        <is>
          <t>USSEA</t>
        </is>
      </c>
      <c r="P381" t="inlineStr">
        <is>
          <t>USNFK</t>
        </is>
      </c>
      <c r="U381" t="inlineStr">
        <is>
          <t>RULED</t>
        </is>
      </c>
      <c r="V381" t="inlineStr">
        <is>
          <t>RULED</t>
        </is>
      </c>
      <c r="W381" t="inlineStr">
        <is>
          <t>CANADA</t>
        </is>
      </c>
      <c r="X381" t="inlineStr">
        <is>
          <t>PERSIAN GULF</t>
        </is>
      </c>
      <c r="Y381" t="inlineStr">
        <is>
          <t>RUSSIA</t>
        </is>
      </c>
      <c r="Z381" t="inlineStr">
        <is>
          <t>External Review</t>
        </is>
      </c>
      <c r="AA381" t="inlineStr">
        <is>
          <t>HUB SHIPPING LLC-LED</t>
        </is>
      </c>
      <c r="AB381" t="inlineStr">
        <is>
          <t>Prepaid</t>
        </is>
      </c>
      <c r="AC381" t="inlineStr">
        <is>
          <t>TIGER PLATA/968N</t>
        </is>
      </c>
      <c r="AD381" t="inlineStr">
        <is>
          <t>LI DA XING / VOYAGE 1</t>
        </is>
      </c>
      <c r="AE381" t="inlineStr">
        <is>
          <t>LADEN BOOKING</t>
        </is>
      </c>
      <c r="AF381" t="inlineStr">
        <is>
          <t>AR_MARTIMA</t>
        </is>
      </c>
      <c r="AG381" t="inlineStr">
        <is>
          <t>RH40</t>
        </is>
      </c>
      <c r="AI381" t="n">
        <v>40</v>
      </c>
      <c r="AJ381" t="n">
        <v>0</v>
      </c>
      <c r="AK381" t="n">
        <v>1</v>
      </c>
      <c r="AL381" t="inlineStr">
        <is>
          <t>ANON0000000</t>
        </is>
      </c>
      <c r="AM381" t="n">
        <v>-18</v>
      </c>
      <c r="AP381" t="inlineStr">
        <is>
          <t>Non Haz</t>
        </is>
      </c>
      <c r="AQ381" t="inlineStr">
        <is>
          <t>CY/CY</t>
        </is>
      </c>
      <c r="AT381" t="inlineStr">
        <is>
          <t>REF000000</t>
        </is>
      </c>
      <c r="AU381" t="n">
        <v>29000</v>
      </c>
      <c r="AV381" t="inlineStr">
        <is>
          <t>FROZEN MEAT</t>
        </is>
      </c>
      <c r="AW381" t="inlineStr">
        <is>
          <t>NCM 020622</t>
        </is>
      </c>
      <c r="AX381" t="inlineStr">
        <is>
          <t>RSAMI122500031</t>
        </is>
      </c>
      <c r="AZ381" t="n">
        <v>0</v>
      </c>
      <c r="BA381" t="n">
        <v>10</v>
      </c>
      <c r="BB381" t="n">
        <v>10</v>
      </c>
      <c r="BC381" t="n">
        <v>6800</v>
      </c>
      <c r="BD381" t="inlineStr">
        <is>
          <t>No</t>
        </is>
      </c>
      <c r="BF381" t="inlineStr">
        <is>
          <t>Bengal Tiger Line -BTL</t>
        </is>
      </c>
      <c r="BG381" t="inlineStr">
        <is>
          <t>USSEA</t>
        </is>
      </c>
      <c r="BH381" t="n">
        <v>0</v>
      </c>
      <c r="BI381" t="n">
        <v>1</v>
      </c>
      <c r="BJ381" t="n">
        <v>6800</v>
      </c>
      <c r="BK381" t="inlineStr">
        <is>
          <t>LINE</t>
        </is>
      </c>
      <c r="BL381" t="inlineStr">
        <is>
          <t>TURTLE REEFER</t>
        </is>
      </c>
      <c r="BM381" t="inlineStr">
        <is>
          <t>TURTLE REEFER</t>
        </is>
      </c>
    </row>
    <row r="382">
      <c r="A382" t="n">
        <v>381</v>
      </c>
      <c r="B382" t="inlineStr">
        <is>
          <t>ORCA REEFER</t>
        </is>
      </c>
      <c r="C382" t="inlineStr">
        <is>
          <t>REF000000</t>
        </is>
      </c>
      <c r="D382" t="inlineStr">
        <is>
          <t>REF000000</t>
        </is>
      </c>
      <c r="E382" t="inlineStr">
        <is>
          <t>06-FEB-2026</t>
        </is>
      </c>
      <c r="F382" t="inlineStr">
        <is>
          <t>ORCA REEFER</t>
        </is>
      </c>
      <c r="G382" t="inlineStr">
        <is>
          <t>ENTERED THROUGH SPLIT BOOKING FROM THE BOOKING ID REF000000, BY AR_MARTIMA, ON 2/6/2026 10:02:14 PM</t>
        </is>
      </c>
      <c r="H382" t="inlineStr">
        <is>
          <t>AR_MARTIMA</t>
        </is>
      </c>
      <c r="J382" t="inlineStr">
        <is>
          <t>18-FEB-2026</t>
        </is>
      </c>
      <c r="K382" t="inlineStr">
        <is>
          <t>16-FEB-2026</t>
        </is>
      </c>
      <c r="L382" t="inlineStr">
        <is>
          <t>17-FEB-2026</t>
        </is>
      </c>
      <c r="M382" t="inlineStr">
        <is>
          <t>REF000000</t>
        </is>
      </c>
      <c r="N382" t="inlineStr">
        <is>
          <t>USSEA</t>
        </is>
      </c>
      <c r="O382" t="inlineStr">
        <is>
          <t>USSEA</t>
        </is>
      </c>
      <c r="P382" t="inlineStr">
        <is>
          <t>USNFK</t>
        </is>
      </c>
      <c r="U382" t="inlineStr">
        <is>
          <t>RULED</t>
        </is>
      </c>
      <c r="V382" t="inlineStr">
        <is>
          <t>RULED</t>
        </is>
      </c>
      <c r="W382" t="inlineStr">
        <is>
          <t>CANADA</t>
        </is>
      </c>
      <c r="X382" t="inlineStr">
        <is>
          <t>PERSIAN GULF</t>
        </is>
      </c>
      <c r="Y382" t="inlineStr">
        <is>
          <t>RUSSIA</t>
        </is>
      </c>
      <c r="Z382" t="inlineStr">
        <is>
          <t>External Review</t>
        </is>
      </c>
      <c r="AA382" t="inlineStr">
        <is>
          <t>HUB SHIPPING LLC-LED</t>
        </is>
      </c>
      <c r="AB382" t="inlineStr">
        <is>
          <t>Prepaid</t>
        </is>
      </c>
      <c r="AC382" t="inlineStr">
        <is>
          <t>TIGER PLATA/968N</t>
        </is>
      </c>
      <c r="AD382" t="inlineStr">
        <is>
          <t>LI DA XING / VOYAGE 1</t>
        </is>
      </c>
      <c r="AE382" t="inlineStr">
        <is>
          <t>LADEN BOOKING</t>
        </is>
      </c>
      <c r="AF382" t="inlineStr">
        <is>
          <t>AR_MARTIMA</t>
        </is>
      </c>
      <c r="AG382" t="inlineStr">
        <is>
          <t>RH40</t>
        </is>
      </c>
      <c r="AI382" t="n">
        <v>40</v>
      </c>
      <c r="AJ382" t="n">
        <v>0</v>
      </c>
      <c r="AK382" t="n">
        <v>1</v>
      </c>
      <c r="AL382" t="inlineStr">
        <is>
          <t>ANON0000000,
ANON0000000</t>
        </is>
      </c>
      <c r="AM382" t="n">
        <v>-18</v>
      </c>
      <c r="AP382" t="inlineStr">
        <is>
          <t>Non Haz</t>
        </is>
      </c>
      <c r="AQ382" t="inlineStr">
        <is>
          <t>CY/CY</t>
        </is>
      </c>
      <c r="AT382" t="inlineStr">
        <is>
          <t>REF000000,
REF000000</t>
        </is>
      </c>
      <c r="AU382" t="n">
        <v>29000</v>
      </c>
      <c r="AV382" t="inlineStr">
        <is>
          <t>FROZEN MEAT</t>
        </is>
      </c>
      <c r="AX382" t="inlineStr">
        <is>
          <t>RSAMI122500031</t>
        </is>
      </c>
      <c r="AZ382" t="n">
        <v>0</v>
      </c>
      <c r="BA382" t="n">
        <v>10</v>
      </c>
      <c r="BB382" t="n">
        <v>10</v>
      </c>
      <c r="BC382" t="n">
        <v>6800</v>
      </c>
      <c r="BD382" t="inlineStr">
        <is>
          <t>No</t>
        </is>
      </c>
      <c r="BF382" t="inlineStr">
        <is>
          <t>Bengal Tiger Line -BTL</t>
        </is>
      </c>
      <c r="BG382" t="inlineStr">
        <is>
          <t>USSEA</t>
        </is>
      </c>
      <c r="BH382" t="n">
        <v>0</v>
      </c>
      <c r="BI382" t="n">
        <v>1</v>
      </c>
      <c r="BJ382" t="n">
        <v>6800</v>
      </c>
      <c r="BK382" t="inlineStr">
        <is>
          <t>LINE</t>
        </is>
      </c>
      <c r="BL382" t="inlineStr">
        <is>
          <t>ORCA REEFER</t>
        </is>
      </c>
      <c r="BM382" t="inlineStr">
        <is>
          <t>ORCA REEFER</t>
        </is>
      </c>
    </row>
    <row r="383">
      <c r="A383" t="n">
        <v>382</v>
      </c>
      <c r="B383" t="inlineStr">
        <is>
          <t>WHALE REEFER</t>
        </is>
      </c>
      <c r="C383" t="inlineStr">
        <is>
          <t>REF000000</t>
        </is>
      </c>
      <c r="D383" t="inlineStr">
        <is>
          <t>REF000000</t>
        </is>
      </c>
      <c r="E383" t="inlineStr">
        <is>
          <t>06-FEB-2026</t>
        </is>
      </c>
      <c r="F383" t="inlineStr">
        <is>
          <t>WHALE REEFER</t>
        </is>
      </c>
      <c r="G383" t="inlineStr">
        <is>
          <t>ENTERED THROUGH SPLIT BOOKING FROM THE BOOKING ID REF000000, BY AR_MARTIMA, ON 2/6/2026 10:02:14 PM</t>
        </is>
      </c>
      <c r="H383" t="inlineStr">
        <is>
          <t>AR_MARTIMA</t>
        </is>
      </c>
      <c r="J383" t="inlineStr">
        <is>
          <t>18-FEB-2026</t>
        </is>
      </c>
      <c r="K383" t="inlineStr">
        <is>
          <t>16-FEB-2026</t>
        </is>
      </c>
      <c r="L383" t="inlineStr">
        <is>
          <t>17-FEB-2026</t>
        </is>
      </c>
      <c r="M383" t="inlineStr">
        <is>
          <t>REF000000</t>
        </is>
      </c>
      <c r="N383" t="inlineStr">
        <is>
          <t>USSEA</t>
        </is>
      </c>
      <c r="O383" t="inlineStr">
        <is>
          <t>USSEA</t>
        </is>
      </c>
      <c r="P383" t="inlineStr">
        <is>
          <t>USNFK</t>
        </is>
      </c>
      <c r="U383" t="inlineStr">
        <is>
          <t>RULED</t>
        </is>
      </c>
      <c r="V383" t="inlineStr">
        <is>
          <t>RULED</t>
        </is>
      </c>
      <c r="W383" t="inlineStr">
        <is>
          <t>CANADA</t>
        </is>
      </c>
      <c r="X383" t="inlineStr">
        <is>
          <t>PERSIAN GULF</t>
        </is>
      </c>
      <c r="Y383" t="inlineStr">
        <is>
          <t>RUSSIA</t>
        </is>
      </c>
      <c r="Z383" t="inlineStr">
        <is>
          <t>External Review</t>
        </is>
      </c>
      <c r="AA383" t="inlineStr">
        <is>
          <t>HUB SHIPPING LLC-LED</t>
        </is>
      </c>
      <c r="AB383" t="inlineStr">
        <is>
          <t>Prepaid</t>
        </is>
      </c>
      <c r="AC383" t="inlineStr">
        <is>
          <t>TIGER PLATA/968N</t>
        </is>
      </c>
      <c r="AD383" t="inlineStr">
        <is>
          <t>LI DA XING / VOYAGE 1</t>
        </is>
      </c>
      <c r="AE383" t="inlineStr">
        <is>
          <t>LADEN BOOKING</t>
        </is>
      </c>
      <c r="AF383" t="inlineStr">
        <is>
          <t>AR_MARTIMA</t>
        </is>
      </c>
      <c r="AG383" t="inlineStr">
        <is>
          <t>RH40</t>
        </is>
      </c>
      <c r="AI383" t="n">
        <v>40</v>
      </c>
      <c r="AJ383" t="n">
        <v>0</v>
      </c>
      <c r="AK383" t="n">
        <v>1</v>
      </c>
      <c r="AL383" t="inlineStr">
        <is>
          <t>ANON0000000</t>
        </is>
      </c>
      <c r="AM383" t="n">
        <v>-18</v>
      </c>
      <c r="AP383" t="inlineStr">
        <is>
          <t>Non Haz</t>
        </is>
      </c>
      <c r="AQ383" t="inlineStr">
        <is>
          <t>CY/CY</t>
        </is>
      </c>
      <c r="AT383" t="inlineStr">
        <is>
          <t>REF000000</t>
        </is>
      </c>
      <c r="AU383" t="n">
        <v>29000</v>
      </c>
      <c r="AV383" t="inlineStr">
        <is>
          <t>FROZEN MEAT</t>
        </is>
      </c>
      <c r="AW383" t="inlineStr">
        <is>
          <t>NCM 020622</t>
        </is>
      </c>
      <c r="AX383" t="inlineStr">
        <is>
          <t>RSAMI122500031</t>
        </is>
      </c>
      <c r="AZ383" t="n">
        <v>0</v>
      </c>
      <c r="BA383" t="n">
        <v>10</v>
      </c>
      <c r="BB383" t="n">
        <v>10</v>
      </c>
      <c r="BC383" t="n">
        <v>6800</v>
      </c>
      <c r="BD383" t="inlineStr">
        <is>
          <t>No</t>
        </is>
      </c>
      <c r="BF383" t="inlineStr">
        <is>
          <t>Bengal Tiger Line -BTL</t>
        </is>
      </c>
      <c r="BG383" t="inlineStr">
        <is>
          <t>USSEA</t>
        </is>
      </c>
      <c r="BH383" t="n">
        <v>0</v>
      </c>
      <c r="BI383" t="n">
        <v>1</v>
      </c>
      <c r="BJ383" t="n">
        <v>6800</v>
      </c>
      <c r="BK383" t="inlineStr">
        <is>
          <t>LINE</t>
        </is>
      </c>
      <c r="BL383" t="inlineStr">
        <is>
          <t>WHALE REEFER</t>
        </is>
      </c>
      <c r="BM383" t="inlineStr">
        <is>
          <t>WHALE REEFER</t>
        </is>
      </c>
    </row>
    <row r="384">
      <c r="A384" t="n">
        <v>383</v>
      </c>
      <c r="B384" t="inlineStr">
        <is>
          <t>SEAL REEFER</t>
        </is>
      </c>
      <c r="C384" t="inlineStr">
        <is>
          <t>REF000000</t>
        </is>
      </c>
      <c r="D384" t="inlineStr">
        <is>
          <t>REF000000</t>
        </is>
      </c>
      <c r="E384" t="inlineStr">
        <is>
          <t>06-FEB-2026</t>
        </is>
      </c>
      <c r="F384" t="inlineStr">
        <is>
          <t>SEAL REEFER</t>
        </is>
      </c>
      <c r="G384" t="inlineStr">
        <is>
          <t>ENTERED THROUGH SPLIT BOOKING FROM THE BOOKING ID REF000000, BY AR_MARTIMA, ON 2/6/2026 10:02:14 PM</t>
        </is>
      </c>
      <c r="H384" t="inlineStr">
        <is>
          <t>AR_MARTIMA</t>
        </is>
      </c>
      <c r="J384" t="inlineStr">
        <is>
          <t>18-FEB-2026</t>
        </is>
      </c>
      <c r="K384" t="inlineStr">
        <is>
          <t>16-FEB-2026</t>
        </is>
      </c>
      <c r="L384" t="inlineStr">
        <is>
          <t>17-FEB-2026</t>
        </is>
      </c>
      <c r="M384" t="inlineStr">
        <is>
          <t>REF000000</t>
        </is>
      </c>
      <c r="N384" t="inlineStr">
        <is>
          <t>USSEA</t>
        </is>
      </c>
      <c r="O384" t="inlineStr">
        <is>
          <t>USSEA</t>
        </is>
      </c>
      <c r="P384" t="inlineStr">
        <is>
          <t>USNFK</t>
        </is>
      </c>
      <c r="U384" t="inlineStr">
        <is>
          <t>RULED</t>
        </is>
      </c>
      <c r="V384" t="inlineStr">
        <is>
          <t>RULED</t>
        </is>
      </c>
      <c r="W384" t="inlineStr">
        <is>
          <t>CANADA</t>
        </is>
      </c>
      <c r="X384" t="inlineStr">
        <is>
          <t>PERSIAN GULF</t>
        </is>
      </c>
      <c r="Y384" t="inlineStr">
        <is>
          <t>RUSSIA</t>
        </is>
      </c>
      <c r="Z384" t="inlineStr">
        <is>
          <t>External Review</t>
        </is>
      </c>
      <c r="AA384" t="inlineStr">
        <is>
          <t>HUB SHIPPING LLC-LED</t>
        </is>
      </c>
      <c r="AB384" t="inlineStr">
        <is>
          <t>Prepaid</t>
        </is>
      </c>
      <c r="AC384" t="inlineStr">
        <is>
          <t>TIGER PLATA/968N</t>
        </is>
      </c>
      <c r="AD384" t="inlineStr">
        <is>
          <t>LI DA XING / VOYAGE 1</t>
        </is>
      </c>
      <c r="AE384" t="inlineStr">
        <is>
          <t>LADEN BOOKING</t>
        </is>
      </c>
      <c r="AF384" t="inlineStr">
        <is>
          <t>AR_MARTIMA</t>
        </is>
      </c>
      <c r="AG384" t="inlineStr">
        <is>
          <t>RH40</t>
        </is>
      </c>
      <c r="AI384" t="n">
        <v>40</v>
      </c>
      <c r="AJ384" t="n">
        <v>0</v>
      </c>
      <c r="AK384" t="n">
        <v>1</v>
      </c>
      <c r="AL384" t="inlineStr">
        <is>
          <t>ANON0000000</t>
        </is>
      </c>
      <c r="AM384" t="n">
        <v>-18</v>
      </c>
      <c r="AP384" t="inlineStr">
        <is>
          <t>Non Haz</t>
        </is>
      </c>
      <c r="AQ384" t="inlineStr">
        <is>
          <t>CY/CY</t>
        </is>
      </c>
      <c r="AT384" t="inlineStr">
        <is>
          <t>REF000000</t>
        </is>
      </c>
      <c r="AU384" t="n">
        <v>29000</v>
      </c>
      <c r="AV384" t="inlineStr">
        <is>
          <t>FROZEN MEAT</t>
        </is>
      </c>
      <c r="AW384" t="inlineStr">
        <is>
          <t>NCM 020622</t>
        </is>
      </c>
      <c r="AX384" t="inlineStr">
        <is>
          <t>RSAMI122500031</t>
        </is>
      </c>
      <c r="AZ384" t="n">
        <v>0</v>
      </c>
      <c r="BA384" t="n">
        <v>10</v>
      </c>
      <c r="BB384" t="n">
        <v>10</v>
      </c>
      <c r="BC384" t="n">
        <v>6800</v>
      </c>
      <c r="BD384" t="inlineStr">
        <is>
          <t>No</t>
        </is>
      </c>
      <c r="BF384" t="inlineStr">
        <is>
          <t>Bengal Tiger Line -BTL</t>
        </is>
      </c>
      <c r="BG384" t="inlineStr">
        <is>
          <t>USSEA</t>
        </is>
      </c>
      <c r="BH384" t="n">
        <v>0</v>
      </c>
      <c r="BI384" t="n">
        <v>1</v>
      </c>
      <c r="BJ384" t="n">
        <v>6800</v>
      </c>
      <c r="BK384" t="inlineStr">
        <is>
          <t>LINE</t>
        </is>
      </c>
      <c r="BL384" t="inlineStr">
        <is>
          <t>SEAL REEFER</t>
        </is>
      </c>
      <c r="BM384" t="inlineStr">
        <is>
          <t>SEAL REEFER</t>
        </is>
      </c>
    </row>
    <row r="385">
      <c r="A385" t="n">
        <v>384</v>
      </c>
      <c r="B385" t="inlineStr">
        <is>
          <t>SHARK REEFER</t>
        </is>
      </c>
      <c r="C385" t="inlineStr">
        <is>
          <t>REF000000</t>
        </is>
      </c>
      <c r="D385" t="inlineStr">
        <is>
          <t>REF000000</t>
        </is>
      </c>
      <c r="E385" t="inlineStr">
        <is>
          <t>06-FEB-2026</t>
        </is>
      </c>
      <c r="F385" t="inlineStr">
        <is>
          <t>SHARK REEFER</t>
        </is>
      </c>
      <c r="G385" t="inlineStr">
        <is>
          <t>ENTERED THROUGH SPLIT BOOKING FROM THE BOOKING ID REF000000, BY AR_MARTIMA, ON 2/6/2026 10:02:15 PM</t>
        </is>
      </c>
      <c r="H385" t="inlineStr">
        <is>
          <t>AR_MARTIMA</t>
        </is>
      </c>
      <c r="J385" t="inlineStr">
        <is>
          <t>18-FEB-2026</t>
        </is>
      </c>
      <c r="K385" t="inlineStr">
        <is>
          <t>16-FEB-2026</t>
        </is>
      </c>
      <c r="L385" t="inlineStr">
        <is>
          <t>17-FEB-2026</t>
        </is>
      </c>
      <c r="M385" t="inlineStr">
        <is>
          <t>REF000000</t>
        </is>
      </c>
      <c r="N385" t="inlineStr">
        <is>
          <t>USSEA</t>
        </is>
      </c>
      <c r="O385" t="inlineStr">
        <is>
          <t>USSEA</t>
        </is>
      </c>
      <c r="P385" t="inlineStr">
        <is>
          <t>USNFK</t>
        </is>
      </c>
      <c r="U385" t="inlineStr">
        <is>
          <t>RULED</t>
        </is>
      </c>
      <c r="V385" t="inlineStr">
        <is>
          <t>RULED</t>
        </is>
      </c>
      <c r="W385" t="inlineStr">
        <is>
          <t>CANADA</t>
        </is>
      </c>
      <c r="X385" t="inlineStr">
        <is>
          <t>PERSIAN GULF</t>
        </is>
      </c>
      <c r="Y385" t="inlineStr">
        <is>
          <t>RUSSIA</t>
        </is>
      </c>
      <c r="Z385" t="inlineStr">
        <is>
          <t>External Review</t>
        </is>
      </c>
      <c r="AA385" t="inlineStr">
        <is>
          <t>HUB SHIPPING LLC-LED</t>
        </is>
      </c>
      <c r="AB385" t="inlineStr">
        <is>
          <t>Prepaid</t>
        </is>
      </c>
      <c r="AC385" t="inlineStr">
        <is>
          <t>TIGER PLATA/968N</t>
        </is>
      </c>
      <c r="AD385" t="inlineStr">
        <is>
          <t>LI DA XING / VOYAGE 1</t>
        </is>
      </c>
      <c r="AE385" t="inlineStr">
        <is>
          <t>LADEN BOOKING</t>
        </is>
      </c>
      <c r="AF385" t="inlineStr">
        <is>
          <t>AR_MARTIMA</t>
        </is>
      </c>
      <c r="AG385" t="inlineStr">
        <is>
          <t>RH40</t>
        </is>
      </c>
      <c r="AI385" t="n">
        <v>40</v>
      </c>
      <c r="AJ385" t="n">
        <v>0</v>
      </c>
      <c r="AK385" t="n">
        <v>1</v>
      </c>
      <c r="AL385" t="inlineStr">
        <is>
          <t>ANON0000000</t>
        </is>
      </c>
      <c r="AM385" t="n">
        <v>-18</v>
      </c>
      <c r="AP385" t="inlineStr">
        <is>
          <t>Non Haz</t>
        </is>
      </c>
      <c r="AQ385" t="inlineStr">
        <is>
          <t>CY/CY</t>
        </is>
      </c>
      <c r="AT385" t="inlineStr">
        <is>
          <t>REF000000</t>
        </is>
      </c>
      <c r="AU385" t="n">
        <v>29000</v>
      </c>
      <c r="AV385" t="inlineStr">
        <is>
          <t>FROZEN MEAT</t>
        </is>
      </c>
      <c r="AW385" t="inlineStr">
        <is>
          <t>NCM 020629</t>
        </is>
      </c>
      <c r="AX385" t="inlineStr">
        <is>
          <t>RSAMI122500031</t>
        </is>
      </c>
      <c r="AZ385" t="n">
        <v>0</v>
      </c>
      <c r="BA385" t="n">
        <v>10</v>
      </c>
      <c r="BB385" t="n">
        <v>10</v>
      </c>
      <c r="BC385" t="n">
        <v>6800</v>
      </c>
      <c r="BD385" t="inlineStr">
        <is>
          <t>No</t>
        </is>
      </c>
      <c r="BF385" t="inlineStr">
        <is>
          <t>Bengal Tiger Line -BTL</t>
        </is>
      </c>
      <c r="BG385" t="inlineStr">
        <is>
          <t>USSEA</t>
        </is>
      </c>
      <c r="BH385" t="n">
        <v>0</v>
      </c>
      <c r="BI385" t="n">
        <v>1</v>
      </c>
      <c r="BJ385" t="n">
        <v>6800</v>
      </c>
      <c r="BK385" t="inlineStr">
        <is>
          <t>LINE</t>
        </is>
      </c>
      <c r="BL385" t="inlineStr">
        <is>
          <t>SHARK REEFER</t>
        </is>
      </c>
      <c r="BM385" t="inlineStr">
        <is>
          <t>SHARK REEFER</t>
        </is>
      </c>
    </row>
    <row r="386">
      <c r="A386" t="n">
        <v>385</v>
      </c>
      <c r="B386" t="inlineStr">
        <is>
          <t>DOLPHIN REEFER</t>
        </is>
      </c>
      <c r="C386" t="inlineStr">
        <is>
          <t>REF000000</t>
        </is>
      </c>
      <c r="D386" t="inlineStr">
        <is>
          <t>REF000000</t>
        </is>
      </c>
      <c r="E386" t="inlineStr">
        <is>
          <t>06-FEB-2026</t>
        </is>
      </c>
      <c r="F386" t="inlineStr">
        <is>
          <t>DOLPHIN REEFER</t>
        </is>
      </c>
      <c r="G386" t="inlineStr">
        <is>
          <t>ENTERED THROUGH SPLIT BOOKING FROM THE BOOKING ID REF000000, BY AR_MARTIMA, ON 2/6/2026 10:02:15 PM</t>
        </is>
      </c>
      <c r="H386" t="inlineStr">
        <is>
          <t>AR_MARTIMA</t>
        </is>
      </c>
      <c r="J386" t="inlineStr">
        <is>
          <t>18-FEB-2026</t>
        </is>
      </c>
      <c r="K386" t="inlineStr">
        <is>
          <t>16-FEB-2026</t>
        </is>
      </c>
      <c r="L386" t="inlineStr">
        <is>
          <t>17-FEB-2026</t>
        </is>
      </c>
      <c r="M386" t="inlineStr">
        <is>
          <t>REF000000</t>
        </is>
      </c>
      <c r="N386" t="inlineStr">
        <is>
          <t>USSEA</t>
        </is>
      </c>
      <c r="O386" t="inlineStr">
        <is>
          <t>USSEA</t>
        </is>
      </c>
      <c r="P386" t="inlineStr">
        <is>
          <t>USNFK</t>
        </is>
      </c>
      <c r="U386" t="inlineStr">
        <is>
          <t>RULED</t>
        </is>
      </c>
      <c r="V386" t="inlineStr">
        <is>
          <t>RULED</t>
        </is>
      </c>
      <c r="W386" t="inlineStr">
        <is>
          <t>CANADA</t>
        </is>
      </c>
      <c r="X386" t="inlineStr">
        <is>
          <t>PERSIAN GULF</t>
        </is>
      </c>
      <c r="Y386" t="inlineStr">
        <is>
          <t>RUSSIA</t>
        </is>
      </c>
      <c r="Z386" t="inlineStr">
        <is>
          <t>External Review</t>
        </is>
      </c>
      <c r="AA386" t="inlineStr">
        <is>
          <t>HUB SHIPPING LLC-LED</t>
        </is>
      </c>
      <c r="AB386" t="inlineStr">
        <is>
          <t>Prepaid</t>
        </is>
      </c>
      <c r="AC386" t="inlineStr">
        <is>
          <t>TIGER PLATA/968N</t>
        </is>
      </c>
      <c r="AD386" t="inlineStr">
        <is>
          <t>LI DA XING / VOYAGE 1</t>
        </is>
      </c>
      <c r="AE386" t="inlineStr">
        <is>
          <t>LADEN BOOKING</t>
        </is>
      </c>
      <c r="AF386" t="inlineStr">
        <is>
          <t>AR_MARTIMA</t>
        </is>
      </c>
      <c r="AG386" t="inlineStr">
        <is>
          <t>RH40</t>
        </is>
      </c>
      <c r="AI386" t="n">
        <v>40</v>
      </c>
      <c r="AJ386" t="n">
        <v>0</v>
      </c>
      <c r="AK386" t="n">
        <v>1</v>
      </c>
      <c r="AL386" t="inlineStr">
        <is>
          <t>ANON0000000</t>
        </is>
      </c>
      <c r="AM386" t="n">
        <v>-18</v>
      </c>
      <c r="AP386" t="inlineStr">
        <is>
          <t>Non Haz</t>
        </is>
      </c>
      <c r="AQ386" t="inlineStr">
        <is>
          <t>CY/CY</t>
        </is>
      </c>
      <c r="AT386" t="inlineStr">
        <is>
          <t>REF000000</t>
        </is>
      </c>
      <c r="AU386" t="n">
        <v>29000</v>
      </c>
      <c r="AV386" t="inlineStr">
        <is>
          <t>FROZEN MEAT</t>
        </is>
      </c>
      <c r="AW386" t="inlineStr">
        <is>
          <t>NCM 020629</t>
        </is>
      </c>
      <c r="AX386" t="inlineStr">
        <is>
          <t>RSAMI122500031</t>
        </is>
      </c>
      <c r="AZ386" t="n">
        <v>0</v>
      </c>
      <c r="BA386" t="n">
        <v>10</v>
      </c>
      <c r="BB386" t="n">
        <v>10</v>
      </c>
      <c r="BC386" t="n">
        <v>6800</v>
      </c>
      <c r="BD386" t="inlineStr">
        <is>
          <t>No</t>
        </is>
      </c>
      <c r="BF386" t="inlineStr">
        <is>
          <t>Bengal Tiger Line -BTL</t>
        </is>
      </c>
      <c r="BG386" t="inlineStr">
        <is>
          <t>USSEA</t>
        </is>
      </c>
      <c r="BH386" t="n">
        <v>0</v>
      </c>
      <c r="BI386" t="n">
        <v>1</v>
      </c>
      <c r="BJ386" t="n">
        <v>6800</v>
      </c>
      <c r="BK386" t="inlineStr">
        <is>
          <t>LINE</t>
        </is>
      </c>
      <c r="BL386" t="inlineStr">
        <is>
          <t>DOLPHIN REEFER</t>
        </is>
      </c>
      <c r="BM386" t="inlineStr">
        <is>
          <t>DOLPHIN REEFER</t>
        </is>
      </c>
    </row>
    <row r="387">
      <c r="A387" t="n">
        <v>386</v>
      </c>
      <c r="B387" t="inlineStr">
        <is>
          <t>MARLIN REEFER</t>
        </is>
      </c>
      <c r="C387" t="inlineStr">
        <is>
          <t>REF000000</t>
        </is>
      </c>
      <c r="D387" t="inlineStr">
        <is>
          <t>REF000000</t>
        </is>
      </c>
      <c r="E387" t="inlineStr">
        <is>
          <t>10-FEB-2026</t>
        </is>
      </c>
      <c r="F387" t="inlineStr">
        <is>
          <t>MARLIN REEFER</t>
        </is>
      </c>
      <c r="G387" t="inlineStr">
        <is>
          <t>1X40RH TEMP -18</t>
        </is>
      </c>
      <c r="H387" t="inlineStr">
        <is>
          <t>AR_MARTIMA</t>
        </is>
      </c>
      <c r="J387" t="inlineStr">
        <is>
          <t>18-FEB-2026</t>
        </is>
      </c>
      <c r="K387" t="inlineStr">
        <is>
          <t>16-FEB-2026</t>
        </is>
      </c>
      <c r="L387" t="inlineStr">
        <is>
          <t>17-FEB-2026</t>
        </is>
      </c>
      <c r="M387" t="inlineStr">
        <is>
          <t>REF000000</t>
        </is>
      </c>
      <c r="N387" t="inlineStr">
        <is>
          <t>USSEA</t>
        </is>
      </c>
      <c r="O387" t="inlineStr">
        <is>
          <t>USSEA</t>
        </is>
      </c>
      <c r="P387" t="inlineStr">
        <is>
          <t>USNFK</t>
        </is>
      </c>
      <c r="U387" t="inlineStr">
        <is>
          <t>RULED</t>
        </is>
      </c>
      <c r="V387" t="inlineStr">
        <is>
          <t>RULED</t>
        </is>
      </c>
      <c r="W387" t="inlineStr">
        <is>
          <t>CANADA</t>
        </is>
      </c>
      <c r="X387" t="inlineStr">
        <is>
          <t>PERSIAN GULF</t>
        </is>
      </c>
      <c r="Y387" t="inlineStr">
        <is>
          <t>RUSSIA</t>
        </is>
      </c>
      <c r="Z387" t="inlineStr">
        <is>
          <t>External Review</t>
        </is>
      </c>
      <c r="AA387" t="inlineStr">
        <is>
          <t>HUB SHIPPING LLC-LED</t>
        </is>
      </c>
      <c r="AB387" t="inlineStr">
        <is>
          <t>Prepaid</t>
        </is>
      </c>
      <c r="AC387" t="inlineStr">
        <is>
          <t>TIGER PLATA/968N</t>
        </is>
      </c>
      <c r="AD387" t="inlineStr">
        <is>
          <t>LI DA XING / VOYAGE 1</t>
        </is>
      </c>
      <c r="AE387" t="inlineStr">
        <is>
          <t>LADEN BOOKING</t>
        </is>
      </c>
      <c r="AF387" t="inlineStr">
        <is>
          <t>AR_MARTIMA</t>
        </is>
      </c>
      <c r="AG387" t="inlineStr">
        <is>
          <t>RH40</t>
        </is>
      </c>
      <c r="AH387" t="inlineStr">
        <is>
          <t>NO</t>
        </is>
      </c>
      <c r="AI387" t="n">
        <v>40</v>
      </c>
      <c r="AJ387" t="n">
        <v>0</v>
      </c>
      <c r="AK387" t="n">
        <v>1</v>
      </c>
      <c r="AL387" t="inlineStr">
        <is>
          <t>ANON0000000</t>
        </is>
      </c>
      <c r="AM387" t="n">
        <v>-18</v>
      </c>
      <c r="AP387" t="inlineStr">
        <is>
          <t>Non Haz</t>
        </is>
      </c>
      <c r="AQ387" t="inlineStr">
        <is>
          <t>CY/CY</t>
        </is>
      </c>
      <c r="AT387" t="inlineStr">
        <is>
          <t>REF000000</t>
        </is>
      </c>
      <c r="AU387" t="n">
        <v>29000</v>
      </c>
      <c r="AV387" t="inlineStr">
        <is>
          <t>FROZEN BONELESS BUFFALO MEAT</t>
        </is>
      </c>
      <c r="AW387" t="inlineStr">
        <is>
          <t>N.C.M.: 0206.21</t>
        </is>
      </c>
      <c r="AX387" t="inlineStr">
        <is>
          <t>RSAMI122500027</t>
        </is>
      </c>
      <c r="AZ387" t="n">
        <v>0</v>
      </c>
      <c r="BA387" t="n">
        <v>10</v>
      </c>
      <c r="BB387" t="n">
        <v>10</v>
      </c>
      <c r="BC387" t="n">
        <v>7300</v>
      </c>
      <c r="BD387" t="inlineStr">
        <is>
          <t>No</t>
        </is>
      </c>
      <c r="BF387" t="inlineStr">
        <is>
          <t>Bengal Tiger Line -BTL</t>
        </is>
      </c>
      <c r="BG387" t="inlineStr">
        <is>
          <t>USSEA</t>
        </is>
      </c>
      <c r="BH387" t="n">
        <v>0</v>
      </c>
      <c r="BI387" t="n">
        <v>1</v>
      </c>
      <c r="BJ387" t="n">
        <v>7300</v>
      </c>
      <c r="BK387" t="inlineStr">
        <is>
          <t>LINE</t>
        </is>
      </c>
      <c r="BL387" t="inlineStr">
        <is>
          <t>MARLIN REEFER</t>
        </is>
      </c>
      <c r="BM387" t="inlineStr">
        <is>
          <t>MARLIN REEFER</t>
        </is>
      </c>
    </row>
    <row r="388">
      <c r="A388" t="n">
        <v>387</v>
      </c>
      <c r="B388" t="inlineStr">
        <is>
          <t>TURTLE REEFER</t>
        </is>
      </c>
      <c r="C388" t="inlineStr">
        <is>
          <t>REF000000</t>
        </is>
      </c>
      <c r="D388" t="inlineStr">
        <is>
          <t>REF000000</t>
        </is>
      </c>
      <c r="E388" t="inlineStr">
        <is>
          <t>10-FEB-2026</t>
        </is>
      </c>
      <c r="F388" t="inlineStr">
        <is>
          <t>TURTLE REEFER</t>
        </is>
      </c>
      <c r="G388" t="inlineStr">
        <is>
          <t>ENTERED THROUGH SPLIT BOOKING FROM THE BOOKING ID REF000000, BY AR_MARTIMA, ON 2/10/2026 6:44:22 PM</t>
        </is>
      </c>
      <c r="H388" t="inlineStr">
        <is>
          <t>AR_MARTIMA</t>
        </is>
      </c>
      <c r="J388" t="inlineStr">
        <is>
          <t>18-FEB-2026</t>
        </is>
      </c>
      <c r="K388" t="inlineStr">
        <is>
          <t>16-FEB-2026</t>
        </is>
      </c>
      <c r="L388" t="inlineStr">
        <is>
          <t>17-FEB-2026</t>
        </is>
      </c>
      <c r="M388" t="inlineStr">
        <is>
          <t>REF000000</t>
        </is>
      </c>
      <c r="N388" t="inlineStr">
        <is>
          <t>USSEA</t>
        </is>
      </c>
      <c r="O388" t="inlineStr">
        <is>
          <t>USSEA</t>
        </is>
      </c>
      <c r="P388" t="inlineStr">
        <is>
          <t>USNFK</t>
        </is>
      </c>
      <c r="U388" t="inlineStr">
        <is>
          <t>RULED</t>
        </is>
      </c>
      <c r="V388" t="inlineStr">
        <is>
          <t>RULED</t>
        </is>
      </c>
      <c r="W388" t="inlineStr">
        <is>
          <t>CANADA</t>
        </is>
      </c>
      <c r="X388" t="inlineStr">
        <is>
          <t>PERSIAN GULF</t>
        </is>
      </c>
      <c r="Y388" t="inlineStr">
        <is>
          <t>RUSSIA</t>
        </is>
      </c>
      <c r="Z388" t="inlineStr">
        <is>
          <t>External Review</t>
        </is>
      </c>
      <c r="AA388" t="inlineStr">
        <is>
          <t>HUB SHIPPING LLC-LED</t>
        </is>
      </c>
      <c r="AB388" t="inlineStr">
        <is>
          <t>Prepaid</t>
        </is>
      </c>
      <c r="AC388" t="inlineStr">
        <is>
          <t>TIGER PLATA/968N</t>
        </is>
      </c>
      <c r="AD388" t="inlineStr">
        <is>
          <t>LI DA XING / VOYAGE 1</t>
        </is>
      </c>
      <c r="AE388" t="inlineStr">
        <is>
          <t>LADEN BOOKING</t>
        </is>
      </c>
      <c r="AF388" t="inlineStr">
        <is>
          <t>AR_MARTIMA</t>
        </is>
      </c>
      <c r="AG388" t="inlineStr">
        <is>
          <t>RH40</t>
        </is>
      </c>
      <c r="AI388" t="n">
        <v>40</v>
      </c>
      <c r="AJ388" t="n">
        <v>0</v>
      </c>
      <c r="AK388" t="n">
        <v>1</v>
      </c>
      <c r="AL388" t="inlineStr">
        <is>
          <t>ANON0000000</t>
        </is>
      </c>
      <c r="AM388" t="n">
        <v>-18</v>
      </c>
      <c r="AP388" t="inlineStr">
        <is>
          <t>Non Haz</t>
        </is>
      </c>
      <c r="AQ388" t="inlineStr">
        <is>
          <t>CY/CY</t>
        </is>
      </c>
      <c r="AT388" t="inlineStr">
        <is>
          <t>REF000000</t>
        </is>
      </c>
      <c r="AU388" t="n">
        <v>29000</v>
      </c>
      <c r="AV388" t="inlineStr">
        <is>
          <t>FROZEN BONELESS BUFFALO MEAT</t>
        </is>
      </c>
      <c r="AW388" t="inlineStr">
        <is>
          <t>N.C.M.: 0206.29</t>
        </is>
      </c>
      <c r="AX388" t="inlineStr">
        <is>
          <t>RSAMI122500027</t>
        </is>
      </c>
      <c r="AZ388" t="n">
        <v>0</v>
      </c>
      <c r="BA388" t="n">
        <v>10</v>
      </c>
      <c r="BB388" t="n">
        <v>10</v>
      </c>
      <c r="BC388" t="n">
        <v>7300</v>
      </c>
      <c r="BD388" t="inlineStr">
        <is>
          <t>No</t>
        </is>
      </c>
      <c r="BF388" t="inlineStr">
        <is>
          <t>Bengal Tiger Line -BTL</t>
        </is>
      </c>
      <c r="BG388" t="inlineStr">
        <is>
          <t>USSEA</t>
        </is>
      </c>
      <c r="BH388" t="n">
        <v>0</v>
      </c>
      <c r="BI388" t="n">
        <v>1</v>
      </c>
      <c r="BJ388" t="n">
        <v>7300</v>
      </c>
      <c r="BK388" t="inlineStr">
        <is>
          <t>LINE</t>
        </is>
      </c>
      <c r="BL388" t="inlineStr">
        <is>
          <t>TURTLE REEFER</t>
        </is>
      </c>
      <c r="BM388" t="inlineStr">
        <is>
          <t>TURTLE REEFER</t>
        </is>
      </c>
    </row>
    <row r="389">
      <c r="A389" t="n">
        <v>388</v>
      </c>
      <c r="B389" t="inlineStr">
        <is>
          <t>ORCA REEFER</t>
        </is>
      </c>
      <c r="C389" t="inlineStr">
        <is>
          <t>REF000000</t>
        </is>
      </c>
      <c r="D389" t="inlineStr">
        <is>
          <t>REF000000</t>
        </is>
      </c>
      <c r="E389" t="inlineStr">
        <is>
          <t>10-FEB-2026</t>
        </is>
      </c>
      <c r="F389" t="inlineStr">
        <is>
          <t>ORCA REEFER</t>
        </is>
      </c>
      <c r="G389" t="inlineStr">
        <is>
          <t>ENTERED THROUGH SPLIT BOOKING FROM THE BOOKING ID REF000000, BY AR_MARTIMA, ON 2/10/2026 6:44:22 PM</t>
        </is>
      </c>
      <c r="H389" t="inlineStr">
        <is>
          <t>AR_MARTIMA</t>
        </is>
      </c>
      <c r="J389" t="inlineStr">
        <is>
          <t>23-FEB-2026</t>
        </is>
      </c>
      <c r="K389" t="inlineStr">
        <is>
          <t>22-FEB-2026</t>
        </is>
      </c>
      <c r="L389" t="inlineStr">
        <is>
          <t>23-FEB-2026</t>
        </is>
      </c>
      <c r="M389" t="inlineStr">
        <is>
          <t>REF000000</t>
        </is>
      </c>
      <c r="N389" t="inlineStr">
        <is>
          <t>USSEA</t>
        </is>
      </c>
      <c r="O389" t="inlineStr">
        <is>
          <t>USSEA</t>
        </is>
      </c>
      <c r="P389" t="inlineStr">
        <is>
          <t>USNFK</t>
        </is>
      </c>
      <c r="U389" t="inlineStr">
        <is>
          <t>RULED</t>
        </is>
      </c>
      <c r="V389" t="inlineStr">
        <is>
          <t>RULED</t>
        </is>
      </c>
      <c r="W389" t="inlineStr">
        <is>
          <t>CANADA</t>
        </is>
      </c>
      <c r="X389" t="inlineStr">
        <is>
          <t>PERSIAN GULF</t>
        </is>
      </c>
      <c r="Y389" t="inlineStr">
        <is>
          <t>RUSSIA</t>
        </is>
      </c>
      <c r="Z389" t="inlineStr">
        <is>
          <t>External Review</t>
        </is>
      </c>
      <c r="AA389" t="inlineStr">
        <is>
          <t>HUB SHIPPING LLC-LED</t>
        </is>
      </c>
      <c r="AB389" t="inlineStr">
        <is>
          <t>Prepaid</t>
        </is>
      </c>
      <c r="AC389" t="inlineStr">
        <is>
          <t>TIGER PLATA/969N</t>
        </is>
      </c>
      <c r="AD389" t="inlineStr">
        <is>
          <t>LI DA XING / VOYAGE 1</t>
        </is>
      </c>
      <c r="AE389" t="inlineStr">
        <is>
          <t>LADEN BOOKING</t>
        </is>
      </c>
      <c r="AF389" t="inlineStr">
        <is>
          <t>AR_MARTIMA</t>
        </is>
      </c>
      <c r="AG389" t="inlineStr">
        <is>
          <t>RH40</t>
        </is>
      </c>
      <c r="AH389" t="inlineStr">
        <is>
          <t>NO</t>
        </is>
      </c>
      <c r="AI389" t="n">
        <v>40</v>
      </c>
      <c r="AJ389" t="n">
        <v>0</v>
      </c>
      <c r="AK389" t="n">
        <v>1</v>
      </c>
      <c r="AL389" t="inlineStr">
        <is>
          <t>ANON0000000</t>
        </is>
      </c>
      <c r="AM389" t="n">
        <v>-18</v>
      </c>
      <c r="AP389" t="inlineStr">
        <is>
          <t>Non Haz</t>
        </is>
      </c>
      <c r="AQ389" t="inlineStr">
        <is>
          <t>CY/CY</t>
        </is>
      </c>
      <c r="AT389" t="inlineStr">
        <is>
          <t>REF000000</t>
        </is>
      </c>
      <c r="AU389" t="n">
        <v>29000</v>
      </c>
      <c r="AV389" t="inlineStr">
        <is>
          <t>FROZEN BONELESS BUFFALO MEAT</t>
        </is>
      </c>
      <c r="AW389" t="inlineStr">
        <is>
          <t>N.C.M.: 0206.22</t>
        </is>
      </c>
      <c r="AX389" t="inlineStr">
        <is>
          <t>RSAMI122500027</t>
        </is>
      </c>
      <c r="AZ389" t="n">
        <v>0</v>
      </c>
      <c r="BA389" t="n">
        <v>10</v>
      </c>
      <c r="BB389" t="n">
        <v>10</v>
      </c>
      <c r="BC389" t="n">
        <v>7300</v>
      </c>
      <c r="BD389" t="inlineStr">
        <is>
          <t>No</t>
        </is>
      </c>
      <c r="BF389" t="inlineStr">
        <is>
          <t>Bengal Tiger Line -BTL</t>
        </is>
      </c>
      <c r="BG389" t="inlineStr">
        <is>
          <t>USSEA</t>
        </is>
      </c>
      <c r="BH389" t="n">
        <v>0</v>
      </c>
      <c r="BI389" t="n">
        <v>1</v>
      </c>
      <c r="BJ389" t="n">
        <v>7300</v>
      </c>
      <c r="BK389" t="inlineStr">
        <is>
          <t>LINE</t>
        </is>
      </c>
      <c r="BL389" t="inlineStr">
        <is>
          <t>ORCA REEFER</t>
        </is>
      </c>
      <c r="BM389" t="inlineStr">
        <is>
          <t>ORCA REEFER</t>
        </is>
      </c>
    </row>
    <row r="390">
      <c r="A390" t="n">
        <v>389</v>
      </c>
      <c r="B390" t="inlineStr">
        <is>
          <t>WHALE REEFER</t>
        </is>
      </c>
      <c r="C390" t="inlineStr">
        <is>
          <t>REF000000</t>
        </is>
      </c>
      <c r="D390" t="inlineStr">
        <is>
          <t>REF000000</t>
        </is>
      </c>
      <c r="E390" t="inlineStr">
        <is>
          <t>10-FEB-2026</t>
        </is>
      </c>
      <c r="F390" t="inlineStr">
        <is>
          <t>WHALE REEFER</t>
        </is>
      </c>
      <c r="G390" t="inlineStr">
        <is>
          <t>1x40RH TEMP -18</t>
        </is>
      </c>
      <c r="H390" t="inlineStr">
        <is>
          <t>AR_MARTIMA</t>
        </is>
      </c>
      <c r="J390" t="inlineStr">
        <is>
          <t>18-FEB-2026</t>
        </is>
      </c>
      <c r="K390" t="inlineStr">
        <is>
          <t>16-FEB-2026</t>
        </is>
      </c>
      <c r="L390" t="inlineStr">
        <is>
          <t>17-FEB-2026</t>
        </is>
      </c>
      <c r="M390" t="inlineStr">
        <is>
          <t>REF000000</t>
        </is>
      </c>
      <c r="N390" t="inlineStr">
        <is>
          <t>USSEA</t>
        </is>
      </c>
      <c r="O390" t="inlineStr">
        <is>
          <t>USSEA</t>
        </is>
      </c>
      <c r="P390" t="inlineStr">
        <is>
          <t>USNFK</t>
        </is>
      </c>
      <c r="U390" t="inlineStr">
        <is>
          <t>RULED</t>
        </is>
      </c>
      <c r="V390" t="inlineStr">
        <is>
          <t>RULED</t>
        </is>
      </c>
      <c r="W390" t="inlineStr">
        <is>
          <t>CANADA</t>
        </is>
      </c>
      <c r="X390" t="inlineStr">
        <is>
          <t>PERSIAN GULF</t>
        </is>
      </c>
      <c r="Y390" t="inlineStr">
        <is>
          <t>RUSSIA</t>
        </is>
      </c>
      <c r="Z390" t="inlineStr">
        <is>
          <t>External Review</t>
        </is>
      </c>
      <c r="AA390" t="inlineStr">
        <is>
          <t>HUB SHIPPING LLC-LED</t>
        </is>
      </c>
      <c r="AB390" t="inlineStr">
        <is>
          <t>Prepaid</t>
        </is>
      </c>
      <c r="AC390" t="inlineStr">
        <is>
          <t>TIGER PLATA/968N</t>
        </is>
      </c>
      <c r="AD390" t="inlineStr">
        <is>
          <t>LI DA XING / VOYAGE 1</t>
        </is>
      </c>
      <c r="AE390" t="inlineStr">
        <is>
          <t>LADEN BOOKING</t>
        </is>
      </c>
      <c r="AF390" t="inlineStr">
        <is>
          <t>AR_MARTIMA</t>
        </is>
      </c>
      <c r="AG390" t="inlineStr">
        <is>
          <t>RH40</t>
        </is>
      </c>
      <c r="AH390" t="inlineStr">
        <is>
          <t>NO</t>
        </is>
      </c>
      <c r="AI390" t="n">
        <v>40</v>
      </c>
      <c r="AJ390" t="n">
        <v>0</v>
      </c>
      <c r="AK390" t="n">
        <v>1</v>
      </c>
      <c r="AL390" t="inlineStr">
        <is>
          <t>ANON0000000</t>
        </is>
      </c>
      <c r="AM390" t="n">
        <v>-18</v>
      </c>
      <c r="AP390" t="inlineStr">
        <is>
          <t>Non Haz</t>
        </is>
      </c>
      <c r="AQ390" t="inlineStr">
        <is>
          <t>CY/CY</t>
        </is>
      </c>
      <c r="AT390" t="inlineStr">
        <is>
          <t>REF000000</t>
        </is>
      </c>
      <c r="AU390" t="n">
        <v>29000</v>
      </c>
      <c r="AV390" t="inlineStr">
        <is>
          <t>FROZEN MEAT</t>
        </is>
      </c>
      <c r="AX390" t="inlineStr">
        <is>
          <t>RSAMI122500031</t>
        </is>
      </c>
      <c r="AZ390" t="n">
        <v>0</v>
      </c>
      <c r="BA390" t="n">
        <v>10</v>
      </c>
      <c r="BB390" t="n">
        <v>10</v>
      </c>
      <c r="BC390" t="n">
        <v>6800</v>
      </c>
      <c r="BD390" t="inlineStr">
        <is>
          <t>No</t>
        </is>
      </c>
      <c r="BF390" t="inlineStr">
        <is>
          <t>Bengal Tiger Line -BTL</t>
        </is>
      </c>
      <c r="BG390" t="inlineStr">
        <is>
          <t>USSEA</t>
        </is>
      </c>
      <c r="BH390" t="n">
        <v>0</v>
      </c>
      <c r="BI390" t="n">
        <v>1</v>
      </c>
      <c r="BJ390" t="n">
        <v>6800</v>
      </c>
      <c r="BK390" t="inlineStr">
        <is>
          <t>LINE</t>
        </is>
      </c>
      <c r="BL390" t="inlineStr">
        <is>
          <t>WHALE REEFER</t>
        </is>
      </c>
      <c r="BM390" t="inlineStr">
        <is>
          <t>WHALE REEFER</t>
        </is>
      </c>
    </row>
    <row r="391">
      <c r="A391" t="n">
        <v>390</v>
      </c>
      <c r="B391" t="inlineStr">
        <is>
          <t>SEAL REEFER</t>
        </is>
      </c>
      <c r="C391" t="inlineStr">
        <is>
          <t>REF000000</t>
        </is>
      </c>
      <c r="D391" t="inlineStr">
        <is>
          <t>REF000000</t>
        </is>
      </c>
      <c r="E391" t="inlineStr">
        <is>
          <t>10-FEB-2026</t>
        </is>
      </c>
      <c r="F391" t="inlineStr">
        <is>
          <t>SEAL REEFER</t>
        </is>
      </c>
      <c r="G391" t="inlineStr">
        <is>
          <t>ENTERED THROUGH SPLIT BOOKING FROM THE BOOKING ID REF000000, BY AR_MARTIMA, ON 2/10/2026 8:16:03 PM</t>
        </is>
      </c>
      <c r="H391" t="inlineStr">
        <is>
          <t>AR_MARTIMA</t>
        </is>
      </c>
      <c r="J391" t="inlineStr">
        <is>
          <t>18-FEB-2026</t>
        </is>
      </c>
      <c r="K391" t="inlineStr">
        <is>
          <t>16-FEB-2026</t>
        </is>
      </c>
      <c r="L391" t="inlineStr">
        <is>
          <t>17-FEB-2026</t>
        </is>
      </c>
      <c r="M391" t="inlineStr">
        <is>
          <t>REF000000</t>
        </is>
      </c>
      <c r="N391" t="inlineStr">
        <is>
          <t>USSEA</t>
        </is>
      </c>
      <c r="O391" t="inlineStr">
        <is>
          <t>USSEA</t>
        </is>
      </c>
      <c r="P391" t="inlineStr">
        <is>
          <t>USNFK</t>
        </is>
      </c>
      <c r="U391" t="inlineStr">
        <is>
          <t>RULED</t>
        </is>
      </c>
      <c r="V391" t="inlineStr">
        <is>
          <t>RULED</t>
        </is>
      </c>
      <c r="W391" t="inlineStr">
        <is>
          <t>CANADA</t>
        </is>
      </c>
      <c r="X391" t="inlineStr">
        <is>
          <t>PERSIAN GULF</t>
        </is>
      </c>
      <c r="Y391" t="inlineStr">
        <is>
          <t>RUSSIA</t>
        </is>
      </c>
      <c r="Z391" t="inlineStr">
        <is>
          <t>External Review</t>
        </is>
      </c>
      <c r="AA391" t="inlineStr">
        <is>
          <t>HUB SHIPPING LLC-LED</t>
        </is>
      </c>
      <c r="AB391" t="inlineStr">
        <is>
          <t>Prepaid</t>
        </is>
      </c>
      <c r="AC391" t="inlineStr">
        <is>
          <t>TIGER PLATA/968N</t>
        </is>
      </c>
      <c r="AD391" t="inlineStr">
        <is>
          <t>LI DA XING / VOYAGE 1</t>
        </is>
      </c>
      <c r="AE391" t="inlineStr">
        <is>
          <t>LADEN BOOKING</t>
        </is>
      </c>
      <c r="AF391" t="inlineStr">
        <is>
          <t>AR_MARTIMA</t>
        </is>
      </c>
      <c r="AG391" t="inlineStr">
        <is>
          <t>RH40</t>
        </is>
      </c>
      <c r="AI391" t="n">
        <v>40</v>
      </c>
      <c r="AJ391" t="n">
        <v>0</v>
      </c>
      <c r="AK391" t="n">
        <v>1</v>
      </c>
      <c r="AL391" t="inlineStr">
        <is>
          <t>ANON0000000</t>
        </is>
      </c>
      <c r="AM391" t="n">
        <v>-18</v>
      </c>
      <c r="AP391" t="inlineStr">
        <is>
          <t>Non Haz</t>
        </is>
      </c>
      <c r="AQ391" t="inlineStr">
        <is>
          <t>CY/CY</t>
        </is>
      </c>
      <c r="AT391" t="inlineStr">
        <is>
          <t>REF000000</t>
        </is>
      </c>
      <c r="AU391" t="n">
        <v>29000</v>
      </c>
      <c r="AV391" t="inlineStr">
        <is>
          <t>FROZEN MEAT</t>
        </is>
      </c>
      <c r="AX391" t="inlineStr">
        <is>
          <t>RSAMI122500031</t>
        </is>
      </c>
      <c r="AZ391" t="n">
        <v>0</v>
      </c>
      <c r="BA391" t="n">
        <v>10</v>
      </c>
      <c r="BB391" t="n">
        <v>10</v>
      </c>
      <c r="BC391" t="n">
        <v>6800</v>
      </c>
      <c r="BD391" t="inlineStr">
        <is>
          <t>No</t>
        </is>
      </c>
      <c r="BF391" t="inlineStr">
        <is>
          <t>Bengal Tiger Line -BTL</t>
        </is>
      </c>
      <c r="BG391" t="inlineStr">
        <is>
          <t>USSEA</t>
        </is>
      </c>
      <c r="BH391" t="n">
        <v>0</v>
      </c>
      <c r="BI391" t="n">
        <v>1</v>
      </c>
      <c r="BJ391" t="n">
        <v>6800</v>
      </c>
      <c r="BK391" t="inlineStr">
        <is>
          <t>LINE</t>
        </is>
      </c>
      <c r="BL391" t="inlineStr">
        <is>
          <t>SEAL REEFER</t>
        </is>
      </c>
      <c r="BM391" t="inlineStr">
        <is>
          <t>SEAL REEFER</t>
        </is>
      </c>
    </row>
    <row r="392">
      <c r="A392" t="n">
        <v>391</v>
      </c>
      <c r="B392" t="inlineStr">
        <is>
          <t>SHARK REEFER</t>
        </is>
      </c>
      <c r="C392" t="inlineStr">
        <is>
          <t>REF000000</t>
        </is>
      </c>
      <c r="D392" t="inlineStr">
        <is>
          <t>REF000000</t>
        </is>
      </c>
      <c r="E392" t="inlineStr">
        <is>
          <t>10-FEB-2026</t>
        </is>
      </c>
      <c r="F392" t="inlineStr">
        <is>
          <t>SHARK REEFER</t>
        </is>
      </c>
      <c r="G392" t="inlineStr">
        <is>
          <t>ENTERED THROUGH SPLIT BOOKING FROM THE BOOKING ID REF000000, BY AR_MARTIMA, ON 2/10/2026 8:16:03 PM</t>
        </is>
      </c>
      <c r="H392" t="inlineStr">
        <is>
          <t>AR_MARTIMA</t>
        </is>
      </c>
      <c r="J392" t="inlineStr">
        <is>
          <t>18-FEB-2026</t>
        </is>
      </c>
      <c r="K392" t="inlineStr">
        <is>
          <t>16-FEB-2026</t>
        </is>
      </c>
      <c r="L392" t="inlineStr">
        <is>
          <t>17-FEB-2026</t>
        </is>
      </c>
      <c r="M392" t="inlineStr">
        <is>
          <t>REF000000</t>
        </is>
      </c>
      <c r="N392" t="inlineStr">
        <is>
          <t>USSEA</t>
        </is>
      </c>
      <c r="O392" t="inlineStr">
        <is>
          <t>USSEA</t>
        </is>
      </c>
      <c r="P392" t="inlineStr">
        <is>
          <t>USNFK</t>
        </is>
      </c>
      <c r="U392" t="inlineStr">
        <is>
          <t>RULED</t>
        </is>
      </c>
      <c r="V392" t="inlineStr">
        <is>
          <t>RULED</t>
        </is>
      </c>
      <c r="W392" t="inlineStr">
        <is>
          <t>CANADA</t>
        </is>
      </c>
      <c r="X392" t="inlineStr">
        <is>
          <t>PERSIAN GULF</t>
        </is>
      </c>
      <c r="Y392" t="inlineStr">
        <is>
          <t>RUSSIA</t>
        </is>
      </c>
      <c r="Z392" t="inlineStr">
        <is>
          <t>External Review</t>
        </is>
      </c>
      <c r="AA392" t="inlineStr">
        <is>
          <t>HUB SHIPPING LLC-LED</t>
        </is>
      </c>
      <c r="AB392" t="inlineStr">
        <is>
          <t>Prepaid</t>
        </is>
      </c>
      <c r="AC392" t="inlineStr">
        <is>
          <t>TIGER PLATA/968N</t>
        </is>
      </c>
      <c r="AD392" t="inlineStr">
        <is>
          <t>LI DA XING / VOYAGE 1</t>
        </is>
      </c>
      <c r="AE392" t="inlineStr">
        <is>
          <t>LADEN BOOKING</t>
        </is>
      </c>
      <c r="AF392" t="inlineStr">
        <is>
          <t>AR_MARTIMA</t>
        </is>
      </c>
      <c r="AG392" t="inlineStr">
        <is>
          <t>RH40</t>
        </is>
      </c>
      <c r="AI392" t="n">
        <v>40</v>
      </c>
      <c r="AJ392" t="n">
        <v>0</v>
      </c>
      <c r="AK392" t="n">
        <v>1</v>
      </c>
      <c r="AL392" t="inlineStr">
        <is>
          <t>ANON0000000</t>
        </is>
      </c>
      <c r="AM392" t="n">
        <v>-18</v>
      </c>
      <c r="AP392" t="inlineStr">
        <is>
          <t>Non Haz</t>
        </is>
      </c>
      <c r="AQ392" t="inlineStr">
        <is>
          <t>CY/CY</t>
        </is>
      </c>
      <c r="AT392" t="inlineStr">
        <is>
          <t>REF000000</t>
        </is>
      </c>
      <c r="AU392" t="n">
        <v>29000</v>
      </c>
      <c r="AV392" t="inlineStr">
        <is>
          <t>FROZEN MEAT</t>
        </is>
      </c>
      <c r="AX392" t="inlineStr">
        <is>
          <t>RSAMI122500031</t>
        </is>
      </c>
      <c r="AZ392" t="n">
        <v>0</v>
      </c>
      <c r="BA392" t="n">
        <v>10</v>
      </c>
      <c r="BB392" t="n">
        <v>10</v>
      </c>
      <c r="BC392" t="n">
        <v>6800</v>
      </c>
      <c r="BD392" t="inlineStr">
        <is>
          <t>No</t>
        </is>
      </c>
      <c r="BF392" t="inlineStr">
        <is>
          <t>Bengal Tiger Line -BTL</t>
        </is>
      </c>
      <c r="BG392" t="inlineStr">
        <is>
          <t>USSEA</t>
        </is>
      </c>
      <c r="BH392" t="n">
        <v>0</v>
      </c>
      <c r="BI392" t="n">
        <v>1</v>
      </c>
      <c r="BJ392" t="n">
        <v>6800</v>
      </c>
      <c r="BK392" t="inlineStr">
        <is>
          <t>LINE</t>
        </is>
      </c>
      <c r="BL392" t="inlineStr">
        <is>
          <t>SHARK REEFER</t>
        </is>
      </c>
      <c r="BM392" t="inlineStr">
        <is>
          <t>SHARK REEFER</t>
        </is>
      </c>
    </row>
    <row r="393">
      <c r="A393" t="n">
        <v>392</v>
      </c>
      <c r="B393" t="inlineStr">
        <is>
          <t>BISON DRY</t>
        </is>
      </c>
      <c r="C393" t="inlineStr">
        <is>
          <t>REF000000</t>
        </is>
      </c>
      <c r="D393" t="inlineStr">
        <is>
          <t>REF000000</t>
        </is>
      </c>
      <c r="E393" t="inlineStr">
        <is>
          <t>11-FEB-2026</t>
        </is>
      </c>
      <c r="F393" t="inlineStr">
        <is>
          <t>BISON DRY</t>
        </is>
      </c>
      <c r="G393" t="inlineStr">
        <is>
          <t>1X20DC USSEA - RULED</t>
        </is>
      </c>
      <c r="H393" t="inlineStr">
        <is>
          <t>AR_MARTIMA</t>
        </is>
      </c>
      <c r="J393" t="inlineStr">
        <is>
          <t>23-FEB-2026</t>
        </is>
      </c>
      <c r="K393" t="inlineStr">
        <is>
          <t>22-FEB-2026</t>
        </is>
      </c>
      <c r="L393" t="inlineStr">
        <is>
          <t>23-FEB-2026</t>
        </is>
      </c>
      <c r="M393" t="inlineStr">
        <is>
          <t>REF000000</t>
        </is>
      </c>
      <c r="N393" t="inlineStr">
        <is>
          <t>USSEA</t>
        </is>
      </c>
      <c r="O393" t="inlineStr">
        <is>
          <t>USSEA</t>
        </is>
      </c>
      <c r="P393" t="inlineStr">
        <is>
          <t>USNFK</t>
        </is>
      </c>
      <c r="U393" t="inlineStr">
        <is>
          <t>RULED</t>
        </is>
      </c>
      <c r="V393" t="inlineStr">
        <is>
          <t>RULED</t>
        </is>
      </c>
      <c r="W393" t="inlineStr">
        <is>
          <t>CANADA</t>
        </is>
      </c>
      <c r="X393" t="inlineStr">
        <is>
          <t>PERSIAN GULF</t>
        </is>
      </c>
      <c r="Y393" t="inlineStr">
        <is>
          <t>RUSSIA</t>
        </is>
      </c>
      <c r="Z393" t="inlineStr">
        <is>
          <t>External Review</t>
        </is>
      </c>
      <c r="AA393" t="inlineStr">
        <is>
          <t>HUB SHIPPING LLC-LED</t>
        </is>
      </c>
      <c r="AB393" t="inlineStr">
        <is>
          <t>Prepaid</t>
        </is>
      </c>
      <c r="AC393" t="inlineStr">
        <is>
          <t>TIGER PLATA/969N</t>
        </is>
      </c>
      <c r="AD393" t="inlineStr">
        <is>
          <t>LI DA XING / VOYAGE 1</t>
        </is>
      </c>
      <c r="AE393" t="inlineStr">
        <is>
          <t>LADEN BOOKING</t>
        </is>
      </c>
      <c r="AF393" t="inlineStr">
        <is>
          <t>AR_MARTIMA</t>
        </is>
      </c>
      <c r="AG393" t="inlineStr">
        <is>
          <t>DC20</t>
        </is>
      </c>
      <c r="AH393" t="inlineStr">
        <is>
          <t>NO</t>
        </is>
      </c>
      <c r="AI393" t="n">
        <v>20</v>
      </c>
      <c r="AJ393" t="n">
        <v>1</v>
      </c>
      <c r="AK393" t="n">
        <v>0</v>
      </c>
      <c r="AL393" t="inlineStr">
        <is>
          <t>ANON0000000</t>
        </is>
      </c>
      <c r="AP393" t="inlineStr">
        <is>
          <t>Non Haz</t>
        </is>
      </c>
      <c r="AQ393" t="inlineStr">
        <is>
          <t>CY/CY</t>
        </is>
      </c>
      <c r="AT393" t="inlineStr">
        <is>
          <t>REF000000</t>
        </is>
      </c>
      <c r="AU393" t="n">
        <v>27000</v>
      </c>
      <c r="AV393" t="inlineStr">
        <is>
          <t>GENERAL COMMODITY</t>
        </is>
      </c>
      <c r="AW393" t="inlineStr">
        <is>
          <t>NCM 0504.00.11.391X</t>
        </is>
      </c>
      <c r="AX393" t="inlineStr">
        <is>
          <t>RSAMI012600008</t>
        </is>
      </c>
      <c r="AZ393" t="n">
        <v>0</v>
      </c>
      <c r="BA393" t="n">
        <v>14</v>
      </c>
      <c r="BB393" t="n">
        <v>14</v>
      </c>
      <c r="BC393" t="n">
        <v>4000</v>
      </c>
      <c r="BD393" t="inlineStr">
        <is>
          <t>No</t>
        </is>
      </c>
      <c r="BF393" t="inlineStr">
        <is>
          <t>Bengal Tiger Line -BTL</t>
        </is>
      </c>
      <c r="BG393" t="inlineStr">
        <is>
          <t>USSEA</t>
        </is>
      </c>
      <c r="BH393" t="n">
        <v>1</v>
      </c>
      <c r="BI393" t="n">
        <v>0</v>
      </c>
      <c r="BJ393" t="n">
        <v>4000</v>
      </c>
      <c r="BK393" t="inlineStr">
        <is>
          <t>LINE</t>
        </is>
      </c>
      <c r="BL393" t="inlineStr">
        <is>
          <t>BISON DRY</t>
        </is>
      </c>
      <c r="BM393" t="inlineStr">
        <is>
          <t>BISON DRY</t>
        </is>
      </c>
    </row>
    <row r="394">
      <c r="A394" t="n">
        <v>393</v>
      </c>
      <c r="B394" t="inlineStr">
        <is>
          <t>MARLIN REEFER</t>
        </is>
      </c>
      <c r="C394" t="inlineStr">
        <is>
          <t>REF000000</t>
        </is>
      </c>
      <c r="D394" t="inlineStr">
        <is>
          <t>REF000000</t>
        </is>
      </c>
      <c r="E394" t="inlineStr">
        <is>
          <t>11-FEB-2026</t>
        </is>
      </c>
      <c r="F394" t="inlineStr">
        <is>
          <t>MARLIN REEFER</t>
        </is>
      </c>
      <c r="G394" t="inlineStr">
        <is>
          <t>1x40RH TEMP -18</t>
        </is>
      </c>
      <c r="H394" t="inlineStr">
        <is>
          <t>AR_MARTIMA</t>
        </is>
      </c>
      <c r="J394" t="inlineStr">
        <is>
          <t>18-FEB-2026</t>
        </is>
      </c>
      <c r="K394" t="inlineStr">
        <is>
          <t>16-FEB-2026</t>
        </is>
      </c>
      <c r="L394" t="inlineStr">
        <is>
          <t>17-FEB-2026</t>
        </is>
      </c>
      <c r="M394" t="inlineStr">
        <is>
          <t>REF000000</t>
        </is>
      </c>
      <c r="N394" t="inlineStr">
        <is>
          <t>USSEA</t>
        </is>
      </c>
      <c r="O394" t="inlineStr">
        <is>
          <t>USSEA</t>
        </is>
      </c>
      <c r="P394" t="inlineStr">
        <is>
          <t>USNFK</t>
        </is>
      </c>
      <c r="U394" t="inlineStr">
        <is>
          <t>RULED</t>
        </is>
      </c>
      <c r="V394" t="inlineStr">
        <is>
          <t>RULED</t>
        </is>
      </c>
      <c r="W394" t="inlineStr">
        <is>
          <t>CANADA</t>
        </is>
      </c>
      <c r="X394" t="inlineStr">
        <is>
          <t>PERSIAN GULF</t>
        </is>
      </c>
      <c r="Y394" t="inlineStr">
        <is>
          <t>RUSSIA</t>
        </is>
      </c>
      <c r="Z394" t="inlineStr">
        <is>
          <t>External Review</t>
        </is>
      </c>
      <c r="AA394" t="inlineStr">
        <is>
          <t>HUB SHIPPING LLC-LED</t>
        </is>
      </c>
      <c r="AB394" t="inlineStr">
        <is>
          <t>Prepaid</t>
        </is>
      </c>
      <c r="AC394" t="inlineStr">
        <is>
          <t>TIGER PLATA/968N</t>
        </is>
      </c>
      <c r="AD394" t="inlineStr">
        <is>
          <t>LI DA XING / VOYAGE 1</t>
        </is>
      </c>
      <c r="AE394" t="inlineStr">
        <is>
          <t>LADEN BOOKING</t>
        </is>
      </c>
      <c r="AF394" t="inlineStr">
        <is>
          <t>AR_MARTIMA</t>
        </is>
      </c>
      <c r="AG394" t="inlineStr">
        <is>
          <t>RH40</t>
        </is>
      </c>
      <c r="AH394" t="inlineStr">
        <is>
          <t>NO</t>
        </is>
      </c>
      <c r="AI394" t="n">
        <v>40</v>
      </c>
      <c r="AJ394" t="n">
        <v>0</v>
      </c>
      <c r="AK394" t="n">
        <v>1</v>
      </c>
      <c r="AL394" t="inlineStr">
        <is>
          <t>ANON0000000</t>
        </is>
      </c>
      <c r="AM394" t="n">
        <v>-18</v>
      </c>
      <c r="AP394" t="inlineStr">
        <is>
          <t>Non Haz</t>
        </is>
      </c>
      <c r="AQ394" t="inlineStr">
        <is>
          <t>CY/CY</t>
        </is>
      </c>
      <c r="AT394" t="inlineStr">
        <is>
          <t>REF000000</t>
        </is>
      </c>
      <c r="AU394" t="n">
        <v>29000</v>
      </c>
      <c r="AV394" t="inlineStr">
        <is>
          <t>FROZEN MEAT</t>
        </is>
      </c>
      <c r="AX394" t="inlineStr">
        <is>
          <t>RSAMI122500031</t>
        </is>
      </c>
      <c r="AZ394" t="n">
        <v>0</v>
      </c>
      <c r="BA394" t="n">
        <v>10</v>
      </c>
      <c r="BB394" t="n">
        <v>10</v>
      </c>
      <c r="BC394" t="n">
        <v>6800</v>
      </c>
      <c r="BD394" t="inlineStr">
        <is>
          <t>No</t>
        </is>
      </c>
      <c r="BF394" t="inlineStr">
        <is>
          <t>Bengal Tiger Line -BTL</t>
        </is>
      </c>
      <c r="BG394" t="inlineStr">
        <is>
          <t>USSEA</t>
        </is>
      </c>
      <c r="BH394" t="n">
        <v>0</v>
      </c>
      <c r="BI394" t="n">
        <v>1</v>
      </c>
      <c r="BJ394" t="n">
        <v>6800</v>
      </c>
      <c r="BK394" t="inlineStr">
        <is>
          <t>LINE</t>
        </is>
      </c>
      <c r="BL394" t="inlineStr">
        <is>
          <t>MARLIN REEFER</t>
        </is>
      </c>
      <c r="BM394" t="inlineStr">
        <is>
          <t>MARLIN REEFER</t>
        </is>
      </c>
    </row>
    <row r="395">
      <c r="A395" t="n">
        <v>394</v>
      </c>
      <c r="B395" t="inlineStr">
        <is>
          <t>TURTLE REEFER</t>
        </is>
      </c>
      <c r="C395" t="inlineStr">
        <is>
          <t>REF000000</t>
        </is>
      </c>
      <c r="D395" t="inlineStr">
        <is>
          <t>REF000000</t>
        </is>
      </c>
      <c r="E395" t="inlineStr">
        <is>
          <t>11-FEB-2026</t>
        </is>
      </c>
      <c r="F395" t="inlineStr">
        <is>
          <t>TURTLE REEFER</t>
        </is>
      </c>
      <c r="G395" t="inlineStr">
        <is>
          <t>ENTERED THROUGH SPLIT BOOKING FROM THE BOOKING ID REF000000, BY AR_MARTIMA, ON 2/11/2026 10:55:37 PM</t>
        </is>
      </c>
      <c r="H395" t="inlineStr">
        <is>
          <t>AR_MARTIMA</t>
        </is>
      </c>
      <c r="J395" t="inlineStr">
        <is>
          <t>18-FEB-2026</t>
        </is>
      </c>
      <c r="K395" t="inlineStr">
        <is>
          <t>16-FEB-2026</t>
        </is>
      </c>
      <c r="L395" t="inlineStr">
        <is>
          <t>17-FEB-2026</t>
        </is>
      </c>
      <c r="M395" t="inlineStr">
        <is>
          <t>REF000000</t>
        </is>
      </c>
      <c r="N395" t="inlineStr">
        <is>
          <t>USSEA</t>
        </is>
      </c>
      <c r="O395" t="inlineStr">
        <is>
          <t>USSEA</t>
        </is>
      </c>
      <c r="P395" t="inlineStr">
        <is>
          <t>USNFK</t>
        </is>
      </c>
      <c r="U395" t="inlineStr">
        <is>
          <t>RULED</t>
        </is>
      </c>
      <c r="V395" t="inlineStr">
        <is>
          <t>RULED</t>
        </is>
      </c>
      <c r="W395" t="inlineStr">
        <is>
          <t>CANADA</t>
        </is>
      </c>
      <c r="X395" t="inlineStr">
        <is>
          <t>PERSIAN GULF</t>
        </is>
      </c>
      <c r="Y395" t="inlineStr">
        <is>
          <t>RUSSIA</t>
        </is>
      </c>
      <c r="Z395" t="inlineStr">
        <is>
          <t>External Review</t>
        </is>
      </c>
      <c r="AA395" t="inlineStr">
        <is>
          <t>HUB SHIPPING LLC-LED</t>
        </is>
      </c>
      <c r="AB395" t="inlineStr">
        <is>
          <t>Prepaid</t>
        </is>
      </c>
      <c r="AC395" t="inlineStr">
        <is>
          <t>TIGER PLATA/968N</t>
        </is>
      </c>
      <c r="AD395" t="inlineStr">
        <is>
          <t>LI DA XING / VOYAGE 1</t>
        </is>
      </c>
      <c r="AE395" t="inlineStr">
        <is>
          <t>LADEN BOOKING</t>
        </is>
      </c>
      <c r="AF395" t="inlineStr">
        <is>
          <t>AR_MARTIMA</t>
        </is>
      </c>
      <c r="AG395" t="inlineStr">
        <is>
          <t>RH40</t>
        </is>
      </c>
      <c r="AI395" t="n">
        <v>40</v>
      </c>
      <c r="AJ395" t="n">
        <v>0</v>
      </c>
      <c r="AK395" t="n">
        <v>1</v>
      </c>
      <c r="AL395" t="inlineStr">
        <is>
          <t>ANON0000000</t>
        </is>
      </c>
      <c r="AM395" t="n">
        <v>-18</v>
      </c>
      <c r="AP395" t="inlineStr">
        <is>
          <t>Non Haz</t>
        </is>
      </c>
      <c r="AQ395" t="inlineStr">
        <is>
          <t>CY/CY</t>
        </is>
      </c>
      <c r="AT395" t="inlineStr">
        <is>
          <t>REF000000</t>
        </is>
      </c>
      <c r="AU395" t="n">
        <v>29000</v>
      </c>
      <c r="AV395" t="inlineStr">
        <is>
          <t>FROZEN MEAT</t>
        </is>
      </c>
      <c r="AX395" t="inlineStr">
        <is>
          <t>RSAMI122500031</t>
        </is>
      </c>
      <c r="AZ395" t="n">
        <v>0</v>
      </c>
      <c r="BA395" t="n">
        <v>10</v>
      </c>
      <c r="BB395" t="n">
        <v>10</v>
      </c>
      <c r="BC395" t="n">
        <v>6800</v>
      </c>
      <c r="BD395" t="inlineStr">
        <is>
          <t>No</t>
        </is>
      </c>
      <c r="BF395" t="inlineStr">
        <is>
          <t>Bengal Tiger Line -BTL</t>
        </is>
      </c>
      <c r="BG395" t="inlineStr">
        <is>
          <t>USSEA</t>
        </is>
      </c>
      <c r="BH395" t="n">
        <v>0</v>
      </c>
      <c r="BI395" t="n">
        <v>1</v>
      </c>
      <c r="BJ395" t="n">
        <v>6800</v>
      </c>
      <c r="BK395" t="inlineStr">
        <is>
          <t>LINE</t>
        </is>
      </c>
      <c r="BL395" t="inlineStr">
        <is>
          <t>TURTLE REEFER</t>
        </is>
      </c>
      <c r="BM395" t="inlineStr">
        <is>
          <t>TURTLE REEFER</t>
        </is>
      </c>
    </row>
    <row r="396">
      <c r="A396" t="n">
        <v>395</v>
      </c>
      <c r="B396" t="inlineStr">
        <is>
          <t>ORCA REEFER</t>
        </is>
      </c>
      <c r="C396" t="inlineStr">
        <is>
          <t>REF000000</t>
        </is>
      </c>
      <c r="D396" t="inlineStr">
        <is>
          <t>REF000000</t>
        </is>
      </c>
      <c r="E396" t="inlineStr">
        <is>
          <t>13-FEB-2026</t>
        </is>
      </c>
      <c r="F396" t="inlineStr">
        <is>
          <t>ORCA REEFER</t>
        </is>
      </c>
      <c r="G396" t="inlineStr">
        <is>
          <t>1x40RH TEMP -18</t>
        </is>
      </c>
      <c r="H396" t="inlineStr">
        <is>
          <t>AR_MARTIMA</t>
        </is>
      </c>
      <c r="J396" t="inlineStr">
        <is>
          <t>23-FEB-2026</t>
        </is>
      </c>
      <c r="K396" t="inlineStr">
        <is>
          <t>22-FEB-2026</t>
        </is>
      </c>
      <c r="L396" t="inlineStr">
        <is>
          <t>23-FEB-2026</t>
        </is>
      </c>
      <c r="M396" t="inlineStr">
        <is>
          <t>REF000000</t>
        </is>
      </c>
      <c r="N396" t="inlineStr">
        <is>
          <t>USSEA</t>
        </is>
      </c>
      <c r="O396" t="inlineStr">
        <is>
          <t>USSEA</t>
        </is>
      </c>
      <c r="P396" t="inlineStr">
        <is>
          <t>USNFK</t>
        </is>
      </c>
      <c r="U396" t="inlineStr">
        <is>
          <t>RULED</t>
        </is>
      </c>
      <c r="V396" t="inlineStr">
        <is>
          <t>RULED</t>
        </is>
      </c>
      <c r="W396" t="inlineStr">
        <is>
          <t>CANADA</t>
        </is>
      </c>
      <c r="X396" t="inlineStr">
        <is>
          <t>PERSIAN GULF</t>
        </is>
      </c>
      <c r="Y396" t="inlineStr">
        <is>
          <t>RUSSIA</t>
        </is>
      </c>
      <c r="Z396" t="inlineStr">
        <is>
          <t>External Review</t>
        </is>
      </c>
      <c r="AA396" t="inlineStr">
        <is>
          <t>HUB SHIPPING LLC-LED</t>
        </is>
      </c>
      <c r="AB396" t="inlineStr">
        <is>
          <t>Prepaid</t>
        </is>
      </c>
      <c r="AC396" t="inlineStr">
        <is>
          <t>TIGER PLATA/969N</t>
        </is>
      </c>
      <c r="AD396" t="inlineStr">
        <is>
          <t>LI DA XING / VOYAGE 1</t>
        </is>
      </c>
      <c r="AE396" t="inlineStr">
        <is>
          <t>LADEN BOOKING</t>
        </is>
      </c>
      <c r="AF396" t="inlineStr">
        <is>
          <t>AR_MARTIMA</t>
        </is>
      </c>
      <c r="AG396" t="inlineStr">
        <is>
          <t>RH40</t>
        </is>
      </c>
      <c r="AH396" t="inlineStr">
        <is>
          <t>NO</t>
        </is>
      </c>
      <c r="AI396" t="n">
        <v>40</v>
      </c>
      <c r="AJ396" t="n">
        <v>0</v>
      </c>
      <c r="AK396" t="n">
        <v>1</v>
      </c>
      <c r="AL396" t="inlineStr">
        <is>
          <t>ANON0000000</t>
        </is>
      </c>
      <c r="AM396" t="n">
        <v>-18</v>
      </c>
      <c r="AP396" t="inlineStr">
        <is>
          <t>Non Haz</t>
        </is>
      </c>
      <c r="AQ396" t="inlineStr">
        <is>
          <t>CY/CY</t>
        </is>
      </c>
      <c r="AT396" t="inlineStr">
        <is>
          <t>REF000000</t>
        </is>
      </c>
      <c r="AU396" t="n">
        <v>29000</v>
      </c>
      <c r="AV396" t="inlineStr">
        <is>
          <t>FROZEN MEAT</t>
        </is>
      </c>
      <c r="AW396" t="inlineStr">
        <is>
          <t>NCM 020629</t>
        </is>
      </c>
      <c r="AX396" t="inlineStr">
        <is>
          <t>RSAMI122500031</t>
        </is>
      </c>
      <c r="AZ396" t="n">
        <v>0</v>
      </c>
      <c r="BA396" t="n">
        <v>10</v>
      </c>
      <c r="BB396" t="n">
        <v>10</v>
      </c>
      <c r="BC396" t="n">
        <v>6800</v>
      </c>
      <c r="BD396" t="inlineStr">
        <is>
          <t>No</t>
        </is>
      </c>
      <c r="BF396" t="inlineStr">
        <is>
          <t>Bengal Tiger Line -BTL</t>
        </is>
      </c>
      <c r="BG396" t="inlineStr">
        <is>
          <t>USSEA</t>
        </is>
      </c>
      <c r="BH396" t="n">
        <v>0</v>
      </c>
      <c r="BI396" t="n">
        <v>1</v>
      </c>
      <c r="BJ396" t="n">
        <v>6800</v>
      </c>
      <c r="BK396" t="inlineStr">
        <is>
          <t>LINE</t>
        </is>
      </c>
      <c r="BL396" t="inlineStr">
        <is>
          <t>ORCA REEFER</t>
        </is>
      </c>
      <c r="BM396" t="inlineStr">
        <is>
          <t>ORCA REEFER</t>
        </is>
      </c>
    </row>
    <row r="397">
      <c r="A397" t="n">
        <v>396</v>
      </c>
      <c r="B397" t="inlineStr">
        <is>
          <t>WHALE REEFER</t>
        </is>
      </c>
      <c r="C397" t="inlineStr">
        <is>
          <t>REF000000</t>
        </is>
      </c>
      <c r="D397" t="inlineStr">
        <is>
          <t>REF000000</t>
        </is>
      </c>
      <c r="E397" t="inlineStr">
        <is>
          <t>13-FEB-2026</t>
        </is>
      </c>
      <c r="F397" t="inlineStr">
        <is>
          <t>WHALE REEFER</t>
        </is>
      </c>
      <c r="G397" t="inlineStr">
        <is>
          <t>ENTERED THROUGH SPLIT BOOKING FROM THE BOOKING ID REF000000, BY AR_MARTIMA, ON 2/13/2026 5:15:53 PM</t>
        </is>
      </c>
      <c r="H397" t="inlineStr">
        <is>
          <t>AR_MARTIMA</t>
        </is>
      </c>
      <c r="J397" t="inlineStr">
        <is>
          <t>23-FEB-2026</t>
        </is>
      </c>
      <c r="K397" t="inlineStr">
        <is>
          <t>22-FEB-2026</t>
        </is>
      </c>
      <c r="L397" t="inlineStr">
        <is>
          <t>23-FEB-2026</t>
        </is>
      </c>
      <c r="M397" t="inlineStr">
        <is>
          <t>REF000000</t>
        </is>
      </c>
      <c r="N397" t="inlineStr">
        <is>
          <t>USSEA</t>
        </is>
      </c>
      <c r="O397" t="inlineStr">
        <is>
          <t>USSEA</t>
        </is>
      </c>
      <c r="P397" t="inlineStr">
        <is>
          <t>USNFK</t>
        </is>
      </c>
      <c r="U397" t="inlineStr">
        <is>
          <t>RULED</t>
        </is>
      </c>
      <c r="V397" t="inlineStr">
        <is>
          <t>RULED</t>
        </is>
      </c>
      <c r="W397" t="inlineStr">
        <is>
          <t>CANADA</t>
        </is>
      </c>
      <c r="X397" t="inlineStr">
        <is>
          <t>PERSIAN GULF</t>
        </is>
      </c>
      <c r="Y397" t="inlineStr">
        <is>
          <t>RUSSIA</t>
        </is>
      </c>
      <c r="Z397" t="inlineStr">
        <is>
          <t>External Review</t>
        </is>
      </c>
      <c r="AA397" t="inlineStr">
        <is>
          <t>HUB SHIPPING LLC-LED</t>
        </is>
      </c>
      <c r="AB397" t="inlineStr">
        <is>
          <t>Prepaid</t>
        </is>
      </c>
      <c r="AC397" t="inlineStr">
        <is>
          <t>TIGER PLATA/969N</t>
        </is>
      </c>
      <c r="AD397" t="inlineStr">
        <is>
          <t>LI DA XING / VOYAGE 1</t>
        </is>
      </c>
      <c r="AE397" t="inlineStr">
        <is>
          <t>LADEN BOOKING</t>
        </is>
      </c>
      <c r="AF397" t="inlineStr">
        <is>
          <t>AR_MARTIMA</t>
        </is>
      </c>
      <c r="AG397" t="inlineStr">
        <is>
          <t>RH40</t>
        </is>
      </c>
      <c r="AI397" t="n">
        <v>40</v>
      </c>
      <c r="AJ397" t="n">
        <v>0</v>
      </c>
      <c r="AK397" t="n">
        <v>1</v>
      </c>
      <c r="AL397" t="inlineStr">
        <is>
          <t>ANON0000000</t>
        </is>
      </c>
      <c r="AM397" t="n">
        <v>-18</v>
      </c>
      <c r="AP397" t="inlineStr">
        <is>
          <t>Non Haz</t>
        </is>
      </c>
      <c r="AQ397" t="inlineStr">
        <is>
          <t>CY/CY</t>
        </is>
      </c>
      <c r="AT397" t="inlineStr">
        <is>
          <t>REF000000</t>
        </is>
      </c>
      <c r="AU397" t="n">
        <v>29000</v>
      </c>
      <c r="AV397" t="inlineStr">
        <is>
          <t>FROZEN MEAT</t>
        </is>
      </c>
      <c r="AW397" t="inlineStr">
        <is>
          <t>NCM 020629</t>
        </is>
      </c>
      <c r="AX397" t="inlineStr">
        <is>
          <t>RSAMI122500031</t>
        </is>
      </c>
      <c r="AZ397" t="n">
        <v>0</v>
      </c>
      <c r="BA397" t="n">
        <v>10</v>
      </c>
      <c r="BB397" t="n">
        <v>10</v>
      </c>
      <c r="BC397" t="n">
        <v>6800</v>
      </c>
      <c r="BD397" t="inlineStr">
        <is>
          <t>No</t>
        </is>
      </c>
      <c r="BF397" t="inlineStr">
        <is>
          <t>Bengal Tiger Line -BTL</t>
        </is>
      </c>
      <c r="BG397" t="inlineStr">
        <is>
          <t>USSEA</t>
        </is>
      </c>
      <c r="BH397" t="n">
        <v>0</v>
      </c>
      <c r="BI397" t="n">
        <v>1</v>
      </c>
      <c r="BJ397" t="n">
        <v>6800</v>
      </c>
      <c r="BK397" t="inlineStr">
        <is>
          <t>LINE</t>
        </is>
      </c>
      <c r="BL397" t="inlineStr">
        <is>
          <t>WHALE REEFER</t>
        </is>
      </c>
      <c r="BM397" t="inlineStr">
        <is>
          <t>WHALE REEFER</t>
        </is>
      </c>
    </row>
    <row r="398">
      <c r="A398" t="n">
        <v>397</v>
      </c>
      <c r="B398" t="inlineStr">
        <is>
          <t>SEAL REEFER</t>
        </is>
      </c>
      <c r="C398" t="inlineStr">
        <is>
          <t>REF000000</t>
        </is>
      </c>
      <c r="D398" t="inlineStr">
        <is>
          <t>REF000000</t>
        </is>
      </c>
      <c r="E398" t="inlineStr">
        <is>
          <t>13-FEB-2026</t>
        </is>
      </c>
      <c r="F398" t="inlineStr">
        <is>
          <t>SEAL REEFER</t>
        </is>
      </c>
      <c r="G398" t="inlineStr">
        <is>
          <t>ENTERED THROUGH SPLIT BOOKING FROM THE BOOKING ID REF000000, BY AR_MARTIMA, ON 2/13/2026 5:15:53 PM</t>
        </is>
      </c>
      <c r="H398" t="inlineStr">
        <is>
          <t>AR_MARTIMA</t>
        </is>
      </c>
      <c r="J398" t="inlineStr">
        <is>
          <t>23-FEB-2026</t>
        </is>
      </c>
      <c r="K398" t="inlineStr">
        <is>
          <t>22-FEB-2026</t>
        </is>
      </c>
      <c r="L398" t="inlineStr">
        <is>
          <t>23-FEB-2026</t>
        </is>
      </c>
      <c r="M398" t="inlineStr">
        <is>
          <t>REF000000</t>
        </is>
      </c>
      <c r="N398" t="inlineStr">
        <is>
          <t>USSEA</t>
        </is>
      </c>
      <c r="O398" t="inlineStr">
        <is>
          <t>USSEA</t>
        </is>
      </c>
      <c r="P398" t="inlineStr">
        <is>
          <t>USNFK</t>
        </is>
      </c>
      <c r="U398" t="inlineStr">
        <is>
          <t>RULED</t>
        </is>
      </c>
      <c r="V398" t="inlineStr">
        <is>
          <t>RULED</t>
        </is>
      </c>
      <c r="W398" t="inlineStr">
        <is>
          <t>CANADA</t>
        </is>
      </c>
      <c r="X398" t="inlineStr">
        <is>
          <t>PERSIAN GULF</t>
        </is>
      </c>
      <c r="Y398" t="inlineStr">
        <is>
          <t>RUSSIA</t>
        </is>
      </c>
      <c r="Z398" t="inlineStr">
        <is>
          <t>External Review</t>
        </is>
      </c>
      <c r="AA398" t="inlineStr">
        <is>
          <t>HUB SHIPPING LLC-LED</t>
        </is>
      </c>
      <c r="AB398" t="inlineStr">
        <is>
          <t>Prepaid</t>
        </is>
      </c>
      <c r="AC398" t="inlineStr">
        <is>
          <t>TIGER PLATA/969N</t>
        </is>
      </c>
      <c r="AD398" t="inlineStr">
        <is>
          <t>LI DA XING / VOYAGE 1</t>
        </is>
      </c>
      <c r="AE398" t="inlineStr">
        <is>
          <t>LADEN BOOKING</t>
        </is>
      </c>
      <c r="AF398" t="inlineStr">
        <is>
          <t>AR_MARTIMA</t>
        </is>
      </c>
      <c r="AG398" t="inlineStr">
        <is>
          <t>RH40</t>
        </is>
      </c>
      <c r="AI398" t="n">
        <v>40</v>
      </c>
      <c r="AJ398" t="n">
        <v>0</v>
      </c>
      <c r="AK398" t="n">
        <v>1</v>
      </c>
      <c r="AL398" t="inlineStr">
        <is>
          <t>ANON0000000</t>
        </is>
      </c>
      <c r="AM398" t="n">
        <v>-18</v>
      </c>
      <c r="AP398" t="inlineStr">
        <is>
          <t>Non Haz</t>
        </is>
      </c>
      <c r="AQ398" t="inlineStr">
        <is>
          <t>CY/CY</t>
        </is>
      </c>
      <c r="AT398" t="inlineStr">
        <is>
          <t>REF000000</t>
        </is>
      </c>
      <c r="AU398" t="n">
        <v>29000</v>
      </c>
      <c r="AV398" t="inlineStr">
        <is>
          <t>FROZEN MEAT</t>
        </is>
      </c>
      <c r="AW398" t="inlineStr">
        <is>
          <t>NCM 020622</t>
        </is>
      </c>
      <c r="AX398" t="inlineStr">
        <is>
          <t>RSAMI122500031</t>
        </is>
      </c>
      <c r="AZ398" t="n">
        <v>0</v>
      </c>
      <c r="BA398" t="n">
        <v>10</v>
      </c>
      <c r="BB398" t="n">
        <v>10</v>
      </c>
      <c r="BC398" t="n">
        <v>6800</v>
      </c>
      <c r="BD398" t="inlineStr">
        <is>
          <t>No</t>
        </is>
      </c>
      <c r="BF398" t="inlineStr">
        <is>
          <t>Bengal Tiger Line -BTL</t>
        </is>
      </c>
      <c r="BG398" t="inlineStr">
        <is>
          <t>USSEA</t>
        </is>
      </c>
      <c r="BH398" t="n">
        <v>0</v>
      </c>
      <c r="BI398" t="n">
        <v>1</v>
      </c>
      <c r="BJ398" t="n">
        <v>6800</v>
      </c>
      <c r="BK398" t="inlineStr">
        <is>
          <t>LINE</t>
        </is>
      </c>
      <c r="BL398" t="inlineStr">
        <is>
          <t>SEAL REEFER</t>
        </is>
      </c>
      <c r="BM398" t="inlineStr">
        <is>
          <t>SEAL REEFER</t>
        </is>
      </c>
    </row>
    <row r="399">
      <c r="A399" t="n">
        <v>398</v>
      </c>
      <c r="B399" t="inlineStr">
        <is>
          <t>SHARK REEFER</t>
        </is>
      </c>
      <c r="C399" t="inlineStr">
        <is>
          <t>REF000000</t>
        </is>
      </c>
      <c r="D399" t="inlineStr">
        <is>
          <t>REF000000</t>
        </is>
      </c>
      <c r="E399" t="inlineStr">
        <is>
          <t>13-FEB-2026</t>
        </is>
      </c>
      <c r="F399" t="inlineStr">
        <is>
          <t>SHARK REEFER</t>
        </is>
      </c>
      <c r="G399" t="inlineStr">
        <is>
          <t>ENTERED THROUGH SPLIT BOOKING FROM THE BOOKING ID REF000000, BY AR_MARTIMA, ON 2/13/2026 5:15:53 PM</t>
        </is>
      </c>
      <c r="H399" t="inlineStr">
        <is>
          <t>AR_MARTIMA</t>
        </is>
      </c>
      <c r="J399" t="inlineStr">
        <is>
          <t>23-FEB-2026</t>
        </is>
      </c>
      <c r="K399" t="inlineStr">
        <is>
          <t>22-FEB-2026</t>
        </is>
      </c>
      <c r="L399" t="inlineStr">
        <is>
          <t>23-FEB-2026</t>
        </is>
      </c>
      <c r="M399" t="inlineStr">
        <is>
          <t>REF000000</t>
        </is>
      </c>
      <c r="N399" t="inlineStr">
        <is>
          <t>USSEA</t>
        </is>
      </c>
      <c r="O399" t="inlineStr">
        <is>
          <t>USSEA</t>
        </is>
      </c>
      <c r="P399" t="inlineStr">
        <is>
          <t>USNFK</t>
        </is>
      </c>
      <c r="U399" t="inlineStr">
        <is>
          <t>RULED</t>
        </is>
      </c>
      <c r="V399" t="inlineStr">
        <is>
          <t>RULED</t>
        </is>
      </c>
      <c r="W399" t="inlineStr">
        <is>
          <t>CANADA</t>
        </is>
      </c>
      <c r="X399" t="inlineStr">
        <is>
          <t>PERSIAN GULF</t>
        </is>
      </c>
      <c r="Y399" t="inlineStr">
        <is>
          <t>RUSSIA</t>
        </is>
      </c>
      <c r="Z399" t="inlineStr">
        <is>
          <t>External Review</t>
        </is>
      </c>
      <c r="AA399" t="inlineStr">
        <is>
          <t>HUB SHIPPING LLC-LED</t>
        </is>
      </c>
      <c r="AB399" t="inlineStr">
        <is>
          <t>Prepaid</t>
        </is>
      </c>
      <c r="AC399" t="inlineStr">
        <is>
          <t>TIGER PLATA/969N</t>
        </is>
      </c>
      <c r="AD399" t="inlineStr">
        <is>
          <t>LI DA XING / VOYAGE 1</t>
        </is>
      </c>
      <c r="AE399" t="inlineStr">
        <is>
          <t>LADEN BOOKING</t>
        </is>
      </c>
      <c r="AF399" t="inlineStr">
        <is>
          <t>AR_MARTIMA</t>
        </is>
      </c>
      <c r="AG399" t="inlineStr">
        <is>
          <t>RH40</t>
        </is>
      </c>
      <c r="AI399" t="n">
        <v>40</v>
      </c>
      <c r="AJ399" t="n">
        <v>0</v>
      </c>
      <c r="AK399" t="n">
        <v>1</v>
      </c>
      <c r="AL399" t="inlineStr">
        <is>
          <t>ANON0000000</t>
        </is>
      </c>
      <c r="AM399" t="n">
        <v>-18</v>
      </c>
      <c r="AP399" t="inlineStr">
        <is>
          <t>Non Haz</t>
        </is>
      </c>
      <c r="AQ399" t="inlineStr">
        <is>
          <t>CY/CY</t>
        </is>
      </c>
      <c r="AT399" t="inlineStr">
        <is>
          <t>REF000000</t>
        </is>
      </c>
      <c r="AU399" t="n">
        <v>29000</v>
      </c>
      <c r="AV399" t="inlineStr">
        <is>
          <t>FROZEN MEAT</t>
        </is>
      </c>
      <c r="AW399" t="inlineStr">
        <is>
          <t>NCM 020622</t>
        </is>
      </c>
      <c r="AX399" t="inlineStr">
        <is>
          <t>RSAMI122500031</t>
        </is>
      </c>
      <c r="AZ399" t="n">
        <v>0</v>
      </c>
      <c r="BA399" t="n">
        <v>10</v>
      </c>
      <c r="BB399" t="n">
        <v>10</v>
      </c>
      <c r="BC399" t="n">
        <v>6800</v>
      </c>
      <c r="BD399" t="inlineStr">
        <is>
          <t>No</t>
        </is>
      </c>
      <c r="BF399" t="inlineStr">
        <is>
          <t>Bengal Tiger Line -BTL</t>
        </is>
      </c>
      <c r="BG399" t="inlineStr">
        <is>
          <t>USSEA</t>
        </is>
      </c>
      <c r="BH399" t="n">
        <v>0</v>
      </c>
      <c r="BI399" t="n">
        <v>1</v>
      </c>
      <c r="BJ399" t="n">
        <v>6800</v>
      </c>
      <c r="BK399" t="inlineStr">
        <is>
          <t>LINE</t>
        </is>
      </c>
      <c r="BL399" t="inlineStr">
        <is>
          <t>SHARK REEFER</t>
        </is>
      </c>
      <c r="BM399" t="inlineStr">
        <is>
          <t>SHARK REEFER</t>
        </is>
      </c>
    </row>
    <row r="400">
      <c r="A400" t="n">
        <v>399</v>
      </c>
      <c r="B400" t="inlineStr">
        <is>
          <t>DOLPHIN REEFER</t>
        </is>
      </c>
      <c r="C400" t="inlineStr">
        <is>
          <t>REF000000</t>
        </is>
      </c>
      <c r="D400" t="inlineStr">
        <is>
          <t>REF000000</t>
        </is>
      </c>
      <c r="E400" t="inlineStr">
        <is>
          <t>13-FEB-2026</t>
        </is>
      </c>
      <c r="F400" t="inlineStr">
        <is>
          <t>DOLPHIN REEFER</t>
        </is>
      </c>
      <c r="G400" t="inlineStr">
        <is>
          <t>ENTERED THROUGH SPLIT BOOKING FROM THE BOOKING ID REF000000, BY AR_MARTIMA, ON 2/13/2026 5:15:53 PM</t>
        </is>
      </c>
      <c r="H400" t="inlineStr">
        <is>
          <t>AR_MARTIMA</t>
        </is>
      </c>
      <c r="J400" t="inlineStr">
        <is>
          <t>23-FEB-2026</t>
        </is>
      </c>
      <c r="K400" t="inlineStr">
        <is>
          <t>22-FEB-2026</t>
        </is>
      </c>
      <c r="L400" t="inlineStr">
        <is>
          <t>23-FEB-2026</t>
        </is>
      </c>
      <c r="M400" t="inlineStr">
        <is>
          <t>REF000000</t>
        </is>
      </c>
      <c r="N400" t="inlineStr">
        <is>
          <t>USSEA</t>
        </is>
      </c>
      <c r="O400" t="inlineStr">
        <is>
          <t>USSEA</t>
        </is>
      </c>
      <c r="P400" t="inlineStr">
        <is>
          <t>USNFK</t>
        </is>
      </c>
      <c r="U400" t="inlineStr">
        <is>
          <t>RULED</t>
        </is>
      </c>
      <c r="V400" t="inlineStr">
        <is>
          <t>RULED</t>
        </is>
      </c>
      <c r="W400" t="inlineStr">
        <is>
          <t>CANADA</t>
        </is>
      </c>
      <c r="X400" t="inlineStr">
        <is>
          <t>PERSIAN GULF</t>
        </is>
      </c>
      <c r="Y400" t="inlineStr">
        <is>
          <t>RUSSIA</t>
        </is>
      </c>
      <c r="Z400" t="inlineStr">
        <is>
          <t>External Review</t>
        </is>
      </c>
      <c r="AA400" t="inlineStr">
        <is>
          <t>HUB SHIPPING LLC-LED</t>
        </is>
      </c>
      <c r="AB400" t="inlineStr">
        <is>
          <t>Prepaid</t>
        </is>
      </c>
      <c r="AC400" t="inlineStr">
        <is>
          <t>TIGER PLATA/969N</t>
        </is>
      </c>
      <c r="AD400" t="inlineStr">
        <is>
          <t>LI DA XING / VOYAGE 1</t>
        </is>
      </c>
      <c r="AE400" t="inlineStr">
        <is>
          <t>LADEN BOOKING</t>
        </is>
      </c>
      <c r="AF400" t="inlineStr">
        <is>
          <t>AR_MARTIMA</t>
        </is>
      </c>
      <c r="AG400" t="inlineStr">
        <is>
          <t>RH40</t>
        </is>
      </c>
      <c r="AI400" t="n">
        <v>40</v>
      </c>
      <c r="AJ400" t="n">
        <v>0</v>
      </c>
      <c r="AK400" t="n">
        <v>1</v>
      </c>
      <c r="AL400" t="inlineStr">
        <is>
          <t>ANON0000000</t>
        </is>
      </c>
      <c r="AM400" t="n">
        <v>-18</v>
      </c>
      <c r="AP400" t="inlineStr">
        <is>
          <t>Non Haz</t>
        </is>
      </c>
      <c r="AQ400" t="inlineStr">
        <is>
          <t>CY/CY</t>
        </is>
      </c>
      <c r="AT400" t="inlineStr">
        <is>
          <t>REF000000</t>
        </is>
      </c>
      <c r="AU400" t="n">
        <v>29000</v>
      </c>
      <c r="AV400" t="inlineStr">
        <is>
          <t>FROZEN MEAT</t>
        </is>
      </c>
      <c r="AW400" t="inlineStr">
        <is>
          <t>NCM 020622</t>
        </is>
      </c>
      <c r="AX400" t="inlineStr">
        <is>
          <t>RSAMI122500031</t>
        </is>
      </c>
      <c r="AZ400" t="n">
        <v>0</v>
      </c>
      <c r="BA400" t="n">
        <v>10</v>
      </c>
      <c r="BB400" t="n">
        <v>10</v>
      </c>
      <c r="BC400" t="n">
        <v>6800</v>
      </c>
      <c r="BD400" t="inlineStr">
        <is>
          <t>No</t>
        </is>
      </c>
      <c r="BF400" t="inlineStr">
        <is>
          <t>Bengal Tiger Line -BTL</t>
        </is>
      </c>
      <c r="BG400" t="inlineStr">
        <is>
          <t>USSEA</t>
        </is>
      </c>
      <c r="BH400" t="n">
        <v>0</v>
      </c>
      <c r="BI400" t="n">
        <v>1</v>
      </c>
      <c r="BJ400" t="n">
        <v>6800</v>
      </c>
      <c r="BK400" t="inlineStr">
        <is>
          <t>LINE</t>
        </is>
      </c>
      <c r="BL400" t="inlineStr">
        <is>
          <t>DOLPHIN REEFER</t>
        </is>
      </c>
      <c r="BM400" t="inlineStr">
        <is>
          <t>DOLPHIN REEFER</t>
        </is>
      </c>
    </row>
    <row r="401">
      <c r="A401" t="n">
        <v>400</v>
      </c>
      <c r="B401" t="inlineStr">
        <is>
          <t>MARLIN REEFER</t>
        </is>
      </c>
      <c r="C401" t="inlineStr">
        <is>
          <t>REF000000</t>
        </is>
      </c>
      <c r="D401" t="inlineStr">
        <is>
          <t>REF000000</t>
        </is>
      </c>
      <c r="E401" t="inlineStr">
        <is>
          <t>13-FEB-2026</t>
        </is>
      </c>
      <c r="F401" t="inlineStr">
        <is>
          <t>MARLIN REEFER</t>
        </is>
      </c>
      <c r="G401" t="inlineStr">
        <is>
          <t>ENTERED THROUGH SPLIT BOOKING FROM THE BOOKING ID REF000000, BY AR_MARTIMA, ON 2/13/2026 5:15:54 PM</t>
        </is>
      </c>
      <c r="H401" t="inlineStr">
        <is>
          <t>AR_MARTIMA</t>
        </is>
      </c>
      <c r="J401" t="inlineStr">
        <is>
          <t>23-FEB-2026</t>
        </is>
      </c>
      <c r="K401" t="inlineStr">
        <is>
          <t>22-FEB-2026</t>
        </is>
      </c>
      <c r="L401" t="inlineStr">
        <is>
          <t>23-FEB-2026</t>
        </is>
      </c>
      <c r="M401" t="inlineStr">
        <is>
          <t>REF000000</t>
        </is>
      </c>
      <c r="N401" t="inlineStr">
        <is>
          <t>USSEA</t>
        </is>
      </c>
      <c r="O401" t="inlineStr">
        <is>
          <t>USSEA</t>
        </is>
      </c>
      <c r="P401" t="inlineStr">
        <is>
          <t>USNFK</t>
        </is>
      </c>
      <c r="U401" t="inlineStr">
        <is>
          <t>RULED</t>
        </is>
      </c>
      <c r="V401" t="inlineStr">
        <is>
          <t>RULED</t>
        </is>
      </c>
      <c r="W401" t="inlineStr">
        <is>
          <t>CANADA</t>
        </is>
      </c>
      <c r="X401" t="inlineStr">
        <is>
          <t>PERSIAN GULF</t>
        </is>
      </c>
      <c r="Y401" t="inlineStr">
        <is>
          <t>RUSSIA</t>
        </is>
      </c>
      <c r="Z401" t="inlineStr">
        <is>
          <t>External Review</t>
        </is>
      </c>
      <c r="AA401" t="inlineStr">
        <is>
          <t>HUB SHIPPING LLC-LED</t>
        </is>
      </c>
      <c r="AB401" t="inlineStr">
        <is>
          <t>Prepaid</t>
        </is>
      </c>
      <c r="AC401" t="inlineStr">
        <is>
          <t>TIGER PLATA/969N</t>
        </is>
      </c>
      <c r="AD401" t="inlineStr">
        <is>
          <t>LI DA XING / VOYAGE 1</t>
        </is>
      </c>
      <c r="AE401" t="inlineStr">
        <is>
          <t>LADEN BOOKING</t>
        </is>
      </c>
      <c r="AF401" t="inlineStr">
        <is>
          <t>AR_MARTIMA</t>
        </is>
      </c>
      <c r="AG401" t="inlineStr">
        <is>
          <t>RH40</t>
        </is>
      </c>
      <c r="AI401" t="n">
        <v>40</v>
      </c>
      <c r="AJ401" t="n">
        <v>0</v>
      </c>
      <c r="AK401" t="n">
        <v>1</v>
      </c>
      <c r="AL401" t="inlineStr">
        <is>
          <t>ANON0000000</t>
        </is>
      </c>
      <c r="AM401" t="n">
        <v>-18</v>
      </c>
      <c r="AP401" t="inlineStr">
        <is>
          <t>Non Haz</t>
        </is>
      </c>
      <c r="AQ401" t="inlineStr">
        <is>
          <t>CY/CY</t>
        </is>
      </c>
      <c r="AT401" t="inlineStr">
        <is>
          <t>REF000000</t>
        </is>
      </c>
      <c r="AU401" t="n">
        <v>29000</v>
      </c>
      <c r="AV401" t="inlineStr">
        <is>
          <t>FROZEN MEAT</t>
        </is>
      </c>
      <c r="AW401" t="inlineStr">
        <is>
          <t>NCM 020622</t>
        </is>
      </c>
      <c r="AX401" t="inlineStr">
        <is>
          <t>RSAMI122500031</t>
        </is>
      </c>
      <c r="AZ401" t="n">
        <v>0</v>
      </c>
      <c r="BA401" t="n">
        <v>10</v>
      </c>
      <c r="BB401" t="n">
        <v>10</v>
      </c>
      <c r="BC401" t="n">
        <v>6800</v>
      </c>
      <c r="BD401" t="inlineStr">
        <is>
          <t>No</t>
        </is>
      </c>
      <c r="BF401" t="inlineStr">
        <is>
          <t>Bengal Tiger Line -BTL</t>
        </is>
      </c>
      <c r="BG401" t="inlineStr">
        <is>
          <t>USSEA</t>
        </is>
      </c>
      <c r="BH401" t="n">
        <v>0</v>
      </c>
      <c r="BI401" t="n">
        <v>1</v>
      </c>
      <c r="BJ401" t="n">
        <v>6800</v>
      </c>
      <c r="BK401" t="inlineStr">
        <is>
          <t>LINE</t>
        </is>
      </c>
      <c r="BL401" t="inlineStr">
        <is>
          <t>MARLIN REEFER</t>
        </is>
      </c>
      <c r="BM401" t="inlineStr">
        <is>
          <t>MARLIN REEFER</t>
        </is>
      </c>
    </row>
    <row r="402">
      <c r="A402" t="n">
        <v>401</v>
      </c>
      <c r="B402" t="inlineStr">
        <is>
          <t>TURTLE REEFER</t>
        </is>
      </c>
      <c r="C402" t="inlineStr">
        <is>
          <t>REF000000</t>
        </is>
      </c>
      <c r="D402" t="inlineStr">
        <is>
          <t>REF000000</t>
        </is>
      </c>
      <c r="E402" t="inlineStr">
        <is>
          <t>13-FEB-2026</t>
        </is>
      </c>
      <c r="F402" t="inlineStr">
        <is>
          <t>TURTLE REEFER</t>
        </is>
      </c>
      <c r="G402" t="inlineStr">
        <is>
          <t>ENTERED THROUGH SPLIT BOOKING FROM THE BOOKING ID REF000000, BY AR_MARTIMA, ON 2/13/2026 5:15:54 PM</t>
        </is>
      </c>
      <c r="H402" t="inlineStr">
        <is>
          <t>AR_MARTIMA</t>
        </is>
      </c>
      <c r="J402" t="inlineStr">
        <is>
          <t>23-FEB-2026</t>
        </is>
      </c>
      <c r="K402" t="inlineStr">
        <is>
          <t>22-FEB-2026</t>
        </is>
      </c>
      <c r="L402" t="inlineStr">
        <is>
          <t>23-FEB-2026</t>
        </is>
      </c>
      <c r="M402" t="inlineStr">
        <is>
          <t>REF000000</t>
        </is>
      </c>
      <c r="N402" t="inlineStr">
        <is>
          <t>USSEA</t>
        </is>
      </c>
      <c r="O402" t="inlineStr">
        <is>
          <t>USSEA</t>
        </is>
      </c>
      <c r="P402" t="inlineStr">
        <is>
          <t>USNFK</t>
        </is>
      </c>
      <c r="U402" t="inlineStr">
        <is>
          <t>RULED</t>
        </is>
      </c>
      <c r="V402" t="inlineStr">
        <is>
          <t>RULED</t>
        </is>
      </c>
      <c r="W402" t="inlineStr">
        <is>
          <t>CANADA</t>
        </is>
      </c>
      <c r="X402" t="inlineStr">
        <is>
          <t>PERSIAN GULF</t>
        </is>
      </c>
      <c r="Y402" t="inlineStr">
        <is>
          <t>RUSSIA</t>
        </is>
      </c>
      <c r="Z402" t="inlineStr">
        <is>
          <t>External Review</t>
        </is>
      </c>
      <c r="AA402" t="inlineStr">
        <is>
          <t>HUB SHIPPING LLC-LED</t>
        </is>
      </c>
      <c r="AB402" t="inlineStr">
        <is>
          <t>Prepaid</t>
        </is>
      </c>
      <c r="AC402" t="inlineStr">
        <is>
          <t>TIGER PLATA/969N</t>
        </is>
      </c>
      <c r="AD402" t="inlineStr">
        <is>
          <t>LI DA XING / VOYAGE 1</t>
        </is>
      </c>
      <c r="AE402" t="inlineStr">
        <is>
          <t>LADEN BOOKING</t>
        </is>
      </c>
      <c r="AF402" t="inlineStr">
        <is>
          <t>AR_MARTIMA</t>
        </is>
      </c>
      <c r="AG402" t="inlineStr">
        <is>
          <t>RH40</t>
        </is>
      </c>
      <c r="AI402" t="n">
        <v>40</v>
      </c>
      <c r="AJ402" t="n">
        <v>0</v>
      </c>
      <c r="AK402" t="n">
        <v>1</v>
      </c>
      <c r="AL402" t="inlineStr">
        <is>
          <t>ANON0000000</t>
        </is>
      </c>
      <c r="AM402" t="n">
        <v>-18</v>
      </c>
      <c r="AP402" t="inlineStr">
        <is>
          <t>Non Haz</t>
        </is>
      </c>
      <c r="AQ402" t="inlineStr">
        <is>
          <t>CY/CY</t>
        </is>
      </c>
      <c r="AT402" t="inlineStr">
        <is>
          <t>REF000000</t>
        </is>
      </c>
      <c r="AU402" t="n">
        <v>29000</v>
      </c>
      <c r="AV402" t="inlineStr">
        <is>
          <t>FROZEN MEAT</t>
        </is>
      </c>
      <c r="AW402" t="inlineStr">
        <is>
          <t>NCM 020621</t>
        </is>
      </c>
      <c r="AX402" t="inlineStr">
        <is>
          <t>RSAMI122500031</t>
        </is>
      </c>
      <c r="AZ402" t="n">
        <v>0</v>
      </c>
      <c r="BA402" t="n">
        <v>10</v>
      </c>
      <c r="BB402" t="n">
        <v>10</v>
      </c>
      <c r="BC402" t="n">
        <v>6800</v>
      </c>
      <c r="BD402" t="inlineStr">
        <is>
          <t>No</t>
        </is>
      </c>
      <c r="BF402" t="inlineStr">
        <is>
          <t>Bengal Tiger Line -BTL</t>
        </is>
      </c>
      <c r="BG402" t="inlineStr">
        <is>
          <t>USSEA</t>
        </is>
      </c>
      <c r="BH402" t="n">
        <v>0</v>
      </c>
      <c r="BI402" t="n">
        <v>1</v>
      </c>
      <c r="BJ402" t="n">
        <v>6800</v>
      </c>
      <c r="BK402" t="inlineStr">
        <is>
          <t>LINE</t>
        </is>
      </c>
      <c r="BL402" t="inlineStr">
        <is>
          <t>TURTLE REEFER</t>
        </is>
      </c>
      <c r="BM402" t="inlineStr">
        <is>
          <t>TURTLE REEFER</t>
        </is>
      </c>
    </row>
    <row r="403">
      <c r="A403" t="n">
        <v>402</v>
      </c>
      <c r="B403" t="inlineStr">
        <is>
          <t>ORCA REEFER</t>
        </is>
      </c>
      <c r="C403" t="inlineStr">
        <is>
          <t>REF000000</t>
        </is>
      </c>
      <c r="D403" t="inlineStr">
        <is>
          <t>REF000000</t>
        </is>
      </c>
      <c r="E403" t="inlineStr">
        <is>
          <t>13-FEB-2026</t>
        </is>
      </c>
      <c r="F403" t="inlineStr">
        <is>
          <t>ORCA REEFER</t>
        </is>
      </c>
      <c r="G403" t="inlineStr">
        <is>
          <t>ENTERED THROUGH SPLIT BOOKING FROM THE BOOKING ID REF000000, BY AR_MARTIMA, ON 2/13/2026 5:15:54 PM</t>
        </is>
      </c>
      <c r="H403" t="inlineStr">
        <is>
          <t>AR_MARTIMA</t>
        </is>
      </c>
      <c r="J403" t="inlineStr">
        <is>
          <t>23-FEB-2026</t>
        </is>
      </c>
      <c r="K403" t="inlineStr">
        <is>
          <t>22-FEB-2026</t>
        </is>
      </c>
      <c r="L403" t="inlineStr">
        <is>
          <t>23-FEB-2026</t>
        </is>
      </c>
      <c r="M403" t="inlineStr">
        <is>
          <t>REF000000</t>
        </is>
      </c>
      <c r="N403" t="inlineStr">
        <is>
          <t>USSEA</t>
        </is>
      </c>
      <c r="O403" t="inlineStr">
        <is>
          <t>USSEA</t>
        </is>
      </c>
      <c r="P403" t="inlineStr">
        <is>
          <t>USNFK</t>
        </is>
      </c>
      <c r="U403" t="inlineStr">
        <is>
          <t>RULED</t>
        </is>
      </c>
      <c r="V403" t="inlineStr">
        <is>
          <t>RULED</t>
        </is>
      </c>
      <c r="W403" t="inlineStr">
        <is>
          <t>CANADA</t>
        </is>
      </c>
      <c r="X403" t="inlineStr">
        <is>
          <t>PERSIAN GULF</t>
        </is>
      </c>
      <c r="Y403" t="inlineStr">
        <is>
          <t>RUSSIA</t>
        </is>
      </c>
      <c r="Z403" t="inlineStr">
        <is>
          <t>External Review</t>
        </is>
      </c>
      <c r="AA403" t="inlineStr">
        <is>
          <t>HUB SHIPPING LLC-LED</t>
        </is>
      </c>
      <c r="AB403" t="inlineStr">
        <is>
          <t>Prepaid</t>
        </is>
      </c>
      <c r="AC403" t="inlineStr">
        <is>
          <t>TIGER PLATA/969N</t>
        </is>
      </c>
      <c r="AD403" t="inlineStr">
        <is>
          <t>LI DA XING / VOYAGE 1</t>
        </is>
      </c>
      <c r="AE403" t="inlineStr">
        <is>
          <t>LADEN BOOKING</t>
        </is>
      </c>
      <c r="AF403" t="inlineStr">
        <is>
          <t>AR_MARTIMA</t>
        </is>
      </c>
      <c r="AG403" t="inlineStr">
        <is>
          <t>RH40</t>
        </is>
      </c>
      <c r="AI403" t="n">
        <v>40</v>
      </c>
      <c r="AJ403" t="n">
        <v>0</v>
      </c>
      <c r="AK403" t="n">
        <v>1</v>
      </c>
      <c r="AL403" t="inlineStr">
        <is>
          <t>ANON0000000</t>
        </is>
      </c>
      <c r="AM403" t="n">
        <v>-18</v>
      </c>
      <c r="AP403" t="inlineStr">
        <is>
          <t>Non Haz</t>
        </is>
      </c>
      <c r="AQ403" t="inlineStr">
        <is>
          <t>CY/CY</t>
        </is>
      </c>
      <c r="AT403" t="inlineStr">
        <is>
          <t>REF000000</t>
        </is>
      </c>
      <c r="AU403" t="n">
        <v>29000</v>
      </c>
      <c r="AV403" t="inlineStr">
        <is>
          <t>FROZEN MEAT</t>
        </is>
      </c>
      <c r="AW403" t="inlineStr">
        <is>
          <t>NCM: 0206.29 NCM: 0206.22</t>
        </is>
      </c>
      <c r="AX403" t="inlineStr">
        <is>
          <t>RSAMI122500031</t>
        </is>
      </c>
      <c r="AZ403" t="n">
        <v>0</v>
      </c>
      <c r="BA403" t="n">
        <v>10</v>
      </c>
      <c r="BB403" t="n">
        <v>10</v>
      </c>
      <c r="BC403" t="n">
        <v>6800</v>
      </c>
      <c r="BD403" t="inlineStr">
        <is>
          <t>No</t>
        </is>
      </c>
      <c r="BF403" t="inlineStr">
        <is>
          <t>Bengal Tiger Line -BTL</t>
        </is>
      </c>
      <c r="BG403" t="inlineStr">
        <is>
          <t>USSEA</t>
        </is>
      </c>
      <c r="BH403" t="n">
        <v>0</v>
      </c>
      <c r="BI403" t="n">
        <v>1</v>
      </c>
      <c r="BJ403" t="n">
        <v>6800</v>
      </c>
      <c r="BK403" t="inlineStr">
        <is>
          <t>LINE</t>
        </is>
      </c>
      <c r="BL403" t="inlineStr">
        <is>
          <t>ORCA REEFER</t>
        </is>
      </c>
      <c r="BM403" t="inlineStr">
        <is>
          <t>ORCA REEFER</t>
        </is>
      </c>
    </row>
    <row r="404">
      <c r="A404" t="n">
        <v>403</v>
      </c>
      <c r="B404" t="inlineStr">
        <is>
          <t>WHALE REEFER</t>
        </is>
      </c>
      <c r="C404" t="inlineStr">
        <is>
          <t>REF000000</t>
        </is>
      </c>
      <c r="D404" t="inlineStr">
        <is>
          <t>REF000000</t>
        </is>
      </c>
      <c r="E404" t="inlineStr">
        <is>
          <t>13-FEB-2026</t>
        </is>
      </c>
      <c r="F404" t="inlineStr">
        <is>
          <t>WHALE REEFER</t>
        </is>
      </c>
      <c r="G404" t="inlineStr">
        <is>
          <t>ENTERED THROUGH SPLIT BOOKING FROM THE BOOKING ID REF000000, BY AR_MARTIMA, ON 2/13/2026 5:15:54 PM</t>
        </is>
      </c>
      <c r="H404" t="inlineStr">
        <is>
          <t>AR_MARTIMA</t>
        </is>
      </c>
      <c r="J404" t="inlineStr">
        <is>
          <t>23-FEB-2026</t>
        </is>
      </c>
      <c r="K404" t="inlineStr">
        <is>
          <t>22-FEB-2026</t>
        </is>
      </c>
      <c r="L404" t="inlineStr">
        <is>
          <t>23-FEB-2026</t>
        </is>
      </c>
      <c r="M404" t="inlineStr">
        <is>
          <t>REF000000</t>
        </is>
      </c>
      <c r="N404" t="inlineStr">
        <is>
          <t>USSEA</t>
        </is>
      </c>
      <c r="O404" t="inlineStr">
        <is>
          <t>USSEA</t>
        </is>
      </c>
      <c r="P404" t="inlineStr">
        <is>
          <t>USNFK</t>
        </is>
      </c>
      <c r="U404" t="inlineStr">
        <is>
          <t>RULED</t>
        </is>
      </c>
      <c r="V404" t="inlineStr">
        <is>
          <t>RULED</t>
        </is>
      </c>
      <c r="W404" t="inlineStr">
        <is>
          <t>CANADA</t>
        </is>
      </c>
      <c r="X404" t="inlineStr">
        <is>
          <t>PERSIAN GULF</t>
        </is>
      </c>
      <c r="Y404" t="inlineStr">
        <is>
          <t>RUSSIA</t>
        </is>
      </c>
      <c r="Z404" t="inlineStr">
        <is>
          <t>External Review</t>
        </is>
      </c>
      <c r="AA404" t="inlineStr">
        <is>
          <t>HUB SHIPPING LLC-LED</t>
        </is>
      </c>
      <c r="AB404" t="inlineStr">
        <is>
          <t>Prepaid</t>
        </is>
      </c>
      <c r="AC404" t="inlineStr">
        <is>
          <t>TIGER PLATA/969N</t>
        </is>
      </c>
      <c r="AD404" t="inlineStr">
        <is>
          <t>LI DA XING / VOYAGE 1</t>
        </is>
      </c>
      <c r="AE404" t="inlineStr">
        <is>
          <t>LADEN BOOKING</t>
        </is>
      </c>
      <c r="AF404" t="inlineStr">
        <is>
          <t>AR_MARTIMA</t>
        </is>
      </c>
      <c r="AG404" t="inlineStr">
        <is>
          <t>RH40</t>
        </is>
      </c>
      <c r="AI404" t="n">
        <v>40</v>
      </c>
      <c r="AJ404" t="n">
        <v>0</v>
      </c>
      <c r="AK404" t="n">
        <v>1</v>
      </c>
      <c r="AL404" t="inlineStr">
        <is>
          <t>ANON0000000</t>
        </is>
      </c>
      <c r="AM404" t="n">
        <v>-18</v>
      </c>
      <c r="AP404" t="inlineStr">
        <is>
          <t>Non Haz</t>
        </is>
      </c>
      <c r="AQ404" t="inlineStr">
        <is>
          <t>CY/CY</t>
        </is>
      </c>
      <c r="AT404" t="inlineStr">
        <is>
          <t>REF000000</t>
        </is>
      </c>
      <c r="AU404" t="n">
        <v>29000</v>
      </c>
      <c r="AV404" t="inlineStr">
        <is>
          <t>FROZEN MEAT</t>
        </is>
      </c>
      <c r="AW404" t="inlineStr">
        <is>
          <t>NCM 020629</t>
        </is>
      </c>
      <c r="AX404" t="inlineStr">
        <is>
          <t>RSAMI122500031</t>
        </is>
      </c>
      <c r="AZ404" t="n">
        <v>0</v>
      </c>
      <c r="BA404" t="n">
        <v>10</v>
      </c>
      <c r="BB404" t="n">
        <v>10</v>
      </c>
      <c r="BC404" t="n">
        <v>6800</v>
      </c>
      <c r="BD404" t="inlineStr">
        <is>
          <t>No</t>
        </is>
      </c>
      <c r="BF404" t="inlineStr">
        <is>
          <t>Bengal Tiger Line -BTL</t>
        </is>
      </c>
      <c r="BG404" t="inlineStr">
        <is>
          <t>USSEA</t>
        </is>
      </c>
      <c r="BH404" t="n">
        <v>0</v>
      </c>
      <c r="BI404" t="n">
        <v>1</v>
      </c>
      <c r="BJ404" t="n">
        <v>6800</v>
      </c>
      <c r="BK404" t="inlineStr">
        <is>
          <t>LINE</t>
        </is>
      </c>
      <c r="BL404" t="inlineStr">
        <is>
          <t>WHALE REEFER</t>
        </is>
      </c>
      <c r="BM404" t="inlineStr">
        <is>
          <t>WHALE REEFER</t>
        </is>
      </c>
    </row>
    <row r="405">
      <c r="A405" t="n">
        <v>404</v>
      </c>
      <c r="B405" t="inlineStr">
        <is>
          <t>SEAL REEFER</t>
        </is>
      </c>
      <c r="C405" t="inlineStr">
        <is>
          <t>REF000000</t>
        </is>
      </c>
      <c r="D405" t="inlineStr">
        <is>
          <t>REF000000</t>
        </is>
      </c>
      <c r="E405" t="inlineStr">
        <is>
          <t>13-FEB-2026</t>
        </is>
      </c>
      <c r="F405" t="inlineStr">
        <is>
          <t>SEAL REEFER</t>
        </is>
      </c>
      <c r="G405" t="inlineStr">
        <is>
          <t>ENTERED THROUGH SPLIT BOOKING FROM THE BOOKING ID REF000000, BY AR_MARTIMA, ON 2/13/2026 5:15:54 PM</t>
        </is>
      </c>
      <c r="H405" t="inlineStr">
        <is>
          <t>AR_MARTIMA</t>
        </is>
      </c>
      <c r="J405" t="inlineStr">
        <is>
          <t>23-FEB-2026</t>
        </is>
      </c>
      <c r="K405" t="inlineStr">
        <is>
          <t>22-FEB-2026</t>
        </is>
      </c>
      <c r="L405" t="inlineStr">
        <is>
          <t>23-FEB-2026</t>
        </is>
      </c>
      <c r="M405" t="inlineStr">
        <is>
          <t>REF000000</t>
        </is>
      </c>
      <c r="N405" t="inlineStr">
        <is>
          <t>USSEA</t>
        </is>
      </c>
      <c r="O405" t="inlineStr">
        <is>
          <t>USSEA</t>
        </is>
      </c>
      <c r="P405" t="inlineStr">
        <is>
          <t>USNFK</t>
        </is>
      </c>
      <c r="U405" t="inlineStr">
        <is>
          <t>RULED</t>
        </is>
      </c>
      <c r="V405" t="inlineStr">
        <is>
          <t>RULED</t>
        </is>
      </c>
      <c r="W405" t="inlineStr">
        <is>
          <t>CANADA</t>
        </is>
      </c>
      <c r="X405" t="inlineStr">
        <is>
          <t>PERSIAN GULF</t>
        </is>
      </c>
      <c r="Y405" t="inlineStr">
        <is>
          <t>RUSSIA</t>
        </is>
      </c>
      <c r="Z405" t="inlineStr">
        <is>
          <t>External Review</t>
        </is>
      </c>
      <c r="AA405" t="inlineStr">
        <is>
          <t>HUB SHIPPING LLC-LED</t>
        </is>
      </c>
      <c r="AB405" t="inlineStr">
        <is>
          <t>Prepaid</t>
        </is>
      </c>
      <c r="AC405" t="inlineStr">
        <is>
          <t>TIGER PLATA/969N</t>
        </is>
      </c>
      <c r="AD405" t="inlineStr">
        <is>
          <t>LI DA XING / VOYAGE 1</t>
        </is>
      </c>
      <c r="AE405" t="inlineStr">
        <is>
          <t>LADEN BOOKING</t>
        </is>
      </c>
      <c r="AF405" t="inlineStr">
        <is>
          <t>AR_MARTIMA</t>
        </is>
      </c>
      <c r="AG405" t="inlineStr">
        <is>
          <t>RH40</t>
        </is>
      </c>
      <c r="AI405" t="n">
        <v>40</v>
      </c>
      <c r="AJ405" t="n">
        <v>0</v>
      </c>
      <c r="AK405" t="n">
        <v>1</v>
      </c>
      <c r="AL405" t="inlineStr">
        <is>
          <t>ANON0000000</t>
        </is>
      </c>
      <c r="AM405" t="n">
        <v>-18</v>
      </c>
      <c r="AP405" t="inlineStr">
        <is>
          <t>Non Haz</t>
        </is>
      </c>
      <c r="AQ405" t="inlineStr">
        <is>
          <t>CY/CY</t>
        </is>
      </c>
      <c r="AT405" t="inlineStr">
        <is>
          <t>REF000000</t>
        </is>
      </c>
      <c r="AU405" t="n">
        <v>29000</v>
      </c>
      <c r="AV405" t="inlineStr">
        <is>
          <t>FROZEN MEAT</t>
        </is>
      </c>
      <c r="AW405" t="inlineStr">
        <is>
          <t>NCM 020629</t>
        </is>
      </c>
      <c r="AX405" t="inlineStr">
        <is>
          <t>RSAMI122500031</t>
        </is>
      </c>
      <c r="AZ405" t="n">
        <v>0</v>
      </c>
      <c r="BA405" t="n">
        <v>10</v>
      </c>
      <c r="BB405" t="n">
        <v>10</v>
      </c>
      <c r="BC405" t="n">
        <v>6800</v>
      </c>
      <c r="BD405" t="inlineStr">
        <is>
          <t>No</t>
        </is>
      </c>
      <c r="BF405" t="inlineStr">
        <is>
          <t>Bengal Tiger Line -BTL</t>
        </is>
      </c>
      <c r="BG405" t="inlineStr">
        <is>
          <t>USSEA</t>
        </is>
      </c>
      <c r="BH405" t="n">
        <v>0</v>
      </c>
      <c r="BI405" t="n">
        <v>1</v>
      </c>
      <c r="BJ405" t="n">
        <v>6800</v>
      </c>
      <c r="BK405" t="inlineStr">
        <is>
          <t>LINE</t>
        </is>
      </c>
      <c r="BL405" t="inlineStr">
        <is>
          <t>SEAL REEFER</t>
        </is>
      </c>
      <c r="BM405" t="inlineStr">
        <is>
          <t>SEAL REEFER</t>
        </is>
      </c>
    </row>
    <row r="406">
      <c r="A406" t="n">
        <v>405</v>
      </c>
      <c r="B406" t="inlineStr">
        <is>
          <t>SHARK REEFER</t>
        </is>
      </c>
      <c r="C406" t="inlineStr">
        <is>
          <t>REF000000</t>
        </is>
      </c>
      <c r="D406" t="inlineStr">
        <is>
          <t>REF000000</t>
        </is>
      </c>
      <c r="E406" t="inlineStr">
        <is>
          <t>13-FEB-2026</t>
        </is>
      </c>
      <c r="F406" t="inlineStr">
        <is>
          <t>SHARK REEFER</t>
        </is>
      </c>
      <c r="G406" t="inlineStr">
        <is>
          <t>1X40RH TEMP -18</t>
        </is>
      </c>
      <c r="H406" t="inlineStr">
        <is>
          <t>AR_MARTIMA</t>
        </is>
      </c>
      <c r="J406" t="inlineStr">
        <is>
          <t>23-FEB-2026</t>
        </is>
      </c>
      <c r="K406" t="inlineStr">
        <is>
          <t>22-FEB-2026</t>
        </is>
      </c>
      <c r="L406" t="inlineStr">
        <is>
          <t>23-FEB-2026</t>
        </is>
      </c>
      <c r="M406" t="inlineStr">
        <is>
          <t>REF000000</t>
        </is>
      </c>
      <c r="N406" t="inlineStr">
        <is>
          <t>USSEA</t>
        </is>
      </c>
      <c r="O406" t="inlineStr">
        <is>
          <t>USSEA</t>
        </is>
      </c>
      <c r="P406" t="inlineStr">
        <is>
          <t>USNFK</t>
        </is>
      </c>
      <c r="U406" t="inlineStr">
        <is>
          <t>RULED</t>
        </is>
      </c>
      <c r="V406" t="inlineStr">
        <is>
          <t>RULED</t>
        </is>
      </c>
      <c r="W406" t="inlineStr">
        <is>
          <t>CANADA</t>
        </is>
      </c>
      <c r="X406" t="inlineStr">
        <is>
          <t>PERSIAN GULF</t>
        </is>
      </c>
      <c r="Y406" t="inlineStr">
        <is>
          <t>RUSSIA</t>
        </is>
      </c>
      <c r="Z406" t="inlineStr">
        <is>
          <t>External Review</t>
        </is>
      </c>
      <c r="AA406" t="inlineStr">
        <is>
          <t>HUB SHIPPING LLC-LED</t>
        </is>
      </c>
      <c r="AB406" t="inlineStr">
        <is>
          <t>Prepaid</t>
        </is>
      </c>
      <c r="AC406" t="inlineStr">
        <is>
          <t>TIGER PLATA/969N</t>
        </is>
      </c>
      <c r="AD406" t="inlineStr">
        <is>
          <t>LI DA XING / VOYAGE 1</t>
        </is>
      </c>
      <c r="AE406" t="inlineStr">
        <is>
          <t>LADEN BOOKING</t>
        </is>
      </c>
      <c r="AF406" t="inlineStr">
        <is>
          <t>AR_MARTIMA</t>
        </is>
      </c>
      <c r="AG406" t="inlineStr">
        <is>
          <t>RH40</t>
        </is>
      </c>
      <c r="AH406" t="inlineStr">
        <is>
          <t>NO</t>
        </is>
      </c>
      <c r="AI406" t="n">
        <v>40</v>
      </c>
      <c r="AJ406" t="n">
        <v>0</v>
      </c>
      <c r="AK406" t="n">
        <v>1</v>
      </c>
      <c r="AL406" t="inlineStr">
        <is>
          <t>ANON0000000</t>
        </is>
      </c>
      <c r="AM406" t="n">
        <v>-18</v>
      </c>
      <c r="AP406" t="inlineStr">
        <is>
          <t>Non Haz</t>
        </is>
      </c>
      <c r="AQ406" t="inlineStr">
        <is>
          <t>CY/CY</t>
        </is>
      </c>
      <c r="AT406" t="inlineStr">
        <is>
          <t>REF000000</t>
        </is>
      </c>
      <c r="AU406" t="n">
        <v>29000</v>
      </c>
      <c r="AV406" t="inlineStr">
        <is>
          <t>FROZEN BONELESS BUFFALO MEAT</t>
        </is>
      </c>
      <c r="AW406" t="inlineStr">
        <is>
          <t>N.C.M.: 0206.21</t>
        </is>
      </c>
      <c r="AX406" t="inlineStr">
        <is>
          <t>RSAMI122500027</t>
        </is>
      </c>
      <c r="AZ406" t="n">
        <v>0</v>
      </c>
      <c r="BA406" t="n">
        <v>10</v>
      </c>
      <c r="BB406" t="n">
        <v>10</v>
      </c>
      <c r="BC406" t="n">
        <v>7300</v>
      </c>
      <c r="BD406" t="inlineStr">
        <is>
          <t>No</t>
        </is>
      </c>
      <c r="BF406" t="inlineStr">
        <is>
          <t>Bengal Tiger Line -BTL</t>
        </is>
      </c>
      <c r="BG406" t="inlineStr">
        <is>
          <t>USSEA</t>
        </is>
      </c>
      <c r="BH406" t="n">
        <v>0</v>
      </c>
      <c r="BI406" t="n">
        <v>1</v>
      </c>
      <c r="BJ406" t="n">
        <v>7300</v>
      </c>
      <c r="BK406" t="inlineStr">
        <is>
          <t>LINE</t>
        </is>
      </c>
      <c r="BL406" t="inlineStr">
        <is>
          <t>SHARK REEFER</t>
        </is>
      </c>
      <c r="BM406" t="inlineStr">
        <is>
          <t>SHARK REEFER</t>
        </is>
      </c>
    </row>
    <row r="407">
      <c r="A407" t="n">
        <v>406</v>
      </c>
      <c r="B407" t="inlineStr">
        <is>
          <t>DOLPHIN REEFER</t>
        </is>
      </c>
      <c r="C407" t="inlineStr">
        <is>
          <t>REF000000</t>
        </is>
      </c>
      <c r="D407" t="inlineStr">
        <is>
          <t>REF000000</t>
        </is>
      </c>
      <c r="E407" t="inlineStr">
        <is>
          <t>13-FEB-2026</t>
        </is>
      </c>
      <c r="F407" t="inlineStr">
        <is>
          <t>DOLPHIN REEFER</t>
        </is>
      </c>
      <c r="G407" t="inlineStr">
        <is>
          <t>ENTERED THROUGH SPLIT BOOKING FROM THE BOOKING ID REF000000, BY AR_MARTIMA, ON 2/13/2026 6:18:36 PM</t>
        </is>
      </c>
      <c r="H407" t="inlineStr">
        <is>
          <t>AR_MARTIMA</t>
        </is>
      </c>
      <c r="J407" t="inlineStr">
        <is>
          <t>23-FEB-2026</t>
        </is>
      </c>
      <c r="K407" t="inlineStr">
        <is>
          <t>22-FEB-2026</t>
        </is>
      </c>
      <c r="L407" t="inlineStr">
        <is>
          <t>23-FEB-2026</t>
        </is>
      </c>
      <c r="M407" t="inlineStr">
        <is>
          <t>REF000000</t>
        </is>
      </c>
      <c r="N407" t="inlineStr">
        <is>
          <t>USSEA</t>
        </is>
      </c>
      <c r="O407" t="inlineStr">
        <is>
          <t>USSEA</t>
        </is>
      </c>
      <c r="P407" t="inlineStr">
        <is>
          <t>USNFK</t>
        </is>
      </c>
      <c r="U407" t="inlineStr">
        <is>
          <t>RULED</t>
        </is>
      </c>
      <c r="V407" t="inlineStr">
        <is>
          <t>RULED</t>
        </is>
      </c>
      <c r="W407" t="inlineStr">
        <is>
          <t>CANADA</t>
        </is>
      </c>
      <c r="X407" t="inlineStr">
        <is>
          <t>PERSIAN GULF</t>
        </is>
      </c>
      <c r="Y407" t="inlineStr">
        <is>
          <t>RUSSIA</t>
        </is>
      </c>
      <c r="Z407" t="inlineStr">
        <is>
          <t>External Review</t>
        </is>
      </c>
      <c r="AA407" t="inlineStr">
        <is>
          <t>HUB SHIPPING LLC-LED</t>
        </is>
      </c>
      <c r="AB407" t="inlineStr">
        <is>
          <t>Prepaid</t>
        </is>
      </c>
      <c r="AC407" t="inlineStr">
        <is>
          <t>TIGER PLATA/969N</t>
        </is>
      </c>
      <c r="AD407" t="inlineStr">
        <is>
          <t>LI DA XING / VOYAGE 1</t>
        </is>
      </c>
      <c r="AE407" t="inlineStr">
        <is>
          <t>LADEN BOOKING</t>
        </is>
      </c>
      <c r="AF407" t="inlineStr">
        <is>
          <t>AR_MARTIMA</t>
        </is>
      </c>
      <c r="AG407" t="inlineStr">
        <is>
          <t>RH40</t>
        </is>
      </c>
      <c r="AI407" t="n">
        <v>40</v>
      </c>
      <c r="AJ407" t="n">
        <v>0</v>
      </c>
      <c r="AK407" t="n">
        <v>1</v>
      </c>
      <c r="AL407" t="inlineStr">
        <is>
          <t>ANON0000000</t>
        </is>
      </c>
      <c r="AM407" t="n">
        <v>-18</v>
      </c>
      <c r="AP407" t="inlineStr">
        <is>
          <t>Non Haz</t>
        </is>
      </c>
      <c r="AQ407" t="inlineStr">
        <is>
          <t>CY/CY</t>
        </is>
      </c>
      <c r="AT407" t="inlineStr">
        <is>
          <t>REF000000</t>
        </is>
      </c>
      <c r="AU407" t="n">
        <v>29000</v>
      </c>
      <c r="AV407" t="inlineStr">
        <is>
          <t>FROZEN BONELESS BUFFALO MEAT</t>
        </is>
      </c>
      <c r="AW407" t="inlineStr">
        <is>
          <t>N.C.M.: 0206.22</t>
        </is>
      </c>
      <c r="AX407" t="inlineStr">
        <is>
          <t>RSAMI122500027</t>
        </is>
      </c>
      <c r="AZ407" t="n">
        <v>0</v>
      </c>
      <c r="BA407" t="n">
        <v>10</v>
      </c>
      <c r="BB407" t="n">
        <v>10</v>
      </c>
      <c r="BC407" t="n">
        <v>7300</v>
      </c>
      <c r="BD407" t="inlineStr">
        <is>
          <t>No</t>
        </is>
      </c>
      <c r="BF407" t="inlineStr">
        <is>
          <t>Bengal Tiger Line -BTL</t>
        </is>
      </c>
      <c r="BG407" t="inlineStr">
        <is>
          <t>USSEA</t>
        </is>
      </c>
      <c r="BH407" t="n">
        <v>0</v>
      </c>
      <c r="BI407" t="n">
        <v>1</v>
      </c>
      <c r="BJ407" t="n">
        <v>7300</v>
      </c>
      <c r="BK407" t="inlineStr">
        <is>
          <t>LINE</t>
        </is>
      </c>
      <c r="BL407" t="inlineStr">
        <is>
          <t>DOLPHIN REEFER</t>
        </is>
      </c>
      <c r="BM407" t="inlineStr">
        <is>
          <t>DOLPHIN REEFER</t>
        </is>
      </c>
    </row>
    <row r="408">
      <c r="A408" t="n">
        <v>407</v>
      </c>
      <c r="B408" t="inlineStr">
        <is>
          <t>MARLIN REEFER</t>
        </is>
      </c>
      <c r="C408" t="inlineStr">
        <is>
          <t>REF000000</t>
        </is>
      </c>
      <c r="D408" t="inlineStr">
        <is>
          <t>REF000000</t>
        </is>
      </c>
      <c r="E408" t="inlineStr">
        <is>
          <t>13-FEB-2026</t>
        </is>
      </c>
      <c r="F408" t="inlineStr">
        <is>
          <t>MARLIN REEFER</t>
        </is>
      </c>
      <c r="G408" t="inlineStr">
        <is>
          <t>ENTERED THROUGH SPLIT BOOKING FROM THE BOOKING ID REF000000, BY AR_MARTIMA, ON 2/13/2026 6:18:36 PM</t>
        </is>
      </c>
      <c r="H408" t="inlineStr">
        <is>
          <t>AR_MARTIMA</t>
        </is>
      </c>
      <c r="J408" t="inlineStr">
        <is>
          <t>23-FEB-2026</t>
        </is>
      </c>
      <c r="K408" t="inlineStr">
        <is>
          <t>22-FEB-2026</t>
        </is>
      </c>
      <c r="L408" t="inlineStr">
        <is>
          <t>23-FEB-2026</t>
        </is>
      </c>
      <c r="M408" t="inlineStr">
        <is>
          <t>REF000000</t>
        </is>
      </c>
      <c r="N408" t="inlineStr">
        <is>
          <t>USSEA</t>
        </is>
      </c>
      <c r="O408" t="inlineStr">
        <is>
          <t>USSEA</t>
        </is>
      </c>
      <c r="P408" t="inlineStr">
        <is>
          <t>USNFK</t>
        </is>
      </c>
      <c r="U408" t="inlineStr">
        <is>
          <t>RULED</t>
        </is>
      </c>
      <c r="V408" t="inlineStr">
        <is>
          <t>RULED</t>
        </is>
      </c>
      <c r="W408" t="inlineStr">
        <is>
          <t>CANADA</t>
        </is>
      </c>
      <c r="X408" t="inlineStr">
        <is>
          <t>PERSIAN GULF</t>
        </is>
      </c>
      <c r="Y408" t="inlineStr">
        <is>
          <t>RUSSIA</t>
        </is>
      </c>
      <c r="Z408" t="inlineStr">
        <is>
          <t>External Review</t>
        </is>
      </c>
      <c r="AA408" t="inlineStr">
        <is>
          <t>HUB SHIPPING LLC-LED</t>
        </is>
      </c>
      <c r="AB408" t="inlineStr">
        <is>
          <t>Prepaid</t>
        </is>
      </c>
      <c r="AC408" t="inlineStr">
        <is>
          <t>TIGER PLATA/969N</t>
        </is>
      </c>
      <c r="AD408" t="inlineStr">
        <is>
          <t>LI DA XING / VOYAGE 1</t>
        </is>
      </c>
      <c r="AE408" t="inlineStr">
        <is>
          <t>LADEN BOOKING</t>
        </is>
      </c>
      <c r="AF408" t="inlineStr">
        <is>
          <t>AR_MARTIMA</t>
        </is>
      </c>
      <c r="AG408" t="inlineStr">
        <is>
          <t>RH40</t>
        </is>
      </c>
      <c r="AI408" t="n">
        <v>40</v>
      </c>
      <c r="AJ408" t="n">
        <v>0</v>
      </c>
      <c r="AK408" t="n">
        <v>1</v>
      </c>
      <c r="AL408" t="inlineStr">
        <is>
          <t>ANON0000000</t>
        </is>
      </c>
      <c r="AM408" t="n">
        <v>-18</v>
      </c>
      <c r="AP408" t="inlineStr">
        <is>
          <t>Non Haz</t>
        </is>
      </c>
      <c r="AQ408" t="inlineStr">
        <is>
          <t>CY/CY</t>
        </is>
      </c>
      <c r="AT408" t="inlineStr">
        <is>
          <t>REF000000</t>
        </is>
      </c>
      <c r="AU408" t="n">
        <v>29000</v>
      </c>
      <c r="AV408" t="inlineStr">
        <is>
          <t>FROZEN BONELESS BUFFALO MEAT</t>
        </is>
      </c>
      <c r="AW408" t="inlineStr">
        <is>
          <t>N.C.M.: 0206.22</t>
        </is>
      </c>
      <c r="AX408" t="inlineStr">
        <is>
          <t>RSAMI122500027</t>
        </is>
      </c>
      <c r="AZ408" t="n">
        <v>0</v>
      </c>
      <c r="BA408" t="n">
        <v>10</v>
      </c>
      <c r="BB408" t="n">
        <v>10</v>
      </c>
      <c r="BC408" t="n">
        <v>7300</v>
      </c>
      <c r="BD408" t="inlineStr">
        <is>
          <t>No</t>
        </is>
      </c>
      <c r="BF408" t="inlineStr">
        <is>
          <t>Bengal Tiger Line -BTL</t>
        </is>
      </c>
      <c r="BG408" t="inlineStr">
        <is>
          <t>USSEA</t>
        </is>
      </c>
      <c r="BH408" t="n">
        <v>0</v>
      </c>
      <c r="BI408" t="n">
        <v>1</v>
      </c>
      <c r="BJ408" t="n">
        <v>7300</v>
      </c>
      <c r="BK408" t="inlineStr">
        <is>
          <t>LINE</t>
        </is>
      </c>
      <c r="BL408" t="inlineStr">
        <is>
          <t>MARLIN REEFER</t>
        </is>
      </c>
      <c r="BM408" t="inlineStr">
        <is>
          <t>MARLIN REEFER</t>
        </is>
      </c>
    </row>
    <row r="409">
      <c r="A409" t="n">
        <v>408</v>
      </c>
      <c r="B409" t="inlineStr">
        <is>
          <t>TURTLE REEFER</t>
        </is>
      </c>
      <c r="C409" t="inlineStr">
        <is>
          <t>REF000000</t>
        </is>
      </c>
      <c r="D409" t="inlineStr">
        <is>
          <t>REF000000</t>
        </is>
      </c>
      <c r="E409" t="inlineStr">
        <is>
          <t>13-FEB-2026</t>
        </is>
      </c>
      <c r="F409" t="inlineStr">
        <is>
          <t>TURTLE REEFER</t>
        </is>
      </c>
      <c r="G409" t="inlineStr">
        <is>
          <t>ENTERED THROUGH SPLIT BOOKING FROM THE BOOKING ID REF000000, BY AR_MARTIMA, ON 2/13/2026 11:05:28 PM</t>
        </is>
      </c>
      <c r="H409" t="inlineStr">
        <is>
          <t>AR_MARTIMA</t>
        </is>
      </c>
      <c r="J409" t="n">
        <v>46082</v>
      </c>
      <c r="K409" t="inlineStr">
        <is>
          <t>28-FEB-2026</t>
        </is>
      </c>
      <c r="L409" t="n">
        <v>46082</v>
      </c>
      <c r="M409" t="inlineStr">
        <is>
          <t>REF000000</t>
        </is>
      </c>
      <c r="N409" t="inlineStr">
        <is>
          <t>USSEA</t>
        </is>
      </c>
      <c r="O409" t="inlineStr">
        <is>
          <t>USSEA</t>
        </is>
      </c>
      <c r="P409" t="inlineStr">
        <is>
          <t>USNFK</t>
        </is>
      </c>
      <c r="U409" t="inlineStr">
        <is>
          <t>RULED</t>
        </is>
      </c>
      <c r="V409" t="inlineStr">
        <is>
          <t>RULED</t>
        </is>
      </c>
      <c r="W409" t="inlineStr">
        <is>
          <t>CANADA</t>
        </is>
      </c>
      <c r="X409" t="inlineStr">
        <is>
          <t>PERSIAN GULF</t>
        </is>
      </c>
      <c r="Y409" t="inlineStr">
        <is>
          <t>RUSSIA</t>
        </is>
      </c>
      <c r="Z409" t="inlineStr">
        <is>
          <t>External Review</t>
        </is>
      </c>
      <c r="AA409" t="inlineStr">
        <is>
          <t>HUB SHIPPING LLC-LED</t>
        </is>
      </c>
      <c r="AB409" t="inlineStr">
        <is>
          <t>Prepaid</t>
        </is>
      </c>
      <c r="AC409" t="inlineStr">
        <is>
          <t>TIGER PLATA/970N</t>
        </is>
      </c>
      <c r="AE409" t="inlineStr">
        <is>
          <t>LADEN BOOKING</t>
        </is>
      </c>
      <c r="AF409" t="inlineStr">
        <is>
          <t>AR_MARTIMA</t>
        </is>
      </c>
      <c r="AG409" t="inlineStr">
        <is>
          <t>RH40</t>
        </is>
      </c>
      <c r="AH409" t="inlineStr">
        <is>
          <t>NO</t>
        </is>
      </c>
      <c r="AI409" t="n">
        <v>40</v>
      </c>
      <c r="AJ409" t="n">
        <v>0</v>
      </c>
      <c r="AK409" t="n">
        <v>1</v>
      </c>
      <c r="AL409" t="inlineStr">
        <is>
          <t>ANON0000000</t>
        </is>
      </c>
      <c r="AM409" t="n">
        <v>-18</v>
      </c>
      <c r="AP409" t="inlineStr">
        <is>
          <t>Non Haz</t>
        </is>
      </c>
      <c r="AQ409" t="inlineStr">
        <is>
          <t>CY/CY</t>
        </is>
      </c>
      <c r="AT409" t="inlineStr">
        <is>
          <t>REF000000</t>
        </is>
      </c>
      <c r="AU409" t="n">
        <v>29000</v>
      </c>
      <c r="AV409" t="inlineStr">
        <is>
          <t>FROZEN MEAT</t>
        </is>
      </c>
      <c r="AW409" t="inlineStr">
        <is>
          <t>NCM 020621</t>
        </is>
      </c>
      <c r="AX409" t="inlineStr">
        <is>
          <t>RSAMI122500031</t>
        </is>
      </c>
      <c r="AZ409" t="n">
        <v>0</v>
      </c>
      <c r="BA409" t="n">
        <v>10</v>
      </c>
      <c r="BB409" t="n">
        <v>10</v>
      </c>
      <c r="BC409" t="n">
        <v>6800</v>
      </c>
      <c r="BD409" t="inlineStr">
        <is>
          <t>No</t>
        </is>
      </c>
      <c r="BF409" t="inlineStr">
        <is>
          <t>Bengal Tiger Line -BTL</t>
        </is>
      </c>
      <c r="BG409" t="inlineStr">
        <is>
          <t>USSEA</t>
        </is>
      </c>
      <c r="BH409" t="n">
        <v>0</v>
      </c>
      <c r="BI409" t="n">
        <v>1</v>
      </c>
      <c r="BJ409" t="n">
        <v>6800</v>
      </c>
      <c r="BK409" t="inlineStr">
        <is>
          <t>LINE</t>
        </is>
      </c>
      <c r="BL409" t="inlineStr">
        <is>
          <t>TURTLE REEFER</t>
        </is>
      </c>
      <c r="BM409" t="inlineStr">
        <is>
          <t>TURTLE REEFER</t>
        </is>
      </c>
    </row>
    <row r="410">
      <c r="A410" t="n">
        <v>409</v>
      </c>
      <c r="B410" t="inlineStr">
        <is>
          <t>ORCA REEFER</t>
        </is>
      </c>
      <c r="C410" t="inlineStr">
        <is>
          <t>REF000000</t>
        </is>
      </c>
      <c r="D410" t="inlineStr">
        <is>
          <t>REF000000</t>
        </is>
      </c>
      <c r="E410" t="inlineStr">
        <is>
          <t>13-FEB-2026</t>
        </is>
      </c>
      <c r="F410" t="inlineStr">
        <is>
          <t>ORCA REEFER</t>
        </is>
      </c>
      <c r="G410" t="inlineStr">
        <is>
          <t>ENTERED THROUGH SPLIT BOOKING FROM THE BOOKING ID REF000000, BY AR_MARTIMA, ON 2/13/2026 5:15:54 PM</t>
        </is>
      </c>
      <c r="H410" t="inlineStr">
        <is>
          <t>AR_MARTIMA</t>
        </is>
      </c>
      <c r="J410" t="inlineStr">
        <is>
          <t>23-FEB-2026</t>
        </is>
      </c>
      <c r="K410" t="inlineStr">
        <is>
          <t>22-FEB-2026</t>
        </is>
      </c>
      <c r="L410" t="inlineStr">
        <is>
          <t>23-FEB-2026</t>
        </is>
      </c>
      <c r="M410" t="inlineStr">
        <is>
          <t>REF000000</t>
        </is>
      </c>
      <c r="N410" t="inlineStr">
        <is>
          <t>USSEA</t>
        </is>
      </c>
      <c r="O410" t="inlineStr">
        <is>
          <t>USSEA</t>
        </is>
      </c>
      <c r="P410" t="inlineStr">
        <is>
          <t>USNFK</t>
        </is>
      </c>
      <c r="U410" t="inlineStr">
        <is>
          <t>RULED</t>
        </is>
      </c>
      <c r="V410" t="inlineStr">
        <is>
          <t>RULED</t>
        </is>
      </c>
      <c r="W410" t="inlineStr">
        <is>
          <t>CANADA</t>
        </is>
      </c>
      <c r="X410" t="inlineStr">
        <is>
          <t>PERSIAN GULF</t>
        </is>
      </c>
      <c r="Y410" t="inlineStr">
        <is>
          <t>RUSSIA</t>
        </is>
      </c>
      <c r="Z410" t="inlineStr">
        <is>
          <t>External Review</t>
        </is>
      </c>
      <c r="AA410" t="inlineStr">
        <is>
          <t>HUB SHIPPING LLC-LED</t>
        </is>
      </c>
      <c r="AB410" t="inlineStr">
        <is>
          <t>Prepaid</t>
        </is>
      </c>
      <c r="AC410" t="inlineStr">
        <is>
          <t>TIGER PLATA/969N</t>
        </is>
      </c>
      <c r="AD410" t="inlineStr">
        <is>
          <t>LI DA XING / VOYAGE 1</t>
        </is>
      </c>
      <c r="AE410" t="inlineStr">
        <is>
          <t>LADEN BOOKING</t>
        </is>
      </c>
      <c r="AF410" t="inlineStr">
        <is>
          <t>AR_MARTIMA</t>
        </is>
      </c>
      <c r="AG410" t="inlineStr">
        <is>
          <t>RH40</t>
        </is>
      </c>
      <c r="AH410" t="inlineStr">
        <is>
          <t>NO</t>
        </is>
      </c>
      <c r="AI410" t="n">
        <v>40</v>
      </c>
      <c r="AJ410" t="n">
        <v>0</v>
      </c>
      <c r="AK410" t="n">
        <v>1</v>
      </c>
      <c r="AL410" t="inlineStr">
        <is>
          <t>ANON0000000</t>
        </is>
      </c>
      <c r="AM410" t="n">
        <v>-18</v>
      </c>
      <c r="AP410" t="inlineStr">
        <is>
          <t>Non Haz</t>
        </is>
      </c>
      <c r="AQ410" t="inlineStr">
        <is>
          <t>CY/CY</t>
        </is>
      </c>
      <c r="AT410" t="inlineStr">
        <is>
          <t>REF000000</t>
        </is>
      </c>
      <c r="AU410" t="n">
        <v>29000</v>
      </c>
      <c r="AV410" t="inlineStr">
        <is>
          <t>FROZEN MEAT</t>
        </is>
      </c>
      <c r="AW410" t="inlineStr">
        <is>
          <t>NCM 020622</t>
        </is>
      </c>
      <c r="AX410" t="inlineStr">
        <is>
          <t>RSAMI122500031</t>
        </is>
      </c>
      <c r="AZ410" t="n">
        <v>0</v>
      </c>
      <c r="BA410" t="n">
        <v>10</v>
      </c>
      <c r="BB410" t="n">
        <v>10</v>
      </c>
      <c r="BC410" t="n">
        <v>6800</v>
      </c>
      <c r="BD410" t="inlineStr">
        <is>
          <t>No</t>
        </is>
      </c>
      <c r="BF410" t="inlineStr">
        <is>
          <t>Bengal Tiger Line -BTL</t>
        </is>
      </c>
      <c r="BG410" t="inlineStr">
        <is>
          <t>USSEA</t>
        </is>
      </c>
      <c r="BH410" t="n">
        <v>0</v>
      </c>
      <c r="BI410" t="n">
        <v>1</v>
      </c>
      <c r="BJ410" t="n">
        <v>6800</v>
      </c>
      <c r="BK410" t="inlineStr">
        <is>
          <t>LINE</t>
        </is>
      </c>
      <c r="BL410" t="inlineStr">
        <is>
          <t>ORCA REEFER</t>
        </is>
      </c>
      <c r="BM410" t="inlineStr">
        <is>
          <t>ORCA REEFER</t>
        </is>
      </c>
    </row>
    <row r="411">
      <c r="A411" t="n">
        <v>410</v>
      </c>
      <c r="B411" t="inlineStr">
        <is>
          <t>WOLF DRY</t>
        </is>
      </c>
      <c r="C411" t="inlineStr">
        <is>
          <t>REF000000</t>
        </is>
      </c>
      <c r="D411" t="inlineStr">
        <is>
          <t>REF000000</t>
        </is>
      </c>
      <c r="E411" t="inlineStr">
        <is>
          <t>13-FEB-2026</t>
        </is>
      </c>
      <c r="F411" t="inlineStr">
        <is>
          <t>WOLF DRY</t>
        </is>
      </c>
      <c r="H411" t="inlineStr">
        <is>
          <t>AdminAMI</t>
        </is>
      </c>
      <c r="J411" t="inlineStr">
        <is>
          <t>23-FEB-2026</t>
        </is>
      </c>
      <c r="K411" t="inlineStr">
        <is>
          <t>22-FEB-2026</t>
        </is>
      </c>
      <c r="L411" t="inlineStr">
        <is>
          <t>23-FEB-2026</t>
        </is>
      </c>
      <c r="M411" t="inlineStr">
        <is>
          <t>REF000000</t>
        </is>
      </c>
      <c r="N411" t="inlineStr">
        <is>
          <t>USSEA</t>
        </is>
      </c>
      <c r="O411" t="inlineStr">
        <is>
          <t>USSEA</t>
        </is>
      </c>
      <c r="P411" t="inlineStr">
        <is>
          <t>USNFK</t>
        </is>
      </c>
      <c r="U411" t="inlineStr">
        <is>
          <t>RULED</t>
        </is>
      </c>
      <c r="V411" t="inlineStr">
        <is>
          <t>RULED</t>
        </is>
      </c>
      <c r="W411" t="inlineStr">
        <is>
          <t>CANADA</t>
        </is>
      </c>
      <c r="X411" t="inlineStr">
        <is>
          <t>PERSIAN GULF</t>
        </is>
      </c>
      <c r="Y411" t="inlineStr">
        <is>
          <t>RUSSIA</t>
        </is>
      </c>
      <c r="Z411" t="inlineStr">
        <is>
          <t>External Review</t>
        </is>
      </c>
      <c r="AA411" t="inlineStr">
        <is>
          <t>HUB SHIPPING LLC-LED</t>
        </is>
      </c>
      <c r="AB411" t="inlineStr">
        <is>
          <t>Collect</t>
        </is>
      </c>
      <c r="AC411" t="inlineStr">
        <is>
          <t>TIGER PLATA/969N</t>
        </is>
      </c>
      <c r="AD411" t="inlineStr">
        <is>
          <t>LI DA XING / VOYAGE 1</t>
        </is>
      </c>
      <c r="AE411" t="inlineStr">
        <is>
          <t>LADEN BOOKING</t>
        </is>
      </c>
      <c r="AF411" t="inlineStr">
        <is>
          <t>RenniAMI</t>
        </is>
      </c>
      <c r="AG411" t="inlineStr">
        <is>
          <t>HC40</t>
        </is>
      </c>
      <c r="AH411" t="inlineStr">
        <is>
          <t>NO</t>
        </is>
      </c>
      <c r="AI411" t="n">
        <v>40</v>
      </c>
      <c r="AJ411" t="n">
        <v>0</v>
      </c>
      <c r="AK411" t="n">
        <v>7</v>
      </c>
      <c r="AL411" t="inlineStr">
        <is>
          <t>ANON0000000,
ANON0000000,
ANON0000000,
ANON0000000,
ANON0000000,
ANON0000000,
ANON0000000</t>
        </is>
      </c>
      <c r="AP411" t="inlineStr">
        <is>
          <t>Non Haz</t>
        </is>
      </c>
      <c r="AQ411" t="inlineStr">
        <is>
          <t>CY/CY</t>
        </is>
      </c>
      <c r="AT411" t="inlineStr">
        <is>
          <t>REF000000</t>
        </is>
      </c>
      <c r="AU411" t="n">
        <v>26000</v>
      </c>
      <c r="AV411" t="inlineStr">
        <is>
          <t>GENERAL COMMODITY</t>
        </is>
      </c>
      <c r="AW411" t="inlineStr">
        <is>
          <t>NCM: 1202.42.00</t>
        </is>
      </c>
      <c r="AX411" t="inlineStr">
        <is>
          <t>RSAMI012600009</t>
        </is>
      </c>
      <c r="AZ411" t="n">
        <v>0</v>
      </c>
      <c r="BA411" t="n">
        <v>10</v>
      </c>
      <c r="BB411" t="n">
        <v>14</v>
      </c>
      <c r="BC411" t="n">
        <v>4600</v>
      </c>
      <c r="BD411" t="inlineStr">
        <is>
          <t>Yes</t>
        </is>
      </c>
      <c r="BF411" t="inlineStr">
        <is>
          <t>Bengal Tiger Line -BTL</t>
        </is>
      </c>
      <c r="BG411" t="inlineStr">
        <is>
          <t>RULED</t>
        </is>
      </c>
      <c r="BH411" t="n">
        <v>0</v>
      </c>
      <c r="BI411" t="n">
        <v>7</v>
      </c>
      <c r="BJ411" t="n">
        <v>32200</v>
      </c>
      <c r="BK411" t="inlineStr">
        <is>
          <t>LINE</t>
        </is>
      </c>
      <c r="BL411" t="inlineStr">
        <is>
          <t>WOLF DRY</t>
        </is>
      </c>
      <c r="BM411" t="inlineStr">
        <is>
          <t>WOLF DRY</t>
        </is>
      </c>
    </row>
    <row r="412">
      <c r="A412" t="n">
        <v>411</v>
      </c>
      <c r="B412" t="inlineStr">
        <is>
          <t>DEER DRY</t>
        </is>
      </c>
      <c r="C412" t="inlineStr">
        <is>
          <t>REF000000</t>
        </is>
      </c>
      <c r="D412" t="inlineStr">
        <is>
          <t>REF000000</t>
        </is>
      </c>
      <c r="E412" t="inlineStr">
        <is>
          <t>20-FEB-2026</t>
        </is>
      </c>
      <c r="F412" t="inlineStr">
        <is>
          <t>DEER DRY</t>
        </is>
      </c>
      <c r="H412" t="inlineStr">
        <is>
          <t>AdminAMI</t>
        </is>
      </c>
      <c r="J412" t="n">
        <v>46089</v>
      </c>
      <c r="K412" t="n">
        <v>46088</v>
      </c>
      <c r="L412" t="n">
        <v>46090</v>
      </c>
      <c r="M412" t="inlineStr">
        <is>
          <t>REF000000</t>
        </is>
      </c>
      <c r="N412" t="inlineStr">
        <is>
          <t>USSEA</t>
        </is>
      </c>
      <c r="O412" t="inlineStr">
        <is>
          <t>USSEA</t>
        </is>
      </c>
      <c r="P412" t="inlineStr">
        <is>
          <t>USNFK</t>
        </is>
      </c>
      <c r="U412" t="inlineStr">
        <is>
          <t>RULED</t>
        </is>
      </c>
      <c r="V412" t="inlineStr">
        <is>
          <t>RULED</t>
        </is>
      </c>
      <c r="W412" t="inlineStr">
        <is>
          <t>CANADA</t>
        </is>
      </c>
      <c r="X412" t="inlineStr">
        <is>
          <t>PERSIAN GULF</t>
        </is>
      </c>
      <c r="Y412" t="inlineStr">
        <is>
          <t>RUSSIA</t>
        </is>
      </c>
      <c r="Z412" t="inlineStr">
        <is>
          <t>External Review</t>
        </is>
      </c>
      <c r="AA412" t="inlineStr">
        <is>
          <t>HUB SHIPPING LLC-LED</t>
        </is>
      </c>
      <c r="AB412" t="inlineStr">
        <is>
          <t>Collect</t>
        </is>
      </c>
      <c r="AC412" t="inlineStr">
        <is>
          <t>TIGER PLATA/971N</t>
        </is>
      </c>
      <c r="AE412" t="inlineStr">
        <is>
          <t>LADEN BOOKING</t>
        </is>
      </c>
      <c r="AF412" t="inlineStr">
        <is>
          <t>RenniAMI</t>
        </is>
      </c>
      <c r="AG412" t="inlineStr">
        <is>
          <t>DC20</t>
        </is>
      </c>
      <c r="AH412" t="inlineStr">
        <is>
          <t>NO</t>
        </is>
      </c>
      <c r="AI412" t="n">
        <v>20</v>
      </c>
      <c r="AJ412" t="n">
        <v>2</v>
      </c>
      <c r="AK412" t="n">
        <v>0</v>
      </c>
      <c r="AL412" t="inlineStr">
        <is>
          <t>ANON0000000,
ANON0000000</t>
        </is>
      </c>
      <c r="AP412" t="inlineStr">
        <is>
          <t>Non Haz</t>
        </is>
      </c>
      <c r="AQ412" t="inlineStr">
        <is>
          <t>CY/CY</t>
        </is>
      </c>
      <c r="AT412" t="inlineStr">
        <is>
          <t>REF000000</t>
        </is>
      </c>
      <c r="AU412" t="n">
        <v>23000</v>
      </c>
      <c r="AV412" t="inlineStr">
        <is>
          <t>GENERAL COMMODITY</t>
        </is>
      </c>
      <c r="AW412" t="inlineStr">
        <is>
          <t>N.C.M.: 3812.20</t>
        </is>
      </c>
      <c r="AX412" t="inlineStr">
        <is>
          <t>RSAMI122500035</t>
        </is>
      </c>
      <c r="AZ412" t="n">
        <v>0</v>
      </c>
      <c r="BA412" t="n">
        <v>10</v>
      </c>
      <c r="BB412" t="n">
        <v>14</v>
      </c>
      <c r="BC412" t="n">
        <v>3250</v>
      </c>
      <c r="BD412" t="inlineStr">
        <is>
          <t>Yes</t>
        </is>
      </c>
      <c r="BF412" t="inlineStr">
        <is>
          <t>Bengal Tiger Line -BTL</t>
        </is>
      </c>
      <c r="BG412" t="inlineStr">
        <is>
          <t>RULED</t>
        </is>
      </c>
      <c r="BH412" t="n">
        <v>2</v>
      </c>
      <c r="BI412" t="n">
        <v>0</v>
      </c>
      <c r="BJ412" t="n">
        <v>6500</v>
      </c>
      <c r="BK412" t="inlineStr">
        <is>
          <t>LINE</t>
        </is>
      </c>
      <c r="BL412" t="inlineStr">
        <is>
          <t>DEER DRY</t>
        </is>
      </c>
      <c r="BM412" t="inlineStr">
        <is>
          <t>DEER DRY</t>
        </is>
      </c>
    </row>
    <row r="413">
      <c r="A413" t="n">
        <v>412</v>
      </c>
      <c r="B413" t="inlineStr">
        <is>
          <t>FOX DRY</t>
        </is>
      </c>
      <c r="C413" t="inlineStr">
        <is>
          <t>REF000000</t>
        </is>
      </c>
      <c r="D413" t="inlineStr">
        <is>
          <t>REF000000</t>
        </is>
      </c>
      <c r="E413" t="inlineStr">
        <is>
          <t>20-FEB-2026</t>
        </is>
      </c>
      <c r="F413" t="inlineStr">
        <is>
          <t>FOX DRY</t>
        </is>
      </c>
      <c r="H413" t="inlineStr">
        <is>
          <t>AdminAMI</t>
        </is>
      </c>
      <c r="J413" t="n">
        <v>46103</v>
      </c>
      <c r="K413" t="n">
        <v>46102</v>
      </c>
      <c r="L413" t="n">
        <v>46103</v>
      </c>
      <c r="M413" t="inlineStr">
        <is>
          <t>REF000000</t>
        </is>
      </c>
      <c r="N413" t="inlineStr">
        <is>
          <t>USSEA</t>
        </is>
      </c>
      <c r="O413" t="inlineStr">
        <is>
          <t>USSEA</t>
        </is>
      </c>
      <c r="P413" t="inlineStr">
        <is>
          <t>USNFK</t>
        </is>
      </c>
      <c r="U413" t="inlineStr">
        <is>
          <t>RULED</t>
        </is>
      </c>
      <c r="V413" t="inlineStr">
        <is>
          <t>RULED</t>
        </is>
      </c>
      <c r="W413" t="inlineStr">
        <is>
          <t>CANADA</t>
        </is>
      </c>
      <c r="X413" t="inlineStr">
        <is>
          <t>PERSIAN GULF</t>
        </is>
      </c>
      <c r="Y413" t="inlineStr">
        <is>
          <t>RUSSIA</t>
        </is>
      </c>
      <c r="Z413" t="inlineStr">
        <is>
          <t>External Review</t>
        </is>
      </c>
      <c r="AA413" t="inlineStr">
        <is>
          <t>HUB SHIPPING LLC-LED</t>
        </is>
      </c>
      <c r="AB413" t="inlineStr">
        <is>
          <t>Collect</t>
        </is>
      </c>
      <c r="AC413" t="inlineStr">
        <is>
          <t>TIGER PLATA/973N</t>
        </is>
      </c>
      <c r="AE413" t="inlineStr">
        <is>
          <t>LADEN BOOKING</t>
        </is>
      </c>
      <c r="AF413" t="inlineStr">
        <is>
          <t>RenniAMI</t>
        </is>
      </c>
      <c r="AG413" t="inlineStr">
        <is>
          <t>DC20</t>
        </is>
      </c>
      <c r="AH413" t="inlineStr">
        <is>
          <t>NO</t>
        </is>
      </c>
      <c r="AI413" t="n">
        <v>20</v>
      </c>
      <c r="AJ413" t="n">
        <v>2</v>
      </c>
      <c r="AK413" t="n">
        <v>0</v>
      </c>
      <c r="AL413" t="inlineStr">
        <is>
          <t>ANON0000000,
ANON0000000</t>
        </is>
      </c>
      <c r="AP413" t="inlineStr">
        <is>
          <t>Non Haz</t>
        </is>
      </c>
      <c r="AQ413" t="inlineStr">
        <is>
          <t>CY/CY</t>
        </is>
      </c>
      <c r="AT413" t="inlineStr">
        <is>
          <t>REF000000</t>
        </is>
      </c>
      <c r="AU413" t="n">
        <v>23000</v>
      </c>
      <c r="AV413" t="inlineStr">
        <is>
          <t>GENERAL COMMODITY</t>
        </is>
      </c>
      <c r="AW413" t="inlineStr">
        <is>
          <t>N.C.M.: 3812.20</t>
        </is>
      </c>
      <c r="AX413" t="inlineStr">
        <is>
          <t>RSAMI122500035</t>
        </is>
      </c>
      <c r="AZ413" t="n">
        <v>0</v>
      </c>
      <c r="BA413" t="n">
        <v>10</v>
      </c>
      <c r="BB413" t="n">
        <v>14</v>
      </c>
      <c r="BC413" t="n">
        <v>3250</v>
      </c>
      <c r="BD413" t="inlineStr">
        <is>
          <t>Yes</t>
        </is>
      </c>
      <c r="BF413" t="inlineStr">
        <is>
          <t>Bengal Tiger Line -BTL</t>
        </is>
      </c>
      <c r="BG413" t="inlineStr">
        <is>
          <t>RULED</t>
        </is>
      </c>
      <c r="BH413" t="n">
        <v>2</v>
      </c>
      <c r="BI413" t="n">
        <v>0</v>
      </c>
      <c r="BJ413" t="n">
        <v>6500</v>
      </c>
      <c r="BK413" t="inlineStr">
        <is>
          <t>LINE</t>
        </is>
      </c>
      <c r="BL413" t="inlineStr">
        <is>
          <t>FOX DRY</t>
        </is>
      </c>
      <c r="BM413" t="inlineStr">
        <is>
          <t>FOX DRY</t>
        </is>
      </c>
    </row>
    <row r="414">
      <c r="A414" t="n">
        <v>413</v>
      </c>
      <c r="B414" t="inlineStr">
        <is>
          <t>DOLPHIN REEFER</t>
        </is>
      </c>
      <c r="C414" t="inlineStr">
        <is>
          <t>REF000000</t>
        </is>
      </c>
      <c r="D414" t="inlineStr">
        <is>
          <t>REF000000</t>
        </is>
      </c>
      <c r="E414" t="inlineStr">
        <is>
          <t>20-FEB-2026</t>
        </is>
      </c>
      <c r="F414" t="inlineStr">
        <is>
          <t>DOLPHIN REEFER</t>
        </is>
      </c>
      <c r="G414" t="inlineStr">
        <is>
          <t>ENTERED THROUGH SPLIT BOOKING FROM THE BOOKING ID REF000000, BY AR_MARTIMA, ON 2/13/2026 11:05:28 PM</t>
        </is>
      </c>
      <c r="H414" t="inlineStr">
        <is>
          <t>AR_MARTIMA</t>
        </is>
      </c>
      <c r="J414" t="n">
        <v>46082</v>
      </c>
      <c r="K414" t="inlineStr">
        <is>
          <t>28-FEB-2026</t>
        </is>
      </c>
      <c r="L414" t="n">
        <v>46082</v>
      </c>
      <c r="M414" t="inlineStr">
        <is>
          <t>REF000000</t>
        </is>
      </c>
      <c r="N414" t="inlineStr">
        <is>
          <t>USSEA</t>
        </is>
      </c>
      <c r="O414" t="inlineStr">
        <is>
          <t>USSEA</t>
        </is>
      </c>
      <c r="P414" t="inlineStr">
        <is>
          <t>USNFK</t>
        </is>
      </c>
      <c r="U414" t="inlineStr">
        <is>
          <t>RULED</t>
        </is>
      </c>
      <c r="V414" t="inlineStr">
        <is>
          <t>RULED</t>
        </is>
      </c>
      <c r="W414" t="inlineStr">
        <is>
          <t>CANADA</t>
        </is>
      </c>
      <c r="X414" t="inlineStr">
        <is>
          <t>PERSIAN GULF</t>
        </is>
      </c>
      <c r="Y414" t="inlineStr">
        <is>
          <t>RUSSIA</t>
        </is>
      </c>
      <c r="Z414" t="inlineStr">
        <is>
          <t>External Review</t>
        </is>
      </c>
      <c r="AA414" t="inlineStr">
        <is>
          <t>HUB SHIPPING LLC-LED</t>
        </is>
      </c>
      <c r="AB414" t="inlineStr">
        <is>
          <t>Prepaid</t>
        </is>
      </c>
      <c r="AC414" t="inlineStr">
        <is>
          <t>TIGER PLATA/970N</t>
        </is>
      </c>
      <c r="AE414" t="inlineStr">
        <is>
          <t>LADEN BOOKING</t>
        </is>
      </c>
      <c r="AF414" t="inlineStr">
        <is>
          <t>AR_MARTIMA</t>
        </is>
      </c>
      <c r="AG414" t="inlineStr">
        <is>
          <t>RH40</t>
        </is>
      </c>
      <c r="AH414" t="inlineStr">
        <is>
          <t>NO</t>
        </is>
      </c>
      <c r="AI414" t="n">
        <v>40</v>
      </c>
      <c r="AJ414" t="n">
        <v>0</v>
      </c>
      <c r="AK414" t="n">
        <v>1</v>
      </c>
      <c r="AL414" t="inlineStr">
        <is>
          <t>ANON0000000</t>
        </is>
      </c>
      <c r="AM414" t="n">
        <v>-18</v>
      </c>
      <c r="AP414" t="inlineStr">
        <is>
          <t>Non Haz</t>
        </is>
      </c>
      <c r="AQ414" t="inlineStr">
        <is>
          <t>CY/CY</t>
        </is>
      </c>
      <c r="AT414" t="inlineStr">
        <is>
          <t>REF000000</t>
        </is>
      </c>
      <c r="AU414" t="n">
        <v>29000</v>
      </c>
      <c r="AV414" t="inlineStr">
        <is>
          <t>FROZEN MEAT</t>
        </is>
      </c>
      <c r="AW414" t="inlineStr">
        <is>
          <t>NCM 020621</t>
        </is>
      </c>
      <c r="AX414" t="inlineStr">
        <is>
          <t>RSAMI122500031</t>
        </is>
      </c>
      <c r="AZ414" t="n">
        <v>0</v>
      </c>
      <c r="BA414" t="n">
        <v>10</v>
      </c>
      <c r="BB414" t="n">
        <v>10</v>
      </c>
      <c r="BC414" t="n">
        <v>6800</v>
      </c>
      <c r="BD414" t="inlineStr">
        <is>
          <t>No</t>
        </is>
      </c>
      <c r="BF414" t="inlineStr">
        <is>
          <t>Bengal Tiger Line -BTL</t>
        </is>
      </c>
      <c r="BG414" t="inlineStr">
        <is>
          <t>USSEA</t>
        </is>
      </c>
      <c r="BH414" t="n">
        <v>0</v>
      </c>
      <c r="BI414" t="n">
        <v>1</v>
      </c>
      <c r="BJ414" t="n">
        <v>6800</v>
      </c>
      <c r="BK414" t="inlineStr">
        <is>
          <t>LINE</t>
        </is>
      </c>
      <c r="BL414" t="inlineStr">
        <is>
          <t>DOLPHIN REEFER</t>
        </is>
      </c>
      <c r="BM414" t="inlineStr">
        <is>
          <t>DOLPHIN REEFER</t>
        </is>
      </c>
    </row>
    <row r="415">
      <c r="A415" t="n">
        <v>414</v>
      </c>
      <c r="B415" t="inlineStr">
        <is>
          <t>MARLIN REEFER</t>
        </is>
      </c>
      <c r="C415" t="inlineStr">
        <is>
          <t>REF000000</t>
        </is>
      </c>
      <c r="D415" t="inlineStr">
        <is>
          <t>REF000000</t>
        </is>
      </c>
      <c r="E415" t="inlineStr">
        <is>
          <t>20-FEB-2026</t>
        </is>
      </c>
      <c r="F415" t="inlineStr">
        <is>
          <t>MARLIN REEFER</t>
        </is>
      </c>
      <c r="G415" t="inlineStr">
        <is>
          <t>ENTERED THROUGH SPLIT BOOKING FROM THE BOOKING ID REF000000, BY AR_MARTIMA, ON 2/20/2026 9:21:01 PM</t>
        </is>
      </c>
      <c r="H415" t="inlineStr">
        <is>
          <t>AR_MARTIMA</t>
        </is>
      </c>
      <c r="J415" t="n">
        <v>46082</v>
      </c>
      <c r="K415" t="inlineStr">
        <is>
          <t>28-FEB-2026</t>
        </is>
      </c>
      <c r="L415" t="n">
        <v>46082</v>
      </c>
      <c r="M415" t="inlineStr">
        <is>
          <t>REF000000</t>
        </is>
      </c>
      <c r="N415" t="inlineStr">
        <is>
          <t>USSEA</t>
        </is>
      </c>
      <c r="O415" t="inlineStr">
        <is>
          <t>USSEA</t>
        </is>
      </c>
      <c r="P415" t="inlineStr">
        <is>
          <t>USNFK</t>
        </is>
      </c>
      <c r="U415" t="inlineStr">
        <is>
          <t>RULED</t>
        </is>
      </c>
      <c r="V415" t="inlineStr">
        <is>
          <t>RULED</t>
        </is>
      </c>
      <c r="W415" t="inlineStr">
        <is>
          <t>CANADA</t>
        </is>
      </c>
      <c r="X415" t="inlineStr">
        <is>
          <t>PERSIAN GULF</t>
        </is>
      </c>
      <c r="Y415" t="inlineStr">
        <is>
          <t>RUSSIA</t>
        </is>
      </c>
      <c r="Z415" t="inlineStr">
        <is>
          <t>External Review</t>
        </is>
      </c>
      <c r="AA415" t="inlineStr">
        <is>
          <t>HUB SHIPPING LLC-LED</t>
        </is>
      </c>
      <c r="AB415" t="inlineStr">
        <is>
          <t>Prepaid</t>
        </is>
      </c>
      <c r="AC415" t="inlineStr">
        <is>
          <t>TIGER PLATA/970N</t>
        </is>
      </c>
      <c r="AE415" t="inlineStr">
        <is>
          <t>LADEN BOOKING</t>
        </is>
      </c>
      <c r="AF415" t="inlineStr">
        <is>
          <t>AR_MARTIMA</t>
        </is>
      </c>
      <c r="AG415" t="inlineStr">
        <is>
          <t>RH40</t>
        </is>
      </c>
      <c r="AI415" t="n">
        <v>40</v>
      </c>
      <c r="AJ415" t="n">
        <v>0</v>
      </c>
      <c r="AK415" t="n">
        <v>1</v>
      </c>
      <c r="AL415" t="inlineStr">
        <is>
          <t>ANON0000000</t>
        </is>
      </c>
      <c r="AM415" t="n">
        <v>-18</v>
      </c>
      <c r="AP415" t="inlineStr">
        <is>
          <t>Non Haz</t>
        </is>
      </c>
      <c r="AQ415" t="inlineStr">
        <is>
          <t>CY/CY</t>
        </is>
      </c>
      <c r="AT415" t="inlineStr">
        <is>
          <t>REF000000</t>
        </is>
      </c>
      <c r="AU415" t="n">
        <v>29000</v>
      </c>
      <c r="AV415" t="inlineStr">
        <is>
          <t>FROZEN MEAT</t>
        </is>
      </c>
      <c r="AW415" t="inlineStr">
        <is>
          <t>NCM 020622</t>
        </is>
      </c>
      <c r="AX415" t="inlineStr">
        <is>
          <t>RSAMI122500031</t>
        </is>
      </c>
      <c r="AZ415" t="n">
        <v>0</v>
      </c>
      <c r="BA415" t="n">
        <v>10</v>
      </c>
      <c r="BB415" t="n">
        <v>10</v>
      </c>
      <c r="BC415" t="n">
        <v>6800</v>
      </c>
      <c r="BD415" t="inlineStr">
        <is>
          <t>No</t>
        </is>
      </c>
      <c r="BF415" t="inlineStr">
        <is>
          <t>Bengal Tiger Line -BTL</t>
        </is>
      </c>
      <c r="BG415" t="inlineStr">
        <is>
          <t>USSEA</t>
        </is>
      </c>
      <c r="BH415" t="n">
        <v>0</v>
      </c>
      <c r="BI415" t="n">
        <v>1</v>
      </c>
      <c r="BJ415" t="n">
        <v>6800</v>
      </c>
      <c r="BK415" t="inlineStr">
        <is>
          <t>LINE</t>
        </is>
      </c>
      <c r="BL415" t="inlineStr">
        <is>
          <t>MARLIN REEFER</t>
        </is>
      </c>
      <c r="BM415" t="inlineStr">
        <is>
          <t>MARLIN REEFER</t>
        </is>
      </c>
    </row>
    <row r="416">
      <c r="A416" t="n">
        <v>415</v>
      </c>
      <c r="B416" t="inlineStr">
        <is>
          <t>TURTLE REEFER</t>
        </is>
      </c>
      <c r="C416" t="inlineStr">
        <is>
          <t>REF000000</t>
        </is>
      </c>
      <c r="D416" t="inlineStr">
        <is>
          <t>REF000000</t>
        </is>
      </c>
      <c r="E416" t="inlineStr">
        <is>
          <t>20-FEB-2026</t>
        </is>
      </c>
      <c r="F416" t="inlineStr">
        <is>
          <t>TURTLE REEFER</t>
        </is>
      </c>
      <c r="G416" t="inlineStr">
        <is>
          <t>ENTERED THROUGH SPLIT BOOKING FROM THE BOOKING ID REF000000, BY AR_MARTIMA, ON 2/20/2026 9:21:01 PM</t>
        </is>
      </c>
      <c r="H416" t="inlineStr">
        <is>
          <t>AR_MARTIMA</t>
        </is>
      </c>
      <c r="J416" t="n">
        <v>46082</v>
      </c>
      <c r="K416" t="inlineStr">
        <is>
          <t>28-FEB-2026</t>
        </is>
      </c>
      <c r="L416" t="n">
        <v>46082</v>
      </c>
      <c r="M416" t="inlineStr">
        <is>
          <t>REF000000</t>
        </is>
      </c>
      <c r="N416" t="inlineStr">
        <is>
          <t>USSEA</t>
        </is>
      </c>
      <c r="O416" t="inlineStr">
        <is>
          <t>USSEA</t>
        </is>
      </c>
      <c r="P416" t="inlineStr">
        <is>
          <t>USNFK</t>
        </is>
      </c>
      <c r="U416" t="inlineStr">
        <is>
          <t>RULED</t>
        </is>
      </c>
      <c r="V416" t="inlineStr">
        <is>
          <t>RULED</t>
        </is>
      </c>
      <c r="W416" t="inlineStr">
        <is>
          <t>CANADA</t>
        </is>
      </c>
      <c r="X416" t="inlineStr">
        <is>
          <t>PERSIAN GULF</t>
        </is>
      </c>
      <c r="Y416" t="inlineStr">
        <is>
          <t>RUSSIA</t>
        </is>
      </c>
      <c r="Z416" t="inlineStr">
        <is>
          <t>External Review</t>
        </is>
      </c>
      <c r="AA416" t="inlineStr">
        <is>
          <t>HUB SHIPPING LLC-LED</t>
        </is>
      </c>
      <c r="AB416" t="inlineStr">
        <is>
          <t>Prepaid</t>
        </is>
      </c>
      <c r="AC416" t="inlineStr">
        <is>
          <t>TIGER PLATA/970N</t>
        </is>
      </c>
      <c r="AE416" t="inlineStr">
        <is>
          <t>LADEN BOOKING</t>
        </is>
      </c>
      <c r="AF416" t="inlineStr">
        <is>
          <t>AR_MARTIMA</t>
        </is>
      </c>
      <c r="AG416" t="inlineStr">
        <is>
          <t>RH40</t>
        </is>
      </c>
      <c r="AI416" t="n">
        <v>40</v>
      </c>
      <c r="AJ416" t="n">
        <v>0</v>
      </c>
      <c r="AK416" t="n">
        <v>1</v>
      </c>
      <c r="AL416" t="inlineStr">
        <is>
          <t>ANON0000000</t>
        </is>
      </c>
      <c r="AM416" t="n">
        <v>-18</v>
      </c>
      <c r="AP416" t="inlineStr">
        <is>
          <t>Non Haz</t>
        </is>
      </c>
      <c r="AQ416" t="inlineStr">
        <is>
          <t>CY/CY</t>
        </is>
      </c>
      <c r="AT416" t="inlineStr">
        <is>
          <t>REF000000</t>
        </is>
      </c>
      <c r="AU416" t="n">
        <v>29000</v>
      </c>
      <c r="AV416" t="inlineStr">
        <is>
          <t>FROZEN MEAT</t>
        </is>
      </c>
      <c r="AW416" t="inlineStr">
        <is>
          <t>NCM 020622</t>
        </is>
      </c>
      <c r="AX416" t="inlineStr">
        <is>
          <t>RSAMI122500031</t>
        </is>
      </c>
      <c r="AZ416" t="n">
        <v>0</v>
      </c>
      <c r="BA416" t="n">
        <v>10</v>
      </c>
      <c r="BB416" t="n">
        <v>10</v>
      </c>
      <c r="BC416" t="n">
        <v>6800</v>
      </c>
      <c r="BD416" t="inlineStr">
        <is>
          <t>No</t>
        </is>
      </c>
      <c r="BF416" t="inlineStr">
        <is>
          <t>Bengal Tiger Line -BTL</t>
        </is>
      </c>
      <c r="BG416" t="inlineStr">
        <is>
          <t>USSEA</t>
        </is>
      </c>
      <c r="BH416" t="n">
        <v>0</v>
      </c>
      <c r="BI416" t="n">
        <v>1</v>
      </c>
      <c r="BJ416" t="n">
        <v>6800</v>
      </c>
      <c r="BK416" t="inlineStr">
        <is>
          <t>LINE</t>
        </is>
      </c>
      <c r="BL416" t="inlineStr">
        <is>
          <t>TURTLE REEFER</t>
        </is>
      </c>
      <c r="BM416" t="inlineStr">
        <is>
          <t>TURTLE REEFER</t>
        </is>
      </c>
    </row>
    <row r="417">
      <c r="A417" t="n">
        <v>416</v>
      </c>
      <c r="B417" t="inlineStr">
        <is>
          <t>ORCA REEFER</t>
        </is>
      </c>
      <c r="C417" t="inlineStr">
        <is>
          <t>REF000000</t>
        </is>
      </c>
      <c r="D417" t="inlineStr">
        <is>
          <t>REF000000</t>
        </is>
      </c>
      <c r="E417" t="inlineStr">
        <is>
          <t>20-FEB-2026</t>
        </is>
      </c>
      <c r="F417" t="inlineStr">
        <is>
          <t>ORCA REEFER</t>
        </is>
      </c>
      <c r="G417" t="inlineStr">
        <is>
          <t>ENTERED THROUGH SPLIT BOOKING FROM THE BOOKING ID REF000000, BY AR_MARTIMA, ON 2/20/2026 9:21:01 PM</t>
        </is>
      </c>
      <c r="H417" t="inlineStr">
        <is>
          <t>AR_MARTIMA</t>
        </is>
      </c>
      <c r="J417" t="n">
        <v>46082</v>
      </c>
      <c r="K417" t="inlineStr">
        <is>
          <t>28-FEB-2026</t>
        </is>
      </c>
      <c r="L417" t="n">
        <v>46082</v>
      </c>
      <c r="M417" t="inlineStr">
        <is>
          <t>REF000000</t>
        </is>
      </c>
      <c r="N417" t="inlineStr">
        <is>
          <t>USSEA</t>
        </is>
      </c>
      <c r="O417" t="inlineStr">
        <is>
          <t>USSEA</t>
        </is>
      </c>
      <c r="P417" t="inlineStr">
        <is>
          <t>USNFK</t>
        </is>
      </c>
      <c r="U417" t="inlineStr">
        <is>
          <t>RULED</t>
        </is>
      </c>
      <c r="V417" t="inlineStr">
        <is>
          <t>RULED</t>
        </is>
      </c>
      <c r="W417" t="inlineStr">
        <is>
          <t>CANADA</t>
        </is>
      </c>
      <c r="X417" t="inlineStr">
        <is>
          <t>PERSIAN GULF</t>
        </is>
      </c>
      <c r="Y417" t="inlineStr">
        <is>
          <t>RUSSIA</t>
        </is>
      </c>
      <c r="Z417" t="inlineStr">
        <is>
          <t>External Review</t>
        </is>
      </c>
      <c r="AA417" t="inlineStr">
        <is>
          <t>HUB SHIPPING LLC-LED</t>
        </is>
      </c>
      <c r="AB417" t="inlineStr">
        <is>
          <t>Prepaid</t>
        </is>
      </c>
      <c r="AC417" t="inlineStr">
        <is>
          <t>TIGER PLATA/970N</t>
        </is>
      </c>
      <c r="AE417" t="inlineStr">
        <is>
          <t>LADEN BOOKING</t>
        </is>
      </c>
      <c r="AF417" t="inlineStr">
        <is>
          <t>AR_MARTIMA</t>
        </is>
      </c>
      <c r="AG417" t="inlineStr">
        <is>
          <t>RH40</t>
        </is>
      </c>
      <c r="AI417" t="n">
        <v>40</v>
      </c>
      <c r="AJ417" t="n">
        <v>0</v>
      </c>
      <c r="AK417" t="n">
        <v>1</v>
      </c>
      <c r="AL417" t="inlineStr">
        <is>
          <t>ANON0000000</t>
        </is>
      </c>
      <c r="AM417" t="n">
        <v>-18</v>
      </c>
      <c r="AP417" t="inlineStr">
        <is>
          <t>Non Haz</t>
        </is>
      </c>
      <c r="AQ417" t="inlineStr">
        <is>
          <t>CY/CY</t>
        </is>
      </c>
      <c r="AT417" t="inlineStr">
        <is>
          <t>REF000000</t>
        </is>
      </c>
      <c r="AU417" t="n">
        <v>29000</v>
      </c>
      <c r="AV417" t="inlineStr">
        <is>
          <t>FROZEN MEAT</t>
        </is>
      </c>
      <c r="AW417" t="inlineStr">
        <is>
          <t>NCM 020622</t>
        </is>
      </c>
      <c r="AX417" t="inlineStr">
        <is>
          <t>RSAMI122500031</t>
        </is>
      </c>
      <c r="AZ417" t="n">
        <v>0</v>
      </c>
      <c r="BA417" t="n">
        <v>10</v>
      </c>
      <c r="BB417" t="n">
        <v>10</v>
      </c>
      <c r="BC417" t="n">
        <v>6800</v>
      </c>
      <c r="BD417" t="inlineStr">
        <is>
          <t>No</t>
        </is>
      </c>
      <c r="BF417" t="inlineStr">
        <is>
          <t>Bengal Tiger Line -BTL</t>
        </is>
      </c>
      <c r="BG417" t="inlineStr">
        <is>
          <t>USSEA</t>
        </is>
      </c>
      <c r="BH417" t="n">
        <v>0</v>
      </c>
      <c r="BI417" t="n">
        <v>1</v>
      </c>
      <c r="BJ417" t="n">
        <v>6800</v>
      </c>
      <c r="BK417" t="inlineStr">
        <is>
          <t>LINE</t>
        </is>
      </c>
      <c r="BL417" t="inlineStr">
        <is>
          <t>ORCA REEFER</t>
        </is>
      </c>
      <c r="BM417" t="inlineStr">
        <is>
          <t>ORCA REEFER</t>
        </is>
      </c>
    </row>
    <row r="418">
      <c r="A418" t="n">
        <v>417</v>
      </c>
      <c r="B418" t="inlineStr">
        <is>
          <t>WHALE REEFER</t>
        </is>
      </c>
      <c r="C418" t="inlineStr">
        <is>
          <t>REF000000</t>
        </is>
      </c>
      <c r="D418" t="inlineStr">
        <is>
          <t>REF000000</t>
        </is>
      </c>
      <c r="E418" t="inlineStr">
        <is>
          <t>20-FEB-2026</t>
        </is>
      </c>
      <c r="F418" t="inlineStr">
        <is>
          <t>WHALE REEFER</t>
        </is>
      </c>
      <c r="G418" t="inlineStr">
        <is>
          <t>ENTERED THROUGH SPLIT BOOKING FROM THE BOOKING ID REF000000, BY AR_MARTIMA, ON 2/20/2026 9:21:01 PM</t>
        </is>
      </c>
      <c r="H418" t="inlineStr">
        <is>
          <t>AR_MARTIMA</t>
        </is>
      </c>
      <c r="J418" t="n">
        <v>46082</v>
      </c>
      <c r="K418" t="inlineStr">
        <is>
          <t>28-FEB-2026</t>
        </is>
      </c>
      <c r="L418" t="n">
        <v>46082</v>
      </c>
      <c r="M418" t="inlineStr">
        <is>
          <t>REF000000</t>
        </is>
      </c>
      <c r="N418" t="inlineStr">
        <is>
          <t>USSEA</t>
        </is>
      </c>
      <c r="O418" t="inlineStr">
        <is>
          <t>USSEA</t>
        </is>
      </c>
      <c r="P418" t="inlineStr">
        <is>
          <t>USNFK</t>
        </is>
      </c>
      <c r="U418" t="inlineStr">
        <is>
          <t>RULED</t>
        </is>
      </c>
      <c r="V418" t="inlineStr">
        <is>
          <t>RULED</t>
        </is>
      </c>
      <c r="W418" t="inlineStr">
        <is>
          <t>CANADA</t>
        </is>
      </c>
      <c r="X418" t="inlineStr">
        <is>
          <t>PERSIAN GULF</t>
        </is>
      </c>
      <c r="Y418" t="inlineStr">
        <is>
          <t>RUSSIA</t>
        </is>
      </c>
      <c r="Z418" t="inlineStr">
        <is>
          <t>External Review</t>
        </is>
      </c>
      <c r="AA418" t="inlineStr">
        <is>
          <t>HUB SHIPPING LLC-LED</t>
        </is>
      </c>
      <c r="AB418" t="inlineStr">
        <is>
          <t>Prepaid</t>
        </is>
      </c>
      <c r="AC418" t="inlineStr">
        <is>
          <t>TIGER PLATA/970N</t>
        </is>
      </c>
      <c r="AE418" t="inlineStr">
        <is>
          <t>LADEN BOOKING</t>
        </is>
      </c>
      <c r="AF418" t="inlineStr">
        <is>
          <t>AR_MARTIMA</t>
        </is>
      </c>
      <c r="AG418" t="inlineStr">
        <is>
          <t>RH40</t>
        </is>
      </c>
      <c r="AI418" t="n">
        <v>40</v>
      </c>
      <c r="AJ418" t="n">
        <v>0</v>
      </c>
      <c r="AK418" t="n">
        <v>1</v>
      </c>
      <c r="AL418" t="inlineStr">
        <is>
          <t>ANON0000000</t>
        </is>
      </c>
      <c r="AM418" t="n">
        <v>-18</v>
      </c>
      <c r="AP418" t="inlineStr">
        <is>
          <t>Non Haz</t>
        </is>
      </c>
      <c r="AQ418" t="inlineStr">
        <is>
          <t>CY/CY</t>
        </is>
      </c>
      <c r="AT418" t="inlineStr">
        <is>
          <t>REF000000</t>
        </is>
      </c>
      <c r="AU418" t="n">
        <v>29000</v>
      </c>
      <c r="AV418" t="inlineStr">
        <is>
          <t>FROZEN MEAT</t>
        </is>
      </c>
      <c r="AW418" t="inlineStr">
        <is>
          <t>NCM 020622</t>
        </is>
      </c>
      <c r="AX418" t="inlineStr">
        <is>
          <t>RSAMI122500031</t>
        </is>
      </c>
      <c r="AZ418" t="n">
        <v>0</v>
      </c>
      <c r="BA418" t="n">
        <v>10</v>
      </c>
      <c r="BB418" t="n">
        <v>10</v>
      </c>
      <c r="BC418" t="n">
        <v>6800</v>
      </c>
      <c r="BD418" t="inlineStr">
        <is>
          <t>No</t>
        </is>
      </c>
      <c r="BF418" t="inlineStr">
        <is>
          <t>Bengal Tiger Line -BTL</t>
        </is>
      </c>
      <c r="BG418" t="inlineStr">
        <is>
          <t>USSEA</t>
        </is>
      </c>
      <c r="BH418" t="n">
        <v>0</v>
      </c>
      <c r="BI418" t="n">
        <v>1</v>
      </c>
      <c r="BJ418" t="n">
        <v>6800</v>
      </c>
      <c r="BK418" t="inlineStr">
        <is>
          <t>LINE</t>
        </is>
      </c>
      <c r="BL418" t="inlineStr">
        <is>
          <t>WHALE REEFER</t>
        </is>
      </c>
      <c r="BM418" t="inlineStr">
        <is>
          <t>WHALE REEFER</t>
        </is>
      </c>
    </row>
    <row r="419">
      <c r="A419" t="n">
        <v>418</v>
      </c>
      <c r="B419" t="inlineStr">
        <is>
          <t>SEAL REEFER</t>
        </is>
      </c>
      <c r="C419" t="inlineStr">
        <is>
          <t>REF000000</t>
        </is>
      </c>
      <c r="D419" t="inlineStr">
        <is>
          <t>REF000000</t>
        </is>
      </c>
      <c r="E419" t="inlineStr">
        <is>
          <t>20-FEB-2026</t>
        </is>
      </c>
      <c r="F419" t="inlineStr">
        <is>
          <t>SEAL REEFER</t>
        </is>
      </c>
      <c r="G419" t="inlineStr">
        <is>
          <t>ENTERED THROUGH SPLIT BOOKING FROM THE BOOKING ID REF000000, BY AR_MARTIMA, ON 2/20/2026 9:21:01 PM</t>
        </is>
      </c>
      <c r="H419" t="inlineStr">
        <is>
          <t>AR_MARTIMA</t>
        </is>
      </c>
      <c r="J419" t="n">
        <v>46082</v>
      </c>
      <c r="K419" t="inlineStr">
        <is>
          <t>28-FEB-2026</t>
        </is>
      </c>
      <c r="L419" t="n">
        <v>46082</v>
      </c>
      <c r="M419" t="inlineStr">
        <is>
          <t>REF000000</t>
        </is>
      </c>
      <c r="N419" t="inlineStr">
        <is>
          <t>USSEA</t>
        </is>
      </c>
      <c r="O419" t="inlineStr">
        <is>
          <t>USSEA</t>
        </is>
      </c>
      <c r="P419" t="inlineStr">
        <is>
          <t>USNFK</t>
        </is>
      </c>
      <c r="U419" t="inlineStr">
        <is>
          <t>RULED</t>
        </is>
      </c>
      <c r="V419" t="inlineStr">
        <is>
          <t>RULED</t>
        </is>
      </c>
      <c r="W419" t="inlineStr">
        <is>
          <t>CANADA</t>
        </is>
      </c>
      <c r="X419" t="inlineStr">
        <is>
          <t>PERSIAN GULF</t>
        </is>
      </c>
      <c r="Y419" t="inlineStr">
        <is>
          <t>RUSSIA</t>
        </is>
      </c>
      <c r="Z419" t="inlineStr">
        <is>
          <t>External Review</t>
        </is>
      </c>
      <c r="AA419" t="inlineStr">
        <is>
          <t>HUB SHIPPING LLC-LED</t>
        </is>
      </c>
      <c r="AB419" t="inlineStr">
        <is>
          <t>Prepaid</t>
        </is>
      </c>
      <c r="AC419" t="inlineStr">
        <is>
          <t>TIGER PLATA/970N</t>
        </is>
      </c>
      <c r="AE419" t="inlineStr">
        <is>
          <t>LADEN BOOKING</t>
        </is>
      </c>
      <c r="AF419" t="inlineStr">
        <is>
          <t>AR_MARTIMA</t>
        </is>
      </c>
      <c r="AG419" t="inlineStr">
        <is>
          <t>RH40</t>
        </is>
      </c>
      <c r="AI419" t="n">
        <v>40</v>
      </c>
      <c r="AJ419" t="n">
        <v>0</v>
      </c>
      <c r="AK419" t="n">
        <v>1</v>
      </c>
      <c r="AL419" t="inlineStr">
        <is>
          <t>ANON0000000</t>
        </is>
      </c>
      <c r="AM419" t="n">
        <v>-18</v>
      </c>
      <c r="AP419" t="inlineStr">
        <is>
          <t>Non Haz</t>
        </is>
      </c>
      <c r="AQ419" t="inlineStr">
        <is>
          <t>CY/CY</t>
        </is>
      </c>
      <c r="AT419" t="inlineStr">
        <is>
          <t>REF000000</t>
        </is>
      </c>
      <c r="AU419" t="n">
        <v>29000</v>
      </c>
      <c r="AV419" t="inlineStr">
        <is>
          <t>FROZEN MEAT</t>
        </is>
      </c>
      <c r="AW419" t="inlineStr">
        <is>
          <t>NCM 020622</t>
        </is>
      </c>
      <c r="AX419" t="inlineStr">
        <is>
          <t>RSAMI122500031</t>
        </is>
      </c>
      <c r="AZ419" t="n">
        <v>0</v>
      </c>
      <c r="BA419" t="n">
        <v>10</v>
      </c>
      <c r="BB419" t="n">
        <v>10</v>
      </c>
      <c r="BC419" t="n">
        <v>6800</v>
      </c>
      <c r="BD419" t="inlineStr">
        <is>
          <t>No</t>
        </is>
      </c>
      <c r="BF419" t="inlineStr">
        <is>
          <t>Bengal Tiger Line -BTL</t>
        </is>
      </c>
      <c r="BG419" t="inlineStr">
        <is>
          <t>USSEA</t>
        </is>
      </c>
      <c r="BH419" t="n">
        <v>0</v>
      </c>
      <c r="BI419" t="n">
        <v>1</v>
      </c>
      <c r="BJ419" t="n">
        <v>6800</v>
      </c>
      <c r="BK419" t="inlineStr">
        <is>
          <t>LINE</t>
        </is>
      </c>
      <c r="BL419" t="inlineStr">
        <is>
          <t>SEAL REEFER</t>
        </is>
      </c>
      <c r="BM419" t="inlineStr">
        <is>
          <t>SEAL REEFER</t>
        </is>
      </c>
    </row>
    <row r="420">
      <c r="A420" t="n">
        <v>419</v>
      </c>
      <c r="B420" t="inlineStr">
        <is>
          <t>SHARK REEFER</t>
        </is>
      </c>
      <c r="C420" t="inlineStr">
        <is>
          <t>REF000000</t>
        </is>
      </c>
      <c r="D420" t="inlineStr">
        <is>
          <t>REF000000</t>
        </is>
      </c>
      <c r="E420" t="inlineStr">
        <is>
          <t>20-FEB-2026</t>
        </is>
      </c>
      <c r="F420" t="inlineStr">
        <is>
          <t>SHARK REEFER</t>
        </is>
      </c>
      <c r="G420" t="inlineStr">
        <is>
          <t>ENTERED THROUGH SPLIT BOOKING FROM THE BOOKING ID REF000000, BY AR_MARTIMA, ON 2/20/2026 9:21:01 PM</t>
        </is>
      </c>
      <c r="H420" t="inlineStr">
        <is>
          <t>AR_MARTIMA</t>
        </is>
      </c>
      <c r="J420" t="n">
        <v>46082</v>
      </c>
      <c r="K420" t="inlineStr">
        <is>
          <t>28-FEB-2026</t>
        </is>
      </c>
      <c r="L420" t="n">
        <v>46082</v>
      </c>
      <c r="M420" t="inlineStr">
        <is>
          <t>REF000000</t>
        </is>
      </c>
      <c r="N420" t="inlineStr">
        <is>
          <t>USSEA</t>
        </is>
      </c>
      <c r="O420" t="inlineStr">
        <is>
          <t>USSEA</t>
        </is>
      </c>
      <c r="P420" t="inlineStr">
        <is>
          <t>USNFK</t>
        </is>
      </c>
      <c r="U420" t="inlineStr">
        <is>
          <t>RULED</t>
        </is>
      </c>
      <c r="V420" t="inlineStr">
        <is>
          <t>RULED</t>
        </is>
      </c>
      <c r="W420" t="inlineStr">
        <is>
          <t>CANADA</t>
        </is>
      </c>
      <c r="X420" t="inlineStr">
        <is>
          <t>PERSIAN GULF</t>
        </is>
      </c>
      <c r="Y420" t="inlineStr">
        <is>
          <t>RUSSIA</t>
        </is>
      </c>
      <c r="Z420" t="inlineStr">
        <is>
          <t>External Review</t>
        </is>
      </c>
      <c r="AA420" t="inlineStr">
        <is>
          <t>HUB SHIPPING LLC-LED</t>
        </is>
      </c>
      <c r="AB420" t="inlineStr">
        <is>
          <t>Prepaid</t>
        </is>
      </c>
      <c r="AC420" t="inlineStr">
        <is>
          <t>TIGER PLATA/970N</t>
        </is>
      </c>
      <c r="AE420" t="inlineStr">
        <is>
          <t>LADEN BOOKING</t>
        </is>
      </c>
      <c r="AF420" t="inlineStr">
        <is>
          <t>AR_MARTIMA</t>
        </is>
      </c>
      <c r="AG420" t="inlineStr">
        <is>
          <t>RH40</t>
        </is>
      </c>
      <c r="AI420" t="n">
        <v>40</v>
      </c>
      <c r="AJ420" t="n">
        <v>0</v>
      </c>
      <c r="AK420" t="n">
        <v>1</v>
      </c>
      <c r="AL420" t="inlineStr">
        <is>
          <t>ANON0000000</t>
        </is>
      </c>
      <c r="AM420" t="n">
        <v>-18</v>
      </c>
      <c r="AP420" t="inlineStr">
        <is>
          <t>Non Haz</t>
        </is>
      </c>
      <c r="AQ420" t="inlineStr">
        <is>
          <t>CY/CY</t>
        </is>
      </c>
      <c r="AT420" t="inlineStr">
        <is>
          <t>REF000000</t>
        </is>
      </c>
      <c r="AU420" t="n">
        <v>29000</v>
      </c>
      <c r="AV420" t="inlineStr">
        <is>
          <t>FROZEN MEAT</t>
        </is>
      </c>
      <c r="AW420" t="inlineStr">
        <is>
          <t>NCM 020622</t>
        </is>
      </c>
      <c r="AX420" t="inlineStr">
        <is>
          <t>RSAMI122500031</t>
        </is>
      </c>
      <c r="AZ420" t="n">
        <v>0</v>
      </c>
      <c r="BA420" t="n">
        <v>10</v>
      </c>
      <c r="BB420" t="n">
        <v>10</v>
      </c>
      <c r="BC420" t="n">
        <v>6800</v>
      </c>
      <c r="BD420" t="inlineStr">
        <is>
          <t>No</t>
        </is>
      </c>
      <c r="BF420" t="inlineStr">
        <is>
          <t>Bengal Tiger Line -BTL</t>
        </is>
      </c>
      <c r="BG420" t="inlineStr">
        <is>
          <t>USSEA</t>
        </is>
      </c>
      <c r="BH420" t="n">
        <v>0</v>
      </c>
      <c r="BI420" t="n">
        <v>1</v>
      </c>
      <c r="BJ420" t="n">
        <v>6800</v>
      </c>
      <c r="BK420" t="inlineStr">
        <is>
          <t>LINE</t>
        </is>
      </c>
      <c r="BL420" t="inlineStr">
        <is>
          <t>SHARK REEFER</t>
        </is>
      </c>
      <c r="BM420" t="inlineStr">
        <is>
          <t>SHARK REEFER</t>
        </is>
      </c>
    </row>
    <row r="421">
      <c r="A421" t="n">
        <v>420</v>
      </c>
      <c r="B421" t="inlineStr">
        <is>
          <t>DOLPHIN REEFER</t>
        </is>
      </c>
      <c r="C421" t="inlineStr">
        <is>
          <t>REF000000</t>
        </is>
      </c>
      <c r="D421" t="inlineStr">
        <is>
          <t>REF000000</t>
        </is>
      </c>
      <c r="E421" t="inlineStr">
        <is>
          <t>20-FEB-2026</t>
        </is>
      </c>
      <c r="F421" t="inlineStr">
        <is>
          <t>DOLPHIN REEFER</t>
        </is>
      </c>
      <c r="G421" t="inlineStr">
        <is>
          <t>ENTERED THROUGH SPLIT BOOKING FROM THE BOOKING ID REF000000, BY AR_MARTIMA, ON 2/20/2026 9:21:02 PM</t>
        </is>
      </c>
      <c r="H421" t="inlineStr">
        <is>
          <t>AR_MARTIMA</t>
        </is>
      </c>
      <c r="J421" t="n">
        <v>46082</v>
      </c>
      <c r="K421" t="inlineStr">
        <is>
          <t>28-FEB-2026</t>
        </is>
      </c>
      <c r="L421" t="n">
        <v>46082</v>
      </c>
      <c r="M421" t="inlineStr">
        <is>
          <t>REF000000</t>
        </is>
      </c>
      <c r="N421" t="inlineStr">
        <is>
          <t>USSEA</t>
        </is>
      </c>
      <c r="O421" t="inlineStr">
        <is>
          <t>USSEA</t>
        </is>
      </c>
      <c r="P421" t="inlineStr">
        <is>
          <t>USNFK</t>
        </is>
      </c>
      <c r="U421" t="inlineStr">
        <is>
          <t>RULED</t>
        </is>
      </c>
      <c r="V421" t="inlineStr">
        <is>
          <t>RULED</t>
        </is>
      </c>
      <c r="W421" t="inlineStr">
        <is>
          <t>CANADA</t>
        </is>
      </c>
      <c r="X421" t="inlineStr">
        <is>
          <t>PERSIAN GULF</t>
        </is>
      </c>
      <c r="Y421" t="inlineStr">
        <is>
          <t>RUSSIA</t>
        </is>
      </c>
      <c r="Z421" t="inlineStr">
        <is>
          <t>External Review</t>
        </is>
      </c>
      <c r="AA421" t="inlineStr">
        <is>
          <t>HUB SHIPPING LLC-LED</t>
        </is>
      </c>
      <c r="AB421" t="inlineStr">
        <is>
          <t>Prepaid</t>
        </is>
      </c>
      <c r="AC421" t="inlineStr">
        <is>
          <t>TIGER PLATA/970N</t>
        </is>
      </c>
      <c r="AE421" t="inlineStr">
        <is>
          <t>LADEN BOOKING</t>
        </is>
      </c>
      <c r="AF421" t="inlineStr">
        <is>
          <t>AR_MARTIMA</t>
        </is>
      </c>
      <c r="AG421" t="inlineStr">
        <is>
          <t>RH40</t>
        </is>
      </c>
      <c r="AI421" t="n">
        <v>40</v>
      </c>
      <c r="AJ421" t="n">
        <v>0</v>
      </c>
      <c r="AK421" t="n">
        <v>1</v>
      </c>
      <c r="AL421" t="inlineStr">
        <is>
          <t>ANON0000000</t>
        </is>
      </c>
      <c r="AM421" t="n">
        <v>-18</v>
      </c>
      <c r="AP421" t="inlineStr">
        <is>
          <t>Non Haz</t>
        </is>
      </c>
      <c r="AQ421" t="inlineStr">
        <is>
          <t>CY/CY</t>
        </is>
      </c>
      <c r="AT421" t="inlineStr">
        <is>
          <t>REF000000</t>
        </is>
      </c>
      <c r="AU421" t="n">
        <v>29000</v>
      </c>
      <c r="AV421" t="inlineStr">
        <is>
          <t>FROZEN MEAT</t>
        </is>
      </c>
      <c r="AW421" t="inlineStr">
        <is>
          <t>NCM 020622</t>
        </is>
      </c>
      <c r="AX421" t="inlineStr">
        <is>
          <t>RSAMI122500031</t>
        </is>
      </c>
      <c r="AZ421" t="n">
        <v>0</v>
      </c>
      <c r="BA421" t="n">
        <v>10</v>
      </c>
      <c r="BB421" t="n">
        <v>10</v>
      </c>
      <c r="BC421" t="n">
        <v>6800</v>
      </c>
      <c r="BD421" t="inlineStr">
        <is>
          <t>No</t>
        </is>
      </c>
      <c r="BF421" t="inlineStr">
        <is>
          <t>Bengal Tiger Line -BTL</t>
        </is>
      </c>
      <c r="BG421" t="inlineStr">
        <is>
          <t>USSEA</t>
        </is>
      </c>
      <c r="BH421" t="n">
        <v>0</v>
      </c>
      <c r="BI421" t="n">
        <v>1</v>
      </c>
      <c r="BJ421" t="n">
        <v>6800</v>
      </c>
      <c r="BK421" t="inlineStr">
        <is>
          <t>LINE</t>
        </is>
      </c>
      <c r="BL421" t="inlineStr">
        <is>
          <t>DOLPHIN REEFER</t>
        </is>
      </c>
      <c r="BM421" t="inlineStr">
        <is>
          <t>DOLPHIN REEFER</t>
        </is>
      </c>
    </row>
    <row r="422">
      <c r="A422" t="n">
        <v>421</v>
      </c>
      <c r="B422" t="inlineStr">
        <is>
          <t>MARLIN REEFER</t>
        </is>
      </c>
      <c r="C422" t="inlineStr">
        <is>
          <t>REF000000</t>
        </is>
      </c>
      <c r="D422" t="inlineStr">
        <is>
          <t>REF000000</t>
        </is>
      </c>
      <c r="E422" t="inlineStr">
        <is>
          <t>20-FEB-2026</t>
        </is>
      </c>
      <c r="F422" t="inlineStr">
        <is>
          <t>MARLIN REEFER</t>
        </is>
      </c>
      <c r="G422" t="inlineStr">
        <is>
          <t>ENTERED THROUGH SPLIT BOOKING FROM THE BOOKING ID REF000000, BY AR_MARTIMA, ON 2/20/2026 9:21:02 PM</t>
        </is>
      </c>
      <c r="H422" t="inlineStr">
        <is>
          <t>AR_MARTIMA</t>
        </is>
      </c>
      <c r="J422" t="n">
        <v>46082</v>
      </c>
      <c r="K422" t="inlineStr">
        <is>
          <t>28-FEB-2026</t>
        </is>
      </c>
      <c r="L422" t="n">
        <v>46082</v>
      </c>
      <c r="M422" t="inlineStr">
        <is>
          <t>REF000000</t>
        </is>
      </c>
      <c r="N422" t="inlineStr">
        <is>
          <t>USSEA</t>
        </is>
      </c>
      <c r="O422" t="inlineStr">
        <is>
          <t>USSEA</t>
        </is>
      </c>
      <c r="P422" t="inlineStr">
        <is>
          <t>USNFK</t>
        </is>
      </c>
      <c r="U422" t="inlineStr">
        <is>
          <t>RULED</t>
        </is>
      </c>
      <c r="V422" t="inlineStr">
        <is>
          <t>RULED</t>
        </is>
      </c>
      <c r="W422" t="inlineStr">
        <is>
          <t>CANADA</t>
        </is>
      </c>
      <c r="X422" t="inlineStr">
        <is>
          <t>PERSIAN GULF</t>
        </is>
      </c>
      <c r="Y422" t="inlineStr">
        <is>
          <t>RUSSIA</t>
        </is>
      </c>
      <c r="Z422" t="inlineStr">
        <is>
          <t>External Review</t>
        </is>
      </c>
      <c r="AA422" t="inlineStr">
        <is>
          <t>HUB SHIPPING LLC-LED</t>
        </is>
      </c>
      <c r="AB422" t="inlineStr">
        <is>
          <t>Prepaid</t>
        </is>
      </c>
      <c r="AC422" t="inlineStr">
        <is>
          <t>TIGER PLATA/970N</t>
        </is>
      </c>
      <c r="AE422" t="inlineStr">
        <is>
          <t>LADEN BOOKING</t>
        </is>
      </c>
      <c r="AF422" t="inlineStr">
        <is>
          <t>AR_MARTIMA</t>
        </is>
      </c>
      <c r="AG422" t="inlineStr">
        <is>
          <t>RH40</t>
        </is>
      </c>
      <c r="AI422" t="n">
        <v>40</v>
      </c>
      <c r="AJ422" t="n">
        <v>0</v>
      </c>
      <c r="AK422" t="n">
        <v>1</v>
      </c>
      <c r="AL422" t="inlineStr">
        <is>
          <t>ANON0000000</t>
        </is>
      </c>
      <c r="AM422" t="n">
        <v>-18</v>
      </c>
      <c r="AP422" t="inlineStr">
        <is>
          <t>Non Haz</t>
        </is>
      </c>
      <c r="AQ422" t="inlineStr">
        <is>
          <t>CY/CY</t>
        </is>
      </c>
      <c r="AT422" t="inlineStr">
        <is>
          <t>REF000000</t>
        </is>
      </c>
      <c r="AU422" t="n">
        <v>29000</v>
      </c>
      <c r="AV422" t="inlineStr">
        <is>
          <t>FROZEN MEAT</t>
        </is>
      </c>
      <c r="AW422" t="inlineStr">
        <is>
          <t>NCM 020629</t>
        </is>
      </c>
      <c r="AX422" t="inlineStr">
        <is>
          <t>RSAMI122500031</t>
        </is>
      </c>
      <c r="AZ422" t="n">
        <v>0</v>
      </c>
      <c r="BA422" t="n">
        <v>10</v>
      </c>
      <c r="BB422" t="n">
        <v>10</v>
      </c>
      <c r="BC422" t="n">
        <v>6800</v>
      </c>
      <c r="BD422" t="inlineStr">
        <is>
          <t>No</t>
        </is>
      </c>
      <c r="BF422" t="inlineStr">
        <is>
          <t>Bengal Tiger Line -BTL</t>
        </is>
      </c>
      <c r="BG422" t="inlineStr">
        <is>
          <t>USSEA</t>
        </is>
      </c>
      <c r="BH422" t="n">
        <v>0</v>
      </c>
      <c r="BI422" t="n">
        <v>1</v>
      </c>
      <c r="BJ422" t="n">
        <v>6800</v>
      </c>
      <c r="BK422" t="inlineStr">
        <is>
          <t>LINE</t>
        </is>
      </c>
      <c r="BL422" t="inlineStr">
        <is>
          <t>MARLIN REEFER</t>
        </is>
      </c>
      <c r="BM422" t="inlineStr">
        <is>
          <t>MARLIN REEFER</t>
        </is>
      </c>
    </row>
    <row r="423">
      <c r="A423" t="n">
        <v>422</v>
      </c>
      <c r="B423" t="inlineStr">
        <is>
          <t>TURTLE REEFER</t>
        </is>
      </c>
      <c r="C423" t="inlineStr">
        <is>
          <t>REF000000</t>
        </is>
      </c>
      <c r="D423" t="inlineStr">
        <is>
          <t>REF000000</t>
        </is>
      </c>
      <c r="E423" t="inlineStr">
        <is>
          <t>20-FEB-2026</t>
        </is>
      </c>
      <c r="F423" t="inlineStr">
        <is>
          <t>TURTLE REEFER</t>
        </is>
      </c>
      <c r="G423" t="inlineStr">
        <is>
          <t>ENTERED THROUGH SPLIT BOOKING FROM THE BOOKING ID REF000000, BY AR_MARTIMA, ON 2/20/2026 9:21:02 PM</t>
        </is>
      </c>
      <c r="H423" t="inlineStr">
        <is>
          <t>AR_MARTIMA</t>
        </is>
      </c>
      <c r="J423" t="n">
        <v>46082</v>
      </c>
      <c r="K423" t="inlineStr">
        <is>
          <t>28-FEB-2026</t>
        </is>
      </c>
      <c r="L423" t="n">
        <v>46082</v>
      </c>
      <c r="M423" t="inlineStr">
        <is>
          <t>REF000000</t>
        </is>
      </c>
      <c r="N423" t="inlineStr">
        <is>
          <t>USSEA</t>
        </is>
      </c>
      <c r="O423" t="inlineStr">
        <is>
          <t>USSEA</t>
        </is>
      </c>
      <c r="P423" t="inlineStr">
        <is>
          <t>USNFK</t>
        </is>
      </c>
      <c r="U423" t="inlineStr">
        <is>
          <t>RULED</t>
        </is>
      </c>
      <c r="V423" t="inlineStr">
        <is>
          <t>RULED</t>
        </is>
      </c>
      <c r="W423" t="inlineStr">
        <is>
          <t>CANADA</t>
        </is>
      </c>
      <c r="X423" t="inlineStr">
        <is>
          <t>PERSIAN GULF</t>
        </is>
      </c>
      <c r="Y423" t="inlineStr">
        <is>
          <t>RUSSIA</t>
        </is>
      </c>
      <c r="Z423" t="inlineStr">
        <is>
          <t>External Review</t>
        </is>
      </c>
      <c r="AA423" t="inlineStr">
        <is>
          <t>HUB SHIPPING LLC-LED</t>
        </is>
      </c>
      <c r="AB423" t="inlineStr">
        <is>
          <t>Prepaid</t>
        </is>
      </c>
      <c r="AC423" t="inlineStr">
        <is>
          <t>TIGER PLATA/970N</t>
        </is>
      </c>
      <c r="AE423" t="inlineStr">
        <is>
          <t>LADEN BOOKING</t>
        </is>
      </c>
      <c r="AF423" t="inlineStr">
        <is>
          <t>AR_MARTIMA</t>
        </is>
      </c>
      <c r="AG423" t="inlineStr">
        <is>
          <t>RH40</t>
        </is>
      </c>
      <c r="AI423" t="n">
        <v>40</v>
      </c>
      <c r="AJ423" t="n">
        <v>0</v>
      </c>
      <c r="AK423" t="n">
        <v>1</v>
      </c>
      <c r="AL423" t="inlineStr">
        <is>
          <t>ANON0000000</t>
        </is>
      </c>
      <c r="AM423" t="n">
        <v>-18</v>
      </c>
      <c r="AP423" t="inlineStr">
        <is>
          <t>Non Haz</t>
        </is>
      </c>
      <c r="AQ423" t="inlineStr">
        <is>
          <t>CY/CY</t>
        </is>
      </c>
      <c r="AT423" t="inlineStr">
        <is>
          <t>REF000000</t>
        </is>
      </c>
      <c r="AU423" t="n">
        <v>29000</v>
      </c>
      <c r="AV423" t="inlineStr">
        <is>
          <t>FROZEN MEAT</t>
        </is>
      </c>
      <c r="AW423" t="inlineStr">
        <is>
          <t>NCM 020629</t>
        </is>
      </c>
      <c r="AX423" t="inlineStr">
        <is>
          <t>RSAMI122500031</t>
        </is>
      </c>
      <c r="AZ423" t="n">
        <v>0</v>
      </c>
      <c r="BA423" t="n">
        <v>10</v>
      </c>
      <c r="BB423" t="n">
        <v>10</v>
      </c>
      <c r="BC423" t="n">
        <v>6800</v>
      </c>
      <c r="BD423" t="inlineStr">
        <is>
          <t>No</t>
        </is>
      </c>
      <c r="BF423" t="inlineStr">
        <is>
          <t>Bengal Tiger Line -BTL</t>
        </is>
      </c>
      <c r="BG423" t="inlineStr">
        <is>
          <t>USSEA</t>
        </is>
      </c>
      <c r="BH423" t="n">
        <v>0</v>
      </c>
      <c r="BI423" t="n">
        <v>1</v>
      </c>
      <c r="BJ423" t="n">
        <v>6800</v>
      </c>
      <c r="BK423" t="inlineStr">
        <is>
          <t>LINE</t>
        </is>
      </c>
      <c r="BL423" t="inlineStr">
        <is>
          <t>TURTLE REEFER</t>
        </is>
      </c>
      <c r="BM423" t="inlineStr">
        <is>
          <t>TURTLE REEFER</t>
        </is>
      </c>
    </row>
    <row r="424">
      <c r="A424" t="n">
        <v>423</v>
      </c>
      <c r="B424" t="inlineStr">
        <is>
          <t>ORCA REEFER</t>
        </is>
      </c>
      <c r="C424" t="inlineStr">
        <is>
          <t>REF000000</t>
        </is>
      </c>
      <c r="D424" t="inlineStr">
        <is>
          <t>REF000000</t>
        </is>
      </c>
      <c r="E424" t="inlineStr">
        <is>
          <t>20-FEB-2026</t>
        </is>
      </c>
      <c r="F424" t="inlineStr">
        <is>
          <t>ORCA REEFER</t>
        </is>
      </c>
      <c r="G424" t="inlineStr">
        <is>
          <t>ENTERED THROUGH SPLIT BOOKING FROM THE BOOKING ID REF000000, BY AR_MARTIMA, ON 2/20/2026 9:21:02 PM</t>
        </is>
      </c>
      <c r="H424" t="inlineStr">
        <is>
          <t>AR_MARTIMA</t>
        </is>
      </c>
      <c r="J424" t="n">
        <v>46082</v>
      </c>
      <c r="K424" t="inlineStr">
        <is>
          <t>28-FEB-2026</t>
        </is>
      </c>
      <c r="L424" t="n">
        <v>46082</v>
      </c>
      <c r="M424" t="inlineStr">
        <is>
          <t>REF000000</t>
        </is>
      </c>
      <c r="N424" t="inlineStr">
        <is>
          <t>USSEA</t>
        </is>
      </c>
      <c r="O424" t="inlineStr">
        <is>
          <t>USSEA</t>
        </is>
      </c>
      <c r="P424" t="inlineStr">
        <is>
          <t>USNFK</t>
        </is>
      </c>
      <c r="U424" t="inlineStr">
        <is>
          <t>RULED</t>
        </is>
      </c>
      <c r="V424" t="inlineStr">
        <is>
          <t>RULED</t>
        </is>
      </c>
      <c r="W424" t="inlineStr">
        <is>
          <t>CANADA</t>
        </is>
      </c>
      <c r="X424" t="inlineStr">
        <is>
          <t>PERSIAN GULF</t>
        </is>
      </c>
      <c r="Y424" t="inlineStr">
        <is>
          <t>RUSSIA</t>
        </is>
      </c>
      <c r="Z424" t="inlineStr">
        <is>
          <t>External Review</t>
        </is>
      </c>
      <c r="AA424" t="inlineStr">
        <is>
          <t>HUB SHIPPING LLC-LED</t>
        </is>
      </c>
      <c r="AB424" t="inlineStr">
        <is>
          <t>Prepaid</t>
        </is>
      </c>
      <c r="AC424" t="inlineStr">
        <is>
          <t>TIGER PLATA/970N</t>
        </is>
      </c>
      <c r="AE424" t="inlineStr">
        <is>
          <t>LADEN BOOKING</t>
        </is>
      </c>
      <c r="AF424" t="inlineStr">
        <is>
          <t>AR_MARTIMA</t>
        </is>
      </c>
      <c r="AG424" t="inlineStr">
        <is>
          <t>RH40</t>
        </is>
      </c>
      <c r="AI424" t="n">
        <v>40</v>
      </c>
      <c r="AJ424" t="n">
        <v>0</v>
      </c>
      <c r="AK424" t="n">
        <v>1</v>
      </c>
      <c r="AL424" t="inlineStr">
        <is>
          <t>ANON0000000</t>
        </is>
      </c>
      <c r="AM424" t="n">
        <v>-18</v>
      </c>
      <c r="AP424" t="inlineStr">
        <is>
          <t>Non Haz</t>
        </is>
      </c>
      <c r="AQ424" t="inlineStr">
        <is>
          <t>CY/CY</t>
        </is>
      </c>
      <c r="AT424" t="inlineStr">
        <is>
          <t>REF000000</t>
        </is>
      </c>
      <c r="AU424" t="n">
        <v>29000</v>
      </c>
      <c r="AV424" t="inlineStr">
        <is>
          <t>FROZEN MEAT</t>
        </is>
      </c>
      <c r="AW424" t="inlineStr">
        <is>
          <t>NCM 020629</t>
        </is>
      </c>
      <c r="AX424" t="inlineStr">
        <is>
          <t>RSAMI122500031</t>
        </is>
      </c>
      <c r="AZ424" t="n">
        <v>0</v>
      </c>
      <c r="BA424" t="n">
        <v>10</v>
      </c>
      <c r="BB424" t="n">
        <v>10</v>
      </c>
      <c r="BC424" t="n">
        <v>6800</v>
      </c>
      <c r="BD424" t="inlineStr">
        <is>
          <t>No</t>
        </is>
      </c>
      <c r="BF424" t="inlineStr">
        <is>
          <t>Bengal Tiger Line -BTL</t>
        </is>
      </c>
      <c r="BG424" t="inlineStr">
        <is>
          <t>USSEA</t>
        </is>
      </c>
      <c r="BH424" t="n">
        <v>0</v>
      </c>
      <c r="BI424" t="n">
        <v>1</v>
      </c>
      <c r="BJ424" t="n">
        <v>6800</v>
      </c>
      <c r="BK424" t="inlineStr">
        <is>
          <t>LINE</t>
        </is>
      </c>
      <c r="BL424" t="inlineStr">
        <is>
          <t>ORCA REEFER</t>
        </is>
      </c>
      <c r="BM424" t="inlineStr">
        <is>
          <t>ORCA REEFER</t>
        </is>
      </c>
    </row>
    <row r="425">
      <c r="A425" t="n">
        <v>424</v>
      </c>
      <c r="B425" t="inlineStr">
        <is>
          <t>WHALE REEFER</t>
        </is>
      </c>
      <c r="C425" t="inlineStr">
        <is>
          <t>REF000000</t>
        </is>
      </c>
      <c r="D425" t="inlineStr">
        <is>
          <t>REF000000</t>
        </is>
      </c>
      <c r="E425" t="inlineStr">
        <is>
          <t>20-FEB-2026</t>
        </is>
      </c>
      <c r="F425" t="inlineStr">
        <is>
          <t>WHALE REEFER</t>
        </is>
      </c>
      <c r="G425" t="inlineStr">
        <is>
          <t>ENTERED THROUGH SPLIT BOOKING FROM THE BOOKING ID REF000000, BY AR_MARTIMA, ON 2/20/2026 9:21:02 PM</t>
        </is>
      </c>
      <c r="H425" t="inlineStr">
        <is>
          <t>AR_MARTIMA</t>
        </is>
      </c>
      <c r="J425" t="n">
        <v>46082</v>
      </c>
      <c r="K425" t="inlineStr">
        <is>
          <t>28-FEB-2026</t>
        </is>
      </c>
      <c r="L425" t="n">
        <v>46082</v>
      </c>
      <c r="M425" t="inlineStr">
        <is>
          <t>REF000000</t>
        </is>
      </c>
      <c r="N425" t="inlineStr">
        <is>
          <t>USSEA</t>
        </is>
      </c>
      <c r="O425" t="inlineStr">
        <is>
          <t>USSEA</t>
        </is>
      </c>
      <c r="P425" t="inlineStr">
        <is>
          <t>USNFK</t>
        </is>
      </c>
      <c r="U425" t="inlineStr">
        <is>
          <t>RULED</t>
        </is>
      </c>
      <c r="V425" t="inlineStr">
        <is>
          <t>RULED</t>
        </is>
      </c>
      <c r="W425" t="inlineStr">
        <is>
          <t>CANADA</t>
        </is>
      </c>
      <c r="X425" t="inlineStr">
        <is>
          <t>PERSIAN GULF</t>
        </is>
      </c>
      <c r="Y425" t="inlineStr">
        <is>
          <t>RUSSIA</t>
        </is>
      </c>
      <c r="Z425" t="inlineStr">
        <is>
          <t>External Review</t>
        </is>
      </c>
      <c r="AA425" t="inlineStr">
        <is>
          <t>HUB SHIPPING LLC-LED</t>
        </is>
      </c>
      <c r="AB425" t="inlineStr">
        <is>
          <t>Prepaid</t>
        </is>
      </c>
      <c r="AC425" t="inlineStr">
        <is>
          <t>TIGER PLATA/970N</t>
        </is>
      </c>
      <c r="AE425" t="inlineStr">
        <is>
          <t>LADEN BOOKING</t>
        </is>
      </c>
      <c r="AF425" t="inlineStr">
        <is>
          <t>AR_MARTIMA</t>
        </is>
      </c>
      <c r="AG425" t="inlineStr">
        <is>
          <t>RH40</t>
        </is>
      </c>
      <c r="AI425" t="n">
        <v>40</v>
      </c>
      <c r="AJ425" t="n">
        <v>0</v>
      </c>
      <c r="AK425" t="n">
        <v>1</v>
      </c>
      <c r="AL425" t="inlineStr">
        <is>
          <t>ANON0000000</t>
        </is>
      </c>
      <c r="AM425" t="n">
        <v>-18</v>
      </c>
      <c r="AP425" t="inlineStr">
        <is>
          <t>Non Haz</t>
        </is>
      </c>
      <c r="AQ425" t="inlineStr">
        <is>
          <t>CY/CY</t>
        </is>
      </c>
      <c r="AT425" t="inlineStr">
        <is>
          <t>REF000000</t>
        </is>
      </c>
      <c r="AU425" t="n">
        <v>29000</v>
      </c>
      <c r="AV425" t="inlineStr">
        <is>
          <t>FROZEN MEAT</t>
        </is>
      </c>
      <c r="AW425" t="inlineStr">
        <is>
          <t>NCM 020621</t>
        </is>
      </c>
      <c r="AX425" t="inlineStr">
        <is>
          <t>RSAMI122500031</t>
        </is>
      </c>
      <c r="AZ425" t="n">
        <v>0</v>
      </c>
      <c r="BA425" t="n">
        <v>10</v>
      </c>
      <c r="BB425" t="n">
        <v>10</v>
      </c>
      <c r="BC425" t="n">
        <v>6800</v>
      </c>
      <c r="BD425" t="inlineStr">
        <is>
          <t>No</t>
        </is>
      </c>
      <c r="BF425" t="inlineStr">
        <is>
          <t>Bengal Tiger Line -BTL</t>
        </is>
      </c>
      <c r="BG425" t="inlineStr">
        <is>
          <t>USSEA</t>
        </is>
      </c>
      <c r="BH425" t="n">
        <v>0</v>
      </c>
      <c r="BI425" t="n">
        <v>1</v>
      </c>
      <c r="BJ425" t="n">
        <v>6800</v>
      </c>
      <c r="BK425" t="inlineStr">
        <is>
          <t>LINE</t>
        </is>
      </c>
      <c r="BL425" t="inlineStr">
        <is>
          <t>WHALE REEFER</t>
        </is>
      </c>
      <c r="BM425" t="inlineStr">
        <is>
          <t>WHALE REEFER</t>
        </is>
      </c>
    </row>
    <row r="426">
      <c r="A426" t="n">
        <v>425</v>
      </c>
      <c r="B426" t="inlineStr">
        <is>
          <t>SEAL REEFER</t>
        </is>
      </c>
      <c r="C426" t="inlineStr">
        <is>
          <t>REF000000</t>
        </is>
      </c>
      <c r="D426" t="inlineStr">
        <is>
          <t>REF000000</t>
        </is>
      </c>
      <c r="E426" t="inlineStr">
        <is>
          <t>20-FEB-2026</t>
        </is>
      </c>
      <c r="F426" t="inlineStr">
        <is>
          <t>SEAL REEFER</t>
        </is>
      </c>
      <c r="G426" t="inlineStr">
        <is>
          <t>ENTERED THROUGH SPLIT BOOKING FROM THE BOOKING ID REF000000, BY AR_MARTIMA, ON 2/20/2026 9:21:02 PM</t>
        </is>
      </c>
      <c r="H426" t="inlineStr">
        <is>
          <t>AR_MARTIMA</t>
        </is>
      </c>
      <c r="J426" t="n">
        <v>46082</v>
      </c>
      <c r="K426" t="inlineStr">
        <is>
          <t>28-FEB-2026</t>
        </is>
      </c>
      <c r="L426" t="n">
        <v>46082</v>
      </c>
      <c r="M426" t="inlineStr">
        <is>
          <t>REF000000</t>
        </is>
      </c>
      <c r="N426" t="inlineStr">
        <is>
          <t>USSEA</t>
        </is>
      </c>
      <c r="O426" t="inlineStr">
        <is>
          <t>USSEA</t>
        </is>
      </c>
      <c r="P426" t="inlineStr">
        <is>
          <t>USNFK</t>
        </is>
      </c>
      <c r="U426" t="inlineStr">
        <is>
          <t>RULED</t>
        </is>
      </c>
      <c r="V426" t="inlineStr">
        <is>
          <t>RULED</t>
        </is>
      </c>
      <c r="W426" t="inlineStr">
        <is>
          <t>CANADA</t>
        </is>
      </c>
      <c r="X426" t="inlineStr">
        <is>
          <t>PERSIAN GULF</t>
        </is>
      </c>
      <c r="Y426" t="inlineStr">
        <is>
          <t>RUSSIA</t>
        </is>
      </c>
      <c r="Z426" t="inlineStr">
        <is>
          <t>External Review</t>
        </is>
      </c>
      <c r="AA426" t="inlineStr">
        <is>
          <t>HUB SHIPPING LLC-LED</t>
        </is>
      </c>
      <c r="AB426" t="inlineStr">
        <is>
          <t>Prepaid</t>
        </is>
      </c>
      <c r="AC426" t="inlineStr">
        <is>
          <t>TIGER PLATA/970N</t>
        </is>
      </c>
      <c r="AE426" t="inlineStr">
        <is>
          <t>LADEN BOOKING</t>
        </is>
      </c>
      <c r="AF426" t="inlineStr">
        <is>
          <t>AR_MARTIMA</t>
        </is>
      </c>
      <c r="AG426" t="inlineStr">
        <is>
          <t>RH40</t>
        </is>
      </c>
      <c r="AI426" t="n">
        <v>40</v>
      </c>
      <c r="AJ426" t="n">
        <v>0</v>
      </c>
      <c r="AK426" t="n">
        <v>1</v>
      </c>
      <c r="AL426" t="inlineStr">
        <is>
          <t>ANON0000000</t>
        </is>
      </c>
      <c r="AM426" t="n">
        <v>-18</v>
      </c>
      <c r="AP426" t="inlineStr">
        <is>
          <t>Non Haz</t>
        </is>
      </c>
      <c r="AQ426" t="inlineStr">
        <is>
          <t>CY/CY</t>
        </is>
      </c>
      <c r="AT426" t="inlineStr">
        <is>
          <t>REF000000</t>
        </is>
      </c>
      <c r="AU426" t="n">
        <v>29000</v>
      </c>
      <c r="AV426" t="inlineStr">
        <is>
          <t>FROZEN MEAT</t>
        </is>
      </c>
      <c r="AW426" t="inlineStr">
        <is>
          <t>NCM 020621</t>
        </is>
      </c>
      <c r="AX426" t="inlineStr">
        <is>
          <t>RSAMI122500031</t>
        </is>
      </c>
      <c r="AZ426" t="n">
        <v>0</v>
      </c>
      <c r="BA426" t="n">
        <v>10</v>
      </c>
      <c r="BB426" t="n">
        <v>10</v>
      </c>
      <c r="BC426" t="n">
        <v>6800</v>
      </c>
      <c r="BD426" t="inlineStr">
        <is>
          <t>No</t>
        </is>
      </c>
      <c r="BF426" t="inlineStr">
        <is>
          <t>Bengal Tiger Line -BTL</t>
        </is>
      </c>
      <c r="BG426" t="inlineStr">
        <is>
          <t>USSEA</t>
        </is>
      </c>
      <c r="BH426" t="n">
        <v>0</v>
      </c>
      <c r="BI426" t="n">
        <v>1</v>
      </c>
      <c r="BJ426" t="n">
        <v>6800</v>
      </c>
      <c r="BK426" t="inlineStr">
        <is>
          <t>LINE</t>
        </is>
      </c>
      <c r="BL426" t="inlineStr">
        <is>
          <t>SEAL REEFER</t>
        </is>
      </c>
      <c r="BM426" t="inlineStr">
        <is>
          <t>SEAL REEFER</t>
        </is>
      </c>
    </row>
    <row r="427">
      <c r="A427" t="n">
        <v>426</v>
      </c>
      <c r="B427" t="inlineStr">
        <is>
          <t>SHARK REEFER</t>
        </is>
      </c>
      <c r="C427" t="inlineStr">
        <is>
          <t>REF000000</t>
        </is>
      </c>
      <c r="D427" t="inlineStr">
        <is>
          <t>REF000000</t>
        </is>
      </c>
      <c r="E427" t="inlineStr">
        <is>
          <t>20-FEB-2026</t>
        </is>
      </c>
      <c r="F427" t="inlineStr">
        <is>
          <t>SHARK REEFER</t>
        </is>
      </c>
      <c r="G427" t="inlineStr">
        <is>
          <t>ENTERED THROUGH SPLIT BOOKING FROM THE BOOKING ID REF000000, BY AR_MARTIMA, ON 2/20/2026 9:21:03 PM</t>
        </is>
      </c>
      <c r="H427" t="inlineStr">
        <is>
          <t>AR_MARTIMA</t>
        </is>
      </c>
      <c r="J427" t="n">
        <v>46082</v>
      </c>
      <c r="K427" t="inlineStr">
        <is>
          <t>28-FEB-2026</t>
        </is>
      </c>
      <c r="L427" t="n">
        <v>46082</v>
      </c>
      <c r="M427" t="inlineStr">
        <is>
          <t>REF000000</t>
        </is>
      </c>
      <c r="N427" t="inlineStr">
        <is>
          <t>USSEA</t>
        </is>
      </c>
      <c r="O427" t="inlineStr">
        <is>
          <t>USSEA</t>
        </is>
      </c>
      <c r="P427" t="inlineStr">
        <is>
          <t>USNFK</t>
        </is>
      </c>
      <c r="U427" t="inlineStr">
        <is>
          <t>RULED</t>
        </is>
      </c>
      <c r="V427" t="inlineStr">
        <is>
          <t>RULED</t>
        </is>
      </c>
      <c r="W427" t="inlineStr">
        <is>
          <t>CANADA</t>
        </is>
      </c>
      <c r="X427" t="inlineStr">
        <is>
          <t>PERSIAN GULF</t>
        </is>
      </c>
      <c r="Y427" t="inlineStr">
        <is>
          <t>RUSSIA</t>
        </is>
      </c>
      <c r="Z427" t="inlineStr">
        <is>
          <t>External Review</t>
        </is>
      </c>
      <c r="AA427" t="inlineStr">
        <is>
          <t>HUB SHIPPING LLC-LED</t>
        </is>
      </c>
      <c r="AB427" t="inlineStr">
        <is>
          <t>Prepaid</t>
        </is>
      </c>
      <c r="AC427" t="inlineStr">
        <is>
          <t>TIGER PLATA/970N</t>
        </is>
      </c>
      <c r="AE427" t="inlineStr">
        <is>
          <t>LADEN BOOKING</t>
        </is>
      </c>
      <c r="AF427" t="inlineStr">
        <is>
          <t>AR_MARTIMA</t>
        </is>
      </c>
      <c r="AG427" t="inlineStr">
        <is>
          <t>RH40</t>
        </is>
      </c>
      <c r="AI427" t="n">
        <v>40</v>
      </c>
      <c r="AJ427" t="n">
        <v>0</v>
      </c>
      <c r="AK427" t="n">
        <v>1</v>
      </c>
      <c r="AL427" t="inlineStr">
        <is>
          <t>ANON0000000</t>
        </is>
      </c>
      <c r="AM427" t="n">
        <v>-18</v>
      </c>
      <c r="AP427" t="inlineStr">
        <is>
          <t>Non Haz</t>
        </is>
      </c>
      <c r="AQ427" t="inlineStr">
        <is>
          <t>CY/CY</t>
        </is>
      </c>
      <c r="AT427" t="inlineStr">
        <is>
          <t>REF000000</t>
        </is>
      </c>
      <c r="AU427" t="n">
        <v>29000</v>
      </c>
      <c r="AV427" t="inlineStr">
        <is>
          <t>FROZEN MEAT</t>
        </is>
      </c>
      <c r="AW427" t="inlineStr">
        <is>
          <t>NCM 020621</t>
        </is>
      </c>
      <c r="AX427" t="inlineStr">
        <is>
          <t>RSAMI122500031</t>
        </is>
      </c>
      <c r="AZ427" t="n">
        <v>0</v>
      </c>
      <c r="BA427" t="n">
        <v>10</v>
      </c>
      <c r="BB427" t="n">
        <v>10</v>
      </c>
      <c r="BC427" t="n">
        <v>6800</v>
      </c>
      <c r="BD427" t="inlineStr">
        <is>
          <t>No</t>
        </is>
      </c>
      <c r="BF427" t="inlineStr">
        <is>
          <t>Bengal Tiger Line -BTL</t>
        </is>
      </c>
      <c r="BG427" t="inlineStr">
        <is>
          <t>USSEA</t>
        </is>
      </c>
      <c r="BH427" t="n">
        <v>0</v>
      </c>
      <c r="BI427" t="n">
        <v>1</v>
      </c>
      <c r="BJ427" t="n">
        <v>6800</v>
      </c>
      <c r="BK427" t="inlineStr">
        <is>
          <t>LINE</t>
        </is>
      </c>
      <c r="BL427" t="inlineStr">
        <is>
          <t>SHARK REEFER</t>
        </is>
      </c>
      <c r="BM427" t="inlineStr">
        <is>
          <t>SHARK REEFER</t>
        </is>
      </c>
    </row>
    <row r="428">
      <c r="A428" t="n">
        <v>427</v>
      </c>
      <c r="B428" t="inlineStr">
        <is>
          <t>DOLPHIN REEFER</t>
        </is>
      </c>
      <c r="C428" t="inlineStr">
        <is>
          <t>REF000000</t>
        </is>
      </c>
      <c r="D428" t="inlineStr">
        <is>
          <t>REF000000</t>
        </is>
      </c>
      <c r="E428" t="inlineStr">
        <is>
          <t>20-FEB-2026</t>
        </is>
      </c>
      <c r="F428" t="inlineStr">
        <is>
          <t>DOLPHIN REEFER</t>
        </is>
      </c>
      <c r="G428" t="inlineStr">
        <is>
          <t>ENTERED THROUGH SPLIT BOOKING FROM THE BOOKING ID REF000000, BY AR_MARTIMA, ON 2/20/2026 9:21:03 PM</t>
        </is>
      </c>
      <c r="H428" t="inlineStr">
        <is>
          <t>AR_MARTIMA</t>
        </is>
      </c>
      <c r="J428" t="n">
        <v>46082</v>
      </c>
      <c r="K428" t="inlineStr">
        <is>
          <t>28-FEB-2026</t>
        </is>
      </c>
      <c r="L428" t="n">
        <v>46082</v>
      </c>
      <c r="M428" t="inlineStr">
        <is>
          <t>REF000000</t>
        </is>
      </c>
      <c r="N428" t="inlineStr">
        <is>
          <t>USSEA</t>
        </is>
      </c>
      <c r="O428" t="inlineStr">
        <is>
          <t>USSEA</t>
        </is>
      </c>
      <c r="P428" t="inlineStr">
        <is>
          <t>USNFK</t>
        </is>
      </c>
      <c r="U428" t="inlineStr">
        <is>
          <t>RULED</t>
        </is>
      </c>
      <c r="V428" t="inlineStr">
        <is>
          <t>RULED</t>
        </is>
      </c>
      <c r="W428" t="inlineStr">
        <is>
          <t>CANADA</t>
        </is>
      </c>
      <c r="X428" t="inlineStr">
        <is>
          <t>PERSIAN GULF</t>
        </is>
      </c>
      <c r="Y428" t="inlineStr">
        <is>
          <t>RUSSIA</t>
        </is>
      </c>
      <c r="Z428" t="inlineStr">
        <is>
          <t>External Review</t>
        </is>
      </c>
      <c r="AA428" t="inlineStr">
        <is>
          <t>HUB SHIPPING LLC-LED</t>
        </is>
      </c>
      <c r="AB428" t="inlineStr">
        <is>
          <t>Prepaid</t>
        </is>
      </c>
      <c r="AC428" t="inlineStr">
        <is>
          <t>TIGER PLATA/970N</t>
        </is>
      </c>
      <c r="AE428" t="inlineStr">
        <is>
          <t>LADEN BOOKING</t>
        </is>
      </c>
      <c r="AF428" t="inlineStr">
        <is>
          <t>AR_MARTIMA</t>
        </is>
      </c>
      <c r="AG428" t="inlineStr">
        <is>
          <t>RH40</t>
        </is>
      </c>
      <c r="AI428" t="n">
        <v>40</v>
      </c>
      <c r="AJ428" t="n">
        <v>0</v>
      </c>
      <c r="AK428" t="n">
        <v>1</v>
      </c>
      <c r="AL428" t="inlineStr">
        <is>
          <t>ANON0000000</t>
        </is>
      </c>
      <c r="AM428" t="n">
        <v>-18</v>
      </c>
      <c r="AP428" t="inlineStr">
        <is>
          <t>Non Haz</t>
        </is>
      </c>
      <c r="AQ428" t="inlineStr">
        <is>
          <t>CY/CY</t>
        </is>
      </c>
      <c r="AT428" t="inlineStr">
        <is>
          <t>REF000000</t>
        </is>
      </c>
      <c r="AU428" t="n">
        <v>29000</v>
      </c>
      <c r="AV428" t="inlineStr">
        <is>
          <t>FROZEN MEAT</t>
        </is>
      </c>
      <c r="AW428" t="inlineStr">
        <is>
          <t>NCM 020622</t>
        </is>
      </c>
      <c r="AX428" t="inlineStr">
        <is>
          <t>RSAMI122500031</t>
        </is>
      </c>
      <c r="AZ428" t="n">
        <v>0</v>
      </c>
      <c r="BA428" t="n">
        <v>10</v>
      </c>
      <c r="BB428" t="n">
        <v>10</v>
      </c>
      <c r="BC428" t="n">
        <v>6800</v>
      </c>
      <c r="BD428" t="inlineStr">
        <is>
          <t>No</t>
        </is>
      </c>
      <c r="BF428" t="inlineStr">
        <is>
          <t>Bengal Tiger Line -BTL</t>
        </is>
      </c>
      <c r="BG428" t="inlineStr">
        <is>
          <t>USSEA</t>
        </is>
      </c>
      <c r="BH428" t="n">
        <v>0</v>
      </c>
      <c r="BI428" t="n">
        <v>1</v>
      </c>
      <c r="BJ428" t="n">
        <v>6800</v>
      </c>
      <c r="BK428" t="inlineStr">
        <is>
          <t>LINE</t>
        </is>
      </c>
      <c r="BL428" t="inlineStr">
        <is>
          <t>DOLPHIN REEFER</t>
        </is>
      </c>
      <c r="BM428" t="inlineStr">
        <is>
          <t>DOLPHIN REEFER</t>
        </is>
      </c>
    </row>
    <row r="429">
      <c r="A429" t="n">
        <v>428</v>
      </c>
      <c r="B429" t="inlineStr">
        <is>
          <t>MARLIN REEFER</t>
        </is>
      </c>
      <c r="C429" t="inlineStr">
        <is>
          <t>REF000000</t>
        </is>
      </c>
      <c r="D429" t="inlineStr">
        <is>
          <t>REF000000</t>
        </is>
      </c>
      <c r="E429" t="inlineStr">
        <is>
          <t>20-FEB-2026</t>
        </is>
      </c>
      <c r="F429" t="inlineStr">
        <is>
          <t>MARLIN REEFER</t>
        </is>
      </c>
      <c r="G429" t="inlineStr">
        <is>
          <t>ENTERED THROUGH SPLIT BOOKING FROM THE BOOKING ID REF000000, BY AR_MARTIMA, ON 2/20/2026 9:21:03 PM</t>
        </is>
      </c>
      <c r="H429" t="inlineStr">
        <is>
          <t>AR_MARTIMA</t>
        </is>
      </c>
      <c r="J429" t="n">
        <v>46082</v>
      </c>
      <c r="K429" t="inlineStr">
        <is>
          <t>28-FEB-2026</t>
        </is>
      </c>
      <c r="L429" t="n">
        <v>46082</v>
      </c>
      <c r="M429" t="inlineStr">
        <is>
          <t>REF000000</t>
        </is>
      </c>
      <c r="N429" t="inlineStr">
        <is>
          <t>USSEA</t>
        </is>
      </c>
      <c r="O429" t="inlineStr">
        <is>
          <t>USSEA</t>
        </is>
      </c>
      <c r="P429" t="inlineStr">
        <is>
          <t>USNFK</t>
        </is>
      </c>
      <c r="U429" t="inlineStr">
        <is>
          <t>RULED</t>
        </is>
      </c>
      <c r="V429" t="inlineStr">
        <is>
          <t>RULED</t>
        </is>
      </c>
      <c r="W429" t="inlineStr">
        <is>
          <t>CANADA</t>
        </is>
      </c>
      <c r="X429" t="inlineStr">
        <is>
          <t>PERSIAN GULF</t>
        </is>
      </c>
      <c r="Y429" t="inlineStr">
        <is>
          <t>RUSSIA</t>
        </is>
      </c>
      <c r="Z429" t="inlineStr">
        <is>
          <t>External Review</t>
        </is>
      </c>
      <c r="AA429" t="inlineStr">
        <is>
          <t>HUB SHIPPING LLC-LED</t>
        </is>
      </c>
      <c r="AB429" t="inlineStr">
        <is>
          <t>Prepaid</t>
        </is>
      </c>
      <c r="AC429" t="inlineStr">
        <is>
          <t>TIGER PLATA/970N</t>
        </is>
      </c>
      <c r="AE429" t="inlineStr">
        <is>
          <t>LADEN BOOKING</t>
        </is>
      </c>
      <c r="AF429" t="inlineStr">
        <is>
          <t>AR_MARTIMA</t>
        </is>
      </c>
      <c r="AG429" t="inlineStr">
        <is>
          <t>RH40</t>
        </is>
      </c>
      <c r="AI429" t="n">
        <v>40</v>
      </c>
      <c r="AJ429" t="n">
        <v>0</v>
      </c>
      <c r="AK429" t="n">
        <v>1</v>
      </c>
      <c r="AL429" t="inlineStr">
        <is>
          <t>ANON0000000</t>
        </is>
      </c>
      <c r="AM429" t="n">
        <v>-18</v>
      </c>
      <c r="AP429" t="inlineStr">
        <is>
          <t>Non Haz</t>
        </is>
      </c>
      <c r="AQ429" t="inlineStr">
        <is>
          <t>CY/CY</t>
        </is>
      </c>
      <c r="AT429" t="inlineStr">
        <is>
          <t>REF000000</t>
        </is>
      </c>
      <c r="AU429" t="n">
        <v>29000</v>
      </c>
      <c r="AV429" t="inlineStr">
        <is>
          <t>FROZEN MEAT</t>
        </is>
      </c>
      <c r="AW429" t="inlineStr">
        <is>
          <t>NCM 020622</t>
        </is>
      </c>
      <c r="AX429" t="inlineStr">
        <is>
          <t>RSAMI122500031</t>
        </is>
      </c>
      <c r="AZ429" t="n">
        <v>0</v>
      </c>
      <c r="BA429" t="n">
        <v>10</v>
      </c>
      <c r="BB429" t="n">
        <v>10</v>
      </c>
      <c r="BC429" t="n">
        <v>6800</v>
      </c>
      <c r="BD429" t="inlineStr">
        <is>
          <t>No</t>
        </is>
      </c>
      <c r="BF429" t="inlineStr">
        <is>
          <t>Bengal Tiger Line -BTL</t>
        </is>
      </c>
      <c r="BG429" t="inlineStr">
        <is>
          <t>USSEA</t>
        </is>
      </c>
      <c r="BH429" t="n">
        <v>0</v>
      </c>
      <c r="BI429" t="n">
        <v>1</v>
      </c>
      <c r="BJ429" t="n">
        <v>6800</v>
      </c>
      <c r="BK429" t="inlineStr">
        <is>
          <t>LINE</t>
        </is>
      </c>
      <c r="BL429" t="inlineStr">
        <is>
          <t>MARLIN REEFER</t>
        </is>
      </c>
      <c r="BM429" t="inlineStr">
        <is>
          <t>MARLIN REEFER</t>
        </is>
      </c>
    </row>
    <row r="430">
      <c r="A430" t="n">
        <v>429</v>
      </c>
      <c r="B430" t="inlineStr">
        <is>
          <t>TURTLE REEFER</t>
        </is>
      </c>
      <c r="C430" t="inlineStr">
        <is>
          <t>REF000000</t>
        </is>
      </c>
      <c r="D430" t="inlineStr">
        <is>
          <t>REF000000</t>
        </is>
      </c>
      <c r="E430" t="inlineStr">
        <is>
          <t>20-FEB-2026</t>
        </is>
      </c>
      <c r="F430" t="inlineStr">
        <is>
          <t>TURTLE REEFER</t>
        </is>
      </c>
      <c r="G430" t="inlineStr">
        <is>
          <t>ENTERED THROUGH SPLIT BOOKING FROM THE BOOKING ID REF000000, BY AR_MARTIMA, ON 2/20/2026 9:21:03 PM</t>
        </is>
      </c>
      <c r="H430" t="inlineStr">
        <is>
          <t>AR_MARTIMA</t>
        </is>
      </c>
      <c r="J430" t="n">
        <v>46082</v>
      </c>
      <c r="K430" t="inlineStr">
        <is>
          <t>28-FEB-2026</t>
        </is>
      </c>
      <c r="L430" t="n">
        <v>46082</v>
      </c>
      <c r="M430" t="inlineStr">
        <is>
          <t>REF000000</t>
        </is>
      </c>
      <c r="N430" t="inlineStr">
        <is>
          <t>USSEA</t>
        </is>
      </c>
      <c r="O430" t="inlineStr">
        <is>
          <t>USSEA</t>
        </is>
      </c>
      <c r="P430" t="inlineStr">
        <is>
          <t>USNFK</t>
        </is>
      </c>
      <c r="U430" t="inlineStr">
        <is>
          <t>RULED</t>
        </is>
      </c>
      <c r="V430" t="inlineStr">
        <is>
          <t>RULED</t>
        </is>
      </c>
      <c r="W430" t="inlineStr">
        <is>
          <t>CANADA</t>
        </is>
      </c>
      <c r="X430" t="inlineStr">
        <is>
          <t>PERSIAN GULF</t>
        </is>
      </c>
      <c r="Y430" t="inlineStr">
        <is>
          <t>RUSSIA</t>
        </is>
      </c>
      <c r="Z430" t="inlineStr">
        <is>
          <t>External Review</t>
        </is>
      </c>
      <c r="AA430" t="inlineStr">
        <is>
          <t>HUB SHIPPING LLC-LED</t>
        </is>
      </c>
      <c r="AB430" t="inlineStr">
        <is>
          <t>Prepaid</t>
        </is>
      </c>
      <c r="AC430" t="inlineStr">
        <is>
          <t>TIGER PLATA/970N</t>
        </is>
      </c>
      <c r="AE430" t="inlineStr">
        <is>
          <t>LADEN BOOKING</t>
        </is>
      </c>
      <c r="AF430" t="inlineStr">
        <is>
          <t>AR_MARTIMA</t>
        </is>
      </c>
      <c r="AG430" t="inlineStr">
        <is>
          <t>RH40</t>
        </is>
      </c>
      <c r="AI430" t="n">
        <v>40</v>
      </c>
      <c r="AJ430" t="n">
        <v>0</v>
      </c>
      <c r="AK430" t="n">
        <v>1</v>
      </c>
      <c r="AL430" t="inlineStr">
        <is>
          <t>ANON0000000</t>
        </is>
      </c>
      <c r="AM430" t="n">
        <v>-18</v>
      </c>
      <c r="AP430" t="inlineStr">
        <is>
          <t>Non Haz</t>
        </is>
      </c>
      <c r="AQ430" t="inlineStr">
        <is>
          <t>CY/CY</t>
        </is>
      </c>
      <c r="AT430" t="inlineStr">
        <is>
          <t>REF000000</t>
        </is>
      </c>
      <c r="AU430" t="n">
        <v>29000</v>
      </c>
      <c r="AV430" t="inlineStr">
        <is>
          <t>FROZEN MEAT</t>
        </is>
      </c>
      <c r="AW430" t="inlineStr">
        <is>
          <t>NCM 020622</t>
        </is>
      </c>
      <c r="AX430" t="inlineStr">
        <is>
          <t>RSAMI122500031</t>
        </is>
      </c>
      <c r="AZ430" t="n">
        <v>0</v>
      </c>
      <c r="BA430" t="n">
        <v>10</v>
      </c>
      <c r="BB430" t="n">
        <v>10</v>
      </c>
      <c r="BC430" t="n">
        <v>6800</v>
      </c>
      <c r="BD430" t="inlineStr">
        <is>
          <t>No</t>
        </is>
      </c>
      <c r="BF430" t="inlineStr">
        <is>
          <t>Bengal Tiger Line -BTL</t>
        </is>
      </c>
      <c r="BG430" t="inlineStr">
        <is>
          <t>USSEA</t>
        </is>
      </c>
      <c r="BH430" t="n">
        <v>0</v>
      </c>
      <c r="BI430" t="n">
        <v>1</v>
      </c>
      <c r="BJ430" t="n">
        <v>6800</v>
      </c>
      <c r="BK430" t="inlineStr">
        <is>
          <t>LINE</t>
        </is>
      </c>
      <c r="BL430" t="inlineStr">
        <is>
          <t>TURTLE REEFER</t>
        </is>
      </c>
      <c r="BM430" t="inlineStr">
        <is>
          <t>TURTLE REEFER</t>
        </is>
      </c>
    </row>
    <row r="431">
      <c r="A431" t="n">
        <v>430</v>
      </c>
      <c r="B431" t="inlineStr">
        <is>
          <t>ORCA REEFER</t>
        </is>
      </c>
      <c r="C431" t="inlineStr">
        <is>
          <t>REF000000</t>
        </is>
      </c>
      <c r="D431" t="inlineStr">
        <is>
          <t>REF000000</t>
        </is>
      </c>
      <c r="E431" t="inlineStr">
        <is>
          <t>20-FEB-2026</t>
        </is>
      </c>
      <c r="F431" t="inlineStr">
        <is>
          <t>ORCA REEFER</t>
        </is>
      </c>
      <c r="G431" t="inlineStr">
        <is>
          <t>ENTERED THROUGH SPLIT BOOKING FROM THE BOOKING ID REF000000, BY AR_MARTIMA, ON 2/20/2026 9:21:03 PM</t>
        </is>
      </c>
      <c r="H431" t="inlineStr">
        <is>
          <t>AR_MARTIMA</t>
        </is>
      </c>
      <c r="J431" t="n">
        <v>46082</v>
      </c>
      <c r="K431" t="inlineStr">
        <is>
          <t>28-FEB-2026</t>
        </is>
      </c>
      <c r="L431" t="n">
        <v>46082</v>
      </c>
      <c r="M431" t="inlineStr">
        <is>
          <t>REF000000</t>
        </is>
      </c>
      <c r="N431" t="inlineStr">
        <is>
          <t>USSEA</t>
        </is>
      </c>
      <c r="O431" t="inlineStr">
        <is>
          <t>USSEA</t>
        </is>
      </c>
      <c r="P431" t="inlineStr">
        <is>
          <t>USNFK</t>
        </is>
      </c>
      <c r="U431" t="inlineStr">
        <is>
          <t>RULED</t>
        </is>
      </c>
      <c r="V431" t="inlineStr">
        <is>
          <t>RULED</t>
        </is>
      </c>
      <c r="W431" t="inlineStr">
        <is>
          <t>CANADA</t>
        </is>
      </c>
      <c r="X431" t="inlineStr">
        <is>
          <t>PERSIAN GULF</t>
        </is>
      </c>
      <c r="Y431" t="inlineStr">
        <is>
          <t>RUSSIA</t>
        </is>
      </c>
      <c r="Z431" t="inlineStr">
        <is>
          <t>External Review</t>
        </is>
      </c>
      <c r="AA431" t="inlineStr">
        <is>
          <t>HUB SHIPPING LLC-LED</t>
        </is>
      </c>
      <c r="AB431" t="inlineStr">
        <is>
          <t>Prepaid</t>
        </is>
      </c>
      <c r="AC431" t="inlineStr">
        <is>
          <t>TIGER PLATA/970N</t>
        </is>
      </c>
      <c r="AE431" t="inlineStr">
        <is>
          <t>LADEN BOOKING</t>
        </is>
      </c>
      <c r="AF431" t="inlineStr">
        <is>
          <t>AR_MARTIMA</t>
        </is>
      </c>
      <c r="AG431" t="inlineStr">
        <is>
          <t>RH40</t>
        </is>
      </c>
      <c r="AI431" t="n">
        <v>40</v>
      </c>
      <c r="AJ431" t="n">
        <v>0</v>
      </c>
      <c r="AK431" t="n">
        <v>1</v>
      </c>
      <c r="AL431" t="inlineStr">
        <is>
          <t>ANON0000000</t>
        </is>
      </c>
      <c r="AM431" t="n">
        <v>-18</v>
      </c>
      <c r="AP431" t="inlineStr">
        <is>
          <t>Non Haz</t>
        </is>
      </c>
      <c r="AQ431" t="inlineStr">
        <is>
          <t>CY/CY</t>
        </is>
      </c>
      <c r="AT431" t="inlineStr">
        <is>
          <t>REF000000</t>
        </is>
      </c>
      <c r="AU431" t="n">
        <v>29000</v>
      </c>
      <c r="AV431" t="inlineStr">
        <is>
          <t>FROZEN MEAT</t>
        </is>
      </c>
      <c r="AW431" t="inlineStr">
        <is>
          <t>NCM 020621</t>
        </is>
      </c>
      <c r="AX431" t="inlineStr">
        <is>
          <t>RSAMI122500031</t>
        </is>
      </c>
      <c r="AZ431" t="n">
        <v>0</v>
      </c>
      <c r="BA431" t="n">
        <v>10</v>
      </c>
      <c r="BB431" t="n">
        <v>10</v>
      </c>
      <c r="BC431" t="n">
        <v>6800</v>
      </c>
      <c r="BD431" t="inlineStr">
        <is>
          <t>No</t>
        </is>
      </c>
      <c r="BF431" t="inlineStr">
        <is>
          <t>Bengal Tiger Line -BTL</t>
        </is>
      </c>
      <c r="BG431" t="inlineStr">
        <is>
          <t>USSEA</t>
        </is>
      </c>
      <c r="BH431" t="n">
        <v>0</v>
      </c>
      <c r="BI431" t="n">
        <v>1</v>
      </c>
      <c r="BJ431" t="n">
        <v>6800</v>
      </c>
      <c r="BK431" t="inlineStr">
        <is>
          <t>LINE</t>
        </is>
      </c>
      <c r="BL431" t="inlineStr">
        <is>
          <t>ORCA REEFER</t>
        </is>
      </c>
      <c r="BM431" t="inlineStr">
        <is>
          <t>ORCA REEFER</t>
        </is>
      </c>
    </row>
    <row r="432">
      <c r="A432" t="n">
        <v>431</v>
      </c>
      <c r="B432" t="inlineStr">
        <is>
          <t>WHALE REEFER</t>
        </is>
      </c>
      <c r="C432" t="inlineStr">
        <is>
          <t>REF000000</t>
        </is>
      </c>
      <c r="D432" t="inlineStr">
        <is>
          <t>REF000000</t>
        </is>
      </c>
      <c r="E432" t="inlineStr">
        <is>
          <t>20-FEB-2026</t>
        </is>
      </c>
      <c r="F432" t="inlineStr">
        <is>
          <t>WHALE REEFER</t>
        </is>
      </c>
      <c r="G432" t="inlineStr">
        <is>
          <t>ENTERED THROUGH SPLIT BOOKING FROM THE BOOKING ID REF000000, BY AR_MARTIMA, ON 2/20/2026 9:21:04 PM</t>
        </is>
      </c>
      <c r="H432" t="inlineStr">
        <is>
          <t>AR_MARTIMA</t>
        </is>
      </c>
      <c r="J432" t="n">
        <v>46089</v>
      </c>
      <c r="K432" t="n">
        <v>46088</v>
      </c>
      <c r="L432" t="n">
        <v>46090</v>
      </c>
      <c r="M432" t="inlineStr">
        <is>
          <t>REF000000</t>
        </is>
      </c>
      <c r="N432" t="inlineStr">
        <is>
          <t>USSEA</t>
        </is>
      </c>
      <c r="O432" t="inlineStr">
        <is>
          <t>USSEA</t>
        </is>
      </c>
      <c r="P432" t="inlineStr">
        <is>
          <t>USNFK</t>
        </is>
      </c>
      <c r="U432" t="inlineStr">
        <is>
          <t>RULED</t>
        </is>
      </c>
      <c r="V432" t="inlineStr">
        <is>
          <t>RULED</t>
        </is>
      </c>
      <c r="W432" t="inlineStr">
        <is>
          <t>CANADA</t>
        </is>
      </c>
      <c r="X432" t="inlineStr">
        <is>
          <t>PERSIAN GULF</t>
        </is>
      </c>
      <c r="Y432" t="inlineStr">
        <is>
          <t>RUSSIA</t>
        </is>
      </c>
      <c r="Z432" t="inlineStr">
        <is>
          <t>External Review</t>
        </is>
      </c>
      <c r="AA432" t="inlineStr">
        <is>
          <t>HUB SHIPPING LLC-LED</t>
        </is>
      </c>
      <c r="AB432" t="inlineStr">
        <is>
          <t>Prepaid</t>
        </is>
      </c>
      <c r="AC432" t="inlineStr">
        <is>
          <t>TIGER PLATA/971N</t>
        </is>
      </c>
      <c r="AE432" t="inlineStr">
        <is>
          <t>LADEN BOOKING</t>
        </is>
      </c>
      <c r="AF432" t="inlineStr">
        <is>
          <t>AR_MARTIMA</t>
        </is>
      </c>
      <c r="AG432" t="inlineStr">
        <is>
          <t>RH40</t>
        </is>
      </c>
      <c r="AH432" t="inlineStr">
        <is>
          <t>NO</t>
        </is>
      </c>
      <c r="AI432" t="n">
        <v>40</v>
      </c>
      <c r="AJ432" t="n">
        <v>0</v>
      </c>
      <c r="AK432" t="n">
        <v>1</v>
      </c>
      <c r="AL432" t="inlineStr">
        <is>
          <t>ANON0000000</t>
        </is>
      </c>
      <c r="AM432" t="n">
        <v>-18</v>
      </c>
      <c r="AP432" t="inlineStr">
        <is>
          <t>Non Haz</t>
        </is>
      </c>
      <c r="AQ432" t="inlineStr">
        <is>
          <t>CY/CY</t>
        </is>
      </c>
      <c r="AT432" t="inlineStr">
        <is>
          <t>REF000000</t>
        </is>
      </c>
      <c r="AU432" t="n">
        <v>29000</v>
      </c>
      <c r="AV432" t="inlineStr">
        <is>
          <t>FROZEN MEAT</t>
        </is>
      </c>
      <c r="AW432" t="inlineStr">
        <is>
          <t>NCM 020622</t>
        </is>
      </c>
      <c r="AX432" t="inlineStr">
        <is>
          <t>RSAMI122500031</t>
        </is>
      </c>
      <c r="AZ432" t="n">
        <v>0</v>
      </c>
      <c r="BA432" t="n">
        <v>10</v>
      </c>
      <c r="BB432" t="n">
        <v>10</v>
      </c>
      <c r="BC432" t="n">
        <v>6800</v>
      </c>
      <c r="BD432" t="inlineStr">
        <is>
          <t>No</t>
        </is>
      </c>
      <c r="BF432" t="inlineStr">
        <is>
          <t>Bengal Tiger Line -BTL</t>
        </is>
      </c>
      <c r="BG432" t="inlineStr">
        <is>
          <t>USSEA</t>
        </is>
      </c>
      <c r="BH432" t="n">
        <v>0</v>
      </c>
      <c r="BI432" t="n">
        <v>1</v>
      </c>
      <c r="BJ432" t="n">
        <v>6800</v>
      </c>
      <c r="BK432" t="inlineStr">
        <is>
          <t>LINE</t>
        </is>
      </c>
      <c r="BL432" t="inlineStr">
        <is>
          <t>WHALE REEFER</t>
        </is>
      </c>
      <c r="BM432" t="inlineStr">
        <is>
          <t>WHALE REEFER</t>
        </is>
      </c>
    </row>
    <row r="433">
      <c r="A433" t="n">
        <v>432</v>
      </c>
      <c r="B433" t="inlineStr">
        <is>
          <t>SEAL REEFER</t>
        </is>
      </c>
      <c r="C433" t="inlineStr">
        <is>
          <t>REF000000</t>
        </is>
      </c>
      <c r="D433" t="inlineStr">
        <is>
          <t>REF000000</t>
        </is>
      </c>
      <c r="E433" t="inlineStr">
        <is>
          <t>20-FEB-2026</t>
        </is>
      </c>
      <c r="F433" t="inlineStr">
        <is>
          <t>SEAL REEFER</t>
        </is>
      </c>
      <c r="G433" t="inlineStr">
        <is>
          <t>ENTERED THROUGH SPLIT BOOKING FROM THE BOOKING ID REF000000, BY AR_MARTIMA, ON 2/20/2026 9:21:04 PM</t>
        </is>
      </c>
      <c r="H433" t="inlineStr">
        <is>
          <t>AR_MARTIMA</t>
        </is>
      </c>
      <c r="J433" t="n">
        <v>46089</v>
      </c>
      <c r="K433" t="n">
        <v>46088</v>
      </c>
      <c r="L433" t="n">
        <v>46090</v>
      </c>
      <c r="M433" t="inlineStr">
        <is>
          <t>REF000000</t>
        </is>
      </c>
      <c r="N433" t="inlineStr">
        <is>
          <t>USSEA</t>
        </is>
      </c>
      <c r="O433" t="inlineStr">
        <is>
          <t>USSEA</t>
        </is>
      </c>
      <c r="P433" t="inlineStr">
        <is>
          <t>USNFK</t>
        </is>
      </c>
      <c r="U433" t="inlineStr">
        <is>
          <t>RULED</t>
        </is>
      </c>
      <c r="V433" t="inlineStr">
        <is>
          <t>RULED</t>
        </is>
      </c>
      <c r="W433" t="inlineStr">
        <is>
          <t>CANADA</t>
        </is>
      </c>
      <c r="X433" t="inlineStr">
        <is>
          <t>PERSIAN GULF</t>
        </is>
      </c>
      <c r="Y433" t="inlineStr">
        <is>
          <t>RUSSIA</t>
        </is>
      </c>
      <c r="Z433" t="inlineStr">
        <is>
          <t>External Review</t>
        </is>
      </c>
      <c r="AA433" t="inlineStr">
        <is>
          <t>HUB SHIPPING LLC-LED</t>
        </is>
      </c>
      <c r="AB433" t="inlineStr">
        <is>
          <t>Prepaid</t>
        </is>
      </c>
      <c r="AC433" t="inlineStr">
        <is>
          <t>TIGER PLATA/971N</t>
        </is>
      </c>
      <c r="AE433" t="inlineStr">
        <is>
          <t>LADEN BOOKING</t>
        </is>
      </c>
      <c r="AF433" t="inlineStr">
        <is>
          <t>AR_MARTIMA</t>
        </is>
      </c>
      <c r="AG433" t="inlineStr">
        <is>
          <t>RH40</t>
        </is>
      </c>
      <c r="AH433" t="inlineStr">
        <is>
          <t>NO</t>
        </is>
      </c>
      <c r="AI433" t="n">
        <v>40</v>
      </c>
      <c r="AJ433" t="n">
        <v>0</v>
      </c>
      <c r="AK433" t="n">
        <v>1</v>
      </c>
      <c r="AL433" t="inlineStr">
        <is>
          <t>ANON0000000</t>
        </is>
      </c>
      <c r="AM433" t="n">
        <v>-18</v>
      </c>
      <c r="AP433" t="inlineStr">
        <is>
          <t>Non Haz</t>
        </is>
      </c>
      <c r="AQ433" t="inlineStr">
        <is>
          <t>CY/CY</t>
        </is>
      </c>
      <c r="AT433" t="inlineStr">
        <is>
          <t>REF000000</t>
        </is>
      </c>
      <c r="AU433" t="n">
        <v>29000</v>
      </c>
      <c r="AV433" t="inlineStr">
        <is>
          <t>FROZEN MEAT</t>
        </is>
      </c>
      <c r="AW433" t="inlineStr">
        <is>
          <t>NCM 020622</t>
        </is>
      </c>
      <c r="AX433" t="inlineStr">
        <is>
          <t>RSAMI122500031</t>
        </is>
      </c>
      <c r="AZ433" t="n">
        <v>0</v>
      </c>
      <c r="BA433" t="n">
        <v>10</v>
      </c>
      <c r="BB433" t="n">
        <v>10</v>
      </c>
      <c r="BC433" t="n">
        <v>6800</v>
      </c>
      <c r="BD433" t="inlineStr">
        <is>
          <t>No</t>
        </is>
      </c>
      <c r="BF433" t="inlineStr">
        <is>
          <t>Bengal Tiger Line -BTL</t>
        </is>
      </c>
      <c r="BG433" t="inlineStr">
        <is>
          <t>USSEA</t>
        </is>
      </c>
      <c r="BH433" t="n">
        <v>0</v>
      </c>
      <c r="BI433" t="n">
        <v>1</v>
      </c>
      <c r="BJ433" t="n">
        <v>6800</v>
      </c>
      <c r="BK433" t="inlineStr">
        <is>
          <t>LINE</t>
        </is>
      </c>
      <c r="BL433" t="inlineStr">
        <is>
          <t>SEAL REEFER</t>
        </is>
      </c>
      <c r="BM433" t="inlineStr">
        <is>
          <t>SEAL REEFER</t>
        </is>
      </c>
    </row>
    <row r="434">
      <c r="A434" t="n">
        <v>433</v>
      </c>
      <c r="B434" t="inlineStr">
        <is>
          <t>SHARK REEFER</t>
        </is>
      </c>
      <c r="C434" t="inlineStr">
        <is>
          <t>REF000000</t>
        </is>
      </c>
      <c r="D434" t="inlineStr">
        <is>
          <t>REF000000</t>
        </is>
      </c>
      <c r="E434" t="inlineStr">
        <is>
          <t>20-FEB-2026</t>
        </is>
      </c>
      <c r="F434" t="inlineStr">
        <is>
          <t>SHARK REEFER</t>
        </is>
      </c>
      <c r="G434" t="inlineStr">
        <is>
          <t>1X40RH TEMP -18</t>
        </is>
      </c>
      <c r="H434" t="inlineStr">
        <is>
          <t>AR_MARTIMA</t>
        </is>
      </c>
      <c r="J434" t="n">
        <v>46082</v>
      </c>
      <c r="K434" t="inlineStr">
        <is>
          <t>28-FEB-2026</t>
        </is>
      </c>
      <c r="L434" t="n">
        <v>46082</v>
      </c>
      <c r="M434" t="inlineStr">
        <is>
          <t>REF000000</t>
        </is>
      </c>
      <c r="N434" t="inlineStr">
        <is>
          <t>USSEA</t>
        </is>
      </c>
      <c r="O434" t="inlineStr">
        <is>
          <t>USSEA</t>
        </is>
      </c>
      <c r="P434" t="inlineStr">
        <is>
          <t>USNFK</t>
        </is>
      </c>
      <c r="U434" t="inlineStr">
        <is>
          <t>RULED</t>
        </is>
      </c>
      <c r="V434" t="inlineStr">
        <is>
          <t>RULED</t>
        </is>
      </c>
      <c r="W434" t="inlineStr">
        <is>
          <t>CANADA</t>
        </is>
      </c>
      <c r="X434" t="inlineStr">
        <is>
          <t>PERSIAN GULF</t>
        </is>
      </c>
      <c r="Y434" t="inlineStr">
        <is>
          <t>RUSSIA</t>
        </is>
      </c>
      <c r="Z434" t="inlineStr">
        <is>
          <t>External Review</t>
        </is>
      </c>
      <c r="AA434" t="inlineStr">
        <is>
          <t>HUB SHIPPING LLC-LED</t>
        </is>
      </c>
      <c r="AB434" t="inlineStr">
        <is>
          <t>Prepaid</t>
        </is>
      </c>
      <c r="AC434" t="inlineStr">
        <is>
          <t>TIGER PLATA/970N</t>
        </is>
      </c>
      <c r="AE434" t="inlineStr">
        <is>
          <t>LADEN BOOKING</t>
        </is>
      </c>
      <c r="AF434" t="inlineStr">
        <is>
          <t>AR_MARTIMA</t>
        </is>
      </c>
      <c r="AG434" t="inlineStr">
        <is>
          <t>RH40</t>
        </is>
      </c>
      <c r="AH434" t="inlineStr">
        <is>
          <t>NO</t>
        </is>
      </c>
      <c r="AI434" t="n">
        <v>40</v>
      </c>
      <c r="AJ434" t="n">
        <v>0</v>
      </c>
      <c r="AK434" t="n">
        <v>1</v>
      </c>
      <c r="AL434" t="inlineStr">
        <is>
          <t>ANON0000000</t>
        </is>
      </c>
      <c r="AM434" t="n">
        <v>-18</v>
      </c>
      <c r="AP434" t="inlineStr">
        <is>
          <t>Non Haz</t>
        </is>
      </c>
      <c r="AQ434" t="inlineStr">
        <is>
          <t>CY/CY</t>
        </is>
      </c>
      <c r="AT434" t="inlineStr">
        <is>
          <t>REF000000</t>
        </is>
      </c>
      <c r="AU434" t="n">
        <v>29000</v>
      </c>
      <c r="AV434" t="inlineStr">
        <is>
          <t>FROZEN BONELESS BUFFALO MEAT</t>
        </is>
      </c>
      <c r="AW434" t="inlineStr">
        <is>
          <t>N.C.M.: 0206.22</t>
        </is>
      </c>
      <c r="AX434" t="inlineStr">
        <is>
          <t>RSAMI122500027</t>
        </is>
      </c>
      <c r="AZ434" t="n">
        <v>0</v>
      </c>
      <c r="BA434" t="n">
        <v>10</v>
      </c>
      <c r="BB434" t="n">
        <v>10</v>
      </c>
      <c r="BC434" t="n">
        <v>7300</v>
      </c>
      <c r="BD434" t="inlineStr">
        <is>
          <t>No</t>
        </is>
      </c>
      <c r="BF434" t="inlineStr">
        <is>
          <t>Bengal Tiger Line -BTL</t>
        </is>
      </c>
      <c r="BG434" t="inlineStr">
        <is>
          <t>USSEA</t>
        </is>
      </c>
      <c r="BH434" t="n">
        <v>0</v>
      </c>
      <c r="BI434" t="n">
        <v>1</v>
      </c>
      <c r="BJ434" t="n">
        <v>7300</v>
      </c>
      <c r="BK434" t="inlineStr">
        <is>
          <t>LINE</t>
        </is>
      </c>
      <c r="BL434" t="inlineStr">
        <is>
          <t>SHARK REEFER</t>
        </is>
      </c>
      <c r="BM434" t="inlineStr">
        <is>
          <t>SHARK REEFER</t>
        </is>
      </c>
    </row>
    <row r="435">
      <c r="A435" t="n">
        <v>434</v>
      </c>
      <c r="B435" t="inlineStr">
        <is>
          <t>DOLPHIN REEFER</t>
        </is>
      </c>
      <c r="C435" t="inlineStr">
        <is>
          <t>REF000000</t>
        </is>
      </c>
      <c r="D435" t="inlineStr">
        <is>
          <t>REF000000</t>
        </is>
      </c>
      <c r="E435" t="inlineStr">
        <is>
          <t>20-FEB-2026</t>
        </is>
      </c>
      <c r="F435" t="inlineStr">
        <is>
          <t>DOLPHIN REEFER</t>
        </is>
      </c>
      <c r="G435" t="inlineStr">
        <is>
          <t>ENTERED THROUGH SPLIT BOOKING FROM THE BOOKING ID REF000000, BY AR_MARTIMA, ON 2/20/2026 9:31:13 PM</t>
        </is>
      </c>
      <c r="H435" t="inlineStr">
        <is>
          <t>AR_MARTIMA</t>
        </is>
      </c>
      <c r="J435" t="n">
        <v>46082</v>
      </c>
      <c r="K435" t="inlineStr">
        <is>
          <t>28-FEB-2026</t>
        </is>
      </c>
      <c r="L435" t="n">
        <v>46082</v>
      </c>
      <c r="M435" t="inlineStr">
        <is>
          <t>REF000000</t>
        </is>
      </c>
      <c r="N435" t="inlineStr">
        <is>
          <t>USSEA</t>
        </is>
      </c>
      <c r="O435" t="inlineStr">
        <is>
          <t>USSEA</t>
        </is>
      </c>
      <c r="P435" t="inlineStr">
        <is>
          <t>USNFK</t>
        </is>
      </c>
      <c r="U435" t="inlineStr">
        <is>
          <t>RULED</t>
        </is>
      </c>
      <c r="V435" t="inlineStr">
        <is>
          <t>RULED</t>
        </is>
      </c>
      <c r="W435" t="inlineStr">
        <is>
          <t>CANADA</t>
        </is>
      </c>
      <c r="X435" t="inlineStr">
        <is>
          <t>PERSIAN GULF</t>
        </is>
      </c>
      <c r="Y435" t="inlineStr">
        <is>
          <t>RUSSIA</t>
        </is>
      </c>
      <c r="Z435" t="inlineStr">
        <is>
          <t>External Review</t>
        </is>
      </c>
      <c r="AA435" t="inlineStr">
        <is>
          <t>HUB SHIPPING LLC-LED</t>
        </is>
      </c>
      <c r="AB435" t="inlineStr">
        <is>
          <t>Prepaid</t>
        </is>
      </c>
      <c r="AC435" t="inlineStr">
        <is>
          <t>TIGER PLATA/970N</t>
        </is>
      </c>
      <c r="AE435" t="inlineStr">
        <is>
          <t>LADEN BOOKING</t>
        </is>
      </c>
      <c r="AF435" t="inlineStr">
        <is>
          <t>AR_MARTIMA</t>
        </is>
      </c>
      <c r="AG435" t="inlineStr">
        <is>
          <t>RH40</t>
        </is>
      </c>
      <c r="AI435" t="n">
        <v>40</v>
      </c>
      <c r="AJ435" t="n">
        <v>0</v>
      </c>
      <c r="AK435" t="n">
        <v>1</v>
      </c>
      <c r="AL435" t="inlineStr">
        <is>
          <t>ANON0000000</t>
        </is>
      </c>
      <c r="AM435" t="n">
        <v>-18</v>
      </c>
      <c r="AP435" t="inlineStr">
        <is>
          <t>Non Haz</t>
        </is>
      </c>
      <c r="AQ435" t="inlineStr">
        <is>
          <t>CY/CY</t>
        </is>
      </c>
      <c r="AT435" t="inlineStr">
        <is>
          <t>REF000000</t>
        </is>
      </c>
      <c r="AU435" t="n">
        <v>29000</v>
      </c>
      <c r="AV435" t="inlineStr">
        <is>
          <t>FROZEN BONELESS BUFFALO MEAT</t>
        </is>
      </c>
      <c r="AW435" t="inlineStr">
        <is>
          <t>N.C.M.: 0206.29</t>
        </is>
      </c>
      <c r="AX435" t="inlineStr">
        <is>
          <t>RSAMI122500027</t>
        </is>
      </c>
      <c r="AZ435" t="n">
        <v>0</v>
      </c>
      <c r="BA435" t="n">
        <v>10</v>
      </c>
      <c r="BB435" t="n">
        <v>10</v>
      </c>
      <c r="BC435" t="n">
        <v>7300</v>
      </c>
      <c r="BD435" t="inlineStr">
        <is>
          <t>No</t>
        </is>
      </c>
      <c r="BF435" t="inlineStr">
        <is>
          <t>Bengal Tiger Line -BTL</t>
        </is>
      </c>
      <c r="BG435" t="inlineStr">
        <is>
          <t>USSEA</t>
        </is>
      </c>
      <c r="BH435" t="n">
        <v>0</v>
      </c>
      <c r="BI435" t="n">
        <v>1</v>
      </c>
      <c r="BJ435" t="n">
        <v>7300</v>
      </c>
      <c r="BK435" t="inlineStr">
        <is>
          <t>LINE</t>
        </is>
      </c>
      <c r="BL435" t="inlineStr">
        <is>
          <t>DOLPHIN REEFER</t>
        </is>
      </c>
      <c r="BM435" t="inlineStr">
        <is>
          <t>DOLPHIN REEFER</t>
        </is>
      </c>
    </row>
    <row r="436">
      <c r="A436" t="n">
        <v>435</v>
      </c>
      <c r="B436" t="inlineStr">
        <is>
          <t>MARLIN REEFER</t>
        </is>
      </c>
      <c r="C436" t="inlineStr">
        <is>
          <t>REF000000</t>
        </is>
      </c>
      <c r="D436" t="inlineStr">
        <is>
          <t>REF000000</t>
        </is>
      </c>
      <c r="E436" t="inlineStr">
        <is>
          <t>20-FEB-2026</t>
        </is>
      </c>
      <c r="F436" t="inlineStr">
        <is>
          <t>MARLIN REEFER</t>
        </is>
      </c>
      <c r="G436" t="inlineStr">
        <is>
          <t>ENTERED THROUGH SPLIT BOOKING FROM THE BOOKING ID REF000000, BY AR_MARTIMA, ON 2/20/2026 9:31:14 PM</t>
        </is>
      </c>
      <c r="H436" t="inlineStr">
        <is>
          <t>AR_MARTIMA</t>
        </is>
      </c>
      <c r="J436" t="n">
        <v>46082</v>
      </c>
      <c r="K436" t="inlineStr">
        <is>
          <t>28-FEB-2026</t>
        </is>
      </c>
      <c r="L436" t="n">
        <v>46082</v>
      </c>
      <c r="M436" t="inlineStr">
        <is>
          <t>REF000000</t>
        </is>
      </c>
      <c r="N436" t="inlineStr">
        <is>
          <t>USSEA</t>
        </is>
      </c>
      <c r="O436" t="inlineStr">
        <is>
          <t>USSEA</t>
        </is>
      </c>
      <c r="P436" t="inlineStr">
        <is>
          <t>USNFK</t>
        </is>
      </c>
      <c r="U436" t="inlineStr">
        <is>
          <t>RULED</t>
        </is>
      </c>
      <c r="V436" t="inlineStr">
        <is>
          <t>RULED</t>
        </is>
      </c>
      <c r="W436" t="inlineStr">
        <is>
          <t>CANADA</t>
        </is>
      </c>
      <c r="X436" t="inlineStr">
        <is>
          <t>PERSIAN GULF</t>
        </is>
      </c>
      <c r="Y436" t="inlineStr">
        <is>
          <t>RUSSIA</t>
        </is>
      </c>
      <c r="Z436" t="inlineStr">
        <is>
          <t>External Review</t>
        </is>
      </c>
      <c r="AA436" t="inlineStr">
        <is>
          <t>HUB SHIPPING LLC-LED</t>
        </is>
      </c>
      <c r="AB436" t="inlineStr">
        <is>
          <t>Prepaid</t>
        </is>
      </c>
      <c r="AC436" t="inlineStr">
        <is>
          <t>TIGER PLATA/970N</t>
        </is>
      </c>
      <c r="AE436" t="inlineStr">
        <is>
          <t>LADEN BOOKING</t>
        </is>
      </c>
      <c r="AF436" t="inlineStr">
        <is>
          <t>AR_MARTIMA</t>
        </is>
      </c>
      <c r="AG436" t="inlineStr">
        <is>
          <t>RH40</t>
        </is>
      </c>
      <c r="AI436" t="n">
        <v>40</v>
      </c>
      <c r="AJ436" t="n">
        <v>0</v>
      </c>
      <c r="AK436" t="n">
        <v>1</v>
      </c>
      <c r="AL436" t="inlineStr">
        <is>
          <t>ANON0000000</t>
        </is>
      </c>
      <c r="AM436" t="n">
        <v>-18</v>
      </c>
      <c r="AP436" t="inlineStr">
        <is>
          <t>Non Haz</t>
        </is>
      </c>
      <c r="AQ436" t="inlineStr">
        <is>
          <t>CY/CY</t>
        </is>
      </c>
      <c r="AT436" t="inlineStr">
        <is>
          <t>REF000000</t>
        </is>
      </c>
      <c r="AU436" t="n">
        <v>29000</v>
      </c>
      <c r="AV436" t="inlineStr">
        <is>
          <t>FROZEN BONELESS BUFFALO MEAT</t>
        </is>
      </c>
      <c r="AW436" t="inlineStr">
        <is>
          <t>N.C.M.: 0206.22</t>
        </is>
      </c>
      <c r="AX436" t="inlineStr">
        <is>
          <t>RSAMI122500027</t>
        </is>
      </c>
      <c r="AZ436" t="n">
        <v>0</v>
      </c>
      <c r="BA436" t="n">
        <v>10</v>
      </c>
      <c r="BB436" t="n">
        <v>10</v>
      </c>
      <c r="BC436" t="n">
        <v>7300</v>
      </c>
      <c r="BD436" t="inlineStr">
        <is>
          <t>No</t>
        </is>
      </c>
      <c r="BF436" t="inlineStr">
        <is>
          <t>Bengal Tiger Line -BTL</t>
        </is>
      </c>
      <c r="BG436" t="inlineStr">
        <is>
          <t>USSEA</t>
        </is>
      </c>
      <c r="BH436" t="n">
        <v>0</v>
      </c>
      <c r="BI436" t="n">
        <v>1</v>
      </c>
      <c r="BJ436" t="n">
        <v>7300</v>
      </c>
      <c r="BK436" t="inlineStr">
        <is>
          <t>LINE</t>
        </is>
      </c>
      <c r="BL436" t="inlineStr">
        <is>
          <t>MARLIN REEFER</t>
        </is>
      </c>
      <c r="BM436" t="inlineStr">
        <is>
          <t>MARLIN REEFER</t>
        </is>
      </c>
    </row>
    <row r="437">
      <c r="A437" t="n">
        <v>436</v>
      </c>
      <c r="B437" t="inlineStr">
        <is>
          <t>TURTLE REEFER</t>
        </is>
      </c>
      <c r="C437" t="inlineStr">
        <is>
          <t>REF000000</t>
        </is>
      </c>
      <c r="D437" t="inlineStr">
        <is>
          <t>REF000000</t>
        </is>
      </c>
      <c r="E437" t="inlineStr">
        <is>
          <t>20-FEB-2026</t>
        </is>
      </c>
      <c r="F437" t="inlineStr">
        <is>
          <t>TURTLE REEFER</t>
        </is>
      </c>
      <c r="G437" t="inlineStr">
        <is>
          <t>ENTERED THROUGH SPLIT BOOKING FROM THE BOOKING ID REF000000, BY AR_MARTIMA, ON 2/20/2026 9:31:14 PM</t>
        </is>
      </c>
      <c r="H437" t="inlineStr">
        <is>
          <t>AR_MARTIMA</t>
        </is>
      </c>
      <c r="J437" t="n">
        <v>46082</v>
      </c>
      <c r="K437" t="inlineStr">
        <is>
          <t>28-FEB-2026</t>
        </is>
      </c>
      <c r="L437" t="n">
        <v>46082</v>
      </c>
      <c r="M437" t="inlineStr">
        <is>
          <t>REF000000</t>
        </is>
      </c>
      <c r="N437" t="inlineStr">
        <is>
          <t>USSEA</t>
        </is>
      </c>
      <c r="O437" t="inlineStr">
        <is>
          <t>USSEA</t>
        </is>
      </c>
      <c r="P437" t="inlineStr">
        <is>
          <t>USNFK</t>
        </is>
      </c>
      <c r="U437" t="inlineStr">
        <is>
          <t>RULED</t>
        </is>
      </c>
      <c r="V437" t="inlineStr">
        <is>
          <t>RULED</t>
        </is>
      </c>
      <c r="W437" t="inlineStr">
        <is>
          <t>CANADA</t>
        </is>
      </c>
      <c r="X437" t="inlineStr">
        <is>
          <t>PERSIAN GULF</t>
        </is>
      </c>
      <c r="Y437" t="inlineStr">
        <is>
          <t>RUSSIA</t>
        </is>
      </c>
      <c r="Z437" t="inlineStr">
        <is>
          <t>External Review</t>
        </is>
      </c>
      <c r="AA437" t="inlineStr">
        <is>
          <t>HUB SHIPPING LLC-LED</t>
        </is>
      </c>
      <c r="AB437" t="inlineStr">
        <is>
          <t>Prepaid</t>
        </is>
      </c>
      <c r="AC437" t="inlineStr">
        <is>
          <t>TIGER PLATA/970N</t>
        </is>
      </c>
      <c r="AE437" t="inlineStr">
        <is>
          <t>LADEN BOOKING</t>
        </is>
      </c>
      <c r="AF437" t="inlineStr">
        <is>
          <t>AR_MARTIMA</t>
        </is>
      </c>
      <c r="AG437" t="inlineStr">
        <is>
          <t>RH40</t>
        </is>
      </c>
      <c r="AI437" t="n">
        <v>40</v>
      </c>
      <c r="AJ437" t="n">
        <v>0</v>
      </c>
      <c r="AK437" t="n">
        <v>1</v>
      </c>
      <c r="AL437" t="inlineStr">
        <is>
          <t>ANON0000000</t>
        </is>
      </c>
      <c r="AM437" t="n">
        <v>-18</v>
      </c>
      <c r="AP437" t="inlineStr">
        <is>
          <t>Non Haz</t>
        </is>
      </c>
      <c r="AQ437" t="inlineStr">
        <is>
          <t>CY/CY</t>
        </is>
      </c>
      <c r="AT437" t="inlineStr">
        <is>
          <t>REF000000</t>
        </is>
      </c>
      <c r="AU437" t="n">
        <v>29000</v>
      </c>
      <c r="AV437" t="inlineStr">
        <is>
          <t>FROZEN BONELESS BUFFALO MEAT</t>
        </is>
      </c>
      <c r="AW437" t="inlineStr">
        <is>
          <t>N.C.M.: 0206.29</t>
        </is>
      </c>
      <c r="AX437" t="inlineStr">
        <is>
          <t>RSAMI122500027</t>
        </is>
      </c>
      <c r="AZ437" t="n">
        <v>0</v>
      </c>
      <c r="BA437" t="n">
        <v>10</v>
      </c>
      <c r="BB437" t="n">
        <v>10</v>
      </c>
      <c r="BC437" t="n">
        <v>7300</v>
      </c>
      <c r="BD437" t="inlineStr">
        <is>
          <t>No</t>
        </is>
      </c>
      <c r="BF437" t="inlineStr">
        <is>
          <t>Bengal Tiger Line -BTL</t>
        </is>
      </c>
      <c r="BG437" t="inlineStr">
        <is>
          <t>USSEA</t>
        </is>
      </c>
      <c r="BH437" t="n">
        <v>0</v>
      </c>
      <c r="BI437" t="n">
        <v>1</v>
      </c>
      <c r="BJ437" t="n">
        <v>7300</v>
      </c>
      <c r="BK437" t="inlineStr">
        <is>
          <t>LINE</t>
        </is>
      </c>
      <c r="BL437" t="inlineStr">
        <is>
          <t>TURTLE REEFER</t>
        </is>
      </c>
      <c r="BM437" t="inlineStr">
        <is>
          <t>TURTLE REEFER</t>
        </is>
      </c>
    </row>
    <row r="438">
      <c r="A438" t="n">
        <v>437</v>
      </c>
      <c r="B438" t="inlineStr">
        <is>
          <t>ORCA REEFER</t>
        </is>
      </c>
      <c r="C438" t="inlineStr">
        <is>
          <t>REF000000</t>
        </is>
      </c>
      <c r="D438" t="inlineStr">
        <is>
          <t>REF000000</t>
        </is>
      </c>
      <c r="E438" t="inlineStr">
        <is>
          <t>23-FEB-2026</t>
        </is>
      </c>
      <c r="F438" t="inlineStr">
        <is>
          <t>ORCA REEFER</t>
        </is>
      </c>
      <c r="G438" t="inlineStr">
        <is>
          <t>ENTERED THROUGH SPLIT BOOKING FROM THE BOOKING ID REF000000, BY AR_MARTIMA, ON 2/20/2026 9:31:14 PM</t>
        </is>
      </c>
      <c r="H438" t="inlineStr">
        <is>
          <t>AR_MARTIMA</t>
        </is>
      </c>
      <c r="J438" t="n">
        <v>46082</v>
      </c>
      <c r="K438" t="inlineStr">
        <is>
          <t>28-FEB-2026</t>
        </is>
      </c>
      <c r="L438" t="n">
        <v>46082</v>
      </c>
      <c r="M438" t="inlineStr">
        <is>
          <t>REF000000</t>
        </is>
      </c>
      <c r="N438" t="inlineStr">
        <is>
          <t>USSEA</t>
        </is>
      </c>
      <c r="O438" t="inlineStr">
        <is>
          <t>USSEA</t>
        </is>
      </c>
      <c r="P438" t="inlineStr">
        <is>
          <t>USNFK</t>
        </is>
      </c>
      <c r="U438" t="inlineStr">
        <is>
          <t>RULED</t>
        </is>
      </c>
      <c r="V438" t="inlineStr">
        <is>
          <t>RULED</t>
        </is>
      </c>
      <c r="W438" t="inlineStr">
        <is>
          <t>CANADA</t>
        </is>
      </c>
      <c r="X438" t="inlineStr">
        <is>
          <t>PERSIAN GULF</t>
        </is>
      </c>
      <c r="Y438" t="inlineStr">
        <is>
          <t>RUSSIA</t>
        </is>
      </c>
      <c r="Z438" t="inlineStr">
        <is>
          <t>External Review</t>
        </is>
      </c>
      <c r="AA438" t="inlineStr">
        <is>
          <t>HUB SHIPPING LLC-LED</t>
        </is>
      </c>
      <c r="AB438" t="inlineStr">
        <is>
          <t>Prepaid</t>
        </is>
      </c>
      <c r="AC438" t="inlineStr">
        <is>
          <t>TIGER PLATA/970N</t>
        </is>
      </c>
      <c r="AE438" t="inlineStr">
        <is>
          <t>LADEN BOOKING</t>
        </is>
      </c>
      <c r="AF438" t="inlineStr">
        <is>
          <t>AR_MARTIMA</t>
        </is>
      </c>
      <c r="AG438" t="inlineStr">
        <is>
          <t>RH40</t>
        </is>
      </c>
      <c r="AH438" t="inlineStr">
        <is>
          <t>NO</t>
        </is>
      </c>
      <c r="AI438" t="n">
        <v>40</v>
      </c>
      <c r="AJ438" t="n">
        <v>0</v>
      </c>
      <c r="AK438" t="n">
        <v>1</v>
      </c>
      <c r="AL438" t="inlineStr">
        <is>
          <t>ANON0000000</t>
        </is>
      </c>
      <c r="AM438" t="n">
        <v>-18</v>
      </c>
      <c r="AP438" t="inlineStr">
        <is>
          <t>Non Haz</t>
        </is>
      </c>
      <c r="AQ438" t="inlineStr">
        <is>
          <t>CY/CY</t>
        </is>
      </c>
      <c r="AT438" t="inlineStr">
        <is>
          <t>REF000000</t>
        </is>
      </c>
      <c r="AU438" t="n">
        <v>29000</v>
      </c>
      <c r="AV438" t="inlineStr">
        <is>
          <t>FROZEN BONELESS BUFFALO MEAT</t>
        </is>
      </c>
      <c r="AW438" t="inlineStr">
        <is>
          <t>N.C.M.: 0206.21</t>
        </is>
      </c>
      <c r="AX438" t="inlineStr">
        <is>
          <t>RSAMI122500027</t>
        </is>
      </c>
      <c r="AZ438" t="n">
        <v>0</v>
      </c>
      <c r="BA438" t="n">
        <v>10</v>
      </c>
      <c r="BB438" t="n">
        <v>10</v>
      </c>
      <c r="BC438" t="n">
        <v>7300</v>
      </c>
      <c r="BD438" t="inlineStr">
        <is>
          <t>No</t>
        </is>
      </c>
      <c r="BF438" t="inlineStr">
        <is>
          <t>Bengal Tiger Line -BTL</t>
        </is>
      </c>
      <c r="BG438" t="inlineStr">
        <is>
          <t>USSEA</t>
        </is>
      </c>
      <c r="BH438" t="n">
        <v>0</v>
      </c>
      <c r="BI438" t="n">
        <v>1</v>
      </c>
      <c r="BJ438" t="n">
        <v>7300</v>
      </c>
      <c r="BK438" t="inlineStr">
        <is>
          <t>LINE</t>
        </is>
      </c>
      <c r="BL438" t="inlineStr">
        <is>
          <t>ORCA REEFER</t>
        </is>
      </c>
      <c r="BM438" t="inlineStr">
        <is>
          <t>ORCA REEFER</t>
        </is>
      </c>
    </row>
    <row r="439">
      <c r="A439" t="n">
        <v>438</v>
      </c>
      <c r="B439" t="inlineStr">
        <is>
          <t>WHALE REEFER</t>
        </is>
      </c>
      <c r="C439" t="inlineStr">
        <is>
          <t>REF000000</t>
        </is>
      </c>
      <c r="D439" t="inlineStr">
        <is>
          <t>REF000000</t>
        </is>
      </c>
      <c r="E439" t="inlineStr">
        <is>
          <t>23-FEB-2026</t>
        </is>
      </c>
      <c r="F439" t="inlineStr">
        <is>
          <t>WHALE REEFER</t>
        </is>
      </c>
      <c r="G439" t="inlineStr">
        <is>
          <t>ENTERED THROUGH SPLIT BOOKING FROM THE BOOKING ID REF000000, BY AR_MARTIMA, ON 2/20/2026 9:31:14 PM</t>
        </is>
      </c>
      <c r="H439" t="inlineStr">
        <is>
          <t>AR_MARTIMA</t>
        </is>
      </c>
      <c r="J439" t="n">
        <v>46082</v>
      </c>
      <c r="K439" t="inlineStr">
        <is>
          <t>28-FEB-2026</t>
        </is>
      </c>
      <c r="L439" t="n">
        <v>46082</v>
      </c>
      <c r="M439" t="inlineStr">
        <is>
          <t>REF000000</t>
        </is>
      </c>
      <c r="N439" t="inlineStr">
        <is>
          <t>USSEA</t>
        </is>
      </c>
      <c r="O439" t="inlineStr">
        <is>
          <t>USSEA</t>
        </is>
      </c>
      <c r="P439" t="inlineStr">
        <is>
          <t>USNFK</t>
        </is>
      </c>
      <c r="U439" t="inlineStr">
        <is>
          <t>RULED</t>
        </is>
      </c>
      <c r="V439" t="inlineStr">
        <is>
          <t>RULED</t>
        </is>
      </c>
      <c r="W439" t="inlineStr">
        <is>
          <t>CANADA</t>
        </is>
      </c>
      <c r="X439" t="inlineStr">
        <is>
          <t>PERSIAN GULF</t>
        </is>
      </c>
      <c r="Y439" t="inlineStr">
        <is>
          <t>RUSSIA</t>
        </is>
      </c>
      <c r="Z439" t="inlineStr">
        <is>
          <t>External Review</t>
        </is>
      </c>
      <c r="AA439" t="inlineStr">
        <is>
          <t>HUB SHIPPING LLC-LED</t>
        </is>
      </c>
      <c r="AB439" t="inlineStr">
        <is>
          <t>Prepaid</t>
        </is>
      </c>
      <c r="AC439" t="inlineStr">
        <is>
          <t>TIGER PLATA/970N</t>
        </is>
      </c>
      <c r="AE439" t="inlineStr">
        <is>
          <t>LADEN BOOKING</t>
        </is>
      </c>
      <c r="AF439" t="inlineStr">
        <is>
          <t>AR_MARTIMA</t>
        </is>
      </c>
      <c r="AG439" t="inlineStr">
        <is>
          <t>RH40</t>
        </is>
      </c>
      <c r="AH439" t="inlineStr">
        <is>
          <t>NO</t>
        </is>
      </c>
      <c r="AI439" t="n">
        <v>40</v>
      </c>
      <c r="AJ439" t="n">
        <v>0</v>
      </c>
      <c r="AK439" t="n">
        <v>1</v>
      </c>
      <c r="AL439" t="inlineStr">
        <is>
          <t>ANON0000000</t>
        </is>
      </c>
      <c r="AM439" t="n">
        <v>-18</v>
      </c>
      <c r="AP439" t="inlineStr">
        <is>
          <t>Non Haz</t>
        </is>
      </c>
      <c r="AQ439" t="inlineStr">
        <is>
          <t>CY/CY</t>
        </is>
      </c>
      <c r="AT439" t="inlineStr">
        <is>
          <t>REF000000</t>
        </is>
      </c>
      <c r="AU439" t="n">
        <v>29000</v>
      </c>
      <c r="AV439" t="inlineStr">
        <is>
          <t>FROZEN BONELESS BUFFALO MEAT</t>
        </is>
      </c>
      <c r="AW439" t="inlineStr">
        <is>
          <t>N.C.M.: 0206.29</t>
        </is>
      </c>
      <c r="AX439" t="inlineStr">
        <is>
          <t>RSAMI122500027</t>
        </is>
      </c>
      <c r="AZ439" t="n">
        <v>0</v>
      </c>
      <c r="BA439" t="n">
        <v>10</v>
      </c>
      <c r="BB439" t="n">
        <v>10</v>
      </c>
      <c r="BC439" t="n">
        <v>7300</v>
      </c>
      <c r="BD439" t="inlineStr">
        <is>
          <t>No</t>
        </is>
      </c>
      <c r="BF439" t="inlineStr">
        <is>
          <t>Bengal Tiger Line -BTL</t>
        </is>
      </c>
      <c r="BG439" t="inlineStr">
        <is>
          <t>USSEA</t>
        </is>
      </c>
      <c r="BH439" t="n">
        <v>0</v>
      </c>
      <c r="BI439" t="n">
        <v>1</v>
      </c>
      <c r="BJ439" t="n">
        <v>7300</v>
      </c>
      <c r="BK439" t="inlineStr">
        <is>
          <t>LINE</t>
        </is>
      </c>
      <c r="BL439" t="inlineStr">
        <is>
          <t>WHALE REEFER</t>
        </is>
      </c>
      <c r="BM439" t="inlineStr">
        <is>
          <t>WHALE REEFER</t>
        </is>
      </c>
    </row>
    <row r="440">
      <c r="A440" t="n">
        <v>439</v>
      </c>
      <c r="B440" t="inlineStr">
        <is>
          <t>SEAL REEFER</t>
        </is>
      </c>
      <c r="C440" t="inlineStr">
        <is>
          <t>REF000000</t>
        </is>
      </c>
      <c r="D440" t="inlineStr">
        <is>
          <t>REF000000</t>
        </is>
      </c>
      <c r="E440" t="inlineStr">
        <is>
          <t>23-FEB-2026</t>
        </is>
      </c>
      <c r="F440" t="inlineStr">
        <is>
          <t>SEAL REEFER</t>
        </is>
      </c>
      <c r="G440" t="inlineStr">
        <is>
          <t>ENTERED THROUGH SPLIT BOOKING FROM THE BOOKING ID REF000000, BY AR_MARTIMA, ON 2/20/2026 9:31:14 PM</t>
        </is>
      </c>
      <c r="H440" t="inlineStr">
        <is>
          <t>AR_MARTIMA</t>
        </is>
      </c>
      <c r="J440" t="n">
        <v>46082</v>
      </c>
      <c r="K440" t="inlineStr">
        <is>
          <t>28-FEB-2026</t>
        </is>
      </c>
      <c r="L440" t="n">
        <v>46082</v>
      </c>
      <c r="M440" t="inlineStr">
        <is>
          <t>REF000000</t>
        </is>
      </c>
      <c r="N440" t="inlineStr">
        <is>
          <t>USSEA</t>
        </is>
      </c>
      <c r="O440" t="inlineStr">
        <is>
          <t>USSEA</t>
        </is>
      </c>
      <c r="P440" t="inlineStr">
        <is>
          <t>USNFK</t>
        </is>
      </c>
      <c r="U440" t="inlineStr">
        <is>
          <t>RULED</t>
        </is>
      </c>
      <c r="V440" t="inlineStr">
        <is>
          <t>RULED</t>
        </is>
      </c>
      <c r="W440" t="inlineStr">
        <is>
          <t>CANADA</t>
        </is>
      </c>
      <c r="X440" t="inlineStr">
        <is>
          <t>PERSIAN GULF</t>
        </is>
      </c>
      <c r="Y440" t="inlineStr">
        <is>
          <t>RUSSIA</t>
        </is>
      </c>
      <c r="Z440" t="inlineStr">
        <is>
          <t>External Review</t>
        </is>
      </c>
      <c r="AA440" t="inlineStr">
        <is>
          <t>HUB SHIPPING LLC-LED</t>
        </is>
      </c>
      <c r="AB440" t="inlineStr">
        <is>
          <t>Prepaid</t>
        </is>
      </c>
      <c r="AC440" t="inlineStr">
        <is>
          <t>TIGER PLATA/970N</t>
        </is>
      </c>
      <c r="AE440" t="inlineStr">
        <is>
          <t>LADEN BOOKING</t>
        </is>
      </c>
      <c r="AF440" t="inlineStr">
        <is>
          <t>AR_MARTIMA</t>
        </is>
      </c>
      <c r="AG440" t="inlineStr">
        <is>
          <t>RH40</t>
        </is>
      </c>
      <c r="AH440" t="inlineStr">
        <is>
          <t>NO</t>
        </is>
      </c>
      <c r="AI440" t="n">
        <v>40</v>
      </c>
      <c r="AJ440" t="n">
        <v>0</v>
      </c>
      <c r="AK440" t="n">
        <v>1</v>
      </c>
      <c r="AL440" t="inlineStr">
        <is>
          <t>ANON0000000</t>
        </is>
      </c>
      <c r="AM440" t="n">
        <v>-18</v>
      </c>
      <c r="AP440" t="inlineStr">
        <is>
          <t>Non Haz</t>
        </is>
      </c>
      <c r="AQ440" t="inlineStr">
        <is>
          <t>CY/CY</t>
        </is>
      </c>
      <c r="AT440" t="inlineStr">
        <is>
          <t>REF000000</t>
        </is>
      </c>
      <c r="AU440" t="n">
        <v>29000</v>
      </c>
      <c r="AV440" t="inlineStr">
        <is>
          <t>FROZEN BONELESS BUFFALO MEAT</t>
        </is>
      </c>
      <c r="AW440" t="inlineStr">
        <is>
          <t>N.C.M.: 0206.22</t>
        </is>
      </c>
      <c r="AX440" t="inlineStr">
        <is>
          <t>RSAMI122500027</t>
        </is>
      </c>
      <c r="AZ440" t="n">
        <v>0</v>
      </c>
      <c r="BA440" t="n">
        <v>10</v>
      </c>
      <c r="BB440" t="n">
        <v>10</v>
      </c>
      <c r="BC440" t="n">
        <v>7300</v>
      </c>
      <c r="BD440" t="inlineStr">
        <is>
          <t>No</t>
        </is>
      </c>
      <c r="BF440" t="inlineStr">
        <is>
          <t>Bengal Tiger Line -BTL</t>
        </is>
      </c>
      <c r="BG440" t="inlineStr">
        <is>
          <t>USSEA</t>
        </is>
      </c>
      <c r="BH440" t="n">
        <v>0</v>
      </c>
      <c r="BI440" t="n">
        <v>1</v>
      </c>
      <c r="BJ440" t="n">
        <v>7300</v>
      </c>
      <c r="BK440" t="inlineStr">
        <is>
          <t>LINE</t>
        </is>
      </c>
      <c r="BL440" t="inlineStr">
        <is>
          <t>SEAL REEFER</t>
        </is>
      </c>
      <c r="BM440" t="inlineStr">
        <is>
          <t>SEAL REEFER</t>
        </is>
      </c>
    </row>
    <row r="441">
      <c r="A441" t="n">
        <v>440</v>
      </c>
      <c r="B441" t="inlineStr">
        <is>
          <t>SHARK REEFER</t>
        </is>
      </c>
      <c r="C441" t="inlineStr">
        <is>
          <t>REF000000</t>
        </is>
      </c>
      <c r="D441" t="inlineStr">
        <is>
          <t>REF000000</t>
        </is>
      </c>
      <c r="E441" t="inlineStr">
        <is>
          <t>23-FEB-2026</t>
        </is>
      </c>
      <c r="F441" t="inlineStr">
        <is>
          <t>SHARK REEFER</t>
        </is>
      </c>
      <c r="G441" t="inlineStr">
        <is>
          <t>1x40RH TEMP -18</t>
        </is>
      </c>
      <c r="H441" t="inlineStr">
        <is>
          <t>AR_MARTIMA</t>
        </is>
      </c>
      <c r="J441" t="inlineStr">
        <is>
          <t>14-APR-2026</t>
        </is>
      </c>
      <c r="K441" t="inlineStr">
        <is>
          <t>12-APR-2026</t>
        </is>
      </c>
      <c r="L441" t="inlineStr">
        <is>
          <t>14-APR-2026</t>
        </is>
      </c>
      <c r="M441" t="inlineStr">
        <is>
          <t>REF000000</t>
        </is>
      </c>
      <c r="N441" t="inlineStr">
        <is>
          <t>USSEA</t>
        </is>
      </c>
      <c r="O441" t="inlineStr">
        <is>
          <t>USSEA</t>
        </is>
      </c>
      <c r="P441" t="inlineStr">
        <is>
          <t>USNFK</t>
        </is>
      </c>
      <c r="U441" t="inlineStr">
        <is>
          <t>RULED</t>
        </is>
      </c>
      <c r="V441" t="inlineStr">
        <is>
          <t>RULED</t>
        </is>
      </c>
      <c r="W441" t="inlineStr">
        <is>
          <t>CANADA</t>
        </is>
      </c>
      <c r="X441" t="inlineStr">
        <is>
          <t>PERSIAN GULF</t>
        </is>
      </c>
      <c r="Y441" t="inlineStr">
        <is>
          <t>RUSSIA</t>
        </is>
      </c>
      <c r="Z441" t="inlineStr">
        <is>
          <t>External Review</t>
        </is>
      </c>
      <c r="AA441" t="inlineStr">
        <is>
          <t>HUB SHIPPING LLC-LED</t>
        </is>
      </c>
      <c r="AB441" t="inlineStr">
        <is>
          <t>Prepaid</t>
        </is>
      </c>
      <c r="AC441" t="inlineStr">
        <is>
          <t>TIGER PLATA/976N</t>
        </is>
      </c>
      <c r="AE441" t="inlineStr">
        <is>
          <t>LADEN BOOKING</t>
        </is>
      </c>
      <c r="AF441" t="inlineStr">
        <is>
          <t>AR_MARTIMA</t>
        </is>
      </c>
      <c r="AG441" t="inlineStr">
        <is>
          <t>RH40</t>
        </is>
      </c>
      <c r="AH441" t="inlineStr">
        <is>
          <t>NO</t>
        </is>
      </c>
      <c r="AI441" t="n">
        <v>40</v>
      </c>
      <c r="AJ441" t="n">
        <v>0</v>
      </c>
      <c r="AK441" t="n">
        <v>1</v>
      </c>
      <c r="AM441" t="n">
        <v>-18</v>
      </c>
      <c r="AP441" t="inlineStr">
        <is>
          <t>Non Haz</t>
        </is>
      </c>
      <c r="AQ441" t="inlineStr">
        <is>
          <t>CY/CY</t>
        </is>
      </c>
      <c r="AU441" t="n">
        <v>29000</v>
      </c>
      <c r="AV441" t="inlineStr">
        <is>
          <t>FROZEN BONELESS BUFFALO MEAT</t>
        </is>
      </c>
      <c r="AX441" t="inlineStr">
        <is>
          <t>RSAMI122500026</t>
        </is>
      </c>
      <c r="AZ441" t="n">
        <v>0</v>
      </c>
      <c r="BA441" t="n">
        <v>10</v>
      </c>
      <c r="BB441" t="n">
        <v>10</v>
      </c>
      <c r="BC441" t="n">
        <v>7300</v>
      </c>
      <c r="BD441" t="inlineStr">
        <is>
          <t>No</t>
        </is>
      </c>
      <c r="BG441" t="inlineStr">
        <is>
          <t>USSEA</t>
        </is>
      </c>
      <c r="BH441" t="n">
        <v>0</v>
      </c>
      <c r="BI441" t="n">
        <v>0</v>
      </c>
      <c r="BJ441" t="inlineStr">
        <is>
          <t xml:space="preserve"> 0</t>
        </is>
      </c>
      <c r="BK441" t="inlineStr">
        <is>
          <t>LINE</t>
        </is>
      </c>
      <c r="BL441" t="inlineStr">
        <is>
          <t>SHARK REEFER</t>
        </is>
      </c>
      <c r="BM441" t="inlineStr">
        <is>
          <t>SHARK REEFER</t>
        </is>
      </c>
    </row>
    <row r="442">
      <c r="A442" t="n">
        <v>441</v>
      </c>
      <c r="B442" t="inlineStr">
        <is>
          <t>DOLPHIN REEFER</t>
        </is>
      </c>
      <c r="C442" t="inlineStr">
        <is>
          <t>REF000000</t>
        </is>
      </c>
      <c r="D442" t="inlineStr">
        <is>
          <t>REF000000</t>
        </is>
      </c>
      <c r="E442" t="inlineStr">
        <is>
          <t>24-FEB-2026</t>
        </is>
      </c>
      <c r="F442" t="inlineStr">
        <is>
          <t>DOLPHIN REEFER</t>
        </is>
      </c>
      <c r="G442" t="inlineStr">
        <is>
          <t>1x40RH TEMP -18</t>
        </is>
      </c>
      <c r="H442" t="inlineStr">
        <is>
          <t>AR_MARTIMA</t>
        </is>
      </c>
      <c r="J442" t="n">
        <v>46089</v>
      </c>
      <c r="K442" t="n">
        <v>46088</v>
      </c>
      <c r="L442" t="n">
        <v>46090</v>
      </c>
      <c r="M442" t="inlineStr">
        <is>
          <t>REF000000</t>
        </is>
      </c>
      <c r="N442" t="inlineStr">
        <is>
          <t>USSEA</t>
        </is>
      </c>
      <c r="O442" t="inlineStr">
        <is>
          <t>USSEA</t>
        </is>
      </c>
      <c r="P442" t="inlineStr">
        <is>
          <t>USNFK</t>
        </is>
      </c>
      <c r="U442" t="inlineStr">
        <is>
          <t>RULED</t>
        </is>
      </c>
      <c r="V442" t="inlineStr">
        <is>
          <t>RULED</t>
        </is>
      </c>
      <c r="W442" t="inlineStr">
        <is>
          <t>CANADA</t>
        </is>
      </c>
      <c r="X442" t="inlineStr">
        <is>
          <t>PERSIAN GULF</t>
        </is>
      </c>
      <c r="Y442" t="inlineStr">
        <is>
          <t>RUSSIA</t>
        </is>
      </c>
      <c r="Z442" t="inlineStr">
        <is>
          <t>External Review</t>
        </is>
      </c>
      <c r="AA442" t="inlineStr">
        <is>
          <t>HUB SHIPPING LLC-LED</t>
        </is>
      </c>
      <c r="AB442" t="inlineStr">
        <is>
          <t>Prepaid</t>
        </is>
      </c>
      <c r="AC442" t="inlineStr">
        <is>
          <t>TIGER PLATA/971N</t>
        </is>
      </c>
      <c r="AE442" t="inlineStr">
        <is>
          <t>LADEN BOOKING</t>
        </is>
      </c>
      <c r="AF442" t="inlineStr">
        <is>
          <t>AR_MARTIMA</t>
        </is>
      </c>
      <c r="AG442" t="inlineStr">
        <is>
          <t>RH40</t>
        </is>
      </c>
      <c r="AH442" t="inlineStr">
        <is>
          <t>NO</t>
        </is>
      </c>
      <c r="AI442" t="n">
        <v>40</v>
      </c>
      <c r="AJ442" t="n">
        <v>0</v>
      </c>
      <c r="AK442" t="n">
        <v>1</v>
      </c>
      <c r="AL442" t="inlineStr">
        <is>
          <t>ANON0000000</t>
        </is>
      </c>
      <c r="AM442" t="n">
        <v>-18</v>
      </c>
      <c r="AP442" t="inlineStr">
        <is>
          <t>Non Haz</t>
        </is>
      </c>
      <c r="AQ442" t="inlineStr">
        <is>
          <t>CY/CY</t>
        </is>
      </c>
      <c r="AT442" t="inlineStr">
        <is>
          <t>REF000000</t>
        </is>
      </c>
      <c r="AU442" t="n">
        <v>29000</v>
      </c>
      <c r="AV442" t="inlineStr">
        <is>
          <t>FROZEN MEAT</t>
        </is>
      </c>
      <c r="AW442" t="inlineStr">
        <is>
          <t>NCM 020622</t>
        </is>
      </c>
      <c r="AX442" t="inlineStr">
        <is>
          <t>RSAMI122500031</t>
        </is>
      </c>
      <c r="AZ442" t="n">
        <v>0</v>
      </c>
      <c r="BA442" t="n">
        <v>10</v>
      </c>
      <c r="BB442" t="n">
        <v>10</v>
      </c>
      <c r="BC442" t="n">
        <v>6800</v>
      </c>
      <c r="BD442" t="inlineStr">
        <is>
          <t>No</t>
        </is>
      </c>
      <c r="BF442" t="inlineStr">
        <is>
          <t>Bengal Tiger Line -BTL</t>
        </is>
      </c>
      <c r="BG442" t="inlineStr">
        <is>
          <t>USSEA</t>
        </is>
      </c>
      <c r="BH442" t="n">
        <v>0</v>
      </c>
      <c r="BI442" t="n">
        <v>1</v>
      </c>
      <c r="BJ442" t="n">
        <v>6800</v>
      </c>
      <c r="BK442" t="inlineStr">
        <is>
          <t>LINE</t>
        </is>
      </c>
      <c r="BL442" t="inlineStr">
        <is>
          <t>DOLPHIN REEFER</t>
        </is>
      </c>
      <c r="BM442" t="inlineStr">
        <is>
          <t>DOLPHIN REEFER</t>
        </is>
      </c>
    </row>
    <row r="443">
      <c r="A443" t="n">
        <v>442</v>
      </c>
      <c r="B443" t="inlineStr">
        <is>
          <t>MARLIN REEFER</t>
        </is>
      </c>
      <c r="C443" t="inlineStr">
        <is>
          <t>REF000000</t>
        </is>
      </c>
      <c r="D443" t="inlineStr">
        <is>
          <t>REF000000</t>
        </is>
      </c>
      <c r="E443" t="inlineStr">
        <is>
          <t>24-FEB-2026</t>
        </is>
      </c>
      <c r="F443" t="inlineStr">
        <is>
          <t>MARLIN REEFER</t>
        </is>
      </c>
      <c r="G443" t="inlineStr">
        <is>
          <t>ENTERED THROUGH SPLIT BOOKING FROM THE BOOKING ID REF000000, BY AR_MARTIMA, ON 2/24/2026 6:04:04 PM</t>
        </is>
      </c>
      <c r="H443" t="inlineStr">
        <is>
          <t>AR_MARTIMA</t>
        </is>
      </c>
      <c r="J443" t="n">
        <v>46089</v>
      </c>
      <c r="K443" t="n">
        <v>46088</v>
      </c>
      <c r="L443" t="n">
        <v>46090</v>
      </c>
      <c r="M443" t="inlineStr">
        <is>
          <t>REF000000</t>
        </is>
      </c>
      <c r="N443" t="inlineStr">
        <is>
          <t>USSEA</t>
        </is>
      </c>
      <c r="O443" t="inlineStr">
        <is>
          <t>USSEA</t>
        </is>
      </c>
      <c r="P443" t="inlineStr">
        <is>
          <t>USNFK</t>
        </is>
      </c>
      <c r="U443" t="inlineStr">
        <is>
          <t>RULED</t>
        </is>
      </c>
      <c r="V443" t="inlineStr">
        <is>
          <t>RULED</t>
        </is>
      </c>
      <c r="W443" t="inlineStr">
        <is>
          <t>CANADA</t>
        </is>
      </c>
      <c r="X443" t="inlineStr">
        <is>
          <t>PERSIAN GULF</t>
        </is>
      </c>
      <c r="Y443" t="inlineStr">
        <is>
          <t>RUSSIA</t>
        </is>
      </c>
      <c r="Z443" t="inlineStr">
        <is>
          <t>External Review</t>
        </is>
      </c>
      <c r="AA443" t="inlineStr">
        <is>
          <t>HUB SHIPPING LLC-LED</t>
        </is>
      </c>
      <c r="AB443" t="inlineStr">
        <is>
          <t>Prepaid</t>
        </is>
      </c>
      <c r="AC443" t="inlineStr">
        <is>
          <t>TIGER PLATA/971N</t>
        </is>
      </c>
      <c r="AE443" t="inlineStr">
        <is>
          <t>LADEN BOOKING</t>
        </is>
      </c>
      <c r="AF443" t="inlineStr">
        <is>
          <t>AR_MARTIMA</t>
        </is>
      </c>
      <c r="AG443" t="inlineStr">
        <is>
          <t>RH40</t>
        </is>
      </c>
      <c r="AH443" t="inlineStr">
        <is>
          <t>NO</t>
        </is>
      </c>
      <c r="AI443" t="n">
        <v>40</v>
      </c>
      <c r="AJ443" t="n">
        <v>0</v>
      </c>
      <c r="AK443" t="n">
        <v>1</v>
      </c>
      <c r="AL443" t="inlineStr">
        <is>
          <t>ANON0000000</t>
        </is>
      </c>
      <c r="AM443" t="n">
        <v>-18</v>
      </c>
      <c r="AP443" t="inlineStr">
        <is>
          <t>Non Haz</t>
        </is>
      </c>
      <c r="AQ443" t="inlineStr">
        <is>
          <t>CY/CY</t>
        </is>
      </c>
      <c r="AT443" t="inlineStr">
        <is>
          <t>REF000000</t>
        </is>
      </c>
      <c r="AU443" t="n">
        <v>29000</v>
      </c>
      <c r="AV443" t="inlineStr">
        <is>
          <t>FROZEN MEAT</t>
        </is>
      </c>
      <c r="AW443" t="inlineStr">
        <is>
          <t>NCM 020622</t>
        </is>
      </c>
      <c r="AX443" t="inlineStr">
        <is>
          <t>RSAMI122500031</t>
        </is>
      </c>
      <c r="AZ443" t="n">
        <v>0</v>
      </c>
      <c r="BA443" t="n">
        <v>10</v>
      </c>
      <c r="BB443" t="n">
        <v>10</v>
      </c>
      <c r="BC443" t="n">
        <v>6800</v>
      </c>
      <c r="BD443" t="inlineStr">
        <is>
          <t>No</t>
        </is>
      </c>
      <c r="BF443" t="inlineStr">
        <is>
          <t>Bengal Tiger Line -BTL</t>
        </is>
      </c>
      <c r="BG443" t="inlineStr">
        <is>
          <t>USSEA</t>
        </is>
      </c>
      <c r="BH443" t="n">
        <v>0</v>
      </c>
      <c r="BI443" t="n">
        <v>1</v>
      </c>
      <c r="BJ443" t="n">
        <v>6800</v>
      </c>
      <c r="BK443" t="inlineStr">
        <is>
          <t>LINE</t>
        </is>
      </c>
      <c r="BL443" t="inlineStr">
        <is>
          <t>MARLIN REEFER</t>
        </is>
      </c>
      <c r="BM443" t="inlineStr">
        <is>
          <t>MARLIN REEFER</t>
        </is>
      </c>
    </row>
    <row r="444">
      <c r="A444" t="n">
        <v>443</v>
      </c>
      <c r="B444" t="inlineStr">
        <is>
          <t>TURTLE REEFER</t>
        </is>
      </c>
      <c r="C444" t="inlineStr">
        <is>
          <t>REF000000</t>
        </is>
      </c>
      <c r="D444" t="inlineStr">
        <is>
          <t>REF000000</t>
        </is>
      </c>
      <c r="E444" t="inlineStr">
        <is>
          <t>24-FEB-2026</t>
        </is>
      </c>
      <c r="F444" t="inlineStr">
        <is>
          <t>TURTLE REEFER</t>
        </is>
      </c>
      <c r="G444" t="inlineStr">
        <is>
          <t>ENTERED THROUGH SPLIT BOOKING FROM THE BOOKING ID REF000000, BY AR_MARTIMA, ON 2/24/2026 6:04:04 PM</t>
        </is>
      </c>
      <c r="H444" t="inlineStr">
        <is>
          <t>AR_MARTIMA</t>
        </is>
      </c>
      <c r="J444" t="n">
        <v>46089</v>
      </c>
      <c r="K444" t="n">
        <v>46088</v>
      </c>
      <c r="L444" t="n">
        <v>46090</v>
      </c>
      <c r="M444" t="inlineStr">
        <is>
          <t>REF000000</t>
        </is>
      </c>
      <c r="N444" t="inlineStr">
        <is>
          <t>USSEA</t>
        </is>
      </c>
      <c r="O444" t="inlineStr">
        <is>
          <t>USSEA</t>
        </is>
      </c>
      <c r="P444" t="inlineStr">
        <is>
          <t>USNFK</t>
        </is>
      </c>
      <c r="U444" t="inlineStr">
        <is>
          <t>RULED</t>
        </is>
      </c>
      <c r="V444" t="inlineStr">
        <is>
          <t>RULED</t>
        </is>
      </c>
      <c r="W444" t="inlineStr">
        <is>
          <t>CANADA</t>
        </is>
      </c>
      <c r="X444" t="inlineStr">
        <is>
          <t>PERSIAN GULF</t>
        </is>
      </c>
      <c r="Y444" t="inlineStr">
        <is>
          <t>RUSSIA</t>
        </is>
      </c>
      <c r="Z444" t="inlineStr">
        <is>
          <t>External Review</t>
        </is>
      </c>
      <c r="AA444" t="inlineStr">
        <is>
          <t>HUB SHIPPING LLC-LED</t>
        </is>
      </c>
      <c r="AB444" t="inlineStr">
        <is>
          <t>Prepaid</t>
        </is>
      </c>
      <c r="AC444" t="inlineStr">
        <is>
          <t>TIGER PLATA/971N</t>
        </is>
      </c>
      <c r="AE444" t="inlineStr">
        <is>
          <t>LADEN BOOKING</t>
        </is>
      </c>
      <c r="AF444" t="inlineStr">
        <is>
          <t>AR_MARTIMA</t>
        </is>
      </c>
      <c r="AG444" t="inlineStr">
        <is>
          <t>RH40</t>
        </is>
      </c>
      <c r="AH444" t="inlineStr">
        <is>
          <t>NO</t>
        </is>
      </c>
      <c r="AI444" t="n">
        <v>40</v>
      </c>
      <c r="AJ444" t="n">
        <v>0</v>
      </c>
      <c r="AK444" t="n">
        <v>1</v>
      </c>
      <c r="AL444" t="inlineStr">
        <is>
          <t>ANON0000000</t>
        </is>
      </c>
      <c r="AM444" t="n">
        <v>-18</v>
      </c>
      <c r="AP444" t="inlineStr">
        <is>
          <t>Non Haz</t>
        </is>
      </c>
      <c r="AQ444" t="inlineStr">
        <is>
          <t>CY/CY</t>
        </is>
      </c>
      <c r="AT444" t="inlineStr">
        <is>
          <t>REF000000</t>
        </is>
      </c>
      <c r="AU444" t="n">
        <v>29000</v>
      </c>
      <c r="AV444" t="inlineStr">
        <is>
          <t>FROZEN MEAT</t>
        </is>
      </c>
      <c r="AW444" t="inlineStr">
        <is>
          <t>NCM 020621</t>
        </is>
      </c>
      <c r="AX444" t="inlineStr">
        <is>
          <t>RSAMI122500031</t>
        </is>
      </c>
      <c r="AZ444" t="n">
        <v>0</v>
      </c>
      <c r="BA444" t="n">
        <v>10</v>
      </c>
      <c r="BB444" t="n">
        <v>10</v>
      </c>
      <c r="BC444" t="n">
        <v>6800</v>
      </c>
      <c r="BD444" t="inlineStr">
        <is>
          <t>No</t>
        </is>
      </c>
      <c r="BF444" t="inlineStr">
        <is>
          <t>Bengal Tiger Line -BTL</t>
        </is>
      </c>
      <c r="BG444" t="inlineStr">
        <is>
          <t>USSEA</t>
        </is>
      </c>
      <c r="BH444" t="n">
        <v>0</v>
      </c>
      <c r="BI444" t="n">
        <v>1</v>
      </c>
      <c r="BJ444" t="n">
        <v>6800</v>
      </c>
      <c r="BK444" t="inlineStr">
        <is>
          <t>LINE</t>
        </is>
      </c>
      <c r="BL444" t="inlineStr">
        <is>
          <t>TURTLE REEFER</t>
        </is>
      </c>
      <c r="BM444" t="inlineStr">
        <is>
          <t>TURTLE REEFER</t>
        </is>
      </c>
    </row>
    <row r="445">
      <c r="A445" t="n">
        <v>444</v>
      </c>
      <c r="B445" t="inlineStr">
        <is>
          <t>ORCA REEFER</t>
        </is>
      </c>
      <c r="C445" t="inlineStr">
        <is>
          <t>REF000000</t>
        </is>
      </c>
      <c r="D445" t="inlineStr">
        <is>
          <t>REF000000</t>
        </is>
      </c>
      <c r="E445" t="inlineStr">
        <is>
          <t>24-FEB-2026</t>
        </is>
      </c>
      <c r="F445" t="inlineStr">
        <is>
          <t>ORCA REEFER</t>
        </is>
      </c>
      <c r="G445" t="inlineStr">
        <is>
          <t>ENTERED THROUGH SPLIT BOOKING FROM THE BOOKING ID REF000000, BY AR_MARTIMA, ON 2/24/2026 6:04:04 PM</t>
        </is>
      </c>
      <c r="H445" t="inlineStr">
        <is>
          <t>AR_MARTIMA</t>
        </is>
      </c>
      <c r="J445" t="n">
        <v>46089</v>
      </c>
      <c r="K445" t="n">
        <v>46088</v>
      </c>
      <c r="L445" t="n">
        <v>46090</v>
      </c>
      <c r="M445" t="inlineStr">
        <is>
          <t>REF000000</t>
        </is>
      </c>
      <c r="N445" t="inlineStr">
        <is>
          <t>USSEA</t>
        </is>
      </c>
      <c r="O445" t="inlineStr">
        <is>
          <t>USSEA</t>
        </is>
      </c>
      <c r="P445" t="inlineStr">
        <is>
          <t>USNFK</t>
        </is>
      </c>
      <c r="U445" t="inlineStr">
        <is>
          <t>RULED</t>
        </is>
      </c>
      <c r="V445" t="inlineStr">
        <is>
          <t>RULED</t>
        </is>
      </c>
      <c r="W445" t="inlineStr">
        <is>
          <t>CANADA</t>
        </is>
      </c>
      <c r="X445" t="inlineStr">
        <is>
          <t>PERSIAN GULF</t>
        </is>
      </c>
      <c r="Y445" t="inlineStr">
        <is>
          <t>RUSSIA</t>
        </is>
      </c>
      <c r="Z445" t="inlineStr">
        <is>
          <t>External Review</t>
        </is>
      </c>
      <c r="AA445" t="inlineStr">
        <is>
          <t>HUB SHIPPING LLC-LED</t>
        </is>
      </c>
      <c r="AB445" t="inlineStr">
        <is>
          <t>Prepaid</t>
        </is>
      </c>
      <c r="AC445" t="inlineStr">
        <is>
          <t>TIGER PLATA/971N</t>
        </is>
      </c>
      <c r="AE445" t="inlineStr">
        <is>
          <t>LADEN BOOKING</t>
        </is>
      </c>
      <c r="AF445" t="inlineStr">
        <is>
          <t>AR_MARTIMA</t>
        </is>
      </c>
      <c r="AG445" t="inlineStr">
        <is>
          <t>RH40</t>
        </is>
      </c>
      <c r="AH445" t="inlineStr">
        <is>
          <t>NO</t>
        </is>
      </c>
      <c r="AI445" t="n">
        <v>40</v>
      </c>
      <c r="AJ445" t="n">
        <v>0</v>
      </c>
      <c r="AK445" t="n">
        <v>1</v>
      </c>
      <c r="AL445" t="inlineStr">
        <is>
          <t>ANON0000000</t>
        </is>
      </c>
      <c r="AM445" t="n">
        <v>-18</v>
      </c>
      <c r="AP445" t="inlineStr">
        <is>
          <t>Non Haz</t>
        </is>
      </c>
      <c r="AQ445" t="inlineStr">
        <is>
          <t>CY/CY</t>
        </is>
      </c>
      <c r="AT445" t="inlineStr">
        <is>
          <t>REF000000</t>
        </is>
      </c>
      <c r="AU445" t="n">
        <v>29000</v>
      </c>
      <c r="AV445" t="inlineStr">
        <is>
          <t>FROZEN MEAT</t>
        </is>
      </c>
      <c r="AW445" t="inlineStr">
        <is>
          <t>NCM 020629</t>
        </is>
      </c>
      <c r="AX445" t="inlineStr">
        <is>
          <t>RSAMI122500031</t>
        </is>
      </c>
      <c r="AZ445" t="n">
        <v>0</v>
      </c>
      <c r="BA445" t="n">
        <v>10</v>
      </c>
      <c r="BB445" t="n">
        <v>10</v>
      </c>
      <c r="BC445" t="n">
        <v>6800</v>
      </c>
      <c r="BD445" t="inlineStr">
        <is>
          <t>No</t>
        </is>
      </c>
      <c r="BF445" t="inlineStr">
        <is>
          <t>Bengal Tiger Line -BTL</t>
        </is>
      </c>
      <c r="BG445" t="inlineStr">
        <is>
          <t>USSEA</t>
        </is>
      </c>
      <c r="BH445" t="n">
        <v>0</v>
      </c>
      <c r="BI445" t="n">
        <v>1</v>
      </c>
      <c r="BJ445" t="n">
        <v>6800</v>
      </c>
      <c r="BK445" t="inlineStr">
        <is>
          <t>LINE</t>
        </is>
      </c>
      <c r="BL445" t="inlineStr">
        <is>
          <t>ORCA REEFER</t>
        </is>
      </c>
      <c r="BM445" t="inlineStr">
        <is>
          <t>ORCA REEFER</t>
        </is>
      </c>
    </row>
    <row r="446">
      <c r="A446" t="n">
        <v>445</v>
      </c>
      <c r="B446" t="inlineStr">
        <is>
          <t>WHALE REEFER</t>
        </is>
      </c>
      <c r="C446" t="inlineStr">
        <is>
          <t>REF000000</t>
        </is>
      </c>
      <c r="D446" t="inlineStr">
        <is>
          <t>REF000000</t>
        </is>
      </c>
      <c r="E446" t="inlineStr">
        <is>
          <t>24-FEB-2026</t>
        </is>
      </c>
      <c r="F446" t="inlineStr">
        <is>
          <t>WHALE REEFER</t>
        </is>
      </c>
      <c r="G446" t="inlineStr">
        <is>
          <t>ENTERED THROUGH SPLIT BOOKING FROM THE BOOKING ID REF000000, BY AR_MARTIMA, ON 2/24/2026 6:04:04 PM</t>
        </is>
      </c>
      <c r="H446" t="inlineStr">
        <is>
          <t>AR_MARTIMA</t>
        </is>
      </c>
      <c r="J446" t="n">
        <v>46089</v>
      </c>
      <c r="K446" t="n">
        <v>46088</v>
      </c>
      <c r="L446" t="n">
        <v>46090</v>
      </c>
      <c r="M446" t="inlineStr">
        <is>
          <t>REF000000</t>
        </is>
      </c>
      <c r="N446" t="inlineStr">
        <is>
          <t>USSEA</t>
        </is>
      </c>
      <c r="O446" t="inlineStr">
        <is>
          <t>USSEA</t>
        </is>
      </c>
      <c r="P446" t="inlineStr">
        <is>
          <t>USNFK</t>
        </is>
      </c>
      <c r="U446" t="inlineStr">
        <is>
          <t>RULED</t>
        </is>
      </c>
      <c r="V446" t="inlineStr">
        <is>
          <t>RULED</t>
        </is>
      </c>
      <c r="W446" t="inlineStr">
        <is>
          <t>CANADA</t>
        </is>
      </c>
      <c r="X446" t="inlineStr">
        <is>
          <t>PERSIAN GULF</t>
        </is>
      </c>
      <c r="Y446" t="inlineStr">
        <is>
          <t>RUSSIA</t>
        </is>
      </c>
      <c r="Z446" t="inlineStr">
        <is>
          <t>External Review</t>
        </is>
      </c>
      <c r="AA446" t="inlineStr">
        <is>
          <t>HUB SHIPPING LLC-LED</t>
        </is>
      </c>
      <c r="AB446" t="inlineStr">
        <is>
          <t>Prepaid</t>
        </is>
      </c>
      <c r="AC446" t="inlineStr">
        <is>
          <t>TIGER PLATA/971N</t>
        </is>
      </c>
      <c r="AE446" t="inlineStr">
        <is>
          <t>LADEN BOOKING</t>
        </is>
      </c>
      <c r="AF446" t="inlineStr">
        <is>
          <t>AR_MARTIMA</t>
        </is>
      </c>
      <c r="AG446" t="inlineStr">
        <is>
          <t>RH40</t>
        </is>
      </c>
      <c r="AH446" t="inlineStr">
        <is>
          <t>NO</t>
        </is>
      </c>
      <c r="AI446" t="n">
        <v>40</v>
      </c>
      <c r="AJ446" t="n">
        <v>0</v>
      </c>
      <c r="AK446" t="n">
        <v>1</v>
      </c>
      <c r="AL446" t="inlineStr">
        <is>
          <t>ANON0000000</t>
        </is>
      </c>
      <c r="AM446" t="n">
        <v>-18</v>
      </c>
      <c r="AP446" t="inlineStr">
        <is>
          <t>Non Haz</t>
        </is>
      </c>
      <c r="AQ446" t="inlineStr">
        <is>
          <t>CY/CY</t>
        </is>
      </c>
      <c r="AT446" t="inlineStr">
        <is>
          <t>REF000000</t>
        </is>
      </c>
      <c r="AU446" t="n">
        <v>29000</v>
      </c>
      <c r="AV446" t="inlineStr">
        <is>
          <t>FROZEN MEAT</t>
        </is>
      </c>
      <c r="AW446" t="inlineStr">
        <is>
          <t>NCM 020622</t>
        </is>
      </c>
      <c r="AX446" t="inlineStr">
        <is>
          <t>RSAMI122500031</t>
        </is>
      </c>
      <c r="AZ446" t="n">
        <v>0</v>
      </c>
      <c r="BA446" t="n">
        <v>10</v>
      </c>
      <c r="BB446" t="n">
        <v>10</v>
      </c>
      <c r="BC446" t="n">
        <v>6800</v>
      </c>
      <c r="BD446" t="inlineStr">
        <is>
          <t>No</t>
        </is>
      </c>
      <c r="BF446" t="inlineStr">
        <is>
          <t>Bengal Tiger Line -BTL</t>
        </is>
      </c>
      <c r="BG446" t="inlineStr">
        <is>
          <t>USSEA</t>
        </is>
      </c>
      <c r="BH446" t="n">
        <v>0</v>
      </c>
      <c r="BI446" t="n">
        <v>1</v>
      </c>
      <c r="BJ446" t="n">
        <v>6800</v>
      </c>
      <c r="BK446" t="inlineStr">
        <is>
          <t>LINE</t>
        </is>
      </c>
      <c r="BL446" t="inlineStr">
        <is>
          <t>WHALE REEFER</t>
        </is>
      </c>
      <c r="BM446" t="inlineStr">
        <is>
          <t>WHALE REEFER</t>
        </is>
      </c>
    </row>
    <row r="447">
      <c r="A447" t="n">
        <v>446</v>
      </c>
      <c r="B447" t="inlineStr">
        <is>
          <t>DEER DRY</t>
        </is>
      </c>
      <c r="C447" t="inlineStr">
        <is>
          <t>REF000000</t>
        </is>
      </c>
      <c r="D447" t="inlineStr">
        <is>
          <t>REF000000</t>
        </is>
      </c>
      <c r="E447" t="inlineStr">
        <is>
          <t>24-FEB-2026</t>
        </is>
      </c>
      <c r="F447" t="inlineStr">
        <is>
          <t>DEER DRY</t>
        </is>
      </c>
      <c r="G447" t="inlineStr">
        <is>
          <t>1X20DC</t>
        </is>
      </c>
      <c r="H447" t="inlineStr">
        <is>
          <t>AR_MARTIMA</t>
        </is>
      </c>
      <c r="J447" t="n">
        <v>46082</v>
      </c>
      <c r="K447" t="inlineStr">
        <is>
          <t>28-FEB-2026</t>
        </is>
      </c>
      <c r="L447" t="n">
        <v>46082</v>
      </c>
      <c r="M447" t="inlineStr">
        <is>
          <t>REF000000</t>
        </is>
      </c>
      <c r="N447" t="inlineStr">
        <is>
          <t>USSEA</t>
        </is>
      </c>
      <c r="O447" t="inlineStr">
        <is>
          <t>USSEA</t>
        </is>
      </c>
      <c r="P447" t="inlineStr">
        <is>
          <t>USNFK</t>
        </is>
      </c>
      <c r="U447" t="inlineStr">
        <is>
          <t>RULED</t>
        </is>
      </c>
      <c r="V447" t="inlineStr">
        <is>
          <t>RULED</t>
        </is>
      </c>
      <c r="W447" t="inlineStr">
        <is>
          <t>CANADA</t>
        </is>
      </c>
      <c r="X447" t="inlineStr">
        <is>
          <t>PERSIAN GULF</t>
        </is>
      </c>
      <c r="Y447" t="inlineStr">
        <is>
          <t>RUSSIA</t>
        </is>
      </c>
      <c r="Z447" t="inlineStr">
        <is>
          <t>External Review</t>
        </is>
      </c>
      <c r="AA447" t="inlineStr">
        <is>
          <t>HUB SHIPPING LLC-LED</t>
        </is>
      </c>
      <c r="AB447" t="inlineStr">
        <is>
          <t>Prepaid</t>
        </is>
      </c>
      <c r="AC447" t="inlineStr">
        <is>
          <t>TIGER PLATA/970N</t>
        </is>
      </c>
      <c r="AE447" t="inlineStr">
        <is>
          <t>LADEN BOOKING</t>
        </is>
      </c>
      <c r="AF447" t="inlineStr">
        <is>
          <t>AR_MARTIMA</t>
        </is>
      </c>
      <c r="AG447" t="inlineStr">
        <is>
          <t>DC20</t>
        </is>
      </c>
      <c r="AH447" t="inlineStr">
        <is>
          <t>NO</t>
        </is>
      </c>
      <c r="AI447" t="n">
        <v>20</v>
      </c>
      <c r="AJ447" t="n">
        <v>1</v>
      </c>
      <c r="AK447" t="n">
        <v>0</v>
      </c>
      <c r="AL447" t="inlineStr">
        <is>
          <t>ANON0000000</t>
        </is>
      </c>
      <c r="AP447" t="inlineStr">
        <is>
          <t>Non Haz</t>
        </is>
      </c>
      <c r="AQ447" t="inlineStr">
        <is>
          <t>CY/CY</t>
        </is>
      </c>
      <c r="AT447" t="inlineStr">
        <is>
          <t>REF000000</t>
        </is>
      </c>
      <c r="AU447" t="n">
        <v>29000</v>
      </c>
      <c r="AV447" t="inlineStr">
        <is>
          <t>GENERAL COMMODITY</t>
        </is>
      </c>
      <c r="AW447" t="inlineStr">
        <is>
          <t>"NCM: 843290.00.900W,8481.30.00.900W, 7318.16.00.129R, 7318.16.00.123D, 7318.15.00.399N, 8412.29.00.900N, 8482.10.90.190K, 7318.212.00.900N 8487.90.00.100Y"</t>
        </is>
      </c>
      <c r="AX447" t="inlineStr">
        <is>
          <t>MRG395749</t>
        </is>
      </c>
      <c r="AY447" t="inlineStr">
        <is>
          <t>LINE</t>
        </is>
      </c>
      <c r="AZ447" t="n">
        <v>0</v>
      </c>
      <c r="BA447" t="n">
        <v>14</v>
      </c>
      <c r="BB447" t="n">
        <v>14</v>
      </c>
      <c r="BC447" t="n">
        <v>4000</v>
      </c>
      <c r="BD447" t="inlineStr">
        <is>
          <t>No</t>
        </is>
      </c>
      <c r="BF447" t="inlineStr">
        <is>
          <t>Bengal Tiger Line -BTL</t>
        </is>
      </c>
      <c r="BG447" t="inlineStr">
        <is>
          <t>USSEA</t>
        </is>
      </c>
      <c r="BH447" t="n">
        <v>1</v>
      </c>
      <c r="BI447" t="n">
        <v>0</v>
      </c>
      <c r="BJ447" t="n">
        <v>4000</v>
      </c>
      <c r="BK447" t="inlineStr">
        <is>
          <t>LINE</t>
        </is>
      </c>
      <c r="BL447" t="inlineStr">
        <is>
          <t>DEER DRY</t>
        </is>
      </c>
      <c r="BM447" t="inlineStr">
        <is>
          <t>DEER DRY</t>
        </is>
      </c>
    </row>
    <row r="448">
      <c r="A448" t="n">
        <v>447</v>
      </c>
      <c r="B448" t="inlineStr">
        <is>
          <t>FOX DRY</t>
        </is>
      </c>
      <c r="C448" t="inlineStr">
        <is>
          <t>REF000000</t>
        </is>
      </c>
      <c r="D448" t="inlineStr">
        <is>
          <t>REF000000</t>
        </is>
      </c>
      <c r="E448" t="inlineStr">
        <is>
          <t>26-FEB-2026</t>
        </is>
      </c>
      <c r="F448" t="inlineStr">
        <is>
          <t>FOX DRY</t>
        </is>
      </c>
      <c r="G448" t="inlineStr">
        <is>
          <t>2X40HQ CARGA GENERAL EN BUEN ESTADO</t>
        </is>
      </c>
      <c r="H448" t="inlineStr">
        <is>
          <t>AR_MARTIMA</t>
        </is>
      </c>
      <c r="J448" t="n">
        <v>46089</v>
      </c>
      <c r="K448" t="n">
        <v>46088</v>
      </c>
      <c r="L448" t="n">
        <v>46090</v>
      </c>
      <c r="M448" t="inlineStr">
        <is>
          <t>REF000000</t>
        </is>
      </c>
      <c r="N448" t="inlineStr">
        <is>
          <t>USSEA</t>
        </is>
      </c>
      <c r="O448" t="inlineStr">
        <is>
          <t>USSEA</t>
        </is>
      </c>
      <c r="P448" t="inlineStr">
        <is>
          <t>USNFK</t>
        </is>
      </c>
      <c r="U448" t="inlineStr">
        <is>
          <t>RULED</t>
        </is>
      </c>
      <c r="V448" t="inlineStr">
        <is>
          <t>RULED</t>
        </is>
      </c>
      <c r="W448" t="inlineStr">
        <is>
          <t>CANADA</t>
        </is>
      </c>
      <c r="X448" t="inlineStr">
        <is>
          <t>PERSIAN GULF</t>
        </is>
      </c>
      <c r="Y448" t="inlineStr">
        <is>
          <t>RUSSIA</t>
        </is>
      </c>
      <c r="Z448" t="inlineStr">
        <is>
          <t>External Review</t>
        </is>
      </c>
      <c r="AA448" t="inlineStr">
        <is>
          <t>HUB SHIPPING LLC-LED</t>
        </is>
      </c>
      <c r="AB448" t="inlineStr">
        <is>
          <t>Prepaid</t>
        </is>
      </c>
      <c r="AC448" t="inlineStr">
        <is>
          <t>TIGER PLATA/971N</t>
        </is>
      </c>
      <c r="AE448" t="inlineStr">
        <is>
          <t>LADEN BOOKING</t>
        </is>
      </c>
      <c r="AF448" t="inlineStr">
        <is>
          <t>AR_MARTIMA</t>
        </is>
      </c>
      <c r="AG448" t="inlineStr">
        <is>
          <t>HC40</t>
        </is>
      </c>
      <c r="AH448" t="inlineStr">
        <is>
          <t>NO</t>
        </is>
      </c>
      <c r="AI448" t="n">
        <v>40</v>
      </c>
      <c r="AJ448" t="n">
        <v>0</v>
      </c>
      <c r="AK448" t="n">
        <v>2</v>
      </c>
      <c r="AL448" t="inlineStr">
        <is>
          <t>ANON0000000,
ANON0000000</t>
        </is>
      </c>
      <c r="AP448" t="inlineStr">
        <is>
          <t>Non Haz</t>
        </is>
      </c>
      <c r="AQ448" t="inlineStr">
        <is>
          <t>CY/CY</t>
        </is>
      </c>
      <c r="AT448" t="inlineStr">
        <is>
          <t>REF000000</t>
        </is>
      </c>
      <c r="AU448" t="n">
        <v>28000</v>
      </c>
      <c r="AV448" t="inlineStr">
        <is>
          <t>FOODSTUFF</t>
        </is>
      </c>
      <c r="AW448" t="inlineStr">
        <is>
          <t>HS CODE: 1202.42.00</t>
        </is>
      </c>
      <c r="AX448" t="inlineStr">
        <is>
          <t>MRG395757</t>
        </is>
      </c>
      <c r="AY448" t="inlineStr">
        <is>
          <t>LINE</t>
        </is>
      </c>
      <c r="AZ448" t="n">
        <v>0</v>
      </c>
      <c r="BA448" t="n">
        <v>14</v>
      </c>
      <c r="BB448" t="n">
        <v>14</v>
      </c>
      <c r="BC448" t="n">
        <v>5200</v>
      </c>
      <c r="BD448" t="inlineStr">
        <is>
          <t>No</t>
        </is>
      </c>
      <c r="BF448" t="inlineStr">
        <is>
          <t>Bengal Tiger Line -BTL</t>
        </is>
      </c>
      <c r="BG448" t="inlineStr">
        <is>
          <t>USSEA</t>
        </is>
      </c>
      <c r="BH448" t="n">
        <v>0</v>
      </c>
      <c r="BI448" t="n">
        <v>2</v>
      </c>
      <c r="BJ448" t="n">
        <v>10400</v>
      </c>
      <c r="BK448" t="inlineStr">
        <is>
          <t>LINE</t>
        </is>
      </c>
      <c r="BL448" t="inlineStr">
        <is>
          <t>FOX DRY</t>
        </is>
      </c>
      <c r="BM448" t="inlineStr">
        <is>
          <t>FOX DRY</t>
        </is>
      </c>
    </row>
    <row r="449">
      <c r="A449" t="n">
        <v>448</v>
      </c>
      <c r="B449" t="inlineStr">
        <is>
          <t>BISON DRY</t>
        </is>
      </c>
      <c r="C449" t="inlineStr">
        <is>
          <t>REF000000</t>
        </is>
      </c>
      <c r="D449" t="inlineStr">
        <is>
          <t>REF000000</t>
        </is>
      </c>
      <c r="E449" t="inlineStr">
        <is>
          <t>26-FEB-2026</t>
        </is>
      </c>
      <c r="F449" t="inlineStr">
        <is>
          <t>BISON DRY</t>
        </is>
      </c>
      <c r="H449" t="inlineStr">
        <is>
          <t>AdminAMI</t>
        </is>
      </c>
      <c r="J449" t="n">
        <v>46098</v>
      </c>
      <c r="K449" t="n">
        <v>46097</v>
      </c>
      <c r="L449" t="n">
        <v>46098</v>
      </c>
      <c r="M449" t="inlineStr">
        <is>
          <t>REF000000</t>
        </is>
      </c>
      <c r="N449" t="inlineStr">
        <is>
          <t>USSEA</t>
        </is>
      </c>
      <c r="O449" t="inlineStr">
        <is>
          <t>USSEA</t>
        </is>
      </c>
      <c r="P449" t="inlineStr">
        <is>
          <t>USNFK</t>
        </is>
      </c>
      <c r="U449" t="inlineStr">
        <is>
          <t>RULED</t>
        </is>
      </c>
      <c r="V449" t="inlineStr">
        <is>
          <t>RULED</t>
        </is>
      </c>
      <c r="W449" t="inlineStr">
        <is>
          <t>CANADA</t>
        </is>
      </c>
      <c r="X449" t="inlineStr">
        <is>
          <t>PERSIAN GULF</t>
        </is>
      </c>
      <c r="Y449" t="inlineStr">
        <is>
          <t>RUSSIA</t>
        </is>
      </c>
      <c r="Z449" t="inlineStr">
        <is>
          <t>External Review</t>
        </is>
      </c>
      <c r="AA449" t="inlineStr">
        <is>
          <t>HUB SHIPPING LLC-LED</t>
        </is>
      </c>
      <c r="AB449" t="inlineStr">
        <is>
          <t>Collect</t>
        </is>
      </c>
      <c r="AC449" t="inlineStr">
        <is>
          <t>TIGER PLATA/972N</t>
        </is>
      </c>
      <c r="AE449" t="inlineStr">
        <is>
          <t>LADEN BOOKING</t>
        </is>
      </c>
      <c r="AF449" t="inlineStr">
        <is>
          <t>RenniAMI</t>
        </is>
      </c>
      <c r="AG449" t="inlineStr">
        <is>
          <t>DC20</t>
        </is>
      </c>
      <c r="AH449" t="inlineStr">
        <is>
          <t>NO</t>
        </is>
      </c>
      <c r="AI449" t="n">
        <v>20</v>
      </c>
      <c r="AJ449" t="n">
        <v>2</v>
      </c>
      <c r="AK449" t="n">
        <v>0</v>
      </c>
      <c r="AL449" t="inlineStr">
        <is>
          <t>ANON0000000,
ANON0000000</t>
        </is>
      </c>
      <c r="AP449" t="inlineStr">
        <is>
          <t>Non Haz</t>
        </is>
      </c>
      <c r="AQ449" t="inlineStr">
        <is>
          <t>CY/CY</t>
        </is>
      </c>
      <c r="AT449" t="inlineStr">
        <is>
          <t>REF000000</t>
        </is>
      </c>
      <c r="AU449" t="n">
        <v>23000</v>
      </c>
      <c r="AV449" t="inlineStr">
        <is>
          <t>GENERAL COMMODITY</t>
        </is>
      </c>
      <c r="AW449" t="inlineStr">
        <is>
          <t>N.C.M.: 3812.20</t>
        </is>
      </c>
      <c r="AX449" t="inlineStr">
        <is>
          <t>RSAMI122500035</t>
        </is>
      </c>
      <c r="AZ449" t="n">
        <v>0</v>
      </c>
      <c r="BA449" t="n">
        <v>10</v>
      </c>
      <c r="BB449" t="n">
        <v>14</v>
      </c>
      <c r="BC449" t="n">
        <v>3250</v>
      </c>
      <c r="BD449" t="inlineStr">
        <is>
          <t>Yes</t>
        </is>
      </c>
      <c r="BF449" t="inlineStr">
        <is>
          <t>Bengal Tiger Line -BTL</t>
        </is>
      </c>
      <c r="BG449" t="inlineStr">
        <is>
          <t>RULED</t>
        </is>
      </c>
      <c r="BH449" t="n">
        <v>2</v>
      </c>
      <c r="BI449" t="n">
        <v>0</v>
      </c>
      <c r="BJ449" t="n">
        <v>6500</v>
      </c>
      <c r="BK449" t="inlineStr">
        <is>
          <t>LINE</t>
        </is>
      </c>
      <c r="BL449" t="inlineStr">
        <is>
          <t>BISON DRY</t>
        </is>
      </c>
      <c r="BM449" t="inlineStr">
        <is>
          <t>BISON DRY</t>
        </is>
      </c>
    </row>
    <row r="450">
      <c r="A450" t="n">
        <v>449</v>
      </c>
      <c r="B450" t="inlineStr">
        <is>
          <t>MARLIN REEFER</t>
        </is>
      </c>
      <c r="C450" t="inlineStr">
        <is>
          <t>REF000000</t>
        </is>
      </c>
      <c r="D450" t="inlineStr">
        <is>
          <t>REF000000</t>
        </is>
      </c>
      <c r="E450" t="inlineStr">
        <is>
          <t>27-FEB-2026</t>
        </is>
      </c>
      <c r="F450" t="inlineStr">
        <is>
          <t>MARLIN REEFER</t>
        </is>
      </c>
      <c r="G450" t="inlineStr">
        <is>
          <t>1X40RH TEMP -18</t>
        </is>
      </c>
      <c r="H450" t="inlineStr">
        <is>
          <t>AR_MARTIMA</t>
        </is>
      </c>
      <c r="J450" t="n">
        <v>46089</v>
      </c>
      <c r="K450" t="n">
        <v>46088</v>
      </c>
      <c r="L450" t="n">
        <v>46090</v>
      </c>
      <c r="M450" t="inlineStr">
        <is>
          <t>REF000000</t>
        </is>
      </c>
      <c r="N450" t="inlineStr">
        <is>
          <t>USSEA</t>
        </is>
      </c>
      <c r="O450" t="inlineStr">
        <is>
          <t>USSEA</t>
        </is>
      </c>
      <c r="P450" t="inlineStr">
        <is>
          <t>USNFK</t>
        </is>
      </c>
      <c r="U450" t="inlineStr">
        <is>
          <t>RULED</t>
        </is>
      </c>
      <c r="V450" t="inlineStr">
        <is>
          <t>RULED</t>
        </is>
      </c>
      <c r="W450" t="inlineStr">
        <is>
          <t>CANADA</t>
        </is>
      </c>
      <c r="X450" t="inlineStr">
        <is>
          <t>PERSIAN GULF</t>
        </is>
      </c>
      <c r="Y450" t="inlineStr">
        <is>
          <t>RUSSIA</t>
        </is>
      </c>
      <c r="Z450" t="inlineStr">
        <is>
          <t>External Review</t>
        </is>
      </c>
      <c r="AA450" t="inlineStr">
        <is>
          <t>HUB SHIPPING LLC-LED</t>
        </is>
      </c>
      <c r="AB450" t="inlineStr">
        <is>
          <t>Prepaid</t>
        </is>
      </c>
      <c r="AC450" t="inlineStr">
        <is>
          <t>TIGER PLATA/971N</t>
        </is>
      </c>
      <c r="AE450" t="inlineStr">
        <is>
          <t>LADEN BOOKING</t>
        </is>
      </c>
      <c r="AF450" t="inlineStr">
        <is>
          <t>AR_MARTIMA</t>
        </is>
      </c>
      <c r="AG450" t="inlineStr">
        <is>
          <t>RH40</t>
        </is>
      </c>
      <c r="AH450" t="inlineStr">
        <is>
          <t>NO</t>
        </is>
      </c>
      <c r="AI450" t="n">
        <v>40</v>
      </c>
      <c r="AJ450" t="n">
        <v>0</v>
      </c>
      <c r="AK450" t="n">
        <v>1</v>
      </c>
      <c r="AL450" t="inlineStr">
        <is>
          <t>ANON0000000</t>
        </is>
      </c>
      <c r="AM450" t="n">
        <v>-18</v>
      </c>
      <c r="AP450" t="inlineStr">
        <is>
          <t>Non Haz</t>
        </is>
      </c>
      <c r="AQ450" t="inlineStr">
        <is>
          <t>CY/CY</t>
        </is>
      </c>
      <c r="AT450" t="inlineStr">
        <is>
          <t>REF000000</t>
        </is>
      </c>
      <c r="AU450" t="n">
        <v>29000</v>
      </c>
      <c r="AV450" t="inlineStr">
        <is>
          <t>FROZEN BONELESS BUFFALO MEAT</t>
        </is>
      </c>
      <c r="AW450" t="inlineStr">
        <is>
          <t>N.C.M.: 0206.21</t>
        </is>
      </c>
      <c r="AX450" t="inlineStr">
        <is>
          <t>RSAMI122500027</t>
        </is>
      </c>
      <c r="AZ450" t="n">
        <v>0</v>
      </c>
      <c r="BA450" t="n">
        <v>10</v>
      </c>
      <c r="BB450" t="n">
        <v>10</v>
      </c>
      <c r="BC450" t="n">
        <v>7300</v>
      </c>
      <c r="BD450" t="inlineStr">
        <is>
          <t>No</t>
        </is>
      </c>
      <c r="BF450" t="inlineStr">
        <is>
          <t>Bengal Tiger Line -BTL</t>
        </is>
      </c>
      <c r="BG450" t="inlineStr">
        <is>
          <t>USSEA</t>
        </is>
      </c>
      <c r="BH450" t="n">
        <v>0</v>
      </c>
      <c r="BI450" t="n">
        <v>1</v>
      </c>
      <c r="BJ450" t="n">
        <v>7300</v>
      </c>
      <c r="BK450" t="inlineStr">
        <is>
          <t>LINE</t>
        </is>
      </c>
      <c r="BL450" t="inlineStr">
        <is>
          <t>MARLIN REEFER</t>
        </is>
      </c>
      <c r="BM450" t="inlineStr">
        <is>
          <t>MARLIN REEFER</t>
        </is>
      </c>
    </row>
    <row r="451">
      <c r="A451" t="n">
        <v>450</v>
      </c>
      <c r="B451" t="inlineStr">
        <is>
          <t>TURTLE REEFER</t>
        </is>
      </c>
      <c r="C451" t="inlineStr">
        <is>
          <t>REF000000</t>
        </is>
      </c>
      <c r="D451" t="inlineStr">
        <is>
          <t>REF000000</t>
        </is>
      </c>
      <c r="E451" t="inlineStr">
        <is>
          <t>27-FEB-2026</t>
        </is>
      </c>
      <c r="F451" t="inlineStr">
        <is>
          <t>TURTLE REEFER</t>
        </is>
      </c>
      <c r="G451" t="inlineStr">
        <is>
          <t>ENTERED THROUGH SPLIT BOOKING FROM THE BOOKING ID REF000000, BY AR_MARTIMA, ON 2/27/2026 8:58:38 PM</t>
        </is>
      </c>
      <c r="H451" t="inlineStr">
        <is>
          <t>AR_MARTIMA</t>
        </is>
      </c>
      <c r="J451" t="n">
        <v>46089</v>
      </c>
      <c r="K451" t="n">
        <v>46088</v>
      </c>
      <c r="L451" t="n">
        <v>46090</v>
      </c>
      <c r="M451" t="inlineStr">
        <is>
          <t>REF000000</t>
        </is>
      </c>
      <c r="N451" t="inlineStr">
        <is>
          <t>USSEA</t>
        </is>
      </c>
      <c r="O451" t="inlineStr">
        <is>
          <t>USSEA</t>
        </is>
      </c>
      <c r="P451" t="inlineStr">
        <is>
          <t>USNFK</t>
        </is>
      </c>
      <c r="U451" t="inlineStr">
        <is>
          <t>RULED</t>
        </is>
      </c>
      <c r="V451" t="inlineStr">
        <is>
          <t>RULED</t>
        </is>
      </c>
      <c r="W451" t="inlineStr">
        <is>
          <t>CANADA</t>
        </is>
      </c>
      <c r="X451" t="inlineStr">
        <is>
          <t>PERSIAN GULF</t>
        </is>
      </c>
      <c r="Y451" t="inlineStr">
        <is>
          <t>RUSSIA</t>
        </is>
      </c>
      <c r="Z451" t="inlineStr">
        <is>
          <t>External Review</t>
        </is>
      </c>
      <c r="AA451" t="inlineStr">
        <is>
          <t>HUB SHIPPING LLC-LED</t>
        </is>
      </c>
      <c r="AB451" t="inlineStr">
        <is>
          <t>Prepaid</t>
        </is>
      </c>
      <c r="AC451" t="inlineStr">
        <is>
          <t>TIGER PLATA/971N</t>
        </is>
      </c>
      <c r="AE451" t="inlineStr">
        <is>
          <t>LADEN BOOKING</t>
        </is>
      </c>
      <c r="AF451" t="inlineStr">
        <is>
          <t>AR_MARTIMA</t>
        </is>
      </c>
      <c r="AG451" t="inlineStr">
        <is>
          <t>RH40</t>
        </is>
      </c>
      <c r="AI451" t="n">
        <v>40</v>
      </c>
      <c r="AJ451" t="n">
        <v>0</v>
      </c>
      <c r="AK451" t="n">
        <v>1</v>
      </c>
      <c r="AL451" t="inlineStr">
        <is>
          <t>ANON0000000</t>
        </is>
      </c>
      <c r="AM451" t="n">
        <v>-18</v>
      </c>
      <c r="AP451" t="inlineStr">
        <is>
          <t>Non Haz</t>
        </is>
      </c>
      <c r="AQ451" t="inlineStr">
        <is>
          <t>CY/CY</t>
        </is>
      </c>
      <c r="AT451" t="inlineStr">
        <is>
          <t>REF000000</t>
        </is>
      </c>
      <c r="AU451" t="n">
        <v>29000</v>
      </c>
      <c r="AV451" t="inlineStr">
        <is>
          <t>FROZEN BONELESS BUFFALO MEAT</t>
        </is>
      </c>
      <c r="AW451" t="inlineStr">
        <is>
          <t>N.C.M.: 0206.22</t>
        </is>
      </c>
      <c r="AX451" t="inlineStr">
        <is>
          <t>RSAMI122500027</t>
        </is>
      </c>
      <c r="AZ451" t="n">
        <v>0</v>
      </c>
      <c r="BA451" t="n">
        <v>10</v>
      </c>
      <c r="BB451" t="n">
        <v>10</v>
      </c>
      <c r="BC451" t="n">
        <v>7300</v>
      </c>
      <c r="BD451" t="inlineStr">
        <is>
          <t>No</t>
        </is>
      </c>
      <c r="BF451" t="inlineStr">
        <is>
          <t>Bengal Tiger Line -BTL</t>
        </is>
      </c>
      <c r="BG451" t="inlineStr">
        <is>
          <t>USSEA</t>
        </is>
      </c>
      <c r="BH451" t="n">
        <v>0</v>
      </c>
      <c r="BI451" t="n">
        <v>1</v>
      </c>
      <c r="BJ451" t="n">
        <v>7300</v>
      </c>
      <c r="BK451" t="inlineStr">
        <is>
          <t>LINE</t>
        </is>
      </c>
      <c r="BL451" t="inlineStr">
        <is>
          <t>TURTLE REEFER</t>
        </is>
      </c>
      <c r="BM451" t="inlineStr">
        <is>
          <t>TURTLE REEFER</t>
        </is>
      </c>
    </row>
    <row r="452">
      <c r="A452" t="n">
        <v>451</v>
      </c>
      <c r="B452" t="inlineStr">
        <is>
          <t>ORCA REEFER</t>
        </is>
      </c>
      <c r="C452" t="inlineStr">
        <is>
          <t>REF000000</t>
        </is>
      </c>
      <c r="D452" t="inlineStr">
        <is>
          <t>REF000000</t>
        </is>
      </c>
      <c r="E452" t="inlineStr">
        <is>
          <t>28-FEB-2026</t>
        </is>
      </c>
      <c r="F452" t="inlineStr">
        <is>
          <t>ORCA REEFER</t>
        </is>
      </c>
      <c r="G452" t="inlineStr">
        <is>
          <t>1x40RH TEMP -18</t>
        </is>
      </c>
      <c r="H452" t="inlineStr">
        <is>
          <t>AR_MARTIMA</t>
        </is>
      </c>
      <c r="J452" t="n">
        <v>46089</v>
      </c>
      <c r="K452" t="n">
        <v>46088</v>
      </c>
      <c r="L452" t="n">
        <v>46090</v>
      </c>
      <c r="M452" t="inlineStr">
        <is>
          <t>REF000000</t>
        </is>
      </c>
      <c r="N452" t="inlineStr">
        <is>
          <t>USSEA</t>
        </is>
      </c>
      <c r="O452" t="inlineStr">
        <is>
          <t>USSEA</t>
        </is>
      </c>
      <c r="P452" t="inlineStr">
        <is>
          <t>USNFK</t>
        </is>
      </c>
      <c r="U452" t="inlineStr">
        <is>
          <t>RULED</t>
        </is>
      </c>
      <c r="V452" t="inlineStr">
        <is>
          <t>RULED</t>
        </is>
      </c>
      <c r="W452" t="inlineStr">
        <is>
          <t>CANADA</t>
        </is>
      </c>
      <c r="X452" t="inlineStr">
        <is>
          <t>PERSIAN GULF</t>
        </is>
      </c>
      <c r="Y452" t="inlineStr">
        <is>
          <t>RUSSIA</t>
        </is>
      </c>
      <c r="Z452" t="inlineStr">
        <is>
          <t>External Review</t>
        </is>
      </c>
      <c r="AA452" t="inlineStr">
        <is>
          <t>HUB SHIPPING LLC-LED</t>
        </is>
      </c>
      <c r="AB452" t="inlineStr">
        <is>
          <t>Prepaid</t>
        </is>
      </c>
      <c r="AC452" t="inlineStr">
        <is>
          <t>TIGER PLATA/971N</t>
        </is>
      </c>
      <c r="AE452" t="inlineStr">
        <is>
          <t>LADEN BOOKING</t>
        </is>
      </c>
      <c r="AF452" t="inlineStr">
        <is>
          <t>AR_MARTIMA</t>
        </is>
      </c>
      <c r="AG452" t="inlineStr">
        <is>
          <t>RH40</t>
        </is>
      </c>
      <c r="AH452" t="inlineStr">
        <is>
          <t>NO</t>
        </is>
      </c>
      <c r="AI452" t="n">
        <v>40</v>
      </c>
      <c r="AJ452" t="n">
        <v>0</v>
      </c>
      <c r="AK452" t="n">
        <v>1</v>
      </c>
      <c r="AL452" t="inlineStr">
        <is>
          <t>ANON0000000</t>
        </is>
      </c>
      <c r="AM452" t="n">
        <v>-18</v>
      </c>
      <c r="AP452" t="inlineStr">
        <is>
          <t>Non Haz</t>
        </is>
      </c>
      <c r="AQ452" t="inlineStr">
        <is>
          <t>CY/CY</t>
        </is>
      </c>
      <c r="AT452" t="inlineStr">
        <is>
          <t>REF000000</t>
        </is>
      </c>
      <c r="AU452" t="n">
        <v>29000</v>
      </c>
      <c r="AV452" t="inlineStr">
        <is>
          <t>FROZEN MEAT</t>
        </is>
      </c>
      <c r="AW452" t="inlineStr">
        <is>
          <t>NCM 020622</t>
        </is>
      </c>
      <c r="AX452" t="inlineStr">
        <is>
          <t>RSAMI122500031</t>
        </is>
      </c>
      <c r="AZ452" t="n">
        <v>0</v>
      </c>
      <c r="BA452" t="n">
        <v>10</v>
      </c>
      <c r="BB452" t="n">
        <v>10</v>
      </c>
      <c r="BC452" t="n">
        <v>6800</v>
      </c>
      <c r="BD452" t="inlineStr">
        <is>
          <t>No</t>
        </is>
      </c>
      <c r="BF452" t="inlineStr">
        <is>
          <t>Bengal Tiger Line -BTL</t>
        </is>
      </c>
      <c r="BG452" t="inlineStr">
        <is>
          <t>USSEA</t>
        </is>
      </c>
      <c r="BH452" t="n">
        <v>0</v>
      </c>
      <c r="BI452" t="n">
        <v>1</v>
      </c>
      <c r="BJ452" t="n">
        <v>6800</v>
      </c>
      <c r="BK452" t="inlineStr">
        <is>
          <t>LINE</t>
        </is>
      </c>
      <c r="BL452" t="inlineStr">
        <is>
          <t>ORCA REEFER</t>
        </is>
      </c>
      <c r="BM452" t="inlineStr">
        <is>
          <t>ORCA REEFER</t>
        </is>
      </c>
    </row>
    <row r="453">
      <c r="A453" t="n">
        <v>452</v>
      </c>
      <c r="B453" t="inlineStr">
        <is>
          <t>WHALE REEFER</t>
        </is>
      </c>
      <c r="C453" t="inlineStr">
        <is>
          <t>REF000000</t>
        </is>
      </c>
      <c r="D453" t="inlineStr">
        <is>
          <t>REF000000</t>
        </is>
      </c>
      <c r="E453" t="inlineStr">
        <is>
          <t>28-FEB-2026</t>
        </is>
      </c>
      <c r="F453" t="inlineStr">
        <is>
          <t>WHALE REEFER</t>
        </is>
      </c>
      <c r="G453" t="inlineStr">
        <is>
          <t>ENTERED THROUGH SPLIT BOOKING FROM THE BOOKING ID REF000000, BY AR_MARTIMA, ON 2/28/2026 12:21:39 AM</t>
        </is>
      </c>
      <c r="H453" t="inlineStr">
        <is>
          <t>AR_MARTIMA</t>
        </is>
      </c>
      <c r="J453" t="n">
        <v>46089</v>
      </c>
      <c r="K453" t="n">
        <v>46088</v>
      </c>
      <c r="L453" t="n">
        <v>46090</v>
      </c>
      <c r="M453" t="inlineStr">
        <is>
          <t>REF000000</t>
        </is>
      </c>
      <c r="N453" t="inlineStr">
        <is>
          <t>USSEA</t>
        </is>
      </c>
      <c r="O453" t="inlineStr">
        <is>
          <t>USSEA</t>
        </is>
      </c>
      <c r="P453" t="inlineStr">
        <is>
          <t>USNFK</t>
        </is>
      </c>
      <c r="U453" t="inlineStr">
        <is>
          <t>RULED</t>
        </is>
      </c>
      <c r="V453" t="inlineStr">
        <is>
          <t>RULED</t>
        </is>
      </c>
      <c r="W453" t="inlineStr">
        <is>
          <t>CANADA</t>
        </is>
      </c>
      <c r="X453" t="inlineStr">
        <is>
          <t>PERSIAN GULF</t>
        </is>
      </c>
      <c r="Y453" t="inlineStr">
        <is>
          <t>RUSSIA</t>
        </is>
      </c>
      <c r="Z453" t="inlineStr">
        <is>
          <t>External Review</t>
        </is>
      </c>
      <c r="AA453" t="inlineStr">
        <is>
          <t>HUB SHIPPING LLC-LED</t>
        </is>
      </c>
      <c r="AB453" t="inlineStr">
        <is>
          <t>Prepaid</t>
        </is>
      </c>
      <c r="AC453" t="inlineStr">
        <is>
          <t>TIGER PLATA/971N</t>
        </is>
      </c>
      <c r="AE453" t="inlineStr">
        <is>
          <t>LADEN BOOKING</t>
        </is>
      </c>
      <c r="AF453" t="inlineStr">
        <is>
          <t>AR_MARTIMA</t>
        </is>
      </c>
      <c r="AG453" t="inlineStr">
        <is>
          <t>RH40</t>
        </is>
      </c>
      <c r="AI453" t="n">
        <v>40</v>
      </c>
      <c r="AJ453" t="n">
        <v>0</v>
      </c>
      <c r="AK453" t="n">
        <v>1</v>
      </c>
      <c r="AL453" t="inlineStr">
        <is>
          <t>ANON0000000</t>
        </is>
      </c>
      <c r="AM453" t="n">
        <v>-18</v>
      </c>
      <c r="AP453" t="inlineStr">
        <is>
          <t>Non Haz</t>
        </is>
      </c>
      <c r="AQ453" t="inlineStr">
        <is>
          <t>CY/CY</t>
        </is>
      </c>
      <c r="AT453" t="inlineStr">
        <is>
          <t>REF000000</t>
        </is>
      </c>
      <c r="AU453" t="n">
        <v>29000</v>
      </c>
      <c r="AV453" t="inlineStr">
        <is>
          <t>FROZEN MEAT</t>
        </is>
      </c>
      <c r="AW453" t="inlineStr">
        <is>
          <t>NCM 020629</t>
        </is>
      </c>
      <c r="AX453" t="inlineStr">
        <is>
          <t>RSAMI122500031</t>
        </is>
      </c>
      <c r="AZ453" t="n">
        <v>0</v>
      </c>
      <c r="BA453" t="n">
        <v>10</v>
      </c>
      <c r="BB453" t="n">
        <v>10</v>
      </c>
      <c r="BC453" t="n">
        <v>6800</v>
      </c>
      <c r="BD453" t="inlineStr">
        <is>
          <t>No</t>
        </is>
      </c>
      <c r="BF453" t="inlineStr">
        <is>
          <t>Bengal Tiger Line -BTL</t>
        </is>
      </c>
      <c r="BG453" t="inlineStr">
        <is>
          <t>USSEA</t>
        </is>
      </c>
      <c r="BH453" t="n">
        <v>0</v>
      </c>
      <c r="BI453" t="n">
        <v>1</v>
      </c>
      <c r="BJ453" t="n">
        <v>6800</v>
      </c>
      <c r="BK453" t="inlineStr">
        <is>
          <t>LINE</t>
        </is>
      </c>
      <c r="BL453" t="inlineStr">
        <is>
          <t>WHALE REEFER</t>
        </is>
      </c>
      <c r="BM453" t="inlineStr">
        <is>
          <t>WHALE REEFER</t>
        </is>
      </c>
    </row>
    <row r="454">
      <c r="A454" t="n">
        <v>453</v>
      </c>
      <c r="B454" t="inlineStr">
        <is>
          <t>SEAL REEFER</t>
        </is>
      </c>
      <c r="C454" t="inlineStr">
        <is>
          <t>REF000000</t>
        </is>
      </c>
      <c r="D454" t="inlineStr">
        <is>
          <t>REF000000</t>
        </is>
      </c>
      <c r="E454" t="inlineStr">
        <is>
          <t>28-FEB-2026</t>
        </is>
      </c>
      <c r="F454" t="inlineStr">
        <is>
          <t>SEAL REEFER</t>
        </is>
      </c>
      <c r="G454" t="inlineStr">
        <is>
          <t>ENTERED THROUGH SPLIT BOOKING FROM THE BOOKING ID REF000000, BY AR_MARTIMA, ON 2/28/2026 12:21:39 AM</t>
        </is>
      </c>
      <c r="H454" t="inlineStr">
        <is>
          <t>AR_MARTIMA</t>
        </is>
      </c>
      <c r="J454" t="n">
        <v>46089</v>
      </c>
      <c r="K454" t="n">
        <v>46088</v>
      </c>
      <c r="L454" t="n">
        <v>46090</v>
      </c>
      <c r="M454" t="inlineStr">
        <is>
          <t>REF000000</t>
        </is>
      </c>
      <c r="N454" t="inlineStr">
        <is>
          <t>USSEA</t>
        </is>
      </c>
      <c r="O454" t="inlineStr">
        <is>
          <t>USSEA</t>
        </is>
      </c>
      <c r="P454" t="inlineStr">
        <is>
          <t>USNFK</t>
        </is>
      </c>
      <c r="U454" t="inlineStr">
        <is>
          <t>RULED</t>
        </is>
      </c>
      <c r="V454" t="inlineStr">
        <is>
          <t>RULED</t>
        </is>
      </c>
      <c r="W454" t="inlineStr">
        <is>
          <t>CANADA</t>
        </is>
      </c>
      <c r="X454" t="inlineStr">
        <is>
          <t>PERSIAN GULF</t>
        </is>
      </c>
      <c r="Y454" t="inlineStr">
        <is>
          <t>RUSSIA</t>
        </is>
      </c>
      <c r="Z454" t="inlineStr">
        <is>
          <t>External Review</t>
        </is>
      </c>
      <c r="AA454" t="inlineStr">
        <is>
          <t>HUB SHIPPING LLC-LED</t>
        </is>
      </c>
      <c r="AB454" t="inlineStr">
        <is>
          <t>Prepaid</t>
        </is>
      </c>
      <c r="AC454" t="inlineStr">
        <is>
          <t>TIGER PLATA/971N</t>
        </is>
      </c>
      <c r="AE454" t="inlineStr">
        <is>
          <t>LADEN BOOKING</t>
        </is>
      </c>
      <c r="AF454" t="inlineStr">
        <is>
          <t>AR_MARTIMA</t>
        </is>
      </c>
      <c r="AG454" t="inlineStr">
        <is>
          <t>RH40</t>
        </is>
      </c>
      <c r="AI454" t="n">
        <v>40</v>
      </c>
      <c r="AJ454" t="n">
        <v>0</v>
      </c>
      <c r="AK454" t="n">
        <v>1</v>
      </c>
      <c r="AL454" t="inlineStr">
        <is>
          <t>ANON0000000</t>
        </is>
      </c>
      <c r="AM454" t="n">
        <v>-18</v>
      </c>
      <c r="AP454" t="inlineStr">
        <is>
          <t>Non Haz</t>
        </is>
      </c>
      <c r="AQ454" t="inlineStr">
        <is>
          <t>CY/CY</t>
        </is>
      </c>
      <c r="AT454" t="inlineStr">
        <is>
          <t>REF000000</t>
        </is>
      </c>
      <c r="AU454" t="n">
        <v>29000</v>
      </c>
      <c r="AV454" t="inlineStr">
        <is>
          <t>FROZEN MEAT</t>
        </is>
      </c>
      <c r="AW454" t="inlineStr">
        <is>
          <t>NCM 020621</t>
        </is>
      </c>
      <c r="AX454" t="inlineStr">
        <is>
          <t>RSAMI122500031</t>
        </is>
      </c>
      <c r="AZ454" t="n">
        <v>0</v>
      </c>
      <c r="BA454" t="n">
        <v>10</v>
      </c>
      <c r="BB454" t="n">
        <v>10</v>
      </c>
      <c r="BC454" t="n">
        <v>6800</v>
      </c>
      <c r="BD454" t="inlineStr">
        <is>
          <t>No</t>
        </is>
      </c>
      <c r="BF454" t="inlineStr">
        <is>
          <t>Bengal Tiger Line -BTL</t>
        </is>
      </c>
      <c r="BG454" t="inlineStr">
        <is>
          <t>USSEA</t>
        </is>
      </c>
      <c r="BH454" t="n">
        <v>0</v>
      </c>
      <c r="BI454" t="n">
        <v>1</v>
      </c>
      <c r="BJ454" t="n">
        <v>6800</v>
      </c>
      <c r="BK454" t="inlineStr">
        <is>
          <t>LINE</t>
        </is>
      </c>
      <c r="BL454" t="inlineStr">
        <is>
          <t>SEAL REEFER</t>
        </is>
      </c>
      <c r="BM454" t="inlineStr">
        <is>
          <t>SEAL REEFER</t>
        </is>
      </c>
    </row>
    <row r="455">
      <c r="A455" t="n">
        <v>454</v>
      </c>
      <c r="B455" t="inlineStr">
        <is>
          <t>SHARK REEFER</t>
        </is>
      </c>
      <c r="C455" t="inlineStr">
        <is>
          <t>REF000000</t>
        </is>
      </c>
      <c r="D455" t="inlineStr">
        <is>
          <t>REF000000</t>
        </is>
      </c>
      <c r="E455" t="inlineStr">
        <is>
          <t>28-FEB-2026</t>
        </is>
      </c>
      <c r="F455" t="inlineStr">
        <is>
          <t>SHARK REEFER</t>
        </is>
      </c>
      <c r="G455" t="inlineStr">
        <is>
          <t>ENTERED THROUGH SPLIT BOOKING FROM THE BOOKING ID REF000000, BY AR_MARTIMA, ON 2/28/2026 12:21:39 AM</t>
        </is>
      </c>
      <c r="H455" t="inlineStr">
        <is>
          <t>AR_MARTIMA</t>
        </is>
      </c>
      <c r="J455" t="n">
        <v>46089</v>
      </c>
      <c r="K455" t="n">
        <v>46088</v>
      </c>
      <c r="L455" t="n">
        <v>46090</v>
      </c>
      <c r="M455" t="inlineStr">
        <is>
          <t>REF000000</t>
        </is>
      </c>
      <c r="N455" t="inlineStr">
        <is>
          <t>USSEA</t>
        </is>
      </c>
      <c r="O455" t="inlineStr">
        <is>
          <t>USSEA</t>
        </is>
      </c>
      <c r="P455" t="inlineStr">
        <is>
          <t>USNFK</t>
        </is>
      </c>
      <c r="U455" t="inlineStr">
        <is>
          <t>RULED</t>
        </is>
      </c>
      <c r="V455" t="inlineStr">
        <is>
          <t>RULED</t>
        </is>
      </c>
      <c r="W455" t="inlineStr">
        <is>
          <t>CANADA</t>
        </is>
      </c>
      <c r="X455" t="inlineStr">
        <is>
          <t>PERSIAN GULF</t>
        </is>
      </c>
      <c r="Y455" t="inlineStr">
        <is>
          <t>RUSSIA</t>
        </is>
      </c>
      <c r="Z455" t="inlineStr">
        <is>
          <t>External Review</t>
        </is>
      </c>
      <c r="AA455" t="inlineStr">
        <is>
          <t>HUB SHIPPING LLC-LED</t>
        </is>
      </c>
      <c r="AB455" t="inlineStr">
        <is>
          <t>Prepaid</t>
        </is>
      </c>
      <c r="AC455" t="inlineStr">
        <is>
          <t>TIGER PLATA/971N</t>
        </is>
      </c>
      <c r="AE455" t="inlineStr">
        <is>
          <t>LADEN BOOKING</t>
        </is>
      </c>
      <c r="AF455" t="inlineStr">
        <is>
          <t>AR_MARTIMA</t>
        </is>
      </c>
      <c r="AG455" t="inlineStr">
        <is>
          <t>RH40</t>
        </is>
      </c>
      <c r="AI455" t="n">
        <v>40</v>
      </c>
      <c r="AJ455" t="n">
        <v>0</v>
      </c>
      <c r="AK455" t="n">
        <v>1</v>
      </c>
      <c r="AL455" t="inlineStr">
        <is>
          <t>ANON0000000</t>
        </is>
      </c>
      <c r="AM455" t="n">
        <v>-18</v>
      </c>
      <c r="AP455" t="inlineStr">
        <is>
          <t>Non Haz</t>
        </is>
      </c>
      <c r="AQ455" t="inlineStr">
        <is>
          <t>CY/CY</t>
        </is>
      </c>
      <c r="AT455" t="inlineStr">
        <is>
          <t>REF000000</t>
        </is>
      </c>
      <c r="AU455" t="n">
        <v>29000</v>
      </c>
      <c r="AV455" t="inlineStr">
        <is>
          <t>FROZEN MEAT</t>
        </is>
      </c>
      <c r="AW455" t="inlineStr">
        <is>
          <t>NCM 020622</t>
        </is>
      </c>
      <c r="AX455" t="inlineStr">
        <is>
          <t>RSAMI122500031</t>
        </is>
      </c>
      <c r="AZ455" t="n">
        <v>0</v>
      </c>
      <c r="BA455" t="n">
        <v>10</v>
      </c>
      <c r="BB455" t="n">
        <v>10</v>
      </c>
      <c r="BC455" t="n">
        <v>6800</v>
      </c>
      <c r="BD455" t="inlineStr">
        <is>
          <t>No</t>
        </is>
      </c>
      <c r="BF455" t="inlineStr">
        <is>
          <t>Bengal Tiger Line -BTL</t>
        </is>
      </c>
      <c r="BG455" t="inlineStr">
        <is>
          <t>USSEA</t>
        </is>
      </c>
      <c r="BH455" t="n">
        <v>0</v>
      </c>
      <c r="BI455" t="n">
        <v>1</v>
      </c>
      <c r="BJ455" t="n">
        <v>6800</v>
      </c>
      <c r="BK455" t="inlineStr">
        <is>
          <t>LINE</t>
        </is>
      </c>
      <c r="BL455" t="inlineStr">
        <is>
          <t>SHARK REEFER</t>
        </is>
      </c>
      <c r="BM455" t="inlineStr">
        <is>
          <t>SHARK REEFER</t>
        </is>
      </c>
    </row>
    <row r="456">
      <c r="A456" t="n">
        <v>455</v>
      </c>
      <c r="B456" t="inlineStr">
        <is>
          <t>DOLPHIN REEFER</t>
        </is>
      </c>
      <c r="C456" t="inlineStr">
        <is>
          <t>REF000000</t>
        </is>
      </c>
      <c r="D456" t="inlineStr">
        <is>
          <t>REF000000</t>
        </is>
      </c>
      <c r="E456" t="inlineStr">
        <is>
          <t>28-FEB-2026</t>
        </is>
      </c>
      <c r="F456" t="inlineStr">
        <is>
          <t>DOLPHIN REEFER</t>
        </is>
      </c>
      <c r="G456" t="inlineStr">
        <is>
          <t>ENTERED THROUGH SPLIT BOOKING FROM THE BOOKING ID REF000000, BY AR_MARTIMA, ON 2/28/2026 12:21:39 AM</t>
        </is>
      </c>
      <c r="H456" t="inlineStr">
        <is>
          <t>AR_MARTIMA</t>
        </is>
      </c>
      <c r="J456" t="n">
        <v>46089</v>
      </c>
      <c r="K456" t="n">
        <v>46088</v>
      </c>
      <c r="L456" t="n">
        <v>46090</v>
      </c>
      <c r="M456" t="inlineStr">
        <is>
          <t>REF000000</t>
        </is>
      </c>
      <c r="N456" t="inlineStr">
        <is>
          <t>USSEA</t>
        </is>
      </c>
      <c r="O456" t="inlineStr">
        <is>
          <t>USSEA</t>
        </is>
      </c>
      <c r="P456" t="inlineStr">
        <is>
          <t>USNFK</t>
        </is>
      </c>
      <c r="U456" t="inlineStr">
        <is>
          <t>RULED</t>
        </is>
      </c>
      <c r="V456" t="inlineStr">
        <is>
          <t>RULED</t>
        </is>
      </c>
      <c r="W456" t="inlineStr">
        <is>
          <t>CANADA</t>
        </is>
      </c>
      <c r="X456" t="inlineStr">
        <is>
          <t>PERSIAN GULF</t>
        </is>
      </c>
      <c r="Y456" t="inlineStr">
        <is>
          <t>RUSSIA</t>
        </is>
      </c>
      <c r="Z456" t="inlineStr">
        <is>
          <t>External Review</t>
        </is>
      </c>
      <c r="AA456" t="inlineStr">
        <is>
          <t>HUB SHIPPING LLC-LED</t>
        </is>
      </c>
      <c r="AB456" t="inlineStr">
        <is>
          <t>Prepaid</t>
        </is>
      </c>
      <c r="AC456" t="inlineStr">
        <is>
          <t>TIGER PLATA/971N</t>
        </is>
      </c>
      <c r="AE456" t="inlineStr">
        <is>
          <t>LADEN BOOKING</t>
        </is>
      </c>
      <c r="AF456" t="inlineStr">
        <is>
          <t>AR_MARTIMA</t>
        </is>
      </c>
      <c r="AG456" t="inlineStr">
        <is>
          <t>RH40</t>
        </is>
      </c>
      <c r="AI456" t="n">
        <v>40</v>
      </c>
      <c r="AJ456" t="n">
        <v>0</v>
      </c>
      <c r="AK456" t="n">
        <v>1</v>
      </c>
      <c r="AL456" t="inlineStr">
        <is>
          <t>ANON0000000</t>
        </is>
      </c>
      <c r="AM456" t="n">
        <v>-18</v>
      </c>
      <c r="AP456" t="inlineStr">
        <is>
          <t>Non Haz</t>
        </is>
      </c>
      <c r="AQ456" t="inlineStr">
        <is>
          <t>CY/CY</t>
        </is>
      </c>
      <c r="AT456" t="inlineStr">
        <is>
          <t>REF000000</t>
        </is>
      </c>
      <c r="AU456" t="n">
        <v>29000</v>
      </c>
      <c r="AV456" t="inlineStr">
        <is>
          <t>FROZEN MEAT</t>
        </is>
      </c>
      <c r="AW456" t="inlineStr">
        <is>
          <t>NCM 020622</t>
        </is>
      </c>
      <c r="AX456" t="inlineStr">
        <is>
          <t>RSAMI122500031</t>
        </is>
      </c>
      <c r="AZ456" t="n">
        <v>0</v>
      </c>
      <c r="BA456" t="n">
        <v>10</v>
      </c>
      <c r="BB456" t="n">
        <v>10</v>
      </c>
      <c r="BC456" t="n">
        <v>6800</v>
      </c>
      <c r="BD456" t="inlineStr">
        <is>
          <t>No</t>
        </is>
      </c>
      <c r="BF456" t="inlineStr">
        <is>
          <t>Bengal Tiger Line -BTL</t>
        </is>
      </c>
      <c r="BG456" t="inlineStr">
        <is>
          <t>USSEA</t>
        </is>
      </c>
      <c r="BH456" t="n">
        <v>0</v>
      </c>
      <c r="BI456" t="n">
        <v>1</v>
      </c>
      <c r="BJ456" t="n">
        <v>6800</v>
      </c>
      <c r="BK456" t="inlineStr">
        <is>
          <t>LINE</t>
        </is>
      </c>
      <c r="BL456" t="inlineStr">
        <is>
          <t>DOLPHIN REEFER</t>
        </is>
      </c>
      <c r="BM456" t="inlineStr">
        <is>
          <t>DOLPHIN REEFER</t>
        </is>
      </c>
    </row>
    <row r="457">
      <c r="A457" t="n">
        <v>456</v>
      </c>
      <c r="B457" t="inlineStr">
        <is>
          <t>MARLIN REEFER</t>
        </is>
      </c>
      <c r="C457" t="inlineStr">
        <is>
          <t>REF000000</t>
        </is>
      </c>
      <c r="D457" t="inlineStr">
        <is>
          <t>REF000000</t>
        </is>
      </c>
      <c r="E457" t="inlineStr">
        <is>
          <t>28-FEB-2026</t>
        </is>
      </c>
      <c r="F457" t="inlineStr">
        <is>
          <t>MARLIN REEFER</t>
        </is>
      </c>
      <c r="G457" t="inlineStr">
        <is>
          <t>ENTERED THROUGH SPLIT BOOKING FROM THE BOOKING ID REF000000, BY AR_MARTIMA, ON 2/28/2026 12:21:39 AM</t>
        </is>
      </c>
      <c r="H457" t="inlineStr">
        <is>
          <t>AR_MARTIMA</t>
        </is>
      </c>
      <c r="J457" t="n">
        <v>46089</v>
      </c>
      <c r="K457" t="n">
        <v>46088</v>
      </c>
      <c r="L457" t="n">
        <v>46090</v>
      </c>
      <c r="M457" t="inlineStr">
        <is>
          <t>REF000000</t>
        </is>
      </c>
      <c r="N457" t="inlineStr">
        <is>
          <t>USSEA</t>
        </is>
      </c>
      <c r="O457" t="inlineStr">
        <is>
          <t>USSEA</t>
        </is>
      </c>
      <c r="P457" t="inlineStr">
        <is>
          <t>USNFK</t>
        </is>
      </c>
      <c r="U457" t="inlineStr">
        <is>
          <t>RULED</t>
        </is>
      </c>
      <c r="V457" t="inlineStr">
        <is>
          <t>RULED</t>
        </is>
      </c>
      <c r="W457" t="inlineStr">
        <is>
          <t>CANADA</t>
        </is>
      </c>
      <c r="X457" t="inlineStr">
        <is>
          <t>PERSIAN GULF</t>
        </is>
      </c>
      <c r="Y457" t="inlineStr">
        <is>
          <t>RUSSIA</t>
        </is>
      </c>
      <c r="Z457" t="inlineStr">
        <is>
          <t>External Review</t>
        </is>
      </c>
      <c r="AA457" t="inlineStr">
        <is>
          <t>HUB SHIPPING LLC-LED</t>
        </is>
      </c>
      <c r="AB457" t="inlineStr">
        <is>
          <t>Prepaid</t>
        </is>
      </c>
      <c r="AC457" t="inlineStr">
        <is>
          <t>TIGER PLATA/971N</t>
        </is>
      </c>
      <c r="AE457" t="inlineStr">
        <is>
          <t>LADEN BOOKING</t>
        </is>
      </c>
      <c r="AF457" t="inlineStr">
        <is>
          <t>AR_MARTIMA</t>
        </is>
      </c>
      <c r="AG457" t="inlineStr">
        <is>
          <t>RH40</t>
        </is>
      </c>
      <c r="AI457" t="n">
        <v>40</v>
      </c>
      <c r="AJ457" t="n">
        <v>0</v>
      </c>
      <c r="AK457" t="n">
        <v>1</v>
      </c>
      <c r="AL457" t="inlineStr">
        <is>
          <t>ANON0000000</t>
        </is>
      </c>
      <c r="AM457" t="n">
        <v>-18</v>
      </c>
      <c r="AP457" t="inlineStr">
        <is>
          <t>Non Haz</t>
        </is>
      </c>
      <c r="AQ457" t="inlineStr">
        <is>
          <t>CY/CY</t>
        </is>
      </c>
      <c r="AT457" t="inlineStr">
        <is>
          <t>REF000000</t>
        </is>
      </c>
      <c r="AU457" t="n">
        <v>29000</v>
      </c>
      <c r="AV457" t="inlineStr">
        <is>
          <t>FROZEN MEAT</t>
        </is>
      </c>
      <c r="AW457" t="inlineStr">
        <is>
          <t>NCM 020622</t>
        </is>
      </c>
      <c r="AX457" t="inlineStr">
        <is>
          <t>RSAMI122500031</t>
        </is>
      </c>
      <c r="AZ457" t="n">
        <v>0</v>
      </c>
      <c r="BA457" t="n">
        <v>10</v>
      </c>
      <c r="BB457" t="n">
        <v>10</v>
      </c>
      <c r="BC457" t="n">
        <v>6800</v>
      </c>
      <c r="BD457" t="inlineStr">
        <is>
          <t>No</t>
        </is>
      </c>
      <c r="BF457" t="inlineStr">
        <is>
          <t>Bengal Tiger Line -BTL</t>
        </is>
      </c>
      <c r="BG457" t="inlineStr">
        <is>
          <t>USSEA</t>
        </is>
      </c>
      <c r="BH457" t="n">
        <v>0</v>
      </c>
      <c r="BI457" t="n">
        <v>1</v>
      </c>
      <c r="BJ457" t="n">
        <v>6800</v>
      </c>
      <c r="BK457" t="inlineStr">
        <is>
          <t>LINE</t>
        </is>
      </c>
      <c r="BL457" t="inlineStr">
        <is>
          <t>MARLIN REEFER</t>
        </is>
      </c>
      <c r="BM457" t="inlineStr">
        <is>
          <t>MARLIN REEFER</t>
        </is>
      </c>
    </row>
    <row r="458">
      <c r="A458" t="n">
        <v>457</v>
      </c>
      <c r="B458" t="inlineStr">
        <is>
          <t>TURTLE REEFER</t>
        </is>
      </c>
      <c r="C458" t="inlineStr">
        <is>
          <t>REF000000</t>
        </is>
      </c>
      <c r="D458" t="inlineStr">
        <is>
          <t>REF000000</t>
        </is>
      </c>
      <c r="E458" t="inlineStr">
        <is>
          <t>28-FEB-2026</t>
        </is>
      </c>
      <c r="F458" t="inlineStr">
        <is>
          <t>TURTLE REEFER</t>
        </is>
      </c>
      <c r="G458" t="inlineStr">
        <is>
          <t>ENTERED THROUGH SPLIT BOOKING FROM THE BOOKING ID REF000000, BY AR_MARTIMA, ON 2/28/2026 12:21:39 AM</t>
        </is>
      </c>
      <c r="H458" t="inlineStr">
        <is>
          <t>AR_MARTIMA</t>
        </is>
      </c>
      <c r="J458" t="n">
        <v>46089</v>
      </c>
      <c r="K458" t="n">
        <v>46088</v>
      </c>
      <c r="L458" t="n">
        <v>46090</v>
      </c>
      <c r="M458" t="inlineStr">
        <is>
          <t>REF000000</t>
        </is>
      </c>
      <c r="N458" t="inlineStr">
        <is>
          <t>USSEA</t>
        </is>
      </c>
      <c r="O458" t="inlineStr">
        <is>
          <t>USSEA</t>
        </is>
      </c>
      <c r="P458" t="inlineStr">
        <is>
          <t>USNFK</t>
        </is>
      </c>
      <c r="U458" t="inlineStr">
        <is>
          <t>RULED</t>
        </is>
      </c>
      <c r="V458" t="inlineStr">
        <is>
          <t>RULED</t>
        </is>
      </c>
      <c r="W458" t="inlineStr">
        <is>
          <t>CANADA</t>
        </is>
      </c>
      <c r="X458" t="inlineStr">
        <is>
          <t>PERSIAN GULF</t>
        </is>
      </c>
      <c r="Y458" t="inlineStr">
        <is>
          <t>RUSSIA</t>
        </is>
      </c>
      <c r="Z458" t="inlineStr">
        <is>
          <t>External Review</t>
        </is>
      </c>
      <c r="AA458" t="inlineStr">
        <is>
          <t>HUB SHIPPING LLC-LED</t>
        </is>
      </c>
      <c r="AB458" t="inlineStr">
        <is>
          <t>Prepaid</t>
        </is>
      </c>
      <c r="AC458" t="inlineStr">
        <is>
          <t>TIGER PLATA/971N</t>
        </is>
      </c>
      <c r="AE458" t="inlineStr">
        <is>
          <t>LADEN BOOKING</t>
        </is>
      </c>
      <c r="AF458" t="inlineStr">
        <is>
          <t>AR_MARTIMA</t>
        </is>
      </c>
      <c r="AG458" t="inlineStr">
        <is>
          <t>RH40</t>
        </is>
      </c>
      <c r="AI458" t="n">
        <v>40</v>
      </c>
      <c r="AJ458" t="n">
        <v>0</v>
      </c>
      <c r="AK458" t="n">
        <v>1</v>
      </c>
      <c r="AL458" t="inlineStr">
        <is>
          <t>ANON0000000</t>
        </is>
      </c>
      <c r="AM458" t="n">
        <v>-18</v>
      </c>
      <c r="AP458" t="inlineStr">
        <is>
          <t>Non Haz</t>
        </is>
      </c>
      <c r="AQ458" t="inlineStr">
        <is>
          <t>CY/CY</t>
        </is>
      </c>
      <c r="AT458" t="inlineStr">
        <is>
          <t>REF000000</t>
        </is>
      </c>
      <c r="AU458" t="n">
        <v>29000</v>
      </c>
      <c r="AV458" t="inlineStr">
        <is>
          <t>FROZEN MEAT</t>
        </is>
      </c>
      <c r="AW458" t="inlineStr">
        <is>
          <t>NCM 020621</t>
        </is>
      </c>
      <c r="AX458" t="inlineStr">
        <is>
          <t>RSAMI122500031</t>
        </is>
      </c>
      <c r="AZ458" t="n">
        <v>0</v>
      </c>
      <c r="BA458" t="n">
        <v>10</v>
      </c>
      <c r="BB458" t="n">
        <v>10</v>
      </c>
      <c r="BC458" t="n">
        <v>6800</v>
      </c>
      <c r="BD458" t="inlineStr">
        <is>
          <t>No</t>
        </is>
      </c>
      <c r="BF458" t="inlineStr">
        <is>
          <t>Bengal Tiger Line -BTL</t>
        </is>
      </c>
      <c r="BG458" t="inlineStr">
        <is>
          <t>USSEA</t>
        </is>
      </c>
      <c r="BH458" t="n">
        <v>0</v>
      </c>
      <c r="BI458" t="n">
        <v>1</v>
      </c>
      <c r="BJ458" t="n">
        <v>6800</v>
      </c>
      <c r="BK458" t="inlineStr">
        <is>
          <t>LINE</t>
        </is>
      </c>
      <c r="BL458" t="inlineStr">
        <is>
          <t>TURTLE REEFER</t>
        </is>
      </c>
      <c r="BM458" t="inlineStr">
        <is>
          <t>TURTLE REEFER</t>
        </is>
      </c>
    </row>
    <row r="459">
      <c r="A459" t="n">
        <v>458</v>
      </c>
      <c r="B459" t="inlineStr">
        <is>
          <t>ORCA REEFER</t>
        </is>
      </c>
      <c r="C459" t="inlineStr">
        <is>
          <t>REF000000</t>
        </is>
      </c>
      <c r="D459" t="inlineStr">
        <is>
          <t>REF000000</t>
        </is>
      </c>
      <c r="E459" t="n">
        <v>46083</v>
      </c>
      <c r="F459" t="inlineStr">
        <is>
          <t>ORCA REEFER</t>
        </is>
      </c>
      <c r="G459" t="inlineStr">
        <is>
          <t>1x40rh temp -18</t>
        </is>
      </c>
      <c r="H459" t="inlineStr">
        <is>
          <t>AR_MARTIMA</t>
        </is>
      </c>
      <c r="J459" t="n">
        <v>46089</v>
      </c>
      <c r="K459" t="n">
        <v>46088</v>
      </c>
      <c r="L459" t="n">
        <v>46090</v>
      </c>
      <c r="M459" t="inlineStr">
        <is>
          <t>REF000000</t>
        </is>
      </c>
      <c r="N459" t="inlineStr">
        <is>
          <t>USSEA</t>
        </is>
      </c>
      <c r="O459" t="inlineStr">
        <is>
          <t>USSEA</t>
        </is>
      </c>
      <c r="P459" t="inlineStr">
        <is>
          <t>USNFK</t>
        </is>
      </c>
      <c r="U459" t="inlineStr">
        <is>
          <t>RULED</t>
        </is>
      </c>
      <c r="V459" t="inlineStr">
        <is>
          <t>RULED</t>
        </is>
      </c>
      <c r="W459" t="inlineStr">
        <is>
          <t>CANADA</t>
        </is>
      </c>
      <c r="X459" t="inlineStr">
        <is>
          <t>PERSIAN GULF</t>
        </is>
      </c>
      <c r="Y459" t="inlineStr">
        <is>
          <t>RUSSIA</t>
        </is>
      </c>
      <c r="Z459" t="inlineStr">
        <is>
          <t>External Review</t>
        </is>
      </c>
      <c r="AA459" t="inlineStr">
        <is>
          <t>HUB SHIPPING LLC-LED</t>
        </is>
      </c>
      <c r="AB459" t="inlineStr">
        <is>
          <t>Prepaid</t>
        </is>
      </c>
      <c r="AC459" t="inlineStr">
        <is>
          <t>TIGER PLATA/971N</t>
        </is>
      </c>
      <c r="AE459" t="inlineStr">
        <is>
          <t>LADEN BOOKING</t>
        </is>
      </c>
      <c r="AF459" t="inlineStr">
        <is>
          <t>AR_MARTIMA</t>
        </is>
      </c>
      <c r="AG459" t="inlineStr">
        <is>
          <t>RH40</t>
        </is>
      </c>
      <c r="AH459" t="inlineStr">
        <is>
          <t>NO</t>
        </is>
      </c>
      <c r="AI459" t="n">
        <v>40</v>
      </c>
      <c r="AJ459" t="n">
        <v>0</v>
      </c>
      <c r="AK459" t="n">
        <v>1</v>
      </c>
      <c r="AL459" t="inlineStr">
        <is>
          <t>ANON0000000</t>
        </is>
      </c>
      <c r="AM459" t="n">
        <v>-18</v>
      </c>
      <c r="AP459" t="inlineStr">
        <is>
          <t>Non Haz</t>
        </is>
      </c>
      <c r="AQ459" t="inlineStr">
        <is>
          <t>CY/CY</t>
        </is>
      </c>
      <c r="AT459" t="inlineStr">
        <is>
          <t>REF000000</t>
        </is>
      </c>
      <c r="AU459" t="n">
        <v>29000</v>
      </c>
      <c r="AV459" t="inlineStr">
        <is>
          <t>FROZEN MEAT</t>
        </is>
      </c>
      <c r="AW459" t="inlineStr">
        <is>
          <t>NCM 020622</t>
        </is>
      </c>
      <c r="AX459" t="inlineStr">
        <is>
          <t>RSAMI122500031</t>
        </is>
      </c>
      <c r="AZ459" t="n">
        <v>0</v>
      </c>
      <c r="BA459" t="n">
        <v>10</v>
      </c>
      <c r="BB459" t="n">
        <v>10</v>
      </c>
      <c r="BC459" t="n">
        <v>6800</v>
      </c>
      <c r="BD459" t="inlineStr">
        <is>
          <t>No</t>
        </is>
      </c>
      <c r="BF459" t="inlineStr">
        <is>
          <t>Bengal Tiger Line -BTL</t>
        </is>
      </c>
      <c r="BG459" t="inlineStr">
        <is>
          <t>USSEA</t>
        </is>
      </c>
      <c r="BH459" t="n">
        <v>0</v>
      </c>
      <c r="BI459" t="n">
        <v>1</v>
      </c>
      <c r="BJ459" t="n">
        <v>6800</v>
      </c>
      <c r="BK459" t="inlineStr">
        <is>
          <t>LINE</t>
        </is>
      </c>
      <c r="BL459" t="inlineStr">
        <is>
          <t>ORCA REEFER</t>
        </is>
      </c>
      <c r="BM459" t="inlineStr">
        <is>
          <t>ORCA REEFER</t>
        </is>
      </c>
    </row>
    <row r="460">
      <c r="A460" t="n">
        <v>459</v>
      </c>
      <c r="B460" t="inlineStr">
        <is>
          <t>WHALE REEFER</t>
        </is>
      </c>
      <c r="C460" t="inlineStr">
        <is>
          <t>REF000000</t>
        </is>
      </c>
      <c r="D460" t="inlineStr">
        <is>
          <t>REF000000</t>
        </is>
      </c>
      <c r="E460" t="n">
        <v>46086</v>
      </c>
      <c r="F460" t="inlineStr">
        <is>
          <t>WHALE REEFER</t>
        </is>
      </c>
      <c r="G460" t="inlineStr">
        <is>
          <t>1x40rh temp -18</t>
        </is>
      </c>
      <c r="H460" t="inlineStr">
        <is>
          <t>AR_MARTIMA</t>
        </is>
      </c>
      <c r="J460" t="n">
        <v>46089</v>
      </c>
      <c r="K460" t="n">
        <v>46088</v>
      </c>
      <c r="L460" t="n">
        <v>46090</v>
      </c>
      <c r="M460" t="inlineStr">
        <is>
          <t>REF000000</t>
        </is>
      </c>
      <c r="N460" t="inlineStr">
        <is>
          <t>USSEA</t>
        </is>
      </c>
      <c r="O460" t="inlineStr">
        <is>
          <t>USSEA</t>
        </is>
      </c>
      <c r="P460" t="inlineStr">
        <is>
          <t>USNFK</t>
        </is>
      </c>
      <c r="U460" t="inlineStr">
        <is>
          <t>RULED</t>
        </is>
      </c>
      <c r="V460" t="inlineStr">
        <is>
          <t>RULED</t>
        </is>
      </c>
      <c r="W460" t="inlineStr">
        <is>
          <t>CANADA</t>
        </is>
      </c>
      <c r="X460" t="inlineStr">
        <is>
          <t>PERSIAN GULF</t>
        </is>
      </c>
      <c r="Y460" t="inlineStr">
        <is>
          <t>RUSSIA</t>
        </is>
      </c>
      <c r="Z460" t="inlineStr">
        <is>
          <t>External Review</t>
        </is>
      </c>
      <c r="AA460" t="inlineStr">
        <is>
          <t>HUB SHIPPING LLC-LED</t>
        </is>
      </c>
      <c r="AB460" t="inlineStr">
        <is>
          <t>Prepaid</t>
        </is>
      </c>
      <c r="AC460" t="inlineStr">
        <is>
          <t>TIGER PLATA/971N</t>
        </is>
      </c>
      <c r="AE460" t="inlineStr">
        <is>
          <t>LADEN BOOKING</t>
        </is>
      </c>
      <c r="AF460" t="inlineStr">
        <is>
          <t>AR_MARTIMA</t>
        </is>
      </c>
      <c r="AG460" t="inlineStr">
        <is>
          <t>RH40</t>
        </is>
      </c>
      <c r="AH460" t="inlineStr">
        <is>
          <t>NO</t>
        </is>
      </c>
      <c r="AI460" t="n">
        <v>40</v>
      </c>
      <c r="AJ460" t="n">
        <v>0</v>
      </c>
      <c r="AK460" t="n">
        <v>1</v>
      </c>
      <c r="AL460" t="inlineStr">
        <is>
          <t>ANON0000000</t>
        </is>
      </c>
      <c r="AM460" t="n">
        <v>-18</v>
      </c>
      <c r="AP460" t="inlineStr">
        <is>
          <t>Non Haz</t>
        </is>
      </c>
      <c r="AQ460" t="inlineStr">
        <is>
          <t>CY/CY</t>
        </is>
      </c>
      <c r="AT460" t="inlineStr">
        <is>
          <t>REF000000</t>
        </is>
      </c>
      <c r="AU460" t="n">
        <v>29000</v>
      </c>
      <c r="AV460" t="inlineStr">
        <is>
          <t>FROZEN MEAT</t>
        </is>
      </c>
      <c r="AW460" t="inlineStr">
        <is>
          <t>NCM 020621</t>
        </is>
      </c>
      <c r="AX460" t="inlineStr">
        <is>
          <t>RSAMI122500031</t>
        </is>
      </c>
      <c r="AZ460" t="n">
        <v>0</v>
      </c>
      <c r="BA460" t="n">
        <v>10</v>
      </c>
      <c r="BB460" t="n">
        <v>10</v>
      </c>
      <c r="BC460" t="n">
        <v>6800</v>
      </c>
      <c r="BD460" t="inlineStr">
        <is>
          <t>No</t>
        </is>
      </c>
      <c r="BF460" t="inlineStr">
        <is>
          <t>Bengal Tiger Line -BTL</t>
        </is>
      </c>
      <c r="BG460" t="inlineStr">
        <is>
          <t>USSEA</t>
        </is>
      </c>
      <c r="BH460" t="n">
        <v>0</v>
      </c>
      <c r="BI460" t="n">
        <v>1</v>
      </c>
      <c r="BJ460" t="n">
        <v>6800</v>
      </c>
      <c r="BK460" t="inlineStr">
        <is>
          <t>LINE</t>
        </is>
      </c>
      <c r="BL460" t="inlineStr">
        <is>
          <t>WHALE REEFER</t>
        </is>
      </c>
      <c r="BM460" t="inlineStr">
        <is>
          <t>WHALE REEFER</t>
        </is>
      </c>
    </row>
    <row r="461">
      <c r="A461" t="n">
        <v>460</v>
      </c>
      <c r="B461" t="inlineStr">
        <is>
          <t>SEAL REEFER</t>
        </is>
      </c>
      <c r="C461" t="inlineStr">
        <is>
          <t>REF000000</t>
        </is>
      </c>
      <c r="D461" t="inlineStr">
        <is>
          <t>REF000000</t>
        </is>
      </c>
      <c r="E461" t="n">
        <v>46086</v>
      </c>
      <c r="F461" t="inlineStr">
        <is>
          <t>SEAL REEFER</t>
        </is>
      </c>
      <c r="G461" t="inlineStr">
        <is>
          <t>1x40rh temp -18</t>
        </is>
      </c>
      <c r="H461" t="inlineStr">
        <is>
          <t>AR_MARTIMA</t>
        </is>
      </c>
      <c r="J461" t="n">
        <v>46098</v>
      </c>
      <c r="K461" t="n">
        <v>46097</v>
      </c>
      <c r="L461" t="n">
        <v>46098</v>
      </c>
      <c r="M461" t="inlineStr">
        <is>
          <t>REF000000</t>
        </is>
      </c>
      <c r="N461" t="inlineStr">
        <is>
          <t>USSEA</t>
        </is>
      </c>
      <c r="O461" t="inlineStr">
        <is>
          <t>USSEA</t>
        </is>
      </c>
      <c r="P461" t="inlineStr">
        <is>
          <t>USNFK</t>
        </is>
      </c>
      <c r="U461" t="inlineStr">
        <is>
          <t>RULED</t>
        </is>
      </c>
      <c r="V461" t="inlineStr">
        <is>
          <t>RULED</t>
        </is>
      </c>
      <c r="W461" t="inlineStr">
        <is>
          <t>CANADA</t>
        </is>
      </c>
      <c r="X461" t="inlineStr">
        <is>
          <t>PERSIAN GULF</t>
        </is>
      </c>
      <c r="Y461" t="inlineStr">
        <is>
          <t>RUSSIA</t>
        </is>
      </c>
      <c r="Z461" t="inlineStr">
        <is>
          <t>External Review</t>
        </is>
      </c>
      <c r="AA461" t="inlineStr">
        <is>
          <t>HUB SHIPPING LLC-LED</t>
        </is>
      </c>
      <c r="AB461" t="inlineStr">
        <is>
          <t>Prepaid</t>
        </is>
      </c>
      <c r="AC461" t="inlineStr">
        <is>
          <t>TIGER PLATA/972N</t>
        </is>
      </c>
      <c r="AE461" t="inlineStr">
        <is>
          <t>LADEN BOOKING</t>
        </is>
      </c>
      <c r="AF461" t="inlineStr">
        <is>
          <t>AR_MARTIMA</t>
        </is>
      </c>
      <c r="AG461" t="inlineStr">
        <is>
          <t>RH40</t>
        </is>
      </c>
      <c r="AH461" t="inlineStr">
        <is>
          <t>NO</t>
        </is>
      </c>
      <c r="AI461" t="n">
        <v>40</v>
      </c>
      <c r="AJ461" t="n">
        <v>0</v>
      </c>
      <c r="AK461" t="n">
        <v>1</v>
      </c>
      <c r="AL461" t="inlineStr">
        <is>
          <t>ANON0000000</t>
        </is>
      </c>
      <c r="AM461" t="n">
        <v>-18</v>
      </c>
      <c r="AP461" t="inlineStr">
        <is>
          <t>Non Haz</t>
        </is>
      </c>
      <c r="AQ461" t="inlineStr">
        <is>
          <t>CY/CY</t>
        </is>
      </c>
      <c r="AT461" t="inlineStr">
        <is>
          <t>REF000000</t>
        </is>
      </c>
      <c r="AU461" t="n">
        <v>29000</v>
      </c>
      <c r="AV461" t="inlineStr">
        <is>
          <t>FROZEN BONELESS BUFFALO MEAT</t>
        </is>
      </c>
      <c r="AW461" t="inlineStr">
        <is>
          <t>N.C.M.: 0206.22</t>
        </is>
      </c>
      <c r="AX461" t="inlineStr">
        <is>
          <t>RSAMI122500027</t>
        </is>
      </c>
      <c r="AZ461" t="n">
        <v>0</v>
      </c>
      <c r="BA461" t="n">
        <v>10</v>
      </c>
      <c r="BB461" t="n">
        <v>10</v>
      </c>
      <c r="BC461" t="n">
        <v>7300</v>
      </c>
      <c r="BD461" t="inlineStr">
        <is>
          <t>No</t>
        </is>
      </c>
      <c r="BF461" t="inlineStr">
        <is>
          <t>Bengal Tiger Line -BTL</t>
        </is>
      </c>
      <c r="BG461" t="inlineStr">
        <is>
          <t>USSEA</t>
        </is>
      </c>
      <c r="BH461" t="n">
        <v>0</v>
      </c>
      <c r="BI461" t="n">
        <v>1</v>
      </c>
      <c r="BJ461" t="n">
        <v>7300</v>
      </c>
      <c r="BK461" t="inlineStr">
        <is>
          <t>LINE</t>
        </is>
      </c>
      <c r="BL461" t="inlineStr">
        <is>
          <t>SEAL REEFER</t>
        </is>
      </c>
      <c r="BM461" t="inlineStr">
        <is>
          <t>SEAL REEFER</t>
        </is>
      </c>
    </row>
    <row r="462">
      <c r="A462" t="n">
        <v>461</v>
      </c>
      <c r="B462" t="inlineStr">
        <is>
          <t>FOX DRY</t>
        </is>
      </c>
      <c r="C462" t="inlineStr">
        <is>
          <t>REF000000</t>
        </is>
      </c>
      <c r="D462" t="inlineStr">
        <is>
          <t>REF000000</t>
        </is>
      </c>
      <c r="E462" t="n">
        <v>46087</v>
      </c>
      <c r="F462" t="inlineStr">
        <is>
          <t>FOX DRY</t>
        </is>
      </c>
      <c r="G462" t="inlineStr">
        <is>
          <t>1X20ST CARGA GENERA EN BUEN ESTADO</t>
        </is>
      </c>
      <c r="H462" t="inlineStr">
        <is>
          <t>AR_MARTIMA</t>
        </is>
      </c>
      <c r="J462" t="n">
        <v>46103</v>
      </c>
      <c r="K462" t="n">
        <v>46102</v>
      </c>
      <c r="L462" t="n">
        <v>46103</v>
      </c>
      <c r="M462" t="inlineStr">
        <is>
          <t>REF000000</t>
        </is>
      </c>
      <c r="N462" t="inlineStr">
        <is>
          <t>USSEA</t>
        </is>
      </c>
      <c r="O462" t="inlineStr">
        <is>
          <t>USSEA</t>
        </is>
      </c>
      <c r="P462" t="inlineStr">
        <is>
          <t>USNFK</t>
        </is>
      </c>
      <c r="U462" t="inlineStr">
        <is>
          <t>RULED</t>
        </is>
      </c>
      <c r="V462" t="inlineStr">
        <is>
          <t>RULED</t>
        </is>
      </c>
      <c r="W462" t="inlineStr">
        <is>
          <t>CANADA</t>
        </is>
      </c>
      <c r="X462" t="inlineStr">
        <is>
          <t>PERSIAN GULF</t>
        </is>
      </c>
      <c r="Y462" t="inlineStr">
        <is>
          <t>RUSSIA</t>
        </is>
      </c>
      <c r="Z462" t="inlineStr">
        <is>
          <t>External Review</t>
        </is>
      </c>
      <c r="AA462" t="inlineStr">
        <is>
          <t>HUB SHIPPING LLC-LED</t>
        </is>
      </c>
      <c r="AB462" t="inlineStr">
        <is>
          <t>Prepaid</t>
        </is>
      </c>
      <c r="AC462" t="inlineStr">
        <is>
          <t>TIGER PLATA/973N</t>
        </is>
      </c>
      <c r="AE462" t="inlineStr">
        <is>
          <t>LADEN BOOKING</t>
        </is>
      </c>
      <c r="AF462" t="inlineStr">
        <is>
          <t>AR_MARTIMA</t>
        </is>
      </c>
      <c r="AG462" t="inlineStr">
        <is>
          <t>DC20</t>
        </is>
      </c>
      <c r="AH462" t="inlineStr">
        <is>
          <t>NO</t>
        </is>
      </c>
      <c r="AI462" t="n">
        <v>20</v>
      </c>
      <c r="AJ462" t="n">
        <v>1</v>
      </c>
      <c r="AK462" t="n">
        <v>0</v>
      </c>
      <c r="AL462" t="inlineStr">
        <is>
          <t>ANON0000000</t>
        </is>
      </c>
      <c r="AP462" t="inlineStr">
        <is>
          <t>Non Haz</t>
        </is>
      </c>
      <c r="AQ462" t="inlineStr">
        <is>
          <t>CY/CY</t>
        </is>
      </c>
      <c r="AT462" t="inlineStr">
        <is>
          <t>REF000000</t>
        </is>
      </c>
      <c r="AU462" t="n">
        <v>27000</v>
      </c>
      <c r="AV462" t="inlineStr">
        <is>
          <t>BEANS</t>
        </is>
      </c>
      <c r="AW462" t="inlineStr">
        <is>
          <t>HS CODE:0713.33.99.122Y</t>
        </is>
      </c>
      <c r="AX462" t="inlineStr">
        <is>
          <t>RSAMI032600002</t>
        </is>
      </c>
      <c r="AZ462" t="n">
        <v>0</v>
      </c>
      <c r="BA462" t="n">
        <v>14</v>
      </c>
      <c r="BB462" t="n">
        <v>14</v>
      </c>
      <c r="BC462" t="n">
        <v>4000</v>
      </c>
      <c r="BD462" t="inlineStr">
        <is>
          <t>No</t>
        </is>
      </c>
      <c r="BF462" t="inlineStr">
        <is>
          <t>Bengal Tiger Line -BTL</t>
        </is>
      </c>
      <c r="BG462" t="inlineStr">
        <is>
          <t>USSEA</t>
        </is>
      </c>
      <c r="BH462" t="n">
        <v>1</v>
      </c>
      <c r="BI462" t="n">
        <v>0</v>
      </c>
      <c r="BJ462" t="n">
        <v>4000</v>
      </c>
      <c r="BK462" t="inlineStr">
        <is>
          <t>LINE</t>
        </is>
      </c>
      <c r="BL462" t="inlineStr">
        <is>
          <t>FOX DRY</t>
        </is>
      </c>
      <c r="BM462" t="inlineStr">
        <is>
          <t>FOX DRY</t>
        </is>
      </c>
    </row>
    <row r="463">
      <c r="A463" t="n">
        <v>462</v>
      </c>
      <c r="B463" t="inlineStr">
        <is>
          <t>DOLPHIN REEFER</t>
        </is>
      </c>
      <c r="C463" t="inlineStr">
        <is>
          <t>REF000000</t>
        </is>
      </c>
      <c r="D463" t="inlineStr">
        <is>
          <t>REF000000</t>
        </is>
      </c>
      <c r="E463" t="n">
        <v>46087</v>
      </c>
      <c r="F463" t="inlineStr">
        <is>
          <t>DOLPHIN REEFER</t>
        </is>
      </c>
      <c r="G463" t="inlineStr">
        <is>
          <t>1x40rh temp -18</t>
        </is>
      </c>
      <c r="H463" t="inlineStr">
        <is>
          <t>AR_MARTIMA</t>
        </is>
      </c>
      <c r="J463" t="n">
        <v>46098</v>
      </c>
      <c r="K463" t="n">
        <v>46097</v>
      </c>
      <c r="L463" t="n">
        <v>46098</v>
      </c>
      <c r="M463" t="inlineStr">
        <is>
          <t>REF000000</t>
        </is>
      </c>
      <c r="N463" t="inlineStr">
        <is>
          <t>USSEA</t>
        </is>
      </c>
      <c r="O463" t="inlineStr">
        <is>
          <t>USSEA</t>
        </is>
      </c>
      <c r="P463" t="inlineStr">
        <is>
          <t>USNFK</t>
        </is>
      </c>
      <c r="U463" t="inlineStr">
        <is>
          <t>RULED</t>
        </is>
      </c>
      <c r="V463" t="inlineStr">
        <is>
          <t>RULED</t>
        </is>
      </c>
      <c r="W463" t="inlineStr">
        <is>
          <t>CANADA</t>
        </is>
      </c>
      <c r="X463" t="inlineStr">
        <is>
          <t>PERSIAN GULF</t>
        </is>
      </c>
      <c r="Y463" t="inlineStr">
        <is>
          <t>RUSSIA</t>
        </is>
      </c>
      <c r="Z463" t="inlineStr">
        <is>
          <t>External Review</t>
        </is>
      </c>
      <c r="AA463" t="inlineStr">
        <is>
          <t>HUB SHIPPING LLC-LED</t>
        </is>
      </c>
      <c r="AB463" t="inlineStr">
        <is>
          <t>Prepaid</t>
        </is>
      </c>
      <c r="AC463" t="inlineStr">
        <is>
          <t>TIGER PLATA/972N</t>
        </is>
      </c>
      <c r="AE463" t="inlineStr">
        <is>
          <t>LADEN BOOKING</t>
        </is>
      </c>
      <c r="AF463" t="inlineStr">
        <is>
          <t>AR_MARTIMA</t>
        </is>
      </c>
      <c r="AG463" t="inlineStr">
        <is>
          <t>RH40</t>
        </is>
      </c>
      <c r="AH463" t="inlineStr">
        <is>
          <t>NO</t>
        </is>
      </c>
      <c r="AI463" t="n">
        <v>40</v>
      </c>
      <c r="AJ463" t="n">
        <v>0</v>
      </c>
      <c r="AK463" t="n">
        <v>1</v>
      </c>
      <c r="AL463" t="inlineStr">
        <is>
          <t>ANON0000000</t>
        </is>
      </c>
      <c r="AM463" t="n">
        <v>-18</v>
      </c>
      <c r="AP463" t="inlineStr">
        <is>
          <t>Non Haz</t>
        </is>
      </c>
      <c r="AQ463" t="inlineStr">
        <is>
          <t>CY/CY</t>
        </is>
      </c>
      <c r="AT463" t="inlineStr">
        <is>
          <t>REF000000</t>
        </is>
      </c>
      <c r="AU463" t="n">
        <v>29000</v>
      </c>
      <c r="AV463" t="inlineStr">
        <is>
          <t>FROZEN MEAT</t>
        </is>
      </c>
      <c r="AW463" t="inlineStr">
        <is>
          <t>NCM 020622</t>
        </is>
      </c>
      <c r="AX463" t="inlineStr">
        <is>
          <t>RSAMI122500031</t>
        </is>
      </c>
      <c r="AZ463" t="n">
        <v>0</v>
      </c>
      <c r="BA463" t="n">
        <v>10</v>
      </c>
      <c r="BB463" t="n">
        <v>10</v>
      </c>
      <c r="BC463" t="n">
        <v>6800</v>
      </c>
      <c r="BD463" t="inlineStr">
        <is>
          <t>No</t>
        </is>
      </c>
      <c r="BF463" t="inlineStr">
        <is>
          <t>Bengal Tiger Line -BTL</t>
        </is>
      </c>
      <c r="BG463" t="inlineStr">
        <is>
          <t>USSEA</t>
        </is>
      </c>
      <c r="BH463" t="n">
        <v>0</v>
      </c>
      <c r="BI463" t="n">
        <v>1</v>
      </c>
      <c r="BJ463" t="n">
        <v>6800</v>
      </c>
      <c r="BK463" t="inlineStr">
        <is>
          <t>LINE</t>
        </is>
      </c>
      <c r="BL463" t="inlineStr">
        <is>
          <t>DOLPHIN REEFER</t>
        </is>
      </c>
      <c r="BM463" t="inlineStr">
        <is>
          <t>DOLPHIN REEFER</t>
        </is>
      </c>
    </row>
    <row r="464">
      <c r="A464" t="n">
        <v>463</v>
      </c>
      <c r="B464" t="inlineStr">
        <is>
          <t>MARLIN REEFER</t>
        </is>
      </c>
      <c r="C464" t="inlineStr">
        <is>
          <t>REF000000</t>
        </is>
      </c>
      <c r="D464" t="inlineStr">
        <is>
          <t>REF000000</t>
        </is>
      </c>
      <c r="E464" t="n">
        <v>46087</v>
      </c>
      <c r="F464" t="inlineStr">
        <is>
          <t>MARLIN REEFER</t>
        </is>
      </c>
      <c r="G464" t="inlineStr">
        <is>
          <t>ENTERED THROUGH SPLIT BOOKING FROM THE BOOKING ID REF000000, BY AR_MARTIMA, ON 3/6/2026 7:01:48 PM</t>
        </is>
      </c>
      <c r="H464" t="inlineStr">
        <is>
          <t>AR_MARTIMA</t>
        </is>
      </c>
      <c r="J464" t="n">
        <v>46098</v>
      </c>
      <c r="K464" t="n">
        <v>46097</v>
      </c>
      <c r="L464" t="n">
        <v>46098</v>
      </c>
      <c r="M464" t="inlineStr">
        <is>
          <t>REF000000</t>
        </is>
      </c>
      <c r="N464" t="inlineStr">
        <is>
          <t>USSEA</t>
        </is>
      </c>
      <c r="O464" t="inlineStr">
        <is>
          <t>USSEA</t>
        </is>
      </c>
      <c r="P464" t="inlineStr">
        <is>
          <t>USNFK</t>
        </is>
      </c>
      <c r="U464" t="inlineStr">
        <is>
          <t>RULED</t>
        </is>
      </c>
      <c r="V464" t="inlineStr">
        <is>
          <t>RULED</t>
        </is>
      </c>
      <c r="W464" t="inlineStr">
        <is>
          <t>CANADA</t>
        </is>
      </c>
      <c r="X464" t="inlineStr">
        <is>
          <t>PERSIAN GULF</t>
        </is>
      </c>
      <c r="Y464" t="inlineStr">
        <is>
          <t>RUSSIA</t>
        </is>
      </c>
      <c r="Z464" t="inlineStr">
        <is>
          <t>External Review</t>
        </is>
      </c>
      <c r="AA464" t="inlineStr">
        <is>
          <t>HUB SHIPPING LLC-LED</t>
        </is>
      </c>
      <c r="AB464" t="inlineStr">
        <is>
          <t>Prepaid</t>
        </is>
      </c>
      <c r="AC464" t="inlineStr">
        <is>
          <t>TIGER PLATA/972N</t>
        </is>
      </c>
      <c r="AE464" t="inlineStr">
        <is>
          <t>LADEN BOOKING</t>
        </is>
      </c>
      <c r="AF464" t="inlineStr">
        <is>
          <t>AR_MARTIMA</t>
        </is>
      </c>
      <c r="AG464" t="inlineStr">
        <is>
          <t>RH40</t>
        </is>
      </c>
      <c r="AI464" t="n">
        <v>40</v>
      </c>
      <c r="AJ464" t="n">
        <v>0</v>
      </c>
      <c r="AK464" t="n">
        <v>1</v>
      </c>
      <c r="AL464" t="inlineStr">
        <is>
          <t>ANON0000000</t>
        </is>
      </c>
      <c r="AM464" t="n">
        <v>-18</v>
      </c>
      <c r="AP464" t="inlineStr">
        <is>
          <t>Non Haz</t>
        </is>
      </c>
      <c r="AQ464" t="inlineStr">
        <is>
          <t>CY/CY</t>
        </is>
      </c>
      <c r="AT464" t="inlineStr">
        <is>
          <t>REF000000</t>
        </is>
      </c>
      <c r="AU464" t="n">
        <v>29000</v>
      </c>
      <c r="AV464" t="inlineStr">
        <is>
          <t>FROZEN MEAT</t>
        </is>
      </c>
      <c r="AW464" t="inlineStr">
        <is>
          <t>NCM 020622</t>
        </is>
      </c>
      <c r="AX464" t="inlineStr">
        <is>
          <t>RSAMI122500031</t>
        </is>
      </c>
      <c r="AZ464" t="n">
        <v>0</v>
      </c>
      <c r="BA464" t="n">
        <v>10</v>
      </c>
      <c r="BB464" t="n">
        <v>10</v>
      </c>
      <c r="BC464" t="n">
        <v>6800</v>
      </c>
      <c r="BD464" t="inlineStr">
        <is>
          <t>No</t>
        </is>
      </c>
      <c r="BF464" t="inlineStr">
        <is>
          <t>Bengal Tiger Line -BTL</t>
        </is>
      </c>
      <c r="BG464" t="inlineStr">
        <is>
          <t>USSEA</t>
        </is>
      </c>
      <c r="BH464" t="n">
        <v>0</v>
      </c>
      <c r="BI464" t="n">
        <v>1</v>
      </c>
      <c r="BJ464" t="n">
        <v>6800</v>
      </c>
      <c r="BK464" t="inlineStr">
        <is>
          <t>LINE</t>
        </is>
      </c>
      <c r="BL464" t="inlineStr">
        <is>
          <t>MARLIN REEFER</t>
        </is>
      </c>
      <c r="BM464" t="inlineStr">
        <is>
          <t>MARLIN REEFER</t>
        </is>
      </c>
    </row>
    <row r="465">
      <c r="A465" t="n">
        <v>464</v>
      </c>
      <c r="B465" t="inlineStr">
        <is>
          <t>TURTLE REEFER</t>
        </is>
      </c>
      <c r="C465" t="inlineStr">
        <is>
          <t>REF000000</t>
        </is>
      </c>
      <c r="D465" t="inlineStr">
        <is>
          <t>REF000000</t>
        </is>
      </c>
      <c r="E465" t="n">
        <v>46087</v>
      </c>
      <c r="F465" t="inlineStr">
        <is>
          <t>TURTLE REEFER</t>
        </is>
      </c>
      <c r="G465" t="inlineStr">
        <is>
          <t>ENTERED THROUGH SPLIT BOOKING FROM THE BOOKING ID REF000000, BY AR_MARTIMA, ON 3/6/2026 7:01:48 PM</t>
        </is>
      </c>
      <c r="H465" t="inlineStr">
        <is>
          <t>AR_MARTIMA</t>
        </is>
      </c>
      <c r="J465" t="n">
        <v>46098</v>
      </c>
      <c r="K465" t="n">
        <v>46097</v>
      </c>
      <c r="L465" t="n">
        <v>46098</v>
      </c>
      <c r="M465" t="inlineStr">
        <is>
          <t>REF000000</t>
        </is>
      </c>
      <c r="N465" t="inlineStr">
        <is>
          <t>USSEA</t>
        </is>
      </c>
      <c r="O465" t="inlineStr">
        <is>
          <t>USSEA</t>
        </is>
      </c>
      <c r="P465" t="inlineStr">
        <is>
          <t>USNFK</t>
        </is>
      </c>
      <c r="U465" t="inlineStr">
        <is>
          <t>RULED</t>
        </is>
      </c>
      <c r="V465" t="inlineStr">
        <is>
          <t>RULED</t>
        </is>
      </c>
      <c r="W465" t="inlineStr">
        <is>
          <t>CANADA</t>
        </is>
      </c>
      <c r="X465" t="inlineStr">
        <is>
          <t>PERSIAN GULF</t>
        </is>
      </c>
      <c r="Y465" t="inlineStr">
        <is>
          <t>RUSSIA</t>
        </is>
      </c>
      <c r="Z465" t="inlineStr">
        <is>
          <t>External Review</t>
        </is>
      </c>
      <c r="AA465" t="inlineStr">
        <is>
          <t>HUB SHIPPING LLC-LED</t>
        </is>
      </c>
      <c r="AB465" t="inlineStr">
        <is>
          <t>Prepaid</t>
        </is>
      </c>
      <c r="AC465" t="inlineStr">
        <is>
          <t>TIGER PLATA/972N</t>
        </is>
      </c>
      <c r="AE465" t="inlineStr">
        <is>
          <t>LADEN BOOKING</t>
        </is>
      </c>
      <c r="AF465" t="inlineStr">
        <is>
          <t>AR_MARTIMA</t>
        </is>
      </c>
      <c r="AG465" t="inlineStr">
        <is>
          <t>RH40</t>
        </is>
      </c>
      <c r="AI465" t="n">
        <v>40</v>
      </c>
      <c r="AJ465" t="n">
        <v>0</v>
      </c>
      <c r="AK465" t="n">
        <v>1</v>
      </c>
      <c r="AL465" t="inlineStr">
        <is>
          <t>ANON0000000</t>
        </is>
      </c>
      <c r="AM465" t="n">
        <v>-18</v>
      </c>
      <c r="AP465" t="inlineStr">
        <is>
          <t>Non Haz</t>
        </is>
      </c>
      <c r="AQ465" t="inlineStr">
        <is>
          <t>CY/CY</t>
        </is>
      </c>
      <c r="AT465" t="inlineStr">
        <is>
          <t>REF000000</t>
        </is>
      </c>
      <c r="AU465" t="n">
        <v>29000</v>
      </c>
      <c r="AV465" t="inlineStr">
        <is>
          <t>FROZEN MEAT</t>
        </is>
      </c>
      <c r="AW465" t="inlineStr">
        <is>
          <t>NCM 020622</t>
        </is>
      </c>
      <c r="AX465" t="inlineStr">
        <is>
          <t>RSAMI122500031</t>
        </is>
      </c>
      <c r="AZ465" t="n">
        <v>0</v>
      </c>
      <c r="BA465" t="n">
        <v>10</v>
      </c>
      <c r="BB465" t="n">
        <v>10</v>
      </c>
      <c r="BC465" t="n">
        <v>6800</v>
      </c>
      <c r="BD465" t="inlineStr">
        <is>
          <t>No</t>
        </is>
      </c>
      <c r="BF465" t="inlineStr">
        <is>
          <t>Bengal Tiger Line -BTL</t>
        </is>
      </c>
      <c r="BG465" t="inlineStr">
        <is>
          <t>USSEA</t>
        </is>
      </c>
      <c r="BH465" t="n">
        <v>0</v>
      </c>
      <c r="BI465" t="n">
        <v>1</v>
      </c>
      <c r="BJ465" t="n">
        <v>6800</v>
      </c>
      <c r="BK465" t="inlineStr">
        <is>
          <t>LINE</t>
        </is>
      </c>
      <c r="BL465" t="inlineStr">
        <is>
          <t>TURTLE REEFER</t>
        </is>
      </c>
      <c r="BM465" t="inlineStr">
        <is>
          <t>TURTLE REEFER</t>
        </is>
      </c>
    </row>
    <row r="466">
      <c r="A466" t="n">
        <v>465</v>
      </c>
      <c r="B466" t="inlineStr">
        <is>
          <t>ORCA REEFER</t>
        </is>
      </c>
      <c r="C466" t="inlineStr">
        <is>
          <t>REF000000</t>
        </is>
      </c>
      <c r="D466" t="inlineStr">
        <is>
          <t>REF000000</t>
        </is>
      </c>
      <c r="E466" t="n">
        <v>46087</v>
      </c>
      <c r="F466" t="inlineStr">
        <is>
          <t>ORCA REEFER</t>
        </is>
      </c>
      <c r="G466" t="inlineStr">
        <is>
          <t>ENTERED THROUGH SPLIT BOOKING FROM THE BOOKING ID REF000000, BY AR_MARTIMA, ON 3/6/2026 7:01:49 PM</t>
        </is>
      </c>
      <c r="H466" t="inlineStr">
        <is>
          <t>AR_MARTIMA</t>
        </is>
      </c>
      <c r="J466" t="n">
        <v>46098</v>
      </c>
      <c r="K466" t="n">
        <v>46097</v>
      </c>
      <c r="L466" t="n">
        <v>46098</v>
      </c>
      <c r="M466" t="inlineStr">
        <is>
          <t>REF000000</t>
        </is>
      </c>
      <c r="N466" t="inlineStr">
        <is>
          <t>USSEA</t>
        </is>
      </c>
      <c r="O466" t="inlineStr">
        <is>
          <t>USSEA</t>
        </is>
      </c>
      <c r="P466" t="inlineStr">
        <is>
          <t>USNFK</t>
        </is>
      </c>
      <c r="U466" t="inlineStr">
        <is>
          <t>RULED</t>
        </is>
      </c>
      <c r="V466" t="inlineStr">
        <is>
          <t>RULED</t>
        </is>
      </c>
      <c r="W466" t="inlineStr">
        <is>
          <t>CANADA</t>
        </is>
      </c>
      <c r="X466" t="inlineStr">
        <is>
          <t>PERSIAN GULF</t>
        </is>
      </c>
      <c r="Y466" t="inlineStr">
        <is>
          <t>RUSSIA</t>
        </is>
      </c>
      <c r="Z466" t="inlineStr">
        <is>
          <t>External Review</t>
        </is>
      </c>
      <c r="AA466" t="inlineStr">
        <is>
          <t>HUB SHIPPING LLC-LED</t>
        </is>
      </c>
      <c r="AB466" t="inlineStr">
        <is>
          <t>Prepaid</t>
        </is>
      </c>
      <c r="AC466" t="inlineStr">
        <is>
          <t>TIGER PLATA/972N</t>
        </is>
      </c>
      <c r="AE466" t="inlineStr">
        <is>
          <t>LADEN BOOKING</t>
        </is>
      </c>
      <c r="AF466" t="inlineStr">
        <is>
          <t>AR_MARTIMA</t>
        </is>
      </c>
      <c r="AG466" t="inlineStr">
        <is>
          <t>RH40</t>
        </is>
      </c>
      <c r="AI466" t="n">
        <v>40</v>
      </c>
      <c r="AJ466" t="n">
        <v>0</v>
      </c>
      <c r="AK466" t="n">
        <v>1</v>
      </c>
      <c r="AL466" t="inlineStr">
        <is>
          <t>ANON0000000</t>
        </is>
      </c>
      <c r="AM466" t="n">
        <v>-18</v>
      </c>
      <c r="AP466" t="inlineStr">
        <is>
          <t>Non Haz</t>
        </is>
      </c>
      <c r="AQ466" t="inlineStr">
        <is>
          <t>CY/CY</t>
        </is>
      </c>
      <c r="AT466" t="inlineStr">
        <is>
          <t>REF000000</t>
        </is>
      </c>
      <c r="AU466" t="n">
        <v>29000</v>
      </c>
      <c r="AV466" t="inlineStr">
        <is>
          <t>FROZEN MEAT</t>
        </is>
      </c>
      <c r="AW466" t="inlineStr">
        <is>
          <t>NCM 020622</t>
        </is>
      </c>
      <c r="AX466" t="inlineStr">
        <is>
          <t>RSAMI122500031</t>
        </is>
      </c>
      <c r="AZ466" t="n">
        <v>0</v>
      </c>
      <c r="BA466" t="n">
        <v>10</v>
      </c>
      <c r="BB466" t="n">
        <v>10</v>
      </c>
      <c r="BC466" t="n">
        <v>6800</v>
      </c>
      <c r="BD466" t="inlineStr">
        <is>
          <t>No</t>
        </is>
      </c>
      <c r="BF466" t="inlineStr">
        <is>
          <t>Bengal Tiger Line -BTL</t>
        </is>
      </c>
      <c r="BG466" t="inlineStr">
        <is>
          <t>USSEA</t>
        </is>
      </c>
      <c r="BH466" t="n">
        <v>0</v>
      </c>
      <c r="BI466" t="n">
        <v>1</v>
      </c>
      <c r="BJ466" t="n">
        <v>6800</v>
      </c>
      <c r="BK466" t="inlineStr">
        <is>
          <t>LINE</t>
        </is>
      </c>
      <c r="BL466" t="inlineStr">
        <is>
          <t>ORCA REEFER</t>
        </is>
      </c>
      <c r="BM466" t="inlineStr">
        <is>
          <t>ORCA REEFER</t>
        </is>
      </c>
    </row>
    <row r="467">
      <c r="A467" t="n">
        <v>466</v>
      </c>
      <c r="B467" t="inlineStr">
        <is>
          <t>WHALE REEFER</t>
        </is>
      </c>
      <c r="C467" t="inlineStr">
        <is>
          <t>REF000000</t>
        </is>
      </c>
      <c r="D467" t="inlineStr">
        <is>
          <t>REF000000</t>
        </is>
      </c>
      <c r="E467" t="n">
        <v>46087</v>
      </c>
      <c r="F467" t="inlineStr">
        <is>
          <t>WHALE REEFER</t>
        </is>
      </c>
      <c r="G467" t="inlineStr">
        <is>
          <t>ENTERED THROUGH SPLIT BOOKING FROM THE BOOKING ID REF000000, BY AR_MARTIMA, ON 3/6/2026 7:01:49 PM</t>
        </is>
      </c>
      <c r="H467" t="inlineStr">
        <is>
          <t>AR_MARTIMA</t>
        </is>
      </c>
      <c r="J467" t="n">
        <v>46098</v>
      </c>
      <c r="K467" t="n">
        <v>46097</v>
      </c>
      <c r="L467" t="n">
        <v>46098</v>
      </c>
      <c r="M467" t="inlineStr">
        <is>
          <t>REF000000</t>
        </is>
      </c>
      <c r="N467" t="inlineStr">
        <is>
          <t>USSEA</t>
        </is>
      </c>
      <c r="O467" t="inlineStr">
        <is>
          <t>USSEA</t>
        </is>
      </c>
      <c r="P467" t="inlineStr">
        <is>
          <t>USNFK</t>
        </is>
      </c>
      <c r="U467" t="inlineStr">
        <is>
          <t>RULED</t>
        </is>
      </c>
      <c r="V467" t="inlineStr">
        <is>
          <t>RULED</t>
        </is>
      </c>
      <c r="W467" t="inlineStr">
        <is>
          <t>CANADA</t>
        </is>
      </c>
      <c r="X467" t="inlineStr">
        <is>
          <t>PERSIAN GULF</t>
        </is>
      </c>
      <c r="Y467" t="inlineStr">
        <is>
          <t>RUSSIA</t>
        </is>
      </c>
      <c r="Z467" t="inlineStr">
        <is>
          <t>External Review</t>
        </is>
      </c>
      <c r="AA467" t="inlineStr">
        <is>
          <t>HUB SHIPPING LLC-LED</t>
        </is>
      </c>
      <c r="AB467" t="inlineStr">
        <is>
          <t>Prepaid</t>
        </is>
      </c>
      <c r="AC467" t="inlineStr">
        <is>
          <t>TIGER PLATA/972N</t>
        </is>
      </c>
      <c r="AE467" t="inlineStr">
        <is>
          <t>LADEN BOOKING</t>
        </is>
      </c>
      <c r="AF467" t="inlineStr">
        <is>
          <t>AR_MARTIMA</t>
        </is>
      </c>
      <c r="AG467" t="inlineStr">
        <is>
          <t>RH40</t>
        </is>
      </c>
      <c r="AI467" t="n">
        <v>40</v>
      </c>
      <c r="AJ467" t="n">
        <v>0</v>
      </c>
      <c r="AK467" t="n">
        <v>1</v>
      </c>
      <c r="AL467" t="inlineStr">
        <is>
          <t>ANON0000000</t>
        </is>
      </c>
      <c r="AM467" t="n">
        <v>-18</v>
      </c>
      <c r="AP467" t="inlineStr">
        <is>
          <t>Non Haz</t>
        </is>
      </c>
      <c r="AQ467" t="inlineStr">
        <is>
          <t>CY/CY</t>
        </is>
      </c>
      <c r="AT467" t="inlineStr">
        <is>
          <t>REF000000</t>
        </is>
      </c>
      <c r="AU467" t="n">
        <v>29000</v>
      </c>
      <c r="AV467" t="inlineStr">
        <is>
          <t>FROZEN MEAT</t>
        </is>
      </c>
      <c r="AW467" t="inlineStr">
        <is>
          <t>NCM 020629</t>
        </is>
      </c>
      <c r="AX467" t="inlineStr">
        <is>
          <t>RSAMI122500031</t>
        </is>
      </c>
      <c r="AZ467" t="n">
        <v>0</v>
      </c>
      <c r="BA467" t="n">
        <v>10</v>
      </c>
      <c r="BB467" t="n">
        <v>10</v>
      </c>
      <c r="BC467" t="n">
        <v>6800</v>
      </c>
      <c r="BD467" t="inlineStr">
        <is>
          <t>No</t>
        </is>
      </c>
      <c r="BF467" t="inlineStr">
        <is>
          <t>Bengal Tiger Line -BTL</t>
        </is>
      </c>
      <c r="BG467" t="inlineStr">
        <is>
          <t>USSEA</t>
        </is>
      </c>
      <c r="BH467" t="n">
        <v>0</v>
      </c>
      <c r="BI467" t="n">
        <v>1</v>
      </c>
      <c r="BJ467" t="n">
        <v>6800</v>
      </c>
      <c r="BK467" t="inlineStr">
        <is>
          <t>LINE</t>
        </is>
      </c>
      <c r="BL467" t="inlineStr">
        <is>
          <t>WHALE REEFER</t>
        </is>
      </c>
      <c r="BM467" t="inlineStr">
        <is>
          <t>WHALE REEFER</t>
        </is>
      </c>
    </row>
    <row r="468">
      <c r="A468" t="n">
        <v>467</v>
      </c>
      <c r="B468" t="inlineStr">
        <is>
          <t>SEAL REEFER</t>
        </is>
      </c>
      <c r="C468" t="inlineStr">
        <is>
          <t>REF000000</t>
        </is>
      </c>
      <c r="D468" t="inlineStr">
        <is>
          <t>REF000000</t>
        </is>
      </c>
      <c r="E468" t="n">
        <v>46087</v>
      </c>
      <c r="F468" t="inlineStr">
        <is>
          <t>SEAL REEFER</t>
        </is>
      </c>
      <c r="G468" t="inlineStr">
        <is>
          <t>ENTERED THROUGH SPLIT BOOKING FROM THE BOOKING ID REF000000, BY AR_MARTIMA, ON 3/6/2026 7:01:49 PM</t>
        </is>
      </c>
      <c r="H468" t="inlineStr">
        <is>
          <t>AR_MARTIMA</t>
        </is>
      </c>
      <c r="J468" t="n">
        <v>46098</v>
      </c>
      <c r="K468" t="n">
        <v>46097</v>
      </c>
      <c r="L468" t="n">
        <v>46098</v>
      </c>
      <c r="M468" t="inlineStr">
        <is>
          <t>REF000000</t>
        </is>
      </c>
      <c r="N468" t="inlineStr">
        <is>
          <t>USSEA</t>
        </is>
      </c>
      <c r="O468" t="inlineStr">
        <is>
          <t>USSEA</t>
        </is>
      </c>
      <c r="P468" t="inlineStr">
        <is>
          <t>USNFK</t>
        </is>
      </c>
      <c r="U468" t="inlineStr">
        <is>
          <t>RULED</t>
        </is>
      </c>
      <c r="V468" t="inlineStr">
        <is>
          <t>RULED</t>
        </is>
      </c>
      <c r="W468" t="inlineStr">
        <is>
          <t>CANADA</t>
        </is>
      </c>
      <c r="X468" t="inlineStr">
        <is>
          <t>PERSIAN GULF</t>
        </is>
      </c>
      <c r="Y468" t="inlineStr">
        <is>
          <t>RUSSIA</t>
        </is>
      </c>
      <c r="Z468" t="inlineStr">
        <is>
          <t>External Review</t>
        </is>
      </c>
      <c r="AA468" t="inlineStr">
        <is>
          <t>HUB SHIPPING LLC-LED</t>
        </is>
      </c>
      <c r="AB468" t="inlineStr">
        <is>
          <t>Prepaid</t>
        </is>
      </c>
      <c r="AC468" t="inlineStr">
        <is>
          <t>TIGER PLATA/972N</t>
        </is>
      </c>
      <c r="AE468" t="inlineStr">
        <is>
          <t>LADEN BOOKING</t>
        </is>
      </c>
      <c r="AF468" t="inlineStr">
        <is>
          <t>AR_MARTIMA</t>
        </is>
      </c>
      <c r="AG468" t="inlineStr">
        <is>
          <t>RH40</t>
        </is>
      </c>
      <c r="AI468" t="n">
        <v>40</v>
      </c>
      <c r="AJ468" t="n">
        <v>0</v>
      </c>
      <c r="AK468" t="n">
        <v>1</v>
      </c>
      <c r="AL468" t="inlineStr">
        <is>
          <t>ANON0000000</t>
        </is>
      </c>
      <c r="AM468" t="n">
        <v>-18</v>
      </c>
      <c r="AP468" t="inlineStr">
        <is>
          <t>Non Haz</t>
        </is>
      </c>
      <c r="AQ468" t="inlineStr">
        <is>
          <t>CY/CY</t>
        </is>
      </c>
      <c r="AT468" t="inlineStr">
        <is>
          <t>REF000000</t>
        </is>
      </c>
      <c r="AU468" t="n">
        <v>29000</v>
      </c>
      <c r="AV468" t="inlineStr">
        <is>
          <t>FROZEN MEAT</t>
        </is>
      </c>
      <c r="AW468" t="inlineStr">
        <is>
          <t>NCM 020629</t>
        </is>
      </c>
      <c r="AX468" t="inlineStr">
        <is>
          <t>RSAMI122500031</t>
        </is>
      </c>
      <c r="AZ468" t="n">
        <v>0</v>
      </c>
      <c r="BA468" t="n">
        <v>10</v>
      </c>
      <c r="BB468" t="n">
        <v>10</v>
      </c>
      <c r="BC468" t="n">
        <v>6800</v>
      </c>
      <c r="BD468" t="inlineStr">
        <is>
          <t>No</t>
        </is>
      </c>
      <c r="BF468" t="inlineStr">
        <is>
          <t>Bengal Tiger Line -BTL</t>
        </is>
      </c>
      <c r="BG468" t="inlineStr">
        <is>
          <t>USSEA</t>
        </is>
      </c>
      <c r="BH468" t="n">
        <v>0</v>
      </c>
      <c r="BI468" t="n">
        <v>1</v>
      </c>
      <c r="BJ468" t="n">
        <v>6800</v>
      </c>
      <c r="BK468" t="inlineStr">
        <is>
          <t>LINE</t>
        </is>
      </c>
      <c r="BL468" t="inlineStr">
        <is>
          <t>SEAL REEFER</t>
        </is>
      </c>
      <c r="BM468" t="inlineStr">
        <is>
          <t>SEAL REEFER</t>
        </is>
      </c>
    </row>
    <row r="469">
      <c r="A469" t="n">
        <v>468</v>
      </c>
      <c r="B469" t="inlineStr">
        <is>
          <t>SHARK REEFER</t>
        </is>
      </c>
      <c r="C469" t="inlineStr">
        <is>
          <t>REF000000</t>
        </is>
      </c>
      <c r="D469" t="inlineStr">
        <is>
          <t>REF000000</t>
        </is>
      </c>
      <c r="E469" t="n">
        <v>46087</v>
      </c>
      <c r="F469" t="inlineStr">
        <is>
          <t>SHARK REEFER</t>
        </is>
      </c>
      <c r="G469" t="inlineStr">
        <is>
          <t>ENTERED THROUGH SPLIT BOOKING FROM THE BOOKING ID REF000000, BY AR_MARTIMA, ON 3/6/2026 7:01:49 PM</t>
        </is>
      </c>
      <c r="H469" t="inlineStr">
        <is>
          <t>AR_MARTIMA</t>
        </is>
      </c>
      <c r="J469" t="n">
        <v>46098</v>
      </c>
      <c r="K469" t="n">
        <v>46097</v>
      </c>
      <c r="L469" t="n">
        <v>46098</v>
      </c>
      <c r="M469" t="inlineStr">
        <is>
          <t>REF000000</t>
        </is>
      </c>
      <c r="N469" t="inlineStr">
        <is>
          <t>USSEA</t>
        </is>
      </c>
      <c r="O469" t="inlineStr">
        <is>
          <t>USSEA</t>
        </is>
      </c>
      <c r="P469" t="inlineStr">
        <is>
          <t>USNFK</t>
        </is>
      </c>
      <c r="U469" t="inlineStr">
        <is>
          <t>RULED</t>
        </is>
      </c>
      <c r="V469" t="inlineStr">
        <is>
          <t>RULED</t>
        </is>
      </c>
      <c r="W469" t="inlineStr">
        <is>
          <t>CANADA</t>
        </is>
      </c>
      <c r="X469" t="inlineStr">
        <is>
          <t>PERSIAN GULF</t>
        </is>
      </c>
      <c r="Y469" t="inlineStr">
        <is>
          <t>RUSSIA</t>
        </is>
      </c>
      <c r="Z469" t="inlineStr">
        <is>
          <t>External Review</t>
        </is>
      </c>
      <c r="AA469" t="inlineStr">
        <is>
          <t>HUB SHIPPING LLC-LED</t>
        </is>
      </c>
      <c r="AB469" t="inlineStr">
        <is>
          <t>Prepaid</t>
        </is>
      </c>
      <c r="AC469" t="inlineStr">
        <is>
          <t>TIGER PLATA/972N</t>
        </is>
      </c>
      <c r="AE469" t="inlineStr">
        <is>
          <t>LADEN BOOKING</t>
        </is>
      </c>
      <c r="AF469" t="inlineStr">
        <is>
          <t>AR_MARTIMA</t>
        </is>
      </c>
      <c r="AG469" t="inlineStr">
        <is>
          <t>RH40</t>
        </is>
      </c>
      <c r="AI469" t="n">
        <v>40</v>
      </c>
      <c r="AJ469" t="n">
        <v>0</v>
      </c>
      <c r="AK469" t="n">
        <v>1</v>
      </c>
      <c r="AL469" t="inlineStr">
        <is>
          <t>ANON0000000</t>
        </is>
      </c>
      <c r="AM469" t="n">
        <v>-18</v>
      </c>
      <c r="AP469" t="inlineStr">
        <is>
          <t>Non Haz</t>
        </is>
      </c>
      <c r="AQ469" t="inlineStr">
        <is>
          <t>CY/CY</t>
        </is>
      </c>
      <c r="AT469" t="inlineStr">
        <is>
          <t>REF000000</t>
        </is>
      </c>
      <c r="AU469" t="n">
        <v>29000</v>
      </c>
      <c r="AV469" t="inlineStr">
        <is>
          <t>FROZEN MEAT</t>
        </is>
      </c>
      <c r="AW469" t="inlineStr">
        <is>
          <t>NCM 020629</t>
        </is>
      </c>
      <c r="AX469" t="inlineStr">
        <is>
          <t>RSAMI122500031</t>
        </is>
      </c>
      <c r="AZ469" t="n">
        <v>0</v>
      </c>
      <c r="BA469" t="n">
        <v>10</v>
      </c>
      <c r="BB469" t="n">
        <v>10</v>
      </c>
      <c r="BC469" t="n">
        <v>6800</v>
      </c>
      <c r="BD469" t="inlineStr">
        <is>
          <t>No</t>
        </is>
      </c>
      <c r="BF469" t="inlineStr">
        <is>
          <t>Bengal Tiger Line -BTL</t>
        </is>
      </c>
      <c r="BG469" t="inlineStr">
        <is>
          <t>USSEA</t>
        </is>
      </c>
      <c r="BH469" t="n">
        <v>0</v>
      </c>
      <c r="BI469" t="n">
        <v>1</v>
      </c>
      <c r="BJ469" t="n">
        <v>6800</v>
      </c>
      <c r="BK469" t="inlineStr">
        <is>
          <t>LINE</t>
        </is>
      </c>
      <c r="BL469" t="inlineStr">
        <is>
          <t>SHARK REEFER</t>
        </is>
      </c>
      <c r="BM469" t="inlineStr">
        <is>
          <t>SHARK REEFER</t>
        </is>
      </c>
    </row>
    <row r="470">
      <c r="A470" t="n">
        <v>469</v>
      </c>
      <c r="B470" t="inlineStr">
        <is>
          <t>DOLPHIN REEFER</t>
        </is>
      </c>
      <c r="C470" t="inlineStr">
        <is>
          <t>REF000000</t>
        </is>
      </c>
      <c r="D470" t="inlineStr">
        <is>
          <t>REF000000</t>
        </is>
      </c>
      <c r="E470" t="n">
        <v>46087</v>
      </c>
      <c r="F470" t="inlineStr">
        <is>
          <t>DOLPHIN REEFER</t>
        </is>
      </c>
      <c r="G470" t="inlineStr">
        <is>
          <t>ENTERED THROUGH SPLIT BOOKING FROM THE BOOKING ID REF000000, BY AR_MARTIMA, ON 3/6/2026 7:01:49 PM</t>
        </is>
      </c>
      <c r="H470" t="inlineStr">
        <is>
          <t>AR_MARTIMA</t>
        </is>
      </c>
      <c r="J470" t="n">
        <v>46098</v>
      </c>
      <c r="K470" t="n">
        <v>46097</v>
      </c>
      <c r="L470" t="n">
        <v>46098</v>
      </c>
      <c r="M470" t="inlineStr">
        <is>
          <t>REF000000</t>
        </is>
      </c>
      <c r="N470" t="inlineStr">
        <is>
          <t>USSEA</t>
        </is>
      </c>
      <c r="O470" t="inlineStr">
        <is>
          <t>USSEA</t>
        </is>
      </c>
      <c r="P470" t="inlineStr">
        <is>
          <t>USNFK</t>
        </is>
      </c>
      <c r="U470" t="inlineStr">
        <is>
          <t>RULED</t>
        </is>
      </c>
      <c r="V470" t="inlineStr">
        <is>
          <t>RULED</t>
        </is>
      </c>
      <c r="W470" t="inlineStr">
        <is>
          <t>CANADA</t>
        </is>
      </c>
      <c r="X470" t="inlineStr">
        <is>
          <t>PERSIAN GULF</t>
        </is>
      </c>
      <c r="Y470" t="inlineStr">
        <is>
          <t>RUSSIA</t>
        </is>
      </c>
      <c r="Z470" t="inlineStr">
        <is>
          <t>External Review</t>
        </is>
      </c>
      <c r="AA470" t="inlineStr">
        <is>
          <t>HUB SHIPPING LLC-LED</t>
        </is>
      </c>
      <c r="AB470" t="inlineStr">
        <is>
          <t>Prepaid</t>
        </is>
      </c>
      <c r="AC470" t="inlineStr">
        <is>
          <t>TIGER PLATA/972N</t>
        </is>
      </c>
      <c r="AE470" t="inlineStr">
        <is>
          <t>LADEN BOOKING</t>
        </is>
      </c>
      <c r="AF470" t="inlineStr">
        <is>
          <t>AR_MARTIMA</t>
        </is>
      </c>
      <c r="AG470" t="inlineStr">
        <is>
          <t>RH40</t>
        </is>
      </c>
      <c r="AI470" t="n">
        <v>40</v>
      </c>
      <c r="AJ470" t="n">
        <v>0</v>
      </c>
      <c r="AK470" t="n">
        <v>1</v>
      </c>
      <c r="AL470" t="inlineStr">
        <is>
          <t>ANON0000000</t>
        </is>
      </c>
      <c r="AM470" t="n">
        <v>-18</v>
      </c>
      <c r="AP470" t="inlineStr">
        <is>
          <t>Non Haz</t>
        </is>
      </c>
      <c r="AQ470" t="inlineStr">
        <is>
          <t>CY/CY</t>
        </is>
      </c>
      <c r="AT470" t="inlineStr">
        <is>
          <t>REF000000</t>
        </is>
      </c>
      <c r="AU470" t="n">
        <v>29000</v>
      </c>
      <c r="AV470" t="inlineStr">
        <is>
          <t>FROZEN MEAT</t>
        </is>
      </c>
      <c r="AW470" t="inlineStr">
        <is>
          <t>NCM 020622</t>
        </is>
      </c>
      <c r="AX470" t="inlineStr">
        <is>
          <t>RSAMI122500031</t>
        </is>
      </c>
      <c r="AZ470" t="n">
        <v>0</v>
      </c>
      <c r="BA470" t="n">
        <v>10</v>
      </c>
      <c r="BB470" t="n">
        <v>10</v>
      </c>
      <c r="BC470" t="n">
        <v>6800</v>
      </c>
      <c r="BD470" t="inlineStr">
        <is>
          <t>No</t>
        </is>
      </c>
      <c r="BF470" t="inlineStr">
        <is>
          <t>Bengal Tiger Line -BTL</t>
        </is>
      </c>
      <c r="BG470" t="inlineStr">
        <is>
          <t>USSEA</t>
        </is>
      </c>
      <c r="BH470" t="n">
        <v>0</v>
      </c>
      <c r="BI470" t="n">
        <v>1</v>
      </c>
      <c r="BJ470" t="n">
        <v>6800</v>
      </c>
      <c r="BK470" t="inlineStr">
        <is>
          <t>LINE</t>
        </is>
      </c>
      <c r="BL470" t="inlineStr">
        <is>
          <t>DOLPHIN REEFER</t>
        </is>
      </c>
      <c r="BM470" t="inlineStr">
        <is>
          <t>DOLPHIN REEFER</t>
        </is>
      </c>
    </row>
    <row r="471">
      <c r="A471" t="n">
        <v>470</v>
      </c>
      <c r="B471" t="inlineStr">
        <is>
          <t>MARLIN REEFER</t>
        </is>
      </c>
      <c r="C471" t="inlineStr">
        <is>
          <t>REF000000</t>
        </is>
      </c>
      <c r="D471" t="inlineStr">
        <is>
          <t>REF000000</t>
        </is>
      </c>
      <c r="E471" t="n">
        <v>46087</v>
      </c>
      <c r="F471" t="inlineStr">
        <is>
          <t>MARLIN REEFER</t>
        </is>
      </c>
      <c r="G471" t="inlineStr">
        <is>
          <t>ENTERED THROUGH SPLIT BOOKING FROM THE BOOKING ID REF000000, BY AR_MARTIMA, ON 3/6/2026 7:01:50 PM</t>
        </is>
      </c>
      <c r="H471" t="inlineStr">
        <is>
          <t>AR_MARTIMA</t>
        </is>
      </c>
      <c r="J471" t="n">
        <v>46098</v>
      </c>
      <c r="K471" t="n">
        <v>46097</v>
      </c>
      <c r="L471" t="n">
        <v>46098</v>
      </c>
      <c r="M471" t="inlineStr">
        <is>
          <t>REF000000</t>
        </is>
      </c>
      <c r="N471" t="inlineStr">
        <is>
          <t>USSEA</t>
        </is>
      </c>
      <c r="O471" t="inlineStr">
        <is>
          <t>USSEA</t>
        </is>
      </c>
      <c r="P471" t="inlineStr">
        <is>
          <t>USNFK</t>
        </is>
      </c>
      <c r="U471" t="inlineStr">
        <is>
          <t>RULED</t>
        </is>
      </c>
      <c r="V471" t="inlineStr">
        <is>
          <t>RULED</t>
        </is>
      </c>
      <c r="W471" t="inlineStr">
        <is>
          <t>CANADA</t>
        </is>
      </c>
      <c r="X471" t="inlineStr">
        <is>
          <t>PERSIAN GULF</t>
        </is>
      </c>
      <c r="Y471" t="inlineStr">
        <is>
          <t>RUSSIA</t>
        </is>
      </c>
      <c r="Z471" t="inlineStr">
        <is>
          <t>External Review</t>
        </is>
      </c>
      <c r="AA471" t="inlineStr">
        <is>
          <t>HUB SHIPPING LLC-LED</t>
        </is>
      </c>
      <c r="AB471" t="inlineStr">
        <is>
          <t>Prepaid</t>
        </is>
      </c>
      <c r="AC471" t="inlineStr">
        <is>
          <t>TIGER PLATA/972N</t>
        </is>
      </c>
      <c r="AE471" t="inlineStr">
        <is>
          <t>LADEN BOOKING</t>
        </is>
      </c>
      <c r="AF471" t="inlineStr">
        <is>
          <t>AR_MARTIMA</t>
        </is>
      </c>
      <c r="AG471" t="inlineStr">
        <is>
          <t>RH40</t>
        </is>
      </c>
      <c r="AI471" t="n">
        <v>40</v>
      </c>
      <c r="AJ471" t="n">
        <v>0</v>
      </c>
      <c r="AK471" t="n">
        <v>1</v>
      </c>
      <c r="AL471" t="inlineStr">
        <is>
          <t>ANON0000000</t>
        </is>
      </c>
      <c r="AM471" t="n">
        <v>-18</v>
      </c>
      <c r="AP471" t="inlineStr">
        <is>
          <t>Non Haz</t>
        </is>
      </c>
      <c r="AQ471" t="inlineStr">
        <is>
          <t>CY/CY</t>
        </is>
      </c>
      <c r="AT471" t="inlineStr">
        <is>
          <t>REF000000</t>
        </is>
      </c>
      <c r="AU471" t="n">
        <v>29000</v>
      </c>
      <c r="AV471" t="inlineStr">
        <is>
          <t>FROZEN MEAT</t>
        </is>
      </c>
      <c r="AW471" t="inlineStr">
        <is>
          <t>NCM 020622</t>
        </is>
      </c>
      <c r="AX471" t="inlineStr">
        <is>
          <t>RSAMI122500031</t>
        </is>
      </c>
      <c r="AZ471" t="n">
        <v>0</v>
      </c>
      <c r="BA471" t="n">
        <v>10</v>
      </c>
      <c r="BB471" t="n">
        <v>10</v>
      </c>
      <c r="BC471" t="n">
        <v>6800</v>
      </c>
      <c r="BD471" t="inlineStr">
        <is>
          <t>No</t>
        </is>
      </c>
      <c r="BF471" t="inlineStr">
        <is>
          <t>Bengal Tiger Line -BTL</t>
        </is>
      </c>
      <c r="BG471" t="inlineStr">
        <is>
          <t>USSEA</t>
        </is>
      </c>
      <c r="BH471" t="n">
        <v>0</v>
      </c>
      <c r="BI471" t="n">
        <v>1</v>
      </c>
      <c r="BJ471" t="n">
        <v>6800</v>
      </c>
      <c r="BK471" t="inlineStr">
        <is>
          <t>LINE</t>
        </is>
      </c>
      <c r="BL471" t="inlineStr">
        <is>
          <t>MARLIN REEFER</t>
        </is>
      </c>
      <c r="BM471" t="inlineStr">
        <is>
          <t>MARLIN REEFER</t>
        </is>
      </c>
    </row>
    <row r="472">
      <c r="A472" t="n">
        <v>471</v>
      </c>
      <c r="B472" t="inlineStr">
        <is>
          <t>TURTLE REEFER</t>
        </is>
      </c>
      <c r="C472" t="inlineStr">
        <is>
          <t>REF000000</t>
        </is>
      </c>
      <c r="D472" t="inlineStr">
        <is>
          <t>REF000000</t>
        </is>
      </c>
      <c r="E472" t="n">
        <v>46087</v>
      </c>
      <c r="F472" t="inlineStr">
        <is>
          <t>TURTLE REEFER</t>
        </is>
      </c>
      <c r="G472" t="inlineStr">
        <is>
          <t>ENTERED THROUGH SPLIT BOOKING FROM THE BOOKING ID REF000000, BY AR_MARTIMA, ON 3/6/2026 7:01:50 PM</t>
        </is>
      </c>
      <c r="H472" t="inlineStr">
        <is>
          <t>AR_MARTIMA</t>
        </is>
      </c>
      <c r="J472" t="n">
        <v>46098</v>
      </c>
      <c r="K472" t="n">
        <v>46097</v>
      </c>
      <c r="L472" t="n">
        <v>46098</v>
      </c>
      <c r="M472" t="inlineStr">
        <is>
          <t>REF000000</t>
        </is>
      </c>
      <c r="N472" t="inlineStr">
        <is>
          <t>USSEA</t>
        </is>
      </c>
      <c r="O472" t="inlineStr">
        <is>
          <t>USSEA</t>
        </is>
      </c>
      <c r="P472" t="inlineStr">
        <is>
          <t>USNFK</t>
        </is>
      </c>
      <c r="U472" t="inlineStr">
        <is>
          <t>RULED</t>
        </is>
      </c>
      <c r="V472" t="inlineStr">
        <is>
          <t>RULED</t>
        </is>
      </c>
      <c r="W472" t="inlineStr">
        <is>
          <t>CANADA</t>
        </is>
      </c>
      <c r="X472" t="inlineStr">
        <is>
          <t>PERSIAN GULF</t>
        </is>
      </c>
      <c r="Y472" t="inlineStr">
        <is>
          <t>RUSSIA</t>
        </is>
      </c>
      <c r="Z472" t="inlineStr">
        <is>
          <t>External Review</t>
        </is>
      </c>
      <c r="AA472" t="inlineStr">
        <is>
          <t>HUB SHIPPING LLC-LED</t>
        </is>
      </c>
      <c r="AB472" t="inlineStr">
        <is>
          <t>Prepaid</t>
        </is>
      </c>
      <c r="AC472" t="inlineStr">
        <is>
          <t>TIGER PLATA/972N</t>
        </is>
      </c>
      <c r="AE472" t="inlineStr">
        <is>
          <t>LADEN BOOKING</t>
        </is>
      </c>
      <c r="AF472" t="inlineStr">
        <is>
          <t>AR_MARTIMA</t>
        </is>
      </c>
      <c r="AG472" t="inlineStr">
        <is>
          <t>RH40</t>
        </is>
      </c>
      <c r="AI472" t="n">
        <v>40</v>
      </c>
      <c r="AJ472" t="n">
        <v>0</v>
      </c>
      <c r="AK472" t="n">
        <v>1</v>
      </c>
      <c r="AL472" t="inlineStr">
        <is>
          <t>ANON0000000</t>
        </is>
      </c>
      <c r="AM472" t="n">
        <v>-18</v>
      </c>
      <c r="AP472" t="inlineStr">
        <is>
          <t>Non Haz</t>
        </is>
      </c>
      <c r="AQ472" t="inlineStr">
        <is>
          <t>CY/CY</t>
        </is>
      </c>
      <c r="AT472" t="inlineStr">
        <is>
          <t>REF000000</t>
        </is>
      </c>
      <c r="AU472" t="n">
        <v>29000</v>
      </c>
      <c r="AV472" t="inlineStr">
        <is>
          <t>FROZEN MEAT</t>
        </is>
      </c>
      <c r="AW472" t="inlineStr">
        <is>
          <t>NCM 020621</t>
        </is>
      </c>
      <c r="AX472" t="inlineStr">
        <is>
          <t>RSAMI122500031</t>
        </is>
      </c>
      <c r="AZ472" t="n">
        <v>0</v>
      </c>
      <c r="BA472" t="n">
        <v>10</v>
      </c>
      <c r="BB472" t="n">
        <v>10</v>
      </c>
      <c r="BC472" t="n">
        <v>6800</v>
      </c>
      <c r="BD472" t="inlineStr">
        <is>
          <t>No</t>
        </is>
      </c>
      <c r="BF472" t="inlineStr">
        <is>
          <t>Bengal Tiger Line -BTL</t>
        </is>
      </c>
      <c r="BG472" t="inlineStr">
        <is>
          <t>USSEA</t>
        </is>
      </c>
      <c r="BH472" t="n">
        <v>0</v>
      </c>
      <c r="BI472" t="n">
        <v>1</v>
      </c>
      <c r="BJ472" t="n">
        <v>6800</v>
      </c>
      <c r="BK472" t="inlineStr">
        <is>
          <t>LINE</t>
        </is>
      </c>
      <c r="BL472" t="inlineStr">
        <is>
          <t>TURTLE REEFER</t>
        </is>
      </c>
      <c r="BM472" t="inlineStr">
        <is>
          <t>TURTLE REEFER</t>
        </is>
      </c>
    </row>
    <row r="473">
      <c r="A473" t="n">
        <v>472</v>
      </c>
      <c r="B473" t="inlineStr">
        <is>
          <t>ORCA REEFER</t>
        </is>
      </c>
      <c r="C473" t="inlineStr">
        <is>
          <t>REF000000</t>
        </is>
      </c>
      <c r="D473" t="inlineStr">
        <is>
          <t>REF000000</t>
        </is>
      </c>
      <c r="E473" t="n">
        <v>46087</v>
      </c>
      <c r="F473" t="inlineStr">
        <is>
          <t>ORCA REEFER</t>
        </is>
      </c>
      <c r="G473" t="inlineStr">
        <is>
          <t>1x40rh temp -18</t>
        </is>
      </c>
      <c r="H473" t="inlineStr">
        <is>
          <t>AR_MARTIMA</t>
        </is>
      </c>
      <c r="J473" t="n">
        <v>46098</v>
      </c>
      <c r="K473" t="n">
        <v>46097</v>
      </c>
      <c r="L473" t="n">
        <v>46098</v>
      </c>
      <c r="M473" t="inlineStr">
        <is>
          <t>REF000000</t>
        </is>
      </c>
      <c r="N473" t="inlineStr">
        <is>
          <t>USSEA</t>
        </is>
      </c>
      <c r="O473" t="inlineStr">
        <is>
          <t>USSEA</t>
        </is>
      </c>
      <c r="P473" t="inlineStr">
        <is>
          <t>USNFK</t>
        </is>
      </c>
      <c r="U473" t="inlineStr">
        <is>
          <t>RULED</t>
        </is>
      </c>
      <c r="V473" t="inlineStr">
        <is>
          <t>RULED</t>
        </is>
      </c>
      <c r="W473" t="inlineStr">
        <is>
          <t>CANADA</t>
        </is>
      </c>
      <c r="X473" t="inlineStr">
        <is>
          <t>PERSIAN GULF</t>
        </is>
      </c>
      <c r="Y473" t="inlineStr">
        <is>
          <t>RUSSIA</t>
        </is>
      </c>
      <c r="Z473" t="inlineStr">
        <is>
          <t>External Review</t>
        </is>
      </c>
      <c r="AA473" t="inlineStr">
        <is>
          <t>HUB SHIPPING LLC-LED</t>
        </is>
      </c>
      <c r="AB473" t="inlineStr">
        <is>
          <t>Prepaid</t>
        </is>
      </c>
      <c r="AC473" t="inlineStr">
        <is>
          <t>TIGER PLATA/972N</t>
        </is>
      </c>
      <c r="AE473" t="inlineStr">
        <is>
          <t>LADEN BOOKING</t>
        </is>
      </c>
      <c r="AF473" t="inlineStr">
        <is>
          <t>AR_MARTIMA</t>
        </is>
      </c>
      <c r="AG473" t="inlineStr">
        <is>
          <t>RH40</t>
        </is>
      </c>
      <c r="AH473" t="inlineStr">
        <is>
          <t>NO</t>
        </is>
      </c>
      <c r="AI473" t="n">
        <v>40</v>
      </c>
      <c r="AJ473" t="n">
        <v>0</v>
      </c>
      <c r="AK473" t="n">
        <v>1</v>
      </c>
      <c r="AL473" t="inlineStr">
        <is>
          <t>ANON0000000</t>
        </is>
      </c>
      <c r="AM473" t="n">
        <v>-18</v>
      </c>
      <c r="AP473" t="inlineStr">
        <is>
          <t>Non Haz</t>
        </is>
      </c>
      <c r="AQ473" t="inlineStr">
        <is>
          <t>CY/CY</t>
        </is>
      </c>
      <c r="AT473" t="inlineStr">
        <is>
          <t>REF000000</t>
        </is>
      </c>
      <c r="AU473" t="n">
        <v>29000</v>
      </c>
      <c r="AV473" t="inlineStr">
        <is>
          <t>FROZEN MEAT</t>
        </is>
      </c>
      <c r="AW473" t="inlineStr">
        <is>
          <t>NCM 020622</t>
        </is>
      </c>
      <c r="AX473" t="inlineStr">
        <is>
          <t>RSAMI122500031</t>
        </is>
      </c>
      <c r="AZ473" t="n">
        <v>0</v>
      </c>
      <c r="BA473" t="n">
        <v>10</v>
      </c>
      <c r="BB473" t="n">
        <v>10</v>
      </c>
      <c r="BC473" t="n">
        <v>6800</v>
      </c>
      <c r="BD473" t="inlineStr">
        <is>
          <t>No</t>
        </is>
      </c>
      <c r="BF473" t="inlineStr">
        <is>
          <t>Bengal Tiger Line -BTL</t>
        </is>
      </c>
      <c r="BG473" t="inlineStr">
        <is>
          <t>USSEA</t>
        </is>
      </c>
      <c r="BH473" t="n">
        <v>0</v>
      </c>
      <c r="BI473" t="n">
        <v>1</v>
      </c>
      <c r="BJ473" t="n">
        <v>6800</v>
      </c>
      <c r="BK473" t="inlineStr">
        <is>
          <t>LINE</t>
        </is>
      </c>
      <c r="BL473" t="inlineStr">
        <is>
          <t>ORCA REEFER</t>
        </is>
      </c>
      <c r="BM473" t="inlineStr">
        <is>
          <t>ORCA REEFER</t>
        </is>
      </c>
    </row>
    <row r="474">
      <c r="A474" t="n">
        <v>473</v>
      </c>
      <c r="B474" t="inlineStr">
        <is>
          <t>WHALE REEFER</t>
        </is>
      </c>
      <c r="C474" t="inlineStr">
        <is>
          <t>REF000000</t>
        </is>
      </c>
      <c r="D474" t="inlineStr">
        <is>
          <t>REF000000</t>
        </is>
      </c>
      <c r="E474" t="n">
        <v>46087</v>
      </c>
      <c r="F474" t="inlineStr">
        <is>
          <t>WHALE REEFER</t>
        </is>
      </c>
      <c r="G474" t="inlineStr">
        <is>
          <t>ENTERED THROUGH SPLIT BOOKING FROM THE BOOKING ID REF000000, BY AR_MARTIMA, ON 3/6/2026 7:08:01 PM</t>
        </is>
      </c>
      <c r="H474" t="inlineStr">
        <is>
          <t>AR_MARTIMA</t>
        </is>
      </c>
      <c r="J474" t="n">
        <v>46098</v>
      </c>
      <c r="K474" t="n">
        <v>46097</v>
      </c>
      <c r="L474" t="n">
        <v>46098</v>
      </c>
      <c r="M474" t="inlineStr">
        <is>
          <t>REF000000</t>
        </is>
      </c>
      <c r="N474" t="inlineStr">
        <is>
          <t>USSEA</t>
        </is>
      </c>
      <c r="O474" t="inlineStr">
        <is>
          <t>USSEA</t>
        </is>
      </c>
      <c r="P474" t="inlineStr">
        <is>
          <t>USNFK</t>
        </is>
      </c>
      <c r="U474" t="inlineStr">
        <is>
          <t>RULED</t>
        </is>
      </c>
      <c r="V474" t="inlineStr">
        <is>
          <t>RULED</t>
        </is>
      </c>
      <c r="W474" t="inlineStr">
        <is>
          <t>CANADA</t>
        </is>
      </c>
      <c r="X474" t="inlineStr">
        <is>
          <t>PERSIAN GULF</t>
        </is>
      </c>
      <c r="Y474" t="inlineStr">
        <is>
          <t>RUSSIA</t>
        </is>
      </c>
      <c r="Z474" t="inlineStr">
        <is>
          <t>External Review</t>
        </is>
      </c>
      <c r="AA474" t="inlineStr">
        <is>
          <t>HUB SHIPPING LLC-LED</t>
        </is>
      </c>
      <c r="AB474" t="inlineStr">
        <is>
          <t>Prepaid</t>
        </is>
      </c>
      <c r="AC474" t="inlineStr">
        <is>
          <t>TIGER PLATA/972N</t>
        </is>
      </c>
      <c r="AE474" t="inlineStr">
        <is>
          <t>LADEN BOOKING</t>
        </is>
      </c>
      <c r="AF474" t="inlineStr">
        <is>
          <t>AR_MARTIMA</t>
        </is>
      </c>
      <c r="AG474" t="inlineStr">
        <is>
          <t>RH40</t>
        </is>
      </c>
      <c r="AI474" t="n">
        <v>40</v>
      </c>
      <c r="AJ474" t="n">
        <v>0</v>
      </c>
      <c r="AK474" t="n">
        <v>1</v>
      </c>
      <c r="AL474" t="inlineStr">
        <is>
          <t>ANON0000000</t>
        </is>
      </c>
      <c r="AM474" t="n">
        <v>-18</v>
      </c>
      <c r="AP474" t="inlineStr">
        <is>
          <t>Non Haz</t>
        </is>
      </c>
      <c r="AQ474" t="inlineStr">
        <is>
          <t>CY/CY</t>
        </is>
      </c>
      <c r="AT474" t="inlineStr">
        <is>
          <t>REF000000</t>
        </is>
      </c>
      <c r="AU474" t="n">
        <v>29000</v>
      </c>
      <c r="AV474" t="inlineStr">
        <is>
          <t>FROZEN MEAT</t>
        </is>
      </c>
      <c r="AW474" t="inlineStr">
        <is>
          <t>NCM 020622</t>
        </is>
      </c>
      <c r="AX474" t="inlineStr">
        <is>
          <t>RSAMI122500031</t>
        </is>
      </c>
      <c r="AZ474" t="n">
        <v>0</v>
      </c>
      <c r="BA474" t="n">
        <v>10</v>
      </c>
      <c r="BB474" t="n">
        <v>10</v>
      </c>
      <c r="BC474" t="n">
        <v>6800</v>
      </c>
      <c r="BD474" t="inlineStr">
        <is>
          <t>No</t>
        </is>
      </c>
      <c r="BF474" t="inlineStr">
        <is>
          <t>Bengal Tiger Line -BTL</t>
        </is>
      </c>
      <c r="BG474" t="inlineStr">
        <is>
          <t>USSEA</t>
        </is>
      </c>
      <c r="BH474" t="n">
        <v>0</v>
      </c>
      <c r="BI474" t="n">
        <v>1</v>
      </c>
      <c r="BJ474" t="n">
        <v>6800</v>
      </c>
      <c r="BK474" t="inlineStr">
        <is>
          <t>LINE</t>
        </is>
      </c>
      <c r="BL474" t="inlineStr">
        <is>
          <t>WHALE REEFER</t>
        </is>
      </c>
      <c r="BM474" t="inlineStr">
        <is>
          <t>WHALE REEFER</t>
        </is>
      </c>
    </row>
    <row r="475">
      <c r="A475" t="n">
        <v>474</v>
      </c>
      <c r="B475" t="inlineStr">
        <is>
          <t>SEAL REEFER</t>
        </is>
      </c>
      <c r="C475" t="inlineStr">
        <is>
          <t>REF000000</t>
        </is>
      </c>
      <c r="D475" t="inlineStr">
        <is>
          <t>REF000000</t>
        </is>
      </c>
      <c r="E475" t="n">
        <v>46087</v>
      </c>
      <c r="F475" t="inlineStr">
        <is>
          <t>SEAL REEFER</t>
        </is>
      </c>
      <c r="G475" t="inlineStr">
        <is>
          <t>ENTERED THROUGH SPLIT BOOKING FROM THE BOOKING ID REF000000, BY AR_MARTIMA, ON 3/6/2026 7:08:01 PM</t>
        </is>
      </c>
      <c r="H475" t="inlineStr">
        <is>
          <t>AR_MARTIMA</t>
        </is>
      </c>
      <c r="J475" t="n">
        <v>46098</v>
      </c>
      <c r="K475" t="n">
        <v>46097</v>
      </c>
      <c r="L475" t="n">
        <v>46098</v>
      </c>
      <c r="M475" t="inlineStr">
        <is>
          <t>REF000000</t>
        </is>
      </c>
      <c r="N475" t="inlineStr">
        <is>
          <t>USSEA</t>
        </is>
      </c>
      <c r="O475" t="inlineStr">
        <is>
          <t>USSEA</t>
        </is>
      </c>
      <c r="P475" t="inlineStr">
        <is>
          <t>USNFK</t>
        </is>
      </c>
      <c r="U475" t="inlineStr">
        <is>
          <t>RULED</t>
        </is>
      </c>
      <c r="V475" t="inlineStr">
        <is>
          <t>RULED</t>
        </is>
      </c>
      <c r="W475" t="inlineStr">
        <is>
          <t>CANADA</t>
        </is>
      </c>
      <c r="X475" t="inlineStr">
        <is>
          <t>PERSIAN GULF</t>
        </is>
      </c>
      <c r="Y475" t="inlineStr">
        <is>
          <t>RUSSIA</t>
        </is>
      </c>
      <c r="Z475" t="inlineStr">
        <is>
          <t>External Review</t>
        </is>
      </c>
      <c r="AA475" t="inlineStr">
        <is>
          <t>HUB SHIPPING LLC-LED</t>
        </is>
      </c>
      <c r="AB475" t="inlineStr">
        <is>
          <t>Prepaid</t>
        </is>
      </c>
      <c r="AC475" t="inlineStr">
        <is>
          <t>TIGER PLATA/972N</t>
        </is>
      </c>
      <c r="AE475" t="inlineStr">
        <is>
          <t>LADEN BOOKING</t>
        </is>
      </c>
      <c r="AF475" t="inlineStr">
        <is>
          <t>AR_MARTIMA</t>
        </is>
      </c>
      <c r="AG475" t="inlineStr">
        <is>
          <t>RH40</t>
        </is>
      </c>
      <c r="AI475" t="n">
        <v>40</v>
      </c>
      <c r="AJ475" t="n">
        <v>0</v>
      </c>
      <c r="AK475" t="n">
        <v>1</v>
      </c>
      <c r="AL475" t="inlineStr">
        <is>
          <t>ANON0000000</t>
        </is>
      </c>
      <c r="AM475" t="n">
        <v>-18</v>
      </c>
      <c r="AP475" t="inlineStr">
        <is>
          <t>Non Haz</t>
        </is>
      </c>
      <c r="AQ475" t="inlineStr">
        <is>
          <t>CY/CY</t>
        </is>
      </c>
      <c r="AT475" t="inlineStr">
        <is>
          <t>REF000000</t>
        </is>
      </c>
      <c r="AU475" t="n">
        <v>29000</v>
      </c>
      <c r="AV475" t="inlineStr">
        <is>
          <t>FROZEN MEAT</t>
        </is>
      </c>
      <c r="AW475" t="inlineStr">
        <is>
          <t>NCM 020621</t>
        </is>
      </c>
      <c r="AX475" t="inlineStr">
        <is>
          <t>RSAMI122500031</t>
        </is>
      </c>
      <c r="AZ475" t="n">
        <v>0</v>
      </c>
      <c r="BA475" t="n">
        <v>10</v>
      </c>
      <c r="BB475" t="n">
        <v>10</v>
      </c>
      <c r="BC475" t="n">
        <v>6800</v>
      </c>
      <c r="BD475" t="inlineStr">
        <is>
          <t>No</t>
        </is>
      </c>
      <c r="BF475" t="inlineStr">
        <is>
          <t>Bengal Tiger Line -BTL</t>
        </is>
      </c>
      <c r="BG475" t="inlineStr">
        <is>
          <t>USSEA</t>
        </is>
      </c>
      <c r="BH475" t="n">
        <v>0</v>
      </c>
      <c r="BI475" t="n">
        <v>1</v>
      </c>
      <c r="BJ475" t="n">
        <v>6800</v>
      </c>
      <c r="BK475" t="inlineStr">
        <is>
          <t>LINE</t>
        </is>
      </c>
      <c r="BL475" t="inlineStr">
        <is>
          <t>SEAL REEFER</t>
        </is>
      </c>
      <c r="BM475" t="inlineStr">
        <is>
          <t>SEAL REEFER</t>
        </is>
      </c>
    </row>
    <row r="476">
      <c r="A476" t="n">
        <v>475</v>
      </c>
      <c r="B476" t="inlineStr">
        <is>
          <t>SHARK REEFER</t>
        </is>
      </c>
      <c r="C476" t="inlineStr">
        <is>
          <t>REF000000</t>
        </is>
      </c>
      <c r="D476" t="inlineStr">
        <is>
          <t>REF000000</t>
        </is>
      </c>
      <c r="E476" t="n">
        <v>46087</v>
      </c>
      <c r="F476" t="inlineStr">
        <is>
          <t>SHARK REEFER</t>
        </is>
      </c>
      <c r="G476" t="inlineStr">
        <is>
          <t>ENTERED THROUGH SPLIT BOOKING FROM THE BOOKING ID REF000000, BY AR_MARTIMA, ON 3/6/2026 7:08:01 PM</t>
        </is>
      </c>
      <c r="H476" t="inlineStr">
        <is>
          <t>AR_MARTIMA</t>
        </is>
      </c>
      <c r="J476" t="n">
        <v>46098</v>
      </c>
      <c r="K476" t="n">
        <v>46097</v>
      </c>
      <c r="L476" t="n">
        <v>46098</v>
      </c>
      <c r="M476" t="inlineStr">
        <is>
          <t>REF000000</t>
        </is>
      </c>
      <c r="N476" t="inlineStr">
        <is>
          <t>USSEA</t>
        </is>
      </c>
      <c r="O476" t="inlineStr">
        <is>
          <t>USSEA</t>
        </is>
      </c>
      <c r="P476" t="inlineStr">
        <is>
          <t>USNFK</t>
        </is>
      </c>
      <c r="U476" t="inlineStr">
        <is>
          <t>RULED</t>
        </is>
      </c>
      <c r="V476" t="inlineStr">
        <is>
          <t>RULED</t>
        </is>
      </c>
      <c r="W476" t="inlineStr">
        <is>
          <t>CANADA</t>
        </is>
      </c>
      <c r="X476" t="inlineStr">
        <is>
          <t>PERSIAN GULF</t>
        </is>
      </c>
      <c r="Y476" t="inlineStr">
        <is>
          <t>RUSSIA</t>
        </is>
      </c>
      <c r="Z476" t="inlineStr">
        <is>
          <t>External Review</t>
        </is>
      </c>
      <c r="AA476" t="inlineStr">
        <is>
          <t>HUB SHIPPING LLC-LED</t>
        </is>
      </c>
      <c r="AB476" t="inlineStr">
        <is>
          <t>Prepaid</t>
        </is>
      </c>
      <c r="AC476" t="inlineStr">
        <is>
          <t>TIGER PLATA/972N</t>
        </is>
      </c>
      <c r="AE476" t="inlineStr">
        <is>
          <t>LADEN BOOKING</t>
        </is>
      </c>
      <c r="AF476" t="inlineStr">
        <is>
          <t>AR_MARTIMA</t>
        </is>
      </c>
      <c r="AG476" t="inlineStr">
        <is>
          <t>RH40</t>
        </is>
      </c>
      <c r="AI476" t="n">
        <v>40</v>
      </c>
      <c r="AJ476" t="n">
        <v>0</v>
      </c>
      <c r="AK476" t="n">
        <v>1</v>
      </c>
      <c r="AL476" t="inlineStr">
        <is>
          <t>ANON0000000</t>
        </is>
      </c>
      <c r="AM476" t="n">
        <v>-18</v>
      </c>
      <c r="AP476" t="inlineStr">
        <is>
          <t>Non Haz</t>
        </is>
      </c>
      <c r="AQ476" t="inlineStr">
        <is>
          <t>CY/CY</t>
        </is>
      </c>
      <c r="AT476" t="inlineStr">
        <is>
          <t>REF000000</t>
        </is>
      </c>
      <c r="AU476" t="n">
        <v>29000</v>
      </c>
      <c r="AV476" t="inlineStr">
        <is>
          <t>FROZEN MEAT</t>
        </is>
      </c>
      <c r="AW476" t="inlineStr">
        <is>
          <t>NCM 020629</t>
        </is>
      </c>
      <c r="AX476" t="inlineStr">
        <is>
          <t>RSAMI122500031</t>
        </is>
      </c>
      <c r="AZ476" t="n">
        <v>0</v>
      </c>
      <c r="BA476" t="n">
        <v>10</v>
      </c>
      <c r="BB476" t="n">
        <v>10</v>
      </c>
      <c r="BC476" t="n">
        <v>6800</v>
      </c>
      <c r="BD476" t="inlineStr">
        <is>
          <t>No</t>
        </is>
      </c>
      <c r="BF476" t="inlineStr">
        <is>
          <t>Bengal Tiger Line -BTL</t>
        </is>
      </c>
      <c r="BG476" t="inlineStr">
        <is>
          <t>USSEA</t>
        </is>
      </c>
      <c r="BH476" t="n">
        <v>0</v>
      </c>
      <c r="BI476" t="n">
        <v>1</v>
      </c>
      <c r="BJ476" t="n">
        <v>6800</v>
      </c>
      <c r="BK476" t="inlineStr">
        <is>
          <t>LINE</t>
        </is>
      </c>
      <c r="BL476" t="inlineStr">
        <is>
          <t>SHARK REEFER</t>
        </is>
      </c>
      <c r="BM476" t="inlineStr">
        <is>
          <t>SHARK REEFER</t>
        </is>
      </c>
    </row>
    <row r="477">
      <c r="A477" t="n">
        <v>476</v>
      </c>
      <c r="B477" t="inlineStr">
        <is>
          <t>DOLPHIN REEFER</t>
        </is>
      </c>
      <c r="C477" t="inlineStr">
        <is>
          <t>REF000000</t>
        </is>
      </c>
      <c r="D477" t="inlineStr">
        <is>
          <t>REF000000</t>
        </is>
      </c>
      <c r="E477" t="n">
        <v>46091</v>
      </c>
      <c r="F477" t="inlineStr">
        <is>
          <t>DOLPHIN REEFER</t>
        </is>
      </c>
      <c r="G477" t="inlineStr">
        <is>
          <t>1x40rh temp -18</t>
        </is>
      </c>
      <c r="H477" t="inlineStr">
        <is>
          <t>AR_MARTIMA</t>
        </is>
      </c>
      <c r="J477" t="n">
        <v>46098</v>
      </c>
      <c r="K477" t="n">
        <v>46097</v>
      </c>
      <c r="L477" t="n">
        <v>46098</v>
      </c>
      <c r="M477" t="inlineStr">
        <is>
          <t>REF000000</t>
        </is>
      </c>
      <c r="N477" t="inlineStr">
        <is>
          <t>USSEA</t>
        </is>
      </c>
      <c r="O477" t="inlineStr">
        <is>
          <t>USSEA</t>
        </is>
      </c>
      <c r="P477" t="inlineStr">
        <is>
          <t>USNFK</t>
        </is>
      </c>
      <c r="U477" t="inlineStr">
        <is>
          <t>RULED</t>
        </is>
      </c>
      <c r="V477" t="inlineStr">
        <is>
          <t>RULED</t>
        </is>
      </c>
      <c r="W477" t="inlineStr">
        <is>
          <t>CANADA</t>
        </is>
      </c>
      <c r="X477" t="inlineStr">
        <is>
          <t>PERSIAN GULF</t>
        </is>
      </c>
      <c r="Y477" t="inlineStr">
        <is>
          <t>RUSSIA</t>
        </is>
      </c>
      <c r="Z477" t="inlineStr">
        <is>
          <t>External Review</t>
        </is>
      </c>
      <c r="AA477" t="inlineStr">
        <is>
          <t>HUB SHIPPING LLC-LED</t>
        </is>
      </c>
      <c r="AB477" t="inlineStr">
        <is>
          <t>Prepaid</t>
        </is>
      </c>
      <c r="AC477" t="inlineStr">
        <is>
          <t>TIGER PLATA/972N</t>
        </is>
      </c>
      <c r="AE477" t="inlineStr">
        <is>
          <t>LADEN BOOKING</t>
        </is>
      </c>
      <c r="AF477" t="inlineStr">
        <is>
          <t>AR_MARTIMA</t>
        </is>
      </c>
      <c r="AG477" t="inlineStr">
        <is>
          <t>RH40</t>
        </is>
      </c>
      <c r="AH477" t="inlineStr">
        <is>
          <t>NO</t>
        </is>
      </c>
      <c r="AI477" t="n">
        <v>40</v>
      </c>
      <c r="AJ477" t="n">
        <v>0</v>
      </c>
      <c r="AK477" t="n">
        <v>1</v>
      </c>
      <c r="AL477" t="inlineStr">
        <is>
          <t>ANON0000000</t>
        </is>
      </c>
      <c r="AM477" t="n">
        <v>-18</v>
      </c>
      <c r="AP477" t="inlineStr">
        <is>
          <t>Non Haz</t>
        </is>
      </c>
      <c r="AQ477" t="inlineStr">
        <is>
          <t>CY/CY</t>
        </is>
      </c>
      <c r="AT477" t="inlineStr">
        <is>
          <t>REF000000</t>
        </is>
      </c>
      <c r="AU477" t="n">
        <v>29000</v>
      </c>
      <c r="AV477" t="inlineStr">
        <is>
          <t>FROZEN BONELESS BUFFALO MEAT</t>
        </is>
      </c>
      <c r="AW477" t="inlineStr">
        <is>
          <t>N.C.M.: 0206.22</t>
        </is>
      </c>
      <c r="AX477" t="inlineStr">
        <is>
          <t>RSAMI122500027</t>
        </is>
      </c>
      <c r="AZ477" t="n">
        <v>0</v>
      </c>
      <c r="BA477" t="n">
        <v>10</v>
      </c>
      <c r="BB477" t="n">
        <v>10</v>
      </c>
      <c r="BC477" t="n">
        <v>7300</v>
      </c>
      <c r="BD477" t="inlineStr">
        <is>
          <t>No</t>
        </is>
      </c>
      <c r="BF477" t="inlineStr">
        <is>
          <t>Bengal Tiger Line -BTL</t>
        </is>
      </c>
      <c r="BG477" t="inlineStr">
        <is>
          <t>USSEA</t>
        </is>
      </c>
      <c r="BH477" t="n">
        <v>0</v>
      </c>
      <c r="BI477" t="n">
        <v>1</v>
      </c>
      <c r="BJ477" t="n">
        <v>7300</v>
      </c>
      <c r="BK477" t="inlineStr">
        <is>
          <t>LINE</t>
        </is>
      </c>
      <c r="BL477" t="inlineStr">
        <is>
          <t>DOLPHIN REEFER</t>
        </is>
      </c>
      <c r="BM477" t="inlineStr">
        <is>
          <t>DOLPHIN REEFER</t>
        </is>
      </c>
    </row>
    <row r="478">
      <c r="A478" t="n">
        <v>477</v>
      </c>
      <c r="B478" t="inlineStr">
        <is>
          <t>MARLIN REEFER</t>
        </is>
      </c>
      <c r="C478" t="inlineStr">
        <is>
          <t>REF000000</t>
        </is>
      </c>
      <c r="D478" t="inlineStr">
        <is>
          <t>REF000000</t>
        </is>
      </c>
      <c r="E478" t="n">
        <v>46091</v>
      </c>
      <c r="F478" t="inlineStr">
        <is>
          <t>MARLIN REEFER</t>
        </is>
      </c>
      <c r="G478" t="inlineStr">
        <is>
          <t>ENTERED THROUGH SPLIT BOOKING FROM THE BOOKING ID REF000000, BY AR_MARTIMA, ON 3/10/2026 9:25:49 PM</t>
        </is>
      </c>
      <c r="H478" t="inlineStr">
        <is>
          <t>AR_MARTIMA</t>
        </is>
      </c>
      <c r="J478" t="n">
        <v>46098</v>
      </c>
      <c r="K478" t="n">
        <v>46097</v>
      </c>
      <c r="L478" t="n">
        <v>46098</v>
      </c>
      <c r="M478" t="inlineStr">
        <is>
          <t>REF000000</t>
        </is>
      </c>
      <c r="N478" t="inlineStr">
        <is>
          <t>USSEA</t>
        </is>
      </c>
      <c r="O478" t="inlineStr">
        <is>
          <t>USSEA</t>
        </is>
      </c>
      <c r="P478" t="inlineStr">
        <is>
          <t>USNFK</t>
        </is>
      </c>
      <c r="U478" t="inlineStr">
        <is>
          <t>RULED</t>
        </is>
      </c>
      <c r="V478" t="inlineStr">
        <is>
          <t>RULED</t>
        </is>
      </c>
      <c r="W478" t="inlineStr">
        <is>
          <t>CANADA</t>
        </is>
      </c>
      <c r="X478" t="inlineStr">
        <is>
          <t>PERSIAN GULF</t>
        </is>
      </c>
      <c r="Y478" t="inlineStr">
        <is>
          <t>RUSSIA</t>
        </is>
      </c>
      <c r="Z478" t="inlineStr">
        <is>
          <t>External Review</t>
        </is>
      </c>
      <c r="AA478" t="inlineStr">
        <is>
          <t>HUB SHIPPING LLC-LED</t>
        </is>
      </c>
      <c r="AB478" t="inlineStr">
        <is>
          <t>Prepaid</t>
        </is>
      </c>
      <c r="AC478" t="inlineStr">
        <is>
          <t>TIGER PLATA/972N</t>
        </is>
      </c>
      <c r="AE478" t="inlineStr">
        <is>
          <t>LADEN BOOKING</t>
        </is>
      </c>
      <c r="AF478" t="inlineStr">
        <is>
          <t>AR_MARTIMA</t>
        </is>
      </c>
      <c r="AG478" t="inlineStr">
        <is>
          <t>RH40</t>
        </is>
      </c>
      <c r="AI478" t="n">
        <v>40</v>
      </c>
      <c r="AJ478" t="n">
        <v>0</v>
      </c>
      <c r="AK478" t="n">
        <v>1</v>
      </c>
      <c r="AL478" t="inlineStr">
        <is>
          <t>ANON0000000</t>
        </is>
      </c>
      <c r="AM478" t="n">
        <v>-18</v>
      </c>
      <c r="AP478" t="inlineStr">
        <is>
          <t>Non Haz</t>
        </is>
      </c>
      <c r="AQ478" t="inlineStr">
        <is>
          <t>CY/CY</t>
        </is>
      </c>
      <c r="AT478" t="inlineStr">
        <is>
          <t>REF000000</t>
        </is>
      </c>
      <c r="AU478" t="n">
        <v>29000</v>
      </c>
      <c r="AV478" t="inlineStr">
        <is>
          <t>FROZEN BONELESS BUFFALO MEAT</t>
        </is>
      </c>
      <c r="AX478" t="inlineStr">
        <is>
          <t>RSAMI122500027</t>
        </is>
      </c>
      <c r="AZ478" t="n">
        <v>0</v>
      </c>
      <c r="BA478" t="n">
        <v>10</v>
      </c>
      <c r="BB478" t="n">
        <v>10</v>
      </c>
      <c r="BC478" t="n">
        <v>7300</v>
      </c>
      <c r="BD478" t="inlineStr">
        <is>
          <t>No</t>
        </is>
      </c>
      <c r="BF478" t="inlineStr">
        <is>
          <t>Bengal Tiger Line -BTL</t>
        </is>
      </c>
      <c r="BG478" t="inlineStr">
        <is>
          <t>USSEA</t>
        </is>
      </c>
      <c r="BH478" t="n">
        <v>0</v>
      </c>
      <c r="BI478" t="n">
        <v>1</v>
      </c>
      <c r="BJ478" t="n">
        <v>7300</v>
      </c>
      <c r="BK478" t="inlineStr">
        <is>
          <t>LINE</t>
        </is>
      </c>
      <c r="BL478" t="inlineStr">
        <is>
          <t>MARLIN REEFER</t>
        </is>
      </c>
      <c r="BM478" t="inlineStr">
        <is>
          <t>MARLIN REEFER</t>
        </is>
      </c>
    </row>
    <row r="479">
      <c r="A479" t="n">
        <v>478</v>
      </c>
      <c r="B479" t="inlineStr">
        <is>
          <t>TURTLE REEFER</t>
        </is>
      </c>
      <c r="C479" t="inlineStr">
        <is>
          <t>REF000000</t>
        </is>
      </c>
      <c r="D479" t="inlineStr">
        <is>
          <t>REF000000</t>
        </is>
      </c>
      <c r="E479" t="n">
        <v>46092</v>
      </c>
      <c r="F479" t="inlineStr">
        <is>
          <t>TURTLE REEFER</t>
        </is>
      </c>
      <c r="G479" t="inlineStr">
        <is>
          <t>1x40rh temp -18</t>
        </is>
      </c>
      <c r="H479" t="inlineStr">
        <is>
          <t>AR_MARTIMA</t>
        </is>
      </c>
      <c r="J479" t="n">
        <v>46098</v>
      </c>
      <c r="K479" t="n">
        <v>46097</v>
      </c>
      <c r="L479" t="n">
        <v>46098</v>
      </c>
      <c r="M479" t="inlineStr">
        <is>
          <t>REF000000</t>
        </is>
      </c>
      <c r="N479" t="inlineStr">
        <is>
          <t>USSEA</t>
        </is>
      </c>
      <c r="O479" t="inlineStr">
        <is>
          <t>USSEA</t>
        </is>
      </c>
      <c r="P479" t="inlineStr">
        <is>
          <t>USNFK</t>
        </is>
      </c>
      <c r="U479" t="inlineStr">
        <is>
          <t>RULED</t>
        </is>
      </c>
      <c r="V479" t="inlineStr">
        <is>
          <t>RULED</t>
        </is>
      </c>
      <c r="W479" t="inlineStr">
        <is>
          <t>CANADA</t>
        </is>
      </c>
      <c r="X479" t="inlineStr">
        <is>
          <t>PERSIAN GULF</t>
        </is>
      </c>
      <c r="Y479" t="inlineStr">
        <is>
          <t>RUSSIA</t>
        </is>
      </c>
      <c r="Z479" t="inlineStr">
        <is>
          <t>External Review</t>
        </is>
      </c>
      <c r="AA479" t="inlineStr">
        <is>
          <t>HUB SHIPPING LLC-LED</t>
        </is>
      </c>
      <c r="AB479" t="inlineStr">
        <is>
          <t>Prepaid</t>
        </is>
      </c>
      <c r="AC479" t="inlineStr">
        <is>
          <t>TIGER PLATA/972N</t>
        </is>
      </c>
      <c r="AE479" t="inlineStr">
        <is>
          <t>LADEN BOOKING</t>
        </is>
      </c>
      <c r="AF479" t="inlineStr">
        <is>
          <t>AR_MARTIMA</t>
        </is>
      </c>
      <c r="AG479" t="inlineStr">
        <is>
          <t>RH40</t>
        </is>
      </c>
      <c r="AH479" t="inlineStr">
        <is>
          <t>NO</t>
        </is>
      </c>
      <c r="AI479" t="n">
        <v>40</v>
      </c>
      <c r="AJ479" t="n">
        <v>0</v>
      </c>
      <c r="AK479" t="n">
        <v>1</v>
      </c>
      <c r="AL479" t="inlineStr">
        <is>
          <t>ANON0000000</t>
        </is>
      </c>
      <c r="AM479" t="n">
        <v>-18</v>
      </c>
      <c r="AP479" t="inlineStr">
        <is>
          <t>Non Haz</t>
        </is>
      </c>
      <c r="AQ479" t="inlineStr">
        <is>
          <t>CY/CY</t>
        </is>
      </c>
      <c r="AT479" t="inlineStr">
        <is>
          <t>REF000000</t>
        </is>
      </c>
      <c r="AU479" t="n">
        <v>29000</v>
      </c>
      <c r="AV479" t="inlineStr">
        <is>
          <t>FROZEN MEAT</t>
        </is>
      </c>
      <c r="AX479" t="inlineStr">
        <is>
          <t>RSAMI122500031</t>
        </is>
      </c>
      <c r="AZ479" t="n">
        <v>0</v>
      </c>
      <c r="BA479" t="n">
        <v>10</v>
      </c>
      <c r="BB479" t="n">
        <v>10</v>
      </c>
      <c r="BC479" t="n">
        <v>6800</v>
      </c>
      <c r="BD479" t="inlineStr">
        <is>
          <t>No</t>
        </is>
      </c>
      <c r="BF479" t="inlineStr">
        <is>
          <t>Bengal Tiger Line -BTL</t>
        </is>
      </c>
      <c r="BG479" t="inlineStr">
        <is>
          <t>USSEA</t>
        </is>
      </c>
      <c r="BH479" t="n">
        <v>0</v>
      </c>
      <c r="BI479" t="n">
        <v>1</v>
      </c>
      <c r="BJ479" t="n">
        <v>6800</v>
      </c>
      <c r="BK479" t="inlineStr">
        <is>
          <t>LINE</t>
        </is>
      </c>
      <c r="BL479" t="inlineStr">
        <is>
          <t>TURTLE REEFER</t>
        </is>
      </c>
      <c r="BM479" t="inlineStr">
        <is>
          <t>TURTLE REEFER</t>
        </is>
      </c>
    </row>
    <row r="480">
      <c r="A480" t="n">
        <v>479</v>
      </c>
      <c r="B480" t="inlineStr">
        <is>
          <t>ORCA REEFER</t>
        </is>
      </c>
      <c r="C480" t="inlineStr">
        <is>
          <t>REF000000</t>
        </is>
      </c>
      <c r="D480" t="inlineStr">
        <is>
          <t>REF000000</t>
        </is>
      </c>
      <c r="E480" t="n">
        <v>46092</v>
      </c>
      <c r="F480" t="inlineStr">
        <is>
          <t>ORCA REEFER</t>
        </is>
      </c>
      <c r="G480" t="inlineStr">
        <is>
          <t>ENTERED THROUGH SPLIT BOOKING FROM THE BOOKING ID REF000000, BY AR_MARTIMA, ON 3/11/2026 6:29:28 PM</t>
        </is>
      </c>
      <c r="H480" t="inlineStr">
        <is>
          <t>AR_MARTIMA</t>
        </is>
      </c>
      <c r="J480" t="n">
        <v>46098</v>
      </c>
      <c r="K480" t="n">
        <v>46097</v>
      </c>
      <c r="L480" t="n">
        <v>46098</v>
      </c>
      <c r="M480" t="inlineStr">
        <is>
          <t>REF000000</t>
        </is>
      </c>
      <c r="N480" t="inlineStr">
        <is>
          <t>USSEA</t>
        </is>
      </c>
      <c r="O480" t="inlineStr">
        <is>
          <t>USSEA</t>
        </is>
      </c>
      <c r="P480" t="inlineStr">
        <is>
          <t>USNFK</t>
        </is>
      </c>
      <c r="U480" t="inlineStr">
        <is>
          <t>RULED</t>
        </is>
      </c>
      <c r="V480" t="inlineStr">
        <is>
          <t>RULED</t>
        </is>
      </c>
      <c r="W480" t="inlineStr">
        <is>
          <t>CANADA</t>
        </is>
      </c>
      <c r="X480" t="inlineStr">
        <is>
          <t>PERSIAN GULF</t>
        </is>
      </c>
      <c r="Y480" t="inlineStr">
        <is>
          <t>RUSSIA</t>
        </is>
      </c>
      <c r="Z480" t="inlineStr">
        <is>
          <t>External Review</t>
        </is>
      </c>
      <c r="AA480" t="inlineStr">
        <is>
          <t>HUB SHIPPING LLC-LED</t>
        </is>
      </c>
      <c r="AB480" t="inlineStr">
        <is>
          <t>Prepaid</t>
        </is>
      </c>
      <c r="AC480" t="inlineStr">
        <is>
          <t>TIGER PLATA/972N</t>
        </is>
      </c>
      <c r="AE480" t="inlineStr">
        <is>
          <t>LADEN BOOKING</t>
        </is>
      </c>
      <c r="AF480" t="inlineStr">
        <is>
          <t>AR_MARTIMA</t>
        </is>
      </c>
      <c r="AG480" t="inlineStr">
        <is>
          <t>RH40</t>
        </is>
      </c>
      <c r="AI480" t="n">
        <v>40</v>
      </c>
      <c r="AJ480" t="n">
        <v>0</v>
      </c>
      <c r="AK480" t="n">
        <v>1</v>
      </c>
      <c r="AL480" t="inlineStr">
        <is>
          <t>ANON0000000</t>
        </is>
      </c>
      <c r="AM480" t="n">
        <v>-18</v>
      </c>
      <c r="AP480" t="inlineStr">
        <is>
          <t>Non Haz</t>
        </is>
      </c>
      <c r="AQ480" t="inlineStr">
        <is>
          <t>CY/CY</t>
        </is>
      </c>
      <c r="AT480" t="inlineStr">
        <is>
          <t>REF000000</t>
        </is>
      </c>
      <c r="AU480" t="n">
        <v>29000</v>
      </c>
      <c r="AV480" t="inlineStr">
        <is>
          <t>FROZEN MEAT</t>
        </is>
      </c>
      <c r="AW480" t="inlineStr">
        <is>
          <t>NCM 020629</t>
        </is>
      </c>
      <c r="AX480" t="inlineStr">
        <is>
          <t>RSAMI122500031</t>
        </is>
      </c>
      <c r="AZ480" t="n">
        <v>0</v>
      </c>
      <c r="BA480" t="n">
        <v>10</v>
      </c>
      <c r="BB480" t="n">
        <v>10</v>
      </c>
      <c r="BC480" t="n">
        <v>6800</v>
      </c>
      <c r="BD480" t="inlineStr">
        <is>
          <t>No</t>
        </is>
      </c>
      <c r="BF480" t="inlineStr">
        <is>
          <t>Bengal Tiger Line -BTL</t>
        </is>
      </c>
      <c r="BG480" t="inlineStr">
        <is>
          <t>USSEA</t>
        </is>
      </c>
      <c r="BH480" t="n">
        <v>0</v>
      </c>
      <c r="BI480" t="n">
        <v>1</v>
      </c>
      <c r="BJ480" t="n">
        <v>6800</v>
      </c>
      <c r="BK480" t="inlineStr">
        <is>
          <t>LINE</t>
        </is>
      </c>
      <c r="BL480" t="inlineStr">
        <is>
          <t>ORCA REEFER</t>
        </is>
      </c>
      <c r="BM480" t="inlineStr">
        <is>
          <t>ORCA REEFER</t>
        </is>
      </c>
    </row>
    <row r="481">
      <c r="A481" t="n">
        <v>480</v>
      </c>
      <c r="B481" t="inlineStr">
        <is>
          <t>WHALE REEFER</t>
        </is>
      </c>
      <c r="C481" t="inlineStr">
        <is>
          <t>REF000000</t>
        </is>
      </c>
      <c r="D481" t="inlineStr">
        <is>
          <t>REF000000</t>
        </is>
      </c>
      <c r="E481" t="n">
        <v>46092</v>
      </c>
      <c r="F481" t="inlineStr">
        <is>
          <t>WHALE REEFER</t>
        </is>
      </c>
      <c r="G481" t="inlineStr">
        <is>
          <t>1x40RQ TEMP: -24</t>
        </is>
      </c>
      <c r="H481" t="inlineStr">
        <is>
          <t>AR_MARTIMA</t>
        </is>
      </c>
      <c r="J481" t="n">
        <v>46098</v>
      </c>
      <c r="K481" t="n">
        <v>46097</v>
      </c>
      <c r="L481" t="n">
        <v>46098</v>
      </c>
      <c r="M481" t="inlineStr">
        <is>
          <t>REF000000</t>
        </is>
      </c>
      <c r="N481" t="inlineStr">
        <is>
          <t>USSEA</t>
        </is>
      </c>
      <c r="O481" t="inlineStr">
        <is>
          <t>USSEA</t>
        </is>
      </c>
      <c r="P481" t="inlineStr">
        <is>
          <t>USNFK</t>
        </is>
      </c>
      <c r="Q481" t="inlineStr">
        <is>
          <t>MACAS</t>
        </is>
      </c>
      <c r="U481" t="inlineStr">
        <is>
          <t>RULED</t>
        </is>
      </c>
      <c r="V481" t="inlineStr">
        <is>
          <t>RULED</t>
        </is>
      </c>
      <c r="W481" t="inlineStr">
        <is>
          <t>CANADA</t>
        </is>
      </c>
      <c r="X481" t="inlineStr">
        <is>
          <t>PERSIAN GULF</t>
        </is>
      </c>
      <c r="Y481" t="inlineStr">
        <is>
          <t>RUSSIA</t>
        </is>
      </c>
      <c r="Z481" t="inlineStr">
        <is>
          <t>External Review</t>
        </is>
      </c>
      <c r="AA481" t="inlineStr">
        <is>
          <t>HUB SHIPPING LLC-LED</t>
        </is>
      </c>
      <c r="AB481" t="inlineStr">
        <is>
          <t>Prepaid</t>
        </is>
      </c>
      <c r="AC481" t="inlineStr">
        <is>
          <t>TIGER PLATA/972N</t>
        </is>
      </c>
      <c r="AE481" t="inlineStr">
        <is>
          <t>LADEN BOOKING</t>
        </is>
      </c>
      <c r="AF481" t="inlineStr">
        <is>
          <t>AR_MARTIMA</t>
        </is>
      </c>
      <c r="AG481" t="inlineStr">
        <is>
          <t>RH40</t>
        </is>
      </c>
      <c r="AH481" t="inlineStr">
        <is>
          <t>NO</t>
        </is>
      </c>
      <c r="AI481" t="n">
        <v>40</v>
      </c>
      <c r="AJ481" t="n">
        <v>0</v>
      </c>
      <c r="AK481" t="n">
        <v>1</v>
      </c>
      <c r="AL481" t="inlineStr">
        <is>
          <t>ANON0000000</t>
        </is>
      </c>
      <c r="AM481" t="n">
        <v>-24</v>
      </c>
      <c r="AP481" t="inlineStr">
        <is>
          <t>Non Haz</t>
        </is>
      </c>
      <c r="AQ481" t="inlineStr">
        <is>
          <t>CY/CY</t>
        </is>
      </c>
      <c r="AT481" t="inlineStr">
        <is>
          <t>REF000000</t>
        </is>
      </c>
      <c r="AU481" t="n">
        <v>29000</v>
      </c>
      <c r="AV481" t="inlineStr">
        <is>
          <t>FROZEN FOODSTUFF</t>
        </is>
      </c>
      <c r="AW481" t="inlineStr">
        <is>
          <t>NCM: 0303.66</t>
        </is>
      </c>
      <c r="AX481" t="inlineStr">
        <is>
          <t>RSAMI032600001</t>
        </is>
      </c>
      <c r="AZ481" t="n">
        <v>0</v>
      </c>
      <c r="BA481" t="n">
        <v>10</v>
      </c>
      <c r="BB481" t="n">
        <v>10</v>
      </c>
      <c r="BC481" t="n">
        <v>7300</v>
      </c>
      <c r="BD481" t="inlineStr">
        <is>
          <t>No</t>
        </is>
      </c>
      <c r="BF481" t="inlineStr">
        <is>
          <t>Bengal Tiger Line -BTL</t>
        </is>
      </c>
      <c r="BG481" t="inlineStr">
        <is>
          <t>USSEA</t>
        </is>
      </c>
      <c r="BH481" t="n">
        <v>0</v>
      </c>
      <c r="BI481" t="n">
        <v>1</v>
      </c>
      <c r="BJ481" t="n">
        <v>7300</v>
      </c>
      <c r="BK481" t="inlineStr">
        <is>
          <t>LINE</t>
        </is>
      </c>
      <c r="BL481" t="inlineStr">
        <is>
          <t>WHALE REEFER</t>
        </is>
      </c>
      <c r="BM481" t="inlineStr">
        <is>
          <t>WHALE REEFER</t>
        </is>
      </c>
    </row>
    <row r="482">
      <c r="A482" t="n">
        <v>481</v>
      </c>
      <c r="B482" t="inlineStr">
        <is>
          <t>SEAL REEFER</t>
        </is>
      </c>
      <c r="C482" t="inlineStr">
        <is>
          <t>REF000000</t>
        </is>
      </c>
      <c r="D482" t="inlineStr">
        <is>
          <t>REF000000</t>
        </is>
      </c>
      <c r="E482" t="n">
        <v>46094</v>
      </c>
      <c r="F482" t="inlineStr">
        <is>
          <t>SEAL REEFER</t>
        </is>
      </c>
      <c r="G482" t="inlineStr">
        <is>
          <t>1X40RH TEMP -22</t>
        </is>
      </c>
      <c r="H482" t="inlineStr">
        <is>
          <t>AR_MARTIMA</t>
        </is>
      </c>
      <c r="J482" t="n">
        <v>46111</v>
      </c>
      <c r="K482" t="n">
        <v>46110</v>
      </c>
      <c r="L482" t="n">
        <v>46111</v>
      </c>
      <c r="M482" t="inlineStr">
        <is>
          <t>REF000000</t>
        </is>
      </c>
      <c r="N482" t="inlineStr">
        <is>
          <t>USSEA</t>
        </is>
      </c>
      <c r="O482" t="inlineStr">
        <is>
          <t>USSEA</t>
        </is>
      </c>
      <c r="P482" t="inlineStr">
        <is>
          <t>USNFK</t>
        </is>
      </c>
      <c r="Q482" t="inlineStr">
        <is>
          <t>MACAS</t>
        </is>
      </c>
      <c r="U482" t="inlineStr">
        <is>
          <t>RULED</t>
        </is>
      </c>
      <c r="V482" t="inlineStr">
        <is>
          <t>RULED</t>
        </is>
      </c>
      <c r="W482" t="inlineStr">
        <is>
          <t>CANADA</t>
        </is>
      </c>
      <c r="X482" t="inlineStr">
        <is>
          <t>PERSIAN GULF</t>
        </is>
      </c>
      <c r="Y482" t="inlineStr">
        <is>
          <t>RUSSIA</t>
        </is>
      </c>
      <c r="Z482" t="inlineStr">
        <is>
          <t>External Review</t>
        </is>
      </c>
      <c r="AA482" t="inlineStr">
        <is>
          <t>HUB SHIPPING LLC-LED</t>
        </is>
      </c>
      <c r="AB482" t="inlineStr">
        <is>
          <t>Prepaid</t>
        </is>
      </c>
      <c r="AC482" t="inlineStr">
        <is>
          <t>TIGER PLATA/974N</t>
        </is>
      </c>
      <c r="AE482" t="inlineStr">
        <is>
          <t>LADEN BOOKING</t>
        </is>
      </c>
      <c r="AF482" t="inlineStr">
        <is>
          <t>AR_MARTIMA</t>
        </is>
      </c>
      <c r="AG482" t="inlineStr">
        <is>
          <t>RH40</t>
        </is>
      </c>
      <c r="AH482" t="inlineStr">
        <is>
          <t>NO</t>
        </is>
      </c>
      <c r="AI482" t="n">
        <v>40</v>
      </c>
      <c r="AJ482" t="n">
        <v>0</v>
      </c>
      <c r="AK482" t="n">
        <v>1</v>
      </c>
      <c r="AL482" t="inlineStr">
        <is>
          <t>ANON0000000</t>
        </is>
      </c>
      <c r="AM482" t="n">
        <v>-22</v>
      </c>
      <c r="AP482" t="inlineStr">
        <is>
          <t>Non Haz</t>
        </is>
      </c>
      <c r="AQ482" t="inlineStr">
        <is>
          <t>CY/CY</t>
        </is>
      </c>
      <c r="AT482" t="inlineStr">
        <is>
          <t>REF000000</t>
        </is>
      </c>
      <c r="AU482" t="n">
        <v>29000</v>
      </c>
      <c r="AV482" t="inlineStr">
        <is>
          <t>FROZEN FISH</t>
        </is>
      </c>
      <c r="AW482" t="inlineStr">
        <is>
          <t>NCM: 0304.74</t>
        </is>
      </c>
      <c r="AX482" t="inlineStr">
        <is>
          <t>RSAMI122500028</t>
        </is>
      </c>
      <c r="AZ482" t="n">
        <v>0</v>
      </c>
      <c r="BA482" t="n">
        <v>10</v>
      </c>
      <c r="BB482" t="n">
        <v>10</v>
      </c>
      <c r="BC482" t="n">
        <v>7500</v>
      </c>
      <c r="BD482" t="inlineStr">
        <is>
          <t>No</t>
        </is>
      </c>
      <c r="BF482" t="inlineStr">
        <is>
          <t>Bengal Tiger Line -BTL</t>
        </is>
      </c>
      <c r="BG482" t="inlineStr">
        <is>
          <t>USSEA</t>
        </is>
      </c>
      <c r="BH482" t="n">
        <v>0</v>
      </c>
      <c r="BI482" t="n">
        <v>1</v>
      </c>
      <c r="BJ482" t="n">
        <v>7500</v>
      </c>
      <c r="BK482" t="inlineStr">
        <is>
          <t>LINE</t>
        </is>
      </c>
      <c r="BL482" t="inlineStr">
        <is>
          <t>SEAL REEFER</t>
        </is>
      </c>
      <c r="BM482" t="inlineStr">
        <is>
          <t>SEAL REEFER</t>
        </is>
      </c>
    </row>
    <row r="483">
      <c r="A483" t="n">
        <v>482</v>
      </c>
      <c r="B483" t="inlineStr">
        <is>
          <t>SHARK REEFER</t>
        </is>
      </c>
      <c r="C483" t="inlineStr">
        <is>
          <t>REF000000</t>
        </is>
      </c>
      <c r="D483" t="inlineStr">
        <is>
          <t>REF000000</t>
        </is>
      </c>
      <c r="E483" t="n">
        <v>46094</v>
      </c>
      <c r="F483" t="inlineStr">
        <is>
          <t>SHARK REEFER</t>
        </is>
      </c>
      <c r="G483" t="inlineStr">
        <is>
          <t>ENTERED THROUGH SPLIT BOOKING FROM THE BOOKING ID REF000000, BY AR_MARTIMA, ON 3/13/2026 9:43:39 PM</t>
        </is>
      </c>
      <c r="H483" t="inlineStr">
        <is>
          <t>AR_MARTIMA</t>
        </is>
      </c>
      <c r="J483" t="n">
        <v>46111</v>
      </c>
      <c r="K483" t="n">
        <v>46110</v>
      </c>
      <c r="L483" t="n">
        <v>46111</v>
      </c>
      <c r="M483" t="inlineStr">
        <is>
          <t>REF000000</t>
        </is>
      </c>
      <c r="N483" t="inlineStr">
        <is>
          <t>USSEA</t>
        </is>
      </c>
      <c r="O483" t="inlineStr">
        <is>
          <t>USSEA</t>
        </is>
      </c>
      <c r="P483" t="inlineStr">
        <is>
          <t>USNFK</t>
        </is>
      </c>
      <c r="Q483" t="inlineStr">
        <is>
          <t>MACAS</t>
        </is>
      </c>
      <c r="U483" t="inlineStr">
        <is>
          <t>RULED</t>
        </is>
      </c>
      <c r="V483" t="inlineStr">
        <is>
          <t>RULED</t>
        </is>
      </c>
      <c r="W483" t="inlineStr">
        <is>
          <t>CANADA</t>
        </is>
      </c>
      <c r="X483" t="inlineStr">
        <is>
          <t>PERSIAN GULF</t>
        </is>
      </c>
      <c r="Y483" t="inlineStr">
        <is>
          <t>RUSSIA</t>
        </is>
      </c>
      <c r="Z483" t="inlineStr">
        <is>
          <t>External Review</t>
        </is>
      </c>
      <c r="AA483" t="inlineStr">
        <is>
          <t>HUB SHIPPING LLC-LED</t>
        </is>
      </c>
      <c r="AB483" t="inlineStr">
        <is>
          <t>Prepaid</t>
        </is>
      </c>
      <c r="AC483" t="inlineStr">
        <is>
          <t>TIGER PLATA/974N</t>
        </is>
      </c>
      <c r="AE483" t="inlineStr">
        <is>
          <t>LADEN BOOKING</t>
        </is>
      </c>
      <c r="AF483" t="inlineStr">
        <is>
          <t>AR_MARTIMA</t>
        </is>
      </c>
      <c r="AG483" t="inlineStr">
        <is>
          <t>RH40</t>
        </is>
      </c>
      <c r="AH483" t="inlineStr">
        <is>
          <t>NO</t>
        </is>
      </c>
      <c r="AI483" t="n">
        <v>40</v>
      </c>
      <c r="AJ483" t="n">
        <v>0</v>
      </c>
      <c r="AK483" t="n">
        <v>1</v>
      </c>
      <c r="AL483" t="inlineStr">
        <is>
          <t>ANON0000000</t>
        </is>
      </c>
      <c r="AM483" t="n">
        <v>-22</v>
      </c>
      <c r="AP483" t="inlineStr">
        <is>
          <t>Non Haz</t>
        </is>
      </c>
      <c r="AQ483" t="inlineStr">
        <is>
          <t>CY/CY</t>
        </is>
      </c>
      <c r="AT483" t="inlineStr">
        <is>
          <t>REF000000</t>
        </is>
      </c>
      <c r="AU483" t="n">
        <v>29000</v>
      </c>
      <c r="AV483" t="inlineStr">
        <is>
          <t>FROZEN FISH</t>
        </is>
      </c>
      <c r="AW483" t="inlineStr">
        <is>
          <t>NCM: 0303.66</t>
        </is>
      </c>
      <c r="AX483" t="inlineStr">
        <is>
          <t>RSAMI122500028</t>
        </is>
      </c>
      <c r="AZ483" t="n">
        <v>0</v>
      </c>
      <c r="BA483" t="n">
        <v>10</v>
      </c>
      <c r="BB483" t="n">
        <v>10</v>
      </c>
      <c r="BC483" t="n">
        <v>7500</v>
      </c>
      <c r="BD483" t="inlineStr">
        <is>
          <t>No</t>
        </is>
      </c>
      <c r="BF483" t="inlineStr">
        <is>
          <t>Bengal Tiger Line -BTL</t>
        </is>
      </c>
      <c r="BG483" t="inlineStr">
        <is>
          <t>USSEA</t>
        </is>
      </c>
      <c r="BH483" t="n">
        <v>0</v>
      </c>
      <c r="BI483" t="n">
        <v>1</v>
      </c>
      <c r="BJ483" t="n">
        <v>7500</v>
      </c>
      <c r="BK483" t="inlineStr">
        <is>
          <t>LINE</t>
        </is>
      </c>
      <c r="BL483" t="inlineStr">
        <is>
          <t>SHARK REEFER</t>
        </is>
      </c>
      <c r="BM483" t="inlineStr">
        <is>
          <t>SHARK REEFER</t>
        </is>
      </c>
    </row>
    <row r="484">
      <c r="A484" t="n">
        <v>483</v>
      </c>
      <c r="B484" t="inlineStr">
        <is>
          <t>DOLPHIN REEFER</t>
        </is>
      </c>
      <c r="C484" t="inlineStr">
        <is>
          <t>REF000000</t>
        </is>
      </c>
      <c r="D484" t="inlineStr">
        <is>
          <t>REF000000</t>
        </is>
      </c>
      <c r="E484" t="n">
        <v>46094</v>
      </c>
      <c r="F484" t="inlineStr">
        <is>
          <t>DOLPHIN REEFER</t>
        </is>
      </c>
      <c r="G484" t="inlineStr">
        <is>
          <t>1x40rh temp -18</t>
        </is>
      </c>
      <c r="H484" t="inlineStr">
        <is>
          <t>AR_MARTIMA</t>
        </is>
      </c>
      <c r="J484" t="n">
        <v>46103</v>
      </c>
      <c r="K484" t="n">
        <v>46102</v>
      </c>
      <c r="L484" t="n">
        <v>46103</v>
      </c>
      <c r="M484" t="inlineStr">
        <is>
          <t>REF000000</t>
        </is>
      </c>
      <c r="N484" t="inlineStr">
        <is>
          <t>USSEA</t>
        </is>
      </c>
      <c r="O484" t="inlineStr">
        <is>
          <t>USSEA</t>
        </is>
      </c>
      <c r="P484" t="inlineStr">
        <is>
          <t>USNFK</t>
        </is>
      </c>
      <c r="U484" t="inlineStr">
        <is>
          <t>RULED</t>
        </is>
      </c>
      <c r="V484" t="inlineStr">
        <is>
          <t>RULED</t>
        </is>
      </c>
      <c r="W484" t="inlineStr">
        <is>
          <t>CANADA</t>
        </is>
      </c>
      <c r="X484" t="inlineStr">
        <is>
          <t>PERSIAN GULF</t>
        </is>
      </c>
      <c r="Y484" t="inlineStr">
        <is>
          <t>RUSSIA</t>
        </is>
      </c>
      <c r="Z484" t="inlineStr">
        <is>
          <t>External Review</t>
        </is>
      </c>
      <c r="AA484" t="inlineStr">
        <is>
          <t>HUB SHIPPING LLC-LED</t>
        </is>
      </c>
      <c r="AB484" t="inlineStr">
        <is>
          <t>Prepaid</t>
        </is>
      </c>
      <c r="AC484" t="inlineStr">
        <is>
          <t>TIGER PLATA/973N</t>
        </is>
      </c>
      <c r="AE484" t="inlineStr">
        <is>
          <t>LADEN BOOKING</t>
        </is>
      </c>
      <c r="AF484" t="inlineStr">
        <is>
          <t>AR_MARTIMA</t>
        </is>
      </c>
      <c r="AG484" t="inlineStr">
        <is>
          <t>RH40</t>
        </is>
      </c>
      <c r="AH484" t="inlineStr">
        <is>
          <t>NO</t>
        </is>
      </c>
      <c r="AI484" t="n">
        <v>40</v>
      </c>
      <c r="AJ484" t="n">
        <v>0</v>
      </c>
      <c r="AK484" t="n">
        <v>1</v>
      </c>
      <c r="AL484" t="inlineStr">
        <is>
          <t>ANON0000000</t>
        </is>
      </c>
      <c r="AM484" t="n">
        <v>-18</v>
      </c>
      <c r="AP484" t="inlineStr">
        <is>
          <t>Non Haz</t>
        </is>
      </c>
      <c r="AQ484" t="inlineStr">
        <is>
          <t>CY/CY</t>
        </is>
      </c>
      <c r="AT484" t="inlineStr">
        <is>
          <t>REF000000</t>
        </is>
      </c>
      <c r="AU484" t="n">
        <v>29000</v>
      </c>
      <c r="AV484" t="inlineStr">
        <is>
          <t>FROZEN MEAT</t>
        </is>
      </c>
      <c r="AW484" t="inlineStr">
        <is>
          <t>NCM 020629</t>
        </is>
      </c>
      <c r="AX484" t="inlineStr">
        <is>
          <t>RSAMI122500031</t>
        </is>
      </c>
      <c r="AZ484" t="n">
        <v>0</v>
      </c>
      <c r="BA484" t="n">
        <v>10</v>
      </c>
      <c r="BB484" t="n">
        <v>10</v>
      </c>
      <c r="BC484" t="n">
        <v>6800</v>
      </c>
      <c r="BD484" t="inlineStr">
        <is>
          <t>No</t>
        </is>
      </c>
      <c r="BF484" t="inlineStr">
        <is>
          <t>Bengal Tiger Line -BTL</t>
        </is>
      </c>
      <c r="BG484" t="inlineStr">
        <is>
          <t>USSEA</t>
        </is>
      </c>
      <c r="BH484" t="n">
        <v>0</v>
      </c>
      <c r="BI484" t="n">
        <v>1</v>
      </c>
      <c r="BJ484" t="n">
        <v>6800</v>
      </c>
      <c r="BK484" t="inlineStr">
        <is>
          <t>LINE</t>
        </is>
      </c>
      <c r="BL484" t="inlineStr">
        <is>
          <t>DOLPHIN REEFER</t>
        </is>
      </c>
      <c r="BM484" t="inlineStr">
        <is>
          <t>DOLPHIN REEFER</t>
        </is>
      </c>
    </row>
    <row r="485">
      <c r="A485" t="n">
        <v>484</v>
      </c>
      <c r="B485" t="inlineStr">
        <is>
          <t>MARLIN REEFER</t>
        </is>
      </c>
      <c r="C485" t="inlineStr">
        <is>
          <t>REF000000</t>
        </is>
      </c>
      <c r="D485" t="inlineStr">
        <is>
          <t>REF000000</t>
        </is>
      </c>
      <c r="E485" t="n">
        <v>46094</v>
      </c>
      <c r="F485" t="inlineStr">
        <is>
          <t>MARLIN REEFER</t>
        </is>
      </c>
      <c r="G485" t="inlineStr">
        <is>
          <t>ENTERED THROUGH SPLIT BOOKING FROM THE BOOKING ID REF000000, BY AR_MARTIMA, ON 3/13/2026 9:52:20 PM</t>
        </is>
      </c>
      <c r="H485" t="inlineStr">
        <is>
          <t>AR_MARTIMA</t>
        </is>
      </c>
      <c r="J485" t="n">
        <v>46103</v>
      </c>
      <c r="K485" t="n">
        <v>46102</v>
      </c>
      <c r="L485" t="n">
        <v>46103</v>
      </c>
      <c r="M485" t="inlineStr">
        <is>
          <t>REF000000</t>
        </is>
      </c>
      <c r="N485" t="inlineStr">
        <is>
          <t>USSEA</t>
        </is>
      </c>
      <c r="O485" t="inlineStr">
        <is>
          <t>USSEA</t>
        </is>
      </c>
      <c r="P485" t="inlineStr">
        <is>
          <t>USNFK</t>
        </is>
      </c>
      <c r="U485" t="inlineStr">
        <is>
          <t>RULED</t>
        </is>
      </c>
      <c r="V485" t="inlineStr">
        <is>
          <t>RULED</t>
        </is>
      </c>
      <c r="W485" t="inlineStr">
        <is>
          <t>CANADA</t>
        </is>
      </c>
      <c r="X485" t="inlineStr">
        <is>
          <t>PERSIAN GULF</t>
        </is>
      </c>
      <c r="Y485" t="inlineStr">
        <is>
          <t>RUSSIA</t>
        </is>
      </c>
      <c r="Z485" t="inlineStr">
        <is>
          <t>External Review</t>
        </is>
      </c>
      <c r="AA485" t="inlineStr">
        <is>
          <t>HUB SHIPPING LLC-LED</t>
        </is>
      </c>
      <c r="AB485" t="inlineStr">
        <is>
          <t>Prepaid</t>
        </is>
      </c>
      <c r="AC485" t="inlineStr">
        <is>
          <t>TIGER PLATA/973N</t>
        </is>
      </c>
      <c r="AE485" t="inlineStr">
        <is>
          <t>LADEN BOOKING</t>
        </is>
      </c>
      <c r="AF485" t="inlineStr">
        <is>
          <t>AR_MARTIMA</t>
        </is>
      </c>
      <c r="AG485" t="inlineStr">
        <is>
          <t>RH40</t>
        </is>
      </c>
      <c r="AI485" t="n">
        <v>40</v>
      </c>
      <c r="AJ485" t="n">
        <v>0</v>
      </c>
      <c r="AK485" t="n">
        <v>1</v>
      </c>
      <c r="AL485" t="inlineStr">
        <is>
          <t>ANON0000000</t>
        </is>
      </c>
      <c r="AM485" t="n">
        <v>-18</v>
      </c>
      <c r="AP485" t="inlineStr">
        <is>
          <t>Non Haz</t>
        </is>
      </c>
      <c r="AQ485" t="inlineStr">
        <is>
          <t>CY/CY</t>
        </is>
      </c>
      <c r="AT485" t="inlineStr">
        <is>
          <t>REF000000</t>
        </is>
      </c>
      <c r="AU485" t="n">
        <v>29000</v>
      </c>
      <c r="AV485" t="inlineStr">
        <is>
          <t>FROZEN MEAT</t>
        </is>
      </c>
      <c r="AW485" t="inlineStr">
        <is>
          <t>NCM 020622</t>
        </is>
      </c>
      <c r="AX485" t="inlineStr">
        <is>
          <t>RSAMI122500031</t>
        </is>
      </c>
      <c r="AZ485" t="n">
        <v>0</v>
      </c>
      <c r="BA485" t="n">
        <v>10</v>
      </c>
      <c r="BB485" t="n">
        <v>10</v>
      </c>
      <c r="BC485" t="n">
        <v>6800</v>
      </c>
      <c r="BD485" t="inlineStr">
        <is>
          <t>No</t>
        </is>
      </c>
      <c r="BF485" t="inlineStr">
        <is>
          <t>Bengal Tiger Line -BTL</t>
        </is>
      </c>
      <c r="BG485" t="inlineStr">
        <is>
          <t>USSEA</t>
        </is>
      </c>
      <c r="BH485" t="n">
        <v>0</v>
      </c>
      <c r="BI485" t="n">
        <v>1</v>
      </c>
      <c r="BJ485" t="n">
        <v>6800</v>
      </c>
      <c r="BK485" t="inlineStr">
        <is>
          <t>LINE</t>
        </is>
      </c>
      <c r="BL485" t="inlineStr">
        <is>
          <t>MARLIN REEFER</t>
        </is>
      </c>
      <c r="BM485" t="inlineStr">
        <is>
          <t>MARLIN REEFER</t>
        </is>
      </c>
    </row>
    <row r="486">
      <c r="A486" t="n">
        <v>485</v>
      </c>
      <c r="B486" t="inlineStr">
        <is>
          <t>TURTLE REEFER</t>
        </is>
      </c>
      <c r="C486" t="inlineStr">
        <is>
          <t>REF000000</t>
        </is>
      </c>
      <c r="D486" t="inlineStr">
        <is>
          <t>REF000000</t>
        </is>
      </c>
      <c r="E486" t="n">
        <v>46094</v>
      </c>
      <c r="F486" t="inlineStr">
        <is>
          <t>TURTLE REEFER</t>
        </is>
      </c>
      <c r="G486" t="inlineStr">
        <is>
          <t>ENTERED THROUGH SPLIT BOOKING FROM THE BOOKING ID REF000000, BY AR_MARTIMA, ON 3/13/2026 9:52:20 PM</t>
        </is>
      </c>
      <c r="H486" t="inlineStr">
        <is>
          <t>AR_MARTIMA</t>
        </is>
      </c>
      <c r="J486" t="n">
        <v>46103</v>
      </c>
      <c r="K486" t="n">
        <v>46102</v>
      </c>
      <c r="L486" t="n">
        <v>46103</v>
      </c>
      <c r="M486" t="inlineStr">
        <is>
          <t>REF000000</t>
        </is>
      </c>
      <c r="N486" t="inlineStr">
        <is>
          <t>USSEA</t>
        </is>
      </c>
      <c r="O486" t="inlineStr">
        <is>
          <t>USSEA</t>
        </is>
      </c>
      <c r="P486" t="inlineStr">
        <is>
          <t>USNFK</t>
        </is>
      </c>
      <c r="U486" t="inlineStr">
        <is>
          <t>RULED</t>
        </is>
      </c>
      <c r="V486" t="inlineStr">
        <is>
          <t>RULED</t>
        </is>
      </c>
      <c r="W486" t="inlineStr">
        <is>
          <t>CANADA</t>
        </is>
      </c>
      <c r="X486" t="inlineStr">
        <is>
          <t>PERSIAN GULF</t>
        </is>
      </c>
      <c r="Y486" t="inlineStr">
        <is>
          <t>RUSSIA</t>
        </is>
      </c>
      <c r="Z486" t="inlineStr">
        <is>
          <t>External Review</t>
        </is>
      </c>
      <c r="AA486" t="inlineStr">
        <is>
          <t>HUB SHIPPING LLC-LED</t>
        </is>
      </c>
      <c r="AB486" t="inlineStr">
        <is>
          <t>Prepaid</t>
        </is>
      </c>
      <c r="AC486" t="inlineStr">
        <is>
          <t>TIGER PLATA/973N</t>
        </is>
      </c>
      <c r="AE486" t="inlineStr">
        <is>
          <t>LADEN BOOKING</t>
        </is>
      </c>
      <c r="AF486" t="inlineStr">
        <is>
          <t>AR_MARTIMA</t>
        </is>
      </c>
      <c r="AG486" t="inlineStr">
        <is>
          <t>RH40</t>
        </is>
      </c>
      <c r="AI486" t="n">
        <v>40</v>
      </c>
      <c r="AJ486" t="n">
        <v>0</v>
      </c>
      <c r="AK486" t="n">
        <v>1</v>
      </c>
      <c r="AL486" t="inlineStr">
        <is>
          <t>ANON0000000</t>
        </is>
      </c>
      <c r="AM486" t="n">
        <v>-18</v>
      </c>
      <c r="AP486" t="inlineStr">
        <is>
          <t>Non Haz</t>
        </is>
      </c>
      <c r="AQ486" t="inlineStr">
        <is>
          <t>CY/CY</t>
        </is>
      </c>
      <c r="AT486" t="inlineStr">
        <is>
          <t>REF000000</t>
        </is>
      </c>
      <c r="AU486" t="n">
        <v>29000</v>
      </c>
      <c r="AV486" t="inlineStr">
        <is>
          <t>FROZEN MEAT</t>
        </is>
      </c>
      <c r="AW486" t="inlineStr">
        <is>
          <t>NCM 020621</t>
        </is>
      </c>
      <c r="AX486" t="inlineStr">
        <is>
          <t>RSAMI122500031</t>
        </is>
      </c>
      <c r="AZ486" t="n">
        <v>0</v>
      </c>
      <c r="BA486" t="n">
        <v>10</v>
      </c>
      <c r="BB486" t="n">
        <v>10</v>
      </c>
      <c r="BC486" t="n">
        <v>6800</v>
      </c>
      <c r="BD486" t="inlineStr">
        <is>
          <t>No</t>
        </is>
      </c>
      <c r="BF486" t="inlineStr">
        <is>
          <t>Bengal Tiger Line -BTL</t>
        </is>
      </c>
      <c r="BG486" t="inlineStr">
        <is>
          <t>USSEA</t>
        </is>
      </c>
      <c r="BH486" t="n">
        <v>0</v>
      </c>
      <c r="BI486" t="n">
        <v>1</v>
      </c>
      <c r="BJ486" t="n">
        <v>6800</v>
      </c>
      <c r="BK486" t="inlineStr">
        <is>
          <t>LINE</t>
        </is>
      </c>
      <c r="BL486" t="inlineStr">
        <is>
          <t>TURTLE REEFER</t>
        </is>
      </c>
      <c r="BM486" t="inlineStr">
        <is>
          <t>TURTLE REEFER</t>
        </is>
      </c>
    </row>
    <row r="487">
      <c r="A487" t="n">
        <v>486</v>
      </c>
      <c r="B487" t="inlineStr">
        <is>
          <t>ORCA REEFER</t>
        </is>
      </c>
      <c r="C487" t="inlineStr">
        <is>
          <t>REF000000</t>
        </is>
      </c>
      <c r="D487" t="inlineStr">
        <is>
          <t>REF000000</t>
        </is>
      </c>
      <c r="E487" t="n">
        <v>46094</v>
      </c>
      <c r="F487" t="inlineStr">
        <is>
          <t>ORCA REEFER</t>
        </is>
      </c>
      <c r="G487" t="inlineStr">
        <is>
          <t>ENTERED THROUGH SPLIT BOOKING FROM THE BOOKING ID REF000000, BY AR_MARTIMA, ON 3/13/2026 9:52:20 PM</t>
        </is>
      </c>
      <c r="H487" t="inlineStr">
        <is>
          <t>AR_MARTIMA</t>
        </is>
      </c>
      <c r="J487" t="n">
        <v>46103</v>
      </c>
      <c r="K487" t="n">
        <v>46102</v>
      </c>
      <c r="L487" t="n">
        <v>46103</v>
      </c>
      <c r="M487" t="inlineStr">
        <is>
          <t>REF000000</t>
        </is>
      </c>
      <c r="N487" t="inlineStr">
        <is>
          <t>USSEA</t>
        </is>
      </c>
      <c r="O487" t="inlineStr">
        <is>
          <t>USSEA</t>
        </is>
      </c>
      <c r="P487" t="inlineStr">
        <is>
          <t>USNFK</t>
        </is>
      </c>
      <c r="U487" t="inlineStr">
        <is>
          <t>RULED</t>
        </is>
      </c>
      <c r="V487" t="inlineStr">
        <is>
          <t>RULED</t>
        </is>
      </c>
      <c r="W487" t="inlineStr">
        <is>
          <t>CANADA</t>
        </is>
      </c>
      <c r="X487" t="inlineStr">
        <is>
          <t>PERSIAN GULF</t>
        </is>
      </c>
      <c r="Y487" t="inlineStr">
        <is>
          <t>RUSSIA</t>
        </is>
      </c>
      <c r="Z487" t="inlineStr">
        <is>
          <t>External Review</t>
        </is>
      </c>
      <c r="AA487" t="inlineStr">
        <is>
          <t>HUB SHIPPING LLC-LED</t>
        </is>
      </c>
      <c r="AB487" t="inlineStr">
        <is>
          <t>Prepaid</t>
        </is>
      </c>
      <c r="AC487" t="inlineStr">
        <is>
          <t>TIGER PLATA/973N</t>
        </is>
      </c>
      <c r="AE487" t="inlineStr">
        <is>
          <t>LADEN BOOKING</t>
        </is>
      </c>
      <c r="AF487" t="inlineStr">
        <is>
          <t>AR_MARTIMA</t>
        </is>
      </c>
      <c r="AG487" t="inlineStr">
        <is>
          <t>RH40</t>
        </is>
      </c>
      <c r="AI487" t="n">
        <v>40</v>
      </c>
      <c r="AJ487" t="n">
        <v>0</v>
      </c>
      <c r="AK487" t="n">
        <v>1</v>
      </c>
      <c r="AL487" t="inlineStr">
        <is>
          <t>ANON0000000</t>
        </is>
      </c>
      <c r="AM487" t="n">
        <v>-18</v>
      </c>
      <c r="AP487" t="inlineStr">
        <is>
          <t>Non Haz</t>
        </is>
      </c>
      <c r="AQ487" t="inlineStr">
        <is>
          <t>CY/CY</t>
        </is>
      </c>
      <c r="AT487" t="inlineStr">
        <is>
          <t>REF000000</t>
        </is>
      </c>
      <c r="AU487" t="n">
        <v>29000</v>
      </c>
      <c r="AV487" t="inlineStr">
        <is>
          <t>FROZEN MEAT</t>
        </is>
      </c>
      <c r="AW487" t="inlineStr">
        <is>
          <t>NCM 020629</t>
        </is>
      </c>
      <c r="AX487" t="inlineStr">
        <is>
          <t>RSAMI122500031</t>
        </is>
      </c>
      <c r="AZ487" t="n">
        <v>0</v>
      </c>
      <c r="BA487" t="n">
        <v>10</v>
      </c>
      <c r="BB487" t="n">
        <v>10</v>
      </c>
      <c r="BC487" t="n">
        <v>6800</v>
      </c>
      <c r="BD487" t="inlineStr">
        <is>
          <t>No</t>
        </is>
      </c>
      <c r="BF487" t="inlineStr">
        <is>
          <t>Bengal Tiger Line -BTL</t>
        </is>
      </c>
      <c r="BG487" t="inlineStr">
        <is>
          <t>USSEA</t>
        </is>
      </c>
      <c r="BH487" t="n">
        <v>0</v>
      </c>
      <c r="BI487" t="n">
        <v>1</v>
      </c>
      <c r="BJ487" t="n">
        <v>6800</v>
      </c>
      <c r="BK487" t="inlineStr">
        <is>
          <t>LINE</t>
        </is>
      </c>
      <c r="BL487" t="inlineStr">
        <is>
          <t>ORCA REEFER</t>
        </is>
      </c>
      <c r="BM487" t="inlineStr">
        <is>
          <t>ORCA REEFER</t>
        </is>
      </c>
    </row>
    <row r="488">
      <c r="A488" t="n">
        <v>487</v>
      </c>
      <c r="B488" t="inlineStr">
        <is>
          <t>WHALE REEFER</t>
        </is>
      </c>
      <c r="C488" t="inlineStr">
        <is>
          <t>REF000000</t>
        </is>
      </c>
      <c r="D488" t="inlineStr">
        <is>
          <t>REF000000</t>
        </is>
      </c>
      <c r="E488" t="n">
        <v>46094</v>
      </c>
      <c r="F488" t="inlineStr">
        <is>
          <t>WHALE REEFER</t>
        </is>
      </c>
      <c r="G488" t="inlineStr">
        <is>
          <t>ENTERED THROUGH SPLIT BOOKING FROM THE BOOKING ID REF000000, BY AR_MARTIMA, ON 3/13/2026 9:52:21 PM</t>
        </is>
      </c>
      <c r="H488" t="inlineStr">
        <is>
          <t>AR_MARTIMA</t>
        </is>
      </c>
      <c r="J488" t="n">
        <v>46103</v>
      </c>
      <c r="K488" t="n">
        <v>46102</v>
      </c>
      <c r="L488" t="n">
        <v>46103</v>
      </c>
      <c r="M488" t="inlineStr">
        <is>
          <t>REF000000</t>
        </is>
      </c>
      <c r="N488" t="inlineStr">
        <is>
          <t>USSEA</t>
        </is>
      </c>
      <c r="O488" t="inlineStr">
        <is>
          <t>USSEA</t>
        </is>
      </c>
      <c r="P488" t="inlineStr">
        <is>
          <t>USNFK</t>
        </is>
      </c>
      <c r="U488" t="inlineStr">
        <is>
          <t>RULED</t>
        </is>
      </c>
      <c r="V488" t="inlineStr">
        <is>
          <t>RULED</t>
        </is>
      </c>
      <c r="W488" t="inlineStr">
        <is>
          <t>CANADA</t>
        </is>
      </c>
      <c r="X488" t="inlineStr">
        <is>
          <t>PERSIAN GULF</t>
        </is>
      </c>
      <c r="Y488" t="inlineStr">
        <is>
          <t>RUSSIA</t>
        </is>
      </c>
      <c r="Z488" t="inlineStr">
        <is>
          <t>External Review</t>
        </is>
      </c>
      <c r="AA488" t="inlineStr">
        <is>
          <t>HUB SHIPPING LLC-LED</t>
        </is>
      </c>
      <c r="AB488" t="inlineStr">
        <is>
          <t>Prepaid</t>
        </is>
      </c>
      <c r="AC488" t="inlineStr">
        <is>
          <t>TIGER PLATA/973N</t>
        </is>
      </c>
      <c r="AE488" t="inlineStr">
        <is>
          <t>LADEN BOOKING</t>
        </is>
      </c>
      <c r="AF488" t="inlineStr">
        <is>
          <t>AR_MARTIMA</t>
        </is>
      </c>
      <c r="AG488" t="inlineStr">
        <is>
          <t>RH40</t>
        </is>
      </c>
      <c r="AI488" t="n">
        <v>40</v>
      </c>
      <c r="AJ488" t="n">
        <v>0</v>
      </c>
      <c r="AK488" t="n">
        <v>1</v>
      </c>
      <c r="AL488" t="inlineStr">
        <is>
          <t>ANON0000000</t>
        </is>
      </c>
      <c r="AM488" t="n">
        <v>-18</v>
      </c>
      <c r="AP488" t="inlineStr">
        <is>
          <t>Non Haz</t>
        </is>
      </c>
      <c r="AQ488" t="inlineStr">
        <is>
          <t>CY/CY</t>
        </is>
      </c>
      <c r="AT488" t="inlineStr">
        <is>
          <t>REF000000</t>
        </is>
      </c>
      <c r="AU488" t="n">
        <v>29000</v>
      </c>
      <c r="AV488" t="inlineStr">
        <is>
          <t>FROZEN MEAT</t>
        </is>
      </c>
      <c r="AW488" t="inlineStr">
        <is>
          <t>NCM 020622</t>
        </is>
      </c>
      <c r="AX488" t="inlineStr">
        <is>
          <t>RSAMI122500031</t>
        </is>
      </c>
      <c r="AZ488" t="n">
        <v>0</v>
      </c>
      <c r="BA488" t="n">
        <v>10</v>
      </c>
      <c r="BB488" t="n">
        <v>10</v>
      </c>
      <c r="BC488" t="n">
        <v>6800</v>
      </c>
      <c r="BD488" t="inlineStr">
        <is>
          <t>No</t>
        </is>
      </c>
      <c r="BF488" t="inlineStr">
        <is>
          <t>Bengal Tiger Line -BTL</t>
        </is>
      </c>
      <c r="BG488" t="inlineStr">
        <is>
          <t>USSEA</t>
        </is>
      </c>
      <c r="BH488" t="n">
        <v>0</v>
      </c>
      <c r="BI488" t="n">
        <v>1</v>
      </c>
      <c r="BJ488" t="n">
        <v>6800</v>
      </c>
      <c r="BK488" t="inlineStr">
        <is>
          <t>LINE</t>
        </is>
      </c>
      <c r="BL488" t="inlineStr">
        <is>
          <t>WHALE REEFER</t>
        </is>
      </c>
      <c r="BM488" t="inlineStr">
        <is>
          <t>WHALE REEFER</t>
        </is>
      </c>
    </row>
    <row r="489">
      <c r="A489" t="n">
        <v>488</v>
      </c>
      <c r="B489" t="inlineStr">
        <is>
          <t>SEAL REEFER</t>
        </is>
      </c>
      <c r="C489" t="inlineStr">
        <is>
          <t>REF000000</t>
        </is>
      </c>
      <c r="D489" t="inlineStr">
        <is>
          <t>REF000000</t>
        </is>
      </c>
      <c r="E489" t="n">
        <v>46094</v>
      </c>
      <c r="F489" t="inlineStr">
        <is>
          <t>SEAL REEFER</t>
        </is>
      </c>
      <c r="G489" t="inlineStr">
        <is>
          <t>ENTERED THROUGH SPLIT BOOKING FROM THE BOOKING ID REF000000, BY AR_MARTIMA, ON 3/13/2026 9:52:21 PM</t>
        </is>
      </c>
      <c r="H489" t="inlineStr">
        <is>
          <t>AR_MARTIMA</t>
        </is>
      </c>
      <c r="J489" t="n">
        <v>46103</v>
      </c>
      <c r="K489" t="n">
        <v>46102</v>
      </c>
      <c r="L489" t="n">
        <v>46103</v>
      </c>
      <c r="M489" t="inlineStr">
        <is>
          <t>REF000000</t>
        </is>
      </c>
      <c r="N489" t="inlineStr">
        <is>
          <t>USSEA</t>
        </is>
      </c>
      <c r="O489" t="inlineStr">
        <is>
          <t>USSEA</t>
        </is>
      </c>
      <c r="P489" t="inlineStr">
        <is>
          <t>USNFK</t>
        </is>
      </c>
      <c r="U489" t="inlineStr">
        <is>
          <t>RULED</t>
        </is>
      </c>
      <c r="V489" t="inlineStr">
        <is>
          <t>RULED</t>
        </is>
      </c>
      <c r="W489" t="inlineStr">
        <is>
          <t>CANADA</t>
        </is>
      </c>
      <c r="X489" t="inlineStr">
        <is>
          <t>PERSIAN GULF</t>
        </is>
      </c>
      <c r="Y489" t="inlineStr">
        <is>
          <t>RUSSIA</t>
        </is>
      </c>
      <c r="Z489" t="inlineStr">
        <is>
          <t>External Review</t>
        </is>
      </c>
      <c r="AA489" t="inlineStr">
        <is>
          <t>HUB SHIPPING LLC-LED</t>
        </is>
      </c>
      <c r="AB489" t="inlineStr">
        <is>
          <t>Prepaid</t>
        </is>
      </c>
      <c r="AC489" t="inlineStr">
        <is>
          <t>TIGER PLATA/973N</t>
        </is>
      </c>
      <c r="AE489" t="inlineStr">
        <is>
          <t>LADEN BOOKING</t>
        </is>
      </c>
      <c r="AF489" t="inlineStr">
        <is>
          <t>AR_MARTIMA</t>
        </is>
      </c>
      <c r="AG489" t="inlineStr">
        <is>
          <t>RH40</t>
        </is>
      </c>
      <c r="AI489" t="n">
        <v>40</v>
      </c>
      <c r="AJ489" t="n">
        <v>0</v>
      </c>
      <c r="AK489" t="n">
        <v>1</v>
      </c>
      <c r="AL489" t="inlineStr">
        <is>
          <t>ANON0000000</t>
        </is>
      </c>
      <c r="AM489" t="n">
        <v>-18</v>
      </c>
      <c r="AP489" t="inlineStr">
        <is>
          <t>Non Haz</t>
        </is>
      </c>
      <c r="AQ489" t="inlineStr">
        <is>
          <t>CY/CY</t>
        </is>
      </c>
      <c r="AT489" t="inlineStr">
        <is>
          <t>REF000000</t>
        </is>
      </c>
      <c r="AU489" t="n">
        <v>29000</v>
      </c>
      <c r="AV489" t="inlineStr">
        <is>
          <t>FROZEN MEAT</t>
        </is>
      </c>
      <c r="AW489" t="inlineStr">
        <is>
          <t>NCM 020621</t>
        </is>
      </c>
      <c r="AX489" t="inlineStr">
        <is>
          <t>RSAMI122500031</t>
        </is>
      </c>
      <c r="AZ489" t="n">
        <v>0</v>
      </c>
      <c r="BA489" t="n">
        <v>10</v>
      </c>
      <c r="BB489" t="n">
        <v>10</v>
      </c>
      <c r="BC489" t="n">
        <v>6800</v>
      </c>
      <c r="BD489" t="inlineStr">
        <is>
          <t>No</t>
        </is>
      </c>
      <c r="BF489" t="inlineStr">
        <is>
          <t>Bengal Tiger Line -BTL</t>
        </is>
      </c>
      <c r="BG489" t="inlineStr">
        <is>
          <t>USSEA</t>
        </is>
      </c>
      <c r="BH489" t="n">
        <v>0</v>
      </c>
      <c r="BI489" t="n">
        <v>1</v>
      </c>
      <c r="BJ489" t="n">
        <v>6800</v>
      </c>
      <c r="BK489" t="inlineStr">
        <is>
          <t>LINE</t>
        </is>
      </c>
      <c r="BL489" t="inlineStr">
        <is>
          <t>SEAL REEFER</t>
        </is>
      </c>
      <c r="BM489" t="inlineStr">
        <is>
          <t>SEAL REEFER</t>
        </is>
      </c>
    </row>
    <row r="490">
      <c r="A490" t="n">
        <v>489</v>
      </c>
      <c r="B490" t="inlineStr">
        <is>
          <t>SHARK REEFER</t>
        </is>
      </c>
      <c r="C490" t="inlineStr">
        <is>
          <t>REF000000</t>
        </is>
      </c>
      <c r="D490" t="inlineStr">
        <is>
          <t>REF000000</t>
        </is>
      </c>
      <c r="E490" t="n">
        <v>46094</v>
      </c>
      <c r="F490" t="inlineStr">
        <is>
          <t>SHARK REEFER</t>
        </is>
      </c>
      <c r="G490" t="inlineStr">
        <is>
          <t>ENTERED THROUGH SPLIT BOOKING FROM THE BOOKING ID REF000000, BY AR_MARTIMA, ON 3/13/2026 9:52:21 PM</t>
        </is>
      </c>
      <c r="H490" t="inlineStr">
        <is>
          <t>AR_MARTIMA</t>
        </is>
      </c>
      <c r="J490" t="n">
        <v>46103</v>
      </c>
      <c r="K490" t="n">
        <v>46102</v>
      </c>
      <c r="L490" t="n">
        <v>46103</v>
      </c>
      <c r="M490" t="inlineStr">
        <is>
          <t>REF000000</t>
        </is>
      </c>
      <c r="N490" t="inlineStr">
        <is>
          <t>USSEA</t>
        </is>
      </c>
      <c r="O490" t="inlineStr">
        <is>
          <t>USSEA</t>
        </is>
      </c>
      <c r="P490" t="inlineStr">
        <is>
          <t>USNFK</t>
        </is>
      </c>
      <c r="U490" t="inlineStr">
        <is>
          <t>RULED</t>
        </is>
      </c>
      <c r="V490" t="inlineStr">
        <is>
          <t>RULED</t>
        </is>
      </c>
      <c r="W490" t="inlineStr">
        <is>
          <t>CANADA</t>
        </is>
      </c>
      <c r="X490" t="inlineStr">
        <is>
          <t>PERSIAN GULF</t>
        </is>
      </c>
      <c r="Y490" t="inlineStr">
        <is>
          <t>RUSSIA</t>
        </is>
      </c>
      <c r="Z490" t="inlineStr">
        <is>
          <t>External Review</t>
        </is>
      </c>
      <c r="AA490" t="inlineStr">
        <is>
          <t>HUB SHIPPING LLC-LED</t>
        </is>
      </c>
      <c r="AB490" t="inlineStr">
        <is>
          <t>Prepaid</t>
        </is>
      </c>
      <c r="AC490" t="inlineStr">
        <is>
          <t>TIGER PLATA/973N</t>
        </is>
      </c>
      <c r="AE490" t="inlineStr">
        <is>
          <t>LADEN BOOKING</t>
        </is>
      </c>
      <c r="AF490" t="inlineStr">
        <is>
          <t>AR_MARTIMA</t>
        </is>
      </c>
      <c r="AG490" t="inlineStr">
        <is>
          <t>RH40</t>
        </is>
      </c>
      <c r="AI490" t="n">
        <v>40</v>
      </c>
      <c r="AJ490" t="n">
        <v>0</v>
      </c>
      <c r="AK490" t="n">
        <v>1</v>
      </c>
      <c r="AL490" t="inlineStr">
        <is>
          <t>ANON0000000</t>
        </is>
      </c>
      <c r="AM490" t="n">
        <v>-18</v>
      </c>
      <c r="AP490" t="inlineStr">
        <is>
          <t>Non Haz</t>
        </is>
      </c>
      <c r="AQ490" t="inlineStr">
        <is>
          <t>CY/CY</t>
        </is>
      </c>
      <c r="AT490" t="inlineStr">
        <is>
          <t>REF000000</t>
        </is>
      </c>
      <c r="AU490" t="n">
        <v>29000</v>
      </c>
      <c r="AV490" t="inlineStr">
        <is>
          <t>FROZEN MEAT</t>
        </is>
      </c>
      <c r="AW490" t="inlineStr">
        <is>
          <t>NCM 020622</t>
        </is>
      </c>
      <c r="AX490" t="inlineStr">
        <is>
          <t>RSAMI122500031</t>
        </is>
      </c>
      <c r="AZ490" t="n">
        <v>0</v>
      </c>
      <c r="BA490" t="n">
        <v>10</v>
      </c>
      <c r="BB490" t="n">
        <v>10</v>
      </c>
      <c r="BC490" t="n">
        <v>6800</v>
      </c>
      <c r="BD490" t="inlineStr">
        <is>
          <t>No</t>
        </is>
      </c>
      <c r="BF490" t="inlineStr">
        <is>
          <t>Bengal Tiger Line -BTL</t>
        </is>
      </c>
      <c r="BG490" t="inlineStr">
        <is>
          <t>USSEA</t>
        </is>
      </c>
      <c r="BH490" t="n">
        <v>0</v>
      </c>
      <c r="BI490" t="n">
        <v>1</v>
      </c>
      <c r="BJ490" t="n">
        <v>6800</v>
      </c>
      <c r="BK490" t="inlineStr">
        <is>
          <t>LINE</t>
        </is>
      </c>
      <c r="BL490" t="inlineStr">
        <is>
          <t>SHARK REEFER</t>
        </is>
      </c>
      <c r="BM490" t="inlineStr">
        <is>
          <t>SHARK REEFER</t>
        </is>
      </c>
    </row>
    <row r="491">
      <c r="A491" t="n">
        <v>490</v>
      </c>
      <c r="B491" t="inlineStr">
        <is>
          <t>DOLPHIN REEFER</t>
        </is>
      </c>
      <c r="C491" t="inlineStr">
        <is>
          <t>REF000000</t>
        </is>
      </c>
      <c r="D491" t="inlineStr">
        <is>
          <t>REF000000</t>
        </is>
      </c>
      <c r="E491" t="n">
        <v>46094</v>
      </c>
      <c r="F491" t="inlineStr">
        <is>
          <t>DOLPHIN REEFER</t>
        </is>
      </c>
      <c r="G491" t="inlineStr">
        <is>
          <t>ENTERED THROUGH SPLIT BOOKING FROM THE BOOKING ID REF000000, BY AR_MARTIMA, ON 3/13/2026 9:52:21 PM</t>
        </is>
      </c>
      <c r="H491" t="inlineStr">
        <is>
          <t>AR_MARTIMA</t>
        </is>
      </c>
      <c r="J491" t="n">
        <v>46103</v>
      </c>
      <c r="K491" t="n">
        <v>46102</v>
      </c>
      <c r="L491" t="n">
        <v>46103</v>
      </c>
      <c r="M491" t="inlineStr">
        <is>
          <t>REF000000</t>
        </is>
      </c>
      <c r="N491" t="inlineStr">
        <is>
          <t>USSEA</t>
        </is>
      </c>
      <c r="O491" t="inlineStr">
        <is>
          <t>USSEA</t>
        </is>
      </c>
      <c r="P491" t="inlineStr">
        <is>
          <t>USNFK</t>
        </is>
      </c>
      <c r="U491" t="inlineStr">
        <is>
          <t>RULED</t>
        </is>
      </c>
      <c r="V491" t="inlineStr">
        <is>
          <t>RULED</t>
        </is>
      </c>
      <c r="W491" t="inlineStr">
        <is>
          <t>CANADA</t>
        </is>
      </c>
      <c r="X491" t="inlineStr">
        <is>
          <t>PERSIAN GULF</t>
        </is>
      </c>
      <c r="Y491" t="inlineStr">
        <is>
          <t>RUSSIA</t>
        </is>
      </c>
      <c r="Z491" t="inlineStr">
        <is>
          <t>External Review</t>
        </is>
      </c>
      <c r="AA491" t="inlineStr">
        <is>
          <t>HUB SHIPPING LLC-LED</t>
        </is>
      </c>
      <c r="AB491" t="inlineStr">
        <is>
          <t>Prepaid</t>
        </is>
      </c>
      <c r="AC491" t="inlineStr">
        <is>
          <t>TIGER PLATA/973N</t>
        </is>
      </c>
      <c r="AE491" t="inlineStr">
        <is>
          <t>LADEN BOOKING</t>
        </is>
      </c>
      <c r="AF491" t="inlineStr">
        <is>
          <t>AR_MARTIMA</t>
        </is>
      </c>
      <c r="AG491" t="inlineStr">
        <is>
          <t>RH40</t>
        </is>
      </c>
      <c r="AI491" t="n">
        <v>40</v>
      </c>
      <c r="AJ491" t="n">
        <v>0</v>
      </c>
      <c r="AK491" t="n">
        <v>1</v>
      </c>
      <c r="AL491" t="inlineStr">
        <is>
          <t>ANON0000000</t>
        </is>
      </c>
      <c r="AM491" t="n">
        <v>-18</v>
      </c>
      <c r="AP491" t="inlineStr">
        <is>
          <t>Non Haz</t>
        </is>
      </c>
      <c r="AQ491" t="inlineStr">
        <is>
          <t>CY/CY</t>
        </is>
      </c>
      <c r="AT491" t="inlineStr">
        <is>
          <t>REF000000</t>
        </is>
      </c>
      <c r="AU491" t="n">
        <v>29000</v>
      </c>
      <c r="AV491" t="inlineStr">
        <is>
          <t>FROZEN MEAT</t>
        </is>
      </c>
      <c r="AW491" t="inlineStr">
        <is>
          <t>NCM 020622</t>
        </is>
      </c>
      <c r="AX491" t="inlineStr">
        <is>
          <t>RSAMI122500031</t>
        </is>
      </c>
      <c r="AZ491" t="n">
        <v>0</v>
      </c>
      <c r="BA491" t="n">
        <v>10</v>
      </c>
      <c r="BB491" t="n">
        <v>10</v>
      </c>
      <c r="BC491" t="n">
        <v>6800</v>
      </c>
      <c r="BD491" t="inlineStr">
        <is>
          <t>No</t>
        </is>
      </c>
      <c r="BF491" t="inlineStr">
        <is>
          <t>Bengal Tiger Line -BTL</t>
        </is>
      </c>
      <c r="BG491" t="inlineStr">
        <is>
          <t>USSEA</t>
        </is>
      </c>
      <c r="BH491" t="n">
        <v>0</v>
      </c>
      <c r="BI491" t="n">
        <v>1</v>
      </c>
      <c r="BJ491" t="n">
        <v>6800</v>
      </c>
      <c r="BK491" t="inlineStr">
        <is>
          <t>LINE</t>
        </is>
      </c>
      <c r="BL491" t="inlineStr">
        <is>
          <t>DOLPHIN REEFER</t>
        </is>
      </c>
      <c r="BM491" t="inlineStr">
        <is>
          <t>DOLPHIN REEFER</t>
        </is>
      </c>
    </row>
    <row r="492">
      <c r="A492" t="n">
        <v>491</v>
      </c>
      <c r="B492" t="inlineStr">
        <is>
          <t>MARLIN REEFER</t>
        </is>
      </c>
      <c r="C492" t="inlineStr">
        <is>
          <t>REF000000</t>
        </is>
      </c>
      <c r="D492" t="inlineStr">
        <is>
          <t>REF000000</t>
        </is>
      </c>
      <c r="E492" t="n">
        <v>46094</v>
      </c>
      <c r="F492" t="inlineStr">
        <is>
          <t>MARLIN REEFER</t>
        </is>
      </c>
      <c r="G492" t="inlineStr">
        <is>
          <t>ENTERED THROUGH SPLIT BOOKING FROM THE BOOKING ID REF000000, BY AR_MARTIMA, ON 3/13/2026 9:52:21 PM</t>
        </is>
      </c>
      <c r="H492" t="inlineStr">
        <is>
          <t>AR_MARTIMA</t>
        </is>
      </c>
      <c r="J492" t="n">
        <v>46103</v>
      </c>
      <c r="K492" t="n">
        <v>46102</v>
      </c>
      <c r="L492" t="n">
        <v>46103</v>
      </c>
      <c r="M492" t="inlineStr">
        <is>
          <t>REF000000</t>
        </is>
      </c>
      <c r="N492" t="inlineStr">
        <is>
          <t>USSEA</t>
        </is>
      </c>
      <c r="O492" t="inlineStr">
        <is>
          <t>USSEA</t>
        </is>
      </c>
      <c r="P492" t="inlineStr">
        <is>
          <t>USNFK</t>
        </is>
      </c>
      <c r="U492" t="inlineStr">
        <is>
          <t>RULED</t>
        </is>
      </c>
      <c r="V492" t="inlineStr">
        <is>
          <t>RULED</t>
        </is>
      </c>
      <c r="W492" t="inlineStr">
        <is>
          <t>CANADA</t>
        </is>
      </c>
      <c r="X492" t="inlineStr">
        <is>
          <t>PERSIAN GULF</t>
        </is>
      </c>
      <c r="Y492" t="inlineStr">
        <is>
          <t>RUSSIA</t>
        </is>
      </c>
      <c r="Z492" t="inlineStr">
        <is>
          <t>External Review</t>
        </is>
      </c>
      <c r="AA492" t="inlineStr">
        <is>
          <t>HUB SHIPPING LLC-LED</t>
        </is>
      </c>
      <c r="AB492" t="inlineStr">
        <is>
          <t>Prepaid</t>
        </is>
      </c>
      <c r="AC492" t="inlineStr">
        <is>
          <t>TIGER PLATA/973N</t>
        </is>
      </c>
      <c r="AE492" t="inlineStr">
        <is>
          <t>LADEN BOOKING</t>
        </is>
      </c>
      <c r="AF492" t="inlineStr">
        <is>
          <t>AR_MARTIMA</t>
        </is>
      </c>
      <c r="AG492" t="inlineStr">
        <is>
          <t>RH40</t>
        </is>
      </c>
      <c r="AI492" t="n">
        <v>40</v>
      </c>
      <c r="AJ492" t="n">
        <v>0</v>
      </c>
      <c r="AK492" t="n">
        <v>1</v>
      </c>
      <c r="AL492" t="inlineStr">
        <is>
          <t>ANON0000000</t>
        </is>
      </c>
      <c r="AM492" t="n">
        <v>-18</v>
      </c>
      <c r="AP492" t="inlineStr">
        <is>
          <t>Non Haz</t>
        </is>
      </c>
      <c r="AQ492" t="inlineStr">
        <is>
          <t>CY/CY</t>
        </is>
      </c>
      <c r="AT492" t="inlineStr">
        <is>
          <t>REF000000</t>
        </is>
      </c>
      <c r="AU492" t="n">
        <v>29000</v>
      </c>
      <c r="AV492" t="inlineStr">
        <is>
          <t>FROZEN MEAT</t>
        </is>
      </c>
      <c r="AW492" t="inlineStr">
        <is>
          <t>NCM 020622</t>
        </is>
      </c>
      <c r="AX492" t="inlineStr">
        <is>
          <t>RSAMI122500031</t>
        </is>
      </c>
      <c r="AZ492" t="n">
        <v>0</v>
      </c>
      <c r="BA492" t="n">
        <v>10</v>
      </c>
      <c r="BB492" t="n">
        <v>10</v>
      </c>
      <c r="BC492" t="n">
        <v>6800</v>
      </c>
      <c r="BD492" t="inlineStr">
        <is>
          <t>No</t>
        </is>
      </c>
      <c r="BF492" t="inlineStr">
        <is>
          <t>Bengal Tiger Line -BTL</t>
        </is>
      </c>
      <c r="BG492" t="inlineStr">
        <is>
          <t>USSEA</t>
        </is>
      </c>
      <c r="BH492" t="n">
        <v>0</v>
      </c>
      <c r="BI492" t="n">
        <v>1</v>
      </c>
      <c r="BJ492" t="n">
        <v>6800</v>
      </c>
      <c r="BK492" t="inlineStr">
        <is>
          <t>LINE</t>
        </is>
      </c>
      <c r="BL492" t="inlineStr">
        <is>
          <t>MARLIN REEFER</t>
        </is>
      </c>
      <c r="BM492" t="inlineStr">
        <is>
          <t>MARLIN REEFER</t>
        </is>
      </c>
    </row>
    <row r="493">
      <c r="A493" t="n">
        <v>492</v>
      </c>
      <c r="B493" t="inlineStr">
        <is>
          <t>TURTLE REEFER</t>
        </is>
      </c>
      <c r="C493" t="inlineStr">
        <is>
          <t>REF000000</t>
        </is>
      </c>
      <c r="D493" t="inlineStr">
        <is>
          <t>REF000000</t>
        </is>
      </c>
      <c r="E493" t="n">
        <v>46094</v>
      </c>
      <c r="F493" t="inlineStr">
        <is>
          <t>TURTLE REEFER</t>
        </is>
      </c>
      <c r="G493" t="inlineStr">
        <is>
          <t>ENTERED THROUGH SPLIT BOOKING FROM THE BOOKING ID REF000000, BY AR_MARTIMA, ON 3/13/2026 9:52:22 PM</t>
        </is>
      </c>
      <c r="H493" t="inlineStr">
        <is>
          <t>AR_MARTIMA</t>
        </is>
      </c>
      <c r="J493" t="n">
        <v>46103</v>
      </c>
      <c r="K493" t="n">
        <v>46102</v>
      </c>
      <c r="L493" t="n">
        <v>46103</v>
      </c>
      <c r="M493" t="inlineStr">
        <is>
          <t>REF000000</t>
        </is>
      </c>
      <c r="N493" t="inlineStr">
        <is>
          <t>USSEA</t>
        </is>
      </c>
      <c r="O493" t="inlineStr">
        <is>
          <t>USSEA</t>
        </is>
      </c>
      <c r="P493" t="inlineStr">
        <is>
          <t>USNFK</t>
        </is>
      </c>
      <c r="U493" t="inlineStr">
        <is>
          <t>RULED</t>
        </is>
      </c>
      <c r="V493" t="inlineStr">
        <is>
          <t>RULED</t>
        </is>
      </c>
      <c r="W493" t="inlineStr">
        <is>
          <t>CANADA</t>
        </is>
      </c>
      <c r="X493" t="inlineStr">
        <is>
          <t>PERSIAN GULF</t>
        </is>
      </c>
      <c r="Y493" t="inlineStr">
        <is>
          <t>RUSSIA</t>
        </is>
      </c>
      <c r="Z493" t="inlineStr">
        <is>
          <t>External Review</t>
        </is>
      </c>
      <c r="AA493" t="inlineStr">
        <is>
          <t>HUB SHIPPING LLC-LED</t>
        </is>
      </c>
      <c r="AB493" t="inlineStr">
        <is>
          <t>Prepaid</t>
        </is>
      </c>
      <c r="AC493" t="inlineStr">
        <is>
          <t>TIGER PLATA/973N</t>
        </is>
      </c>
      <c r="AE493" t="inlineStr">
        <is>
          <t>LADEN BOOKING</t>
        </is>
      </c>
      <c r="AF493" t="inlineStr">
        <is>
          <t>AR_MARTIMA</t>
        </is>
      </c>
      <c r="AG493" t="inlineStr">
        <is>
          <t>RH40</t>
        </is>
      </c>
      <c r="AI493" t="n">
        <v>40</v>
      </c>
      <c r="AJ493" t="n">
        <v>0</v>
      </c>
      <c r="AK493" t="n">
        <v>1</v>
      </c>
      <c r="AL493" t="inlineStr">
        <is>
          <t>ANON0000000</t>
        </is>
      </c>
      <c r="AM493" t="n">
        <v>-18</v>
      </c>
      <c r="AP493" t="inlineStr">
        <is>
          <t>Non Haz</t>
        </is>
      </c>
      <c r="AQ493" t="inlineStr">
        <is>
          <t>CY/CY</t>
        </is>
      </c>
      <c r="AT493" t="inlineStr">
        <is>
          <t>REF000000</t>
        </is>
      </c>
      <c r="AU493" t="n">
        <v>29000</v>
      </c>
      <c r="AV493" t="inlineStr">
        <is>
          <t>FROZEN MEAT</t>
        </is>
      </c>
      <c r="AW493" t="inlineStr">
        <is>
          <t>NCM 020629</t>
        </is>
      </c>
      <c r="AX493" t="inlineStr">
        <is>
          <t>RSAMI122500031</t>
        </is>
      </c>
      <c r="AZ493" t="n">
        <v>0</v>
      </c>
      <c r="BA493" t="n">
        <v>10</v>
      </c>
      <c r="BB493" t="n">
        <v>10</v>
      </c>
      <c r="BC493" t="n">
        <v>6800</v>
      </c>
      <c r="BD493" t="inlineStr">
        <is>
          <t>No</t>
        </is>
      </c>
      <c r="BF493" t="inlineStr">
        <is>
          <t>Bengal Tiger Line -BTL</t>
        </is>
      </c>
      <c r="BG493" t="inlineStr">
        <is>
          <t>USSEA</t>
        </is>
      </c>
      <c r="BH493" t="n">
        <v>0</v>
      </c>
      <c r="BI493" t="n">
        <v>1</v>
      </c>
      <c r="BJ493" t="n">
        <v>6800</v>
      </c>
      <c r="BK493" t="inlineStr">
        <is>
          <t>LINE</t>
        </is>
      </c>
      <c r="BL493" t="inlineStr">
        <is>
          <t>TURTLE REEFER</t>
        </is>
      </c>
      <c r="BM493" t="inlineStr">
        <is>
          <t>TURTLE REEFER</t>
        </is>
      </c>
    </row>
    <row r="494">
      <c r="A494" t="n">
        <v>493</v>
      </c>
      <c r="B494" t="inlineStr">
        <is>
          <t>ORCA REEFER</t>
        </is>
      </c>
      <c r="C494" t="inlineStr">
        <is>
          <t>REF000000</t>
        </is>
      </c>
      <c r="D494" t="inlineStr">
        <is>
          <t>REF000000</t>
        </is>
      </c>
      <c r="E494" t="n">
        <v>46094</v>
      </c>
      <c r="F494" t="inlineStr">
        <is>
          <t>ORCA REEFER</t>
        </is>
      </c>
      <c r="G494" t="inlineStr">
        <is>
          <t>ENTERED THROUGH SPLIT BOOKING FROM THE BOOKING ID REF000000, BY AR_MARTIMA, ON 3/13/2026 9:52:22 PM</t>
        </is>
      </c>
      <c r="H494" t="inlineStr">
        <is>
          <t>AR_MARTIMA</t>
        </is>
      </c>
      <c r="J494" t="n">
        <v>46103</v>
      </c>
      <c r="K494" t="n">
        <v>46102</v>
      </c>
      <c r="L494" t="n">
        <v>46103</v>
      </c>
      <c r="M494" t="inlineStr">
        <is>
          <t>REF000000</t>
        </is>
      </c>
      <c r="N494" t="inlineStr">
        <is>
          <t>USSEA</t>
        </is>
      </c>
      <c r="O494" t="inlineStr">
        <is>
          <t>USSEA</t>
        </is>
      </c>
      <c r="P494" t="inlineStr">
        <is>
          <t>USNFK</t>
        </is>
      </c>
      <c r="U494" t="inlineStr">
        <is>
          <t>RULED</t>
        </is>
      </c>
      <c r="V494" t="inlineStr">
        <is>
          <t>RULED</t>
        </is>
      </c>
      <c r="W494" t="inlineStr">
        <is>
          <t>CANADA</t>
        </is>
      </c>
      <c r="X494" t="inlineStr">
        <is>
          <t>PERSIAN GULF</t>
        </is>
      </c>
      <c r="Y494" t="inlineStr">
        <is>
          <t>RUSSIA</t>
        </is>
      </c>
      <c r="Z494" t="inlineStr">
        <is>
          <t>External Review</t>
        </is>
      </c>
      <c r="AA494" t="inlineStr">
        <is>
          <t>HUB SHIPPING LLC-LED</t>
        </is>
      </c>
      <c r="AB494" t="inlineStr">
        <is>
          <t>Prepaid</t>
        </is>
      </c>
      <c r="AC494" t="inlineStr">
        <is>
          <t>TIGER PLATA/973N</t>
        </is>
      </c>
      <c r="AE494" t="inlineStr">
        <is>
          <t>LADEN BOOKING</t>
        </is>
      </c>
      <c r="AF494" t="inlineStr">
        <is>
          <t>AR_MARTIMA</t>
        </is>
      </c>
      <c r="AG494" t="inlineStr">
        <is>
          <t>RH40</t>
        </is>
      </c>
      <c r="AI494" t="n">
        <v>40</v>
      </c>
      <c r="AJ494" t="n">
        <v>0</v>
      </c>
      <c r="AK494" t="n">
        <v>1</v>
      </c>
      <c r="AL494" t="inlineStr">
        <is>
          <t>ANON0000000</t>
        </is>
      </c>
      <c r="AM494" t="n">
        <v>-18</v>
      </c>
      <c r="AP494" t="inlineStr">
        <is>
          <t>Non Haz</t>
        </is>
      </c>
      <c r="AQ494" t="inlineStr">
        <is>
          <t>CY/CY</t>
        </is>
      </c>
      <c r="AT494" t="inlineStr">
        <is>
          <t>REF000000</t>
        </is>
      </c>
      <c r="AU494" t="n">
        <v>29000</v>
      </c>
      <c r="AV494" t="inlineStr">
        <is>
          <t>FROZEN MEAT</t>
        </is>
      </c>
      <c r="AW494" t="inlineStr">
        <is>
          <t>NCM 020622</t>
        </is>
      </c>
      <c r="AX494" t="inlineStr">
        <is>
          <t>RSAMI122500031</t>
        </is>
      </c>
      <c r="AZ494" t="n">
        <v>0</v>
      </c>
      <c r="BA494" t="n">
        <v>10</v>
      </c>
      <c r="BB494" t="n">
        <v>10</v>
      </c>
      <c r="BC494" t="n">
        <v>6800</v>
      </c>
      <c r="BD494" t="inlineStr">
        <is>
          <t>No</t>
        </is>
      </c>
      <c r="BF494" t="inlineStr">
        <is>
          <t>Bengal Tiger Line -BTL</t>
        </is>
      </c>
      <c r="BG494" t="inlineStr">
        <is>
          <t>USSEA</t>
        </is>
      </c>
      <c r="BH494" t="n">
        <v>0</v>
      </c>
      <c r="BI494" t="n">
        <v>1</v>
      </c>
      <c r="BJ494" t="n">
        <v>6800</v>
      </c>
      <c r="BK494" t="inlineStr">
        <is>
          <t>LINE</t>
        </is>
      </c>
      <c r="BL494" t="inlineStr">
        <is>
          <t>ORCA REEFER</t>
        </is>
      </c>
      <c r="BM494" t="inlineStr">
        <is>
          <t>ORCA REEFER</t>
        </is>
      </c>
    </row>
    <row r="495">
      <c r="A495" t="n">
        <v>494</v>
      </c>
      <c r="B495" t="inlineStr">
        <is>
          <t>WHALE REEFER</t>
        </is>
      </c>
      <c r="C495" t="inlineStr">
        <is>
          <t>REF000000</t>
        </is>
      </c>
      <c r="D495" t="inlineStr">
        <is>
          <t>REF000000</t>
        </is>
      </c>
      <c r="E495" t="n">
        <v>46094</v>
      </c>
      <c r="F495" t="inlineStr">
        <is>
          <t>WHALE REEFER</t>
        </is>
      </c>
      <c r="G495" t="inlineStr">
        <is>
          <t>ENTERED THROUGH SPLIT BOOKING FROM THE BOOKING ID REF000000, BY AR_MARTIMA, ON 3/13/2026 9:52:22 PM</t>
        </is>
      </c>
      <c r="H495" t="inlineStr">
        <is>
          <t>AR_MARTIMA</t>
        </is>
      </c>
      <c r="J495" t="n">
        <v>46103</v>
      </c>
      <c r="K495" t="n">
        <v>46102</v>
      </c>
      <c r="L495" t="n">
        <v>46103</v>
      </c>
      <c r="M495" t="inlineStr">
        <is>
          <t>REF000000</t>
        </is>
      </c>
      <c r="N495" t="inlineStr">
        <is>
          <t>USSEA</t>
        </is>
      </c>
      <c r="O495" t="inlineStr">
        <is>
          <t>USSEA</t>
        </is>
      </c>
      <c r="P495" t="inlineStr">
        <is>
          <t>USNFK</t>
        </is>
      </c>
      <c r="U495" t="inlineStr">
        <is>
          <t>RULED</t>
        </is>
      </c>
      <c r="V495" t="inlineStr">
        <is>
          <t>RULED</t>
        </is>
      </c>
      <c r="W495" t="inlineStr">
        <is>
          <t>CANADA</t>
        </is>
      </c>
      <c r="X495" t="inlineStr">
        <is>
          <t>PERSIAN GULF</t>
        </is>
      </c>
      <c r="Y495" t="inlineStr">
        <is>
          <t>RUSSIA</t>
        </is>
      </c>
      <c r="Z495" t="inlineStr">
        <is>
          <t>External Review</t>
        </is>
      </c>
      <c r="AA495" t="inlineStr">
        <is>
          <t>HUB SHIPPING LLC-LED</t>
        </is>
      </c>
      <c r="AB495" t="inlineStr">
        <is>
          <t>Prepaid</t>
        </is>
      </c>
      <c r="AC495" t="inlineStr">
        <is>
          <t>TIGER PLATA/973N</t>
        </is>
      </c>
      <c r="AE495" t="inlineStr">
        <is>
          <t>LADEN BOOKING</t>
        </is>
      </c>
      <c r="AF495" t="inlineStr">
        <is>
          <t>AR_MARTIMA</t>
        </is>
      </c>
      <c r="AG495" t="inlineStr">
        <is>
          <t>RH40</t>
        </is>
      </c>
      <c r="AI495" t="n">
        <v>40</v>
      </c>
      <c r="AJ495" t="n">
        <v>0</v>
      </c>
      <c r="AK495" t="n">
        <v>1</v>
      </c>
      <c r="AL495" t="inlineStr">
        <is>
          <t>ANON0000000</t>
        </is>
      </c>
      <c r="AM495" t="n">
        <v>-18</v>
      </c>
      <c r="AP495" t="inlineStr">
        <is>
          <t>Non Haz</t>
        </is>
      </c>
      <c r="AQ495" t="inlineStr">
        <is>
          <t>CY/CY</t>
        </is>
      </c>
      <c r="AT495" t="inlineStr">
        <is>
          <t>REF000000</t>
        </is>
      </c>
      <c r="AU495" t="n">
        <v>29000</v>
      </c>
      <c r="AV495" t="inlineStr">
        <is>
          <t>FROZEN MEAT</t>
        </is>
      </c>
      <c r="AW495" t="inlineStr">
        <is>
          <t>NCM 020622</t>
        </is>
      </c>
      <c r="AX495" t="inlineStr">
        <is>
          <t>RSAMI122500031</t>
        </is>
      </c>
      <c r="AZ495" t="n">
        <v>0</v>
      </c>
      <c r="BA495" t="n">
        <v>10</v>
      </c>
      <c r="BB495" t="n">
        <v>10</v>
      </c>
      <c r="BC495" t="n">
        <v>6800</v>
      </c>
      <c r="BD495" t="inlineStr">
        <is>
          <t>No</t>
        </is>
      </c>
      <c r="BF495" t="inlineStr">
        <is>
          <t>Bengal Tiger Line -BTL</t>
        </is>
      </c>
      <c r="BG495" t="inlineStr">
        <is>
          <t>USSEA</t>
        </is>
      </c>
      <c r="BH495" t="n">
        <v>0</v>
      </c>
      <c r="BI495" t="n">
        <v>1</v>
      </c>
      <c r="BJ495" t="n">
        <v>6800</v>
      </c>
      <c r="BK495" t="inlineStr">
        <is>
          <t>LINE</t>
        </is>
      </c>
      <c r="BL495" t="inlineStr">
        <is>
          <t>WHALE REEFER</t>
        </is>
      </c>
      <c r="BM495" t="inlineStr">
        <is>
          <t>WHALE REEFER</t>
        </is>
      </c>
    </row>
    <row r="496">
      <c r="A496" t="n">
        <v>495</v>
      </c>
      <c r="B496" t="inlineStr">
        <is>
          <t>SEAL REEFER</t>
        </is>
      </c>
      <c r="C496" t="inlineStr">
        <is>
          <t>REF000000</t>
        </is>
      </c>
      <c r="D496" t="inlineStr">
        <is>
          <t>REF000000</t>
        </is>
      </c>
      <c r="E496" t="n">
        <v>46097</v>
      </c>
      <c r="F496" t="inlineStr">
        <is>
          <t>SEAL REEFER</t>
        </is>
      </c>
      <c r="G496" t="inlineStr">
        <is>
          <t>1x40RH TEMP -18 RUBLT</t>
        </is>
      </c>
      <c r="H496" t="inlineStr">
        <is>
          <t>AR_MARTIMA</t>
        </is>
      </c>
      <c r="J496" t="n">
        <v>46103</v>
      </c>
      <c r="K496" t="n">
        <v>46102</v>
      </c>
      <c r="L496" t="n">
        <v>46103</v>
      </c>
      <c r="M496" t="inlineStr">
        <is>
          <t>REF000000</t>
        </is>
      </c>
      <c r="N496" t="inlineStr">
        <is>
          <t>USSEA</t>
        </is>
      </c>
      <c r="O496" t="inlineStr">
        <is>
          <t>USSEA</t>
        </is>
      </c>
      <c r="P496" t="inlineStr">
        <is>
          <t>USNFK</t>
        </is>
      </c>
      <c r="U496" t="inlineStr">
        <is>
          <t>RUBLT</t>
        </is>
      </c>
      <c r="V496" t="inlineStr">
        <is>
          <t>RUBLT</t>
        </is>
      </c>
      <c r="W496" t="inlineStr">
        <is>
          <t>CANADA</t>
        </is>
      </c>
      <c r="X496" t="inlineStr">
        <is>
          <t>PERSIAN GULF</t>
        </is>
      </c>
      <c r="Y496" t="inlineStr">
        <is>
          <t>RUSSIA</t>
        </is>
      </c>
      <c r="Z496" t="inlineStr">
        <is>
          <t>External Review</t>
        </is>
      </c>
      <c r="AA496" t="inlineStr">
        <is>
          <t>HUB Shipping-Kaliningrad</t>
        </is>
      </c>
      <c r="AB496" t="inlineStr">
        <is>
          <t>Prepaid</t>
        </is>
      </c>
      <c r="AC496" t="inlineStr">
        <is>
          <t>TIGER PLATA/973N</t>
        </is>
      </c>
      <c r="AE496" t="inlineStr">
        <is>
          <t>LADEN BOOKING</t>
        </is>
      </c>
      <c r="AF496" t="inlineStr">
        <is>
          <t>AR_MARTIMA</t>
        </is>
      </c>
      <c r="AG496" t="inlineStr">
        <is>
          <t>RH40</t>
        </is>
      </c>
      <c r="AH496" t="inlineStr">
        <is>
          <t>NO</t>
        </is>
      </c>
      <c r="AI496" t="n">
        <v>40</v>
      </c>
      <c r="AJ496" t="n">
        <v>0</v>
      </c>
      <c r="AK496" t="n">
        <v>1</v>
      </c>
      <c r="AL496" t="inlineStr">
        <is>
          <t>ANON0000000</t>
        </is>
      </c>
      <c r="AM496" t="n">
        <v>-18</v>
      </c>
      <c r="AP496" t="inlineStr">
        <is>
          <t>Non Haz</t>
        </is>
      </c>
      <c r="AQ496" t="inlineStr">
        <is>
          <t>CY/CY</t>
        </is>
      </c>
      <c r="AT496" t="inlineStr">
        <is>
          <t>REF000000</t>
        </is>
      </c>
      <c r="AU496" t="n">
        <v>29000</v>
      </c>
      <c r="AV496" t="inlineStr">
        <is>
          <t>FROZEN BONELESS BUFFALO MEAT</t>
        </is>
      </c>
      <c r="AW496" t="inlineStr">
        <is>
          <t>NCM: 0206.22 NCM: 0206.29</t>
        </is>
      </c>
      <c r="AX496" t="inlineStr">
        <is>
          <t>RSAMI012600001</t>
        </is>
      </c>
      <c r="AZ496" t="n">
        <v>0</v>
      </c>
      <c r="BA496" t="n">
        <v>10</v>
      </c>
      <c r="BB496" t="n">
        <v>10</v>
      </c>
      <c r="BC496" t="n">
        <v>8400</v>
      </c>
      <c r="BD496" t="inlineStr">
        <is>
          <t>No</t>
        </is>
      </c>
      <c r="BF496" t="inlineStr">
        <is>
          <t>Bengal Tiger Line -BTL</t>
        </is>
      </c>
      <c r="BG496" t="inlineStr">
        <is>
          <t>USSEA</t>
        </is>
      </c>
      <c r="BH496" t="n">
        <v>0</v>
      </c>
      <c r="BI496" t="n">
        <v>1</v>
      </c>
      <c r="BJ496" t="n">
        <v>8400</v>
      </c>
      <c r="BK496" t="inlineStr">
        <is>
          <t>LINE</t>
        </is>
      </c>
      <c r="BL496" t="inlineStr">
        <is>
          <t>SEAL REEFER</t>
        </is>
      </c>
      <c r="BM496" t="inlineStr">
        <is>
          <t>SEAL REEFER</t>
        </is>
      </c>
    </row>
    <row r="497">
      <c r="A497" t="n">
        <v>496</v>
      </c>
      <c r="B497" t="inlineStr">
        <is>
          <t>SHARK REEFER</t>
        </is>
      </c>
      <c r="C497" t="inlineStr">
        <is>
          <t>REF000000</t>
        </is>
      </c>
      <c r="D497" t="inlineStr">
        <is>
          <t>REF000000</t>
        </is>
      </c>
      <c r="E497" t="n">
        <v>46097</v>
      </c>
      <c r="F497" t="inlineStr">
        <is>
          <t>SHARK REEFER</t>
        </is>
      </c>
      <c r="G497" t="inlineStr">
        <is>
          <t>1X40RH TEMP -18</t>
        </is>
      </c>
      <c r="H497" t="inlineStr">
        <is>
          <t>AR_MARTIMA</t>
        </is>
      </c>
      <c r="J497" t="n">
        <v>46103</v>
      </c>
      <c r="K497" t="n">
        <v>46102</v>
      </c>
      <c r="L497" t="n">
        <v>46103</v>
      </c>
      <c r="M497" t="inlineStr">
        <is>
          <t>REF000000</t>
        </is>
      </c>
      <c r="N497" t="inlineStr">
        <is>
          <t>USSEA</t>
        </is>
      </c>
      <c r="O497" t="inlineStr">
        <is>
          <t>USSEA</t>
        </is>
      </c>
      <c r="P497" t="inlineStr">
        <is>
          <t>USNFK</t>
        </is>
      </c>
      <c r="U497" t="inlineStr">
        <is>
          <t>RULED</t>
        </is>
      </c>
      <c r="V497" t="inlineStr">
        <is>
          <t>RULED</t>
        </is>
      </c>
      <c r="W497" t="inlineStr">
        <is>
          <t>CANADA</t>
        </is>
      </c>
      <c r="X497" t="inlineStr">
        <is>
          <t>PERSIAN GULF</t>
        </is>
      </c>
      <c r="Y497" t="inlineStr">
        <is>
          <t>RUSSIA</t>
        </is>
      </c>
      <c r="Z497" t="inlineStr">
        <is>
          <t>External Review</t>
        </is>
      </c>
      <c r="AA497" t="inlineStr">
        <is>
          <t>HUB SHIPPING LLC-LED</t>
        </is>
      </c>
      <c r="AB497" t="inlineStr">
        <is>
          <t>Prepaid</t>
        </is>
      </c>
      <c r="AC497" t="inlineStr">
        <is>
          <t>TIGER PLATA/973N</t>
        </is>
      </c>
      <c r="AE497" t="inlineStr">
        <is>
          <t>LADEN BOOKING</t>
        </is>
      </c>
      <c r="AF497" t="inlineStr">
        <is>
          <t>AR_MARTIMA</t>
        </is>
      </c>
      <c r="AG497" t="inlineStr">
        <is>
          <t>RH40</t>
        </is>
      </c>
      <c r="AH497" t="inlineStr">
        <is>
          <t>NO</t>
        </is>
      </c>
      <c r="AI497" t="n">
        <v>40</v>
      </c>
      <c r="AJ497" t="n">
        <v>0</v>
      </c>
      <c r="AK497" t="n">
        <v>1</v>
      </c>
      <c r="AL497" t="inlineStr">
        <is>
          <t>ANON0000000</t>
        </is>
      </c>
      <c r="AM497" t="n">
        <v>-18</v>
      </c>
      <c r="AP497" t="inlineStr">
        <is>
          <t>Non Haz</t>
        </is>
      </c>
      <c r="AQ497" t="inlineStr">
        <is>
          <t>CY/CY</t>
        </is>
      </c>
      <c r="AT497" t="inlineStr">
        <is>
          <t>REF000000</t>
        </is>
      </c>
      <c r="AU497" t="n">
        <v>29000</v>
      </c>
      <c r="AV497" t="inlineStr">
        <is>
          <t>FROZEN BONELESS BUFFALO MEAT</t>
        </is>
      </c>
      <c r="AW497" t="inlineStr">
        <is>
          <t>N.C.M.: 0206.22</t>
        </is>
      </c>
      <c r="AX497" t="inlineStr">
        <is>
          <t>RSAMI122500027</t>
        </is>
      </c>
      <c r="AZ497" t="n">
        <v>0</v>
      </c>
      <c r="BA497" t="n">
        <v>10</v>
      </c>
      <c r="BB497" t="n">
        <v>10</v>
      </c>
      <c r="BC497" t="n">
        <v>7300</v>
      </c>
      <c r="BD497" t="inlineStr">
        <is>
          <t>No</t>
        </is>
      </c>
      <c r="BF497" t="inlineStr">
        <is>
          <t>Bengal Tiger Line -BTL</t>
        </is>
      </c>
      <c r="BG497" t="inlineStr">
        <is>
          <t>USSEA</t>
        </is>
      </c>
      <c r="BH497" t="n">
        <v>0</v>
      </c>
      <c r="BI497" t="n">
        <v>1</v>
      </c>
      <c r="BJ497" t="n">
        <v>7300</v>
      </c>
      <c r="BK497" t="inlineStr">
        <is>
          <t>LINE</t>
        </is>
      </c>
      <c r="BL497" t="inlineStr">
        <is>
          <t>SHARK REEFER</t>
        </is>
      </c>
      <c r="BM497" t="inlineStr">
        <is>
          <t>SHARK REEFER</t>
        </is>
      </c>
    </row>
    <row r="498">
      <c r="A498" t="n">
        <v>497</v>
      </c>
      <c r="B498" t="inlineStr">
        <is>
          <t>DOLPHIN REEFER</t>
        </is>
      </c>
      <c r="C498" t="inlineStr">
        <is>
          <t>REF000000</t>
        </is>
      </c>
      <c r="D498" t="inlineStr">
        <is>
          <t>REF000000</t>
        </is>
      </c>
      <c r="E498" t="n">
        <v>46097</v>
      </c>
      <c r="F498" t="inlineStr">
        <is>
          <t>DOLPHIN REEFER</t>
        </is>
      </c>
      <c r="G498" t="inlineStr">
        <is>
          <t>ENTERED THROUGH SPLIT BOOKING FROM THE BOOKING ID REF000000, BY AR_MARTIMA, ON 3/16/2026 6:55:51 PM</t>
        </is>
      </c>
      <c r="H498" t="inlineStr">
        <is>
          <t>AR_MARTIMA</t>
        </is>
      </c>
      <c r="J498" t="n">
        <v>46103</v>
      </c>
      <c r="K498" t="n">
        <v>46102</v>
      </c>
      <c r="L498" t="n">
        <v>46103</v>
      </c>
      <c r="M498" t="inlineStr">
        <is>
          <t>REF000000</t>
        </is>
      </c>
      <c r="N498" t="inlineStr">
        <is>
          <t>USSEA</t>
        </is>
      </c>
      <c r="O498" t="inlineStr">
        <is>
          <t>USSEA</t>
        </is>
      </c>
      <c r="P498" t="inlineStr">
        <is>
          <t>USNFK</t>
        </is>
      </c>
      <c r="U498" t="inlineStr">
        <is>
          <t>RULED</t>
        </is>
      </c>
      <c r="V498" t="inlineStr">
        <is>
          <t>RULED</t>
        </is>
      </c>
      <c r="W498" t="inlineStr">
        <is>
          <t>CANADA</t>
        </is>
      </c>
      <c r="X498" t="inlineStr">
        <is>
          <t>PERSIAN GULF</t>
        </is>
      </c>
      <c r="Y498" t="inlineStr">
        <is>
          <t>RUSSIA</t>
        </is>
      </c>
      <c r="Z498" t="inlineStr">
        <is>
          <t>External Review</t>
        </is>
      </c>
      <c r="AA498" t="inlineStr">
        <is>
          <t>HUB SHIPPING LLC-LED</t>
        </is>
      </c>
      <c r="AB498" t="inlineStr">
        <is>
          <t>Prepaid</t>
        </is>
      </c>
      <c r="AC498" t="inlineStr">
        <is>
          <t>TIGER PLATA/973N</t>
        </is>
      </c>
      <c r="AE498" t="inlineStr">
        <is>
          <t>LADEN BOOKING</t>
        </is>
      </c>
      <c r="AF498" t="inlineStr">
        <is>
          <t>AR_MARTIMA</t>
        </is>
      </c>
      <c r="AG498" t="inlineStr">
        <is>
          <t>RH40</t>
        </is>
      </c>
      <c r="AI498" t="n">
        <v>40</v>
      </c>
      <c r="AJ498" t="n">
        <v>0</v>
      </c>
      <c r="AK498" t="n">
        <v>1</v>
      </c>
      <c r="AL498" t="inlineStr">
        <is>
          <t>ANON0000000</t>
        </is>
      </c>
      <c r="AM498" t="n">
        <v>-18</v>
      </c>
      <c r="AP498" t="inlineStr">
        <is>
          <t>Non Haz</t>
        </is>
      </c>
      <c r="AQ498" t="inlineStr">
        <is>
          <t>CY/CY</t>
        </is>
      </c>
      <c r="AT498" t="inlineStr">
        <is>
          <t>REF000000</t>
        </is>
      </c>
      <c r="AU498" t="n">
        <v>29000</v>
      </c>
      <c r="AV498" t="inlineStr">
        <is>
          <t>FROZEN BONELESS BUFFALO MEAT</t>
        </is>
      </c>
      <c r="AW498" t="inlineStr">
        <is>
          <t>N.C.M.: 0206.29</t>
        </is>
      </c>
      <c r="AX498" t="inlineStr">
        <is>
          <t>RSAMI122500027</t>
        </is>
      </c>
      <c r="AZ498" t="n">
        <v>0</v>
      </c>
      <c r="BA498" t="n">
        <v>10</v>
      </c>
      <c r="BB498" t="n">
        <v>10</v>
      </c>
      <c r="BC498" t="n">
        <v>7300</v>
      </c>
      <c r="BD498" t="inlineStr">
        <is>
          <t>No</t>
        </is>
      </c>
      <c r="BF498" t="inlineStr">
        <is>
          <t>Bengal Tiger Line -BTL</t>
        </is>
      </c>
      <c r="BG498" t="inlineStr">
        <is>
          <t>USSEA</t>
        </is>
      </c>
      <c r="BH498" t="n">
        <v>0</v>
      </c>
      <c r="BI498" t="n">
        <v>1</v>
      </c>
      <c r="BJ498" t="n">
        <v>7300</v>
      </c>
      <c r="BK498" t="inlineStr">
        <is>
          <t>LINE</t>
        </is>
      </c>
      <c r="BL498" t="inlineStr">
        <is>
          <t>DOLPHIN REEFER</t>
        </is>
      </c>
      <c r="BM498" t="inlineStr">
        <is>
          <t>DOLPHIN REEFER</t>
        </is>
      </c>
    </row>
    <row r="499">
      <c r="A499" t="n">
        <v>498</v>
      </c>
      <c r="B499" t="inlineStr">
        <is>
          <t>MARLIN REEFER</t>
        </is>
      </c>
      <c r="C499" t="inlineStr">
        <is>
          <t>REF000000</t>
        </is>
      </c>
      <c r="D499" t="inlineStr">
        <is>
          <t>REF000000</t>
        </is>
      </c>
      <c r="E499" t="n">
        <v>46097</v>
      </c>
      <c r="F499" t="inlineStr">
        <is>
          <t>MARLIN REEFER</t>
        </is>
      </c>
      <c r="G499" t="inlineStr">
        <is>
          <t>ENTERED THROUGH SPLIT BOOKING FROM THE BOOKING ID REF000000, BY AR_MARTIMA, ON 3/16/2026 6:55:51 PM</t>
        </is>
      </c>
      <c r="H499" t="inlineStr">
        <is>
          <t>AR_MARTIMA</t>
        </is>
      </c>
      <c r="J499" t="n">
        <v>46103</v>
      </c>
      <c r="K499" t="n">
        <v>46102</v>
      </c>
      <c r="L499" t="n">
        <v>46103</v>
      </c>
      <c r="M499" t="inlineStr">
        <is>
          <t>REF000000</t>
        </is>
      </c>
      <c r="N499" t="inlineStr">
        <is>
          <t>USSEA</t>
        </is>
      </c>
      <c r="O499" t="inlineStr">
        <is>
          <t>USSEA</t>
        </is>
      </c>
      <c r="P499" t="inlineStr">
        <is>
          <t>USNFK</t>
        </is>
      </c>
      <c r="U499" t="inlineStr">
        <is>
          <t>RULED</t>
        </is>
      </c>
      <c r="V499" t="inlineStr">
        <is>
          <t>RULED</t>
        </is>
      </c>
      <c r="W499" t="inlineStr">
        <is>
          <t>CANADA</t>
        </is>
      </c>
      <c r="X499" t="inlineStr">
        <is>
          <t>PERSIAN GULF</t>
        </is>
      </c>
      <c r="Y499" t="inlineStr">
        <is>
          <t>RUSSIA</t>
        </is>
      </c>
      <c r="Z499" t="inlineStr">
        <is>
          <t>External Review</t>
        </is>
      </c>
      <c r="AA499" t="inlineStr">
        <is>
          <t>HUB SHIPPING LLC-LED</t>
        </is>
      </c>
      <c r="AB499" t="inlineStr">
        <is>
          <t>Prepaid</t>
        </is>
      </c>
      <c r="AC499" t="inlineStr">
        <is>
          <t>TIGER PLATA/973N</t>
        </is>
      </c>
      <c r="AE499" t="inlineStr">
        <is>
          <t>LADEN BOOKING</t>
        </is>
      </c>
      <c r="AF499" t="inlineStr">
        <is>
          <t>AR_MARTIMA</t>
        </is>
      </c>
      <c r="AG499" t="inlineStr">
        <is>
          <t>RH40</t>
        </is>
      </c>
      <c r="AI499" t="n">
        <v>40</v>
      </c>
      <c r="AJ499" t="n">
        <v>0</v>
      </c>
      <c r="AK499" t="n">
        <v>1</v>
      </c>
      <c r="AL499" t="inlineStr">
        <is>
          <t>ANON0000000</t>
        </is>
      </c>
      <c r="AM499" t="n">
        <v>-18</v>
      </c>
      <c r="AP499" t="inlineStr">
        <is>
          <t>Non Haz</t>
        </is>
      </c>
      <c r="AQ499" t="inlineStr">
        <is>
          <t>CY/CY</t>
        </is>
      </c>
      <c r="AT499" t="inlineStr">
        <is>
          <t>REF000000</t>
        </is>
      </c>
      <c r="AU499" t="n">
        <v>29000</v>
      </c>
      <c r="AV499" t="inlineStr">
        <is>
          <t>FROZEN BONELESS BUFFALO MEAT</t>
        </is>
      </c>
      <c r="AW499" t="inlineStr">
        <is>
          <t>N.C.M.: 0206.21</t>
        </is>
      </c>
      <c r="AX499" t="inlineStr">
        <is>
          <t>RSAMI122500027</t>
        </is>
      </c>
      <c r="AZ499" t="n">
        <v>0</v>
      </c>
      <c r="BA499" t="n">
        <v>10</v>
      </c>
      <c r="BB499" t="n">
        <v>10</v>
      </c>
      <c r="BC499" t="n">
        <v>7300</v>
      </c>
      <c r="BD499" t="inlineStr">
        <is>
          <t>No</t>
        </is>
      </c>
      <c r="BF499" t="inlineStr">
        <is>
          <t>Bengal Tiger Line -BTL</t>
        </is>
      </c>
      <c r="BG499" t="inlineStr">
        <is>
          <t>USSEA</t>
        </is>
      </c>
      <c r="BH499" t="n">
        <v>0</v>
      </c>
      <c r="BI499" t="n">
        <v>1</v>
      </c>
      <c r="BJ499" t="n">
        <v>7300</v>
      </c>
      <c r="BK499" t="inlineStr">
        <is>
          <t>LINE</t>
        </is>
      </c>
      <c r="BL499" t="inlineStr">
        <is>
          <t>MARLIN REEFER</t>
        </is>
      </c>
      <c r="BM499" t="inlineStr">
        <is>
          <t>MARLIN REEFER</t>
        </is>
      </c>
    </row>
    <row r="500">
      <c r="A500" t="n">
        <v>499</v>
      </c>
      <c r="B500" t="inlineStr">
        <is>
          <t>COYOTE DRY</t>
        </is>
      </c>
      <c r="C500" t="inlineStr">
        <is>
          <t>REF000000</t>
        </is>
      </c>
      <c r="D500" t="inlineStr">
        <is>
          <t>REF000000</t>
        </is>
      </c>
      <c r="E500" t="n">
        <v>46098</v>
      </c>
      <c r="F500" t="inlineStr">
        <is>
          <t>COYOTE DRY</t>
        </is>
      </c>
      <c r="G500" t="inlineStr">
        <is>
          <t>ENTERED THROUGH SPLIT BOOKING FROM THE BOOKING ID REF000000, BY AR_MARTIMA, ON 11/28/2025 10:53:37 PM</t>
        </is>
      </c>
      <c r="H500" t="inlineStr">
        <is>
          <t>AR_MARTIMA</t>
        </is>
      </c>
      <c r="J500" t="n">
        <v>46111</v>
      </c>
      <c r="K500" t="n">
        <v>46110</v>
      </c>
      <c r="L500" t="n">
        <v>46111</v>
      </c>
      <c r="M500" t="inlineStr">
        <is>
          <t>REF000000</t>
        </is>
      </c>
      <c r="N500" t="inlineStr">
        <is>
          <t>USSEA</t>
        </is>
      </c>
      <c r="O500" t="inlineStr">
        <is>
          <t>USSEA</t>
        </is>
      </c>
      <c r="P500" t="inlineStr">
        <is>
          <t>USNFK</t>
        </is>
      </c>
      <c r="U500" t="inlineStr">
        <is>
          <t>RULED</t>
        </is>
      </c>
      <c r="V500" t="inlineStr">
        <is>
          <t>RULED</t>
        </is>
      </c>
      <c r="W500" t="inlineStr">
        <is>
          <t>CANADA</t>
        </is>
      </c>
      <c r="X500" t="inlineStr">
        <is>
          <t>PERSIAN GULF</t>
        </is>
      </c>
      <c r="Y500" t="inlineStr">
        <is>
          <t>RUSSIA</t>
        </is>
      </c>
      <c r="Z500" t="inlineStr">
        <is>
          <t>External Review</t>
        </is>
      </c>
      <c r="AA500" t="inlineStr">
        <is>
          <t>HUB SHIPPING LLC-LED</t>
        </is>
      </c>
      <c r="AB500" t="inlineStr">
        <is>
          <t>Prepaid</t>
        </is>
      </c>
      <c r="AC500" t="inlineStr">
        <is>
          <t>TIGER PLATA/974N</t>
        </is>
      </c>
      <c r="AE500" t="inlineStr">
        <is>
          <t>LADEN BOOKING</t>
        </is>
      </c>
      <c r="AF500" t="inlineStr">
        <is>
          <t>AR_MARTIMA</t>
        </is>
      </c>
      <c r="AG500" t="inlineStr">
        <is>
          <t>HC40</t>
        </is>
      </c>
      <c r="AH500" t="inlineStr">
        <is>
          <t>NO</t>
        </is>
      </c>
      <c r="AI500" t="n">
        <v>40</v>
      </c>
      <c r="AJ500" t="n">
        <v>0</v>
      </c>
      <c r="AK500" t="n">
        <v>1</v>
      </c>
      <c r="AL500" t="inlineStr">
        <is>
          <t>ANON0000000</t>
        </is>
      </c>
      <c r="AP500" t="inlineStr">
        <is>
          <t>Non Haz</t>
        </is>
      </c>
      <c r="AQ500" t="inlineStr">
        <is>
          <t>CY/CY</t>
        </is>
      </c>
      <c r="AT500" t="inlineStr">
        <is>
          <t>REF000000</t>
        </is>
      </c>
      <c r="AU500" t="n">
        <v>29000</v>
      </c>
      <c r="AV500" t="inlineStr">
        <is>
          <t>GENERAL COMMODITY</t>
        </is>
      </c>
      <c r="AW500" t="inlineStr">
        <is>
          <t>H.T.S. 0902.40.00</t>
        </is>
      </c>
      <c r="AX500" t="inlineStr">
        <is>
          <t>RSAMI032600005</t>
        </is>
      </c>
      <c r="AZ500" t="n">
        <v>0</v>
      </c>
      <c r="BA500" t="n">
        <v>14</v>
      </c>
      <c r="BB500" t="n">
        <v>14</v>
      </c>
      <c r="BC500" t="n">
        <v>5000</v>
      </c>
      <c r="BD500" t="inlineStr">
        <is>
          <t>No</t>
        </is>
      </c>
      <c r="BF500" t="inlineStr">
        <is>
          <t>Bengal Tiger Line -BTL</t>
        </is>
      </c>
      <c r="BG500" t="inlineStr">
        <is>
          <t>USSEA</t>
        </is>
      </c>
      <c r="BH500" t="n">
        <v>0</v>
      </c>
      <c r="BI500" t="n">
        <v>1</v>
      </c>
      <c r="BJ500" t="n">
        <v>5000</v>
      </c>
      <c r="BK500" t="inlineStr">
        <is>
          <t>LINE</t>
        </is>
      </c>
      <c r="BL500" t="inlineStr">
        <is>
          <t>COYOTE DRY</t>
        </is>
      </c>
      <c r="BM500" t="inlineStr">
        <is>
          <t>COYOTE DRY</t>
        </is>
      </c>
    </row>
    <row r="501">
      <c r="A501" t="n">
        <v>500</v>
      </c>
      <c r="B501" t="inlineStr">
        <is>
          <t>ORCA REEFER</t>
        </is>
      </c>
      <c r="C501" t="inlineStr">
        <is>
          <t>REF000000</t>
        </is>
      </c>
      <c r="D501" t="inlineStr">
        <is>
          <t>REF000000</t>
        </is>
      </c>
      <c r="E501" t="n">
        <v>46098</v>
      </c>
      <c r="F501" t="inlineStr">
        <is>
          <t>ORCA REEFER</t>
        </is>
      </c>
      <c r="G501" t="inlineStr">
        <is>
          <t>1x40RQ TEMP: -18</t>
        </is>
      </c>
      <c r="H501" t="inlineStr">
        <is>
          <t>AR_MARTIMA</t>
        </is>
      </c>
      <c r="J501" t="n">
        <v>46103</v>
      </c>
      <c r="K501" t="n">
        <v>46102</v>
      </c>
      <c r="L501" t="n">
        <v>46103</v>
      </c>
      <c r="M501" t="inlineStr">
        <is>
          <t>REF000000</t>
        </is>
      </c>
      <c r="N501" t="inlineStr">
        <is>
          <t>USSEA</t>
        </is>
      </c>
      <c r="O501" t="inlineStr">
        <is>
          <t>USSEA</t>
        </is>
      </c>
      <c r="P501" t="inlineStr">
        <is>
          <t>USNFK</t>
        </is>
      </c>
      <c r="Q501" t="inlineStr">
        <is>
          <t>MACAS</t>
        </is>
      </c>
      <c r="U501" t="inlineStr">
        <is>
          <t>RULED</t>
        </is>
      </c>
      <c r="V501" t="inlineStr">
        <is>
          <t>RULED</t>
        </is>
      </c>
      <c r="W501" t="inlineStr">
        <is>
          <t>CANADA</t>
        </is>
      </c>
      <c r="X501" t="inlineStr">
        <is>
          <t>PERSIAN GULF</t>
        </is>
      </c>
      <c r="Y501" t="inlineStr">
        <is>
          <t>RUSSIA</t>
        </is>
      </c>
      <c r="Z501" t="inlineStr">
        <is>
          <t>External Review</t>
        </is>
      </c>
      <c r="AA501" t="inlineStr">
        <is>
          <t>HUB SHIPPING LLC-LED</t>
        </is>
      </c>
      <c r="AB501" t="inlineStr">
        <is>
          <t>Prepaid</t>
        </is>
      </c>
      <c r="AC501" t="inlineStr">
        <is>
          <t>TIGER PLATA/973N</t>
        </is>
      </c>
      <c r="AE501" t="inlineStr">
        <is>
          <t>LADEN BOOKING</t>
        </is>
      </c>
      <c r="AF501" t="inlineStr">
        <is>
          <t>AR_MARTIMA</t>
        </is>
      </c>
      <c r="AG501" t="inlineStr">
        <is>
          <t>RH40</t>
        </is>
      </c>
      <c r="AH501" t="inlineStr">
        <is>
          <t>NO</t>
        </is>
      </c>
      <c r="AI501" t="n">
        <v>40</v>
      </c>
      <c r="AJ501" t="n">
        <v>0</v>
      </c>
      <c r="AK501" t="n">
        <v>1</v>
      </c>
      <c r="AL501" t="inlineStr">
        <is>
          <t>ANON0000000</t>
        </is>
      </c>
      <c r="AM501" t="n">
        <v>-18</v>
      </c>
      <c r="AP501" t="inlineStr">
        <is>
          <t>Non Haz</t>
        </is>
      </c>
      <c r="AQ501" t="inlineStr">
        <is>
          <t>CY/CY</t>
        </is>
      </c>
      <c r="AT501" t="inlineStr">
        <is>
          <t>REF000000</t>
        </is>
      </c>
      <c r="AU501" t="n">
        <v>29000</v>
      </c>
      <c r="AV501" t="inlineStr">
        <is>
          <t>FROZEN FOODSTUFF</t>
        </is>
      </c>
      <c r="AW501" t="inlineStr">
        <is>
          <t>NCM:0205008000</t>
        </is>
      </c>
      <c r="AX501" t="inlineStr">
        <is>
          <t>RSAMI032600001</t>
        </is>
      </c>
      <c r="AZ501" t="n">
        <v>0</v>
      </c>
      <c r="BA501" t="n">
        <v>10</v>
      </c>
      <c r="BB501" t="n">
        <v>10</v>
      </c>
      <c r="BC501" t="n">
        <v>7300</v>
      </c>
      <c r="BD501" t="inlineStr">
        <is>
          <t>No</t>
        </is>
      </c>
      <c r="BF501" t="inlineStr">
        <is>
          <t>Bengal Tiger Line -BTL</t>
        </is>
      </c>
      <c r="BG501" t="inlineStr">
        <is>
          <t>USSEA</t>
        </is>
      </c>
      <c r="BH501" t="n">
        <v>0</v>
      </c>
      <c r="BI501" t="n">
        <v>1</v>
      </c>
      <c r="BJ501" t="n">
        <v>7300</v>
      </c>
      <c r="BK501" t="inlineStr">
        <is>
          <t>LINE</t>
        </is>
      </c>
      <c r="BL501" t="inlineStr">
        <is>
          <t>ORCA REEFER</t>
        </is>
      </c>
      <c r="BM501" t="inlineStr">
        <is>
          <t>ORCA REEFER</t>
        </is>
      </c>
    </row>
    <row r="502">
      <c r="A502" t="n">
        <v>501</v>
      </c>
      <c r="B502" t="inlineStr">
        <is>
          <t>WHALE REEFER</t>
        </is>
      </c>
      <c r="C502" t="inlineStr">
        <is>
          <t>REF000000</t>
        </is>
      </c>
      <c r="D502" t="inlineStr">
        <is>
          <t>REF000000</t>
        </is>
      </c>
      <c r="E502" t="n">
        <v>46098</v>
      </c>
      <c r="F502" t="inlineStr">
        <is>
          <t>WHALE REEFER</t>
        </is>
      </c>
      <c r="G502" t="inlineStr">
        <is>
          <t>ENTERED THROUGH SPLIT BOOKING FROM THE BOOKING ID REF000000, BY AR_MARTIMA, ON 3/17/2026 4:05:13 AM</t>
        </is>
      </c>
      <c r="H502" t="inlineStr">
        <is>
          <t>AR_MARTIMA</t>
        </is>
      </c>
      <c r="J502" t="n">
        <v>46103</v>
      </c>
      <c r="K502" t="n">
        <v>46102</v>
      </c>
      <c r="L502" t="n">
        <v>46103</v>
      </c>
      <c r="M502" t="inlineStr">
        <is>
          <t>REF000000</t>
        </is>
      </c>
      <c r="N502" t="inlineStr">
        <is>
          <t>USSEA</t>
        </is>
      </c>
      <c r="O502" t="inlineStr">
        <is>
          <t>USSEA</t>
        </is>
      </c>
      <c r="P502" t="inlineStr">
        <is>
          <t>USNFK</t>
        </is>
      </c>
      <c r="U502" t="inlineStr">
        <is>
          <t>RULED</t>
        </is>
      </c>
      <c r="V502" t="inlineStr">
        <is>
          <t>RULED</t>
        </is>
      </c>
      <c r="W502" t="inlineStr">
        <is>
          <t>CANADA</t>
        </is>
      </c>
      <c r="X502" t="inlineStr">
        <is>
          <t>PERSIAN GULF</t>
        </is>
      </c>
      <c r="Y502" t="inlineStr">
        <is>
          <t>RUSSIA</t>
        </is>
      </c>
      <c r="Z502" t="inlineStr">
        <is>
          <t>External Review</t>
        </is>
      </c>
      <c r="AA502" t="inlineStr">
        <is>
          <t>HUB SHIPPING LLC-LED</t>
        </is>
      </c>
      <c r="AB502" t="inlineStr">
        <is>
          <t>Prepaid</t>
        </is>
      </c>
      <c r="AC502" t="inlineStr">
        <is>
          <t>TIGER PLATA/973N</t>
        </is>
      </c>
      <c r="AE502" t="inlineStr">
        <is>
          <t>LADEN BOOKING</t>
        </is>
      </c>
      <c r="AF502" t="inlineStr">
        <is>
          <t>AR_MARTIMA</t>
        </is>
      </c>
      <c r="AG502" t="inlineStr">
        <is>
          <t>RH40</t>
        </is>
      </c>
      <c r="AH502" t="inlineStr">
        <is>
          <t>NO</t>
        </is>
      </c>
      <c r="AI502" t="n">
        <v>40</v>
      </c>
      <c r="AJ502" t="n">
        <v>0</v>
      </c>
      <c r="AK502" t="n">
        <v>1</v>
      </c>
      <c r="AL502" t="inlineStr">
        <is>
          <t>ANON0000000</t>
        </is>
      </c>
      <c r="AM502" t="n">
        <v>-18</v>
      </c>
      <c r="AP502" t="inlineStr">
        <is>
          <t>Non Haz</t>
        </is>
      </c>
      <c r="AQ502" t="inlineStr">
        <is>
          <t>CY/CY</t>
        </is>
      </c>
      <c r="AT502" t="inlineStr">
        <is>
          <t>REF000000</t>
        </is>
      </c>
      <c r="AU502" t="n">
        <v>29000</v>
      </c>
      <c r="AV502" t="inlineStr">
        <is>
          <t>FROZEN FOODSTUFF</t>
        </is>
      </c>
      <c r="AW502" t="inlineStr">
        <is>
          <t>NCM:0205.00</t>
        </is>
      </c>
      <c r="AX502" t="inlineStr">
        <is>
          <t>RSAMI032600001</t>
        </is>
      </c>
      <c r="AZ502" t="n">
        <v>0</v>
      </c>
      <c r="BA502" t="n">
        <v>10</v>
      </c>
      <c r="BB502" t="n">
        <v>10</v>
      </c>
      <c r="BC502" t="n">
        <v>7300</v>
      </c>
      <c r="BD502" t="inlineStr">
        <is>
          <t>No</t>
        </is>
      </c>
      <c r="BF502" t="inlineStr">
        <is>
          <t>Bengal Tiger Line -BTL</t>
        </is>
      </c>
      <c r="BG502" t="inlineStr">
        <is>
          <t>USSEA</t>
        </is>
      </c>
      <c r="BH502" t="n">
        <v>0</v>
      </c>
      <c r="BI502" t="n">
        <v>1</v>
      </c>
      <c r="BJ502" t="n">
        <v>7300</v>
      </c>
      <c r="BK502" t="inlineStr">
        <is>
          <t>LINE</t>
        </is>
      </c>
      <c r="BL502" t="inlineStr">
        <is>
          <t>WHALE REEFER</t>
        </is>
      </c>
      <c r="BM502" t="inlineStr">
        <is>
          <t>WHALE REEFER</t>
        </is>
      </c>
    </row>
    <row r="503">
      <c r="A503" t="n">
        <v>502</v>
      </c>
      <c r="B503" t="inlineStr">
        <is>
          <t>SEAL REEFER</t>
        </is>
      </c>
      <c r="C503" t="inlineStr">
        <is>
          <t>REF000000</t>
        </is>
      </c>
      <c r="D503" t="inlineStr">
        <is>
          <t>REF000000</t>
        </is>
      </c>
      <c r="E503" t="n">
        <v>46100</v>
      </c>
      <c r="F503" t="inlineStr">
        <is>
          <t>SEAL REEFER</t>
        </is>
      </c>
      <c r="G503" t="inlineStr">
        <is>
          <t>1X40RH TEMP -18</t>
        </is>
      </c>
      <c r="H503" t="inlineStr">
        <is>
          <t>AR_MARTIMA</t>
        </is>
      </c>
      <c r="J503" t="n">
        <v>46103</v>
      </c>
      <c r="K503" t="n">
        <v>46102</v>
      </c>
      <c r="L503" t="n">
        <v>46103</v>
      </c>
      <c r="M503" t="inlineStr">
        <is>
          <t>REF000000</t>
        </is>
      </c>
      <c r="N503" t="inlineStr">
        <is>
          <t>USSEA</t>
        </is>
      </c>
      <c r="O503" t="inlineStr">
        <is>
          <t>USSEA</t>
        </is>
      </c>
      <c r="P503" t="inlineStr">
        <is>
          <t>USNFK</t>
        </is>
      </c>
      <c r="U503" t="inlineStr">
        <is>
          <t>RULED</t>
        </is>
      </c>
      <c r="V503" t="inlineStr">
        <is>
          <t>RULED</t>
        </is>
      </c>
      <c r="W503" t="inlineStr">
        <is>
          <t>CANADA</t>
        </is>
      </c>
      <c r="X503" t="inlineStr">
        <is>
          <t>PERSIAN GULF</t>
        </is>
      </c>
      <c r="Y503" t="inlineStr">
        <is>
          <t>RUSSIA</t>
        </is>
      </c>
      <c r="Z503" t="inlineStr">
        <is>
          <t>External Review</t>
        </is>
      </c>
      <c r="AA503" t="inlineStr">
        <is>
          <t>HUB SHIPPING LLC-LED</t>
        </is>
      </c>
      <c r="AB503" t="inlineStr">
        <is>
          <t>Prepaid</t>
        </is>
      </c>
      <c r="AC503" t="inlineStr">
        <is>
          <t>TIGER PLATA/973N</t>
        </is>
      </c>
      <c r="AE503" t="inlineStr">
        <is>
          <t>LADEN BOOKING</t>
        </is>
      </c>
      <c r="AF503" t="inlineStr">
        <is>
          <t>AR_MARTIMA</t>
        </is>
      </c>
      <c r="AG503" t="inlineStr">
        <is>
          <t>RH40</t>
        </is>
      </c>
      <c r="AH503" t="inlineStr">
        <is>
          <t>NO</t>
        </is>
      </c>
      <c r="AI503" t="n">
        <v>40</v>
      </c>
      <c r="AJ503" t="n">
        <v>0</v>
      </c>
      <c r="AK503" t="n">
        <v>1</v>
      </c>
      <c r="AL503" t="inlineStr">
        <is>
          <t>ANON0000000</t>
        </is>
      </c>
      <c r="AM503" t="n">
        <v>-18</v>
      </c>
      <c r="AP503" t="inlineStr">
        <is>
          <t>Non Haz</t>
        </is>
      </c>
      <c r="AQ503" t="inlineStr">
        <is>
          <t>CY/CY</t>
        </is>
      </c>
      <c r="AT503" t="inlineStr">
        <is>
          <t>REF000000</t>
        </is>
      </c>
      <c r="AU503" t="n">
        <v>29000</v>
      </c>
      <c r="AV503" t="inlineStr">
        <is>
          <t>FROZEN MEAT</t>
        </is>
      </c>
      <c r="AW503" t="inlineStr">
        <is>
          <t>NCM 020622</t>
        </is>
      </c>
      <c r="AX503" t="inlineStr">
        <is>
          <t>RSAMI122500031</t>
        </is>
      </c>
      <c r="AZ503" t="n">
        <v>0</v>
      </c>
      <c r="BA503" t="n">
        <v>10</v>
      </c>
      <c r="BB503" t="n">
        <v>10</v>
      </c>
      <c r="BC503" t="n">
        <v>6800</v>
      </c>
      <c r="BD503" t="inlineStr">
        <is>
          <t>No</t>
        </is>
      </c>
      <c r="BF503" t="inlineStr">
        <is>
          <t>Bengal Tiger Line -BTL</t>
        </is>
      </c>
      <c r="BG503" t="inlineStr">
        <is>
          <t>USSEA</t>
        </is>
      </c>
      <c r="BH503" t="n">
        <v>0</v>
      </c>
      <c r="BI503" t="n">
        <v>1</v>
      </c>
      <c r="BJ503" t="n">
        <v>6800</v>
      </c>
      <c r="BK503" t="inlineStr">
        <is>
          <t>LINE</t>
        </is>
      </c>
      <c r="BL503" t="inlineStr">
        <is>
          <t>SEAL REEFER</t>
        </is>
      </c>
      <c r="BM503" t="inlineStr">
        <is>
          <t>SEAL REEFER</t>
        </is>
      </c>
    </row>
    <row r="504">
      <c r="A504" t="n">
        <v>503</v>
      </c>
      <c r="B504" t="inlineStr">
        <is>
          <t>SHARK REEFER</t>
        </is>
      </c>
      <c r="C504" t="inlineStr">
        <is>
          <t>REF000000</t>
        </is>
      </c>
      <c r="D504" t="inlineStr">
        <is>
          <t>REF000000</t>
        </is>
      </c>
      <c r="E504" t="n">
        <v>46101</v>
      </c>
      <c r="F504" t="inlineStr">
        <is>
          <t>SHARK REEFER</t>
        </is>
      </c>
      <c r="G504" t="inlineStr">
        <is>
          <t>ENTERED THROUGH SPLIT BOOKING FROM THE BOOKING ID REF000000, BY AR_MARTIMA, ON 3/20/2026 4:31:19 PM</t>
        </is>
      </c>
      <c r="H504" t="inlineStr">
        <is>
          <t>AR_MARTIMA</t>
        </is>
      </c>
      <c r="J504" t="inlineStr">
        <is>
          <t>05-APR-2026</t>
        </is>
      </c>
      <c r="K504" t="inlineStr">
        <is>
          <t>04-APR-2026</t>
        </is>
      </c>
      <c r="L504" t="inlineStr">
        <is>
          <t>06-APR-2026</t>
        </is>
      </c>
      <c r="M504" t="inlineStr">
        <is>
          <t>REF000000</t>
        </is>
      </c>
      <c r="N504" t="inlineStr">
        <is>
          <t>USSEA</t>
        </is>
      </c>
      <c r="O504" t="inlineStr">
        <is>
          <t>USSEA</t>
        </is>
      </c>
      <c r="P504" t="inlineStr">
        <is>
          <t>USNFK</t>
        </is>
      </c>
      <c r="U504" t="inlineStr">
        <is>
          <t>RULED</t>
        </is>
      </c>
      <c r="V504" t="inlineStr">
        <is>
          <t>RULED</t>
        </is>
      </c>
      <c r="W504" t="inlineStr">
        <is>
          <t>CANADA</t>
        </is>
      </c>
      <c r="X504" t="inlineStr">
        <is>
          <t>PERSIAN GULF</t>
        </is>
      </c>
      <c r="Y504" t="inlineStr">
        <is>
          <t>RUSSIA</t>
        </is>
      </c>
      <c r="Z504" t="inlineStr">
        <is>
          <t>External Review</t>
        </is>
      </c>
      <c r="AA504" t="inlineStr">
        <is>
          <t>HUB SHIPPING LLC-LED</t>
        </is>
      </c>
      <c r="AB504" t="inlineStr">
        <is>
          <t>Prepaid</t>
        </is>
      </c>
      <c r="AC504" t="inlineStr">
        <is>
          <t>TIGER PLATA/975N</t>
        </is>
      </c>
      <c r="AE504" t="inlineStr">
        <is>
          <t>LADEN BOOKING</t>
        </is>
      </c>
      <c r="AF504" t="inlineStr">
        <is>
          <t>AR_MARTIMA</t>
        </is>
      </c>
      <c r="AG504" t="inlineStr">
        <is>
          <t>RH40</t>
        </is>
      </c>
      <c r="AH504" t="inlineStr">
        <is>
          <t>NO</t>
        </is>
      </c>
      <c r="AI504" t="n">
        <v>40</v>
      </c>
      <c r="AJ504" t="n">
        <v>0</v>
      </c>
      <c r="AK504" t="n">
        <v>1</v>
      </c>
      <c r="AL504" t="inlineStr">
        <is>
          <t>ANON0000000</t>
        </is>
      </c>
      <c r="AM504" t="n">
        <v>-18</v>
      </c>
      <c r="AP504" t="inlineStr">
        <is>
          <t>Non Haz</t>
        </is>
      </c>
      <c r="AQ504" t="inlineStr">
        <is>
          <t>CY/CY</t>
        </is>
      </c>
      <c r="AT504" t="inlineStr">
        <is>
          <t>REF000000</t>
        </is>
      </c>
      <c r="AU504" t="n">
        <v>29000</v>
      </c>
      <c r="AV504" t="inlineStr">
        <is>
          <t>FROZEN BONELESS BUFFALO MEAT</t>
        </is>
      </c>
      <c r="AW504" t="inlineStr">
        <is>
          <t>N.C.M.: 0206.22</t>
        </is>
      </c>
      <c r="AX504" t="inlineStr">
        <is>
          <t>RSAMI122500027</t>
        </is>
      </c>
      <c r="AZ504" t="n">
        <v>0</v>
      </c>
      <c r="BA504" t="n">
        <v>10</v>
      </c>
      <c r="BB504" t="n">
        <v>10</v>
      </c>
      <c r="BC504" t="n">
        <v>7300</v>
      </c>
      <c r="BD504" t="inlineStr">
        <is>
          <t>No</t>
        </is>
      </c>
      <c r="BF504" t="inlineStr">
        <is>
          <t>Bengal Tiger Line -BTL</t>
        </is>
      </c>
      <c r="BG504" t="inlineStr">
        <is>
          <t>USSEA</t>
        </is>
      </c>
      <c r="BH504" t="n">
        <v>0</v>
      </c>
      <c r="BI504" t="n">
        <v>1</v>
      </c>
      <c r="BJ504" t="n">
        <v>7300</v>
      </c>
      <c r="BK504" t="inlineStr">
        <is>
          <t>LINE</t>
        </is>
      </c>
      <c r="BL504" t="inlineStr">
        <is>
          <t>SHARK REEFER</t>
        </is>
      </c>
      <c r="BM504" t="inlineStr">
        <is>
          <t>SHARK REEFER</t>
        </is>
      </c>
    </row>
    <row r="505">
      <c r="A505" t="n">
        <v>504</v>
      </c>
      <c r="B505" t="inlineStr">
        <is>
          <t>DOLPHIN REEFER</t>
        </is>
      </c>
      <c r="C505" t="inlineStr">
        <is>
          <t>REF000000</t>
        </is>
      </c>
      <c r="D505" t="inlineStr">
        <is>
          <t>REF000000</t>
        </is>
      </c>
      <c r="E505" t="n">
        <v>46101</v>
      </c>
      <c r="F505" t="inlineStr">
        <is>
          <t>DOLPHIN REEFER</t>
        </is>
      </c>
      <c r="G505" t="inlineStr">
        <is>
          <t>1X40RH TEMP -18</t>
        </is>
      </c>
      <c r="H505" t="inlineStr">
        <is>
          <t>AR_MARTIMA</t>
        </is>
      </c>
      <c r="J505" t="n">
        <v>46111</v>
      </c>
      <c r="K505" t="n">
        <v>46110</v>
      </c>
      <c r="L505" t="n">
        <v>46111</v>
      </c>
      <c r="M505" t="inlineStr">
        <is>
          <t>REF000000</t>
        </is>
      </c>
      <c r="N505" t="inlineStr">
        <is>
          <t>USSEA</t>
        </is>
      </c>
      <c r="O505" t="inlineStr">
        <is>
          <t>USSEA</t>
        </is>
      </c>
      <c r="P505" t="inlineStr">
        <is>
          <t>USNFK</t>
        </is>
      </c>
      <c r="U505" t="inlineStr">
        <is>
          <t>RULED</t>
        </is>
      </c>
      <c r="V505" t="inlineStr">
        <is>
          <t>RULED</t>
        </is>
      </c>
      <c r="W505" t="inlineStr">
        <is>
          <t>CANADA</t>
        </is>
      </c>
      <c r="X505" t="inlineStr">
        <is>
          <t>PERSIAN GULF</t>
        </is>
      </c>
      <c r="Y505" t="inlineStr">
        <is>
          <t>RUSSIA</t>
        </is>
      </c>
      <c r="Z505" t="inlineStr">
        <is>
          <t>External Review</t>
        </is>
      </c>
      <c r="AA505" t="inlineStr">
        <is>
          <t>HUB SHIPPING LLC-LED</t>
        </is>
      </c>
      <c r="AB505" t="inlineStr">
        <is>
          <t>Prepaid</t>
        </is>
      </c>
      <c r="AC505" t="inlineStr">
        <is>
          <t>TIGER PLATA/974N</t>
        </is>
      </c>
      <c r="AE505" t="inlineStr">
        <is>
          <t>LADEN BOOKING</t>
        </is>
      </c>
      <c r="AF505" t="inlineStr">
        <is>
          <t>AR_MARTIMA</t>
        </is>
      </c>
      <c r="AG505" t="inlineStr">
        <is>
          <t>RH40</t>
        </is>
      </c>
      <c r="AH505" t="inlineStr">
        <is>
          <t>NO</t>
        </is>
      </c>
      <c r="AI505" t="n">
        <v>40</v>
      </c>
      <c r="AJ505" t="n">
        <v>0</v>
      </c>
      <c r="AK505" t="n">
        <v>1</v>
      </c>
      <c r="AL505" t="inlineStr">
        <is>
          <t>ANON0000000</t>
        </is>
      </c>
      <c r="AM505" t="n">
        <v>-18</v>
      </c>
      <c r="AP505" t="inlineStr">
        <is>
          <t>Non Haz</t>
        </is>
      </c>
      <c r="AQ505" t="inlineStr">
        <is>
          <t>CY/CY</t>
        </is>
      </c>
      <c r="AT505" t="inlineStr">
        <is>
          <t>REF000000</t>
        </is>
      </c>
      <c r="AU505" t="n">
        <v>29000</v>
      </c>
      <c r="AV505" t="inlineStr">
        <is>
          <t>FROZEN BONELESS BUFFALO MEAT</t>
        </is>
      </c>
      <c r="AW505" t="inlineStr">
        <is>
          <t>N.C.M.: 0206.22</t>
        </is>
      </c>
      <c r="AX505" t="inlineStr">
        <is>
          <t>RSAMI122500027</t>
        </is>
      </c>
      <c r="AZ505" t="n">
        <v>0</v>
      </c>
      <c r="BA505" t="n">
        <v>10</v>
      </c>
      <c r="BB505" t="n">
        <v>10</v>
      </c>
      <c r="BC505" t="n">
        <v>7300</v>
      </c>
      <c r="BD505" t="inlineStr">
        <is>
          <t>No</t>
        </is>
      </c>
      <c r="BF505" t="inlineStr">
        <is>
          <t>Bengal Tiger Line -BTL</t>
        </is>
      </c>
      <c r="BG505" t="inlineStr">
        <is>
          <t>USSEA</t>
        </is>
      </c>
      <c r="BH505" t="n">
        <v>0</v>
      </c>
      <c r="BI505" t="n">
        <v>1</v>
      </c>
      <c r="BJ505" t="n">
        <v>7300</v>
      </c>
      <c r="BK505" t="inlineStr">
        <is>
          <t>LINE</t>
        </is>
      </c>
      <c r="BL505" t="inlineStr">
        <is>
          <t>DOLPHIN REEFER</t>
        </is>
      </c>
      <c r="BM505" t="inlineStr">
        <is>
          <t>DOLPHIN REEFER</t>
        </is>
      </c>
    </row>
    <row r="506">
      <c r="A506" t="n">
        <v>505</v>
      </c>
      <c r="B506" t="inlineStr">
        <is>
          <t>MARLIN REEFER</t>
        </is>
      </c>
      <c r="C506" t="inlineStr">
        <is>
          <t>REF000000</t>
        </is>
      </c>
      <c r="D506" t="inlineStr">
        <is>
          <t>REF000000</t>
        </is>
      </c>
      <c r="E506" t="n">
        <v>46101</v>
      </c>
      <c r="F506" t="inlineStr">
        <is>
          <t>MARLIN REEFER</t>
        </is>
      </c>
      <c r="G506" t="inlineStr">
        <is>
          <t>ENTERED THROUGH SPLIT BOOKING FROM THE BOOKING ID REF000000, BY AR_MARTIMA, ON 3/20/2026 4:31:19 PM</t>
        </is>
      </c>
      <c r="H506" t="inlineStr">
        <is>
          <t>AR_MARTIMA</t>
        </is>
      </c>
      <c r="J506" t="n">
        <v>46111</v>
      </c>
      <c r="K506" t="n">
        <v>46110</v>
      </c>
      <c r="L506" t="n">
        <v>46111</v>
      </c>
      <c r="M506" t="inlineStr">
        <is>
          <t>REF000000</t>
        </is>
      </c>
      <c r="N506" t="inlineStr">
        <is>
          <t>USSEA</t>
        </is>
      </c>
      <c r="O506" t="inlineStr">
        <is>
          <t>USSEA</t>
        </is>
      </c>
      <c r="P506" t="inlineStr">
        <is>
          <t>USNFK</t>
        </is>
      </c>
      <c r="U506" t="inlineStr">
        <is>
          <t>RULED</t>
        </is>
      </c>
      <c r="V506" t="inlineStr">
        <is>
          <t>RULED</t>
        </is>
      </c>
      <c r="W506" t="inlineStr">
        <is>
          <t>CANADA</t>
        </is>
      </c>
      <c r="X506" t="inlineStr">
        <is>
          <t>PERSIAN GULF</t>
        </is>
      </c>
      <c r="Y506" t="inlineStr">
        <is>
          <t>RUSSIA</t>
        </is>
      </c>
      <c r="Z506" t="inlineStr">
        <is>
          <t>External Review</t>
        </is>
      </c>
      <c r="AA506" t="inlineStr">
        <is>
          <t>HUB SHIPPING LLC-LED</t>
        </is>
      </c>
      <c r="AB506" t="inlineStr">
        <is>
          <t>Prepaid</t>
        </is>
      </c>
      <c r="AC506" t="inlineStr">
        <is>
          <t>TIGER PLATA/974N</t>
        </is>
      </c>
      <c r="AE506" t="inlineStr">
        <is>
          <t>LADEN BOOKING</t>
        </is>
      </c>
      <c r="AF506" t="inlineStr">
        <is>
          <t>AR_MARTIMA</t>
        </is>
      </c>
      <c r="AG506" t="inlineStr">
        <is>
          <t>RH40</t>
        </is>
      </c>
      <c r="AI506" t="n">
        <v>40</v>
      </c>
      <c r="AJ506" t="n">
        <v>0</v>
      </c>
      <c r="AK506" t="n">
        <v>1</v>
      </c>
      <c r="AL506" t="inlineStr">
        <is>
          <t>ANON0000000</t>
        </is>
      </c>
      <c r="AM506" t="n">
        <v>-18</v>
      </c>
      <c r="AP506" t="inlineStr">
        <is>
          <t>Non Haz</t>
        </is>
      </c>
      <c r="AQ506" t="inlineStr">
        <is>
          <t>CY/CY</t>
        </is>
      </c>
      <c r="AT506" t="inlineStr">
        <is>
          <t>REF000000</t>
        </is>
      </c>
      <c r="AU506" t="n">
        <v>29000</v>
      </c>
      <c r="AV506" t="inlineStr">
        <is>
          <t>FROZEN BONELESS BUFFALO MEAT</t>
        </is>
      </c>
      <c r="AW506" t="inlineStr">
        <is>
          <t>N.C.M.: 0206.21</t>
        </is>
      </c>
      <c r="AX506" t="inlineStr">
        <is>
          <t>RSAMI122500027</t>
        </is>
      </c>
      <c r="AZ506" t="n">
        <v>0</v>
      </c>
      <c r="BA506" t="n">
        <v>10</v>
      </c>
      <c r="BB506" t="n">
        <v>10</v>
      </c>
      <c r="BC506" t="n">
        <v>7300</v>
      </c>
      <c r="BD506" t="inlineStr">
        <is>
          <t>No</t>
        </is>
      </c>
      <c r="BF506" t="inlineStr">
        <is>
          <t>Bengal Tiger Line -BTL</t>
        </is>
      </c>
      <c r="BG506" t="inlineStr">
        <is>
          <t>USSEA</t>
        </is>
      </c>
      <c r="BH506" t="n">
        <v>0</v>
      </c>
      <c r="BI506" t="n">
        <v>1</v>
      </c>
      <c r="BJ506" t="n">
        <v>7300</v>
      </c>
      <c r="BK506" t="inlineStr">
        <is>
          <t>LINE</t>
        </is>
      </c>
      <c r="BL506" t="inlineStr">
        <is>
          <t>MARLIN REEFER</t>
        </is>
      </c>
      <c r="BM506" t="inlineStr">
        <is>
          <t>MARLIN REEFER</t>
        </is>
      </c>
    </row>
    <row r="507">
      <c r="A507" t="n">
        <v>506</v>
      </c>
      <c r="B507" t="inlineStr">
        <is>
          <t>TURTLE REEFER</t>
        </is>
      </c>
      <c r="C507" t="inlineStr">
        <is>
          <t>REF000000</t>
        </is>
      </c>
      <c r="D507" t="inlineStr">
        <is>
          <t>REF000000</t>
        </is>
      </c>
      <c r="E507" t="n">
        <v>46104</v>
      </c>
      <c r="F507" t="inlineStr">
        <is>
          <t>TURTLE REEFER</t>
        </is>
      </c>
      <c r="G507" t="inlineStr">
        <is>
          <t>1x40rh temp -18</t>
        </is>
      </c>
      <c r="H507" t="inlineStr">
        <is>
          <t>AR_MARTIMA</t>
        </is>
      </c>
      <c r="J507" t="n">
        <v>46111</v>
      </c>
      <c r="K507" t="n">
        <v>46110</v>
      </c>
      <c r="L507" t="n">
        <v>46111</v>
      </c>
      <c r="M507" t="inlineStr">
        <is>
          <t>REF000000</t>
        </is>
      </c>
      <c r="N507" t="inlineStr">
        <is>
          <t>USSEA</t>
        </is>
      </c>
      <c r="O507" t="inlineStr">
        <is>
          <t>USSEA</t>
        </is>
      </c>
      <c r="P507" t="inlineStr">
        <is>
          <t>USNFK</t>
        </is>
      </c>
      <c r="U507" t="inlineStr">
        <is>
          <t>RULED</t>
        </is>
      </c>
      <c r="V507" t="inlineStr">
        <is>
          <t>RULED</t>
        </is>
      </c>
      <c r="W507" t="inlineStr">
        <is>
          <t>CANADA</t>
        </is>
      </c>
      <c r="X507" t="inlineStr">
        <is>
          <t>PERSIAN GULF</t>
        </is>
      </c>
      <c r="Y507" t="inlineStr">
        <is>
          <t>RUSSIA</t>
        </is>
      </c>
      <c r="Z507" t="inlineStr">
        <is>
          <t>External Review</t>
        </is>
      </c>
      <c r="AA507" t="inlineStr">
        <is>
          <t>HUB SHIPPING LLC-LED</t>
        </is>
      </c>
      <c r="AB507" t="inlineStr">
        <is>
          <t>Prepaid</t>
        </is>
      </c>
      <c r="AC507" t="inlineStr">
        <is>
          <t>TIGER PLATA/974N</t>
        </is>
      </c>
      <c r="AE507" t="inlineStr">
        <is>
          <t>LADEN BOOKING</t>
        </is>
      </c>
      <c r="AF507" t="inlineStr">
        <is>
          <t>AR_MARTIMA</t>
        </is>
      </c>
      <c r="AG507" t="inlineStr">
        <is>
          <t>RH40</t>
        </is>
      </c>
      <c r="AH507" t="inlineStr">
        <is>
          <t>NO</t>
        </is>
      </c>
      <c r="AI507" t="n">
        <v>40</v>
      </c>
      <c r="AJ507" t="n">
        <v>0</v>
      </c>
      <c r="AK507" t="n">
        <v>1</v>
      </c>
      <c r="AL507" t="inlineStr">
        <is>
          <t>ANON0000000</t>
        </is>
      </c>
      <c r="AM507" t="n">
        <v>-18</v>
      </c>
      <c r="AP507" t="inlineStr">
        <is>
          <t>Non Haz</t>
        </is>
      </c>
      <c r="AQ507" t="inlineStr">
        <is>
          <t>CY/CY</t>
        </is>
      </c>
      <c r="AT507" t="inlineStr">
        <is>
          <t>REF000000</t>
        </is>
      </c>
      <c r="AU507" t="n">
        <v>29000</v>
      </c>
      <c r="AV507" t="inlineStr">
        <is>
          <t>FROZEN MEAT</t>
        </is>
      </c>
      <c r="AW507" t="inlineStr">
        <is>
          <t>NCM 020622</t>
        </is>
      </c>
      <c r="AX507" t="inlineStr">
        <is>
          <t>RSAMI122500031</t>
        </is>
      </c>
      <c r="AZ507" t="n">
        <v>0</v>
      </c>
      <c r="BA507" t="n">
        <v>10</v>
      </c>
      <c r="BB507" t="n">
        <v>10</v>
      </c>
      <c r="BC507" t="n">
        <v>6800</v>
      </c>
      <c r="BD507" t="inlineStr">
        <is>
          <t>No</t>
        </is>
      </c>
      <c r="BF507" t="inlineStr">
        <is>
          <t>Bengal Tiger Line -BTL</t>
        </is>
      </c>
      <c r="BG507" t="inlineStr">
        <is>
          <t>USSEA</t>
        </is>
      </c>
      <c r="BH507" t="n">
        <v>0</v>
      </c>
      <c r="BI507" t="n">
        <v>1</v>
      </c>
      <c r="BJ507" t="n">
        <v>6800</v>
      </c>
      <c r="BK507" t="inlineStr">
        <is>
          <t>LINE</t>
        </is>
      </c>
      <c r="BL507" t="inlineStr">
        <is>
          <t>TURTLE REEFER</t>
        </is>
      </c>
      <c r="BM507" t="inlineStr">
        <is>
          <t>TURTLE REEFER</t>
        </is>
      </c>
    </row>
    <row r="508">
      <c r="A508" t="n">
        <v>507</v>
      </c>
      <c r="B508" t="inlineStr">
        <is>
          <t>ORCA REEFER</t>
        </is>
      </c>
      <c r="C508" t="inlineStr">
        <is>
          <t>REF000000</t>
        </is>
      </c>
      <c r="D508" t="inlineStr">
        <is>
          <t>REF000000</t>
        </is>
      </c>
      <c r="E508" t="n">
        <v>46104</v>
      </c>
      <c r="F508" t="inlineStr">
        <is>
          <t>ORCA REEFER</t>
        </is>
      </c>
      <c r="G508" t="inlineStr">
        <is>
          <t>ENTERED THROUGH SPLIT BOOKING FROM THE BOOKING ID REF000000, BY AR_MARTIMA, ON 3/23/2026 4:56:00 PM</t>
        </is>
      </c>
      <c r="H508" t="inlineStr">
        <is>
          <t>AR_MARTIMA</t>
        </is>
      </c>
      <c r="J508" t="n">
        <v>46111</v>
      </c>
      <c r="K508" t="n">
        <v>46110</v>
      </c>
      <c r="L508" t="n">
        <v>46111</v>
      </c>
      <c r="M508" t="inlineStr">
        <is>
          <t>REF000000</t>
        </is>
      </c>
      <c r="N508" t="inlineStr">
        <is>
          <t>USSEA</t>
        </is>
      </c>
      <c r="O508" t="inlineStr">
        <is>
          <t>USSEA</t>
        </is>
      </c>
      <c r="P508" t="inlineStr">
        <is>
          <t>USNFK</t>
        </is>
      </c>
      <c r="U508" t="inlineStr">
        <is>
          <t>RULED</t>
        </is>
      </c>
      <c r="V508" t="inlineStr">
        <is>
          <t>RULED</t>
        </is>
      </c>
      <c r="W508" t="inlineStr">
        <is>
          <t>CANADA</t>
        </is>
      </c>
      <c r="X508" t="inlineStr">
        <is>
          <t>PERSIAN GULF</t>
        </is>
      </c>
      <c r="Y508" t="inlineStr">
        <is>
          <t>RUSSIA</t>
        </is>
      </c>
      <c r="Z508" t="inlineStr">
        <is>
          <t>External Review</t>
        </is>
      </c>
      <c r="AA508" t="inlineStr">
        <is>
          <t>HUB SHIPPING LLC-LED</t>
        </is>
      </c>
      <c r="AB508" t="inlineStr">
        <is>
          <t>Prepaid</t>
        </is>
      </c>
      <c r="AC508" t="inlineStr">
        <is>
          <t>TIGER PLATA/974N</t>
        </is>
      </c>
      <c r="AE508" t="inlineStr">
        <is>
          <t>LADEN BOOKING</t>
        </is>
      </c>
      <c r="AF508" t="inlineStr">
        <is>
          <t>AR_MARTIMA</t>
        </is>
      </c>
      <c r="AG508" t="inlineStr">
        <is>
          <t>RH40</t>
        </is>
      </c>
      <c r="AI508" t="n">
        <v>40</v>
      </c>
      <c r="AJ508" t="n">
        <v>0</v>
      </c>
      <c r="AK508" t="n">
        <v>1</v>
      </c>
      <c r="AL508" t="inlineStr">
        <is>
          <t>ANON0000000</t>
        </is>
      </c>
      <c r="AM508" t="n">
        <v>-18</v>
      </c>
      <c r="AP508" t="inlineStr">
        <is>
          <t>Non Haz</t>
        </is>
      </c>
      <c r="AQ508" t="inlineStr">
        <is>
          <t>CY/CY</t>
        </is>
      </c>
      <c r="AT508" t="inlineStr">
        <is>
          <t>REF000000</t>
        </is>
      </c>
      <c r="AU508" t="n">
        <v>29000</v>
      </c>
      <c r="AV508" t="inlineStr">
        <is>
          <t>FROZEN MEAT</t>
        </is>
      </c>
      <c r="AW508" t="inlineStr">
        <is>
          <t>NCM 020622</t>
        </is>
      </c>
      <c r="AX508" t="inlineStr">
        <is>
          <t>RSAMI122500031</t>
        </is>
      </c>
      <c r="AZ508" t="n">
        <v>0</v>
      </c>
      <c r="BA508" t="n">
        <v>10</v>
      </c>
      <c r="BB508" t="n">
        <v>10</v>
      </c>
      <c r="BC508" t="n">
        <v>6800</v>
      </c>
      <c r="BD508" t="inlineStr">
        <is>
          <t>No</t>
        </is>
      </c>
      <c r="BF508" t="inlineStr">
        <is>
          <t>Bengal Tiger Line -BTL</t>
        </is>
      </c>
      <c r="BG508" t="inlineStr">
        <is>
          <t>USSEA</t>
        </is>
      </c>
      <c r="BH508" t="n">
        <v>0</v>
      </c>
      <c r="BI508" t="n">
        <v>1</v>
      </c>
      <c r="BJ508" t="n">
        <v>6800</v>
      </c>
      <c r="BK508" t="inlineStr">
        <is>
          <t>LINE</t>
        </is>
      </c>
      <c r="BL508" t="inlineStr">
        <is>
          <t>ORCA REEFER</t>
        </is>
      </c>
      <c r="BM508" t="inlineStr">
        <is>
          <t>ORCA REEFER</t>
        </is>
      </c>
    </row>
    <row r="509">
      <c r="A509" t="n">
        <v>508</v>
      </c>
      <c r="B509" t="inlineStr">
        <is>
          <t>WHALE REEFER</t>
        </is>
      </c>
      <c r="C509" t="inlineStr">
        <is>
          <t>REF000000</t>
        </is>
      </c>
      <c r="D509" t="inlineStr">
        <is>
          <t>REF000000</t>
        </is>
      </c>
      <c r="E509" t="n">
        <v>46104</v>
      </c>
      <c r="F509" t="inlineStr">
        <is>
          <t>WHALE REEFER</t>
        </is>
      </c>
      <c r="G509" t="inlineStr">
        <is>
          <t>ENTERED THROUGH SPLIT BOOKING FROM THE BOOKING ID REF000000, BY AR_MARTIMA, ON 3/23/2026 4:56:00 PM</t>
        </is>
      </c>
      <c r="H509" t="inlineStr">
        <is>
          <t>AR_MARTIMA</t>
        </is>
      </c>
      <c r="J509" t="n">
        <v>46111</v>
      </c>
      <c r="K509" t="n">
        <v>46110</v>
      </c>
      <c r="L509" t="n">
        <v>46111</v>
      </c>
      <c r="M509" t="inlineStr">
        <is>
          <t>REF000000</t>
        </is>
      </c>
      <c r="N509" t="inlineStr">
        <is>
          <t>USSEA</t>
        </is>
      </c>
      <c r="O509" t="inlineStr">
        <is>
          <t>USSEA</t>
        </is>
      </c>
      <c r="P509" t="inlineStr">
        <is>
          <t>USNFK</t>
        </is>
      </c>
      <c r="U509" t="inlineStr">
        <is>
          <t>RULED</t>
        </is>
      </c>
      <c r="V509" t="inlineStr">
        <is>
          <t>RULED</t>
        </is>
      </c>
      <c r="W509" t="inlineStr">
        <is>
          <t>CANADA</t>
        </is>
      </c>
      <c r="X509" t="inlineStr">
        <is>
          <t>PERSIAN GULF</t>
        </is>
      </c>
      <c r="Y509" t="inlineStr">
        <is>
          <t>RUSSIA</t>
        </is>
      </c>
      <c r="Z509" t="inlineStr">
        <is>
          <t>External Review</t>
        </is>
      </c>
      <c r="AA509" t="inlineStr">
        <is>
          <t>HUB SHIPPING LLC-LED</t>
        </is>
      </c>
      <c r="AB509" t="inlineStr">
        <is>
          <t>Prepaid</t>
        </is>
      </c>
      <c r="AC509" t="inlineStr">
        <is>
          <t>TIGER PLATA/974N</t>
        </is>
      </c>
      <c r="AE509" t="inlineStr">
        <is>
          <t>LADEN BOOKING</t>
        </is>
      </c>
      <c r="AF509" t="inlineStr">
        <is>
          <t>AR_MARTIMA</t>
        </is>
      </c>
      <c r="AG509" t="inlineStr">
        <is>
          <t>RH40</t>
        </is>
      </c>
      <c r="AI509" t="n">
        <v>40</v>
      </c>
      <c r="AJ509" t="n">
        <v>0</v>
      </c>
      <c r="AK509" t="n">
        <v>1</v>
      </c>
      <c r="AL509" t="inlineStr">
        <is>
          <t>ANON0000000</t>
        </is>
      </c>
      <c r="AM509" t="n">
        <v>-18</v>
      </c>
      <c r="AP509" t="inlineStr">
        <is>
          <t>Non Haz</t>
        </is>
      </c>
      <c r="AQ509" t="inlineStr">
        <is>
          <t>CY/CY</t>
        </is>
      </c>
      <c r="AT509" t="inlineStr">
        <is>
          <t>REF000000</t>
        </is>
      </c>
      <c r="AU509" t="n">
        <v>29000</v>
      </c>
      <c r="AV509" t="inlineStr">
        <is>
          <t>FROZEN MEAT</t>
        </is>
      </c>
      <c r="AW509" t="inlineStr">
        <is>
          <t>NCM 020621</t>
        </is>
      </c>
      <c r="AX509" t="inlineStr">
        <is>
          <t>RSAMI122500031</t>
        </is>
      </c>
      <c r="AZ509" t="n">
        <v>0</v>
      </c>
      <c r="BA509" t="n">
        <v>10</v>
      </c>
      <c r="BB509" t="n">
        <v>10</v>
      </c>
      <c r="BC509" t="n">
        <v>6800</v>
      </c>
      <c r="BD509" t="inlineStr">
        <is>
          <t>No</t>
        </is>
      </c>
      <c r="BF509" t="inlineStr">
        <is>
          <t>Bengal Tiger Line -BTL</t>
        </is>
      </c>
      <c r="BG509" t="inlineStr">
        <is>
          <t>USSEA</t>
        </is>
      </c>
      <c r="BH509" t="n">
        <v>0</v>
      </c>
      <c r="BI509" t="n">
        <v>1</v>
      </c>
      <c r="BJ509" t="n">
        <v>6800</v>
      </c>
      <c r="BK509" t="inlineStr">
        <is>
          <t>LINE</t>
        </is>
      </c>
      <c r="BL509" t="inlineStr">
        <is>
          <t>WHALE REEFER</t>
        </is>
      </c>
      <c r="BM509" t="inlineStr">
        <is>
          <t>WHALE REEFER</t>
        </is>
      </c>
    </row>
    <row r="510">
      <c r="A510" t="n">
        <v>509</v>
      </c>
      <c r="B510" t="inlineStr">
        <is>
          <t>SEAL REEFER</t>
        </is>
      </c>
      <c r="C510" t="inlineStr">
        <is>
          <t>REF000000</t>
        </is>
      </c>
      <c r="D510" t="inlineStr">
        <is>
          <t>REF000000</t>
        </is>
      </c>
      <c r="E510" t="n">
        <v>46104</v>
      </c>
      <c r="F510" t="inlineStr">
        <is>
          <t>SEAL REEFER</t>
        </is>
      </c>
      <c r="G510" t="inlineStr">
        <is>
          <t>ENTERED THROUGH SPLIT BOOKING FROM THE BOOKING ID REF000000, BY AR_MARTIMA, ON 3/23/2026 4:56:01 PM</t>
        </is>
      </c>
      <c r="H510" t="inlineStr">
        <is>
          <t>AR_MARTIMA</t>
        </is>
      </c>
      <c r="J510" t="n">
        <v>46111</v>
      </c>
      <c r="K510" t="n">
        <v>46110</v>
      </c>
      <c r="L510" t="n">
        <v>46111</v>
      </c>
      <c r="M510" t="inlineStr">
        <is>
          <t>REF000000</t>
        </is>
      </c>
      <c r="N510" t="inlineStr">
        <is>
          <t>USSEA</t>
        </is>
      </c>
      <c r="O510" t="inlineStr">
        <is>
          <t>USSEA</t>
        </is>
      </c>
      <c r="P510" t="inlineStr">
        <is>
          <t>USNFK</t>
        </is>
      </c>
      <c r="U510" t="inlineStr">
        <is>
          <t>RULED</t>
        </is>
      </c>
      <c r="V510" t="inlineStr">
        <is>
          <t>RULED</t>
        </is>
      </c>
      <c r="W510" t="inlineStr">
        <is>
          <t>CANADA</t>
        </is>
      </c>
      <c r="X510" t="inlineStr">
        <is>
          <t>PERSIAN GULF</t>
        </is>
      </c>
      <c r="Y510" t="inlineStr">
        <is>
          <t>RUSSIA</t>
        </is>
      </c>
      <c r="Z510" t="inlineStr">
        <is>
          <t>External Review</t>
        </is>
      </c>
      <c r="AA510" t="inlineStr">
        <is>
          <t>HUB SHIPPING LLC-LED</t>
        </is>
      </c>
      <c r="AB510" t="inlineStr">
        <is>
          <t>Prepaid</t>
        </is>
      </c>
      <c r="AC510" t="inlineStr">
        <is>
          <t>TIGER PLATA/974N</t>
        </is>
      </c>
      <c r="AE510" t="inlineStr">
        <is>
          <t>LADEN BOOKING</t>
        </is>
      </c>
      <c r="AF510" t="inlineStr">
        <is>
          <t>AR_MARTIMA</t>
        </is>
      </c>
      <c r="AG510" t="inlineStr">
        <is>
          <t>RH40</t>
        </is>
      </c>
      <c r="AI510" t="n">
        <v>40</v>
      </c>
      <c r="AJ510" t="n">
        <v>0</v>
      </c>
      <c r="AK510" t="n">
        <v>1</v>
      </c>
      <c r="AL510" t="inlineStr">
        <is>
          <t>ANON0000000</t>
        </is>
      </c>
      <c r="AM510" t="n">
        <v>-18</v>
      </c>
      <c r="AP510" t="inlineStr">
        <is>
          <t>Non Haz</t>
        </is>
      </c>
      <c r="AQ510" t="inlineStr">
        <is>
          <t>CY/CY</t>
        </is>
      </c>
      <c r="AT510" t="inlineStr">
        <is>
          <t>REF000000</t>
        </is>
      </c>
      <c r="AU510" t="n">
        <v>29000</v>
      </c>
      <c r="AV510" t="inlineStr">
        <is>
          <t>FROZEN MEAT</t>
        </is>
      </c>
      <c r="AW510" t="inlineStr">
        <is>
          <t>NCM 020629</t>
        </is>
      </c>
      <c r="AX510" t="inlineStr">
        <is>
          <t>RSAMI122500031</t>
        </is>
      </c>
      <c r="AZ510" t="n">
        <v>0</v>
      </c>
      <c r="BA510" t="n">
        <v>10</v>
      </c>
      <c r="BB510" t="n">
        <v>10</v>
      </c>
      <c r="BC510" t="n">
        <v>6800</v>
      </c>
      <c r="BD510" t="inlineStr">
        <is>
          <t>No</t>
        </is>
      </c>
      <c r="BF510" t="inlineStr">
        <is>
          <t>Bengal Tiger Line -BTL</t>
        </is>
      </c>
      <c r="BG510" t="inlineStr">
        <is>
          <t>USSEA</t>
        </is>
      </c>
      <c r="BH510" t="n">
        <v>0</v>
      </c>
      <c r="BI510" t="n">
        <v>1</v>
      </c>
      <c r="BJ510" t="n">
        <v>6800</v>
      </c>
      <c r="BK510" t="inlineStr">
        <is>
          <t>LINE</t>
        </is>
      </c>
      <c r="BL510" t="inlineStr">
        <is>
          <t>SEAL REEFER</t>
        </is>
      </c>
      <c r="BM510" t="inlineStr">
        <is>
          <t>SEAL REEFER</t>
        </is>
      </c>
    </row>
    <row r="511">
      <c r="A511" t="n">
        <v>510</v>
      </c>
      <c r="B511" t="inlineStr">
        <is>
          <t>SHARK REEFER</t>
        </is>
      </c>
      <c r="C511" t="inlineStr">
        <is>
          <t>REF000000</t>
        </is>
      </c>
      <c r="D511" t="inlineStr">
        <is>
          <t>REF000000</t>
        </is>
      </c>
      <c r="E511" t="n">
        <v>46104</v>
      </c>
      <c r="F511" t="inlineStr">
        <is>
          <t>SHARK REEFER</t>
        </is>
      </c>
      <c r="G511" t="inlineStr">
        <is>
          <t>ENTERED THROUGH SPLIT BOOKING FROM THE BOOKING ID REF000000, BY AR_MARTIMA, ON 3/23/2026 4:56:01 PM</t>
        </is>
      </c>
      <c r="H511" t="inlineStr">
        <is>
          <t>AR_MARTIMA</t>
        </is>
      </c>
      <c r="J511" t="n">
        <v>46111</v>
      </c>
      <c r="K511" t="n">
        <v>46110</v>
      </c>
      <c r="L511" t="n">
        <v>46111</v>
      </c>
      <c r="M511" t="inlineStr">
        <is>
          <t>REF000000</t>
        </is>
      </c>
      <c r="N511" t="inlineStr">
        <is>
          <t>USSEA</t>
        </is>
      </c>
      <c r="O511" t="inlineStr">
        <is>
          <t>USSEA</t>
        </is>
      </c>
      <c r="P511" t="inlineStr">
        <is>
          <t>USNFK</t>
        </is>
      </c>
      <c r="U511" t="inlineStr">
        <is>
          <t>RULED</t>
        </is>
      </c>
      <c r="V511" t="inlineStr">
        <is>
          <t>RULED</t>
        </is>
      </c>
      <c r="W511" t="inlineStr">
        <is>
          <t>CANADA</t>
        </is>
      </c>
      <c r="X511" t="inlineStr">
        <is>
          <t>PERSIAN GULF</t>
        </is>
      </c>
      <c r="Y511" t="inlineStr">
        <is>
          <t>RUSSIA</t>
        </is>
      </c>
      <c r="Z511" t="inlineStr">
        <is>
          <t>External Review</t>
        </is>
      </c>
      <c r="AA511" t="inlineStr">
        <is>
          <t>HUB SHIPPING LLC-LED</t>
        </is>
      </c>
      <c r="AB511" t="inlineStr">
        <is>
          <t>Prepaid</t>
        </is>
      </c>
      <c r="AC511" t="inlineStr">
        <is>
          <t>TIGER PLATA/974N</t>
        </is>
      </c>
      <c r="AE511" t="inlineStr">
        <is>
          <t>LADEN BOOKING</t>
        </is>
      </c>
      <c r="AF511" t="inlineStr">
        <is>
          <t>AR_MARTIMA</t>
        </is>
      </c>
      <c r="AG511" t="inlineStr">
        <is>
          <t>RH40</t>
        </is>
      </c>
      <c r="AI511" t="n">
        <v>40</v>
      </c>
      <c r="AJ511" t="n">
        <v>0</v>
      </c>
      <c r="AK511" t="n">
        <v>1</v>
      </c>
      <c r="AL511" t="inlineStr">
        <is>
          <t>ANON0000000</t>
        </is>
      </c>
      <c r="AM511" t="n">
        <v>-18</v>
      </c>
      <c r="AP511" t="inlineStr">
        <is>
          <t>Non Haz</t>
        </is>
      </c>
      <c r="AQ511" t="inlineStr">
        <is>
          <t>CY/CY</t>
        </is>
      </c>
      <c r="AT511" t="inlineStr">
        <is>
          <t>REF000000</t>
        </is>
      </c>
      <c r="AU511" t="n">
        <v>29000</v>
      </c>
      <c r="AV511" t="inlineStr">
        <is>
          <t>FROZEN MEAT</t>
        </is>
      </c>
      <c r="AW511" t="inlineStr">
        <is>
          <t>NCM 020622</t>
        </is>
      </c>
      <c r="AX511" t="inlineStr">
        <is>
          <t>RSAMI122500031</t>
        </is>
      </c>
      <c r="AZ511" t="n">
        <v>0</v>
      </c>
      <c r="BA511" t="n">
        <v>10</v>
      </c>
      <c r="BB511" t="n">
        <v>10</v>
      </c>
      <c r="BC511" t="n">
        <v>6800</v>
      </c>
      <c r="BD511" t="inlineStr">
        <is>
          <t>No</t>
        </is>
      </c>
      <c r="BF511" t="inlineStr">
        <is>
          <t>Bengal Tiger Line -BTL</t>
        </is>
      </c>
      <c r="BG511" t="inlineStr">
        <is>
          <t>USSEA</t>
        </is>
      </c>
      <c r="BH511" t="n">
        <v>0</v>
      </c>
      <c r="BI511" t="n">
        <v>1</v>
      </c>
      <c r="BJ511" t="n">
        <v>6800</v>
      </c>
      <c r="BK511" t="inlineStr">
        <is>
          <t>LINE</t>
        </is>
      </c>
      <c r="BL511" t="inlineStr">
        <is>
          <t>SHARK REEFER</t>
        </is>
      </c>
      <c r="BM511" t="inlineStr">
        <is>
          <t>SHARK REEFER</t>
        </is>
      </c>
    </row>
    <row r="512">
      <c r="A512" t="n">
        <v>511</v>
      </c>
      <c r="B512" t="inlineStr">
        <is>
          <t>DOLPHIN REEFER</t>
        </is>
      </c>
      <c r="C512" t="inlineStr">
        <is>
          <t>REF000000</t>
        </is>
      </c>
      <c r="D512" t="inlineStr">
        <is>
          <t>REF000000</t>
        </is>
      </c>
      <c r="E512" t="n">
        <v>46104</v>
      </c>
      <c r="F512" t="inlineStr">
        <is>
          <t>DOLPHIN REEFER</t>
        </is>
      </c>
      <c r="G512" t="inlineStr">
        <is>
          <t>ENTERED THROUGH SPLIT BOOKING FROM THE BOOKING ID REF000000, BY AR_MARTIMA, ON 3/23/2026 4:56:01 PM</t>
        </is>
      </c>
      <c r="H512" t="inlineStr">
        <is>
          <t>AR_MARTIMA</t>
        </is>
      </c>
      <c r="J512" t="n">
        <v>46111</v>
      </c>
      <c r="K512" t="n">
        <v>46110</v>
      </c>
      <c r="L512" t="n">
        <v>46111</v>
      </c>
      <c r="M512" t="inlineStr">
        <is>
          <t>REF000000</t>
        </is>
      </c>
      <c r="N512" t="inlineStr">
        <is>
          <t>USSEA</t>
        </is>
      </c>
      <c r="O512" t="inlineStr">
        <is>
          <t>USSEA</t>
        </is>
      </c>
      <c r="P512" t="inlineStr">
        <is>
          <t>USNFK</t>
        </is>
      </c>
      <c r="U512" t="inlineStr">
        <is>
          <t>RULED</t>
        </is>
      </c>
      <c r="V512" t="inlineStr">
        <is>
          <t>RULED</t>
        </is>
      </c>
      <c r="W512" t="inlineStr">
        <is>
          <t>CANADA</t>
        </is>
      </c>
      <c r="X512" t="inlineStr">
        <is>
          <t>PERSIAN GULF</t>
        </is>
      </c>
      <c r="Y512" t="inlineStr">
        <is>
          <t>RUSSIA</t>
        </is>
      </c>
      <c r="Z512" t="inlineStr">
        <is>
          <t>External Review</t>
        </is>
      </c>
      <c r="AA512" t="inlineStr">
        <is>
          <t>HUB SHIPPING LLC-LED</t>
        </is>
      </c>
      <c r="AB512" t="inlineStr">
        <is>
          <t>Prepaid</t>
        </is>
      </c>
      <c r="AC512" t="inlineStr">
        <is>
          <t>TIGER PLATA/974N</t>
        </is>
      </c>
      <c r="AE512" t="inlineStr">
        <is>
          <t>LADEN BOOKING</t>
        </is>
      </c>
      <c r="AF512" t="inlineStr">
        <is>
          <t>AR_MARTIMA</t>
        </is>
      </c>
      <c r="AG512" t="inlineStr">
        <is>
          <t>RH40</t>
        </is>
      </c>
      <c r="AI512" t="n">
        <v>40</v>
      </c>
      <c r="AJ512" t="n">
        <v>0</v>
      </c>
      <c r="AK512" t="n">
        <v>1</v>
      </c>
      <c r="AL512" t="inlineStr">
        <is>
          <t>ANON0000000</t>
        </is>
      </c>
      <c r="AM512" t="n">
        <v>-18</v>
      </c>
      <c r="AP512" t="inlineStr">
        <is>
          <t>Non Haz</t>
        </is>
      </c>
      <c r="AQ512" t="inlineStr">
        <is>
          <t>CY/CY</t>
        </is>
      </c>
      <c r="AT512" t="inlineStr">
        <is>
          <t>REF000000</t>
        </is>
      </c>
      <c r="AU512" t="n">
        <v>29000</v>
      </c>
      <c r="AV512" t="inlineStr">
        <is>
          <t>FROZEN MEAT</t>
        </is>
      </c>
      <c r="AW512" t="inlineStr">
        <is>
          <t>NCM 020622</t>
        </is>
      </c>
      <c r="AX512" t="inlineStr">
        <is>
          <t>RSAMI122500031</t>
        </is>
      </c>
      <c r="AZ512" t="n">
        <v>0</v>
      </c>
      <c r="BA512" t="n">
        <v>10</v>
      </c>
      <c r="BB512" t="n">
        <v>10</v>
      </c>
      <c r="BC512" t="n">
        <v>6800</v>
      </c>
      <c r="BD512" t="inlineStr">
        <is>
          <t>No</t>
        </is>
      </c>
      <c r="BF512" t="inlineStr">
        <is>
          <t>Bengal Tiger Line -BTL</t>
        </is>
      </c>
      <c r="BG512" t="inlineStr">
        <is>
          <t>USSEA</t>
        </is>
      </c>
      <c r="BH512" t="n">
        <v>0</v>
      </c>
      <c r="BI512" t="n">
        <v>1</v>
      </c>
      <c r="BJ512" t="n">
        <v>6800</v>
      </c>
      <c r="BK512" t="inlineStr">
        <is>
          <t>LINE</t>
        </is>
      </c>
      <c r="BL512" t="inlineStr">
        <is>
          <t>DOLPHIN REEFER</t>
        </is>
      </c>
      <c r="BM512" t="inlineStr">
        <is>
          <t>DOLPHIN REEFER</t>
        </is>
      </c>
    </row>
    <row r="513">
      <c r="A513" t="n">
        <v>512</v>
      </c>
      <c r="B513" t="inlineStr">
        <is>
          <t>MARLIN REEFER</t>
        </is>
      </c>
      <c r="C513" t="inlineStr">
        <is>
          <t>REF000000</t>
        </is>
      </c>
      <c r="D513" t="inlineStr">
        <is>
          <t>REF000000</t>
        </is>
      </c>
      <c r="E513" t="n">
        <v>46104</v>
      </c>
      <c r="F513" t="inlineStr">
        <is>
          <t>MARLIN REEFER</t>
        </is>
      </c>
      <c r="G513" t="inlineStr">
        <is>
          <t>ENTERED THROUGH SPLIT BOOKING FROM THE BOOKING ID REF000000, BY AR_MARTIMA, ON 3/23/2026 4:56:01 PM</t>
        </is>
      </c>
      <c r="H513" t="inlineStr">
        <is>
          <t>AR_MARTIMA</t>
        </is>
      </c>
      <c r="J513" t="n">
        <v>46111</v>
      </c>
      <c r="K513" t="n">
        <v>46110</v>
      </c>
      <c r="L513" t="n">
        <v>46111</v>
      </c>
      <c r="M513" t="inlineStr">
        <is>
          <t>REF000000</t>
        </is>
      </c>
      <c r="N513" t="inlineStr">
        <is>
          <t>USSEA</t>
        </is>
      </c>
      <c r="O513" t="inlineStr">
        <is>
          <t>USSEA</t>
        </is>
      </c>
      <c r="P513" t="inlineStr">
        <is>
          <t>USNFK</t>
        </is>
      </c>
      <c r="U513" t="inlineStr">
        <is>
          <t>RULED</t>
        </is>
      </c>
      <c r="V513" t="inlineStr">
        <is>
          <t>RULED</t>
        </is>
      </c>
      <c r="W513" t="inlineStr">
        <is>
          <t>CANADA</t>
        </is>
      </c>
      <c r="X513" t="inlineStr">
        <is>
          <t>PERSIAN GULF</t>
        </is>
      </c>
      <c r="Y513" t="inlineStr">
        <is>
          <t>RUSSIA</t>
        </is>
      </c>
      <c r="Z513" t="inlineStr">
        <is>
          <t>External Review</t>
        </is>
      </c>
      <c r="AA513" t="inlineStr">
        <is>
          <t>HUB SHIPPING LLC-LED</t>
        </is>
      </c>
      <c r="AB513" t="inlineStr">
        <is>
          <t>Prepaid</t>
        </is>
      </c>
      <c r="AC513" t="inlineStr">
        <is>
          <t>TIGER PLATA/974N</t>
        </is>
      </c>
      <c r="AE513" t="inlineStr">
        <is>
          <t>LADEN BOOKING</t>
        </is>
      </c>
      <c r="AF513" t="inlineStr">
        <is>
          <t>AR_MARTIMA</t>
        </is>
      </c>
      <c r="AG513" t="inlineStr">
        <is>
          <t>RH40</t>
        </is>
      </c>
      <c r="AI513" t="n">
        <v>40</v>
      </c>
      <c r="AJ513" t="n">
        <v>0</v>
      </c>
      <c r="AK513" t="n">
        <v>1</v>
      </c>
      <c r="AL513" t="inlineStr">
        <is>
          <t>ANON0000000</t>
        </is>
      </c>
      <c r="AM513" t="n">
        <v>-18</v>
      </c>
      <c r="AP513" t="inlineStr">
        <is>
          <t>Non Haz</t>
        </is>
      </c>
      <c r="AQ513" t="inlineStr">
        <is>
          <t>CY/CY</t>
        </is>
      </c>
      <c r="AT513" t="inlineStr">
        <is>
          <t>REF000000</t>
        </is>
      </c>
      <c r="AU513" t="n">
        <v>29000</v>
      </c>
      <c r="AV513" t="inlineStr">
        <is>
          <t>FROZEN MEAT</t>
        </is>
      </c>
      <c r="AW513" t="inlineStr">
        <is>
          <t>NCM 020629</t>
        </is>
      </c>
      <c r="AX513" t="inlineStr">
        <is>
          <t>RSAMI122500031</t>
        </is>
      </c>
      <c r="AZ513" t="n">
        <v>0</v>
      </c>
      <c r="BA513" t="n">
        <v>10</v>
      </c>
      <c r="BB513" t="n">
        <v>10</v>
      </c>
      <c r="BC513" t="n">
        <v>6800</v>
      </c>
      <c r="BD513" t="inlineStr">
        <is>
          <t>No</t>
        </is>
      </c>
      <c r="BF513" t="inlineStr">
        <is>
          <t>Bengal Tiger Line -BTL</t>
        </is>
      </c>
      <c r="BG513" t="inlineStr">
        <is>
          <t>USSEA</t>
        </is>
      </c>
      <c r="BH513" t="n">
        <v>0</v>
      </c>
      <c r="BI513" t="n">
        <v>1</v>
      </c>
      <c r="BJ513" t="n">
        <v>6800</v>
      </c>
      <c r="BK513" t="inlineStr">
        <is>
          <t>LINE</t>
        </is>
      </c>
      <c r="BL513" t="inlineStr">
        <is>
          <t>MARLIN REEFER</t>
        </is>
      </c>
      <c r="BM513" t="inlineStr">
        <is>
          <t>MARLIN REEFER</t>
        </is>
      </c>
    </row>
    <row r="514">
      <c r="A514" t="n">
        <v>513</v>
      </c>
      <c r="B514" t="inlineStr">
        <is>
          <t>TURTLE REEFER</t>
        </is>
      </c>
      <c r="C514" t="inlineStr">
        <is>
          <t>REF000000</t>
        </is>
      </c>
      <c r="D514" t="inlineStr">
        <is>
          <t>REF000000</t>
        </is>
      </c>
      <c r="E514" t="n">
        <v>46104</v>
      </c>
      <c r="F514" t="inlineStr">
        <is>
          <t>TURTLE REEFER</t>
        </is>
      </c>
      <c r="G514" t="inlineStr">
        <is>
          <t>ENTERED THROUGH SPLIT BOOKING FROM THE BOOKING ID REF000000, BY AR_MARTIMA, ON 3/23/2026 4:56:01 PM</t>
        </is>
      </c>
      <c r="H514" t="inlineStr">
        <is>
          <t>AR_MARTIMA</t>
        </is>
      </c>
      <c r="J514" t="n">
        <v>46111</v>
      </c>
      <c r="K514" t="n">
        <v>46110</v>
      </c>
      <c r="L514" t="n">
        <v>46111</v>
      </c>
      <c r="M514" t="inlineStr">
        <is>
          <t>REF000000</t>
        </is>
      </c>
      <c r="N514" t="inlineStr">
        <is>
          <t>USSEA</t>
        </is>
      </c>
      <c r="O514" t="inlineStr">
        <is>
          <t>USSEA</t>
        </is>
      </c>
      <c r="P514" t="inlineStr">
        <is>
          <t>USNFK</t>
        </is>
      </c>
      <c r="U514" t="inlineStr">
        <is>
          <t>RULED</t>
        </is>
      </c>
      <c r="V514" t="inlineStr">
        <is>
          <t>RULED</t>
        </is>
      </c>
      <c r="W514" t="inlineStr">
        <is>
          <t>CANADA</t>
        </is>
      </c>
      <c r="X514" t="inlineStr">
        <is>
          <t>PERSIAN GULF</t>
        </is>
      </c>
      <c r="Y514" t="inlineStr">
        <is>
          <t>RUSSIA</t>
        </is>
      </c>
      <c r="Z514" t="inlineStr">
        <is>
          <t>External Review</t>
        </is>
      </c>
      <c r="AA514" t="inlineStr">
        <is>
          <t>HUB SHIPPING LLC-LED</t>
        </is>
      </c>
      <c r="AB514" t="inlineStr">
        <is>
          <t>Prepaid</t>
        </is>
      </c>
      <c r="AC514" t="inlineStr">
        <is>
          <t>TIGER PLATA/974N</t>
        </is>
      </c>
      <c r="AE514" t="inlineStr">
        <is>
          <t>LADEN BOOKING</t>
        </is>
      </c>
      <c r="AF514" t="inlineStr">
        <is>
          <t>AR_MARTIMA</t>
        </is>
      </c>
      <c r="AG514" t="inlineStr">
        <is>
          <t>RH40</t>
        </is>
      </c>
      <c r="AI514" t="n">
        <v>40</v>
      </c>
      <c r="AJ514" t="n">
        <v>0</v>
      </c>
      <c r="AK514" t="n">
        <v>1</v>
      </c>
      <c r="AL514" t="inlineStr">
        <is>
          <t>ANON0000000</t>
        </is>
      </c>
      <c r="AM514" t="n">
        <v>-18</v>
      </c>
      <c r="AP514" t="inlineStr">
        <is>
          <t>Non Haz</t>
        </is>
      </c>
      <c r="AQ514" t="inlineStr">
        <is>
          <t>CY/CY</t>
        </is>
      </c>
      <c r="AT514" t="inlineStr">
        <is>
          <t>REF000000</t>
        </is>
      </c>
      <c r="AU514" t="n">
        <v>29000</v>
      </c>
      <c r="AV514" t="inlineStr">
        <is>
          <t>FROZEN MEAT</t>
        </is>
      </c>
      <c r="AX514" t="inlineStr">
        <is>
          <t>RSAMI122500031</t>
        </is>
      </c>
      <c r="AZ514" t="n">
        <v>0</v>
      </c>
      <c r="BA514" t="n">
        <v>10</v>
      </c>
      <c r="BB514" t="n">
        <v>10</v>
      </c>
      <c r="BC514" t="n">
        <v>6800</v>
      </c>
      <c r="BD514" t="inlineStr">
        <is>
          <t>No</t>
        </is>
      </c>
      <c r="BF514" t="inlineStr">
        <is>
          <t>Bengal Tiger Line -BTL</t>
        </is>
      </c>
      <c r="BG514" t="inlineStr">
        <is>
          <t>USSEA</t>
        </is>
      </c>
      <c r="BH514" t="n">
        <v>0</v>
      </c>
      <c r="BI514" t="n">
        <v>1</v>
      </c>
      <c r="BJ514" t="n">
        <v>6800</v>
      </c>
      <c r="BK514" t="inlineStr">
        <is>
          <t>LINE</t>
        </is>
      </c>
      <c r="BL514" t="inlineStr">
        <is>
          <t>TURTLE REEFER</t>
        </is>
      </c>
      <c r="BM514" t="inlineStr">
        <is>
          <t>TURTLE REEFER</t>
        </is>
      </c>
    </row>
    <row r="515">
      <c r="A515" t="n">
        <v>514</v>
      </c>
      <c r="B515" t="inlineStr">
        <is>
          <t>ORCA REEFER</t>
        </is>
      </c>
      <c r="C515" t="inlineStr">
        <is>
          <t>REF000000</t>
        </is>
      </c>
      <c r="D515" t="inlineStr">
        <is>
          <t>REF000000</t>
        </is>
      </c>
      <c r="E515" t="n">
        <v>46104</v>
      </c>
      <c r="F515" t="inlineStr">
        <is>
          <t>ORCA REEFER</t>
        </is>
      </c>
      <c r="G515" t="inlineStr">
        <is>
          <t>ENTERED THROUGH SPLIT BOOKING FROM THE BOOKING ID REF000000, BY AR_MARTIMA, ON 3/23/2026 4:56:02 PM</t>
        </is>
      </c>
      <c r="H515" t="inlineStr">
        <is>
          <t>AR_MARTIMA</t>
        </is>
      </c>
      <c r="J515" t="n">
        <v>46111</v>
      </c>
      <c r="K515" t="n">
        <v>46110</v>
      </c>
      <c r="L515" t="n">
        <v>46111</v>
      </c>
      <c r="M515" t="inlineStr">
        <is>
          <t>REF000000</t>
        </is>
      </c>
      <c r="N515" t="inlineStr">
        <is>
          <t>USSEA</t>
        </is>
      </c>
      <c r="O515" t="inlineStr">
        <is>
          <t>USSEA</t>
        </is>
      </c>
      <c r="P515" t="inlineStr">
        <is>
          <t>USNFK</t>
        </is>
      </c>
      <c r="U515" t="inlineStr">
        <is>
          <t>RULED</t>
        </is>
      </c>
      <c r="V515" t="inlineStr">
        <is>
          <t>RULED</t>
        </is>
      </c>
      <c r="W515" t="inlineStr">
        <is>
          <t>CANADA</t>
        </is>
      </c>
      <c r="X515" t="inlineStr">
        <is>
          <t>PERSIAN GULF</t>
        </is>
      </c>
      <c r="Y515" t="inlineStr">
        <is>
          <t>RUSSIA</t>
        </is>
      </c>
      <c r="Z515" t="inlineStr">
        <is>
          <t>External Review</t>
        </is>
      </c>
      <c r="AA515" t="inlineStr">
        <is>
          <t>HUB SHIPPING LLC-LED</t>
        </is>
      </c>
      <c r="AB515" t="inlineStr">
        <is>
          <t>Prepaid</t>
        </is>
      </c>
      <c r="AC515" t="inlineStr">
        <is>
          <t>TIGER PLATA/974N</t>
        </is>
      </c>
      <c r="AE515" t="inlineStr">
        <is>
          <t>LADEN BOOKING</t>
        </is>
      </c>
      <c r="AF515" t="inlineStr">
        <is>
          <t>AR_MARTIMA</t>
        </is>
      </c>
      <c r="AG515" t="inlineStr">
        <is>
          <t>RH40</t>
        </is>
      </c>
      <c r="AI515" t="n">
        <v>40</v>
      </c>
      <c r="AJ515" t="n">
        <v>0</v>
      </c>
      <c r="AK515" t="n">
        <v>1</v>
      </c>
      <c r="AL515" t="inlineStr">
        <is>
          <t>ANON0000000</t>
        </is>
      </c>
      <c r="AM515" t="n">
        <v>-18</v>
      </c>
      <c r="AP515" t="inlineStr">
        <is>
          <t>Non Haz</t>
        </is>
      </c>
      <c r="AQ515" t="inlineStr">
        <is>
          <t>CY/CY</t>
        </is>
      </c>
      <c r="AT515" t="inlineStr">
        <is>
          <t>REF000000</t>
        </is>
      </c>
      <c r="AU515" t="n">
        <v>29000</v>
      </c>
      <c r="AV515" t="inlineStr">
        <is>
          <t>FROZEN MEAT</t>
        </is>
      </c>
      <c r="AW515" t="inlineStr">
        <is>
          <t>NCM 020622</t>
        </is>
      </c>
      <c r="AX515" t="inlineStr">
        <is>
          <t>RSAMI122500031</t>
        </is>
      </c>
      <c r="AZ515" t="n">
        <v>0</v>
      </c>
      <c r="BA515" t="n">
        <v>10</v>
      </c>
      <c r="BB515" t="n">
        <v>10</v>
      </c>
      <c r="BC515" t="n">
        <v>6800</v>
      </c>
      <c r="BD515" t="inlineStr">
        <is>
          <t>No</t>
        </is>
      </c>
      <c r="BF515" t="inlineStr">
        <is>
          <t>Bengal Tiger Line -BTL</t>
        </is>
      </c>
      <c r="BG515" t="inlineStr">
        <is>
          <t>USSEA</t>
        </is>
      </c>
      <c r="BH515" t="n">
        <v>0</v>
      </c>
      <c r="BI515" t="n">
        <v>1</v>
      </c>
      <c r="BJ515" t="n">
        <v>6800</v>
      </c>
      <c r="BK515" t="inlineStr">
        <is>
          <t>LINE</t>
        </is>
      </c>
      <c r="BL515" t="inlineStr">
        <is>
          <t>ORCA REEFER</t>
        </is>
      </c>
      <c r="BM515" t="inlineStr">
        <is>
          <t>ORCA REEFER</t>
        </is>
      </c>
    </row>
    <row r="516">
      <c r="A516" t="n">
        <v>515</v>
      </c>
      <c r="B516" t="inlineStr">
        <is>
          <t>WHALE REEFER</t>
        </is>
      </c>
      <c r="C516" t="inlineStr">
        <is>
          <t>REF000000</t>
        </is>
      </c>
      <c r="D516" t="inlineStr">
        <is>
          <t>REF000000</t>
        </is>
      </c>
      <c r="E516" t="n">
        <v>46107</v>
      </c>
      <c r="F516" t="inlineStr">
        <is>
          <t>WHALE REEFER</t>
        </is>
      </c>
      <c r="G516" t="inlineStr">
        <is>
          <t>1x40RH TEMP -18</t>
        </is>
      </c>
      <c r="H516" t="inlineStr">
        <is>
          <t>AR_MARTIMA</t>
        </is>
      </c>
      <c r="J516" t="n">
        <v>46111</v>
      </c>
      <c r="K516" t="n">
        <v>46110</v>
      </c>
      <c r="L516" t="n">
        <v>46111</v>
      </c>
      <c r="M516" t="inlineStr">
        <is>
          <t>REF000000</t>
        </is>
      </c>
      <c r="N516" t="inlineStr">
        <is>
          <t>USSEA</t>
        </is>
      </c>
      <c r="O516" t="inlineStr">
        <is>
          <t>USSEA</t>
        </is>
      </c>
      <c r="P516" t="inlineStr">
        <is>
          <t>USNFK</t>
        </is>
      </c>
      <c r="U516" t="inlineStr">
        <is>
          <t>RULED</t>
        </is>
      </c>
      <c r="V516" t="inlineStr">
        <is>
          <t>RULED</t>
        </is>
      </c>
      <c r="W516" t="inlineStr">
        <is>
          <t>CANADA</t>
        </is>
      </c>
      <c r="X516" t="inlineStr">
        <is>
          <t>PERSIAN GULF</t>
        </is>
      </c>
      <c r="Y516" t="inlineStr">
        <is>
          <t>RUSSIA</t>
        </is>
      </c>
      <c r="Z516" t="inlineStr">
        <is>
          <t>External Review</t>
        </is>
      </c>
      <c r="AA516" t="inlineStr">
        <is>
          <t>HUB SHIPPING LLC-LED</t>
        </is>
      </c>
      <c r="AB516" t="inlineStr">
        <is>
          <t>Prepaid</t>
        </is>
      </c>
      <c r="AC516" t="inlineStr">
        <is>
          <t>TIGER PLATA/974N</t>
        </is>
      </c>
      <c r="AE516" t="inlineStr">
        <is>
          <t>LADEN BOOKING</t>
        </is>
      </c>
      <c r="AF516" t="inlineStr">
        <is>
          <t>AR_MARTIMA</t>
        </is>
      </c>
      <c r="AG516" t="inlineStr">
        <is>
          <t>RH40</t>
        </is>
      </c>
      <c r="AH516" t="inlineStr">
        <is>
          <t>NO</t>
        </is>
      </c>
      <c r="AI516" t="n">
        <v>40</v>
      </c>
      <c r="AJ516" t="n">
        <v>0</v>
      </c>
      <c r="AK516" t="n">
        <v>1</v>
      </c>
      <c r="AL516" t="inlineStr">
        <is>
          <t>ANON0000000</t>
        </is>
      </c>
      <c r="AM516" t="n">
        <v>-18</v>
      </c>
      <c r="AP516" t="inlineStr">
        <is>
          <t>Non Haz</t>
        </is>
      </c>
      <c r="AQ516" t="inlineStr">
        <is>
          <t>CY/CY</t>
        </is>
      </c>
      <c r="AT516" t="inlineStr">
        <is>
          <t>REF000000</t>
        </is>
      </c>
      <c r="AU516" t="n">
        <v>29000</v>
      </c>
      <c r="AV516" t="inlineStr">
        <is>
          <t>FROZEN MEAT</t>
        </is>
      </c>
      <c r="AW516" t="inlineStr">
        <is>
          <t>NCM 020629</t>
        </is>
      </c>
      <c r="AX516" t="inlineStr">
        <is>
          <t>RSAMI122500031</t>
        </is>
      </c>
      <c r="AZ516" t="n">
        <v>0</v>
      </c>
      <c r="BA516" t="n">
        <v>10</v>
      </c>
      <c r="BB516" t="n">
        <v>10</v>
      </c>
      <c r="BC516" t="n">
        <v>6800</v>
      </c>
      <c r="BD516" t="inlineStr">
        <is>
          <t>No</t>
        </is>
      </c>
      <c r="BF516" t="inlineStr">
        <is>
          <t>Bengal Tiger Line -BTL</t>
        </is>
      </c>
      <c r="BG516" t="inlineStr">
        <is>
          <t>USSEA</t>
        </is>
      </c>
      <c r="BH516" t="n">
        <v>0</v>
      </c>
      <c r="BI516" t="n">
        <v>1</v>
      </c>
      <c r="BJ516" t="n">
        <v>6800</v>
      </c>
      <c r="BK516" t="inlineStr">
        <is>
          <t>LINE</t>
        </is>
      </c>
      <c r="BL516" t="inlineStr">
        <is>
          <t>WHALE REEFER</t>
        </is>
      </c>
      <c r="BM516" t="inlineStr">
        <is>
          <t>WHALE REEFER</t>
        </is>
      </c>
    </row>
    <row r="517">
      <c r="A517" t="n">
        <v>516</v>
      </c>
      <c r="B517" t="inlineStr">
        <is>
          <t>SEAL REEFER</t>
        </is>
      </c>
      <c r="C517" t="inlineStr">
        <is>
          <t>REF000000</t>
        </is>
      </c>
      <c r="D517" t="inlineStr">
        <is>
          <t>REF000000</t>
        </is>
      </c>
      <c r="E517" t="n">
        <v>46107</v>
      </c>
      <c r="F517" t="inlineStr">
        <is>
          <t>SEAL REEFER</t>
        </is>
      </c>
      <c r="G517" t="inlineStr">
        <is>
          <t>1X40RH TEMP -18</t>
        </is>
      </c>
      <c r="H517" t="inlineStr">
        <is>
          <t>AR_MARTIMA</t>
        </is>
      </c>
      <c r="J517" t="n">
        <v>46111</v>
      </c>
      <c r="K517" t="n">
        <v>46110</v>
      </c>
      <c r="L517" t="n">
        <v>46111</v>
      </c>
      <c r="M517" t="inlineStr">
        <is>
          <t>REF000000</t>
        </is>
      </c>
      <c r="N517" t="inlineStr">
        <is>
          <t>USSEA</t>
        </is>
      </c>
      <c r="O517" t="inlineStr">
        <is>
          <t>USSEA</t>
        </is>
      </c>
      <c r="P517" t="inlineStr">
        <is>
          <t>USNFK</t>
        </is>
      </c>
      <c r="U517" t="inlineStr">
        <is>
          <t>RULED</t>
        </is>
      </c>
      <c r="V517" t="inlineStr">
        <is>
          <t>RULED</t>
        </is>
      </c>
      <c r="W517" t="inlineStr">
        <is>
          <t>CANADA</t>
        </is>
      </c>
      <c r="X517" t="inlineStr">
        <is>
          <t>PERSIAN GULF</t>
        </is>
      </c>
      <c r="Y517" t="inlineStr">
        <is>
          <t>RUSSIA</t>
        </is>
      </c>
      <c r="Z517" t="inlineStr">
        <is>
          <t>External Review</t>
        </is>
      </c>
      <c r="AA517" t="inlineStr">
        <is>
          <t>HUB SHIPPING LLC-LED</t>
        </is>
      </c>
      <c r="AB517" t="inlineStr">
        <is>
          <t>Prepaid</t>
        </is>
      </c>
      <c r="AC517" t="inlineStr">
        <is>
          <t>TIGER PLATA/974N</t>
        </is>
      </c>
      <c r="AE517" t="inlineStr">
        <is>
          <t>LADEN BOOKING</t>
        </is>
      </c>
      <c r="AF517" t="inlineStr">
        <is>
          <t>AR_MARTIMA</t>
        </is>
      </c>
      <c r="AG517" t="inlineStr">
        <is>
          <t>RH40</t>
        </is>
      </c>
      <c r="AH517" t="inlineStr">
        <is>
          <t>NO</t>
        </is>
      </c>
      <c r="AI517" t="n">
        <v>40</v>
      </c>
      <c r="AJ517" t="n">
        <v>0</v>
      </c>
      <c r="AK517" t="n">
        <v>1</v>
      </c>
      <c r="AL517" t="inlineStr">
        <is>
          <t>ANON0000000</t>
        </is>
      </c>
      <c r="AM517" t="n">
        <v>-18</v>
      </c>
      <c r="AP517" t="inlineStr">
        <is>
          <t>Non Haz</t>
        </is>
      </c>
      <c r="AQ517" t="inlineStr">
        <is>
          <t>CY/CY</t>
        </is>
      </c>
      <c r="AT517" t="inlineStr">
        <is>
          <t>REF000000</t>
        </is>
      </c>
      <c r="AU517" t="n">
        <v>29000</v>
      </c>
      <c r="AV517" t="inlineStr">
        <is>
          <t>FROZEN MEAT</t>
        </is>
      </c>
      <c r="AW517" t="inlineStr">
        <is>
          <t>NCM 020621</t>
        </is>
      </c>
      <c r="AX517" t="inlineStr">
        <is>
          <t>RSAMI122500031</t>
        </is>
      </c>
      <c r="AZ517" t="n">
        <v>0</v>
      </c>
      <c r="BA517" t="n">
        <v>10</v>
      </c>
      <c r="BB517" t="n">
        <v>10</v>
      </c>
      <c r="BC517" t="n">
        <v>6800</v>
      </c>
      <c r="BD517" t="inlineStr">
        <is>
          <t>No</t>
        </is>
      </c>
      <c r="BF517" t="inlineStr">
        <is>
          <t>Bengal Tiger Line -BTL</t>
        </is>
      </c>
      <c r="BG517" t="inlineStr">
        <is>
          <t>USSEA</t>
        </is>
      </c>
      <c r="BH517" t="n">
        <v>0</v>
      </c>
      <c r="BI517" t="n">
        <v>1</v>
      </c>
      <c r="BJ517" t="n">
        <v>6800</v>
      </c>
      <c r="BK517" t="inlineStr">
        <is>
          <t>LINE</t>
        </is>
      </c>
      <c r="BL517" t="inlineStr">
        <is>
          <t>SEAL REEFER</t>
        </is>
      </c>
      <c r="BM517" t="inlineStr">
        <is>
          <t>SEAL REEFER</t>
        </is>
      </c>
    </row>
    <row r="518">
      <c r="A518" t="n">
        <v>517</v>
      </c>
      <c r="B518" t="inlineStr">
        <is>
          <t>SHARK REEFER</t>
        </is>
      </c>
      <c r="C518" t="inlineStr">
        <is>
          <t>REF000000</t>
        </is>
      </c>
      <c r="D518" t="inlineStr">
        <is>
          <t>REF000000</t>
        </is>
      </c>
      <c r="E518" t="n">
        <v>46108</v>
      </c>
      <c r="F518" t="inlineStr">
        <is>
          <t>SHARK REEFER</t>
        </is>
      </c>
      <c r="G518" t="inlineStr">
        <is>
          <t>1X40RH TEMP -18</t>
        </is>
      </c>
      <c r="H518" t="inlineStr">
        <is>
          <t>AR_MARTIMA</t>
        </is>
      </c>
      <c r="J518" t="inlineStr">
        <is>
          <t>05-APR-2026</t>
        </is>
      </c>
      <c r="K518" t="inlineStr">
        <is>
          <t>04-APR-2026</t>
        </is>
      </c>
      <c r="L518" t="inlineStr">
        <is>
          <t>06-APR-2026</t>
        </is>
      </c>
      <c r="M518" t="inlineStr">
        <is>
          <t>REF000000</t>
        </is>
      </c>
      <c r="N518" t="inlineStr">
        <is>
          <t>USSEA</t>
        </is>
      </c>
      <c r="O518" t="inlineStr">
        <is>
          <t>USSEA</t>
        </is>
      </c>
      <c r="P518" t="inlineStr">
        <is>
          <t>USNFK</t>
        </is>
      </c>
      <c r="U518" t="inlineStr">
        <is>
          <t>RULED</t>
        </is>
      </c>
      <c r="V518" t="inlineStr">
        <is>
          <t>RULED</t>
        </is>
      </c>
      <c r="W518" t="inlineStr">
        <is>
          <t>CANADA</t>
        </is>
      </c>
      <c r="X518" t="inlineStr">
        <is>
          <t>PERSIAN GULF</t>
        </is>
      </c>
      <c r="Y518" t="inlineStr">
        <is>
          <t>RUSSIA</t>
        </is>
      </c>
      <c r="Z518" t="inlineStr">
        <is>
          <t>External Review</t>
        </is>
      </c>
      <c r="AA518" t="inlineStr">
        <is>
          <t>HUB SHIPPING LLC-LED</t>
        </is>
      </c>
      <c r="AB518" t="inlineStr">
        <is>
          <t>Prepaid</t>
        </is>
      </c>
      <c r="AC518" t="inlineStr">
        <is>
          <t>TIGER PLATA/975N</t>
        </is>
      </c>
      <c r="AE518" t="inlineStr">
        <is>
          <t>LADEN BOOKING</t>
        </is>
      </c>
      <c r="AF518" t="inlineStr">
        <is>
          <t>AR_MARTIMA</t>
        </is>
      </c>
      <c r="AG518" t="inlineStr">
        <is>
          <t>RH40</t>
        </is>
      </c>
      <c r="AH518" t="inlineStr">
        <is>
          <t>NO</t>
        </is>
      </c>
      <c r="AI518" t="n">
        <v>40</v>
      </c>
      <c r="AJ518" t="n">
        <v>0</v>
      </c>
      <c r="AK518" t="n">
        <v>1</v>
      </c>
      <c r="AL518" t="inlineStr">
        <is>
          <t>ANON0000000</t>
        </is>
      </c>
      <c r="AM518" t="n">
        <v>-18</v>
      </c>
      <c r="AP518" t="inlineStr">
        <is>
          <t>Non Haz</t>
        </is>
      </c>
      <c r="AQ518" t="inlineStr">
        <is>
          <t>CY/CY</t>
        </is>
      </c>
      <c r="AT518" t="inlineStr">
        <is>
          <t>REF000000</t>
        </is>
      </c>
      <c r="AU518" t="n">
        <v>29000</v>
      </c>
      <c r="AV518" t="inlineStr">
        <is>
          <t>FROZEN MEAT</t>
        </is>
      </c>
      <c r="AW518" t="inlineStr">
        <is>
          <t>NCM: 0206.29</t>
        </is>
      </c>
      <c r="AX518" t="inlineStr">
        <is>
          <t>RSAMI122500031</t>
        </is>
      </c>
      <c r="AZ518" t="n">
        <v>0</v>
      </c>
      <c r="BA518" t="n">
        <v>10</v>
      </c>
      <c r="BB518" t="n">
        <v>10</v>
      </c>
      <c r="BC518" t="n">
        <v>6800</v>
      </c>
      <c r="BD518" t="inlineStr">
        <is>
          <t>No</t>
        </is>
      </c>
      <c r="BF518" t="inlineStr">
        <is>
          <t>Bengal Tiger Line -BTL</t>
        </is>
      </c>
      <c r="BG518" t="inlineStr">
        <is>
          <t>USSEA</t>
        </is>
      </c>
      <c r="BH518" t="n">
        <v>0</v>
      </c>
      <c r="BI518" t="n">
        <v>1</v>
      </c>
      <c r="BJ518" t="n">
        <v>6800</v>
      </c>
      <c r="BK518" t="inlineStr">
        <is>
          <t>LINE</t>
        </is>
      </c>
      <c r="BL518" t="inlineStr">
        <is>
          <t>SHARK REEFER</t>
        </is>
      </c>
      <c r="BM518" t="inlineStr">
        <is>
          <t>SHARK REEFER</t>
        </is>
      </c>
    </row>
    <row r="519">
      <c r="A519" t="n">
        <v>518</v>
      </c>
      <c r="B519" t="inlineStr">
        <is>
          <t>DOLPHIN REEFER</t>
        </is>
      </c>
      <c r="C519" t="inlineStr">
        <is>
          <t>REF000000</t>
        </is>
      </c>
      <c r="D519" t="inlineStr">
        <is>
          <t>REF000000</t>
        </is>
      </c>
      <c r="E519" t="n">
        <v>46108</v>
      </c>
      <c r="F519" t="inlineStr">
        <is>
          <t>DOLPHIN REEFER</t>
        </is>
      </c>
      <c r="G519" t="inlineStr">
        <is>
          <t>ENTERED THROUGH SPLIT BOOKING FROM THE BOOKING ID REF000000, BY AR_MARTIMA, ON 3/27/2026 7:34:35 PM</t>
        </is>
      </c>
      <c r="H519" t="inlineStr">
        <is>
          <t>AR_MARTIMA</t>
        </is>
      </c>
      <c r="J519" t="inlineStr">
        <is>
          <t>05-APR-2026</t>
        </is>
      </c>
      <c r="K519" t="inlineStr">
        <is>
          <t>04-APR-2026</t>
        </is>
      </c>
      <c r="L519" t="inlineStr">
        <is>
          <t>06-APR-2026</t>
        </is>
      </c>
      <c r="M519" t="inlineStr">
        <is>
          <t>REF000000</t>
        </is>
      </c>
      <c r="N519" t="inlineStr">
        <is>
          <t>USSEA</t>
        </is>
      </c>
      <c r="O519" t="inlineStr">
        <is>
          <t>USSEA</t>
        </is>
      </c>
      <c r="P519" t="inlineStr">
        <is>
          <t>USNFK</t>
        </is>
      </c>
      <c r="U519" t="inlineStr">
        <is>
          <t>RULED</t>
        </is>
      </c>
      <c r="V519" t="inlineStr">
        <is>
          <t>RULED</t>
        </is>
      </c>
      <c r="W519" t="inlineStr">
        <is>
          <t>CANADA</t>
        </is>
      </c>
      <c r="X519" t="inlineStr">
        <is>
          <t>PERSIAN GULF</t>
        </is>
      </c>
      <c r="Y519" t="inlineStr">
        <is>
          <t>RUSSIA</t>
        </is>
      </c>
      <c r="Z519" t="inlineStr">
        <is>
          <t>External Review</t>
        </is>
      </c>
      <c r="AA519" t="inlineStr">
        <is>
          <t>HUB SHIPPING LLC-LED</t>
        </is>
      </c>
      <c r="AB519" t="inlineStr">
        <is>
          <t>Prepaid</t>
        </is>
      </c>
      <c r="AC519" t="inlineStr">
        <is>
          <t>TIGER PLATA/975N</t>
        </is>
      </c>
      <c r="AE519" t="inlineStr">
        <is>
          <t>LADEN BOOKING</t>
        </is>
      </c>
      <c r="AF519" t="inlineStr">
        <is>
          <t>AR_MARTIMA</t>
        </is>
      </c>
      <c r="AG519" t="inlineStr">
        <is>
          <t>RH40</t>
        </is>
      </c>
      <c r="AI519" t="n">
        <v>40</v>
      </c>
      <c r="AJ519" t="n">
        <v>0</v>
      </c>
      <c r="AK519" t="n">
        <v>1</v>
      </c>
      <c r="AL519" t="inlineStr">
        <is>
          <t>ANON0000000</t>
        </is>
      </c>
      <c r="AM519" t="n">
        <v>-18</v>
      </c>
      <c r="AP519" t="inlineStr">
        <is>
          <t>Non Haz</t>
        </is>
      </c>
      <c r="AQ519" t="inlineStr">
        <is>
          <t>CY/CY</t>
        </is>
      </c>
      <c r="AT519" t="inlineStr">
        <is>
          <t>REF000000</t>
        </is>
      </c>
      <c r="AU519" t="n">
        <v>29000</v>
      </c>
      <c r="AV519" t="inlineStr">
        <is>
          <t>FROZEN MEAT</t>
        </is>
      </c>
      <c r="AW519" t="inlineStr">
        <is>
          <t>NCM: 0206.29</t>
        </is>
      </c>
      <c r="AX519" t="inlineStr">
        <is>
          <t>RSAMI122500031</t>
        </is>
      </c>
      <c r="AZ519" t="n">
        <v>0</v>
      </c>
      <c r="BA519" t="n">
        <v>10</v>
      </c>
      <c r="BB519" t="n">
        <v>10</v>
      </c>
      <c r="BC519" t="n">
        <v>6800</v>
      </c>
      <c r="BD519" t="inlineStr">
        <is>
          <t>No</t>
        </is>
      </c>
      <c r="BF519" t="inlineStr">
        <is>
          <t>Bengal Tiger Line -BTL</t>
        </is>
      </c>
      <c r="BG519" t="inlineStr">
        <is>
          <t>USSEA</t>
        </is>
      </c>
      <c r="BH519" t="n">
        <v>0</v>
      </c>
      <c r="BI519" t="n">
        <v>1</v>
      </c>
      <c r="BJ519" t="n">
        <v>6800</v>
      </c>
      <c r="BK519" t="inlineStr">
        <is>
          <t>LINE</t>
        </is>
      </c>
      <c r="BL519" t="inlineStr">
        <is>
          <t>DOLPHIN REEFER</t>
        </is>
      </c>
      <c r="BM519" t="inlineStr">
        <is>
          <t>DOLPHIN REEFER</t>
        </is>
      </c>
    </row>
    <row r="520">
      <c r="A520" t="n">
        <v>519</v>
      </c>
      <c r="B520" t="inlineStr">
        <is>
          <t>MARLIN REEFER</t>
        </is>
      </c>
      <c r="C520" t="inlineStr">
        <is>
          <t>REF000000</t>
        </is>
      </c>
      <c r="D520" t="inlineStr">
        <is>
          <t>REF000000</t>
        </is>
      </c>
      <c r="E520" t="n">
        <v>46108</v>
      </c>
      <c r="F520" t="inlineStr">
        <is>
          <t>MARLIN REEFER</t>
        </is>
      </c>
      <c r="G520" t="inlineStr">
        <is>
          <t>ENTERED THROUGH SPLIT BOOKING FROM THE BOOKING ID REF000000, BY AR_MARTIMA, ON 3/27/2026 7:34:35 PM</t>
        </is>
      </c>
      <c r="H520" t="inlineStr">
        <is>
          <t>AR_MARTIMA</t>
        </is>
      </c>
      <c r="J520" t="inlineStr">
        <is>
          <t>05-APR-2026</t>
        </is>
      </c>
      <c r="K520" t="inlineStr">
        <is>
          <t>04-APR-2026</t>
        </is>
      </c>
      <c r="L520" t="inlineStr">
        <is>
          <t>06-APR-2026</t>
        </is>
      </c>
      <c r="M520" t="inlineStr">
        <is>
          <t>REF000000</t>
        </is>
      </c>
      <c r="N520" t="inlineStr">
        <is>
          <t>USSEA</t>
        </is>
      </c>
      <c r="O520" t="inlineStr">
        <is>
          <t>USSEA</t>
        </is>
      </c>
      <c r="P520" t="inlineStr">
        <is>
          <t>USNFK</t>
        </is>
      </c>
      <c r="U520" t="inlineStr">
        <is>
          <t>RULED</t>
        </is>
      </c>
      <c r="V520" t="inlineStr">
        <is>
          <t>RULED</t>
        </is>
      </c>
      <c r="W520" t="inlineStr">
        <is>
          <t>CANADA</t>
        </is>
      </c>
      <c r="X520" t="inlineStr">
        <is>
          <t>PERSIAN GULF</t>
        </is>
      </c>
      <c r="Y520" t="inlineStr">
        <is>
          <t>RUSSIA</t>
        </is>
      </c>
      <c r="Z520" t="inlineStr">
        <is>
          <t>External Review</t>
        </is>
      </c>
      <c r="AA520" t="inlineStr">
        <is>
          <t>HUB SHIPPING LLC-LED</t>
        </is>
      </c>
      <c r="AB520" t="inlineStr">
        <is>
          <t>Prepaid</t>
        </is>
      </c>
      <c r="AC520" t="inlineStr">
        <is>
          <t>TIGER PLATA/975N</t>
        </is>
      </c>
      <c r="AE520" t="inlineStr">
        <is>
          <t>LADEN BOOKING</t>
        </is>
      </c>
      <c r="AF520" t="inlineStr">
        <is>
          <t>AR_MARTIMA</t>
        </is>
      </c>
      <c r="AG520" t="inlineStr">
        <is>
          <t>RH40</t>
        </is>
      </c>
      <c r="AI520" t="n">
        <v>40</v>
      </c>
      <c r="AJ520" t="n">
        <v>0</v>
      </c>
      <c r="AK520" t="n">
        <v>1</v>
      </c>
      <c r="AL520" t="inlineStr">
        <is>
          <t>ANON0000000</t>
        </is>
      </c>
      <c r="AM520" t="n">
        <v>-18</v>
      </c>
      <c r="AP520" t="inlineStr">
        <is>
          <t>Non Haz</t>
        </is>
      </c>
      <c r="AQ520" t="inlineStr">
        <is>
          <t>CY/CY</t>
        </is>
      </c>
      <c r="AT520" t="inlineStr">
        <is>
          <t>REF000000</t>
        </is>
      </c>
      <c r="AU520" t="n">
        <v>29000</v>
      </c>
      <c r="AV520" t="inlineStr">
        <is>
          <t>FROZEN MEAT</t>
        </is>
      </c>
      <c r="AW520" t="inlineStr">
        <is>
          <t>NCM 020622</t>
        </is>
      </c>
      <c r="AX520" t="inlineStr">
        <is>
          <t>RSAMI122500031</t>
        </is>
      </c>
      <c r="AZ520" t="n">
        <v>0</v>
      </c>
      <c r="BA520" t="n">
        <v>10</v>
      </c>
      <c r="BB520" t="n">
        <v>10</v>
      </c>
      <c r="BC520" t="n">
        <v>6800</v>
      </c>
      <c r="BD520" t="inlineStr">
        <is>
          <t>No</t>
        </is>
      </c>
      <c r="BF520" t="inlineStr">
        <is>
          <t>Bengal Tiger Line -BTL</t>
        </is>
      </c>
      <c r="BG520" t="inlineStr">
        <is>
          <t>USSEA</t>
        </is>
      </c>
      <c r="BH520" t="n">
        <v>0</v>
      </c>
      <c r="BI520" t="n">
        <v>1</v>
      </c>
      <c r="BJ520" t="n">
        <v>6800</v>
      </c>
      <c r="BK520" t="inlineStr">
        <is>
          <t>LINE</t>
        </is>
      </c>
      <c r="BL520" t="inlineStr">
        <is>
          <t>MARLIN REEFER</t>
        </is>
      </c>
      <c r="BM520" t="inlineStr">
        <is>
          <t>MARLIN REEFER</t>
        </is>
      </c>
    </row>
    <row r="521">
      <c r="A521" t="n">
        <v>520</v>
      </c>
      <c r="B521" t="inlineStr">
        <is>
          <t>TURTLE REEFER</t>
        </is>
      </c>
      <c r="C521" t="inlineStr">
        <is>
          <t>REF000000</t>
        </is>
      </c>
      <c r="D521" t="inlineStr">
        <is>
          <t>REF000000</t>
        </is>
      </c>
      <c r="E521" t="n">
        <v>46108</v>
      </c>
      <c r="F521" t="inlineStr">
        <is>
          <t>TURTLE REEFER</t>
        </is>
      </c>
      <c r="G521" t="inlineStr">
        <is>
          <t>ENTERED THROUGH SPLIT BOOKING FROM THE BOOKING ID REF000000, BY AR_MARTIMA, ON 3/27/2026 7:34:35 PM</t>
        </is>
      </c>
      <c r="H521" t="inlineStr">
        <is>
          <t>AR_MARTIMA</t>
        </is>
      </c>
      <c r="J521" t="inlineStr">
        <is>
          <t>05-APR-2026</t>
        </is>
      </c>
      <c r="K521" t="inlineStr">
        <is>
          <t>04-APR-2026</t>
        </is>
      </c>
      <c r="L521" t="inlineStr">
        <is>
          <t>06-APR-2026</t>
        </is>
      </c>
      <c r="M521" t="inlineStr">
        <is>
          <t>REF000000</t>
        </is>
      </c>
      <c r="N521" t="inlineStr">
        <is>
          <t>USSEA</t>
        </is>
      </c>
      <c r="O521" t="inlineStr">
        <is>
          <t>USSEA</t>
        </is>
      </c>
      <c r="P521" t="inlineStr">
        <is>
          <t>USNFK</t>
        </is>
      </c>
      <c r="U521" t="inlineStr">
        <is>
          <t>RULED</t>
        </is>
      </c>
      <c r="V521" t="inlineStr">
        <is>
          <t>RULED</t>
        </is>
      </c>
      <c r="W521" t="inlineStr">
        <is>
          <t>CANADA</t>
        </is>
      </c>
      <c r="X521" t="inlineStr">
        <is>
          <t>PERSIAN GULF</t>
        </is>
      </c>
      <c r="Y521" t="inlineStr">
        <is>
          <t>RUSSIA</t>
        </is>
      </c>
      <c r="Z521" t="inlineStr">
        <is>
          <t>External Review</t>
        </is>
      </c>
      <c r="AA521" t="inlineStr">
        <is>
          <t>HUB SHIPPING LLC-LED</t>
        </is>
      </c>
      <c r="AB521" t="inlineStr">
        <is>
          <t>Prepaid</t>
        </is>
      </c>
      <c r="AC521" t="inlineStr">
        <is>
          <t>TIGER PLATA/975N</t>
        </is>
      </c>
      <c r="AE521" t="inlineStr">
        <is>
          <t>LADEN BOOKING</t>
        </is>
      </c>
      <c r="AF521" t="inlineStr">
        <is>
          <t>AR_MARTIMA</t>
        </is>
      </c>
      <c r="AG521" t="inlineStr">
        <is>
          <t>RH40</t>
        </is>
      </c>
      <c r="AI521" t="n">
        <v>40</v>
      </c>
      <c r="AJ521" t="n">
        <v>0</v>
      </c>
      <c r="AK521" t="n">
        <v>1</v>
      </c>
      <c r="AL521" t="inlineStr">
        <is>
          <t>ANON0000000</t>
        </is>
      </c>
      <c r="AM521" t="n">
        <v>-18</v>
      </c>
      <c r="AP521" t="inlineStr">
        <is>
          <t>Non Haz</t>
        </is>
      </c>
      <c r="AQ521" t="inlineStr">
        <is>
          <t>CY/CY</t>
        </is>
      </c>
      <c r="AT521" t="inlineStr">
        <is>
          <t>REF000000</t>
        </is>
      </c>
      <c r="AU521" t="n">
        <v>29000</v>
      </c>
      <c r="AV521" t="inlineStr">
        <is>
          <t>FROZEN MEAT</t>
        </is>
      </c>
      <c r="AW521" t="inlineStr">
        <is>
          <t>NCM 020622</t>
        </is>
      </c>
      <c r="AX521" t="inlineStr">
        <is>
          <t>RSAMI122500031</t>
        </is>
      </c>
      <c r="AZ521" t="n">
        <v>0</v>
      </c>
      <c r="BA521" t="n">
        <v>10</v>
      </c>
      <c r="BB521" t="n">
        <v>10</v>
      </c>
      <c r="BC521" t="n">
        <v>6800</v>
      </c>
      <c r="BD521" t="inlineStr">
        <is>
          <t>No</t>
        </is>
      </c>
      <c r="BF521" t="inlineStr">
        <is>
          <t>Bengal Tiger Line -BTL</t>
        </is>
      </c>
      <c r="BG521" t="inlineStr">
        <is>
          <t>USSEA</t>
        </is>
      </c>
      <c r="BH521" t="n">
        <v>0</v>
      </c>
      <c r="BI521" t="n">
        <v>1</v>
      </c>
      <c r="BJ521" t="n">
        <v>6800</v>
      </c>
      <c r="BK521" t="inlineStr">
        <is>
          <t>LINE</t>
        </is>
      </c>
      <c r="BL521" t="inlineStr">
        <is>
          <t>TURTLE REEFER</t>
        </is>
      </c>
      <c r="BM521" t="inlineStr">
        <is>
          <t>TURTLE REEFER</t>
        </is>
      </c>
    </row>
    <row r="522">
      <c r="A522" t="n">
        <v>521</v>
      </c>
      <c r="B522" t="inlineStr">
        <is>
          <t>ORCA REEFER</t>
        </is>
      </c>
      <c r="C522" t="inlineStr">
        <is>
          <t>REF000000</t>
        </is>
      </c>
      <c r="D522" t="inlineStr">
        <is>
          <t>REF000000</t>
        </is>
      </c>
      <c r="E522" t="n">
        <v>46108</v>
      </c>
      <c r="F522" t="inlineStr">
        <is>
          <t>ORCA REEFER</t>
        </is>
      </c>
      <c r="G522" t="inlineStr">
        <is>
          <t>ENTERED THROUGH SPLIT BOOKING FROM THE BOOKING ID REF000000, BY AR_MARTIMA, ON 3/27/2026 7:34:35 PM</t>
        </is>
      </c>
      <c r="H522" t="inlineStr">
        <is>
          <t>AR_MARTIMA</t>
        </is>
      </c>
      <c r="J522" t="inlineStr">
        <is>
          <t>05-APR-2026</t>
        </is>
      </c>
      <c r="K522" t="inlineStr">
        <is>
          <t>04-APR-2026</t>
        </is>
      </c>
      <c r="L522" t="inlineStr">
        <is>
          <t>06-APR-2026</t>
        </is>
      </c>
      <c r="M522" t="inlineStr">
        <is>
          <t>REF000000</t>
        </is>
      </c>
      <c r="N522" t="inlineStr">
        <is>
          <t>USSEA</t>
        </is>
      </c>
      <c r="O522" t="inlineStr">
        <is>
          <t>USSEA</t>
        </is>
      </c>
      <c r="P522" t="inlineStr">
        <is>
          <t>USNFK</t>
        </is>
      </c>
      <c r="U522" t="inlineStr">
        <is>
          <t>RULED</t>
        </is>
      </c>
      <c r="V522" t="inlineStr">
        <is>
          <t>RULED</t>
        </is>
      </c>
      <c r="W522" t="inlineStr">
        <is>
          <t>CANADA</t>
        </is>
      </c>
      <c r="X522" t="inlineStr">
        <is>
          <t>PERSIAN GULF</t>
        </is>
      </c>
      <c r="Y522" t="inlineStr">
        <is>
          <t>RUSSIA</t>
        </is>
      </c>
      <c r="Z522" t="inlineStr">
        <is>
          <t>External Review</t>
        </is>
      </c>
      <c r="AA522" t="inlineStr">
        <is>
          <t>HUB SHIPPING LLC-LED</t>
        </is>
      </c>
      <c r="AB522" t="inlineStr">
        <is>
          <t>Prepaid</t>
        </is>
      </c>
      <c r="AC522" t="inlineStr">
        <is>
          <t>TIGER PLATA/975N</t>
        </is>
      </c>
      <c r="AE522" t="inlineStr">
        <is>
          <t>LADEN BOOKING</t>
        </is>
      </c>
      <c r="AF522" t="inlineStr">
        <is>
          <t>AR_MARTIMA</t>
        </is>
      </c>
      <c r="AG522" t="inlineStr">
        <is>
          <t>RH40</t>
        </is>
      </c>
      <c r="AI522" t="n">
        <v>40</v>
      </c>
      <c r="AJ522" t="n">
        <v>0</v>
      </c>
      <c r="AK522" t="n">
        <v>1</v>
      </c>
      <c r="AL522" t="inlineStr">
        <is>
          <t>ANON0000000</t>
        </is>
      </c>
      <c r="AM522" t="n">
        <v>-18</v>
      </c>
      <c r="AP522" t="inlineStr">
        <is>
          <t>Non Haz</t>
        </is>
      </c>
      <c r="AQ522" t="inlineStr">
        <is>
          <t>CY/CY</t>
        </is>
      </c>
      <c r="AT522" t="inlineStr">
        <is>
          <t>REF000000</t>
        </is>
      </c>
      <c r="AU522" t="n">
        <v>29000</v>
      </c>
      <c r="AV522" t="inlineStr">
        <is>
          <t>FROZEN MEAT</t>
        </is>
      </c>
      <c r="AW522" t="inlineStr">
        <is>
          <t>NCM 020622</t>
        </is>
      </c>
      <c r="AX522" t="inlineStr">
        <is>
          <t>RSAMI122500031</t>
        </is>
      </c>
      <c r="AZ522" t="n">
        <v>0</v>
      </c>
      <c r="BA522" t="n">
        <v>10</v>
      </c>
      <c r="BB522" t="n">
        <v>10</v>
      </c>
      <c r="BC522" t="n">
        <v>6800</v>
      </c>
      <c r="BD522" t="inlineStr">
        <is>
          <t>No</t>
        </is>
      </c>
      <c r="BF522" t="inlineStr">
        <is>
          <t>Bengal Tiger Line -BTL</t>
        </is>
      </c>
      <c r="BG522" t="inlineStr">
        <is>
          <t>USSEA</t>
        </is>
      </c>
      <c r="BH522" t="n">
        <v>0</v>
      </c>
      <c r="BI522" t="n">
        <v>1</v>
      </c>
      <c r="BJ522" t="n">
        <v>6800</v>
      </c>
      <c r="BK522" t="inlineStr">
        <is>
          <t>LINE</t>
        </is>
      </c>
      <c r="BL522" t="inlineStr">
        <is>
          <t>ORCA REEFER</t>
        </is>
      </c>
      <c r="BM522" t="inlineStr">
        <is>
          <t>ORCA REEFER</t>
        </is>
      </c>
    </row>
    <row r="523">
      <c r="A523" t="n">
        <v>522</v>
      </c>
      <c r="B523" t="inlineStr">
        <is>
          <t>WHALE REEFER</t>
        </is>
      </c>
      <c r="C523" t="inlineStr">
        <is>
          <t>REF000000</t>
        </is>
      </c>
      <c r="D523" t="inlineStr">
        <is>
          <t>REF000000</t>
        </is>
      </c>
      <c r="E523" t="n">
        <v>46108</v>
      </c>
      <c r="F523" t="inlineStr">
        <is>
          <t>WHALE REEFER</t>
        </is>
      </c>
      <c r="G523" t="inlineStr">
        <is>
          <t>ENTERED THROUGH SPLIT BOOKING FROM THE BOOKING ID REF000000, BY AR_MARTIMA, ON 3/27/2026 7:34:35 PM</t>
        </is>
      </c>
      <c r="H523" t="inlineStr">
        <is>
          <t>AR_MARTIMA</t>
        </is>
      </c>
      <c r="J523" t="inlineStr">
        <is>
          <t>05-APR-2026</t>
        </is>
      </c>
      <c r="K523" t="inlineStr">
        <is>
          <t>04-APR-2026</t>
        </is>
      </c>
      <c r="L523" t="inlineStr">
        <is>
          <t>06-APR-2026</t>
        </is>
      </c>
      <c r="M523" t="inlineStr">
        <is>
          <t>REF000000</t>
        </is>
      </c>
      <c r="N523" t="inlineStr">
        <is>
          <t>USSEA</t>
        </is>
      </c>
      <c r="O523" t="inlineStr">
        <is>
          <t>USSEA</t>
        </is>
      </c>
      <c r="P523" t="inlineStr">
        <is>
          <t>USNFK</t>
        </is>
      </c>
      <c r="U523" t="inlineStr">
        <is>
          <t>RULED</t>
        </is>
      </c>
      <c r="V523" t="inlineStr">
        <is>
          <t>RULED</t>
        </is>
      </c>
      <c r="W523" t="inlineStr">
        <is>
          <t>CANADA</t>
        </is>
      </c>
      <c r="X523" t="inlineStr">
        <is>
          <t>PERSIAN GULF</t>
        </is>
      </c>
      <c r="Y523" t="inlineStr">
        <is>
          <t>RUSSIA</t>
        </is>
      </c>
      <c r="Z523" t="inlineStr">
        <is>
          <t>External Review</t>
        </is>
      </c>
      <c r="AA523" t="inlineStr">
        <is>
          <t>HUB SHIPPING LLC-LED</t>
        </is>
      </c>
      <c r="AB523" t="inlineStr">
        <is>
          <t>Prepaid</t>
        </is>
      </c>
      <c r="AC523" t="inlineStr">
        <is>
          <t>TIGER PLATA/975N</t>
        </is>
      </c>
      <c r="AE523" t="inlineStr">
        <is>
          <t>LADEN BOOKING</t>
        </is>
      </c>
      <c r="AF523" t="inlineStr">
        <is>
          <t>AR_MARTIMA</t>
        </is>
      </c>
      <c r="AG523" t="inlineStr">
        <is>
          <t>RH40</t>
        </is>
      </c>
      <c r="AI523" t="n">
        <v>40</v>
      </c>
      <c r="AJ523" t="n">
        <v>0</v>
      </c>
      <c r="AK523" t="n">
        <v>1</v>
      </c>
      <c r="AL523" t="inlineStr">
        <is>
          <t>ANON0000000</t>
        </is>
      </c>
      <c r="AM523" t="n">
        <v>-18</v>
      </c>
      <c r="AP523" t="inlineStr">
        <is>
          <t>Non Haz</t>
        </is>
      </c>
      <c r="AQ523" t="inlineStr">
        <is>
          <t>CY/CY</t>
        </is>
      </c>
      <c r="AT523" t="inlineStr">
        <is>
          <t>REF000000</t>
        </is>
      </c>
      <c r="AU523" t="n">
        <v>29000</v>
      </c>
      <c r="AV523" t="inlineStr">
        <is>
          <t>FROZEN MEAT</t>
        </is>
      </c>
      <c r="AW523" t="inlineStr">
        <is>
          <t>NCM 020621</t>
        </is>
      </c>
      <c r="AX523" t="inlineStr">
        <is>
          <t>RSAMI122500031</t>
        </is>
      </c>
      <c r="AZ523" t="n">
        <v>0</v>
      </c>
      <c r="BA523" t="n">
        <v>10</v>
      </c>
      <c r="BB523" t="n">
        <v>10</v>
      </c>
      <c r="BC523" t="n">
        <v>6800</v>
      </c>
      <c r="BD523" t="inlineStr">
        <is>
          <t>No</t>
        </is>
      </c>
      <c r="BF523" t="inlineStr">
        <is>
          <t>Bengal Tiger Line -BTL</t>
        </is>
      </c>
      <c r="BG523" t="inlineStr">
        <is>
          <t>USSEA</t>
        </is>
      </c>
      <c r="BH523" t="n">
        <v>0</v>
      </c>
      <c r="BI523" t="n">
        <v>1</v>
      </c>
      <c r="BJ523" t="n">
        <v>6800</v>
      </c>
      <c r="BK523" t="inlineStr">
        <is>
          <t>LINE</t>
        </is>
      </c>
      <c r="BL523" t="inlineStr">
        <is>
          <t>WHALE REEFER</t>
        </is>
      </c>
      <c r="BM523" t="inlineStr">
        <is>
          <t>WHALE REEFER</t>
        </is>
      </c>
    </row>
    <row r="524">
      <c r="A524" t="n">
        <v>523</v>
      </c>
      <c r="B524" t="inlineStr">
        <is>
          <t>SEAL REEFER</t>
        </is>
      </c>
      <c r="C524" t="inlineStr">
        <is>
          <t>REF000000</t>
        </is>
      </c>
      <c r="D524" t="inlineStr">
        <is>
          <t>REF000000</t>
        </is>
      </c>
      <c r="E524" t="n">
        <v>46108</v>
      </c>
      <c r="F524" t="inlineStr">
        <is>
          <t>SEAL REEFER</t>
        </is>
      </c>
      <c r="G524" t="inlineStr">
        <is>
          <t>ENTERED THROUGH SPLIT BOOKING FROM THE BOOKING ID REF000000, BY AR_MARTIMA, ON 3/27/2026 7:34:35 PM</t>
        </is>
      </c>
      <c r="H524" t="inlineStr">
        <is>
          <t>AR_MARTIMA</t>
        </is>
      </c>
      <c r="J524" t="inlineStr">
        <is>
          <t>14-APR-2026</t>
        </is>
      </c>
      <c r="K524" t="inlineStr">
        <is>
          <t>12-APR-2026</t>
        </is>
      </c>
      <c r="L524" t="inlineStr">
        <is>
          <t>14-APR-2026</t>
        </is>
      </c>
      <c r="M524" t="inlineStr">
        <is>
          <t>REF000000</t>
        </is>
      </c>
      <c r="N524" t="inlineStr">
        <is>
          <t>USSEA</t>
        </is>
      </c>
      <c r="O524" t="inlineStr">
        <is>
          <t>USSEA</t>
        </is>
      </c>
      <c r="P524" t="inlineStr">
        <is>
          <t>USNFK</t>
        </is>
      </c>
      <c r="U524" t="inlineStr">
        <is>
          <t>RULED</t>
        </is>
      </c>
      <c r="V524" t="inlineStr">
        <is>
          <t>RULED</t>
        </is>
      </c>
      <c r="W524" t="inlineStr">
        <is>
          <t>CANADA</t>
        </is>
      </c>
      <c r="X524" t="inlineStr">
        <is>
          <t>PERSIAN GULF</t>
        </is>
      </c>
      <c r="Y524" t="inlineStr">
        <is>
          <t>RUSSIA</t>
        </is>
      </c>
      <c r="Z524" t="inlineStr">
        <is>
          <t>External Review</t>
        </is>
      </c>
      <c r="AA524" t="inlineStr">
        <is>
          <t>HUB SHIPPING LLC-LED</t>
        </is>
      </c>
      <c r="AB524" t="inlineStr">
        <is>
          <t>Prepaid</t>
        </is>
      </c>
      <c r="AC524" t="inlineStr">
        <is>
          <t>TIGER PLATA/976N</t>
        </is>
      </c>
      <c r="AE524" t="inlineStr">
        <is>
          <t>LADEN BOOKING</t>
        </is>
      </c>
      <c r="AF524" t="inlineStr">
        <is>
          <t>AR_MARTIMA</t>
        </is>
      </c>
      <c r="AG524" t="inlineStr">
        <is>
          <t>RH40</t>
        </is>
      </c>
      <c r="AH524" t="inlineStr">
        <is>
          <t>NO</t>
        </is>
      </c>
      <c r="AI524" t="n">
        <v>40</v>
      </c>
      <c r="AJ524" t="n">
        <v>0</v>
      </c>
      <c r="AK524" t="n">
        <v>1</v>
      </c>
      <c r="AM524" t="n">
        <v>-18</v>
      </c>
      <c r="AP524" t="inlineStr">
        <is>
          <t>Non Haz</t>
        </is>
      </c>
      <c r="AQ524" t="inlineStr">
        <is>
          <t>CY/CY</t>
        </is>
      </c>
      <c r="AU524" t="n">
        <v>29000</v>
      </c>
      <c r="AV524" t="inlineStr">
        <is>
          <t>FROZEN MEAT</t>
        </is>
      </c>
      <c r="AX524" t="inlineStr">
        <is>
          <t>RSAMI122500031</t>
        </is>
      </c>
      <c r="AZ524" t="n">
        <v>0</v>
      </c>
      <c r="BA524" t="n">
        <v>10</v>
      </c>
      <c r="BB524" t="n">
        <v>10</v>
      </c>
      <c r="BC524" t="n">
        <v>6800</v>
      </c>
      <c r="BD524" t="inlineStr">
        <is>
          <t>No</t>
        </is>
      </c>
      <c r="BG524" t="inlineStr">
        <is>
          <t>USSEA</t>
        </is>
      </c>
      <c r="BH524" t="n">
        <v>0</v>
      </c>
      <c r="BI524" t="n">
        <v>0</v>
      </c>
      <c r="BJ524" t="inlineStr">
        <is>
          <t xml:space="preserve"> 0</t>
        </is>
      </c>
      <c r="BK524" t="inlineStr">
        <is>
          <t>LINE</t>
        </is>
      </c>
      <c r="BL524" t="inlineStr">
        <is>
          <t>SEAL REEFER</t>
        </is>
      </c>
      <c r="BM524" t="inlineStr">
        <is>
          <t>SEAL REEFER</t>
        </is>
      </c>
    </row>
    <row r="525">
      <c r="A525" t="n">
        <v>524</v>
      </c>
      <c r="B525" t="inlineStr">
        <is>
          <t>FOX DRY</t>
        </is>
      </c>
      <c r="C525" t="inlineStr">
        <is>
          <t>REF000000</t>
        </is>
      </c>
      <c r="D525" t="inlineStr">
        <is>
          <t>REF000000</t>
        </is>
      </c>
      <c r="E525" t="n">
        <v>46111</v>
      </c>
      <c r="F525" t="inlineStr">
        <is>
          <t>FOX DRY</t>
        </is>
      </c>
      <c r="H525" t="inlineStr">
        <is>
          <t>AdminAMI</t>
        </is>
      </c>
      <c r="J525" t="inlineStr">
        <is>
          <t>14-APR-2026</t>
        </is>
      </c>
      <c r="K525" t="inlineStr">
        <is>
          <t>12-APR-2026</t>
        </is>
      </c>
      <c r="L525" t="inlineStr">
        <is>
          <t>14-APR-2026</t>
        </is>
      </c>
      <c r="M525" t="inlineStr">
        <is>
          <t>REF000000</t>
        </is>
      </c>
      <c r="N525" t="inlineStr">
        <is>
          <t>USSEA</t>
        </is>
      </c>
      <c r="O525" t="inlineStr">
        <is>
          <t>USSEA</t>
        </is>
      </c>
      <c r="P525" t="inlineStr">
        <is>
          <t>USNFK</t>
        </is>
      </c>
      <c r="U525" t="inlineStr">
        <is>
          <t>RULED</t>
        </is>
      </c>
      <c r="V525" t="inlineStr">
        <is>
          <t>RULED</t>
        </is>
      </c>
      <c r="W525" t="inlineStr">
        <is>
          <t>CANADA</t>
        </is>
      </c>
      <c r="X525" t="inlineStr">
        <is>
          <t>PERSIAN GULF</t>
        </is>
      </c>
      <c r="Y525" t="inlineStr">
        <is>
          <t>RUSSIA</t>
        </is>
      </c>
      <c r="Z525" t="inlineStr">
        <is>
          <t>External Review</t>
        </is>
      </c>
      <c r="AA525" t="inlineStr">
        <is>
          <t>HUB SHIPPING LLC-LED</t>
        </is>
      </c>
      <c r="AB525" t="inlineStr">
        <is>
          <t>Collect</t>
        </is>
      </c>
      <c r="AC525" t="inlineStr">
        <is>
          <t>TIGER PLATA/976N</t>
        </is>
      </c>
      <c r="AE525" t="inlineStr">
        <is>
          <t>LADEN BOOKING</t>
        </is>
      </c>
      <c r="AF525" t="inlineStr">
        <is>
          <t>RenniAMI</t>
        </is>
      </c>
      <c r="AG525" t="inlineStr">
        <is>
          <t>DC20</t>
        </is>
      </c>
      <c r="AH525" t="inlineStr">
        <is>
          <t>NO</t>
        </is>
      </c>
      <c r="AI525" t="n">
        <v>20</v>
      </c>
      <c r="AJ525" t="n">
        <v>2</v>
      </c>
      <c r="AK525" t="n">
        <v>0</v>
      </c>
      <c r="AL525" t="inlineStr">
        <is>
          <t>ANON0000000,
ANON0000000</t>
        </is>
      </c>
      <c r="AP525" t="inlineStr">
        <is>
          <t>Non Haz</t>
        </is>
      </c>
      <c r="AQ525" t="inlineStr">
        <is>
          <t>CY/CY</t>
        </is>
      </c>
      <c r="AT525" t="inlineStr">
        <is>
          <t>REF000000</t>
        </is>
      </c>
      <c r="AU525" t="n">
        <v>23000</v>
      </c>
      <c r="AV525" t="inlineStr">
        <is>
          <t>GENERAL COMMODITY</t>
        </is>
      </c>
      <c r="AX525" t="inlineStr">
        <is>
          <t>RSAMI032600008</t>
        </is>
      </c>
      <c r="AZ525" t="n">
        <v>0</v>
      </c>
      <c r="BA525" t="n">
        <v>10</v>
      </c>
      <c r="BB525" t="n">
        <v>14</v>
      </c>
      <c r="BC525" t="n">
        <v>3550</v>
      </c>
      <c r="BD525" t="inlineStr">
        <is>
          <t>Yes</t>
        </is>
      </c>
      <c r="BF525" t="inlineStr">
        <is>
          <t>Bengal Tiger Line -BTL</t>
        </is>
      </c>
      <c r="BG525" t="inlineStr">
        <is>
          <t>RULED</t>
        </is>
      </c>
      <c r="BH525" t="n">
        <v>2</v>
      </c>
      <c r="BI525" t="n">
        <v>0</v>
      </c>
      <c r="BJ525" t="n">
        <v>7100</v>
      </c>
      <c r="BK525" t="inlineStr">
        <is>
          <t>LINE</t>
        </is>
      </c>
      <c r="BL525" t="inlineStr">
        <is>
          <t>FOX DRY</t>
        </is>
      </c>
      <c r="BM525" t="inlineStr">
        <is>
          <t>FOX DRY</t>
        </is>
      </c>
    </row>
    <row r="526">
      <c r="A526" t="n">
        <v>525</v>
      </c>
      <c r="B526" t="inlineStr">
        <is>
          <t>BISON DRY</t>
        </is>
      </c>
      <c r="C526" t="inlineStr">
        <is>
          <t>REF000000</t>
        </is>
      </c>
      <c r="D526" t="inlineStr">
        <is>
          <t>REF000000</t>
        </is>
      </c>
      <c r="E526" t="n">
        <v>46111</v>
      </c>
      <c r="F526" t="inlineStr">
        <is>
          <t>BISON DRY</t>
        </is>
      </c>
      <c r="H526" t="inlineStr">
        <is>
          <t>AdminAMI</t>
        </is>
      </c>
      <c r="J526" t="inlineStr">
        <is>
          <t>20-APR-2026</t>
        </is>
      </c>
      <c r="K526" t="inlineStr">
        <is>
          <t>20-APR-2026</t>
        </is>
      </c>
      <c r="M526" t="inlineStr">
        <is>
          <t>REF000000</t>
        </is>
      </c>
      <c r="N526" t="inlineStr">
        <is>
          <t>USSEA</t>
        </is>
      </c>
      <c r="O526" t="inlineStr">
        <is>
          <t>USSEA</t>
        </is>
      </c>
      <c r="P526" t="inlineStr">
        <is>
          <t>USNFK</t>
        </is>
      </c>
      <c r="U526" t="inlineStr">
        <is>
          <t>RULED</t>
        </is>
      </c>
      <c r="V526" t="inlineStr">
        <is>
          <t>RULED</t>
        </is>
      </c>
      <c r="W526" t="inlineStr">
        <is>
          <t>CANADA</t>
        </is>
      </c>
      <c r="X526" t="inlineStr">
        <is>
          <t>PERSIAN GULF</t>
        </is>
      </c>
      <c r="Y526" t="inlineStr">
        <is>
          <t>RUSSIA</t>
        </is>
      </c>
      <c r="Z526" t="inlineStr">
        <is>
          <t>External Review</t>
        </is>
      </c>
      <c r="AA526" t="inlineStr">
        <is>
          <t>HUB SHIPPING LLC-LED</t>
        </is>
      </c>
      <c r="AB526" t="inlineStr">
        <is>
          <t>Collect</t>
        </is>
      </c>
      <c r="AC526" t="inlineStr">
        <is>
          <t>TIGER PLATA/977N</t>
        </is>
      </c>
      <c r="AE526" t="inlineStr">
        <is>
          <t>LADEN BOOKING</t>
        </is>
      </c>
      <c r="AF526" t="inlineStr">
        <is>
          <t>RenniAMI</t>
        </is>
      </c>
      <c r="AG526" t="inlineStr">
        <is>
          <t>DC20</t>
        </is>
      </c>
      <c r="AH526" t="inlineStr">
        <is>
          <t>NO</t>
        </is>
      </c>
      <c r="AI526" t="n">
        <v>20</v>
      </c>
      <c r="AJ526" t="n">
        <v>2</v>
      </c>
      <c r="AK526" t="n">
        <v>0</v>
      </c>
      <c r="AL526" t="inlineStr">
        <is>
          <t>ANON0000000,
ANON0000000</t>
        </is>
      </c>
      <c r="AP526" t="inlineStr">
        <is>
          <t>Non Haz</t>
        </is>
      </c>
      <c r="AQ526" t="inlineStr">
        <is>
          <t>CY/CY</t>
        </is>
      </c>
      <c r="AT526" t="inlineStr">
        <is>
          <t>REF000000</t>
        </is>
      </c>
      <c r="AU526" t="n">
        <v>23000</v>
      </c>
      <c r="AV526" t="inlineStr">
        <is>
          <t>GENERAL COMMODITY</t>
        </is>
      </c>
      <c r="AW526" t="inlineStr">
        <is>
          <t>N.C.M.: 3812.20</t>
        </is>
      </c>
      <c r="AX526" t="inlineStr">
        <is>
          <t>RSAMI032600009</t>
        </is>
      </c>
      <c r="AZ526" t="n">
        <v>0</v>
      </c>
      <c r="BA526" t="n">
        <v>10</v>
      </c>
      <c r="BB526" t="n">
        <v>14</v>
      </c>
      <c r="BC526" t="n">
        <v>3550</v>
      </c>
      <c r="BD526" t="inlineStr">
        <is>
          <t>Yes</t>
        </is>
      </c>
      <c r="BG526" t="inlineStr">
        <is>
          <t>RULED</t>
        </is>
      </c>
      <c r="BH526" t="n">
        <v>2</v>
      </c>
      <c r="BI526" t="n">
        <v>0</v>
      </c>
      <c r="BJ526" t="n">
        <v>7100</v>
      </c>
      <c r="BK526" t="inlineStr">
        <is>
          <t>LINE</t>
        </is>
      </c>
      <c r="BL526" t="inlineStr">
        <is>
          <t>BISON DRY</t>
        </is>
      </c>
      <c r="BM526" t="inlineStr">
        <is>
          <t>BISON DRY</t>
        </is>
      </c>
    </row>
    <row r="527">
      <c r="A527" t="n">
        <v>526</v>
      </c>
      <c r="B527" t="inlineStr">
        <is>
          <t>EAGLE DRY</t>
        </is>
      </c>
      <c r="C527" t="inlineStr">
        <is>
          <t>REF000000</t>
        </is>
      </c>
      <c r="D527" t="inlineStr">
        <is>
          <t>REF000000</t>
        </is>
      </c>
      <c r="E527" t="n">
        <v>46111</v>
      </c>
      <c r="F527" t="inlineStr">
        <is>
          <t>EAGLE DRY</t>
        </is>
      </c>
      <c r="H527" t="inlineStr">
        <is>
          <t>AdminAMI</t>
        </is>
      </c>
      <c r="J527" t="inlineStr">
        <is>
          <t>24-APR-2026</t>
        </is>
      </c>
      <c r="K527" t="inlineStr">
        <is>
          <t>24-APR-2026</t>
        </is>
      </c>
      <c r="M527" t="inlineStr">
        <is>
          <t>REF000000</t>
        </is>
      </c>
      <c r="N527" t="inlineStr">
        <is>
          <t>USSEA</t>
        </is>
      </c>
      <c r="O527" t="inlineStr">
        <is>
          <t>USSEA</t>
        </is>
      </c>
      <c r="P527" t="inlineStr">
        <is>
          <t>USHOU</t>
        </is>
      </c>
      <c r="U527" t="inlineStr">
        <is>
          <t>RULED</t>
        </is>
      </c>
      <c r="V527" t="inlineStr">
        <is>
          <t>RULED</t>
        </is>
      </c>
      <c r="W527" t="inlineStr">
        <is>
          <t>CANADA</t>
        </is>
      </c>
      <c r="X527" t="inlineStr">
        <is>
          <t>PERSIAN GULF</t>
        </is>
      </c>
      <c r="Y527" t="inlineStr">
        <is>
          <t>RUSSIA</t>
        </is>
      </c>
      <c r="Z527" t="inlineStr">
        <is>
          <t>External Review</t>
        </is>
      </c>
      <c r="AA527" t="inlineStr">
        <is>
          <t>HUB SHIPPING LLC-LED</t>
        </is>
      </c>
      <c r="AB527" t="inlineStr">
        <is>
          <t>Collect</t>
        </is>
      </c>
      <c r="AC527" t="inlineStr">
        <is>
          <t>MERCOSUL ITAJAI/0YO2PN1RCN</t>
        </is>
      </c>
      <c r="AE527" t="inlineStr">
        <is>
          <t>LADEN BOOKING</t>
        </is>
      </c>
      <c r="AF527" t="inlineStr">
        <is>
          <t>RenniAMI</t>
        </is>
      </c>
      <c r="AG527" t="inlineStr">
        <is>
          <t>DC20</t>
        </is>
      </c>
      <c r="AH527" t="inlineStr">
        <is>
          <t>NO</t>
        </is>
      </c>
      <c r="AI527" t="n">
        <v>20</v>
      </c>
      <c r="AJ527" t="n">
        <v>2</v>
      </c>
      <c r="AK527" t="n">
        <v>0</v>
      </c>
      <c r="AP527" t="inlineStr">
        <is>
          <t>Non Haz</t>
        </is>
      </c>
      <c r="AQ527" t="inlineStr">
        <is>
          <t>CY/CY</t>
        </is>
      </c>
      <c r="AU527" t="n">
        <v>23000</v>
      </c>
      <c r="AV527" t="inlineStr">
        <is>
          <t>GENERAL COMMODITY</t>
        </is>
      </c>
      <c r="AX527" t="inlineStr">
        <is>
          <t>RSAMI032600009</t>
        </is>
      </c>
      <c r="AZ527" t="n">
        <v>0</v>
      </c>
      <c r="BA527" t="n">
        <v>10</v>
      </c>
      <c r="BB527" t="n">
        <v>14</v>
      </c>
      <c r="BC527" t="n">
        <v>3550</v>
      </c>
      <c r="BD527" t="inlineStr">
        <is>
          <t>Yes</t>
        </is>
      </c>
      <c r="BG527" t="inlineStr">
        <is>
          <t>RULED</t>
        </is>
      </c>
      <c r="BH527" t="n">
        <v>0</v>
      </c>
      <c r="BI527" t="n">
        <v>0</v>
      </c>
      <c r="BJ527" t="inlineStr">
        <is>
          <t xml:space="preserve"> 0</t>
        </is>
      </c>
      <c r="BK527" t="inlineStr">
        <is>
          <t>LINE</t>
        </is>
      </c>
      <c r="BL527" t="inlineStr">
        <is>
          <t>EAGLE DRY</t>
        </is>
      </c>
      <c r="BM527" t="inlineStr">
        <is>
          <t>EAGLE DRY</t>
        </is>
      </c>
    </row>
    <row r="528">
      <c r="A528" t="n">
        <v>527</v>
      </c>
      <c r="B528" t="inlineStr">
        <is>
          <t>TURTLE REEFER</t>
        </is>
      </c>
      <c r="C528" t="inlineStr">
        <is>
          <t>REF000000</t>
        </is>
      </c>
      <c r="D528" t="inlineStr">
        <is>
          <t>REF000000</t>
        </is>
      </c>
      <c r="E528" t="n">
        <v>46111</v>
      </c>
      <c r="F528" t="inlineStr">
        <is>
          <t>TURTLE REEFER</t>
        </is>
      </c>
      <c r="G528" t="inlineStr">
        <is>
          <t>1X40RH TEMP -18</t>
        </is>
      </c>
      <c r="H528" t="inlineStr">
        <is>
          <t>AR_MARTIMA</t>
        </is>
      </c>
      <c r="J528" t="inlineStr">
        <is>
          <t>14-APR-2026</t>
        </is>
      </c>
      <c r="K528" t="inlineStr">
        <is>
          <t>12-APR-2026</t>
        </is>
      </c>
      <c r="L528" t="inlineStr">
        <is>
          <t>14-APR-2026</t>
        </is>
      </c>
      <c r="M528" t="inlineStr">
        <is>
          <t>REF000000</t>
        </is>
      </c>
      <c r="N528" t="inlineStr">
        <is>
          <t>USSEA</t>
        </is>
      </c>
      <c r="O528" t="inlineStr">
        <is>
          <t>USSEA</t>
        </is>
      </c>
      <c r="P528" t="inlineStr">
        <is>
          <t>USNFK</t>
        </is>
      </c>
      <c r="U528" t="inlineStr">
        <is>
          <t>RULED</t>
        </is>
      </c>
      <c r="V528" t="inlineStr">
        <is>
          <t>RULED</t>
        </is>
      </c>
      <c r="W528" t="inlineStr">
        <is>
          <t>CANADA</t>
        </is>
      </c>
      <c r="X528" t="inlineStr">
        <is>
          <t>PERSIAN GULF</t>
        </is>
      </c>
      <c r="Y528" t="inlineStr">
        <is>
          <t>RUSSIA</t>
        </is>
      </c>
      <c r="Z528" t="inlineStr">
        <is>
          <t>External Review</t>
        </is>
      </c>
      <c r="AA528" t="inlineStr">
        <is>
          <t>HUB SHIPPING LLC-LED</t>
        </is>
      </c>
      <c r="AB528" t="inlineStr">
        <is>
          <t>Prepaid</t>
        </is>
      </c>
      <c r="AC528" t="inlineStr">
        <is>
          <t>TIGER PLATA/976N</t>
        </is>
      </c>
      <c r="AE528" t="inlineStr">
        <is>
          <t>LADEN BOOKING</t>
        </is>
      </c>
      <c r="AF528" t="inlineStr">
        <is>
          <t>AR_MARTIMA</t>
        </is>
      </c>
      <c r="AG528" t="inlineStr">
        <is>
          <t>RH40</t>
        </is>
      </c>
      <c r="AH528" t="inlineStr">
        <is>
          <t>NO</t>
        </is>
      </c>
      <c r="AI528" t="n">
        <v>40</v>
      </c>
      <c r="AJ528" t="n">
        <v>0</v>
      </c>
      <c r="AK528" t="n">
        <v>1</v>
      </c>
      <c r="AL528" t="inlineStr">
        <is>
          <t>ANON0000000</t>
        </is>
      </c>
      <c r="AM528" t="n">
        <v>-18</v>
      </c>
      <c r="AP528" t="inlineStr">
        <is>
          <t>Non Haz</t>
        </is>
      </c>
      <c r="AQ528" t="inlineStr">
        <is>
          <t>CY/CY</t>
        </is>
      </c>
      <c r="AT528" t="inlineStr">
        <is>
          <t>REF000000</t>
        </is>
      </c>
      <c r="AU528" t="n">
        <v>29000</v>
      </c>
      <c r="AV528" t="inlineStr">
        <is>
          <t>FROZEN FISH</t>
        </is>
      </c>
      <c r="AW528" t="inlineStr">
        <is>
          <t>0303.66</t>
        </is>
      </c>
      <c r="AX528" t="inlineStr">
        <is>
          <t>RSAMI022600004</t>
        </is>
      </c>
      <c r="AZ528" t="n">
        <v>0</v>
      </c>
      <c r="BA528" t="n">
        <v>10</v>
      </c>
      <c r="BB528" t="n">
        <v>10</v>
      </c>
      <c r="BC528" t="n">
        <v>7600</v>
      </c>
      <c r="BD528" t="inlineStr">
        <is>
          <t>No</t>
        </is>
      </c>
      <c r="BF528" t="inlineStr">
        <is>
          <t>Bengal Tiger Line -BTL</t>
        </is>
      </c>
      <c r="BG528" t="inlineStr">
        <is>
          <t>USSEA</t>
        </is>
      </c>
      <c r="BH528" t="n">
        <v>0</v>
      </c>
      <c r="BI528" t="n">
        <v>1</v>
      </c>
      <c r="BJ528" t="n">
        <v>7600</v>
      </c>
      <c r="BK528" t="inlineStr">
        <is>
          <t>LINE</t>
        </is>
      </c>
      <c r="BL528" t="inlineStr">
        <is>
          <t>TURTLE REEFER</t>
        </is>
      </c>
      <c r="BM528" t="inlineStr">
        <is>
          <t>TURTLE REEFER</t>
        </is>
      </c>
    </row>
    <row r="529">
      <c r="A529" t="n">
        <v>528</v>
      </c>
      <c r="B529" t="inlineStr">
        <is>
          <t>FALCON DRY</t>
        </is>
      </c>
      <c r="C529" t="inlineStr">
        <is>
          <t>REF000000</t>
        </is>
      </c>
      <c r="D529" t="inlineStr">
        <is>
          <t>REF000000</t>
        </is>
      </c>
      <c r="E529" t="n">
        <v>46112</v>
      </c>
      <c r="F529" t="inlineStr">
        <is>
          <t>FALCON DRY</t>
        </is>
      </c>
      <c r="H529" t="inlineStr">
        <is>
          <t>AdminAMI</t>
        </is>
      </c>
      <c r="J529" t="inlineStr">
        <is>
          <t>24-APR-2026</t>
        </is>
      </c>
      <c r="K529" t="inlineStr">
        <is>
          <t>24-APR-2026</t>
        </is>
      </c>
      <c r="M529" t="inlineStr">
        <is>
          <t>REF000000</t>
        </is>
      </c>
      <c r="N529" t="inlineStr">
        <is>
          <t>USSEA</t>
        </is>
      </c>
      <c r="O529" t="inlineStr">
        <is>
          <t>USSEA</t>
        </is>
      </c>
      <c r="P529" t="inlineStr">
        <is>
          <t>USHOU</t>
        </is>
      </c>
      <c r="U529" t="inlineStr">
        <is>
          <t>RULED</t>
        </is>
      </c>
      <c r="V529" t="inlineStr">
        <is>
          <t>RULED</t>
        </is>
      </c>
      <c r="W529" t="inlineStr">
        <is>
          <t>CANADA</t>
        </is>
      </c>
      <c r="X529" t="inlineStr">
        <is>
          <t>PERSIAN GULF</t>
        </is>
      </c>
      <c r="Y529" t="inlineStr">
        <is>
          <t>RUSSIA</t>
        </is>
      </c>
      <c r="Z529" t="inlineStr">
        <is>
          <t>External Review</t>
        </is>
      </c>
      <c r="AA529" t="inlineStr">
        <is>
          <t>HUB SHIPPING LLC-LED</t>
        </is>
      </c>
      <c r="AB529" t="inlineStr">
        <is>
          <t>Collect</t>
        </is>
      </c>
      <c r="AC529" t="inlineStr">
        <is>
          <t>MERCOSUL ITAJAI/0YO2PN1RCN</t>
        </is>
      </c>
      <c r="AE529" t="inlineStr">
        <is>
          <t>LADEN BOOKING</t>
        </is>
      </c>
      <c r="AF529" t="inlineStr">
        <is>
          <t>RenniAMI</t>
        </is>
      </c>
      <c r="AG529" t="inlineStr">
        <is>
          <t>DC20</t>
        </is>
      </c>
      <c r="AH529" t="inlineStr">
        <is>
          <t>NO</t>
        </is>
      </c>
      <c r="AI529" t="n">
        <v>20</v>
      </c>
      <c r="AJ529" t="n">
        <v>2</v>
      </c>
      <c r="AK529" t="n">
        <v>0</v>
      </c>
      <c r="AP529" t="inlineStr">
        <is>
          <t>Non Haz</t>
        </is>
      </c>
      <c r="AQ529" t="inlineStr">
        <is>
          <t>CY/CY</t>
        </is>
      </c>
      <c r="AU529" t="n">
        <v>23000</v>
      </c>
      <c r="AV529" t="inlineStr">
        <is>
          <t>GENERAL COMMODITY</t>
        </is>
      </c>
      <c r="AX529" t="inlineStr">
        <is>
          <t>RSAMI032600009</t>
        </is>
      </c>
      <c r="AZ529" t="n">
        <v>0</v>
      </c>
      <c r="BA529" t="n">
        <v>10</v>
      </c>
      <c r="BB529" t="n">
        <v>14</v>
      </c>
      <c r="BC529" t="n">
        <v>3550</v>
      </c>
      <c r="BD529" t="inlineStr">
        <is>
          <t>Yes</t>
        </is>
      </c>
      <c r="BG529" t="inlineStr">
        <is>
          <t>RULED</t>
        </is>
      </c>
      <c r="BH529" t="n">
        <v>0</v>
      </c>
      <c r="BI529" t="n">
        <v>0</v>
      </c>
      <c r="BJ529" t="inlineStr">
        <is>
          <t xml:space="preserve"> 0</t>
        </is>
      </c>
      <c r="BK529" t="inlineStr">
        <is>
          <t>LINE</t>
        </is>
      </c>
      <c r="BL529" t="inlineStr">
        <is>
          <t>FALCON DRY</t>
        </is>
      </c>
      <c r="BM529" t="inlineStr">
        <is>
          <t>FALCON DRY</t>
        </is>
      </c>
    </row>
    <row r="530">
      <c r="A530" t="n">
        <v>529</v>
      </c>
      <c r="B530" t="inlineStr">
        <is>
          <t>WHALE REEFER</t>
        </is>
      </c>
      <c r="C530" t="inlineStr">
        <is>
          <t>REF000000</t>
        </is>
      </c>
      <c r="D530" t="inlineStr">
        <is>
          <t>REF000000</t>
        </is>
      </c>
      <c r="E530" t="inlineStr">
        <is>
          <t>01-APR-2026</t>
        </is>
      </c>
      <c r="F530" t="inlineStr">
        <is>
          <t>WHALE REEFER</t>
        </is>
      </c>
      <c r="G530" t="inlineStr">
        <is>
          <t>1x40RH TEMP -18</t>
        </is>
      </c>
      <c r="H530" t="inlineStr">
        <is>
          <t>AR_MARTIMA</t>
        </is>
      </c>
      <c r="J530" t="inlineStr">
        <is>
          <t>14-APR-2026</t>
        </is>
      </c>
      <c r="K530" t="inlineStr">
        <is>
          <t>12-APR-2026</t>
        </is>
      </c>
      <c r="L530" t="inlineStr">
        <is>
          <t>14-APR-2026</t>
        </is>
      </c>
      <c r="M530" t="inlineStr">
        <is>
          <t>REF000000</t>
        </is>
      </c>
      <c r="N530" t="inlineStr">
        <is>
          <t>USSEA</t>
        </is>
      </c>
      <c r="O530" t="inlineStr">
        <is>
          <t>USSEA</t>
        </is>
      </c>
      <c r="P530" t="inlineStr">
        <is>
          <t>USNFK</t>
        </is>
      </c>
      <c r="U530" t="inlineStr">
        <is>
          <t>RULED</t>
        </is>
      </c>
      <c r="V530" t="inlineStr">
        <is>
          <t>RULED</t>
        </is>
      </c>
      <c r="W530" t="inlineStr">
        <is>
          <t>CANADA</t>
        </is>
      </c>
      <c r="X530" t="inlineStr">
        <is>
          <t>PERSIAN GULF</t>
        </is>
      </c>
      <c r="Y530" t="inlineStr">
        <is>
          <t>RUSSIA</t>
        </is>
      </c>
      <c r="Z530" t="inlineStr">
        <is>
          <t>External Review</t>
        </is>
      </c>
      <c r="AA530" t="inlineStr">
        <is>
          <t>HUB SHIPPING LLC-LED</t>
        </is>
      </c>
      <c r="AB530" t="inlineStr">
        <is>
          <t>Prepaid</t>
        </is>
      </c>
      <c r="AC530" t="inlineStr">
        <is>
          <t>TIGER PLATA/976N</t>
        </is>
      </c>
      <c r="AE530" t="inlineStr">
        <is>
          <t>LADEN BOOKING</t>
        </is>
      </c>
      <c r="AF530" t="inlineStr">
        <is>
          <t>AR_MARTIMA</t>
        </is>
      </c>
      <c r="AG530" t="inlineStr">
        <is>
          <t>RH40</t>
        </is>
      </c>
      <c r="AH530" t="inlineStr">
        <is>
          <t>NO</t>
        </is>
      </c>
      <c r="AI530" t="n">
        <v>40</v>
      </c>
      <c r="AJ530" t="n">
        <v>0</v>
      </c>
      <c r="AK530" t="n">
        <v>1</v>
      </c>
      <c r="AL530" t="inlineStr">
        <is>
          <t>ANON0000000</t>
        </is>
      </c>
      <c r="AM530" t="n">
        <v>-18</v>
      </c>
      <c r="AP530" t="inlineStr">
        <is>
          <t>Non Haz</t>
        </is>
      </c>
      <c r="AQ530" t="inlineStr">
        <is>
          <t>CY/CY</t>
        </is>
      </c>
      <c r="AT530" t="inlineStr">
        <is>
          <t>REF000000</t>
        </is>
      </c>
      <c r="AU530" t="n">
        <v>29000</v>
      </c>
      <c r="AV530" t="inlineStr">
        <is>
          <t>FROZEN MEAT</t>
        </is>
      </c>
      <c r="AW530" t="inlineStr">
        <is>
          <t>NCM 020622</t>
        </is>
      </c>
      <c r="AX530" t="inlineStr">
        <is>
          <t>RSAMI122500031</t>
        </is>
      </c>
      <c r="AZ530" t="n">
        <v>0</v>
      </c>
      <c r="BA530" t="n">
        <v>10</v>
      </c>
      <c r="BB530" t="n">
        <v>10</v>
      </c>
      <c r="BC530" t="n">
        <v>6800</v>
      </c>
      <c r="BD530" t="inlineStr">
        <is>
          <t>No</t>
        </is>
      </c>
      <c r="BF530" t="inlineStr">
        <is>
          <t>Bengal Tiger Line -BTL</t>
        </is>
      </c>
      <c r="BG530" t="inlineStr">
        <is>
          <t>USSEA</t>
        </is>
      </c>
      <c r="BH530" t="n">
        <v>0</v>
      </c>
      <c r="BI530" t="n">
        <v>1</v>
      </c>
      <c r="BJ530" t="n">
        <v>6800</v>
      </c>
      <c r="BK530" t="inlineStr">
        <is>
          <t>LINE</t>
        </is>
      </c>
      <c r="BL530" t="inlineStr">
        <is>
          <t>WHALE REEFER</t>
        </is>
      </c>
      <c r="BM530" t="inlineStr">
        <is>
          <t>WHALE REEFER</t>
        </is>
      </c>
    </row>
    <row r="531">
      <c r="A531" t="n">
        <v>530</v>
      </c>
      <c r="B531" t="inlineStr">
        <is>
          <t>SEAL REEFER</t>
        </is>
      </c>
      <c r="C531" t="inlineStr">
        <is>
          <t>REF000000</t>
        </is>
      </c>
      <c r="D531" t="inlineStr">
        <is>
          <t>REF000000</t>
        </is>
      </c>
      <c r="E531" t="inlineStr">
        <is>
          <t>01-APR-2026</t>
        </is>
      </c>
      <c r="F531" t="inlineStr">
        <is>
          <t>SEAL REEFER</t>
        </is>
      </c>
      <c r="G531" t="inlineStr">
        <is>
          <t>ENTERED THROUGH SPLIT BOOKING FROM THE BOOKING ID REF000000, BY AR_MARTIMA, ON 4/1/2026 8:53:21 PM</t>
        </is>
      </c>
      <c r="H531" t="inlineStr">
        <is>
          <t>AR_MARTIMA</t>
        </is>
      </c>
      <c r="J531" t="inlineStr">
        <is>
          <t>14-APR-2026</t>
        </is>
      </c>
      <c r="K531" t="inlineStr">
        <is>
          <t>12-APR-2026</t>
        </is>
      </c>
      <c r="L531" t="inlineStr">
        <is>
          <t>14-APR-2026</t>
        </is>
      </c>
      <c r="M531" t="inlineStr">
        <is>
          <t>REF000000</t>
        </is>
      </c>
      <c r="N531" t="inlineStr">
        <is>
          <t>USSEA</t>
        </is>
      </c>
      <c r="O531" t="inlineStr">
        <is>
          <t>USSEA</t>
        </is>
      </c>
      <c r="P531" t="inlineStr">
        <is>
          <t>USNFK</t>
        </is>
      </c>
      <c r="U531" t="inlineStr">
        <is>
          <t>RULED</t>
        </is>
      </c>
      <c r="V531" t="inlineStr">
        <is>
          <t>RULED</t>
        </is>
      </c>
      <c r="W531" t="inlineStr">
        <is>
          <t>CANADA</t>
        </is>
      </c>
      <c r="X531" t="inlineStr">
        <is>
          <t>PERSIAN GULF</t>
        </is>
      </c>
      <c r="Y531" t="inlineStr">
        <is>
          <t>RUSSIA</t>
        </is>
      </c>
      <c r="Z531" t="inlineStr">
        <is>
          <t>External Review</t>
        </is>
      </c>
      <c r="AA531" t="inlineStr">
        <is>
          <t>HUB SHIPPING LLC-LED</t>
        </is>
      </c>
      <c r="AB531" t="inlineStr">
        <is>
          <t>Prepaid</t>
        </is>
      </c>
      <c r="AC531" t="inlineStr">
        <is>
          <t>TIGER PLATA/976N</t>
        </is>
      </c>
      <c r="AE531" t="inlineStr">
        <is>
          <t>LADEN BOOKING</t>
        </is>
      </c>
      <c r="AF531" t="inlineStr">
        <is>
          <t>AR_MARTIMA</t>
        </is>
      </c>
      <c r="AG531" t="inlineStr">
        <is>
          <t>RH40</t>
        </is>
      </c>
      <c r="AI531" t="n">
        <v>40</v>
      </c>
      <c r="AJ531" t="n">
        <v>0</v>
      </c>
      <c r="AK531" t="n">
        <v>1</v>
      </c>
      <c r="AL531" t="inlineStr">
        <is>
          <t>ANON0000000</t>
        </is>
      </c>
      <c r="AM531" t="n">
        <v>-18</v>
      </c>
      <c r="AP531" t="inlineStr">
        <is>
          <t>Non Haz</t>
        </is>
      </c>
      <c r="AQ531" t="inlineStr">
        <is>
          <t>CY/CY</t>
        </is>
      </c>
      <c r="AT531" t="inlineStr">
        <is>
          <t>REF000000</t>
        </is>
      </c>
      <c r="AU531" t="n">
        <v>29000</v>
      </c>
      <c r="AV531" t="inlineStr">
        <is>
          <t>FROZEN MEAT</t>
        </is>
      </c>
      <c r="AW531" t="inlineStr">
        <is>
          <t>NCM 020622</t>
        </is>
      </c>
      <c r="AX531" t="inlineStr">
        <is>
          <t>RSAMI122500031</t>
        </is>
      </c>
      <c r="AZ531" t="n">
        <v>0</v>
      </c>
      <c r="BA531" t="n">
        <v>10</v>
      </c>
      <c r="BB531" t="n">
        <v>10</v>
      </c>
      <c r="BC531" t="n">
        <v>6800</v>
      </c>
      <c r="BD531" t="inlineStr">
        <is>
          <t>No</t>
        </is>
      </c>
      <c r="BF531" t="inlineStr">
        <is>
          <t>Bengal Tiger Line -BTL</t>
        </is>
      </c>
      <c r="BG531" t="inlineStr">
        <is>
          <t>USSEA</t>
        </is>
      </c>
      <c r="BH531" t="n">
        <v>0</v>
      </c>
      <c r="BI531" t="n">
        <v>1</v>
      </c>
      <c r="BJ531" t="n">
        <v>6800</v>
      </c>
      <c r="BK531" t="inlineStr">
        <is>
          <t>LINE</t>
        </is>
      </c>
      <c r="BL531" t="inlineStr">
        <is>
          <t>SEAL REEFER</t>
        </is>
      </c>
      <c r="BM531" t="inlineStr">
        <is>
          <t>SEAL REEFER</t>
        </is>
      </c>
    </row>
    <row r="532">
      <c r="A532" t="n">
        <v>531</v>
      </c>
      <c r="B532" t="inlineStr">
        <is>
          <t>SHARK REEFER</t>
        </is>
      </c>
      <c r="C532" t="inlineStr">
        <is>
          <t>REF000000</t>
        </is>
      </c>
      <c r="D532" t="inlineStr">
        <is>
          <t>REF000000</t>
        </is>
      </c>
      <c r="E532" t="inlineStr">
        <is>
          <t>01-APR-2026</t>
        </is>
      </c>
      <c r="F532" t="inlineStr">
        <is>
          <t>SHARK REEFER</t>
        </is>
      </c>
      <c r="G532" t="inlineStr">
        <is>
          <t>ENTERED THROUGH SPLIT BOOKING FROM THE BOOKING ID REF000000, BY AR_MARTIMA, ON 4/1/2026 8:53:21 PM</t>
        </is>
      </c>
      <c r="H532" t="inlineStr">
        <is>
          <t>AR_MARTIMA</t>
        </is>
      </c>
      <c r="J532" t="inlineStr">
        <is>
          <t>14-APR-2026</t>
        </is>
      </c>
      <c r="K532" t="inlineStr">
        <is>
          <t>12-APR-2026</t>
        </is>
      </c>
      <c r="L532" t="inlineStr">
        <is>
          <t>14-APR-2026</t>
        </is>
      </c>
      <c r="M532" t="inlineStr">
        <is>
          <t>REF000000</t>
        </is>
      </c>
      <c r="N532" t="inlineStr">
        <is>
          <t>USSEA</t>
        </is>
      </c>
      <c r="O532" t="inlineStr">
        <is>
          <t>USSEA</t>
        </is>
      </c>
      <c r="P532" t="inlineStr">
        <is>
          <t>USNFK</t>
        </is>
      </c>
      <c r="U532" t="inlineStr">
        <is>
          <t>RULED</t>
        </is>
      </c>
      <c r="V532" t="inlineStr">
        <is>
          <t>RULED</t>
        </is>
      </c>
      <c r="W532" t="inlineStr">
        <is>
          <t>CANADA</t>
        </is>
      </c>
      <c r="X532" t="inlineStr">
        <is>
          <t>PERSIAN GULF</t>
        </is>
      </c>
      <c r="Y532" t="inlineStr">
        <is>
          <t>RUSSIA</t>
        </is>
      </c>
      <c r="Z532" t="inlineStr">
        <is>
          <t>External Review</t>
        </is>
      </c>
      <c r="AA532" t="inlineStr">
        <is>
          <t>HUB SHIPPING LLC-LED</t>
        </is>
      </c>
      <c r="AB532" t="inlineStr">
        <is>
          <t>Prepaid</t>
        </is>
      </c>
      <c r="AC532" t="inlineStr">
        <is>
          <t>TIGER PLATA/976N</t>
        </is>
      </c>
      <c r="AE532" t="inlineStr">
        <is>
          <t>LADEN BOOKING</t>
        </is>
      </c>
      <c r="AF532" t="inlineStr">
        <is>
          <t>AR_MARTIMA</t>
        </is>
      </c>
      <c r="AG532" t="inlineStr">
        <is>
          <t>RH40</t>
        </is>
      </c>
      <c r="AI532" t="n">
        <v>40</v>
      </c>
      <c r="AJ532" t="n">
        <v>0</v>
      </c>
      <c r="AK532" t="n">
        <v>1</v>
      </c>
      <c r="AL532" t="inlineStr">
        <is>
          <t>ANON0000000</t>
        </is>
      </c>
      <c r="AM532" t="n">
        <v>-18</v>
      </c>
      <c r="AP532" t="inlineStr">
        <is>
          <t>Non Haz</t>
        </is>
      </c>
      <c r="AQ532" t="inlineStr">
        <is>
          <t>CY/CY</t>
        </is>
      </c>
      <c r="AT532" t="inlineStr">
        <is>
          <t>REF000000</t>
        </is>
      </c>
      <c r="AU532" t="n">
        <v>29000</v>
      </c>
      <c r="AV532" t="inlineStr">
        <is>
          <t>FROZEN MEAT</t>
        </is>
      </c>
      <c r="AW532" t="inlineStr">
        <is>
          <t>NCM 020622</t>
        </is>
      </c>
      <c r="AX532" t="inlineStr">
        <is>
          <t>RSAMI122500031</t>
        </is>
      </c>
      <c r="AZ532" t="n">
        <v>0</v>
      </c>
      <c r="BA532" t="n">
        <v>10</v>
      </c>
      <c r="BB532" t="n">
        <v>10</v>
      </c>
      <c r="BC532" t="n">
        <v>6800</v>
      </c>
      <c r="BD532" t="inlineStr">
        <is>
          <t>No</t>
        </is>
      </c>
      <c r="BF532" t="inlineStr">
        <is>
          <t>Bengal Tiger Line -BTL</t>
        </is>
      </c>
      <c r="BG532" t="inlineStr">
        <is>
          <t>USSEA</t>
        </is>
      </c>
      <c r="BH532" t="n">
        <v>0</v>
      </c>
      <c r="BI532" t="n">
        <v>1</v>
      </c>
      <c r="BJ532" t="n">
        <v>6800</v>
      </c>
      <c r="BK532" t="inlineStr">
        <is>
          <t>LINE</t>
        </is>
      </c>
      <c r="BL532" t="inlineStr">
        <is>
          <t>SHARK REEFER</t>
        </is>
      </c>
      <c r="BM532" t="inlineStr">
        <is>
          <t>SHARK REEFER</t>
        </is>
      </c>
    </row>
    <row r="533">
      <c r="A533" t="n">
        <v>532</v>
      </c>
      <c r="B533" t="inlineStr">
        <is>
          <t>DOLPHIN REEFER</t>
        </is>
      </c>
      <c r="C533" t="inlineStr">
        <is>
          <t>REF000000</t>
        </is>
      </c>
      <c r="D533" t="inlineStr">
        <is>
          <t>REF000000</t>
        </is>
      </c>
      <c r="E533" t="inlineStr">
        <is>
          <t>01-APR-2026</t>
        </is>
      </c>
      <c r="F533" t="inlineStr">
        <is>
          <t>DOLPHIN REEFER</t>
        </is>
      </c>
      <c r="G533" t="inlineStr">
        <is>
          <t>ENTERED THROUGH SPLIT BOOKING FROM THE BOOKING ID REF000000, BY AR_MARTIMA, ON 4/1/2026 8:53:21 PM</t>
        </is>
      </c>
      <c r="H533" t="inlineStr">
        <is>
          <t>AR_MARTIMA</t>
        </is>
      </c>
      <c r="J533" t="inlineStr">
        <is>
          <t>14-APR-2026</t>
        </is>
      </c>
      <c r="K533" t="inlineStr">
        <is>
          <t>12-APR-2026</t>
        </is>
      </c>
      <c r="L533" t="inlineStr">
        <is>
          <t>14-APR-2026</t>
        </is>
      </c>
      <c r="M533" t="inlineStr">
        <is>
          <t>REF000000</t>
        </is>
      </c>
      <c r="N533" t="inlineStr">
        <is>
          <t>USSEA</t>
        </is>
      </c>
      <c r="O533" t="inlineStr">
        <is>
          <t>USSEA</t>
        </is>
      </c>
      <c r="P533" t="inlineStr">
        <is>
          <t>USNFK</t>
        </is>
      </c>
      <c r="U533" t="inlineStr">
        <is>
          <t>RULED</t>
        </is>
      </c>
      <c r="V533" t="inlineStr">
        <is>
          <t>RULED</t>
        </is>
      </c>
      <c r="W533" t="inlineStr">
        <is>
          <t>CANADA</t>
        </is>
      </c>
      <c r="X533" t="inlineStr">
        <is>
          <t>PERSIAN GULF</t>
        </is>
      </c>
      <c r="Y533" t="inlineStr">
        <is>
          <t>RUSSIA</t>
        </is>
      </c>
      <c r="Z533" t="inlineStr">
        <is>
          <t>External Review</t>
        </is>
      </c>
      <c r="AA533" t="inlineStr">
        <is>
          <t>HUB SHIPPING LLC-LED</t>
        </is>
      </c>
      <c r="AB533" t="inlineStr">
        <is>
          <t>Prepaid</t>
        </is>
      </c>
      <c r="AC533" t="inlineStr">
        <is>
          <t>TIGER PLATA/976N</t>
        </is>
      </c>
      <c r="AE533" t="inlineStr">
        <is>
          <t>LADEN BOOKING</t>
        </is>
      </c>
      <c r="AF533" t="inlineStr">
        <is>
          <t>AR_MARTIMA</t>
        </is>
      </c>
      <c r="AG533" t="inlineStr">
        <is>
          <t>RH40</t>
        </is>
      </c>
      <c r="AI533" t="n">
        <v>40</v>
      </c>
      <c r="AJ533" t="n">
        <v>0</v>
      </c>
      <c r="AK533" t="n">
        <v>1</v>
      </c>
      <c r="AL533" t="inlineStr">
        <is>
          <t>ANON0000000</t>
        </is>
      </c>
      <c r="AM533" t="n">
        <v>-18</v>
      </c>
      <c r="AP533" t="inlineStr">
        <is>
          <t>Non Haz</t>
        </is>
      </c>
      <c r="AQ533" t="inlineStr">
        <is>
          <t>CY/CY</t>
        </is>
      </c>
      <c r="AT533" t="inlineStr">
        <is>
          <t>REF000000</t>
        </is>
      </c>
      <c r="AU533" t="n">
        <v>29000</v>
      </c>
      <c r="AV533" t="inlineStr">
        <is>
          <t>FROZEN MEAT</t>
        </is>
      </c>
      <c r="AW533" t="inlineStr">
        <is>
          <t>NCM 020629</t>
        </is>
      </c>
      <c r="AX533" t="inlineStr">
        <is>
          <t>RSAMI122500031</t>
        </is>
      </c>
      <c r="AZ533" t="n">
        <v>0</v>
      </c>
      <c r="BA533" t="n">
        <v>10</v>
      </c>
      <c r="BB533" t="n">
        <v>10</v>
      </c>
      <c r="BC533" t="n">
        <v>6800</v>
      </c>
      <c r="BD533" t="inlineStr">
        <is>
          <t>No</t>
        </is>
      </c>
      <c r="BF533" t="inlineStr">
        <is>
          <t>Bengal Tiger Line -BTL</t>
        </is>
      </c>
      <c r="BG533" t="inlineStr">
        <is>
          <t>USSEA</t>
        </is>
      </c>
      <c r="BH533" t="n">
        <v>0</v>
      </c>
      <c r="BI533" t="n">
        <v>1</v>
      </c>
      <c r="BJ533" t="n">
        <v>6800</v>
      </c>
      <c r="BK533" t="inlineStr">
        <is>
          <t>LINE</t>
        </is>
      </c>
      <c r="BL533" t="inlineStr">
        <is>
          <t>DOLPHIN REEFER</t>
        </is>
      </c>
      <c r="BM533" t="inlineStr">
        <is>
          <t>DOLPHIN REEFER</t>
        </is>
      </c>
    </row>
    <row r="534">
      <c r="A534" t="n">
        <v>533</v>
      </c>
      <c r="B534" t="inlineStr">
        <is>
          <t>MARLIN REEFER</t>
        </is>
      </c>
      <c r="C534" t="inlineStr">
        <is>
          <t>REF000000</t>
        </is>
      </c>
      <c r="D534" t="inlineStr">
        <is>
          <t>REF000000</t>
        </is>
      </c>
      <c r="E534" t="inlineStr">
        <is>
          <t>01-APR-2026</t>
        </is>
      </c>
      <c r="F534" t="inlineStr">
        <is>
          <t>MARLIN REEFER</t>
        </is>
      </c>
      <c r="G534" t="inlineStr">
        <is>
          <t>ENTERED THROUGH SPLIT BOOKING FROM THE BOOKING ID REF000000, BY AR_MARTIMA, ON 4/1/2026 8:53:21 PM</t>
        </is>
      </c>
      <c r="H534" t="inlineStr">
        <is>
          <t>AR_MARTIMA</t>
        </is>
      </c>
      <c r="J534" t="inlineStr">
        <is>
          <t>14-APR-2026</t>
        </is>
      </c>
      <c r="K534" t="inlineStr">
        <is>
          <t>12-APR-2026</t>
        </is>
      </c>
      <c r="L534" t="inlineStr">
        <is>
          <t>14-APR-2026</t>
        </is>
      </c>
      <c r="M534" t="inlineStr">
        <is>
          <t>REF000000</t>
        </is>
      </c>
      <c r="N534" t="inlineStr">
        <is>
          <t>USSEA</t>
        </is>
      </c>
      <c r="O534" t="inlineStr">
        <is>
          <t>USSEA</t>
        </is>
      </c>
      <c r="P534" t="inlineStr">
        <is>
          <t>USNFK</t>
        </is>
      </c>
      <c r="U534" t="inlineStr">
        <is>
          <t>RULED</t>
        </is>
      </c>
      <c r="V534" t="inlineStr">
        <is>
          <t>RULED</t>
        </is>
      </c>
      <c r="W534" t="inlineStr">
        <is>
          <t>CANADA</t>
        </is>
      </c>
      <c r="X534" t="inlineStr">
        <is>
          <t>PERSIAN GULF</t>
        </is>
      </c>
      <c r="Y534" t="inlineStr">
        <is>
          <t>RUSSIA</t>
        </is>
      </c>
      <c r="Z534" t="inlineStr">
        <is>
          <t>External Review</t>
        </is>
      </c>
      <c r="AA534" t="inlineStr">
        <is>
          <t>HUB SHIPPING LLC-LED</t>
        </is>
      </c>
      <c r="AB534" t="inlineStr">
        <is>
          <t>Prepaid</t>
        </is>
      </c>
      <c r="AC534" t="inlineStr">
        <is>
          <t>TIGER PLATA/976N</t>
        </is>
      </c>
      <c r="AE534" t="inlineStr">
        <is>
          <t>LADEN BOOKING</t>
        </is>
      </c>
      <c r="AF534" t="inlineStr">
        <is>
          <t>AR_MARTIMA</t>
        </is>
      </c>
      <c r="AG534" t="inlineStr">
        <is>
          <t>RH40</t>
        </is>
      </c>
      <c r="AI534" t="n">
        <v>40</v>
      </c>
      <c r="AJ534" t="n">
        <v>0</v>
      </c>
      <c r="AK534" t="n">
        <v>1</v>
      </c>
      <c r="AL534" t="inlineStr">
        <is>
          <t>ANON0000000</t>
        </is>
      </c>
      <c r="AM534" t="n">
        <v>-18</v>
      </c>
      <c r="AP534" t="inlineStr">
        <is>
          <t>Non Haz</t>
        </is>
      </c>
      <c r="AQ534" t="inlineStr">
        <is>
          <t>CY/CY</t>
        </is>
      </c>
      <c r="AT534" t="inlineStr">
        <is>
          <t>REF000000</t>
        </is>
      </c>
      <c r="AU534" t="n">
        <v>29000</v>
      </c>
      <c r="AV534" t="inlineStr">
        <is>
          <t>FROZEN MEAT</t>
        </is>
      </c>
      <c r="AW534" t="inlineStr">
        <is>
          <t>NCM 020629</t>
        </is>
      </c>
      <c r="AX534" t="inlineStr">
        <is>
          <t>RSAMI122500031</t>
        </is>
      </c>
      <c r="AZ534" t="n">
        <v>0</v>
      </c>
      <c r="BA534" t="n">
        <v>10</v>
      </c>
      <c r="BB534" t="n">
        <v>10</v>
      </c>
      <c r="BC534" t="n">
        <v>6800</v>
      </c>
      <c r="BD534" t="inlineStr">
        <is>
          <t>No</t>
        </is>
      </c>
      <c r="BF534" t="inlineStr">
        <is>
          <t>Bengal Tiger Line -BTL</t>
        </is>
      </c>
      <c r="BG534" t="inlineStr">
        <is>
          <t>USSEA</t>
        </is>
      </c>
      <c r="BH534" t="n">
        <v>0</v>
      </c>
      <c r="BI534" t="n">
        <v>1</v>
      </c>
      <c r="BJ534" t="n">
        <v>6800</v>
      </c>
      <c r="BK534" t="inlineStr">
        <is>
          <t>LINE</t>
        </is>
      </c>
      <c r="BL534" t="inlineStr">
        <is>
          <t>MARLIN REEFER</t>
        </is>
      </c>
      <c r="BM534" t="inlineStr">
        <is>
          <t>MARLIN REEFER</t>
        </is>
      </c>
    </row>
    <row r="535">
      <c r="A535" t="n">
        <v>534</v>
      </c>
      <c r="B535" t="inlineStr">
        <is>
          <t>TURTLE REEFER</t>
        </is>
      </c>
      <c r="C535" t="inlineStr">
        <is>
          <t>REF000000</t>
        </is>
      </c>
      <c r="D535" t="inlineStr">
        <is>
          <t>REF000000</t>
        </is>
      </c>
      <c r="E535" t="inlineStr">
        <is>
          <t>01-APR-2026</t>
        </is>
      </c>
      <c r="F535" t="inlineStr">
        <is>
          <t>TURTLE REEFER</t>
        </is>
      </c>
      <c r="G535" t="inlineStr">
        <is>
          <t>ENTERED THROUGH SPLIT BOOKING FROM THE BOOKING ID REF000000, BY AR_MARTIMA, ON 4/1/2026 8:53:22 PM</t>
        </is>
      </c>
      <c r="H535" t="inlineStr">
        <is>
          <t>AR_MARTIMA</t>
        </is>
      </c>
      <c r="J535" t="inlineStr">
        <is>
          <t>14-APR-2026</t>
        </is>
      </c>
      <c r="K535" t="inlineStr">
        <is>
          <t>12-APR-2026</t>
        </is>
      </c>
      <c r="L535" t="inlineStr">
        <is>
          <t>14-APR-2026</t>
        </is>
      </c>
      <c r="M535" t="inlineStr">
        <is>
          <t>REF000000</t>
        </is>
      </c>
      <c r="N535" t="inlineStr">
        <is>
          <t>USSEA</t>
        </is>
      </c>
      <c r="O535" t="inlineStr">
        <is>
          <t>USSEA</t>
        </is>
      </c>
      <c r="P535" t="inlineStr">
        <is>
          <t>USNFK</t>
        </is>
      </c>
      <c r="U535" t="inlineStr">
        <is>
          <t>RULED</t>
        </is>
      </c>
      <c r="V535" t="inlineStr">
        <is>
          <t>RULED</t>
        </is>
      </c>
      <c r="W535" t="inlineStr">
        <is>
          <t>CANADA</t>
        </is>
      </c>
      <c r="X535" t="inlineStr">
        <is>
          <t>PERSIAN GULF</t>
        </is>
      </c>
      <c r="Y535" t="inlineStr">
        <is>
          <t>RUSSIA</t>
        </is>
      </c>
      <c r="Z535" t="inlineStr">
        <is>
          <t>External Review</t>
        </is>
      </c>
      <c r="AA535" t="inlineStr">
        <is>
          <t>HUB SHIPPING LLC-LED</t>
        </is>
      </c>
      <c r="AB535" t="inlineStr">
        <is>
          <t>Prepaid</t>
        </is>
      </c>
      <c r="AC535" t="inlineStr">
        <is>
          <t>TIGER PLATA/976N</t>
        </is>
      </c>
      <c r="AE535" t="inlineStr">
        <is>
          <t>LADEN BOOKING</t>
        </is>
      </c>
      <c r="AF535" t="inlineStr">
        <is>
          <t>AR_MARTIMA</t>
        </is>
      </c>
      <c r="AG535" t="inlineStr">
        <is>
          <t>RH40</t>
        </is>
      </c>
      <c r="AI535" t="n">
        <v>40</v>
      </c>
      <c r="AJ535" t="n">
        <v>0</v>
      </c>
      <c r="AK535" t="n">
        <v>1</v>
      </c>
      <c r="AL535" t="inlineStr">
        <is>
          <t>ANON0000000</t>
        </is>
      </c>
      <c r="AM535" t="n">
        <v>-18</v>
      </c>
      <c r="AP535" t="inlineStr">
        <is>
          <t>Non Haz</t>
        </is>
      </c>
      <c r="AQ535" t="inlineStr">
        <is>
          <t>CY/CY</t>
        </is>
      </c>
      <c r="AT535" t="inlineStr">
        <is>
          <t>REF000000</t>
        </is>
      </c>
      <c r="AU535" t="n">
        <v>29000</v>
      </c>
      <c r="AV535" t="inlineStr">
        <is>
          <t>FROZEN MEAT</t>
        </is>
      </c>
      <c r="AW535" t="inlineStr">
        <is>
          <t>NCM 020622</t>
        </is>
      </c>
      <c r="AX535" t="inlineStr">
        <is>
          <t>RSAMI122500031</t>
        </is>
      </c>
      <c r="AZ535" t="n">
        <v>0</v>
      </c>
      <c r="BA535" t="n">
        <v>10</v>
      </c>
      <c r="BB535" t="n">
        <v>10</v>
      </c>
      <c r="BC535" t="n">
        <v>6800</v>
      </c>
      <c r="BD535" t="inlineStr">
        <is>
          <t>No</t>
        </is>
      </c>
      <c r="BF535" t="inlineStr">
        <is>
          <t>Bengal Tiger Line -BTL</t>
        </is>
      </c>
      <c r="BG535" t="inlineStr">
        <is>
          <t>USSEA</t>
        </is>
      </c>
      <c r="BH535" t="n">
        <v>0</v>
      </c>
      <c r="BI535" t="n">
        <v>1</v>
      </c>
      <c r="BJ535" t="n">
        <v>6800</v>
      </c>
      <c r="BK535" t="inlineStr">
        <is>
          <t>LINE</t>
        </is>
      </c>
      <c r="BL535" t="inlineStr">
        <is>
          <t>TURTLE REEFER</t>
        </is>
      </c>
      <c r="BM535" t="inlineStr">
        <is>
          <t>TURTLE REEFER</t>
        </is>
      </c>
    </row>
    <row r="536">
      <c r="A536" t="n">
        <v>535</v>
      </c>
      <c r="B536" t="inlineStr">
        <is>
          <t>ORCA REEFER</t>
        </is>
      </c>
      <c r="C536" t="inlineStr">
        <is>
          <t>REF000000</t>
        </is>
      </c>
      <c r="D536" t="inlineStr">
        <is>
          <t>REF000000</t>
        </is>
      </c>
      <c r="E536" t="inlineStr">
        <is>
          <t>01-APR-2026</t>
        </is>
      </c>
      <c r="F536" t="inlineStr">
        <is>
          <t>ORCA REEFER</t>
        </is>
      </c>
      <c r="G536" t="inlineStr">
        <is>
          <t>ENTERED THROUGH SPLIT BOOKING FROM THE BOOKING ID REF000000, BY AR_MARTIMA, ON 4/1/2026 8:53:22 PM</t>
        </is>
      </c>
      <c r="H536" t="inlineStr">
        <is>
          <t>AR_MARTIMA</t>
        </is>
      </c>
      <c r="J536" t="inlineStr">
        <is>
          <t>14-APR-2026</t>
        </is>
      </c>
      <c r="K536" t="inlineStr">
        <is>
          <t>12-APR-2026</t>
        </is>
      </c>
      <c r="L536" t="inlineStr">
        <is>
          <t>14-APR-2026</t>
        </is>
      </c>
      <c r="M536" t="inlineStr">
        <is>
          <t>REF000000</t>
        </is>
      </c>
      <c r="N536" t="inlineStr">
        <is>
          <t>USSEA</t>
        </is>
      </c>
      <c r="O536" t="inlineStr">
        <is>
          <t>USSEA</t>
        </is>
      </c>
      <c r="P536" t="inlineStr">
        <is>
          <t>USNFK</t>
        </is>
      </c>
      <c r="U536" t="inlineStr">
        <is>
          <t>RULED</t>
        </is>
      </c>
      <c r="V536" t="inlineStr">
        <is>
          <t>RULED</t>
        </is>
      </c>
      <c r="W536" t="inlineStr">
        <is>
          <t>CANADA</t>
        </is>
      </c>
      <c r="X536" t="inlineStr">
        <is>
          <t>PERSIAN GULF</t>
        </is>
      </c>
      <c r="Y536" t="inlineStr">
        <is>
          <t>RUSSIA</t>
        </is>
      </c>
      <c r="Z536" t="inlineStr">
        <is>
          <t>External Review</t>
        </is>
      </c>
      <c r="AA536" t="inlineStr">
        <is>
          <t>HUB SHIPPING LLC-LED</t>
        </is>
      </c>
      <c r="AB536" t="inlineStr">
        <is>
          <t>Prepaid</t>
        </is>
      </c>
      <c r="AC536" t="inlineStr">
        <is>
          <t>TIGER PLATA/976N</t>
        </is>
      </c>
      <c r="AE536" t="inlineStr">
        <is>
          <t>LADEN BOOKING</t>
        </is>
      </c>
      <c r="AF536" t="inlineStr">
        <is>
          <t>AR_MARTIMA</t>
        </is>
      </c>
      <c r="AG536" t="inlineStr">
        <is>
          <t>RH40</t>
        </is>
      </c>
      <c r="AI536" t="n">
        <v>40</v>
      </c>
      <c r="AJ536" t="n">
        <v>0</v>
      </c>
      <c r="AK536" t="n">
        <v>1</v>
      </c>
      <c r="AL536" t="inlineStr">
        <is>
          <t>ANON0000000</t>
        </is>
      </c>
      <c r="AM536" t="n">
        <v>-18</v>
      </c>
      <c r="AP536" t="inlineStr">
        <is>
          <t>Non Haz</t>
        </is>
      </c>
      <c r="AQ536" t="inlineStr">
        <is>
          <t>CY/CY</t>
        </is>
      </c>
      <c r="AT536" t="inlineStr">
        <is>
          <t>REF000000</t>
        </is>
      </c>
      <c r="AU536" t="n">
        <v>29000</v>
      </c>
      <c r="AV536" t="inlineStr">
        <is>
          <t>FROZEN MEAT</t>
        </is>
      </c>
      <c r="AW536" t="inlineStr">
        <is>
          <t>NCM 020622</t>
        </is>
      </c>
      <c r="AX536" t="inlineStr">
        <is>
          <t>RSAMI122500031</t>
        </is>
      </c>
      <c r="AZ536" t="n">
        <v>0</v>
      </c>
      <c r="BA536" t="n">
        <v>10</v>
      </c>
      <c r="BB536" t="n">
        <v>10</v>
      </c>
      <c r="BC536" t="n">
        <v>6800</v>
      </c>
      <c r="BD536" t="inlineStr">
        <is>
          <t>No</t>
        </is>
      </c>
      <c r="BF536" t="inlineStr">
        <is>
          <t>Bengal Tiger Line -BTL</t>
        </is>
      </c>
      <c r="BG536" t="inlineStr">
        <is>
          <t>USSEA</t>
        </is>
      </c>
      <c r="BH536" t="n">
        <v>0</v>
      </c>
      <c r="BI536" t="n">
        <v>1</v>
      </c>
      <c r="BJ536" t="n">
        <v>6800</v>
      </c>
      <c r="BK536" t="inlineStr">
        <is>
          <t>LINE</t>
        </is>
      </c>
      <c r="BL536" t="inlineStr">
        <is>
          <t>ORCA REEFER</t>
        </is>
      </c>
      <c r="BM536" t="inlineStr">
        <is>
          <t>ORCA REEFER</t>
        </is>
      </c>
    </row>
    <row r="537">
      <c r="A537" t="n">
        <v>536</v>
      </c>
      <c r="B537" t="inlineStr">
        <is>
          <t>WHALE REEFER</t>
        </is>
      </c>
      <c r="C537" t="inlineStr">
        <is>
          <t>REF000000</t>
        </is>
      </c>
      <c r="D537" t="inlineStr">
        <is>
          <t>REF000000</t>
        </is>
      </c>
      <c r="E537" t="inlineStr">
        <is>
          <t>01-APR-2026</t>
        </is>
      </c>
      <c r="F537" t="inlineStr">
        <is>
          <t>WHALE REEFER</t>
        </is>
      </c>
      <c r="G537" t="inlineStr">
        <is>
          <t>ENTERED THROUGH SPLIT BOOKING FROM THE BOOKING ID REF000000, BY AR_MARTIMA, ON 4/1/2026 8:53:22 PM</t>
        </is>
      </c>
      <c r="H537" t="inlineStr">
        <is>
          <t>AR_MARTIMA</t>
        </is>
      </c>
      <c r="J537" t="inlineStr">
        <is>
          <t>14-APR-2026</t>
        </is>
      </c>
      <c r="K537" t="inlineStr">
        <is>
          <t>12-APR-2026</t>
        </is>
      </c>
      <c r="L537" t="inlineStr">
        <is>
          <t>14-APR-2026</t>
        </is>
      </c>
      <c r="M537" t="inlineStr">
        <is>
          <t>REF000000</t>
        </is>
      </c>
      <c r="N537" t="inlineStr">
        <is>
          <t>USSEA</t>
        </is>
      </c>
      <c r="O537" t="inlineStr">
        <is>
          <t>USSEA</t>
        </is>
      </c>
      <c r="P537" t="inlineStr">
        <is>
          <t>USNFK</t>
        </is>
      </c>
      <c r="U537" t="inlineStr">
        <is>
          <t>RULED</t>
        </is>
      </c>
      <c r="V537" t="inlineStr">
        <is>
          <t>RULED</t>
        </is>
      </c>
      <c r="W537" t="inlineStr">
        <is>
          <t>CANADA</t>
        </is>
      </c>
      <c r="X537" t="inlineStr">
        <is>
          <t>PERSIAN GULF</t>
        </is>
      </c>
      <c r="Y537" t="inlineStr">
        <is>
          <t>RUSSIA</t>
        </is>
      </c>
      <c r="Z537" t="inlineStr">
        <is>
          <t>External Review</t>
        </is>
      </c>
      <c r="AA537" t="inlineStr">
        <is>
          <t>HUB SHIPPING LLC-LED</t>
        </is>
      </c>
      <c r="AB537" t="inlineStr">
        <is>
          <t>Prepaid</t>
        </is>
      </c>
      <c r="AC537" t="inlineStr">
        <is>
          <t>TIGER PLATA/976N</t>
        </is>
      </c>
      <c r="AE537" t="inlineStr">
        <is>
          <t>LADEN BOOKING</t>
        </is>
      </c>
      <c r="AF537" t="inlineStr">
        <is>
          <t>AR_MARTIMA</t>
        </is>
      </c>
      <c r="AG537" t="inlineStr">
        <is>
          <t>RH40</t>
        </is>
      </c>
      <c r="AI537" t="n">
        <v>40</v>
      </c>
      <c r="AJ537" t="n">
        <v>0</v>
      </c>
      <c r="AK537" t="n">
        <v>1</v>
      </c>
      <c r="AL537" t="inlineStr">
        <is>
          <t>ANON0000000</t>
        </is>
      </c>
      <c r="AM537" t="n">
        <v>-18</v>
      </c>
      <c r="AP537" t="inlineStr">
        <is>
          <t>Non Haz</t>
        </is>
      </c>
      <c r="AQ537" t="inlineStr">
        <is>
          <t>CY/CY</t>
        </is>
      </c>
      <c r="AT537" t="inlineStr">
        <is>
          <t>REF000000</t>
        </is>
      </c>
      <c r="AU537" t="n">
        <v>29000</v>
      </c>
      <c r="AV537" t="inlineStr">
        <is>
          <t>FROZEN MEAT</t>
        </is>
      </c>
      <c r="AW537" t="inlineStr">
        <is>
          <t>NCM 020622</t>
        </is>
      </c>
      <c r="AX537" t="inlineStr">
        <is>
          <t>RSAMI122500031</t>
        </is>
      </c>
      <c r="AZ537" t="n">
        <v>0</v>
      </c>
      <c r="BA537" t="n">
        <v>10</v>
      </c>
      <c r="BB537" t="n">
        <v>10</v>
      </c>
      <c r="BC537" t="n">
        <v>6800</v>
      </c>
      <c r="BD537" t="inlineStr">
        <is>
          <t>No</t>
        </is>
      </c>
      <c r="BF537" t="inlineStr">
        <is>
          <t>Bengal Tiger Line -BTL</t>
        </is>
      </c>
      <c r="BG537" t="inlineStr">
        <is>
          <t>USSEA</t>
        </is>
      </c>
      <c r="BH537" t="n">
        <v>0</v>
      </c>
      <c r="BI537" t="n">
        <v>1</v>
      </c>
      <c r="BJ537" t="n">
        <v>6800</v>
      </c>
      <c r="BK537" t="inlineStr">
        <is>
          <t>LINE</t>
        </is>
      </c>
      <c r="BL537" t="inlineStr">
        <is>
          <t>WHALE REEFER</t>
        </is>
      </c>
      <c r="BM537" t="inlineStr">
        <is>
          <t>WHALE REEFER</t>
        </is>
      </c>
    </row>
    <row r="538">
      <c r="A538" t="n">
        <v>537</v>
      </c>
      <c r="B538" t="inlineStr">
        <is>
          <t>SEAL REEFER</t>
        </is>
      </c>
      <c r="C538" t="inlineStr">
        <is>
          <t>REF000000</t>
        </is>
      </c>
      <c r="D538" t="inlineStr">
        <is>
          <t>REF000000</t>
        </is>
      </c>
      <c r="E538" t="inlineStr">
        <is>
          <t>01-APR-2026</t>
        </is>
      </c>
      <c r="F538" t="inlineStr">
        <is>
          <t>SEAL REEFER</t>
        </is>
      </c>
      <c r="G538" t="inlineStr">
        <is>
          <t>ENTERED THROUGH SPLIT BOOKING FROM THE BOOKING ID REF000000, BY AR_MARTIMA, ON 4/1/2026 8:53:22 PM</t>
        </is>
      </c>
      <c r="H538" t="inlineStr">
        <is>
          <t>AR_MARTIMA</t>
        </is>
      </c>
      <c r="J538" t="inlineStr">
        <is>
          <t>14-APR-2026</t>
        </is>
      </c>
      <c r="K538" t="inlineStr">
        <is>
          <t>12-APR-2026</t>
        </is>
      </c>
      <c r="L538" t="inlineStr">
        <is>
          <t>14-APR-2026</t>
        </is>
      </c>
      <c r="M538" t="inlineStr">
        <is>
          <t>REF000000</t>
        </is>
      </c>
      <c r="N538" t="inlineStr">
        <is>
          <t>USSEA</t>
        </is>
      </c>
      <c r="O538" t="inlineStr">
        <is>
          <t>USSEA</t>
        </is>
      </c>
      <c r="P538" t="inlineStr">
        <is>
          <t>USNFK</t>
        </is>
      </c>
      <c r="U538" t="inlineStr">
        <is>
          <t>RULED</t>
        </is>
      </c>
      <c r="V538" t="inlineStr">
        <is>
          <t>RULED</t>
        </is>
      </c>
      <c r="W538" t="inlineStr">
        <is>
          <t>CANADA</t>
        </is>
      </c>
      <c r="X538" t="inlineStr">
        <is>
          <t>PERSIAN GULF</t>
        </is>
      </c>
      <c r="Y538" t="inlineStr">
        <is>
          <t>RUSSIA</t>
        </is>
      </c>
      <c r="Z538" t="inlineStr">
        <is>
          <t>External Review</t>
        </is>
      </c>
      <c r="AA538" t="inlineStr">
        <is>
          <t>HUB SHIPPING LLC-LED</t>
        </is>
      </c>
      <c r="AB538" t="inlineStr">
        <is>
          <t>Prepaid</t>
        </is>
      </c>
      <c r="AC538" t="inlineStr">
        <is>
          <t>TIGER PLATA/976N</t>
        </is>
      </c>
      <c r="AE538" t="inlineStr">
        <is>
          <t>LADEN BOOKING</t>
        </is>
      </c>
      <c r="AF538" t="inlineStr">
        <is>
          <t>AR_MARTIMA</t>
        </is>
      </c>
      <c r="AG538" t="inlineStr">
        <is>
          <t>RH40</t>
        </is>
      </c>
      <c r="AI538" t="n">
        <v>40</v>
      </c>
      <c r="AJ538" t="n">
        <v>0</v>
      </c>
      <c r="AK538" t="n">
        <v>1</v>
      </c>
      <c r="AL538" t="inlineStr">
        <is>
          <t>ANON0000000</t>
        </is>
      </c>
      <c r="AM538" t="n">
        <v>-18</v>
      </c>
      <c r="AP538" t="inlineStr">
        <is>
          <t>Non Haz</t>
        </is>
      </c>
      <c r="AQ538" t="inlineStr">
        <is>
          <t>CY/CY</t>
        </is>
      </c>
      <c r="AT538" t="inlineStr">
        <is>
          <t>REF000000</t>
        </is>
      </c>
      <c r="AU538" t="n">
        <v>29000</v>
      </c>
      <c r="AV538" t="inlineStr">
        <is>
          <t>FROZEN MEAT</t>
        </is>
      </c>
      <c r="AW538" t="inlineStr">
        <is>
          <t>NCM 020629</t>
        </is>
      </c>
      <c r="AX538" t="inlineStr">
        <is>
          <t>RSAMI122500031</t>
        </is>
      </c>
      <c r="AZ538" t="n">
        <v>0</v>
      </c>
      <c r="BA538" t="n">
        <v>10</v>
      </c>
      <c r="BB538" t="n">
        <v>10</v>
      </c>
      <c r="BC538" t="n">
        <v>6800</v>
      </c>
      <c r="BD538" t="inlineStr">
        <is>
          <t>No</t>
        </is>
      </c>
      <c r="BF538" t="inlineStr">
        <is>
          <t>Bengal Tiger Line -BTL</t>
        </is>
      </c>
      <c r="BG538" t="inlineStr">
        <is>
          <t>USSEA</t>
        </is>
      </c>
      <c r="BH538" t="n">
        <v>0</v>
      </c>
      <c r="BI538" t="n">
        <v>1</v>
      </c>
      <c r="BJ538" t="n">
        <v>6800</v>
      </c>
      <c r="BK538" t="inlineStr">
        <is>
          <t>LINE</t>
        </is>
      </c>
      <c r="BL538" t="inlineStr">
        <is>
          <t>SEAL REEFER</t>
        </is>
      </c>
      <c r="BM538" t="inlineStr">
        <is>
          <t>SEAL REEFER</t>
        </is>
      </c>
    </row>
    <row r="539">
      <c r="A539" t="n">
        <v>538</v>
      </c>
      <c r="B539" t="inlineStr">
        <is>
          <t>SHARK REEFER</t>
        </is>
      </c>
      <c r="C539" t="inlineStr">
        <is>
          <t>REF000000</t>
        </is>
      </c>
      <c r="D539" t="inlineStr">
        <is>
          <t>REF000000</t>
        </is>
      </c>
      <c r="E539" t="inlineStr">
        <is>
          <t>01-APR-2026</t>
        </is>
      </c>
      <c r="F539" t="inlineStr">
        <is>
          <t>SHARK REEFER</t>
        </is>
      </c>
      <c r="G539" t="inlineStr">
        <is>
          <t>1x40RH TEMP -18</t>
        </is>
      </c>
      <c r="H539" t="inlineStr">
        <is>
          <t>AR_MARTIMA</t>
        </is>
      </c>
      <c r="J539" t="inlineStr">
        <is>
          <t>14-APR-2026</t>
        </is>
      </c>
      <c r="K539" t="inlineStr">
        <is>
          <t>12-APR-2026</t>
        </is>
      </c>
      <c r="L539" t="inlineStr">
        <is>
          <t>14-APR-2026</t>
        </is>
      </c>
      <c r="M539" t="inlineStr">
        <is>
          <t>REF000000</t>
        </is>
      </c>
      <c r="N539" t="inlineStr">
        <is>
          <t>USSEA</t>
        </is>
      </c>
      <c r="O539" t="inlineStr">
        <is>
          <t>USSEA</t>
        </is>
      </c>
      <c r="P539" t="inlineStr">
        <is>
          <t>USNFK</t>
        </is>
      </c>
      <c r="U539" t="inlineStr">
        <is>
          <t>RULED</t>
        </is>
      </c>
      <c r="V539" t="inlineStr">
        <is>
          <t>RULED</t>
        </is>
      </c>
      <c r="W539" t="inlineStr">
        <is>
          <t>CANADA</t>
        </is>
      </c>
      <c r="X539" t="inlineStr">
        <is>
          <t>PERSIAN GULF</t>
        </is>
      </c>
      <c r="Y539" t="inlineStr">
        <is>
          <t>RUSSIA</t>
        </is>
      </c>
      <c r="Z539" t="inlineStr">
        <is>
          <t>External Review</t>
        </is>
      </c>
      <c r="AA539" t="inlineStr">
        <is>
          <t>HUB SHIPPING LLC-LED</t>
        </is>
      </c>
      <c r="AB539" t="inlineStr">
        <is>
          <t>Prepaid</t>
        </is>
      </c>
      <c r="AC539" t="inlineStr">
        <is>
          <t>TIGER PLATA/976N</t>
        </is>
      </c>
      <c r="AE539" t="inlineStr">
        <is>
          <t>LADEN BOOKING</t>
        </is>
      </c>
      <c r="AF539" t="inlineStr">
        <is>
          <t>AR_MARTIMA</t>
        </is>
      </c>
      <c r="AG539" t="inlineStr">
        <is>
          <t>RH40</t>
        </is>
      </c>
      <c r="AH539" t="inlineStr">
        <is>
          <t>NO</t>
        </is>
      </c>
      <c r="AI539" t="n">
        <v>40</v>
      </c>
      <c r="AJ539" t="n">
        <v>0</v>
      </c>
      <c r="AK539" t="n">
        <v>1</v>
      </c>
      <c r="AL539" t="inlineStr">
        <is>
          <t>ANON0000000</t>
        </is>
      </c>
      <c r="AM539" t="n">
        <v>-18</v>
      </c>
      <c r="AP539" t="inlineStr">
        <is>
          <t>Non Haz</t>
        </is>
      </c>
      <c r="AQ539" t="inlineStr">
        <is>
          <t>CY/CY</t>
        </is>
      </c>
      <c r="AT539" t="inlineStr">
        <is>
          <t>REF000000</t>
        </is>
      </c>
      <c r="AU539" t="n">
        <v>29000</v>
      </c>
      <c r="AV539" t="inlineStr">
        <is>
          <t>FROZEN BONELESS BUFFALO MEAT</t>
        </is>
      </c>
      <c r="AW539" t="inlineStr">
        <is>
          <t>N.C.M.: 0206.29</t>
        </is>
      </c>
      <c r="AX539" t="inlineStr">
        <is>
          <t>RSAMI122500027</t>
        </is>
      </c>
      <c r="AZ539" t="n">
        <v>0</v>
      </c>
      <c r="BA539" t="n">
        <v>10</v>
      </c>
      <c r="BB539" t="n">
        <v>10</v>
      </c>
      <c r="BC539" t="n">
        <v>7300</v>
      </c>
      <c r="BD539" t="inlineStr">
        <is>
          <t>No</t>
        </is>
      </c>
      <c r="BF539" t="inlineStr">
        <is>
          <t>Bengal Tiger Line -BTL</t>
        </is>
      </c>
      <c r="BG539" t="inlineStr">
        <is>
          <t>USSEA</t>
        </is>
      </c>
      <c r="BH539" t="n">
        <v>0</v>
      </c>
      <c r="BI539" t="n">
        <v>1</v>
      </c>
      <c r="BJ539" t="n">
        <v>7300</v>
      </c>
      <c r="BK539" t="inlineStr">
        <is>
          <t>LINE</t>
        </is>
      </c>
      <c r="BL539" t="inlineStr">
        <is>
          <t>SHARK REEFER</t>
        </is>
      </c>
      <c r="BM539" t="inlineStr">
        <is>
          <t>SHARK REEFER</t>
        </is>
      </c>
    </row>
    <row r="540">
      <c r="A540" t="n">
        <v>539</v>
      </c>
      <c r="B540" t="inlineStr">
        <is>
          <t>DOLPHIN REEFER</t>
        </is>
      </c>
      <c r="C540" t="inlineStr">
        <is>
          <t>REF000000</t>
        </is>
      </c>
      <c r="D540" t="inlineStr">
        <is>
          <t>REF000000</t>
        </is>
      </c>
      <c r="E540" t="inlineStr">
        <is>
          <t>01-APR-2026</t>
        </is>
      </c>
      <c r="F540" t="inlineStr">
        <is>
          <t>DOLPHIN REEFER</t>
        </is>
      </c>
      <c r="G540" t="inlineStr">
        <is>
          <t>ENTERED THROUGH SPLIT BOOKING FROM THE BOOKING ID REF000000, BY AR_MARTIMA, ON 4/1/2026 9:01:27 PM</t>
        </is>
      </c>
      <c r="H540" t="inlineStr">
        <is>
          <t>AR_MARTIMA</t>
        </is>
      </c>
      <c r="J540" t="inlineStr">
        <is>
          <t>14-APR-2026</t>
        </is>
      </c>
      <c r="K540" t="inlineStr">
        <is>
          <t>12-APR-2026</t>
        </is>
      </c>
      <c r="L540" t="inlineStr">
        <is>
          <t>14-APR-2026</t>
        </is>
      </c>
      <c r="M540" t="inlineStr">
        <is>
          <t>REF000000</t>
        </is>
      </c>
      <c r="N540" t="inlineStr">
        <is>
          <t>USSEA</t>
        </is>
      </c>
      <c r="O540" t="inlineStr">
        <is>
          <t>USSEA</t>
        </is>
      </c>
      <c r="P540" t="inlineStr">
        <is>
          <t>USNFK</t>
        </is>
      </c>
      <c r="U540" t="inlineStr">
        <is>
          <t>RULED</t>
        </is>
      </c>
      <c r="V540" t="inlineStr">
        <is>
          <t>RULED</t>
        </is>
      </c>
      <c r="W540" t="inlineStr">
        <is>
          <t>CANADA</t>
        </is>
      </c>
      <c r="X540" t="inlineStr">
        <is>
          <t>PERSIAN GULF</t>
        </is>
      </c>
      <c r="Y540" t="inlineStr">
        <is>
          <t>RUSSIA</t>
        </is>
      </c>
      <c r="Z540" t="inlineStr">
        <is>
          <t>External Review</t>
        </is>
      </c>
      <c r="AA540" t="inlineStr">
        <is>
          <t>HUB SHIPPING LLC-LED</t>
        </is>
      </c>
      <c r="AB540" t="inlineStr">
        <is>
          <t>Prepaid</t>
        </is>
      </c>
      <c r="AC540" t="inlineStr">
        <is>
          <t>TIGER PLATA/976N</t>
        </is>
      </c>
      <c r="AE540" t="inlineStr">
        <is>
          <t>LADEN BOOKING</t>
        </is>
      </c>
      <c r="AF540" t="inlineStr">
        <is>
          <t>AR_MARTIMA</t>
        </is>
      </c>
      <c r="AG540" t="inlineStr">
        <is>
          <t>RH40</t>
        </is>
      </c>
      <c r="AI540" t="n">
        <v>40</v>
      </c>
      <c r="AJ540" t="n">
        <v>0</v>
      </c>
      <c r="AK540" t="n">
        <v>1</v>
      </c>
      <c r="AL540" t="inlineStr">
        <is>
          <t>ANON0000000</t>
        </is>
      </c>
      <c r="AM540" t="n">
        <v>-18</v>
      </c>
      <c r="AP540" t="inlineStr">
        <is>
          <t>Non Haz</t>
        </is>
      </c>
      <c r="AQ540" t="inlineStr">
        <is>
          <t>CY/CY</t>
        </is>
      </c>
      <c r="AT540" t="inlineStr">
        <is>
          <t>REF000000</t>
        </is>
      </c>
      <c r="AU540" t="n">
        <v>29000</v>
      </c>
      <c r="AV540" t="inlineStr">
        <is>
          <t>FROZEN BONELESS BUFFALO MEAT</t>
        </is>
      </c>
      <c r="AW540" t="inlineStr">
        <is>
          <t>N.C.M.: 0206.29</t>
        </is>
      </c>
      <c r="AX540" t="inlineStr">
        <is>
          <t>RSAMI122500027</t>
        </is>
      </c>
      <c r="AZ540" t="n">
        <v>0</v>
      </c>
      <c r="BA540" t="n">
        <v>10</v>
      </c>
      <c r="BB540" t="n">
        <v>10</v>
      </c>
      <c r="BC540" t="n">
        <v>7300</v>
      </c>
      <c r="BD540" t="inlineStr">
        <is>
          <t>No</t>
        </is>
      </c>
      <c r="BF540" t="inlineStr">
        <is>
          <t>Bengal Tiger Line -BTL</t>
        </is>
      </c>
      <c r="BG540" t="inlineStr">
        <is>
          <t>USSEA</t>
        </is>
      </c>
      <c r="BH540" t="n">
        <v>0</v>
      </c>
      <c r="BI540" t="n">
        <v>1</v>
      </c>
      <c r="BJ540" t="n">
        <v>7300</v>
      </c>
      <c r="BK540" t="inlineStr">
        <is>
          <t>LINE</t>
        </is>
      </c>
      <c r="BL540" t="inlineStr">
        <is>
          <t>DOLPHIN REEFER</t>
        </is>
      </c>
      <c r="BM540" t="inlineStr">
        <is>
          <t>DOLPHIN REEFER</t>
        </is>
      </c>
    </row>
    <row r="541">
      <c r="A541" t="n">
        <v>540</v>
      </c>
      <c r="B541" t="inlineStr">
        <is>
          <t>MARLIN REEFER</t>
        </is>
      </c>
      <c r="C541" t="inlineStr">
        <is>
          <t>REF000000</t>
        </is>
      </c>
      <c r="D541" t="inlineStr">
        <is>
          <t>REF000000</t>
        </is>
      </c>
      <c r="E541" t="inlineStr">
        <is>
          <t>07-APR-2026</t>
        </is>
      </c>
      <c r="F541" t="inlineStr">
        <is>
          <t>MARLIN REEFER</t>
        </is>
      </c>
      <c r="G541" t="inlineStr">
        <is>
          <t>ENTERED THROUGH SPLIT BOOKING FROM THE BOOKING ID REF000000, BY AR_MARTIMA, ON 4/7/2026 5:52:54 PM</t>
        </is>
      </c>
      <c r="H541" t="inlineStr">
        <is>
          <t>AR_MARTIMA</t>
        </is>
      </c>
      <c r="J541" t="inlineStr">
        <is>
          <t>14-APR-2026</t>
        </is>
      </c>
      <c r="K541" t="inlineStr">
        <is>
          <t>12-APR-2026</t>
        </is>
      </c>
      <c r="L541" t="inlineStr">
        <is>
          <t>14-APR-2026</t>
        </is>
      </c>
      <c r="M541" t="inlineStr">
        <is>
          <t>REF000000</t>
        </is>
      </c>
      <c r="N541" t="inlineStr">
        <is>
          <t>USSEA</t>
        </is>
      </c>
      <c r="O541" t="inlineStr">
        <is>
          <t>USSEA</t>
        </is>
      </c>
      <c r="P541" t="inlineStr">
        <is>
          <t>USNFK</t>
        </is>
      </c>
      <c r="U541" t="inlineStr">
        <is>
          <t>RULED</t>
        </is>
      </c>
      <c r="V541" t="inlineStr">
        <is>
          <t>RULED</t>
        </is>
      </c>
      <c r="W541" t="inlineStr">
        <is>
          <t>CANADA</t>
        </is>
      </c>
      <c r="X541" t="inlineStr">
        <is>
          <t>PERSIAN GULF</t>
        </is>
      </c>
      <c r="Y541" t="inlineStr">
        <is>
          <t>RUSSIA</t>
        </is>
      </c>
      <c r="Z541" t="inlineStr">
        <is>
          <t>External Review</t>
        </is>
      </c>
      <c r="AA541" t="inlineStr">
        <is>
          <t>HUB SHIPPING LLC-LED</t>
        </is>
      </c>
      <c r="AB541" t="inlineStr">
        <is>
          <t>Prepaid</t>
        </is>
      </c>
      <c r="AC541" t="inlineStr">
        <is>
          <t>TIGER PLATA/976N</t>
        </is>
      </c>
      <c r="AE541" t="inlineStr">
        <is>
          <t>LADEN BOOKING</t>
        </is>
      </c>
      <c r="AF541" t="inlineStr">
        <is>
          <t>AR_MARTIMA</t>
        </is>
      </c>
      <c r="AG541" t="inlineStr">
        <is>
          <t>RH40</t>
        </is>
      </c>
      <c r="AI541" t="n">
        <v>40</v>
      </c>
      <c r="AJ541" t="n">
        <v>0</v>
      </c>
      <c r="AK541" t="n">
        <v>1</v>
      </c>
      <c r="AL541" t="inlineStr">
        <is>
          <t>ANON0000000</t>
        </is>
      </c>
      <c r="AM541" t="n">
        <v>-18</v>
      </c>
      <c r="AP541" t="inlineStr">
        <is>
          <t>Non Haz</t>
        </is>
      </c>
      <c r="AQ541" t="inlineStr">
        <is>
          <t>CY/CY</t>
        </is>
      </c>
      <c r="AT541" t="inlineStr">
        <is>
          <t>REF000000</t>
        </is>
      </c>
      <c r="AU541" t="n">
        <v>29000</v>
      </c>
      <c r="AV541" t="inlineStr">
        <is>
          <t>FROZEN MEAT</t>
        </is>
      </c>
      <c r="AW541" t="inlineStr">
        <is>
          <t>NCM 020622</t>
        </is>
      </c>
      <c r="AX541" t="inlineStr">
        <is>
          <t>RSAMI122500031</t>
        </is>
      </c>
      <c r="AZ541" t="n">
        <v>0</v>
      </c>
      <c r="BA541" t="n">
        <v>10</v>
      </c>
      <c r="BB541" t="n">
        <v>10</v>
      </c>
      <c r="BC541" t="n">
        <v>6800</v>
      </c>
      <c r="BD541" t="inlineStr">
        <is>
          <t>No</t>
        </is>
      </c>
      <c r="BF541" t="inlineStr">
        <is>
          <t>Bengal Tiger Line -BTL</t>
        </is>
      </c>
      <c r="BG541" t="inlineStr">
        <is>
          <t>USSEA</t>
        </is>
      </c>
      <c r="BH541" t="n">
        <v>0</v>
      </c>
      <c r="BI541" t="n">
        <v>1</v>
      </c>
      <c r="BJ541" t="n">
        <v>6800</v>
      </c>
      <c r="BK541" t="inlineStr">
        <is>
          <t>LINE</t>
        </is>
      </c>
      <c r="BL541" t="inlineStr">
        <is>
          <t>MARLIN REEFER</t>
        </is>
      </c>
      <c r="BM541" t="inlineStr">
        <is>
          <t>MARLIN REEFER</t>
        </is>
      </c>
    </row>
    <row r="542">
      <c r="A542" t="n">
        <v>541</v>
      </c>
      <c r="B542" t="inlineStr">
        <is>
          <t>TURTLE REEFER</t>
        </is>
      </c>
      <c r="C542" t="inlineStr">
        <is>
          <t>REF000000</t>
        </is>
      </c>
      <c r="D542" t="inlineStr">
        <is>
          <t>REF000000</t>
        </is>
      </c>
      <c r="E542" t="inlineStr">
        <is>
          <t>07-APR-2026</t>
        </is>
      </c>
      <c r="F542" t="inlineStr">
        <is>
          <t>TURTLE REEFER</t>
        </is>
      </c>
      <c r="G542" t="inlineStr">
        <is>
          <t>ENTERED THROUGH SPLIT BOOKING FROM THE BOOKING ID REF000000, BY AR_MARTIMA, ON 4/7/2026 5:52:54 PM</t>
        </is>
      </c>
      <c r="H542" t="inlineStr">
        <is>
          <t>AR_MARTIMA</t>
        </is>
      </c>
      <c r="J542" t="inlineStr">
        <is>
          <t>14-APR-2026</t>
        </is>
      </c>
      <c r="K542" t="inlineStr">
        <is>
          <t>12-APR-2026</t>
        </is>
      </c>
      <c r="L542" t="inlineStr">
        <is>
          <t>14-APR-2026</t>
        </is>
      </c>
      <c r="M542" t="inlineStr">
        <is>
          <t>REF000000</t>
        </is>
      </c>
      <c r="N542" t="inlineStr">
        <is>
          <t>USSEA</t>
        </is>
      </c>
      <c r="O542" t="inlineStr">
        <is>
          <t>USSEA</t>
        </is>
      </c>
      <c r="P542" t="inlineStr">
        <is>
          <t>USNFK</t>
        </is>
      </c>
      <c r="U542" t="inlineStr">
        <is>
          <t>RULED</t>
        </is>
      </c>
      <c r="V542" t="inlineStr">
        <is>
          <t>RULED</t>
        </is>
      </c>
      <c r="W542" t="inlineStr">
        <is>
          <t>CANADA</t>
        </is>
      </c>
      <c r="X542" t="inlineStr">
        <is>
          <t>PERSIAN GULF</t>
        </is>
      </c>
      <c r="Y542" t="inlineStr">
        <is>
          <t>RUSSIA</t>
        </is>
      </c>
      <c r="Z542" t="inlineStr">
        <is>
          <t>External Review</t>
        </is>
      </c>
      <c r="AA542" t="inlineStr">
        <is>
          <t>HUB SHIPPING LLC-LED</t>
        </is>
      </c>
      <c r="AB542" t="inlineStr">
        <is>
          <t>Prepaid</t>
        </is>
      </c>
      <c r="AC542" t="inlineStr">
        <is>
          <t>TIGER PLATA/976N</t>
        </is>
      </c>
      <c r="AE542" t="inlineStr">
        <is>
          <t>LADEN BOOKING</t>
        </is>
      </c>
      <c r="AF542" t="inlineStr">
        <is>
          <t>AR_MARTIMA</t>
        </is>
      </c>
      <c r="AG542" t="inlineStr">
        <is>
          <t>RH40</t>
        </is>
      </c>
      <c r="AI542" t="n">
        <v>40</v>
      </c>
      <c r="AJ542" t="n">
        <v>0</v>
      </c>
      <c r="AK542" t="n">
        <v>1</v>
      </c>
      <c r="AL542" t="inlineStr">
        <is>
          <t>ANON0000000</t>
        </is>
      </c>
      <c r="AM542" t="n">
        <v>-18</v>
      </c>
      <c r="AP542" t="inlineStr">
        <is>
          <t>Non Haz</t>
        </is>
      </c>
      <c r="AQ542" t="inlineStr">
        <is>
          <t>CY/CY</t>
        </is>
      </c>
      <c r="AT542" t="inlineStr">
        <is>
          <t>REF000000</t>
        </is>
      </c>
      <c r="AU542" t="n">
        <v>29000</v>
      </c>
      <c r="AV542" t="inlineStr">
        <is>
          <t>FROZEN MEAT</t>
        </is>
      </c>
      <c r="AW542" t="inlineStr">
        <is>
          <t>NCM 020622</t>
        </is>
      </c>
      <c r="AX542" t="inlineStr">
        <is>
          <t>RSAMI122500031</t>
        </is>
      </c>
      <c r="AZ542" t="n">
        <v>0</v>
      </c>
      <c r="BA542" t="n">
        <v>10</v>
      </c>
      <c r="BB542" t="n">
        <v>10</v>
      </c>
      <c r="BC542" t="n">
        <v>6800</v>
      </c>
      <c r="BD542" t="inlineStr">
        <is>
          <t>No</t>
        </is>
      </c>
      <c r="BF542" t="inlineStr">
        <is>
          <t>Bengal Tiger Line -BTL</t>
        </is>
      </c>
      <c r="BG542" t="inlineStr">
        <is>
          <t>USSEA</t>
        </is>
      </c>
      <c r="BH542" t="n">
        <v>0</v>
      </c>
      <c r="BI542" t="n">
        <v>1</v>
      </c>
      <c r="BJ542" t="n">
        <v>6800</v>
      </c>
      <c r="BK542" t="inlineStr">
        <is>
          <t>LINE</t>
        </is>
      </c>
      <c r="BL542" t="inlineStr">
        <is>
          <t>TURTLE REEFER</t>
        </is>
      </c>
      <c r="BM542" t="inlineStr">
        <is>
          <t>TURTLE REEFER</t>
        </is>
      </c>
    </row>
    <row r="543">
      <c r="A543" t="n">
        <v>542</v>
      </c>
      <c r="B543" t="inlineStr">
        <is>
          <t>ORCA REEFER</t>
        </is>
      </c>
      <c r="C543" t="inlineStr">
        <is>
          <t>REF000000</t>
        </is>
      </c>
      <c r="D543" t="inlineStr">
        <is>
          <t>REF000000</t>
        </is>
      </c>
      <c r="E543" t="inlineStr">
        <is>
          <t>07-APR-2026</t>
        </is>
      </c>
      <c r="F543" t="inlineStr">
        <is>
          <t>ORCA REEFER</t>
        </is>
      </c>
      <c r="G543" t="inlineStr">
        <is>
          <t>1X40rh temp -18</t>
        </is>
      </c>
      <c r="H543" t="inlineStr">
        <is>
          <t>AR_MARTIMA</t>
        </is>
      </c>
      <c r="J543" t="inlineStr">
        <is>
          <t>20-APR-2026</t>
        </is>
      </c>
      <c r="K543" t="inlineStr">
        <is>
          <t>20-APR-2026</t>
        </is>
      </c>
      <c r="M543" t="inlineStr">
        <is>
          <t>REF000000</t>
        </is>
      </c>
      <c r="N543" t="inlineStr">
        <is>
          <t>USSEA</t>
        </is>
      </c>
      <c r="O543" t="inlineStr">
        <is>
          <t>USSEA</t>
        </is>
      </c>
      <c r="P543" t="inlineStr">
        <is>
          <t>USNFK</t>
        </is>
      </c>
      <c r="U543" t="inlineStr">
        <is>
          <t>RULED</t>
        </is>
      </c>
      <c r="V543" t="inlineStr">
        <is>
          <t>RULED</t>
        </is>
      </c>
      <c r="W543" t="inlineStr">
        <is>
          <t>CANADA</t>
        </is>
      </c>
      <c r="X543" t="inlineStr">
        <is>
          <t>PERSIAN GULF</t>
        </is>
      </c>
      <c r="Y543" t="inlineStr">
        <is>
          <t>RUSSIA</t>
        </is>
      </c>
      <c r="Z543" t="inlineStr">
        <is>
          <t>External Review</t>
        </is>
      </c>
      <c r="AA543" t="inlineStr">
        <is>
          <t>HUB SHIPPING LLC-LED</t>
        </is>
      </c>
      <c r="AB543" t="inlineStr">
        <is>
          <t>Prepaid</t>
        </is>
      </c>
      <c r="AC543" t="inlineStr">
        <is>
          <t>TIGER PLATA/977N</t>
        </is>
      </c>
      <c r="AE543" t="inlineStr">
        <is>
          <t>LADEN BOOKING</t>
        </is>
      </c>
      <c r="AF543" t="inlineStr">
        <is>
          <t>AR_MARTIMA</t>
        </is>
      </c>
      <c r="AG543" t="inlineStr">
        <is>
          <t>RH40</t>
        </is>
      </c>
      <c r="AH543" t="inlineStr">
        <is>
          <t>NO</t>
        </is>
      </c>
      <c r="AI543" t="n">
        <v>40</v>
      </c>
      <c r="AJ543" t="n">
        <v>0</v>
      </c>
      <c r="AK543" t="n">
        <v>1</v>
      </c>
      <c r="AL543" t="inlineStr">
        <is>
          <t>ANON0000000</t>
        </is>
      </c>
      <c r="AM543" t="n">
        <v>-18</v>
      </c>
      <c r="AP543" t="inlineStr">
        <is>
          <t>Non Haz</t>
        </is>
      </c>
      <c r="AQ543" t="inlineStr">
        <is>
          <t>CY/CY</t>
        </is>
      </c>
      <c r="AT543" t="inlineStr">
        <is>
          <t>REF000000</t>
        </is>
      </c>
      <c r="AU543" t="n">
        <v>29000</v>
      </c>
      <c r="AV543" t="inlineStr">
        <is>
          <t>FROZEN MEAT</t>
        </is>
      </c>
      <c r="AW543" t="inlineStr">
        <is>
          <t>NCM 020622</t>
        </is>
      </c>
      <c r="AX543" t="inlineStr">
        <is>
          <t>RSAMI032600010</t>
        </is>
      </c>
      <c r="AZ543" t="n">
        <v>0</v>
      </c>
      <c r="BA543" t="n">
        <v>10</v>
      </c>
      <c r="BB543" t="n">
        <v>10</v>
      </c>
      <c r="BC543" t="n">
        <v>6800</v>
      </c>
      <c r="BD543" t="inlineStr">
        <is>
          <t>No</t>
        </is>
      </c>
      <c r="BG543" t="inlineStr">
        <is>
          <t>USSEA</t>
        </is>
      </c>
      <c r="BH543" t="n">
        <v>0</v>
      </c>
      <c r="BI543" t="n">
        <v>1</v>
      </c>
      <c r="BJ543" t="n">
        <v>6800</v>
      </c>
      <c r="BK543" t="inlineStr">
        <is>
          <t>LINE</t>
        </is>
      </c>
      <c r="BL543" t="inlineStr">
        <is>
          <t>ORCA REEFER</t>
        </is>
      </c>
      <c r="BM543" t="inlineStr">
        <is>
          <t>ORCA REEFER</t>
        </is>
      </c>
    </row>
    <row r="544">
      <c r="A544" t="n">
        <v>543</v>
      </c>
      <c r="B544" t="inlineStr">
        <is>
          <t>WHALE REEFER</t>
        </is>
      </c>
      <c r="C544" t="inlineStr">
        <is>
          <t>REF000000</t>
        </is>
      </c>
      <c r="D544" t="inlineStr">
        <is>
          <t>REF000000</t>
        </is>
      </c>
      <c r="E544" t="inlineStr">
        <is>
          <t>07-APR-2026</t>
        </is>
      </c>
      <c r="F544" t="inlineStr">
        <is>
          <t>WHALE REEFER</t>
        </is>
      </c>
      <c r="G544" t="inlineStr">
        <is>
          <t>1X40RH TEMP -18</t>
        </is>
      </c>
      <c r="H544" t="inlineStr">
        <is>
          <t>AR_MARTIMA</t>
        </is>
      </c>
      <c r="J544" t="inlineStr">
        <is>
          <t>20-APR-2026</t>
        </is>
      </c>
      <c r="K544" t="inlineStr">
        <is>
          <t>20-APR-2026</t>
        </is>
      </c>
      <c r="M544" t="inlineStr">
        <is>
          <t>REF000000</t>
        </is>
      </c>
      <c r="N544" t="inlineStr">
        <is>
          <t>USSEA</t>
        </is>
      </c>
      <c r="O544" t="inlineStr">
        <is>
          <t>USSEA</t>
        </is>
      </c>
      <c r="P544" t="inlineStr">
        <is>
          <t>USNFK</t>
        </is>
      </c>
      <c r="U544" t="inlineStr">
        <is>
          <t>RULED</t>
        </is>
      </c>
      <c r="V544" t="inlineStr">
        <is>
          <t>RULED</t>
        </is>
      </c>
      <c r="W544" t="inlineStr">
        <is>
          <t>CANADA</t>
        </is>
      </c>
      <c r="X544" t="inlineStr">
        <is>
          <t>PERSIAN GULF</t>
        </is>
      </c>
      <c r="Y544" t="inlineStr">
        <is>
          <t>RUSSIA</t>
        </is>
      </c>
      <c r="Z544" t="inlineStr">
        <is>
          <t>External Review</t>
        </is>
      </c>
      <c r="AA544" t="inlineStr">
        <is>
          <t>HUB SHIPPING LLC-LED</t>
        </is>
      </c>
      <c r="AB544" t="inlineStr">
        <is>
          <t>Prepaid</t>
        </is>
      </c>
      <c r="AC544" t="inlineStr">
        <is>
          <t>TIGER PLATA/977N</t>
        </is>
      </c>
      <c r="AE544" t="inlineStr">
        <is>
          <t>LADEN BOOKING</t>
        </is>
      </c>
      <c r="AF544" t="inlineStr">
        <is>
          <t>AR_MARTIMA</t>
        </is>
      </c>
      <c r="AG544" t="inlineStr">
        <is>
          <t>RH40</t>
        </is>
      </c>
      <c r="AH544" t="inlineStr">
        <is>
          <t>NO</t>
        </is>
      </c>
      <c r="AI544" t="n">
        <v>40</v>
      </c>
      <c r="AJ544" t="n">
        <v>0</v>
      </c>
      <c r="AK544" t="n">
        <v>1</v>
      </c>
      <c r="AL544" t="inlineStr">
        <is>
          <t>ANON0000000,
ANON0000000</t>
        </is>
      </c>
      <c r="AM544" t="n">
        <v>-18</v>
      </c>
      <c r="AP544" t="inlineStr">
        <is>
          <t>Non Haz</t>
        </is>
      </c>
      <c r="AQ544" t="inlineStr">
        <is>
          <t>CY/CY</t>
        </is>
      </c>
      <c r="AT544" t="inlineStr">
        <is>
          <t>REF000000,
REF000000</t>
        </is>
      </c>
      <c r="AU544" t="n">
        <v>29000</v>
      </c>
      <c r="AV544" t="inlineStr">
        <is>
          <t>FROZEN MEAT</t>
        </is>
      </c>
      <c r="AX544" t="inlineStr">
        <is>
          <t>RSAMI032600010</t>
        </is>
      </c>
      <c r="AZ544" t="n">
        <v>0</v>
      </c>
      <c r="BA544" t="n">
        <v>10</v>
      </c>
      <c r="BB544" t="n">
        <v>10</v>
      </c>
      <c r="BC544" t="n">
        <v>6800</v>
      </c>
      <c r="BD544" t="inlineStr">
        <is>
          <t>No</t>
        </is>
      </c>
      <c r="BG544" t="inlineStr">
        <is>
          <t>USSEA</t>
        </is>
      </c>
      <c r="BH544" t="n">
        <v>0</v>
      </c>
      <c r="BI544" t="n">
        <v>1</v>
      </c>
      <c r="BJ544" t="n">
        <v>6800</v>
      </c>
      <c r="BK544" t="inlineStr">
        <is>
          <t>LINE</t>
        </is>
      </c>
      <c r="BL544" t="inlineStr">
        <is>
          <t>WHALE REEFER</t>
        </is>
      </c>
      <c r="BM544" t="inlineStr">
        <is>
          <t>WHALE REEFER</t>
        </is>
      </c>
    </row>
    <row r="545">
      <c r="A545" t="n">
        <v>544</v>
      </c>
      <c r="B545" t="inlineStr">
        <is>
          <t>SEAL REEFER</t>
        </is>
      </c>
      <c r="C545" t="inlineStr">
        <is>
          <t>REF000000</t>
        </is>
      </c>
      <c r="D545" t="inlineStr">
        <is>
          <t>REF000000</t>
        </is>
      </c>
      <c r="E545" t="inlineStr">
        <is>
          <t>08-APR-2026</t>
        </is>
      </c>
      <c r="F545" t="inlineStr">
        <is>
          <t>SEAL REEFER</t>
        </is>
      </c>
      <c r="G545" t="inlineStr">
        <is>
          <t>1X40RH TEMP -18</t>
        </is>
      </c>
      <c r="H545" t="inlineStr">
        <is>
          <t>AR_MARTIMA</t>
        </is>
      </c>
      <c r="J545" t="inlineStr">
        <is>
          <t>14-APR-2026</t>
        </is>
      </c>
      <c r="K545" t="inlineStr">
        <is>
          <t>12-APR-2026</t>
        </is>
      </c>
      <c r="L545" t="inlineStr">
        <is>
          <t>14-APR-2026</t>
        </is>
      </c>
      <c r="M545" t="inlineStr">
        <is>
          <t>REF000000</t>
        </is>
      </c>
      <c r="N545" t="inlineStr">
        <is>
          <t>USSEA</t>
        </is>
      </c>
      <c r="O545" t="inlineStr">
        <is>
          <t>USSEA</t>
        </is>
      </c>
      <c r="P545" t="inlineStr">
        <is>
          <t>USNFK</t>
        </is>
      </c>
      <c r="U545" t="inlineStr">
        <is>
          <t>RULED</t>
        </is>
      </c>
      <c r="V545" t="inlineStr">
        <is>
          <t>RULED</t>
        </is>
      </c>
      <c r="W545" t="inlineStr">
        <is>
          <t>CANADA</t>
        </is>
      </c>
      <c r="X545" t="inlineStr">
        <is>
          <t>PERSIAN GULF</t>
        </is>
      </c>
      <c r="Y545" t="inlineStr">
        <is>
          <t>RUSSIA</t>
        </is>
      </c>
      <c r="Z545" t="inlineStr">
        <is>
          <t>External Review</t>
        </is>
      </c>
      <c r="AA545" t="inlineStr">
        <is>
          <t>HUB SHIPPING LLC-LED</t>
        </is>
      </c>
      <c r="AB545" t="inlineStr">
        <is>
          <t>Prepaid</t>
        </is>
      </c>
      <c r="AC545" t="inlineStr">
        <is>
          <t>TIGER PLATA/976N</t>
        </is>
      </c>
      <c r="AE545" t="inlineStr">
        <is>
          <t>LADEN BOOKING</t>
        </is>
      </c>
      <c r="AF545" t="inlineStr">
        <is>
          <t>AR_MARTIMA</t>
        </is>
      </c>
      <c r="AG545" t="inlineStr">
        <is>
          <t>RH40</t>
        </is>
      </c>
      <c r="AH545" t="inlineStr">
        <is>
          <t>NO</t>
        </is>
      </c>
      <c r="AI545" t="n">
        <v>40</v>
      </c>
      <c r="AJ545" t="n">
        <v>0</v>
      </c>
      <c r="AK545" t="n">
        <v>1</v>
      </c>
      <c r="AL545" t="inlineStr">
        <is>
          <t>ANON0000000</t>
        </is>
      </c>
      <c r="AM545" t="n">
        <v>-18</v>
      </c>
      <c r="AP545" t="inlineStr">
        <is>
          <t>Non Haz</t>
        </is>
      </c>
      <c r="AQ545" t="inlineStr">
        <is>
          <t>CY/CY</t>
        </is>
      </c>
      <c r="AT545" t="inlineStr">
        <is>
          <t>REF000000</t>
        </is>
      </c>
      <c r="AU545" t="n">
        <v>29000</v>
      </c>
      <c r="AV545" t="inlineStr">
        <is>
          <t>FROZEN BONELESS BUFFALO MEAT</t>
        </is>
      </c>
      <c r="AW545" t="inlineStr">
        <is>
          <t>N.C.M.: 0206.22</t>
        </is>
      </c>
      <c r="AX545" t="inlineStr">
        <is>
          <t>RSAMI122500027</t>
        </is>
      </c>
      <c r="AZ545" t="n">
        <v>0</v>
      </c>
      <c r="BA545" t="n">
        <v>10</v>
      </c>
      <c r="BB545" t="n">
        <v>10</v>
      </c>
      <c r="BC545" t="n">
        <v>7300</v>
      </c>
      <c r="BD545" t="inlineStr">
        <is>
          <t>No</t>
        </is>
      </c>
      <c r="BF545" t="inlineStr">
        <is>
          <t>Bengal Tiger Line -BTL</t>
        </is>
      </c>
      <c r="BG545" t="inlineStr">
        <is>
          <t>USSEA</t>
        </is>
      </c>
      <c r="BH545" t="n">
        <v>0</v>
      </c>
      <c r="BI545" t="n">
        <v>1</v>
      </c>
      <c r="BJ545" t="n">
        <v>7300</v>
      </c>
      <c r="BK545" t="inlineStr">
        <is>
          <t>LINE</t>
        </is>
      </c>
      <c r="BL545" t="inlineStr">
        <is>
          <t>SEAL REEFER</t>
        </is>
      </c>
      <c r="BM545" t="inlineStr">
        <is>
          <t>SEAL REEFER</t>
        </is>
      </c>
    </row>
    <row r="546">
      <c r="A546" t="n">
        <v>545</v>
      </c>
      <c r="B546" t="inlineStr">
        <is>
          <t>SHARK REEFER</t>
        </is>
      </c>
      <c r="C546" t="inlineStr">
        <is>
          <t>REF000000</t>
        </is>
      </c>
      <c r="D546" t="inlineStr">
        <is>
          <t>REF000000</t>
        </is>
      </c>
      <c r="E546" t="inlineStr">
        <is>
          <t>09-APR-2026</t>
        </is>
      </c>
      <c r="F546" t="inlineStr">
        <is>
          <t>SHARK REEFER</t>
        </is>
      </c>
      <c r="G546" t="inlineStr">
        <is>
          <t>RETIRA POR TRP 1X40RQ TEMP: -18</t>
        </is>
      </c>
      <c r="H546" t="inlineStr">
        <is>
          <t>AR_MARTIMA</t>
        </is>
      </c>
      <c r="J546" t="inlineStr">
        <is>
          <t>20-APR-2026</t>
        </is>
      </c>
      <c r="K546" t="inlineStr">
        <is>
          <t>20-APR-2026</t>
        </is>
      </c>
      <c r="M546" t="inlineStr">
        <is>
          <t>REF000000</t>
        </is>
      </c>
      <c r="N546" t="inlineStr">
        <is>
          <t>USSEA</t>
        </is>
      </c>
      <c r="O546" t="inlineStr">
        <is>
          <t>USSEA</t>
        </is>
      </c>
      <c r="P546" t="inlineStr">
        <is>
          <t>USNFK</t>
        </is>
      </c>
      <c r="U546" t="inlineStr">
        <is>
          <t>RULED</t>
        </is>
      </c>
      <c r="V546" t="inlineStr">
        <is>
          <t>RULED</t>
        </is>
      </c>
      <c r="W546" t="inlineStr">
        <is>
          <t>CANADA</t>
        </is>
      </c>
      <c r="X546" t="inlineStr">
        <is>
          <t>PERSIAN GULF</t>
        </is>
      </c>
      <c r="Y546" t="inlineStr">
        <is>
          <t>RUSSIA</t>
        </is>
      </c>
      <c r="Z546" t="inlineStr">
        <is>
          <t>External Review</t>
        </is>
      </c>
      <c r="AA546" t="inlineStr">
        <is>
          <t>HUB SHIPPING LLC-LED</t>
        </is>
      </c>
      <c r="AB546" t="inlineStr">
        <is>
          <t>Prepaid</t>
        </is>
      </c>
      <c r="AC546" t="inlineStr">
        <is>
          <t>TIGER PLATA/977N</t>
        </is>
      </c>
      <c r="AE546" t="inlineStr">
        <is>
          <t>LADEN BOOKING</t>
        </is>
      </c>
      <c r="AF546" t="inlineStr">
        <is>
          <t>AR_MARTIMA</t>
        </is>
      </c>
      <c r="AG546" t="inlineStr">
        <is>
          <t>RH40</t>
        </is>
      </c>
      <c r="AH546" t="inlineStr">
        <is>
          <t>NO</t>
        </is>
      </c>
      <c r="AI546" t="n">
        <v>40</v>
      </c>
      <c r="AJ546" t="n">
        <v>0</v>
      </c>
      <c r="AK546" t="n">
        <v>1</v>
      </c>
      <c r="AL546" t="inlineStr">
        <is>
          <t>ANON0000000</t>
        </is>
      </c>
      <c r="AM546" t="n">
        <v>-18</v>
      </c>
      <c r="AP546" t="inlineStr">
        <is>
          <t>Non Haz</t>
        </is>
      </c>
      <c r="AQ546" t="inlineStr">
        <is>
          <t>CY/CY</t>
        </is>
      </c>
      <c r="AT546" t="inlineStr">
        <is>
          <t>REF000000</t>
        </is>
      </c>
      <c r="AU546" t="n">
        <v>29000</v>
      </c>
      <c r="AV546" t="inlineStr">
        <is>
          <t>FROZEN FISH</t>
        </is>
      </c>
      <c r="AW546" t="inlineStr">
        <is>
          <t>NCM: 0303.66</t>
        </is>
      </c>
      <c r="AX546" t="inlineStr">
        <is>
          <t>RSAMI032600021</t>
        </is>
      </c>
      <c r="AZ546" t="n">
        <v>0</v>
      </c>
      <c r="BA546" t="n">
        <v>10</v>
      </c>
      <c r="BB546" t="n">
        <v>10</v>
      </c>
      <c r="BC546" t="n">
        <v>7300</v>
      </c>
      <c r="BD546" t="inlineStr">
        <is>
          <t>No</t>
        </is>
      </c>
      <c r="BG546" t="inlineStr">
        <is>
          <t>USSEA</t>
        </is>
      </c>
      <c r="BH546" t="n">
        <v>0</v>
      </c>
      <c r="BI546" t="n">
        <v>1</v>
      </c>
      <c r="BJ546" t="n">
        <v>7300</v>
      </c>
      <c r="BK546" t="inlineStr">
        <is>
          <t>LINE</t>
        </is>
      </c>
      <c r="BL546" t="inlineStr">
        <is>
          <t>SHARK REEFER</t>
        </is>
      </c>
      <c r="BM546" t="inlineStr">
        <is>
          <t>SHARK REEFER</t>
        </is>
      </c>
    </row>
    <row r="547">
      <c r="A547" t="n">
        <v>546</v>
      </c>
      <c r="B547" t="inlineStr">
        <is>
          <t>DOLPHIN REEFER</t>
        </is>
      </c>
      <c r="C547" t="inlineStr">
        <is>
          <t>REF000000</t>
        </is>
      </c>
      <c r="D547" t="inlineStr">
        <is>
          <t>REF000000</t>
        </is>
      </c>
      <c r="E547" t="inlineStr">
        <is>
          <t>09-APR-2026</t>
        </is>
      </c>
      <c r="F547" t="inlineStr">
        <is>
          <t>DOLPHIN REEFER</t>
        </is>
      </c>
      <c r="G547" t="inlineStr">
        <is>
          <t>1X40RH TEMP -18</t>
        </is>
      </c>
      <c r="H547" t="inlineStr">
        <is>
          <t>AR_MARTIMA</t>
        </is>
      </c>
      <c r="J547" t="inlineStr">
        <is>
          <t>20-APR-2026</t>
        </is>
      </c>
      <c r="K547" t="inlineStr">
        <is>
          <t>20-APR-2026</t>
        </is>
      </c>
      <c r="M547" t="inlineStr">
        <is>
          <t>REF000000</t>
        </is>
      </c>
      <c r="N547" t="inlineStr">
        <is>
          <t>USSEA</t>
        </is>
      </c>
      <c r="O547" t="inlineStr">
        <is>
          <t>USSEA</t>
        </is>
      </c>
      <c r="P547" t="inlineStr">
        <is>
          <t>USNFK</t>
        </is>
      </c>
      <c r="U547" t="inlineStr">
        <is>
          <t>RULED</t>
        </is>
      </c>
      <c r="V547" t="inlineStr">
        <is>
          <t>RULED</t>
        </is>
      </c>
      <c r="W547" t="inlineStr">
        <is>
          <t>CANADA</t>
        </is>
      </c>
      <c r="X547" t="inlineStr">
        <is>
          <t>PERSIAN GULF</t>
        </is>
      </c>
      <c r="Y547" t="inlineStr">
        <is>
          <t>RUSSIA</t>
        </is>
      </c>
      <c r="Z547" t="inlineStr">
        <is>
          <t>External Review</t>
        </is>
      </c>
      <c r="AA547" t="inlineStr">
        <is>
          <t>HUB SHIPPING LLC-LED</t>
        </is>
      </c>
      <c r="AB547" t="inlineStr">
        <is>
          <t>Prepaid</t>
        </is>
      </c>
      <c r="AC547" t="inlineStr">
        <is>
          <t>TIGER PLATA/977N</t>
        </is>
      </c>
      <c r="AE547" t="inlineStr">
        <is>
          <t>LADEN BOOKING</t>
        </is>
      </c>
      <c r="AF547" t="inlineStr">
        <is>
          <t>AR_MARTIMA</t>
        </is>
      </c>
      <c r="AG547" t="inlineStr">
        <is>
          <t>RH40</t>
        </is>
      </c>
      <c r="AH547" t="inlineStr">
        <is>
          <t>NO</t>
        </is>
      </c>
      <c r="AI547" t="n">
        <v>40</v>
      </c>
      <c r="AJ547" t="n">
        <v>0</v>
      </c>
      <c r="AK547" t="n">
        <v>1</v>
      </c>
      <c r="AL547" t="inlineStr">
        <is>
          <t>ANON0000000</t>
        </is>
      </c>
      <c r="AM547" t="n">
        <v>-18</v>
      </c>
      <c r="AP547" t="inlineStr">
        <is>
          <t>Non Haz</t>
        </is>
      </c>
      <c r="AQ547" t="inlineStr">
        <is>
          <t>CY/CY</t>
        </is>
      </c>
      <c r="AT547" t="inlineStr">
        <is>
          <t>REF000000</t>
        </is>
      </c>
      <c r="AU547" t="n">
        <v>29000</v>
      </c>
      <c r="AV547" t="inlineStr">
        <is>
          <t>FROZEN FOODSTUFF</t>
        </is>
      </c>
      <c r="AW547" t="inlineStr">
        <is>
          <t>N.C.M.: 0206.21</t>
        </is>
      </c>
      <c r="AX547" t="inlineStr">
        <is>
          <t>RSAMI032600017</t>
        </is>
      </c>
      <c r="AZ547" t="n">
        <v>0</v>
      </c>
      <c r="BA547" t="n">
        <v>10</v>
      </c>
      <c r="BB547" t="n">
        <v>10</v>
      </c>
      <c r="BC547" t="n">
        <v>7300</v>
      </c>
      <c r="BD547" t="inlineStr">
        <is>
          <t>No</t>
        </is>
      </c>
      <c r="BG547" t="inlineStr">
        <is>
          <t>USSEA</t>
        </is>
      </c>
      <c r="BH547" t="n">
        <v>0</v>
      </c>
      <c r="BI547" t="n">
        <v>1</v>
      </c>
      <c r="BJ547" t="n">
        <v>7300</v>
      </c>
      <c r="BK547" t="inlineStr">
        <is>
          <t>LINE</t>
        </is>
      </c>
      <c r="BL547" t="inlineStr">
        <is>
          <t>DOLPHIN REEFER</t>
        </is>
      </c>
      <c r="BM547" t="inlineStr">
        <is>
          <t>DOLPHIN REEFER</t>
        </is>
      </c>
    </row>
    <row r="548">
      <c r="A548" t="n">
        <v>547</v>
      </c>
      <c r="B548" t="inlineStr">
        <is>
          <t>MARLIN REEFER</t>
        </is>
      </c>
      <c r="C548" t="inlineStr">
        <is>
          <t>REF000000</t>
        </is>
      </c>
      <c r="D548" t="inlineStr">
        <is>
          <t>REF000000</t>
        </is>
      </c>
      <c r="E548" t="inlineStr">
        <is>
          <t>10-APR-2026</t>
        </is>
      </c>
      <c r="F548" t="inlineStr">
        <is>
          <t>MARLIN REEFER</t>
        </is>
      </c>
      <c r="G548" t="inlineStr">
        <is>
          <t>1X40RH TEMP -18</t>
        </is>
      </c>
      <c r="H548" t="inlineStr">
        <is>
          <t>AR_MARTIMA</t>
        </is>
      </c>
      <c r="J548" t="inlineStr">
        <is>
          <t>20-APR-2026</t>
        </is>
      </c>
      <c r="K548" t="inlineStr">
        <is>
          <t>20-APR-2026</t>
        </is>
      </c>
      <c r="M548" t="inlineStr">
        <is>
          <t>REF000000</t>
        </is>
      </c>
      <c r="N548" t="inlineStr">
        <is>
          <t>USSEA</t>
        </is>
      </c>
      <c r="O548" t="inlineStr">
        <is>
          <t>USSEA</t>
        </is>
      </c>
      <c r="P548" t="inlineStr">
        <is>
          <t>USNFK</t>
        </is>
      </c>
      <c r="U548" t="inlineStr">
        <is>
          <t>RULED</t>
        </is>
      </c>
      <c r="V548" t="inlineStr">
        <is>
          <t>RULED</t>
        </is>
      </c>
      <c r="W548" t="inlineStr">
        <is>
          <t>CANADA</t>
        </is>
      </c>
      <c r="X548" t="inlineStr">
        <is>
          <t>PERSIAN GULF</t>
        </is>
      </c>
      <c r="Y548" t="inlineStr">
        <is>
          <t>RUSSIA</t>
        </is>
      </c>
      <c r="Z548" t="inlineStr">
        <is>
          <t>External Review</t>
        </is>
      </c>
      <c r="AA548" t="inlineStr">
        <is>
          <t>HUB SHIPPING LLC-LED</t>
        </is>
      </c>
      <c r="AB548" t="inlineStr">
        <is>
          <t>Prepaid</t>
        </is>
      </c>
      <c r="AC548" t="inlineStr">
        <is>
          <t>TIGER PLATA/977N</t>
        </is>
      </c>
      <c r="AE548" t="inlineStr">
        <is>
          <t>LADEN BOOKING</t>
        </is>
      </c>
      <c r="AF548" t="inlineStr">
        <is>
          <t>AR_MARTIMA</t>
        </is>
      </c>
      <c r="AG548" t="inlineStr">
        <is>
          <t>RH40</t>
        </is>
      </c>
      <c r="AH548" t="inlineStr">
        <is>
          <t>NO</t>
        </is>
      </c>
      <c r="AI548" t="n">
        <v>40</v>
      </c>
      <c r="AJ548" t="n">
        <v>0</v>
      </c>
      <c r="AK548" t="n">
        <v>1</v>
      </c>
      <c r="AL548" t="inlineStr">
        <is>
          <t>ANON0000000</t>
        </is>
      </c>
      <c r="AM548" t="n">
        <v>-18</v>
      </c>
      <c r="AP548" t="inlineStr">
        <is>
          <t>Non Haz</t>
        </is>
      </c>
      <c r="AQ548" t="inlineStr">
        <is>
          <t>CY/CY</t>
        </is>
      </c>
      <c r="AT548" t="inlineStr">
        <is>
          <t>REF000000</t>
        </is>
      </c>
      <c r="AU548" t="n">
        <v>29000</v>
      </c>
      <c r="AV548" t="inlineStr">
        <is>
          <t>FROZEN MEAT</t>
        </is>
      </c>
      <c r="AW548" t="inlineStr">
        <is>
          <t>NCM 020622</t>
        </is>
      </c>
      <c r="AX548" t="inlineStr">
        <is>
          <t>RSAMI032600010</t>
        </is>
      </c>
      <c r="AZ548" t="n">
        <v>0</v>
      </c>
      <c r="BA548" t="n">
        <v>10</v>
      </c>
      <c r="BB548" t="n">
        <v>10</v>
      </c>
      <c r="BC548" t="n">
        <v>6800</v>
      </c>
      <c r="BD548" t="inlineStr">
        <is>
          <t>No</t>
        </is>
      </c>
      <c r="BG548" t="inlineStr">
        <is>
          <t>USSEA</t>
        </is>
      </c>
      <c r="BH548" t="n">
        <v>0</v>
      </c>
      <c r="BI548" t="n">
        <v>1</v>
      </c>
      <c r="BJ548" t="n">
        <v>6800</v>
      </c>
      <c r="BK548" t="inlineStr">
        <is>
          <t>LINE</t>
        </is>
      </c>
      <c r="BL548" t="inlineStr">
        <is>
          <t>MARLIN REEFER</t>
        </is>
      </c>
      <c r="BM548" t="inlineStr">
        <is>
          <t>MARLIN REEFER</t>
        </is>
      </c>
    </row>
    <row r="549">
      <c r="A549" t="n">
        <v>548</v>
      </c>
      <c r="B549" t="inlineStr">
        <is>
          <t>TURTLE REEFER</t>
        </is>
      </c>
      <c r="C549" t="inlineStr">
        <is>
          <t>REF000000</t>
        </is>
      </c>
      <c r="D549" t="inlineStr">
        <is>
          <t>REF000000</t>
        </is>
      </c>
      <c r="E549" t="inlineStr">
        <is>
          <t>10-APR-2026</t>
        </is>
      </c>
      <c r="F549" t="inlineStr">
        <is>
          <t>TURTLE REEFER</t>
        </is>
      </c>
      <c r="G549" t="inlineStr">
        <is>
          <t>ENTERED THROUGH SPLIT BOOKING FROM THE BOOKING ID REF000000, BY AR_MARTIMA, ON 4/10/2026 11:19:41 PM</t>
        </is>
      </c>
      <c r="H549" t="inlineStr">
        <is>
          <t>AR_MARTIMA</t>
        </is>
      </c>
      <c r="J549" t="inlineStr">
        <is>
          <t>20-APR-2026</t>
        </is>
      </c>
      <c r="K549" t="inlineStr">
        <is>
          <t>20-APR-2026</t>
        </is>
      </c>
      <c r="M549" t="inlineStr">
        <is>
          <t>REF000000</t>
        </is>
      </c>
      <c r="N549" t="inlineStr">
        <is>
          <t>USSEA</t>
        </is>
      </c>
      <c r="O549" t="inlineStr">
        <is>
          <t>USSEA</t>
        </is>
      </c>
      <c r="P549" t="inlineStr">
        <is>
          <t>USNFK</t>
        </is>
      </c>
      <c r="U549" t="inlineStr">
        <is>
          <t>RULED</t>
        </is>
      </c>
      <c r="V549" t="inlineStr">
        <is>
          <t>RULED</t>
        </is>
      </c>
      <c r="W549" t="inlineStr">
        <is>
          <t>CANADA</t>
        </is>
      </c>
      <c r="X549" t="inlineStr">
        <is>
          <t>PERSIAN GULF</t>
        </is>
      </c>
      <c r="Y549" t="inlineStr">
        <is>
          <t>RUSSIA</t>
        </is>
      </c>
      <c r="Z549" t="inlineStr">
        <is>
          <t>External Review</t>
        </is>
      </c>
      <c r="AA549" t="inlineStr">
        <is>
          <t>HUB SHIPPING LLC-LED</t>
        </is>
      </c>
      <c r="AB549" t="inlineStr">
        <is>
          <t>Prepaid</t>
        </is>
      </c>
      <c r="AC549" t="inlineStr">
        <is>
          <t>TIGER PLATA/977N</t>
        </is>
      </c>
      <c r="AE549" t="inlineStr">
        <is>
          <t>LADEN BOOKING</t>
        </is>
      </c>
      <c r="AF549" t="inlineStr">
        <is>
          <t>AR_MARTIMA</t>
        </is>
      </c>
      <c r="AG549" t="inlineStr">
        <is>
          <t>RH40</t>
        </is>
      </c>
      <c r="AI549" t="n">
        <v>40</v>
      </c>
      <c r="AJ549" t="n">
        <v>0</v>
      </c>
      <c r="AK549" t="n">
        <v>1</v>
      </c>
      <c r="AL549" t="inlineStr">
        <is>
          <t>ANON0000000</t>
        </is>
      </c>
      <c r="AM549" t="n">
        <v>-18</v>
      </c>
      <c r="AP549" t="inlineStr">
        <is>
          <t>Non Haz</t>
        </is>
      </c>
      <c r="AQ549" t="inlineStr">
        <is>
          <t>CY/CY</t>
        </is>
      </c>
      <c r="AT549" t="inlineStr">
        <is>
          <t>REF000000</t>
        </is>
      </c>
      <c r="AU549" t="n">
        <v>29000</v>
      </c>
      <c r="AV549" t="inlineStr">
        <is>
          <t>FROZEN MEAT</t>
        </is>
      </c>
      <c r="AW549" t="inlineStr">
        <is>
          <t>NCM 020621</t>
        </is>
      </c>
      <c r="AX549" t="inlineStr">
        <is>
          <t>RSAMI032600010</t>
        </is>
      </c>
      <c r="AZ549" t="n">
        <v>0</v>
      </c>
      <c r="BA549" t="n">
        <v>10</v>
      </c>
      <c r="BB549" t="n">
        <v>10</v>
      </c>
      <c r="BC549" t="n">
        <v>6800</v>
      </c>
      <c r="BD549" t="inlineStr">
        <is>
          <t>No</t>
        </is>
      </c>
      <c r="BG549" t="inlineStr">
        <is>
          <t>USSEA</t>
        </is>
      </c>
      <c r="BH549" t="n">
        <v>0</v>
      </c>
      <c r="BI549" t="n">
        <v>1</v>
      </c>
      <c r="BJ549" t="n">
        <v>6800</v>
      </c>
      <c r="BK549" t="inlineStr">
        <is>
          <t>LINE</t>
        </is>
      </c>
      <c r="BL549" t="inlineStr">
        <is>
          <t>TURTLE REEFER</t>
        </is>
      </c>
      <c r="BM549" t="inlineStr">
        <is>
          <t>TURTLE REEFER</t>
        </is>
      </c>
    </row>
    <row r="550">
      <c r="A550" t="n">
        <v>549</v>
      </c>
      <c r="B550" t="inlineStr">
        <is>
          <t>ORCA REEFER</t>
        </is>
      </c>
      <c r="C550" t="inlineStr">
        <is>
          <t>REF000000</t>
        </is>
      </c>
      <c r="D550" t="inlineStr">
        <is>
          <t>REF000000</t>
        </is>
      </c>
      <c r="E550" t="inlineStr">
        <is>
          <t>10-APR-2026</t>
        </is>
      </c>
      <c r="F550" t="inlineStr">
        <is>
          <t>ORCA REEFER</t>
        </is>
      </c>
      <c r="G550" t="inlineStr">
        <is>
          <t>ENTERED THROUGH SPLIT BOOKING FROM THE BOOKING ID REF000000, BY AR_MARTIMA, ON 4/10/2026 11:19:41 PM</t>
        </is>
      </c>
      <c r="H550" t="inlineStr">
        <is>
          <t>AR_MARTIMA</t>
        </is>
      </c>
      <c r="J550" t="inlineStr">
        <is>
          <t>20-APR-2026</t>
        </is>
      </c>
      <c r="K550" t="inlineStr">
        <is>
          <t>20-APR-2026</t>
        </is>
      </c>
      <c r="M550" t="inlineStr">
        <is>
          <t>REF000000</t>
        </is>
      </c>
      <c r="N550" t="inlineStr">
        <is>
          <t>USSEA</t>
        </is>
      </c>
      <c r="O550" t="inlineStr">
        <is>
          <t>USSEA</t>
        </is>
      </c>
      <c r="P550" t="inlineStr">
        <is>
          <t>USNFK</t>
        </is>
      </c>
      <c r="U550" t="inlineStr">
        <is>
          <t>RULED</t>
        </is>
      </c>
      <c r="V550" t="inlineStr">
        <is>
          <t>RULED</t>
        </is>
      </c>
      <c r="W550" t="inlineStr">
        <is>
          <t>CANADA</t>
        </is>
      </c>
      <c r="X550" t="inlineStr">
        <is>
          <t>PERSIAN GULF</t>
        </is>
      </c>
      <c r="Y550" t="inlineStr">
        <is>
          <t>RUSSIA</t>
        </is>
      </c>
      <c r="Z550" t="inlineStr">
        <is>
          <t>External Review</t>
        </is>
      </c>
      <c r="AA550" t="inlineStr">
        <is>
          <t>HUB SHIPPING LLC-LED</t>
        </is>
      </c>
      <c r="AB550" t="inlineStr">
        <is>
          <t>Prepaid</t>
        </is>
      </c>
      <c r="AC550" t="inlineStr">
        <is>
          <t>TIGER PLATA/977N</t>
        </is>
      </c>
      <c r="AE550" t="inlineStr">
        <is>
          <t>LADEN BOOKING</t>
        </is>
      </c>
      <c r="AF550" t="inlineStr">
        <is>
          <t>AR_MARTIMA</t>
        </is>
      </c>
      <c r="AG550" t="inlineStr">
        <is>
          <t>RH40</t>
        </is>
      </c>
      <c r="AI550" t="n">
        <v>40</v>
      </c>
      <c r="AJ550" t="n">
        <v>0</v>
      </c>
      <c r="AK550" t="n">
        <v>1</v>
      </c>
      <c r="AL550" t="inlineStr">
        <is>
          <t>ANON0000000</t>
        </is>
      </c>
      <c r="AM550" t="n">
        <v>-18</v>
      </c>
      <c r="AP550" t="inlineStr">
        <is>
          <t>Non Haz</t>
        </is>
      </c>
      <c r="AQ550" t="inlineStr">
        <is>
          <t>CY/CY</t>
        </is>
      </c>
      <c r="AT550" t="inlineStr">
        <is>
          <t>REF000000</t>
        </is>
      </c>
      <c r="AU550" t="n">
        <v>29000</v>
      </c>
      <c r="AV550" t="inlineStr">
        <is>
          <t>FROZEN MEAT</t>
        </is>
      </c>
      <c r="AW550" t="inlineStr">
        <is>
          <t>NCM 020629</t>
        </is>
      </c>
      <c r="AX550" t="inlineStr">
        <is>
          <t>RSAMI032600010</t>
        </is>
      </c>
      <c r="AZ550" t="n">
        <v>0</v>
      </c>
      <c r="BA550" t="n">
        <v>10</v>
      </c>
      <c r="BB550" t="n">
        <v>10</v>
      </c>
      <c r="BC550" t="n">
        <v>6800</v>
      </c>
      <c r="BD550" t="inlineStr">
        <is>
          <t>No</t>
        </is>
      </c>
      <c r="BG550" t="inlineStr">
        <is>
          <t>USSEA</t>
        </is>
      </c>
      <c r="BH550" t="n">
        <v>0</v>
      </c>
      <c r="BI550" t="n">
        <v>1</v>
      </c>
      <c r="BJ550" t="n">
        <v>6800</v>
      </c>
      <c r="BK550" t="inlineStr">
        <is>
          <t>LINE</t>
        </is>
      </c>
      <c r="BL550" t="inlineStr">
        <is>
          <t>ORCA REEFER</t>
        </is>
      </c>
      <c r="BM550" t="inlineStr">
        <is>
          <t>ORCA REEFER</t>
        </is>
      </c>
    </row>
    <row r="551">
      <c r="A551" t="n">
        <v>550</v>
      </c>
      <c r="B551" t="inlineStr">
        <is>
          <t>WHALE REEFER</t>
        </is>
      </c>
      <c r="C551" t="inlineStr">
        <is>
          <t>REF000000</t>
        </is>
      </c>
      <c r="D551" t="inlineStr">
        <is>
          <t>REF000000</t>
        </is>
      </c>
      <c r="E551" t="inlineStr">
        <is>
          <t>10-APR-2026</t>
        </is>
      </c>
      <c r="F551" t="inlineStr">
        <is>
          <t>WHALE REEFER</t>
        </is>
      </c>
      <c r="G551" t="inlineStr">
        <is>
          <t>ENTERED THROUGH SPLIT BOOKING FROM THE BOOKING ID REF000000, BY AR_MARTIMA, ON 4/10/2026 11:19:41 PM</t>
        </is>
      </c>
      <c r="H551" t="inlineStr">
        <is>
          <t>AR_MARTIMA</t>
        </is>
      </c>
      <c r="J551" t="inlineStr">
        <is>
          <t>20-APR-2026</t>
        </is>
      </c>
      <c r="K551" t="inlineStr">
        <is>
          <t>20-APR-2026</t>
        </is>
      </c>
      <c r="M551" t="inlineStr">
        <is>
          <t>REF000000</t>
        </is>
      </c>
      <c r="N551" t="inlineStr">
        <is>
          <t>USSEA</t>
        </is>
      </c>
      <c r="O551" t="inlineStr">
        <is>
          <t>USSEA</t>
        </is>
      </c>
      <c r="P551" t="inlineStr">
        <is>
          <t>USNFK</t>
        </is>
      </c>
      <c r="U551" t="inlineStr">
        <is>
          <t>RULED</t>
        </is>
      </c>
      <c r="V551" t="inlineStr">
        <is>
          <t>RULED</t>
        </is>
      </c>
      <c r="W551" t="inlineStr">
        <is>
          <t>CANADA</t>
        </is>
      </c>
      <c r="X551" t="inlineStr">
        <is>
          <t>PERSIAN GULF</t>
        </is>
      </c>
      <c r="Y551" t="inlineStr">
        <is>
          <t>RUSSIA</t>
        </is>
      </c>
      <c r="Z551" t="inlineStr">
        <is>
          <t>External Review</t>
        </is>
      </c>
      <c r="AA551" t="inlineStr">
        <is>
          <t>HUB SHIPPING LLC-LED</t>
        </is>
      </c>
      <c r="AB551" t="inlineStr">
        <is>
          <t>Prepaid</t>
        </is>
      </c>
      <c r="AC551" t="inlineStr">
        <is>
          <t>TIGER PLATA/977N</t>
        </is>
      </c>
      <c r="AE551" t="inlineStr">
        <is>
          <t>LADEN BOOKING</t>
        </is>
      </c>
      <c r="AF551" t="inlineStr">
        <is>
          <t>AR_MARTIMA</t>
        </is>
      </c>
      <c r="AG551" t="inlineStr">
        <is>
          <t>RH40</t>
        </is>
      </c>
      <c r="AI551" t="n">
        <v>40</v>
      </c>
      <c r="AJ551" t="n">
        <v>0</v>
      </c>
      <c r="AK551" t="n">
        <v>1</v>
      </c>
      <c r="AL551" t="inlineStr">
        <is>
          <t>ANON0000000</t>
        </is>
      </c>
      <c r="AM551" t="n">
        <v>-18</v>
      </c>
      <c r="AP551" t="inlineStr">
        <is>
          <t>Non Haz</t>
        </is>
      </c>
      <c r="AQ551" t="inlineStr">
        <is>
          <t>CY/CY</t>
        </is>
      </c>
      <c r="AT551" t="inlineStr">
        <is>
          <t>REF000000</t>
        </is>
      </c>
      <c r="AU551" t="n">
        <v>29000</v>
      </c>
      <c r="AV551" t="inlineStr">
        <is>
          <t>FROZEN MEAT</t>
        </is>
      </c>
      <c r="AW551" t="inlineStr">
        <is>
          <t>NCM 020622</t>
        </is>
      </c>
      <c r="AX551" t="inlineStr">
        <is>
          <t>RSAMI032600010</t>
        </is>
      </c>
      <c r="AZ551" t="n">
        <v>0</v>
      </c>
      <c r="BA551" t="n">
        <v>10</v>
      </c>
      <c r="BB551" t="n">
        <v>10</v>
      </c>
      <c r="BC551" t="n">
        <v>6800</v>
      </c>
      <c r="BD551" t="inlineStr">
        <is>
          <t>No</t>
        </is>
      </c>
      <c r="BG551" t="inlineStr">
        <is>
          <t>USSEA</t>
        </is>
      </c>
      <c r="BH551" t="n">
        <v>0</v>
      </c>
      <c r="BI551" t="n">
        <v>1</v>
      </c>
      <c r="BJ551" t="n">
        <v>6800</v>
      </c>
      <c r="BK551" t="inlineStr">
        <is>
          <t>LINE</t>
        </is>
      </c>
      <c r="BL551" t="inlineStr">
        <is>
          <t>WHALE REEFER</t>
        </is>
      </c>
      <c r="BM551" t="inlineStr">
        <is>
          <t>WHALE REEFER</t>
        </is>
      </c>
    </row>
    <row r="552">
      <c r="A552" t="n">
        <v>551</v>
      </c>
      <c r="B552" t="inlineStr">
        <is>
          <t>SEAL REEFER</t>
        </is>
      </c>
      <c r="C552" t="inlineStr">
        <is>
          <t>REF000000</t>
        </is>
      </c>
      <c r="D552" t="inlineStr">
        <is>
          <t>REF000000</t>
        </is>
      </c>
      <c r="E552" t="inlineStr">
        <is>
          <t>10-APR-2026</t>
        </is>
      </c>
      <c r="F552" t="inlineStr">
        <is>
          <t>SEAL REEFER</t>
        </is>
      </c>
      <c r="G552" t="inlineStr">
        <is>
          <t>ENTERED THROUGH SPLIT BOOKING FROM THE BOOKING ID REF000000, BY AR_MARTIMA, ON 4/10/2026 11:19:41 PM</t>
        </is>
      </c>
      <c r="H552" t="inlineStr">
        <is>
          <t>AR_MARTIMA</t>
        </is>
      </c>
      <c r="J552" t="inlineStr">
        <is>
          <t>20-APR-2026</t>
        </is>
      </c>
      <c r="K552" t="inlineStr">
        <is>
          <t>20-APR-2026</t>
        </is>
      </c>
      <c r="M552" t="inlineStr">
        <is>
          <t>REF000000</t>
        </is>
      </c>
      <c r="N552" t="inlineStr">
        <is>
          <t>USSEA</t>
        </is>
      </c>
      <c r="O552" t="inlineStr">
        <is>
          <t>USSEA</t>
        </is>
      </c>
      <c r="P552" t="inlineStr">
        <is>
          <t>USNFK</t>
        </is>
      </c>
      <c r="U552" t="inlineStr">
        <is>
          <t>RULED</t>
        </is>
      </c>
      <c r="V552" t="inlineStr">
        <is>
          <t>RULED</t>
        </is>
      </c>
      <c r="W552" t="inlineStr">
        <is>
          <t>CANADA</t>
        </is>
      </c>
      <c r="X552" t="inlineStr">
        <is>
          <t>PERSIAN GULF</t>
        </is>
      </c>
      <c r="Y552" t="inlineStr">
        <is>
          <t>RUSSIA</t>
        </is>
      </c>
      <c r="Z552" t="inlineStr">
        <is>
          <t>External Review</t>
        </is>
      </c>
      <c r="AA552" t="inlineStr">
        <is>
          <t>HUB SHIPPING LLC-LED</t>
        </is>
      </c>
      <c r="AB552" t="inlineStr">
        <is>
          <t>Prepaid</t>
        </is>
      </c>
      <c r="AC552" t="inlineStr">
        <is>
          <t>TIGER PLATA/977N</t>
        </is>
      </c>
      <c r="AE552" t="inlineStr">
        <is>
          <t>LADEN BOOKING</t>
        </is>
      </c>
      <c r="AF552" t="inlineStr">
        <is>
          <t>AR_MARTIMA</t>
        </is>
      </c>
      <c r="AG552" t="inlineStr">
        <is>
          <t>RH40</t>
        </is>
      </c>
      <c r="AI552" t="n">
        <v>40</v>
      </c>
      <c r="AJ552" t="n">
        <v>0</v>
      </c>
      <c r="AK552" t="n">
        <v>1</v>
      </c>
      <c r="AL552" t="inlineStr">
        <is>
          <t>ANON0000000</t>
        </is>
      </c>
      <c r="AM552" t="n">
        <v>-18</v>
      </c>
      <c r="AP552" t="inlineStr">
        <is>
          <t>Non Haz</t>
        </is>
      </c>
      <c r="AQ552" t="inlineStr">
        <is>
          <t>CY/CY</t>
        </is>
      </c>
      <c r="AT552" t="inlineStr">
        <is>
          <t>REF000000</t>
        </is>
      </c>
      <c r="AU552" t="n">
        <v>29000</v>
      </c>
      <c r="AV552" t="inlineStr">
        <is>
          <t>FROZEN MEAT</t>
        </is>
      </c>
      <c r="AW552" t="inlineStr">
        <is>
          <t>NCM 020621</t>
        </is>
      </c>
      <c r="AX552" t="inlineStr">
        <is>
          <t>RSAMI032600010</t>
        </is>
      </c>
      <c r="AZ552" t="n">
        <v>0</v>
      </c>
      <c r="BA552" t="n">
        <v>10</v>
      </c>
      <c r="BB552" t="n">
        <v>10</v>
      </c>
      <c r="BC552" t="n">
        <v>6800</v>
      </c>
      <c r="BD552" t="inlineStr">
        <is>
          <t>No</t>
        </is>
      </c>
      <c r="BG552" t="inlineStr">
        <is>
          <t>USSEA</t>
        </is>
      </c>
      <c r="BH552" t="n">
        <v>0</v>
      </c>
      <c r="BI552" t="n">
        <v>1</v>
      </c>
      <c r="BJ552" t="n">
        <v>6800</v>
      </c>
      <c r="BK552" t="inlineStr">
        <is>
          <t>LINE</t>
        </is>
      </c>
      <c r="BL552" t="inlineStr">
        <is>
          <t>SEAL REEFER</t>
        </is>
      </c>
      <c r="BM552" t="inlineStr">
        <is>
          <t>SEAL REEFER</t>
        </is>
      </c>
    </row>
    <row r="553">
      <c r="A553" t="n">
        <v>552</v>
      </c>
      <c r="B553" t="inlineStr">
        <is>
          <t>SHARK REEFER</t>
        </is>
      </c>
      <c r="C553" t="inlineStr">
        <is>
          <t>REF000000</t>
        </is>
      </c>
      <c r="D553" t="inlineStr">
        <is>
          <t>REF000000</t>
        </is>
      </c>
      <c r="E553" t="inlineStr">
        <is>
          <t>10-APR-2026</t>
        </is>
      </c>
      <c r="F553" t="inlineStr">
        <is>
          <t>SHARK REEFER</t>
        </is>
      </c>
      <c r="G553" t="inlineStr">
        <is>
          <t>ENTERED THROUGH SPLIT BOOKING FROM THE BOOKING ID REF000000, BY AR_MARTIMA, ON 4/10/2026 11:19:41 PM</t>
        </is>
      </c>
      <c r="H553" t="inlineStr">
        <is>
          <t>AR_MARTIMA</t>
        </is>
      </c>
      <c r="J553" t="inlineStr">
        <is>
          <t>20-APR-2026</t>
        </is>
      </c>
      <c r="K553" t="inlineStr">
        <is>
          <t>20-APR-2026</t>
        </is>
      </c>
      <c r="M553" t="inlineStr">
        <is>
          <t>REF000000</t>
        </is>
      </c>
      <c r="N553" t="inlineStr">
        <is>
          <t>USSEA</t>
        </is>
      </c>
      <c r="O553" t="inlineStr">
        <is>
          <t>USSEA</t>
        </is>
      </c>
      <c r="P553" t="inlineStr">
        <is>
          <t>USNFK</t>
        </is>
      </c>
      <c r="U553" t="inlineStr">
        <is>
          <t>RULED</t>
        </is>
      </c>
      <c r="V553" t="inlineStr">
        <is>
          <t>RULED</t>
        </is>
      </c>
      <c r="W553" t="inlineStr">
        <is>
          <t>CANADA</t>
        </is>
      </c>
      <c r="X553" t="inlineStr">
        <is>
          <t>PERSIAN GULF</t>
        </is>
      </c>
      <c r="Y553" t="inlineStr">
        <is>
          <t>RUSSIA</t>
        </is>
      </c>
      <c r="Z553" t="inlineStr">
        <is>
          <t>External Review</t>
        </is>
      </c>
      <c r="AA553" t="inlineStr">
        <is>
          <t>HUB SHIPPING LLC-LED</t>
        </is>
      </c>
      <c r="AB553" t="inlineStr">
        <is>
          <t>Prepaid</t>
        </is>
      </c>
      <c r="AC553" t="inlineStr">
        <is>
          <t>TIGER PLATA/977N</t>
        </is>
      </c>
      <c r="AE553" t="inlineStr">
        <is>
          <t>LADEN BOOKING</t>
        </is>
      </c>
      <c r="AF553" t="inlineStr">
        <is>
          <t>AR_MARTIMA</t>
        </is>
      </c>
      <c r="AG553" t="inlineStr">
        <is>
          <t>RH40</t>
        </is>
      </c>
      <c r="AI553" t="n">
        <v>40</v>
      </c>
      <c r="AJ553" t="n">
        <v>0</v>
      </c>
      <c r="AK553" t="n">
        <v>1</v>
      </c>
      <c r="AL553" t="inlineStr">
        <is>
          <t>ANON0000000</t>
        </is>
      </c>
      <c r="AM553" t="n">
        <v>-18</v>
      </c>
      <c r="AP553" t="inlineStr">
        <is>
          <t>Non Haz</t>
        </is>
      </c>
      <c r="AQ553" t="inlineStr">
        <is>
          <t>CY/CY</t>
        </is>
      </c>
      <c r="AT553" t="inlineStr">
        <is>
          <t>REF000000</t>
        </is>
      </c>
      <c r="AU553" t="n">
        <v>29000</v>
      </c>
      <c r="AV553" t="inlineStr">
        <is>
          <t>FROZEN MEAT</t>
        </is>
      </c>
      <c r="AW553" t="inlineStr">
        <is>
          <t>NCM 020621</t>
        </is>
      </c>
      <c r="AX553" t="inlineStr">
        <is>
          <t>RSAMI032600010</t>
        </is>
      </c>
      <c r="AZ553" t="n">
        <v>0</v>
      </c>
      <c r="BA553" t="n">
        <v>10</v>
      </c>
      <c r="BB553" t="n">
        <v>10</v>
      </c>
      <c r="BC553" t="n">
        <v>6800</v>
      </c>
      <c r="BD553" t="inlineStr">
        <is>
          <t>No</t>
        </is>
      </c>
      <c r="BG553" t="inlineStr">
        <is>
          <t>USSEA</t>
        </is>
      </c>
      <c r="BH553" t="n">
        <v>0</v>
      </c>
      <c r="BI553" t="n">
        <v>1</v>
      </c>
      <c r="BJ553" t="n">
        <v>6800</v>
      </c>
      <c r="BK553" t="inlineStr">
        <is>
          <t>LINE</t>
        </is>
      </c>
      <c r="BL553" t="inlineStr">
        <is>
          <t>SHARK REEFER</t>
        </is>
      </c>
      <c r="BM553" t="inlineStr">
        <is>
          <t>SHARK REEFER</t>
        </is>
      </c>
    </row>
    <row r="554">
      <c r="A554" t="n">
        <v>553</v>
      </c>
      <c r="B554" t="inlineStr">
        <is>
          <t>DOLPHIN REEFER</t>
        </is>
      </c>
      <c r="C554" t="inlineStr">
        <is>
          <t>REF000000</t>
        </is>
      </c>
      <c r="D554" t="inlineStr">
        <is>
          <t>REF000000</t>
        </is>
      </c>
      <c r="E554" t="inlineStr">
        <is>
          <t>10-APR-2026</t>
        </is>
      </c>
      <c r="F554" t="inlineStr">
        <is>
          <t>DOLPHIN REEFER</t>
        </is>
      </c>
      <c r="G554" t="inlineStr">
        <is>
          <t>ENTERED THROUGH SPLIT BOOKING FROM THE BOOKING ID REF000000, BY AR_MARTIMA, ON 4/10/2026 11:19:42 PM</t>
        </is>
      </c>
      <c r="H554" t="inlineStr">
        <is>
          <t>AR_MARTIMA</t>
        </is>
      </c>
      <c r="J554" t="inlineStr">
        <is>
          <t>20-APR-2026</t>
        </is>
      </c>
      <c r="K554" t="inlineStr">
        <is>
          <t>20-APR-2026</t>
        </is>
      </c>
      <c r="M554" t="inlineStr">
        <is>
          <t>REF000000</t>
        </is>
      </c>
      <c r="N554" t="inlineStr">
        <is>
          <t>USSEA</t>
        </is>
      </c>
      <c r="O554" t="inlineStr">
        <is>
          <t>USSEA</t>
        </is>
      </c>
      <c r="P554" t="inlineStr">
        <is>
          <t>USNFK</t>
        </is>
      </c>
      <c r="U554" t="inlineStr">
        <is>
          <t>RULED</t>
        </is>
      </c>
      <c r="V554" t="inlineStr">
        <is>
          <t>RULED</t>
        </is>
      </c>
      <c r="W554" t="inlineStr">
        <is>
          <t>CANADA</t>
        </is>
      </c>
      <c r="X554" t="inlineStr">
        <is>
          <t>PERSIAN GULF</t>
        </is>
      </c>
      <c r="Y554" t="inlineStr">
        <is>
          <t>RUSSIA</t>
        </is>
      </c>
      <c r="Z554" t="inlineStr">
        <is>
          <t>External Review</t>
        </is>
      </c>
      <c r="AA554" t="inlineStr">
        <is>
          <t>HUB SHIPPING LLC-LED</t>
        </is>
      </c>
      <c r="AB554" t="inlineStr">
        <is>
          <t>Prepaid</t>
        </is>
      </c>
      <c r="AC554" t="inlineStr">
        <is>
          <t>TIGER PLATA/977N</t>
        </is>
      </c>
      <c r="AE554" t="inlineStr">
        <is>
          <t>LADEN BOOKING</t>
        </is>
      </c>
      <c r="AF554" t="inlineStr">
        <is>
          <t>AR_MARTIMA</t>
        </is>
      </c>
      <c r="AG554" t="inlineStr">
        <is>
          <t>RH40</t>
        </is>
      </c>
      <c r="AI554" t="n">
        <v>40</v>
      </c>
      <c r="AJ554" t="n">
        <v>0</v>
      </c>
      <c r="AK554" t="n">
        <v>1</v>
      </c>
      <c r="AL554" t="inlineStr">
        <is>
          <t>ANON0000000</t>
        </is>
      </c>
      <c r="AM554" t="n">
        <v>-18</v>
      </c>
      <c r="AP554" t="inlineStr">
        <is>
          <t>Non Haz</t>
        </is>
      </c>
      <c r="AQ554" t="inlineStr">
        <is>
          <t>CY/CY</t>
        </is>
      </c>
      <c r="AT554" t="inlineStr">
        <is>
          <t>REF000000</t>
        </is>
      </c>
      <c r="AU554" t="n">
        <v>29000</v>
      </c>
      <c r="AV554" t="inlineStr">
        <is>
          <t>FROZEN MEAT</t>
        </is>
      </c>
      <c r="AW554" t="inlineStr">
        <is>
          <t>NCM 020622</t>
        </is>
      </c>
      <c r="AX554" t="inlineStr">
        <is>
          <t>RSAMI032600010</t>
        </is>
      </c>
      <c r="AZ554" t="n">
        <v>0</v>
      </c>
      <c r="BA554" t="n">
        <v>10</v>
      </c>
      <c r="BB554" t="n">
        <v>10</v>
      </c>
      <c r="BC554" t="n">
        <v>6800</v>
      </c>
      <c r="BD554" t="inlineStr">
        <is>
          <t>No</t>
        </is>
      </c>
      <c r="BG554" t="inlineStr">
        <is>
          <t>USSEA</t>
        </is>
      </c>
      <c r="BH554" t="n">
        <v>0</v>
      </c>
      <c r="BI554" t="n">
        <v>1</v>
      </c>
      <c r="BJ554" t="n">
        <v>6800</v>
      </c>
      <c r="BK554" t="inlineStr">
        <is>
          <t>LINE</t>
        </is>
      </c>
      <c r="BL554" t="inlineStr">
        <is>
          <t>DOLPHIN REEFER</t>
        </is>
      </c>
      <c r="BM554" t="inlineStr">
        <is>
          <t>DOLPHIN REEFER</t>
        </is>
      </c>
    </row>
    <row r="555">
      <c r="A555" t="n">
        <v>554</v>
      </c>
      <c r="B555" t="inlineStr">
        <is>
          <t>MARLIN REEFER</t>
        </is>
      </c>
      <c r="C555" t="inlineStr">
        <is>
          <t>REF000000</t>
        </is>
      </c>
      <c r="D555" t="inlineStr">
        <is>
          <t>REF000000</t>
        </is>
      </c>
      <c r="E555" t="inlineStr">
        <is>
          <t>10-APR-2026</t>
        </is>
      </c>
      <c r="F555" t="inlineStr">
        <is>
          <t>MARLIN REEFER</t>
        </is>
      </c>
      <c r="G555" t="inlineStr">
        <is>
          <t>ENTERED THROUGH SPLIT BOOKING FROM THE BOOKING ID REF000000, BY AR_MARTIMA, ON 4/10/2026 11:19:42 PM</t>
        </is>
      </c>
      <c r="H555" t="inlineStr">
        <is>
          <t>AR_MARTIMA</t>
        </is>
      </c>
      <c r="J555" t="inlineStr">
        <is>
          <t>20-APR-2026</t>
        </is>
      </c>
      <c r="K555" t="inlineStr">
        <is>
          <t>20-APR-2026</t>
        </is>
      </c>
      <c r="M555" t="inlineStr">
        <is>
          <t>REF000000</t>
        </is>
      </c>
      <c r="N555" t="inlineStr">
        <is>
          <t>USSEA</t>
        </is>
      </c>
      <c r="O555" t="inlineStr">
        <is>
          <t>USSEA</t>
        </is>
      </c>
      <c r="P555" t="inlineStr">
        <is>
          <t>USNFK</t>
        </is>
      </c>
      <c r="U555" t="inlineStr">
        <is>
          <t>RULED</t>
        </is>
      </c>
      <c r="V555" t="inlineStr">
        <is>
          <t>RULED</t>
        </is>
      </c>
      <c r="W555" t="inlineStr">
        <is>
          <t>CANADA</t>
        </is>
      </c>
      <c r="X555" t="inlineStr">
        <is>
          <t>PERSIAN GULF</t>
        </is>
      </c>
      <c r="Y555" t="inlineStr">
        <is>
          <t>RUSSIA</t>
        </is>
      </c>
      <c r="Z555" t="inlineStr">
        <is>
          <t>External Review</t>
        </is>
      </c>
      <c r="AA555" t="inlineStr">
        <is>
          <t>HUB SHIPPING LLC-LED</t>
        </is>
      </c>
      <c r="AB555" t="inlineStr">
        <is>
          <t>Prepaid</t>
        </is>
      </c>
      <c r="AC555" t="inlineStr">
        <is>
          <t>TIGER PLATA/977N</t>
        </is>
      </c>
      <c r="AE555" t="inlineStr">
        <is>
          <t>LADEN BOOKING</t>
        </is>
      </c>
      <c r="AF555" t="inlineStr">
        <is>
          <t>AR_MARTIMA</t>
        </is>
      </c>
      <c r="AG555" t="inlineStr">
        <is>
          <t>RH40</t>
        </is>
      </c>
      <c r="AI555" t="n">
        <v>40</v>
      </c>
      <c r="AJ555" t="n">
        <v>0</v>
      </c>
      <c r="AK555" t="n">
        <v>1</v>
      </c>
      <c r="AL555" t="inlineStr">
        <is>
          <t>ANON0000000</t>
        </is>
      </c>
      <c r="AM555" t="n">
        <v>-18</v>
      </c>
      <c r="AP555" t="inlineStr">
        <is>
          <t>Non Haz</t>
        </is>
      </c>
      <c r="AQ555" t="inlineStr">
        <is>
          <t>CY/CY</t>
        </is>
      </c>
      <c r="AT555" t="inlineStr">
        <is>
          <t>REF000000</t>
        </is>
      </c>
      <c r="AU555" t="n">
        <v>29000</v>
      </c>
      <c r="AV555" t="inlineStr">
        <is>
          <t>FROZEN MEAT</t>
        </is>
      </c>
      <c r="AW555" t="inlineStr">
        <is>
          <t>NCM 020622</t>
        </is>
      </c>
      <c r="AX555" t="inlineStr">
        <is>
          <t>RSAMI032600010</t>
        </is>
      </c>
      <c r="AZ555" t="n">
        <v>0</v>
      </c>
      <c r="BA555" t="n">
        <v>10</v>
      </c>
      <c r="BB555" t="n">
        <v>10</v>
      </c>
      <c r="BC555" t="n">
        <v>6800</v>
      </c>
      <c r="BD555" t="inlineStr">
        <is>
          <t>No</t>
        </is>
      </c>
      <c r="BG555" t="inlineStr">
        <is>
          <t>USSEA</t>
        </is>
      </c>
      <c r="BH555" t="n">
        <v>0</v>
      </c>
      <c r="BI555" t="n">
        <v>1</v>
      </c>
      <c r="BJ555" t="n">
        <v>6800</v>
      </c>
      <c r="BK555" t="inlineStr">
        <is>
          <t>LINE</t>
        </is>
      </c>
      <c r="BL555" t="inlineStr">
        <is>
          <t>MARLIN REEFER</t>
        </is>
      </c>
      <c r="BM555" t="inlineStr">
        <is>
          <t>MARLIN REEFER</t>
        </is>
      </c>
    </row>
    <row r="556">
      <c r="A556" t="n">
        <v>555</v>
      </c>
      <c r="B556" t="inlineStr">
        <is>
          <t>TURTLE REEFER</t>
        </is>
      </c>
      <c r="C556" t="inlineStr">
        <is>
          <t>REF000000</t>
        </is>
      </c>
      <c r="D556" t="inlineStr">
        <is>
          <t>REF000000</t>
        </is>
      </c>
      <c r="E556" t="inlineStr">
        <is>
          <t>13-APR-2026</t>
        </is>
      </c>
      <c r="F556" t="inlineStr">
        <is>
          <t>TURTLE REEFER</t>
        </is>
      </c>
      <c r="G556" t="inlineStr">
        <is>
          <t>1x40rh temp -18</t>
        </is>
      </c>
      <c r="H556" t="inlineStr">
        <is>
          <t>AR_MARTIMA</t>
        </is>
      </c>
      <c r="J556" t="inlineStr">
        <is>
          <t>20-APR-2026</t>
        </is>
      </c>
      <c r="K556" t="inlineStr">
        <is>
          <t>20-APR-2026</t>
        </is>
      </c>
      <c r="M556" t="inlineStr">
        <is>
          <t>REF000000</t>
        </is>
      </c>
      <c r="N556" t="inlineStr">
        <is>
          <t>USSEA</t>
        </is>
      </c>
      <c r="O556" t="inlineStr">
        <is>
          <t>USSEA</t>
        </is>
      </c>
      <c r="P556" t="inlineStr">
        <is>
          <t>USNFK</t>
        </is>
      </c>
      <c r="U556" t="inlineStr">
        <is>
          <t>RULED</t>
        </is>
      </c>
      <c r="V556" t="inlineStr">
        <is>
          <t>RULED</t>
        </is>
      </c>
      <c r="W556" t="inlineStr">
        <is>
          <t>CANADA</t>
        </is>
      </c>
      <c r="X556" t="inlineStr">
        <is>
          <t>PERSIAN GULF</t>
        </is>
      </c>
      <c r="Y556" t="inlineStr">
        <is>
          <t>RUSSIA</t>
        </is>
      </c>
      <c r="Z556" t="inlineStr">
        <is>
          <t>External Review</t>
        </is>
      </c>
      <c r="AA556" t="inlineStr">
        <is>
          <t>HUB SHIPPING LLC-LED</t>
        </is>
      </c>
      <c r="AB556" t="inlineStr">
        <is>
          <t>Prepaid</t>
        </is>
      </c>
      <c r="AC556" t="inlineStr">
        <is>
          <t>TIGER PLATA/977N</t>
        </is>
      </c>
      <c r="AE556" t="inlineStr">
        <is>
          <t>LADEN BOOKING</t>
        </is>
      </c>
      <c r="AF556" t="inlineStr">
        <is>
          <t>AR_MARTIMA</t>
        </is>
      </c>
      <c r="AG556" t="inlineStr">
        <is>
          <t>RH40</t>
        </is>
      </c>
      <c r="AH556" t="inlineStr">
        <is>
          <t>NO</t>
        </is>
      </c>
      <c r="AI556" t="n">
        <v>40</v>
      </c>
      <c r="AJ556" t="n">
        <v>0</v>
      </c>
      <c r="AK556" t="n">
        <v>1</v>
      </c>
      <c r="AL556" t="inlineStr">
        <is>
          <t>ANON0000000</t>
        </is>
      </c>
      <c r="AM556" t="n">
        <v>-18</v>
      </c>
      <c r="AP556" t="inlineStr">
        <is>
          <t>Non Haz</t>
        </is>
      </c>
      <c r="AQ556" t="inlineStr">
        <is>
          <t>CY/CY</t>
        </is>
      </c>
      <c r="AT556" t="inlineStr">
        <is>
          <t>REF000000</t>
        </is>
      </c>
      <c r="AU556" t="n">
        <v>29000</v>
      </c>
      <c r="AV556" t="inlineStr">
        <is>
          <t>FROZEN FOODSTUFF</t>
        </is>
      </c>
      <c r="AW556" t="inlineStr">
        <is>
          <t>N.C.M.: 0206.22</t>
        </is>
      </c>
      <c r="AX556" t="inlineStr">
        <is>
          <t>RSAMI032600017</t>
        </is>
      </c>
      <c r="AZ556" t="n">
        <v>0</v>
      </c>
      <c r="BA556" t="n">
        <v>10</v>
      </c>
      <c r="BB556" t="n">
        <v>10</v>
      </c>
      <c r="BC556" t="n">
        <v>7300</v>
      </c>
      <c r="BD556" t="inlineStr">
        <is>
          <t>No</t>
        </is>
      </c>
      <c r="BG556" t="inlineStr">
        <is>
          <t>USSEA</t>
        </is>
      </c>
      <c r="BH556" t="n">
        <v>0</v>
      </c>
      <c r="BI556" t="n">
        <v>1</v>
      </c>
      <c r="BJ556" t="n">
        <v>7300</v>
      </c>
      <c r="BK556" t="inlineStr">
        <is>
          <t>LINE</t>
        </is>
      </c>
      <c r="BL556" t="inlineStr">
        <is>
          <t>TURTLE REEFER</t>
        </is>
      </c>
      <c r="BM556" t="inlineStr">
        <is>
          <t>TURTLE REEFER</t>
        </is>
      </c>
    </row>
    <row r="557">
      <c r="A557" t="n">
        <v>556</v>
      </c>
      <c r="B557" t="inlineStr">
        <is>
          <t>FALCON DRY</t>
        </is>
      </c>
      <c r="C557" t="inlineStr">
        <is>
          <t>REF000000</t>
        </is>
      </c>
      <c r="D557" t="inlineStr">
        <is>
          <t>REF000000</t>
        </is>
      </c>
      <c r="E557" t="inlineStr">
        <is>
          <t>14-APR-2026</t>
        </is>
      </c>
      <c r="F557" t="inlineStr">
        <is>
          <t>FALCON DRY</t>
        </is>
      </c>
      <c r="G557" t="inlineStr">
        <is>
          <t>1X20DC USSEA - RULED</t>
        </is>
      </c>
      <c r="H557" t="inlineStr">
        <is>
          <t>AR_MARTIMA</t>
        </is>
      </c>
      <c r="J557" t="inlineStr">
        <is>
          <t>20-APR-2026</t>
        </is>
      </c>
      <c r="K557" t="inlineStr">
        <is>
          <t>20-APR-2026</t>
        </is>
      </c>
      <c r="M557" t="inlineStr">
        <is>
          <t>REF000000</t>
        </is>
      </c>
      <c r="N557" t="inlineStr">
        <is>
          <t>USSEA</t>
        </is>
      </c>
      <c r="O557" t="inlineStr">
        <is>
          <t>USSEA</t>
        </is>
      </c>
      <c r="P557" t="inlineStr">
        <is>
          <t>USNFK</t>
        </is>
      </c>
      <c r="U557" t="inlineStr">
        <is>
          <t>RULED</t>
        </is>
      </c>
      <c r="V557" t="inlineStr">
        <is>
          <t>RULED</t>
        </is>
      </c>
      <c r="W557" t="inlineStr">
        <is>
          <t>CANADA</t>
        </is>
      </c>
      <c r="X557" t="inlineStr">
        <is>
          <t>PERSIAN GULF</t>
        </is>
      </c>
      <c r="Y557" t="inlineStr">
        <is>
          <t>RUSSIA</t>
        </is>
      </c>
      <c r="Z557" t="inlineStr">
        <is>
          <t>External Review</t>
        </is>
      </c>
      <c r="AA557" t="inlineStr">
        <is>
          <t>HUB SHIPPING LLC-LED</t>
        </is>
      </c>
      <c r="AB557" t="inlineStr">
        <is>
          <t>Prepaid</t>
        </is>
      </c>
      <c r="AC557" t="inlineStr">
        <is>
          <t>TIGER PLATA/977N</t>
        </is>
      </c>
      <c r="AE557" t="inlineStr">
        <is>
          <t>LADEN BOOKING</t>
        </is>
      </c>
      <c r="AF557" t="inlineStr">
        <is>
          <t>AR_MARTIMA</t>
        </is>
      </c>
      <c r="AG557" t="inlineStr">
        <is>
          <t>DC20</t>
        </is>
      </c>
      <c r="AH557" t="inlineStr">
        <is>
          <t>NO</t>
        </is>
      </c>
      <c r="AI557" t="n">
        <v>20</v>
      </c>
      <c r="AJ557" t="n">
        <v>1</v>
      </c>
      <c r="AK557" t="n">
        <v>0</v>
      </c>
      <c r="AL557" t="inlineStr">
        <is>
          <t>ANON0000000</t>
        </is>
      </c>
      <c r="AP557" t="inlineStr">
        <is>
          <t>Non Haz</t>
        </is>
      </c>
      <c r="AQ557" t="inlineStr">
        <is>
          <t>CY/CY</t>
        </is>
      </c>
      <c r="AT557" t="inlineStr">
        <is>
          <t>REF000000</t>
        </is>
      </c>
      <c r="AU557" t="n">
        <v>27000</v>
      </c>
      <c r="AV557" t="inlineStr">
        <is>
          <t>GENERAL COMMODITY</t>
        </is>
      </c>
      <c r="AW557" t="inlineStr">
        <is>
          <t>NCM 0504.00.11.391X</t>
        </is>
      </c>
      <c r="AX557" t="inlineStr">
        <is>
          <t>MRG422777</t>
        </is>
      </c>
      <c r="AY557" t="inlineStr">
        <is>
          <t>LINE</t>
        </is>
      </c>
      <c r="AZ557" t="n">
        <v>0</v>
      </c>
      <c r="BA557" t="n">
        <v>14</v>
      </c>
      <c r="BB557" t="n">
        <v>14</v>
      </c>
      <c r="BC557" t="n">
        <v>4200</v>
      </c>
      <c r="BD557" t="inlineStr">
        <is>
          <t>No</t>
        </is>
      </c>
      <c r="BG557" t="inlineStr">
        <is>
          <t>USSEA</t>
        </is>
      </c>
      <c r="BH557" t="n">
        <v>1</v>
      </c>
      <c r="BI557" t="n">
        <v>0</v>
      </c>
      <c r="BJ557" t="n">
        <v>4200</v>
      </c>
      <c r="BK557" t="inlineStr">
        <is>
          <t>LINE</t>
        </is>
      </c>
      <c r="BL557" t="inlineStr">
        <is>
          <t>FALCON DRY</t>
        </is>
      </c>
      <c r="BM557" t="inlineStr">
        <is>
          <t>FALCON DRY</t>
        </is>
      </c>
    </row>
    <row r="558">
      <c r="A558" t="n">
        <v>557</v>
      </c>
      <c r="B558" t="inlineStr">
        <is>
          <t>WHALE REEFER</t>
        </is>
      </c>
      <c r="C558" t="inlineStr">
        <is>
          <t>REF000000</t>
        </is>
      </c>
      <c r="D558" t="inlineStr">
        <is>
          <t>REF000000</t>
        </is>
      </c>
      <c r="E558" t="inlineStr">
        <is>
          <t>14-APR-2026</t>
        </is>
      </c>
      <c r="F558" t="inlineStr">
        <is>
          <t>WHALE REEFER</t>
        </is>
      </c>
      <c r="G558" t="inlineStr">
        <is>
          <t>1x40RH temp -18</t>
        </is>
      </c>
      <c r="H558" t="inlineStr">
        <is>
          <t>AR_MARTIMA</t>
        </is>
      </c>
      <c r="J558" t="inlineStr">
        <is>
          <t>20-APR-2026</t>
        </is>
      </c>
      <c r="K558" t="inlineStr">
        <is>
          <t>20-APR-2026</t>
        </is>
      </c>
      <c r="M558" t="inlineStr">
        <is>
          <t>REF000000</t>
        </is>
      </c>
      <c r="N558" t="inlineStr">
        <is>
          <t>USSEA</t>
        </is>
      </c>
      <c r="O558" t="inlineStr">
        <is>
          <t>USSEA</t>
        </is>
      </c>
      <c r="P558" t="inlineStr">
        <is>
          <t>USNFK</t>
        </is>
      </c>
      <c r="U558" t="inlineStr">
        <is>
          <t>RULED</t>
        </is>
      </c>
      <c r="V558" t="inlineStr">
        <is>
          <t>RULED</t>
        </is>
      </c>
      <c r="W558" t="inlineStr">
        <is>
          <t>CANADA</t>
        </is>
      </c>
      <c r="X558" t="inlineStr">
        <is>
          <t>PERSIAN GULF</t>
        </is>
      </c>
      <c r="Y558" t="inlineStr">
        <is>
          <t>RUSSIA</t>
        </is>
      </c>
      <c r="Z558" t="inlineStr">
        <is>
          <t>External Review</t>
        </is>
      </c>
      <c r="AA558" t="inlineStr">
        <is>
          <t>HUB SHIPPING LLC-LED</t>
        </is>
      </c>
      <c r="AB558" t="inlineStr">
        <is>
          <t>Prepaid</t>
        </is>
      </c>
      <c r="AC558" t="inlineStr">
        <is>
          <t>TIGER PLATA/977N</t>
        </is>
      </c>
      <c r="AE558" t="inlineStr">
        <is>
          <t>LADEN BOOKING</t>
        </is>
      </c>
      <c r="AF558" t="inlineStr">
        <is>
          <t>AR_MARTIMA</t>
        </is>
      </c>
      <c r="AG558" t="inlineStr">
        <is>
          <t>RH40</t>
        </is>
      </c>
      <c r="AH558" t="inlineStr">
        <is>
          <t>NO</t>
        </is>
      </c>
      <c r="AI558" t="n">
        <v>40</v>
      </c>
      <c r="AJ558" t="n">
        <v>0</v>
      </c>
      <c r="AK558" t="n">
        <v>1</v>
      </c>
      <c r="AL558" t="inlineStr">
        <is>
          <t>ANON0000000</t>
        </is>
      </c>
      <c r="AM558" t="n">
        <v>-18</v>
      </c>
      <c r="AP558" t="inlineStr">
        <is>
          <t>Non Haz</t>
        </is>
      </c>
      <c r="AQ558" t="inlineStr">
        <is>
          <t>CY/CY</t>
        </is>
      </c>
      <c r="AT558" t="inlineStr">
        <is>
          <t>REF000000</t>
        </is>
      </c>
      <c r="AU558" t="n">
        <v>29000</v>
      </c>
      <c r="AV558" t="inlineStr">
        <is>
          <t>FROZEN MEAT</t>
        </is>
      </c>
      <c r="AW558" t="inlineStr">
        <is>
          <t>NCM 020629</t>
        </is>
      </c>
      <c r="AX558" t="inlineStr">
        <is>
          <t>RSAMI032600010</t>
        </is>
      </c>
      <c r="AZ558" t="n">
        <v>0</v>
      </c>
      <c r="BA558" t="n">
        <v>10</v>
      </c>
      <c r="BB558" t="n">
        <v>10</v>
      </c>
      <c r="BC558" t="n">
        <v>6800</v>
      </c>
      <c r="BD558" t="inlineStr">
        <is>
          <t>No</t>
        </is>
      </c>
      <c r="BG558" t="inlineStr">
        <is>
          <t>USSEA</t>
        </is>
      </c>
      <c r="BH558" t="n">
        <v>0</v>
      </c>
      <c r="BI558" t="n">
        <v>1</v>
      </c>
      <c r="BJ558" t="n">
        <v>6800</v>
      </c>
      <c r="BK558" t="inlineStr">
        <is>
          <t>LINE</t>
        </is>
      </c>
      <c r="BL558" t="inlineStr">
        <is>
          <t>WHALE REEFER</t>
        </is>
      </c>
      <c r="BM558" t="inlineStr">
        <is>
          <t>WHALE REEFER</t>
        </is>
      </c>
    </row>
    <row r="559">
      <c r="A559" t="n">
        <v>558</v>
      </c>
      <c r="B559" t="inlineStr">
        <is>
          <t>SEAL REEFER</t>
        </is>
      </c>
      <c r="C559" t="inlineStr">
        <is>
          <t>REF000000</t>
        </is>
      </c>
      <c r="D559" t="inlineStr">
        <is>
          <t>REF000000</t>
        </is>
      </c>
      <c r="E559" t="inlineStr">
        <is>
          <t>14-APR-2026</t>
        </is>
      </c>
      <c r="F559" t="inlineStr">
        <is>
          <t>SEAL REEFER</t>
        </is>
      </c>
      <c r="G559" t="inlineStr">
        <is>
          <t>ENTERED THROUGH SPLIT BOOKING FROM THE BOOKING ID REF000000, BY AR_MARTIMA, ON 4/14/2026 9:40:10 PM</t>
        </is>
      </c>
      <c r="H559" t="inlineStr">
        <is>
          <t>AR_MARTIMA</t>
        </is>
      </c>
      <c r="J559" t="inlineStr">
        <is>
          <t>20-APR-2026</t>
        </is>
      </c>
      <c r="K559" t="inlineStr">
        <is>
          <t>20-APR-2026</t>
        </is>
      </c>
      <c r="M559" t="inlineStr">
        <is>
          <t>REF000000</t>
        </is>
      </c>
      <c r="N559" t="inlineStr">
        <is>
          <t>USSEA</t>
        </is>
      </c>
      <c r="O559" t="inlineStr">
        <is>
          <t>USSEA</t>
        </is>
      </c>
      <c r="P559" t="inlineStr">
        <is>
          <t>USNFK</t>
        </is>
      </c>
      <c r="U559" t="inlineStr">
        <is>
          <t>RULED</t>
        </is>
      </c>
      <c r="V559" t="inlineStr">
        <is>
          <t>RULED</t>
        </is>
      </c>
      <c r="W559" t="inlineStr">
        <is>
          <t>CANADA</t>
        </is>
      </c>
      <c r="X559" t="inlineStr">
        <is>
          <t>PERSIAN GULF</t>
        </is>
      </c>
      <c r="Y559" t="inlineStr">
        <is>
          <t>RUSSIA</t>
        </is>
      </c>
      <c r="Z559" t="inlineStr">
        <is>
          <t>External Review</t>
        </is>
      </c>
      <c r="AA559" t="inlineStr">
        <is>
          <t>HUB SHIPPING LLC-LED</t>
        </is>
      </c>
      <c r="AB559" t="inlineStr">
        <is>
          <t>Prepaid</t>
        </is>
      </c>
      <c r="AC559" t="inlineStr">
        <is>
          <t>TIGER PLATA/977N</t>
        </is>
      </c>
      <c r="AE559" t="inlineStr">
        <is>
          <t>LADEN BOOKING</t>
        </is>
      </c>
      <c r="AF559" t="inlineStr">
        <is>
          <t>AR_MARTIMA</t>
        </is>
      </c>
      <c r="AG559" t="inlineStr">
        <is>
          <t>RH40</t>
        </is>
      </c>
      <c r="AI559" t="n">
        <v>40</v>
      </c>
      <c r="AJ559" t="n">
        <v>0</v>
      </c>
      <c r="AK559" t="n">
        <v>1</v>
      </c>
      <c r="AL559" t="inlineStr">
        <is>
          <t>ANON0000000</t>
        </is>
      </c>
      <c r="AM559" t="n">
        <v>-18</v>
      </c>
      <c r="AP559" t="inlineStr">
        <is>
          <t>Non Haz</t>
        </is>
      </c>
      <c r="AQ559" t="inlineStr">
        <is>
          <t>CY/CY</t>
        </is>
      </c>
      <c r="AT559" t="inlineStr">
        <is>
          <t>REF000000</t>
        </is>
      </c>
      <c r="AU559" t="n">
        <v>29000</v>
      </c>
      <c r="AV559" t="inlineStr">
        <is>
          <t>FROZEN MEAT</t>
        </is>
      </c>
      <c r="AW559" t="inlineStr">
        <is>
          <t>NCM 020622</t>
        </is>
      </c>
      <c r="AX559" t="inlineStr">
        <is>
          <t>RSAMI032600010</t>
        </is>
      </c>
      <c r="AZ559" t="n">
        <v>0</v>
      </c>
      <c r="BA559" t="n">
        <v>10</v>
      </c>
      <c r="BB559" t="n">
        <v>10</v>
      </c>
      <c r="BC559" t="n">
        <v>6800</v>
      </c>
      <c r="BD559" t="inlineStr">
        <is>
          <t>No</t>
        </is>
      </c>
      <c r="BG559" t="inlineStr">
        <is>
          <t>USSEA</t>
        </is>
      </c>
      <c r="BH559" t="n">
        <v>0</v>
      </c>
      <c r="BI559" t="n">
        <v>1</v>
      </c>
      <c r="BJ559" t="n">
        <v>6800</v>
      </c>
      <c r="BK559" t="inlineStr">
        <is>
          <t>LINE</t>
        </is>
      </c>
      <c r="BL559" t="inlineStr">
        <is>
          <t>SEAL REEFER</t>
        </is>
      </c>
      <c r="BM559" t="inlineStr">
        <is>
          <t>SEAL REEFER</t>
        </is>
      </c>
    </row>
    <row r="560">
      <c r="A560" t="n">
        <v>559</v>
      </c>
      <c r="B560" t="inlineStr">
        <is>
          <t>SHARK REEFER</t>
        </is>
      </c>
      <c r="C560" t="inlineStr">
        <is>
          <t>REF000000</t>
        </is>
      </c>
      <c r="D560" t="inlineStr">
        <is>
          <t>REF000000</t>
        </is>
      </c>
      <c r="E560" t="inlineStr">
        <is>
          <t>14-APR-2026</t>
        </is>
      </c>
      <c r="F560" t="inlineStr">
        <is>
          <t>SHARK REEFER</t>
        </is>
      </c>
      <c r="G560" t="inlineStr">
        <is>
          <t>ENTERED THROUGH SPLIT BOOKING FROM THE BOOKING ID REF000000, BY AR_MARTIMA, ON 4/14/2026 9:40:11 PM</t>
        </is>
      </c>
      <c r="H560" t="inlineStr">
        <is>
          <t>AR_MARTIMA</t>
        </is>
      </c>
      <c r="J560" t="inlineStr">
        <is>
          <t>20-APR-2026</t>
        </is>
      </c>
      <c r="K560" t="inlineStr">
        <is>
          <t>20-APR-2026</t>
        </is>
      </c>
      <c r="M560" t="inlineStr">
        <is>
          <t>REF000000</t>
        </is>
      </c>
      <c r="N560" t="inlineStr">
        <is>
          <t>USSEA</t>
        </is>
      </c>
      <c r="O560" t="inlineStr">
        <is>
          <t>USSEA</t>
        </is>
      </c>
      <c r="P560" t="inlineStr">
        <is>
          <t>USNFK</t>
        </is>
      </c>
      <c r="U560" t="inlineStr">
        <is>
          <t>RULED</t>
        </is>
      </c>
      <c r="V560" t="inlineStr">
        <is>
          <t>RULED</t>
        </is>
      </c>
      <c r="W560" t="inlineStr">
        <is>
          <t>CANADA</t>
        </is>
      </c>
      <c r="X560" t="inlineStr">
        <is>
          <t>PERSIAN GULF</t>
        </is>
      </c>
      <c r="Y560" t="inlineStr">
        <is>
          <t>RUSSIA</t>
        </is>
      </c>
      <c r="Z560" t="inlineStr">
        <is>
          <t>External Review</t>
        </is>
      </c>
      <c r="AA560" t="inlineStr">
        <is>
          <t>HUB SHIPPING LLC-LED</t>
        </is>
      </c>
      <c r="AB560" t="inlineStr">
        <is>
          <t>Prepaid</t>
        </is>
      </c>
      <c r="AC560" t="inlineStr">
        <is>
          <t>TIGER PLATA/977N</t>
        </is>
      </c>
      <c r="AE560" t="inlineStr">
        <is>
          <t>LADEN BOOKING</t>
        </is>
      </c>
      <c r="AF560" t="inlineStr">
        <is>
          <t>AR_MARTIMA</t>
        </is>
      </c>
      <c r="AG560" t="inlineStr">
        <is>
          <t>RH40</t>
        </is>
      </c>
      <c r="AI560" t="n">
        <v>40</v>
      </c>
      <c r="AJ560" t="n">
        <v>0</v>
      </c>
      <c r="AK560" t="n">
        <v>1</v>
      </c>
      <c r="AL560" t="inlineStr">
        <is>
          <t>ANON0000000</t>
        </is>
      </c>
      <c r="AM560" t="n">
        <v>-18</v>
      </c>
      <c r="AP560" t="inlineStr">
        <is>
          <t>Non Haz</t>
        </is>
      </c>
      <c r="AQ560" t="inlineStr">
        <is>
          <t>CY/CY</t>
        </is>
      </c>
      <c r="AT560" t="inlineStr">
        <is>
          <t>REF000000</t>
        </is>
      </c>
      <c r="AU560" t="n">
        <v>29000</v>
      </c>
      <c r="AV560" t="inlineStr">
        <is>
          <t>FROZEN MEAT</t>
        </is>
      </c>
      <c r="AW560" t="inlineStr">
        <is>
          <t>NCM 020622</t>
        </is>
      </c>
      <c r="AX560" t="inlineStr">
        <is>
          <t>RSAMI032600010</t>
        </is>
      </c>
      <c r="AZ560" t="n">
        <v>0</v>
      </c>
      <c r="BA560" t="n">
        <v>10</v>
      </c>
      <c r="BB560" t="n">
        <v>10</v>
      </c>
      <c r="BC560" t="n">
        <v>6800</v>
      </c>
      <c r="BD560" t="inlineStr">
        <is>
          <t>No</t>
        </is>
      </c>
      <c r="BG560" t="inlineStr">
        <is>
          <t>USSEA</t>
        </is>
      </c>
      <c r="BH560" t="n">
        <v>0</v>
      </c>
      <c r="BI560" t="n">
        <v>1</v>
      </c>
      <c r="BJ560" t="n">
        <v>6800</v>
      </c>
      <c r="BK560" t="inlineStr">
        <is>
          <t>LINE</t>
        </is>
      </c>
      <c r="BL560" t="inlineStr">
        <is>
          <t>SHARK REEFER</t>
        </is>
      </c>
      <c r="BM560" t="inlineStr">
        <is>
          <t>SHARK REEFER</t>
        </is>
      </c>
    </row>
    <row r="561">
      <c r="A561" t="n">
        <v>560</v>
      </c>
      <c r="B561" t="inlineStr">
        <is>
          <t>DOLPHIN REEFER</t>
        </is>
      </c>
      <c r="C561" t="inlineStr">
        <is>
          <t>REF000000</t>
        </is>
      </c>
      <c r="D561" t="inlineStr">
        <is>
          <t>REF000000</t>
        </is>
      </c>
      <c r="E561" t="inlineStr">
        <is>
          <t>14-APR-2026</t>
        </is>
      </c>
      <c r="F561" t="inlineStr">
        <is>
          <t>DOLPHIN REEFER</t>
        </is>
      </c>
      <c r="G561" t="inlineStr">
        <is>
          <t>ENTERED THROUGH SPLIT BOOKING FROM THE BOOKING ID REF000000, BY AR_MARTIMA, ON 4/14/2026 9:40:11 PM</t>
        </is>
      </c>
      <c r="H561" t="inlineStr">
        <is>
          <t>AR_MARTIMA</t>
        </is>
      </c>
      <c r="J561" t="inlineStr">
        <is>
          <t>20-APR-2026</t>
        </is>
      </c>
      <c r="K561" t="inlineStr">
        <is>
          <t>20-APR-2026</t>
        </is>
      </c>
      <c r="M561" t="inlineStr">
        <is>
          <t>REF000000</t>
        </is>
      </c>
      <c r="N561" t="inlineStr">
        <is>
          <t>USSEA</t>
        </is>
      </c>
      <c r="O561" t="inlineStr">
        <is>
          <t>USSEA</t>
        </is>
      </c>
      <c r="P561" t="inlineStr">
        <is>
          <t>USNFK</t>
        </is>
      </c>
      <c r="U561" t="inlineStr">
        <is>
          <t>RULED</t>
        </is>
      </c>
      <c r="V561" t="inlineStr">
        <is>
          <t>RULED</t>
        </is>
      </c>
      <c r="W561" t="inlineStr">
        <is>
          <t>CANADA</t>
        </is>
      </c>
      <c r="X561" t="inlineStr">
        <is>
          <t>PERSIAN GULF</t>
        </is>
      </c>
      <c r="Y561" t="inlineStr">
        <is>
          <t>RUSSIA</t>
        </is>
      </c>
      <c r="Z561" t="inlineStr">
        <is>
          <t>External Review</t>
        </is>
      </c>
      <c r="AA561" t="inlineStr">
        <is>
          <t>HUB SHIPPING LLC-LED</t>
        </is>
      </c>
      <c r="AB561" t="inlineStr">
        <is>
          <t>Prepaid</t>
        </is>
      </c>
      <c r="AC561" t="inlineStr">
        <is>
          <t>TIGER PLATA/977N</t>
        </is>
      </c>
      <c r="AE561" t="inlineStr">
        <is>
          <t>LADEN BOOKING</t>
        </is>
      </c>
      <c r="AF561" t="inlineStr">
        <is>
          <t>AR_MARTIMA</t>
        </is>
      </c>
      <c r="AG561" t="inlineStr">
        <is>
          <t>RH40</t>
        </is>
      </c>
      <c r="AI561" t="n">
        <v>40</v>
      </c>
      <c r="AJ561" t="n">
        <v>0</v>
      </c>
      <c r="AK561" t="n">
        <v>1</v>
      </c>
      <c r="AL561" t="inlineStr">
        <is>
          <t>ANON0000000</t>
        </is>
      </c>
      <c r="AM561" t="n">
        <v>-18</v>
      </c>
      <c r="AP561" t="inlineStr">
        <is>
          <t>Non Haz</t>
        </is>
      </c>
      <c r="AQ561" t="inlineStr">
        <is>
          <t>CY/CY</t>
        </is>
      </c>
      <c r="AT561" t="inlineStr">
        <is>
          <t>REF000000</t>
        </is>
      </c>
      <c r="AU561" t="n">
        <v>29000</v>
      </c>
      <c r="AV561" t="inlineStr">
        <is>
          <t>FROZEN MEAT</t>
        </is>
      </c>
      <c r="AW561" t="inlineStr">
        <is>
          <t>NCM 020629</t>
        </is>
      </c>
      <c r="AX561" t="inlineStr">
        <is>
          <t>RSAMI032600010</t>
        </is>
      </c>
      <c r="AZ561" t="n">
        <v>0</v>
      </c>
      <c r="BA561" t="n">
        <v>10</v>
      </c>
      <c r="BB561" t="n">
        <v>10</v>
      </c>
      <c r="BC561" t="n">
        <v>6800</v>
      </c>
      <c r="BD561" t="inlineStr">
        <is>
          <t>No</t>
        </is>
      </c>
      <c r="BG561" t="inlineStr">
        <is>
          <t>USSEA</t>
        </is>
      </c>
      <c r="BH561" t="n">
        <v>0</v>
      </c>
      <c r="BI561" t="n">
        <v>1</v>
      </c>
      <c r="BJ561" t="n">
        <v>6800</v>
      </c>
      <c r="BK561" t="inlineStr">
        <is>
          <t>LINE</t>
        </is>
      </c>
      <c r="BL561" t="inlineStr">
        <is>
          <t>DOLPHIN REEFER</t>
        </is>
      </c>
      <c r="BM561" t="inlineStr">
        <is>
          <t>DOLPHIN REEFER</t>
        </is>
      </c>
    </row>
    <row r="562">
      <c r="A562" t="n">
        <v>561</v>
      </c>
      <c r="B562" t="inlineStr">
        <is>
          <t>MARLIN REEFER</t>
        </is>
      </c>
      <c r="C562" t="inlineStr">
        <is>
          <t>REF000000</t>
        </is>
      </c>
      <c r="D562" t="inlineStr">
        <is>
          <t>REF000000</t>
        </is>
      </c>
      <c r="E562" t="inlineStr">
        <is>
          <t>15-APR-2026</t>
        </is>
      </c>
      <c r="F562" t="inlineStr">
        <is>
          <t>MARLIN REEFER</t>
        </is>
      </c>
      <c r="G562" t="inlineStr">
        <is>
          <t>1X40RH TEMP -22</t>
        </is>
      </c>
      <c r="H562" t="inlineStr">
        <is>
          <t>AR_MARTIMA</t>
        </is>
      </c>
      <c r="J562" t="inlineStr">
        <is>
          <t>24-APR-2026</t>
        </is>
      </c>
      <c r="K562" t="inlineStr">
        <is>
          <t>24-APR-2026</t>
        </is>
      </c>
      <c r="M562" t="inlineStr">
        <is>
          <t>REF000000</t>
        </is>
      </c>
      <c r="N562" t="inlineStr">
        <is>
          <t>USSEA</t>
        </is>
      </c>
      <c r="O562" t="inlineStr">
        <is>
          <t>USSEA</t>
        </is>
      </c>
      <c r="P562" t="inlineStr">
        <is>
          <t>USHOU</t>
        </is>
      </c>
      <c r="Q562" t="inlineStr">
        <is>
          <t>MACAS</t>
        </is>
      </c>
      <c r="U562" t="inlineStr">
        <is>
          <t>RULED</t>
        </is>
      </c>
      <c r="V562" t="inlineStr">
        <is>
          <t>RULED</t>
        </is>
      </c>
      <c r="W562" t="inlineStr">
        <is>
          <t>CANADA</t>
        </is>
      </c>
      <c r="X562" t="inlineStr">
        <is>
          <t>PERSIAN GULF</t>
        </is>
      </c>
      <c r="Y562" t="inlineStr">
        <is>
          <t>RUSSIA</t>
        </is>
      </c>
      <c r="Z562" t="inlineStr">
        <is>
          <t>External Review</t>
        </is>
      </c>
      <c r="AA562" t="inlineStr">
        <is>
          <t>HUB SHIPPING LLC-LED</t>
        </is>
      </c>
      <c r="AB562" t="inlineStr">
        <is>
          <t>Prepaid</t>
        </is>
      </c>
      <c r="AC562" t="inlineStr">
        <is>
          <t>MERCOSUL ITAJAI/0YO2PN1RCN</t>
        </is>
      </c>
      <c r="AE562" t="inlineStr">
        <is>
          <t>LADEN BOOKING</t>
        </is>
      </c>
      <c r="AF562" t="inlineStr">
        <is>
          <t>AR_MARTIMA</t>
        </is>
      </c>
      <c r="AG562" t="inlineStr">
        <is>
          <t>RH40</t>
        </is>
      </c>
      <c r="AH562" t="inlineStr">
        <is>
          <t>NO</t>
        </is>
      </c>
      <c r="AI562" t="n">
        <v>40</v>
      </c>
      <c r="AJ562" t="n">
        <v>0</v>
      </c>
      <c r="AK562" t="n">
        <v>1</v>
      </c>
      <c r="AM562" t="n">
        <v>-22</v>
      </c>
      <c r="AP562" t="inlineStr">
        <is>
          <t>Non Haz</t>
        </is>
      </c>
      <c r="AQ562" t="inlineStr">
        <is>
          <t>CY/CY</t>
        </is>
      </c>
      <c r="AU562" t="n">
        <v>29000</v>
      </c>
      <c r="AV562" t="inlineStr">
        <is>
          <t>FROZEN FOODSTUFF</t>
        </is>
      </c>
      <c r="AX562" t="inlineStr">
        <is>
          <t>RSAMI032600018</t>
        </is>
      </c>
      <c r="AZ562" t="n">
        <v>0</v>
      </c>
      <c r="BA562" t="n">
        <v>10</v>
      </c>
      <c r="BB562" t="n">
        <v>10</v>
      </c>
      <c r="BC562" t="n">
        <v>7500</v>
      </c>
      <c r="BD562" t="inlineStr">
        <is>
          <t>No</t>
        </is>
      </c>
      <c r="BG562" t="inlineStr">
        <is>
          <t>USSEA</t>
        </is>
      </c>
      <c r="BH562" t="n">
        <v>0</v>
      </c>
      <c r="BI562" t="n">
        <v>0</v>
      </c>
      <c r="BJ562" t="inlineStr">
        <is>
          <t xml:space="preserve"> 0</t>
        </is>
      </c>
      <c r="BK562" t="inlineStr">
        <is>
          <t>LINE</t>
        </is>
      </c>
      <c r="BL562" t="inlineStr">
        <is>
          <t>MARLIN REEFER</t>
        </is>
      </c>
      <c r="BM562" t="inlineStr">
        <is>
          <t>MARLIN REEFER</t>
        </is>
      </c>
    </row>
    <row r="563">
      <c r="A563" t="n">
        <v>562</v>
      </c>
      <c r="B563" t="inlineStr">
        <is>
          <t>TURTLE REEFER</t>
        </is>
      </c>
      <c r="C563" t="inlineStr">
        <is>
          <t>REF000000</t>
        </is>
      </c>
      <c r="D563" t="inlineStr">
        <is>
          <t>REF000000</t>
        </is>
      </c>
      <c r="E563" t="inlineStr">
        <is>
          <t>15-APR-2026</t>
        </is>
      </c>
      <c r="F563" t="inlineStr">
        <is>
          <t>TURTLE REEFER</t>
        </is>
      </c>
      <c r="G563" t="inlineStr">
        <is>
          <t>1X40RH TEMP -18</t>
        </is>
      </c>
      <c r="H563" t="inlineStr">
        <is>
          <t>AR_MARTIMA</t>
        </is>
      </c>
      <c r="J563" t="inlineStr">
        <is>
          <t>20-APR-2026</t>
        </is>
      </c>
      <c r="K563" t="inlineStr">
        <is>
          <t>20-APR-2026</t>
        </is>
      </c>
      <c r="M563" t="inlineStr">
        <is>
          <t>REF000000</t>
        </is>
      </c>
      <c r="N563" t="inlineStr">
        <is>
          <t>USSEA</t>
        </is>
      </c>
      <c r="O563" t="inlineStr">
        <is>
          <t>USSEA</t>
        </is>
      </c>
      <c r="P563" t="inlineStr">
        <is>
          <t>USNFK</t>
        </is>
      </c>
      <c r="U563" t="inlineStr">
        <is>
          <t>RULED</t>
        </is>
      </c>
      <c r="V563" t="inlineStr">
        <is>
          <t>RULED</t>
        </is>
      </c>
      <c r="W563" t="inlineStr">
        <is>
          <t>CANADA</t>
        </is>
      </c>
      <c r="X563" t="inlineStr">
        <is>
          <t>PERSIAN GULF</t>
        </is>
      </c>
      <c r="Y563" t="inlineStr">
        <is>
          <t>RUSSIA</t>
        </is>
      </c>
      <c r="Z563" t="inlineStr">
        <is>
          <t>External Review</t>
        </is>
      </c>
      <c r="AA563" t="inlineStr">
        <is>
          <t>HUB SHIPPING LLC-LED</t>
        </is>
      </c>
      <c r="AB563" t="inlineStr">
        <is>
          <t>Prepaid</t>
        </is>
      </c>
      <c r="AC563" t="inlineStr">
        <is>
          <t>TIGER PLATA/977N</t>
        </is>
      </c>
      <c r="AE563" t="inlineStr">
        <is>
          <t>LADEN BOOKING</t>
        </is>
      </c>
      <c r="AF563" t="inlineStr">
        <is>
          <t>AR_MARTIMA</t>
        </is>
      </c>
      <c r="AG563" t="inlineStr">
        <is>
          <t>RH40</t>
        </is>
      </c>
      <c r="AH563" t="inlineStr">
        <is>
          <t>NO</t>
        </is>
      </c>
      <c r="AI563" t="n">
        <v>40</v>
      </c>
      <c r="AJ563" t="n">
        <v>0</v>
      </c>
      <c r="AK563" t="n">
        <v>1</v>
      </c>
      <c r="AL563" t="inlineStr">
        <is>
          <t>ANON0000000</t>
        </is>
      </c>
      <c r="AM563" t="n">
        <v>-18</v>
      </c>
      <c r="AP563" t="inlineStr">
        <is>
          <t>Non Haz</t>
        </is>
      </c>
      <c r="AQ563" t="inlineStr">
        <is>
          <t>CY/CY</t>
        </is>
      </c>
      <c r="AT563" t="inlineStr">
        <is>
          <t>REF000000</t>
        </is>
      </c>
      <c r="AU563" t="n">
        <v>29000</v>
      </c>
      <c r="AV563" t="inlineStr">
        <is>
          <t>FROZEN FOODSTUFF</t>
        </is>
      </c>
      <c r="AW563" t="inlineStr">
        <is>
          <t>N.C.M.: 0206.22</t>
        </is>
      </c>
      <c r="AX563" t="inlineStr">
        <is>
          <t>RSAMI032600017</t>
        </is>
      </c>
      <c r="AZ563" t="n">
        <v>0</v>
      </c>
      <c r="BA563" t="n">
        <v>10</v>
      </c>
      <c r="BB563" t="n">
        <v>10</v>
      </c>
      <c r="BC563" t="n">
        <v>7300</v>
      </c>
      <c r="BD563" t="inlineStr">
        <is>
          <t>No</t>
        </is>
      </c>
      <c r="BG563" t="inlineStr">
        <is>
          <t>USSEA</t>
        </is>
      </c>
      <c r="BH563" t="n">
        <v>0</v>
      </c>
      <c r="BI563" t="n">
        <v>1</v>
      </c>
      <c r="BJ563" t="n">
        <v>7300</v>
      </c>
      <c r="BK563" t="inlineStr">
        <is>
          <t>LINE</t>
        </is>
      </c>
      <c r="BL563" t="inlineStr">
        <is>
          <t>TURTLE REEFER</t>
        </is>
      </c>
      <c r="BM563" t="inlineStr">
        <is>
          <t>TURTLE REEFER</t>
        </is>
      </c>
    </row>
    <row r="564">
      <c r="A564" t="n">
        <v>563</v>
      </c>
      <c r="B564" t="inlineStr">
        <is>
          <t>ORCA REEFER</t>
        </is>
      </c>
      <c r="C564" t="inlineStr">
        <is>
          <t>REF000000</t>
        </is>
      </c>
      <c r="D564" t="inlineStr">
        <is>
          <t>REF000000</t>
        </is>
      </c>
      <c r="E564" t="inlineStr">
        <is>
          <t>17-APR-2026</t>
        </is>
      </c>
      <c r="F564" t="inlineStr">
        <is>
          <t>ORCA REEFER</t>
        </is>
      </c>
      <c r="G564" t="inlineStr">
        <is>
          <t>1x40RH TEMP -18</t>
        </is>
      </c>
      <c r="H564" t="inlineStr">
        <is>
          <t>AR_MARTIMA</t>
        </is>
      </c>
      <c r="J564" t="inlineStr">
        <is>
          <t>24-APR-2026</t>
        </is>
      </c>
      <c r="K564" t="inlineStr">
        <is>
          <t>24-APR-2026</t>
        </is>
      </c>
      <c r="M564" t="inlineStr">
        <is>
          <t>REF000000</t>
        </is>
      </c>
      <c r="N564" t="inlineStr">
        <is>
          <t>USSEA</t>
        </is>
      </c>
      <c r="O564" t="inlineStr">
        <is>
          <t>USSEA</t>
        </is>
      </c>
      <c r="P564" t="inlineStr">
        <is>
          <t>USHOU</t>
        </is>
      </c>
      <c r="U564" t="inlineStr">
        <is>
          <t>RULED</t>
        </is>
      </c>
      <c r="V564" t="inlineStr">
        <is>
          <t>RULED</t>
        </is>
      </c>
      <c r="W564" t="inlineStr">
        <is>
          <t>CANADA</t>
        </is>
      </c>
      <c r="X564" t="inlineStr">
        <is>
          <t>PERSIAN GULF</t>
        </is>
      </c>
      <c r="Y564" t="inlineStr">
        <is>
          <t>RUSSIA</t>
        </is>
      </c>
      <c r="Z564" t="inlineStr">
        <is>
          <t>External Review</t>
        </is>
      </c>
      <c r="AA564" t="inlineStr">
        <is>
          <t>HUB SHIPPING LLC-LED</t>
        </is>
      </c>
      <c r="AB564" t="inlineStr">
        <is>
          <t>Prepaid</t>
        </is>
      </c>
      <c r="AC564" t="inlineStr">
        <is>
          <t>MERCOSUL ITAJAI/0YO2PN1RCN</t>
        </is>
      </c>
      <c r="AE564" t="inlineStr">
        <is>
          <t>LADEN BOOKING</t>
        </is>
      </c>
      <c r="AF564" t="inlineStr">
        <is>
          <t>AR_MARTIMA</t>
        </is>
      </c>
      <c r="AG564" t="inlineStr">
        <is>
          <t>RH40</t>
        </is>
      </c>
      <c r="AH564" t="inlineStr">
        <is>
          <t>NO</t>
        </is>
      </c>
      <c r="AI564" t="n">
        <v>40</v>
      </c>
      <c r="AJ564" t="n">
        <v>0</v>
      </c>
      <c r="AK564" t="n">
        <v>1</v>
      </c>
      <c r="AM564" t="n">
        <v>-18</v>
      </c>
      <c r="AP564" t="inlineStr">
        <is>
          <t>Non Haz</t>
        </is>
      </c>
      <c r="AQ564" t="inlineStr">
        <is>
          <t>CY/CY</t>
        </is>
      </c>
      <c r="AU564" t="n">
        <v>29000</v>
      </c>
      <c r="AV564" t="inlineStr">
        <is>
          <t>FROZEN MEAT</t>
        </is>
      </c>
      <c r="AX564" t="inlineStr">
        <is>
          <t>RSAMI032600010</t>
        </is>
      </c>
      <c r="AZ564" t="n">
        <v>0</v>
      </c>
      <c r="BA564" t="n">
        <v>10</v>
      </c>
      <c r="BB564" t="n">
        <v>10</v>
      </c>
      <c r="BC564" t="n">
        <v>6800</v>
      </c>
      <c r="BD564" t="inlineStr">
        <is>
          <t>No</t>
        </is>
      </c>
      <c r="BG564" t="inlineStr">
        <is>
          <t>USSEA</t>
        </is>
      </c>
      <c r="BH564" t="n">
        <v>0</v>
      </c>
      <c r="BI564" t="n">
        <v>0</v>
      </c>
      <c r="BJ564" t="inlineStr">
        <is>
          <t xml:space="preserve"> 0</t>
        </is>
      </c>
      <c r="BK564" t="inlineStr">
        <is>
          <t>LINE</t>
        </is>
      </c>
      <c r="BL564" t="inlineStr">
        <is>
          <t>ORCA REEFER</t>
        </is>
      </c>
      <c r="BM564" t="inlineStr">
        <is>
          <t>ORCA REEFER</t>
        </is>
      </c>
    </row>
    <row r="565">
      <c r="A565" t="n">
        <v>564</v>
      </c>
      <c r="B565" t="inlineStr">
        <is>
          <t>WHALE REEFER</t>
        </is>
      </c>
      <c r="C565" t="inlineStr">
        <is>
          <t>REF000000</t>
        </is>
      </c>
      <c r="D565" t="inlineStr">
        <is>
          <t>REF000000</t>
        </is>
      </c>
      <c r="E565" t="inlineStr">
        <is>
          <t>17-APR-2026</t>
        </is>
      </c>
      <c r="F565" t="inlineStr">
        <is>
          <t>WHALE REEFER</t>
        </is>
      </c>
      <c r="G565" t="inlineStr">
        <is>
          <t>ENTERED THROUGH SPLIT BOOKING FROM THE BOOKING ID REF000000, BY AR_MARTIMA, ON 4/17/2026 10:32:59 PM</t>
        </is>
      </c>
      <c r="H565" t="inlineStr">
        <is>
          <t>AR_MARTIMA</t>
        </is>
      </c>
      <c r="J565" t="inlineStr">
        <is>
          <t>24-APR-2026</t>
        </is>
      </c>
      <c r="K565" t="inlineStr">
        <is>
          <t>24-APR-2026</t>
        </is>
      </c>
      <c r="M565" t="inlineStr">
        <is>
          <t>REF000000</t>
        </is>
      </c>
      <c r="N565" t="inlineStr">
        <is>
          <t>USSEA</t>
        </is>
      </c>
      <c r="O565" t="inlineStr">
        <is>
          <t>USSEA</t>
        </is>
      </c>
      <c r="P565" t="inlineStr">
        <is>
          <t>USHOU</t>
        </is>
      </c>
      <c r="U565" t="inlineStr">
        <is>
          <t>RULED</t>
        </is>
      </c>
      <c r="V565" t="inlineStr">
        <is>
          <t>RULED</t>
        </is>
      </c>
      <c r="W565" t="inlineStr">
        <is>
          <t>CANADA</t>
        </is>
      </c>
      <c r="X565" t="inlineStr">
        <is>
          <t>PERSIAN GULF</t>
        </is>
      </c>
      <c r="Y565" t="inlineStr">
        <is>
          <t>RUSSIA</t>
        </is>
      </c>
      <c r="Z565" t="inlineStr">
        <is>
          <t>External Review</t>
        </is>
      </c>
      <c r="AA565" t="inlineStr">
        <is>
          <t>HUB SHIPPING LLC-LED</t>
        </is>
      </c>
      <c r="AB565" t="inlineStr">
        <is>
          <t>Prepaid</t>
        </is>
      </c>
      <c r="AC565" t="inlineStr">
        <is>
          <t>MERCOSUL ITAJAI/0YO2PN1RCN</t>
        </is>
      </c>
      <c r="AE565" t="inlineStr">
        <is>
          <t>LADEN BOOKING</t>
        </is>
      </c>
      <c r="AF565" t="inlineStr">
        <is>
          <t>AR_MARTIMA</t>
        </is>
      </c>
      <c r="AG565" t="inlineStr">
        <is>
          <t>RH40</t>
        </is>
      </c>
      <c r="AI565" t="n">
        <v>40</v>
      </c>
      <c r="AJ565" t="n">
        <v>0</v>
      </c>
      <c r="AK565" t="n">
        <v>1</v>
      </c>
      <c r="AM565" t="n">
        <v>-18</v>
      </c>
      <c r="AP565" t="inlineStr">
        <is>
          <t>Non Haz</t>
        </is>
      </c>
      <c r="AQ565" t="inlineStr">
        <is>
          <t>CY/CY</t>
        </is>
      </c>
      <c r="AU565" t="n">
        <v>29000</v>
      </c>
      <c r="AV565" t="inlineStr">
        <is>
          <t>FROZEN MEAT</t>
        </is>
      </c>
      <c r="AX565" t="inlineStr">
        <is>
          <t>RSAMI032600010</t>
        </is>
      </c>
      <c r="AZ565" t="n">
        <v>0</v>
      </c>
      <c r="BA565" t="n">
        <v>10</v>
      </c>
      <c r="BB565" t="n">
        <v>10</v>
      </c>
      <c r="BC565" t="n">
        <v>6800</v>
      </c>
      <c r="BD565" t="inlineStr">
        <is>
          <t>No</t>
        </is>
      </c>
      <c r="BG565" t="inlineStr">
        <is>
          <t>USSEA</t>
        </is>
      </c>
      <c r="BH565" t="n">
        <v>0</v>
      </c>
      <c r="BI565" t="n">
        <v>0</v>
      </c>
      <c r="BJ565" t="inlineStr">
        <is>
          <t xml:space="preserve"> 0</t>
        </is>
      </c>
      <c r="BK565" t="inlineStr">
        <is>
          <t>LINE</t>
        </is>
      </c>
      <c r="BL565" t="inlineStr">
        <is>
          <t>WHALE REEFER</t>
        </is>
      </c>
      <c r="BM565" t="inlineStr">
        <is>
          <t>WHALE REEFER</t>
        </is>
      </c>
    </row>
    <row r="566">
      <c r="A566" t="n">
        <v>565</v>
      </c>
      <c r="B566" t="inlineStr">
        <is>
          <t>SEAL REEFER</t>
        </is>
      </c>
      <c r="C566" t="inlineStr">
        <is>
          <t>REF000000</t>
        </is>
      </c>
      <c r="D566" t="inlineStr">
        <is>
          <t>REF000000</t>
        </is>
      </c>
      <c r="E566" t="inlineStr">
        <is>
          <t>17-APR-2026</t>
        </is>
      </c>
      <c r="F566" t="inlineStr">
        <is>
          <t>SEAL REEFER</t>
        </is>
      </c>
      <c r="G566" t="inlineStr">
        <is>
          <t>ENTERED THROUGH SPLIT BOOKING FROM THE BOOKING ID REF000000, BY AR_MARTIMA, ON 4/17/2026 10:32:59 PM</t>
        </is>
      </c>
      <c r="H566" t="inlineStr">
        <is>
          <t>AR_MARTIMA</t>
        </is>
      </c>
      <c r="J566" t="inlineStr">
        <is>
          <t>24-APR-2026</t>
        </is>
      </c>
      <c r="K566" t="inlineStr">
        <is>
          <t>24-APR-2026</t>
        </is>
      </c>
      <c r="M566" t="inlineStr">
        <is>
          <t>REF000000</t>
        </is>
      </c>
      <c r="N566" t="inlineStr">
        <is>
          <t>USSEA</t>
        </is>
      </c>
      <c r="O566" t="inlineStr">
        <is>
          <t>USSEA</t>
        </is>
      </c>
      <c r="P566" t="inlineStr">
        <is>
          <t>USHOU</t>
        </is>
      </c>
      <c r="U566" t="inlineStr">
        <is>
          <t>RULED</t>
        </is>
      </c>
      <c r="V566" t="inlineStr">
        <is>
          <t>RULED</t>
        </is>
      </c>
      <c r="W566" t="inlineStr">
        <is>
          <t>CANADA</t>
        </is>
      </c>
      <c r="X566" t="inlineStr">
        <is>
          <t>PERSIAN GULF</t>
        </is>
      </c>
      <c r="Y566" t="inlineStr">
        <is>
          <t>RUSSIA</t>
        </is>
      </c>
      <c r="Z566" t="inlineStr">
        <is>
          <t>External Review</t>
        </is>
      </c>
      <c r="AA566" t="inlineStr">
        <is>
          <t>HUB SHIPPING LLC-LED</t>
        </is>
      </c>
      <c r="AB566" t="inlineStr">
        <is>
          <t>Prepaid</t>
        </is>
      </c>
      <c r="AC566" t="inlineStr">
        <is>
          <t>MERCOSUL ITAJAI/0YO2PN1RCN</t>
        </is>
      </c>
      <c r="AE566" t="inlineStr">
        <is>
          <t>LADEN BOOKING</t>
        </is>
      </c>
      <c r="AF566" t="inlineStr">
        <is>
          <t>AR_MARTIMA</t>
        </is>
      </c>
      <c r="AG566" t="inlineStr">
        <is>
          <t>RH40</t>
        </is>
      </c>
      <c r="AI566" t="n">
        <v>40</v>
      </c>
      <c r="AJ566" t="n">
        <v>0</v>
      </c>
      <c r="AK566" t="n">
        <v>1</v>
      </c>
      <c r="AM566" t="n">
        <v>-18</v>
      </c>
      <c r="AP566" t="inlineStr">
        <is>
          <t>Non Haz</t>
        </is>
      </c>
      <c r="AQ566" t="inlineStr">
        <is>
          <t>CY/CY</t>
        </is>
      </c>
      <c r="AU566" t="n">
        <v>29000</v>
      </c>
      <c r="AV566" t="inlineStr">
        <is>
          <t>FROZEN MEAT</t>
        </is>
      </c>
      <c r="AX566" t="inlineStr">
        <is>
          <t>RSAMI032600010</t>
        </is>
      </c>
      <c r="AZ566" t="n">
        <v>0</v>
      </c>
      <c r="BA566" t="n">
        <v>10</v>
      </c>
      <c r="BB566" t="n">
        <v>10</v>
      </c>
      <c r="BC566" t="n">
        <v>6800</v>
      </c>
      <c r="BD566" t="inlineStr">
        <is>
          <t>No</t>
        </is>
      </c>
      <c r="BG566" t="inlineStr">
        <is>
          <t>USSEA</t>
        </is>
      </c>
      <c r="BH566" t="n">
        <v>0</v>
      </c>
      <c r="BI566" t="n">
        <v>0</v>
      </c>
      <c r="BJ566" t="inlineStr">
        <is>
          <t xml:space="preserve"> 0</t>
        </is>
      </c>
      <c r="BK566" t="inlineStr">
        <is>
          <t>LINE</t>
        </is>
      </c>
      <c r="BL566" t="inlineStr">
        <is>
          <t>SEAL REEFER</t>
        </is>
      </c>
      <c r="BM566" t="inlineStr">
        <is>
          <t>SEAL REEFER</t>
        </is>
      </c>
    </row>
    <row r="567">
      <c r="A567" t="n">
        <v>566</v>
      </c>
      <c r="B567" t="inlineStr">
        <is>
          <t>SHARK REEFER</t>
        </is>
      </c>
      <c r="C567" t="inlineStr">
        <is>
          <t>REF000000</t>
        </is>
      </c>
      <c r="D567" t="inlineStr">
        <is>
          <t>REF000000</t>
        </is>
      </c>
      <c r="E567" t="inlineStr">
        <is>
          <t>17-APR-2026</t>
        </is>
      </c>
      <c r="F567" t="inlineStr">
        <is>
          <t>SHARK REEFER</t>
        </is>
      </c>
      <c r="G567" t="inlineStr">
        <is>
          <t>ENTERED THROUGH SPLIT BOOKING FROM THE BOOKING ID REF000000, BY AR_MARTIMA, ON 4/17/2026 10:32:59 PM</t>
        </is>
      </c>
      <c r="H567" t="inlineStr">
        <is>
          <t>AR_MARTIMA</t>
        </is>
      </c>
      <c r="J567" t="inlineStr">
        <is>
          <t>24-APR-2026</t>
        </is>
      </c>
      <c r="K567" t="inlineStr">
        <is>
          <t>24-APR-2026</t>
        </is>
      </c>
      <c r="M567" t="inlineStr">
        <is>
          <t>REF000000</t>
        </is>
      </c>
      <c r="N567" t="inlineStr">
        <is>
          <t>USSEA</t>
        </is>
      </c>
      <c r="O567" t="inlineStr">
        <is>
          <t>USSEA</t>
        </is>
      </c>
      <c r="P567" t="inlineStr">
        <is>
          <t>USHOU</t>
        </is>
      </c>
      <c r="U567" t="inlineStr">
        <is>
          <t>RULED</t>
        </is>
      </c>
      <c r="V567" t="inlineStr">
        <is>
          <t>RULED</t>
        </is>
      </c>
      <c r="W567" t="inlineStr">
        <is>
          <t>CANADA</t>
        </is>
      </c>
      <c r="X567" t="inlineStr">
        <is>
          <t>PERSIAN GULF</t>
        </is>
      </c>
      <c r="Y567" t="inlineStr">
        <is>
          <t>RUSSIA</t>
        </is>
      </c>
      <c r="Z567" t="inlineStr">
        <is>
          <t>External Review</t>
        </is>
      </c>
      <c r="AA567" t="inlineStr">
        <is>
          <t>HUB SHIPPING LLC-LED</t>
        </is>
      </c>
      <c r="AB567" t="inlineStr">
        <is>
          <t>Prepaid</t>
        </is>
      </c>
      <c r="AC567" t="inlineStr">
        <is>
          <t>MERCOSUL ITAJAI/0YO2PN1RCN</t>
        </is>
      </c>
      <c r="AE567" t="inlineStr">
        <is>
          <t>LADEN BOOKING</t>
        </is>
      </c>
      <c r="AF567" t="inlineStr">
        <is>
          <t>AR_MARTIMA</t>
        </is>
      </c>
      <c r="AG567" t="inlineStr">
        <is>
          <t>RH40</t>
        </is>
      </c>
      <c r="AI567" t="n">
        <v>40</v>
      </c>
      <c r="AJ567" t="n">
        <v>0</v>
      </c>
      <c r="AK567" t="n">
        <v>1</v>
      </c>
      <c r="AM567" t="n">
        <v>-18</v>
      </c>
      <c r="AP567" t="inlineStr">
        <is>
          <t>Non Haz</t>
        </is>
      </c>
      <c r="AQ567" t="inlineStr">
        <is>
          <t>CY/CY</t>
        </is>
      </c>
      <c r="AU567" t="n">
        <v>29000</v>
      </c>
      <c r="AV567" t="inlineStr">
        <is>
          <t>FROZEN MEAT</t>
        </is>
      </c>
      <c r="AX567" t="inlineStr">
        <is>
          <t>RSAMI032600010</t>
        </is>
      </c>
      <c r="AZ567" t="n">
        <v>0</v>
      </c>
      <c r="BA567" t="n">
        <v>10</v>
      </c>
      <c r="BB567" t="n">
        <v>10</v>
      </c>
      <c r="BC567" t="n">
        <v>6800</v>
      </c>
      <c r="BD567" t="inlineStr">
        <is>
          <t>No</t>
        </is>
      </c>
      <c r="BG567" t="inlineStr">
        <is>
          <t>USSEA</t>
        </is>
      </c>
      <c r="BH567" t="n">
        <v>0</v>
      </c>
      <c r="BI567" t="n">
        <v>0</v>
      </c>
      <c r="BJ567" t="inlineStr">
        <is>
          <t xml:space="preserve"> 0</t>
        </is>
      </c>
      <c r="BK567" t="inlineStr">
        <is>
          <t>LINE</t>
        </is>
      </c>
      <c r="BL567" t="inlineStr">
        <is>
          <t>SHARK REEFER</t>
        </is>
      </c>
      <c r="BM567" t="inlineStr">
        <is>
          <t>SHARK REEFER</t>
        </is>
      </c>
    </row>
    <row r="568">
      <c r="A568" t="n">
        <v>567</v>
      </c>
      <c r="B568" t="inlineStr">
        <is>
          <t>DOLPHIN REEFER</t>
        </is>
      </c>
      <c r="C568" t="inlineStr">
        <is>
          <t>REF000000</t>
        </is>
      </c>
      <c r="D568" t="inlineStr">
        <is>
          <t>REF000000</t>
        </is>
      </c>
      <c r="E568" t="inlineStr">
        <is>
          <t>17-APR-2026</t>
        </is>
      </c>
      <c r="F568" t="inlineStr">
        <is>
          <t>DOLPHIN REEFER</t>
        </is>
      </c>
      <c r="G568" t="inlineStr">
        <is>
          <t>ENTERED THROUGH SPLIT BOOKING FROM THE BOOKING ID REF000000, BY AR_MARTIMA, ON 4/17/2026 10:32:59 PM</t>
        </is>
      </c>
      <c r="H568" t="inlineStr">
        <is>
          <t>AR_MARTIMA</t>
        </is>
      </c>
      <c r="J568" t="inlineStr">
        <is>
          <t>24-APR-2026</t>
        </is>
      </c>
      <c r="K568" t="inlineStr">
        <is>
          <t>24-APR-2026</t>
        </is>
      </c>
      <c r="M568" t="inlineStr">
        <is>
          <t>REF000000</t>
        </is>
      </c>
      <c r="N568" t="inlineStr">
        <is>
          <t>USSEA</t>
        </is>
      </c>
      <c r="O568" t="inlineStr">
        <is>
          <t>USSEA</t>
        </is>
      </c>
      <c r="P568" t="inlineStr">
        <is>
          <t>USHOU</t>
        </is>
      </c>
      <c r="U568" t="inlineStr">
        <is>
          <t>RULED</t>
        </is>
      </c>
      <c r="V568" t="inlineStr">
        <is>
          <t>RULED</t>
        </is>
      </c>
      <c r="W568" t="inlineStr">
        <is>
          <t>CANADA</t>
        </is>
      </c>
      <c r="X568" t="inlineStr">
        <is>
          <t>PERSIAN GULF</t>
        </is>
      </c>
      <c r="Y568" t="inlineStr">
        <is>
          <t>RUSSIA</t>
        </is>
      </c>
      <c r="Z568" t="inlineStr">
        <is>
          <t>External Review</t>
        </is>
      </c>
      <c r="AA568" t="inlineStr">
        <is>
          <t>HUB SHIPPING LLC-LED</t>
        </is>
      </c>
      <c r="AB568" t="inlineStr">
        <is>
          <t>Prepaid</t>
        </is>
      </c>
      <c r="AC568" t="inlineStr">
        <is>
          <t>MERCOSUL ITAJAI/0YO2PN1RCN</t>
        </is>
      </c>
      <c r="AE568" t="inlineStr">
        <is>
          <t>LADEN BOOKING</t>
        </is>
      </c>
      <c r="AF568" t="inlineStr">
        <is>
          <t>AR_MARTIMA</t>
        </is>
      </c>
      <c r="AG568" t="inlineStr">
        <is>
          <t>RH40</t>
        </is>
      </c>
      <c r="AI568" t="n">
        <v>40</v>
      </c>
      <c r="AJ568" t="n">
        <v>0</v>
      </c>
      <c r="AK568" t="n">
        <v>1</v>
      </c>
      <c r="AM568" t="n">
        <v>-18</v>
      </c>
      <c r="AP568" t="inlineStr">
        <is>
          <t>Non Haz</t>
        </is>
      </c>
      <c r="AQ568" t="inlineStr">
        <is>
          <t>CY/CY</t>
        </is>
      </c>
      <c r="AU568" t="n">
        <v>29000</v>
      </c>
      <c r="AV568" t="inlineStr">
        <is>
          <t>FROZEN MEAT</t>
        </is>
      </c>
      <c r="AX568" t="inlineStr">
        <is>
          <t>RSAMI032600010</t>
        </is>
      </c>
      <c r="AZ568" t="n">
        <v>0</v>
      </c>
      <c r="BA568" t="n">
        <v>10</v>
      </c>
      <c r="BB568" t="n">
        <v>10</v>
      </c>
      <c r="BC568" t="n">
        <v>6800</v>
      </c>
      <c r="BD568" t="inlineStr">
        <is>
          <t>No</t>
        </is>
      </c>
      <c r="BG568" t="inlineStr">
        <is>
          <t>USSEA</t>
        </is>
      </c>
      <c r="BH568" t="n">
        <v>0</v>
      </c>
      <c r="BI568" t="n">
        <v>0</v>
      </c>
      <c r="BJ568" t="inlineStr">
        <is>
          <t xml:space="preserve"> 0</t>
        </is>
      </c>
      <c r="BK568" t="inlineStr">
        <is>
          <t>LINE</t>
        </is>
      </c>
      <c r="BL568" t="inlineStr">
        <is>
          <t>DOLPHIN REEFER</t>
        </is>
      </c>
      <c r="BM568" t="inlineStr">
        <is>
          <t>DOLPHIN REEFER</t>
        </is>
      </c>
    </row>
    <row r="569">
      <c r="A569" t="n">
        <v>568</v>
      </c>
      <c r="B569" t="inlineStr">
        <is>
          <t>MARLIN REEFER</t>
        </is>
      </c>
      <c r="C569" t="inlineStr">
        <is>
          <t>REF000000</t>
        </is>
      </c>
      <c r="D569" t="inlineStr">
        <is>
          <t>REF000000</t>
        </is>
      </c>
      <c r="E569" t="inlineStr">
        <is>
          <t>17-APR-2026</t>
        </is>
      </c>
      <c r="F569" t="inlineStr">
        <is>
          <t>MARLIN REEFER</t>
        </is>
      </c>
      <c r="G569" t="inlineStr">
        <is>
          <t>ENTERED THROUGH SPLIT BOOKING FROM THE BOOKING ID REF000000, BY AR_MARTIMA, ON 4/17/2026 10:32:59 PM</t>
        </is>
      </c>
      <c r="H569" t="inlineStr">
        <is>
          <t>AR_MARTIMA</t>
        </is>
      </c>
      <c r="J569" t="inlineStr">
        <is>
          <t>24-APR-2026</t>
        </is>
      </c>
      <c r="K569" t="inlineStr">
        <is>
          <t>24-APR-2026</t>
        </is>
      </c>
      <c r="M569" t="inlineStr">
        <is>
          <t>REF000000</t>
        </is>
      </c>
      <c r="N569" t="inlineStr">
        <is>
          <t>USSEA</t>
        </is>
      </c>
      <c r="O569" t="inlineStr">
        <is>
          <t>USSEA</t>
        </is>
      </c>
      <c r="P569" t="inlineStr">
        <is>
          <t>USHOU</t>
        </is>
      </c>
      <c r="U569" t="inlineStr">
        <is>
          <t>RULED</t>
        </is>
      </c>
      <c r="V569" t="inlineStr">
        <is>
          <t>RULED</t>
        </is>
      </c>
      <c r="W569" t="inlineStr">
        <is>
          <t>CANADA</t>
        </is>
      </c>
      <c r="X569" t="inlineStr">
        <is>
          <t>PERSIAN GULF</t>
        </is>
      </c>
      <c r="Y569" t="inlineStr">
        <is>
          <t>RUSSIA</t>
        </is>
      </c>
      <c r="Z569" t="inlineStr">
        <is>
          <t>External Review</t>
        </is>
      </c>
      <c r="AA569" t="inlineStr">
        <is>
          <t>HUB SHIPPING LLC-LED</t>
        </is>
      </c>
      <c r="AB569" t="inlineStr">
        <is>
          <t>Prepaid</t>
        </is>
      </c>
      <c r="AC569" t="inlineStr">
        <is>
          <t>MERCOSUL ITAJAI/0YO2PN1RCN</t>
        </is>
      </c>
      <c r="AE569" t="inlineStr">
        <is>
          <t>LADEN BOOKING</t>
        </is>
      </c>
      <c r="AF569" t="inlineStr">
        <is>
          <t>AR_MARTIMA</t>
        </is>
      </c>
      <c r="AG569" t="inlineStr">
        <is>
          <t>RH40</t>
        </is>
      </c>
      <c r="AI569" t="n">
        <v>40</v>
      </c>
      <c r="AJ569" t="n">
        <v>0</v>
      </c>
      <c r="AK569" t="n">
        <v>1</v>
      </c>
      <c r="AM569" t="n">
        <v>-18</v>
      </c>
      <c r="AP569" t="inlineStr">
        <is>
          <t>Non Haz</t>
        </is>
      </c>
      <c r="AQ569" t="inlineStr">
        <is>
          <t>CY/CY</t>
        </is>
      </c>
      <c r="AU569" t="n">
        <v>29000</v>
      </c>
      <c r="AV569" t="inlineStr">
        <is>
          <t>FROZEN MEAT</t>
        </is>
      </c>
      <c r="AX569" t="inlineStr">
        <is>
          <t>RSAMI032600010</t>
        </is>
      </c>
      <c r="AZ569" t="n">
        <v>0</v>
      </c>
      <c r="BA569" t="n">
        <v>10</v>
      </c>
      <c r="BB569" t="n">
        <v>10</v>
      </c>
      <c r="BC569" t="n">
        <v>6800</v>
      </c>
      <c r="BD569" t="inlineStr">
        <is>
          <t>No</t>
        </is>
      </c>
      <c r="BG569" t="inlineStr">
        <is>
          <t>USSEA</t>
        </is>
      </c>
      <c r="BH569" t="n">
        <v>0</v>
      </c>
      <c r="BI569" t="n">
        <v>0</v>
      </c>
      <c r="BJ569" t="inlineStr">
        <is>
          <t xml:space="preserve"> 0</t>
        </is>
      </c>
      <c r="BK569" t="inlineStr">
        <is>
          <t>LINE</t>
        </is>
      </c>
      <c r="BL569" t="inlineStr">
        <is>
          <t>MARLIN REEFER</t>
        </is>
      </c>
      <c r="BM569" t="inlineStr">
        <is>
          <t>MARLIN REEFER</t>
        </is>
      </c>
    </row>
    <row r="570">
      <c r="A570" t="n">
        <v>569</v>
      </c>
      <c r="B570" t="inlineStr">
        <is>
          <t>TURTLE REEFER</t>
        </is>
      </c>
      <c r="C570" t="inlineStr">
        <is>
          <t>REF000000</t>
        </is>
      </c>
      <c r="D570" t="inlineStr">
        <is>
          <t>REF000000</t>
        </is>
      </c>
      <c r="E570" t="inlineStr">
        <is>
          <t>17-APR-2026</t>
        </is>
      </c>
      <c r="F570" t="inlineStr">
        <is>
          <t>TURTLE REEFER</t>
        </is>
      </c>
      <c r="G570" t="inlineStr">
        <is>
          <t>ENTERED THROUGH SPLIT BOOKING FROM THE BOOKING ID REF000000, BY AR_MARTIMA, ON 4/17/2026 10:32:59 PM</t>
        </is>
      </c>
      <c r="H570" t="inlineStr">
        <is>
          <t>AR_MARTIMA</t>
        </is>
      </c>
      <c r="J570" t="inlineStr">
        <is>
          <t>24-APR-2026</t>
        </is>
      </c>
      <c r="K570" t="inlineStr">
        <is>
          <t>24-APR-2026</t>
        </is>
      </c>
      <c r="M570" t="inlineStr">
        <is>
          <t>REF000000</t>
        </is>
      </c>
      <c r="N570" t="inlineStr">
        <is>
          <t>USSEA</t>
        </is>
      </c>
      <c r="O570" t="inlineStr">
        <is>
          <t>USSEA</t>
        </is>
      </c>
      <c r="P570" t="inlineStr">
        <is>
          <t>USHOU</t>
        </is>
      </c>
      <c r="U570" t="inlineStr">
        <is>
          <t>RULED</t>
        </is>
      </c>
      <c r="V570" t="inlineStr">
        <is>
          <t>RULED</t>
        </is>
      </c>
      <c r="W570" t="inlineStr">
        <is>
          <t>CANADA</t>
        </is>
      </c>
      <c r="X570" t="inlineStr">
        <is>
          <t>PERSIAN GULF</t>
        </is>
      </c>
      <c r="Y570" t="inlineStr">
        <is>
          <t>RUSSIA</t>
        </is>
      </c>
      <c r="Z570" t="inlineStr">
        <is>
          <t>External Review</t>
        </is>
      </c>
      <c r="AA570" t="inlineStr">
        <is>
          <t>HUB SHIPPING LLC-LED</t>
        </is>
      </c>
      <c r="AB570" t="inlineStr">
        <is>
          <t>Prepaid</t>
        </is>
      </c>
      <c r="AC570" t="inlineStr">
        <is>
          <t>MERCOSUL ITAJAI/0YO2PN1RCN</t>
        </is>
      </c>
      <c r="AE570" t="inlineStr">
        <is>
          <t>LADEN BOOKING</t>
        </is>
      </c>
      <c r="AF570" t="inlineStr">
        <is>
          <t>AR_MARTIMA</t>
        </is>
      </c>
      <c r="AG570" t="inlineStr">
        <is>
          <t>RH40</t>
        </is>
      </c>
      <c r="AI570" t="n">
        <v>40</v>
      </c>
      <c r="AJ570" t="n">
        <v>0</v>
      </c>
      <c r="AK570" t="n">
        <v>1</v>
      </c>
      <c r="AM570" t="n">
        <v>-18</v>
      </c>
      <c r="AP570" t="inlineStr">
        <is>
          <t>Non Haz</t>
        </is>
      </c>
      <c r="AQ570" t="inlineStr">
        <is>
          <t>CY/CY</t>
        </is>
      </c>
      <c r="AU570" t="n">
        <v>29000</v>
      </c>
      <c r="AV570" t="inlineStr">
        <is>
          <t>FROZEN MEAT</t>
        </is>
      </c>
      <c r="AX570" t="inlineStr">
        <is>
          <t>RSAMI032600010</t>
        </is>
      </c>
      <c r="AZ570" t="n">
        <v>0</v>
      </c>
      <c r="BA570" t="n">
        <v>10</v>
      </c>
      <c r="BB570" t="n">
        <v>10</v>
      </c>
      <c r="BC570" t="n">
        <v>6800</v>
      </c>
      <c r="BD570" t="inlineStr">
        <is>
          <t>No</t>
        </is>
      </c>
      <c r="BG570" t="inlineStr">
        <is>
          <t>USSEA</t>
        </is>
      </c>
      <c r="BH570" t="n">
        <v>0</v>
      </c>
      <c r="BI570" t="n">
        <v>0</v>
      </c>
      <c r="BJ570" t="inlineStr">
        <is>
          <t xml:space="preserve"> 0</t>
        </is>
      </c>
      <c r="BK570" t="inlineStr">
        <is>
          <t>LINE</t>
        </is>
      </c>
      <c r="BL570" t="inlineStr">
        <is>
          <t>TURTLE REEFER</t>
        </is>
      </c>
      <c r="BM570" t="inlineStr">
        <is>
          <t>TURTLE REEFER</t>
        </is>
      </c>
    </row>
    <row r="571">
      <c r="A571" t="n">
        <v>570</v>
      </c>
      <c r="B571" t="inlineStr">
        <is>
          <t>ORCA REEFER</t>
        </is>
      </c>
      <c r="C571" t="inlineStr">
        <is>
          <t>REF000000</t>
        </is>
      </c>
      <c r="D571" t="inlineStr">
        <is>
          <t>REF000000</t>
        </is>
      </c>
      <c r="E571" t="inlineStr">
        <is>
          <t>17-APR-2026</t>
        </is>
      </c>
      <c r="F571" t="inlineStr">
        <is>
          <t>ORCA REEFER</t>
        </is>
      </c>
      <c r="G571" t="inlineStr">
        <is>
          <t>ENTERED THROUGH SPLIT BOOKING FROM THE BOOKING ID REF000000, BY AR_MARTIMA, ON 4/17/2026 10:33:00 PM</t>
        </is>
      </c>
      <c r="H571" t="inlineStr">
        <is>
          <t>AR_MARTIMA</t>
        </is>
      </c>
      <c r="J571" t="inlineStr">
        <is>
          <t>24-APR-2026</t>
        </is>
      </c>
      <c r="K571" t="inlineStr">
        <is>
          <t>24-APR-2026</t>
        </is>
      </c>
      <c r="M571" t="inlineStr">
        <is>
          <t>REF000000</t>
        </is>
      </c>
      <c r="N571" t="inlineStr">
        <is>
          <t>USSEA</t>
        </is>
      </c>
      <c r="O571" t="inlineStr">
        <is>
          <t>USSEA</t>
        </is>
      </c>
      <c r="P571" t="inlineStr">
        <is>
          <t>USHOU</t>
        </is>
      </c>
      <c r="U571" t="inlineStr">
        <is>
          <t>RULED</t>
        </is>
      </c>
      <c r="V571" t="inlineStr">
        <is>
          <t>RULED</t>
        </is>
      </c>
      <c r="W571" t="inlineStr">
        <is>
          <t>CANADA</t>
        </is>
      </c>
      <c r="X571" t="inlineStr">
        <is>
          <t>PERSIAN GULF</t>
        </is>
      </c>
      <c r="Y571" t="inlineStr">
        <is>
          <t>RUSSIA</t>
        </is>
      </c>
      <c r="Z571" t="inlineStr">
        <is>
          <t>External Review</t>
        </is>
      </c>
      <c r="AA571" t="inlineStr">
        <is>
          <t>HUB SHIPPING LLC-LED</t>
        </is>
      </c>
      <c r="AB571" t="inlineStr">
        <is>
          <t>Prepaid</t>
        </is>
      </c>
      <c r="AC571" t="inlineStr">
        <is>
          <t>MERCOSUL ITAJAI/0YO2PN1RCN</t>
        </is>
      </c>
      <c r="AE571" t="inlineStr">
        <is>
          <t>LADEN BOOKING</t>
        </is>
      </c>
      <c r="AF571" t="inlineStr">
        <is>
          <t>AR_MARTIMA</t>
        </is>
      </c>
      <c r="AG571" t="inlineStr">
        <is>
          <t>RH40</t>
        </is>
      </c>
      <c r="AI571" t="n">
        <v>40</v>
      </c>
      <c r="AJ571" t="n">
        <v>0</v>
      </c>
      <c r="AK571" t="n">
        <v>1</v>
      </c>
      <c r="AM571" t="n">
        <v>-18</v>
      </c>
      <c r="AP571" t="inlineStr">
        <is>
          <t>Non Haz</t>
        </is>
      </c>
      <c r="AQ571" t="inlineStr">
        <is>
          <t>CY/CY</t>
        </is>
      </c>
      <c r="AU571" t="n">
        <v>29000</v>
      </c>
      <c r="AV571" t="inlineStr">
        <is>
          <t>FROZEN MEAT</t>
        </is>
      </c>
      <c r="AX571" t="inlineStr">
        <is>
          <t>RSAMI032600010</t>
        </is>
      </c>
      <c r="AZ571" t="n">
        <v>0</v>
      </c>
      <c r="BA571" t="n">
        <v>10</v>
      </c>
      <c r="BB571" t="n">
        <v>10</v>
      </c>
      <c r="BC571" t="n">
        <v>6800</v>
      </c>
      <c r="BD571" t="inlineStr">
        <is>
          <t>No</t>
        </is>
      </c>
      <c r="BG571" t="inlineStr">
        <is>
          <t>USSEA</t>
        </is>
      </c>
      <c r="BH571" t="n">
        <v>0</v>
      </c>
      <c r="BI571" t="n">
        <v>0</v>
      </c>
      <c r="BJ571" t="inlineStr">
        <is>
          <t xml:space="preserve"> 0</t>
        </is>
      </c>
      <c r="BK571" t="inlineStr">
        <is>
          <t>LINE</t>
        </is>
      </c>
      <c r="BL571" t="inlineStr">
        <is>
          <t>ORCA REEFER</t>
        </is>
      </c>
      <c r="BM571" t="inlineStr">
        <is>
          <t>ORCA REEFER</t>
        </is>
      </c>
    </row>
    <row r="572">
      <c r="A572" t="n">
        <v>571</v>
      </c>
      <c r="B572" t="inlineStr">
        <is>
          <t>WHALE REEFER</t>
        </is>
      </c>
      <c r="C572" t="inlineStr">
        <is>
          <t>REF000000</t>
        </is>
      </c>
      <c r="D572" t="inlineStr">
        <is>
          <t>REF000000</t>
        </is>
      </c>
      <c r="E572" t="inlineStr">
        <is>
          <t>17-APR-2026</t>
        </is>
      </c>
      <c r="F572" t="inlineStr">
        <is>
          <t>WHALE REEFER</t>
        </is>
      </c>
      <c r="G572" t="inlineStr">
        <is>
          <t>ENTERED THROUGH SPLIT BOOKING FROM THE BOOKING ID REF000000, BY AR_MARTIMA, ON 4/17/2026 10:33:00 PM</t>
        </is>
      </c>
      <c r="H572" t="inlineStr">
        <is>
          <t>AR_MARTIMA</t>
        </is>
      </c>
      <c r="J572" t="inlineStr">
        <is>
          <t>24-APR-2026</t>
        </is>
      </c>
      <c r="K572" t="inlineStr">
        <is>
          <t>24-APR-2026</t>
        </is>
      </c>
      <c r="M572" t="inlineStr">
        <is>
          <t>REF000000</t>
        </is>
      </c>
      <c r="N572" t="inlineStr">
        <is>
          <t>USSEA</t>
        </is>
      </c>
      <c r="O572" t="inlineStr">
        <is>
          <t>USSEA</t>
        </is>
      </c>
      <c r="P572" t="inlineStr">
        <is>
          <t>USHOU</t>
        </is>
      </c>
      <c r="U572" t="inlineStr">
        <is>
          <t>RULED</t>
        </is>
      </c>
      <c r="V572" t="inlineStr">
        <is>
          <t>RULED</t>
        </is>
      </c>
      <c r="W572" t="inlineStr">
        <is>
          <t>CANADA</t>
        </is>
      </c>
      <c r="X572" t="inlineStr">
        <is>
          <t>PERSIAN GULF</t>
        </is>
      </c>
      <c r="Y572" t="inlineStr">
        <is>
          <t>RUSSIA</t>
        </is>
      </c>
      <c r="Z572" t="inlineStr">
        <is>
          <t>External Review</t>
        </is>
      </c>
      <c r="AA572" t="inlineStr">
        <is>
          <t>HUB SHIPPING LLC-LED</t>
        </is>
      </c>
      <c r="AB572" t="inlineStr">
        <is>
          <t>Prepaid</t>
        </is>
      </c>
      <c r="AC572" t="inlineStr">
        <is>
          <t>MERCOSUL ITAJAI/0YO2PN1RCN</t>
        </is>
      </c>
      <c r="AE572" t="inlineStr">
        <is>
          <t>LADEN BOOKING</t>
        </is>
      </c>
      <c r="AF572" t="inlineStr">
        <is>
          <t>AR_MARTIMA</t>
        </is>
      </c>
      <c r="AG572" t="inlineStr">
        <is>
          <t>RH40</t>
        </is>
      </c>
      <c r="AI572" t="n">
        <v>40</v>
      </c>
      <c r="AJ572" t="n">
        <v>0</v>
      </c>
      <c r="AK572" t="n">
        <v>1</v>
      </c>
      <c r="AM572" t="n">
        <v>-18</v>
      </c>
      <c r="AP572" t="inlineStr">
        <is>
          <t>Non Haz</t>
        </is>
      </c>
      <c r="AQ572" t="inlineStr">
        <is>
          <t>CY/CY</t>
        </is>
      </c>
      <c r="AU572" t="n">
        <v>29000</v>
      </c>
      <c r="AV572" t="inlineStr">
        <is>
          <t>FROZEN MEAT</t>
        </is>
      </c>
      <c r="AX572" t="inlineStr">
        <is>
          <t>RSAMI032600010</t>
        </is>
      </c>
      <c r="AZ572" t="n">
        <v>0</v>
      </c>
      <c r="BA572" t="n">
        <v>10</v>
      </c>
      <c r="BB572" t="n">
        <v>10</v>
      </c>
      <c r="BC572" t="n">
        <v>6800</v>
      </c>
      <c r="BD572" t="inlineStr">
        <is>
          <t>No</t>
        </is>
      </c>
      <c r="BG572" t="inlineStr">
        <is>
          <t>USSEA</t>
        </is>
      </c>
      <c r="BH572" t="n">
        <v>0</v>
      </c>
      <c r="BI572" t="n">
        <v>0</v>
      </c>
      <c r="BJ572" t="inlineStr">
        <is>
          <t xml:space="preserve"> 0</t>
        </is>
      </c>
      <c r="BK572" t="inlineStr">
        <is>
          <t>LINE</t>
        </is>
      </c>
      <c r="BL572" t="inlineStr">
        <is>
          <t>WHALE REEFER</t>
        </is>
      </c>
      <c r="BM572" t="inlineStr">
        <is>
          <t>WHALE REEFER</t>
        </is>
      </c>
    </row>
    <row r="573">
      <c r="A573" t="n">
        <v>572</v>
      </c>
      <c r="B573" t="inlineStr">
        <is>
          <t>SEAL REEFER</t>
        </is>
      </c>
      <c r="C573" t="inlineStr">
        <is>
          <t>REF000000</t>
        </is>
      </c>
      <c r="D573" t="inlineStr">
        <is>
          <t>REF000000</t>
        </is>
      </c>
      <c r="E573" t="inlineStr">
        <is>
          <t>17-APR-2026</t>
        </is>
      </c>
      <c r="F573" t="inlineStr">
        <is>
          <t>SEAL REEFER</t>
        </is>
      </c>
      <c r="G573" t="inlineStr">
        <is>
          <t>ENTERED THROUGH SPLIT BOOKING FROM THE BOOKING ID REF000000, BY AR_MARTIMA, ON 4/17/2026 10:33:00 PM</t>
        </is>
      </c>
      <c r="H573" t="inlineStr">
        <is>
          <t>AR_MARTIMA</t>
        </is>
      </c>
      <c r="J573" t="inlineStr">
        <is>
          <t>24-APR-2026</t>
        </is>
      </c>
      <c r="K573" t="inlineStr">
        <is>
          <t>24-APR-2026</t>
        </is>
      </c>
      <c r="M573" t="inlineStr">
        <is>
          <t>REF000000</t>
        </is>
      </c>
      <c r="N573" t="inlineStr">
        <is>
          <t>USSEA</t>
        </is>
      </c>
      <c r="O573" t="inlineStr">
        <is>
          <t>USSEA</t>
        </is>
      </c>
      <c r="P573" t="inlineStr">
        <is>
          <t>USHOU</t>
        </is>
      </c>
      <c r="U573" t="inlineStr">
        <is>
          <t>RULED</t>
        </is>
      </c>
      <c r="V573" t="inlineStr">
        <is>
          <t>RULED</t>
        </is>
      </c>
      <c r="W573" t="inlineStr">
        <is>
          <t>CANADA</t>
        </is>
      </c>
      <c r="X573" t="inlineStr">
        <is>
          <t>PERSIAN GULF</t>
        </is>
      </c>
      <c r="Y573" t="inlineStr">
        <is>
          <t>RUSSIA</t>
        </is>
      </c>
      <c r="Z573" t="inlineStr">
        <is>
          <t>External Review</t>
        </is>
      </c>
      <c r="AA573" t="inlineStr">
        <is>
          <t>HUB SHIPPING LLC-LED</t>
        </is>
      </c>
      <c r="AB573" t="inlineStr">
        <is>
          <t>Prepaid</t>
        </is>
      </c>
      <c r="AC573" t="inlineStr">
        <is>
          <t>MERCOSUL ITAJAI/0YO2PN1RCN</t>
        </is>
      </c>
      <c r="AE573" t="inlineStr">
        <is>
          <t>LADEN BOOKING</t>
        </is>
      </c>
      <c r="AF573" t="inlineStr">
        <is>
          <t>AR_MARTIMA</t>
        </is>
      </c>
      <c r="AG573" t="inlineStr">
        <is>
          <t>RH40</t>
        </is>
      </c>
      <c r="AI573" t="n">
        <v>40</v>
      </c>
      <c r="AJ573" t="n">
        <v>0</v>
      </c>
      <c r="AK573" t="n">
        <v>1</v>
      </c>
      <c r="AM573" t="n">
        <v>-18</v>
      </c>
      <c r="AP573" t="inlineStr">
        <is>
          <t>Non Haz</t>
        </is>
      </c>
      <c r="AQ573" t="inlineStr">
        <is>
          <t>CY/CY</t>
        </is>
      </c>
      <c r="AU573" t="n">
        <v>29000</v>
      </c>
      <c r="AV573" t="inlineStr">
        <is>
          <t>FROZEN MEAT</t>
        </is>
      </c>
      <c r="AX573" t="inlineStr">
        <is>
          <t>RSAMI032600010</t>
        </is>
      </c>
      <c r="AZ573" t="n">
        <v>0</v>
      </c>
      <c r="BA573" t="n">
        <v>10</v>
      </c>
      <c r="BB573" t="n">
        <v>10</v>
      </c>
      <c r="BC573" t="n">
        <v>6800</v>
      </c>
      <c r="BD573" t="inlineStr">
        <is>
          <t>No</t>
        </is>
      </c>
      <c r="BG573" t="inlineStr">
        <is>
          <t>USSEA</t>
        </is>
      </c>
      <c r="BH573" t="n">
        <v>0</v>
      </c>
      <c r="BI573" t="n">
        <v>0</v>
      </c>
      <c r="BJ573" t="inlineStr">
        <is>
          <t xml:space="preserve"> 0</t>
        </is>
      </c>
      <c r="BK573" t="inlineStr">
        <is>
          <t>LINE</t>
        </is>
      </c>
      <c r="BL573" t="inlineStr">
        <is>
          <t>SEAL REEFER</t>
        </is>
      </c>
      <c r="BM573" t="inlineStr">
        <is>
          <t>SEAL REEFER</t>
        </is>
      </c>
    </row>
    <row r="574">
      <c r="A574" t="n">
        <v>573</v>
      </c>
      <c r="B574" t="inlineStr">
        <is>
          <t>SHARK REEFER</t>
        </is>
      </c>
      <c r="C574" t="inlineStr">
        <is>
          <t>REF000000</t>
        </is>
      </c>
      <c r="D574" t="inlineStr">
        <is>
          <t>REF000000</t>
        </is>
      </c>
      <c r="E574" t="inlineStr">
        <is>
          <t>17-APR-2026</t>
        </is>
      </c>
      <c r="F574" t="inlineStr">
        <is>
          <t>SHARK REEFER</t>
        </is>
      </c>
      <c r="G574" t="inlineStr">
        <is>
          <t>ENTERED THROUGH SPLIT BOOKING FROM THE BOOKING ID REF000000, BY AR_MARTIMA, ON 4/17/2026 10:33:00 PM</t>
        </is>
      </c>
      <c r="H574" t="inlineStr">
        <is>
          <t>AR_MARTIMA</t>
        </is>
      </c>
      <c r="J574" t="inlineStr">
        <is>
          <t>24-APR-2026</t>
        </is>
      </c>
      <c r="K574" t="inlineStr">
        <is>
          <t>24-APR-2026</t>
        </is>
      </c>
      <c r="M574" t="inlineStr">
        <is>
          <t>REF000000</t>
        </is>
      </c>
      <c r="N574" t="inlineStr">
        <is>
          <t>USSEA</t>
        </is>
      </c>
      <c r="O574" t="inlineStr">
        <is>
          <t>USSEA</t>
        </is>
      </c>
      <c r="P574" t="inlineStr">
        <is>
          <t>USHOU</t>
        </is>
      </c>
      <c r="U574" t="inlineStr">
        <is>
          <t>RULED</t>
        </is>
      </c>
      <c r="V574" t="inlineStr">
        <is>
          <t>RULED</t>
        </is>
      </c>
      <c r="W574" t="inlineStr">
        <is>
          <t>CANADA</t>
        </is>
      </c>
      <c r="X574" t="inlineStr">
        <is>
          <t>PERSIAN GULF</t>
        </is>
      </c>
      <c r="Y574" t="inlineStr">
        <is>
          <t>RUSSIA</t>
        </is>
      </c>
      <c r="Z574" t="inlineStr">
        <is>
          <t>External Review</t>
        </is>
      </c>
      <c r="AA574" t="inlineStr">
        <is>
          <t>HUB SHIPPING LLC-LED</t>
        </is>
      </c>
      <c r="AB574" t="inlineStr">
        <is>
          <t>Prepaid</t>
        </is>
      </c>
      <c r="AC574" t="inlineStr">
        <is>
          <t>MERCOSUL ITAJAI/0YO2PN1RCN</t>
        </is>
      </c>
      <c r="AE574" t="inlineStr">
        <is>
          <t>LADEN BOOKING</t>
        </is>
      </c>
      <c r="AF574" t="inlineStr">
        <is>
          <t>AR_MARTIMA</t>
        </is>
      </c>
      <c r="AG574" t="inlineStr">
        <is>
          <t>RH40</t>
        </is>
      </c>
      <c r="AI574" t="n">
        <v>40</v>
      </c>
      <c r="AJ574" t="n">
        <v>0</v>
      </c>
      <c r="AK574" t="n">
        <v>1</v>
      </c>
      <c r="AM574" t="n">
        <v>-18</v>
      </c>
      <c r="AP574" t="inlineStr">
        <is>
          <t>Non Haz</t>
        </is>
      </c>
      <c r="AQ574" t="inlineStr">
        <is>
          <t>CY/CY</t>
        </is>
      </c>
      <c r="AU574" t="n">
        <v>29000</v>
      </c>
      <c r="AV574" t="inlineStr">
        <is>
          <t>FROZEN MEAT</t>
        </is>
      </c>
      <c r="AX574" t="inlineStr">
        <is>
          <t>RSAMI032600010</t>
        </is>
      </c>
      <c r="AZ574" t="n">
        <v>0</v>
      </c>
      <c r="BA574" t="n">
        <v>10</v>
      </c>
      <c r="BB574" t="n">
        <v>10</v>
      </c>
      <c r="BC574" t="n">
        <v>6800</v>
      </c>
      <c r="BD574" t="inlineStr">
        <is>
          <t>No</t>
        </is>
      </c>
      <c r="BG574" t="inlineStr">
        <is>
          <t>USSEA</t>
        </is>
      </c>
      <c r="BH574" t="n">
        <v>0</v>
      </c>
      <c r="BI574" t="n">
        <v>0</v>
      </c>
      <c r="BJ574" t="inlineStr">
        <is>
          <t xml:space="preserve"> 0</t>
        </is>
      </c>
      <c r="BK574" t="inlineStr">
        <is>
          <t>LINE</t>
        </is>
      </c>
      <c r="BL574" t="inlineStr">
        <is>
          <t>SHARK REEFER</t>
        </is>
      </c>
      <c r="BM574" t="inlineStr">
        <is>
          <t>SHARK REEFER</t>
        </is>
      </c>
    </row>
    <row r="575">
      <c r="A575" t="n">
        <v>574</v>
      </c>
      <c r="B575" t="inlineStr">
        <is>
          <t>DOLPHIN REEFER</t>
        </is>
      </c>
      <c r="C575" t="inlineStr">
        <is>
          <t>REF000000</t>
        </is>
      </c>
      <c r="D575" t="inlineStr">
        <is>
          <t>REF000000</t>
        </is>
      </c>
      <c r="E575" t="inlineStr">
        <is>
          <t>17-APR-2026</t>
        </is>
      </c>
      <c r="F575" t="inlineStr">
        <is>
          <t>DOLPHIN REEFER</t>
        </is>
      </c>
      <c r="G575" t="inlineStr">
        <is>
          <t>ENTERED THROUGH SPLIT BOOKING FROM THE BOOKING ID REF000000, BY AR_MARTIMA, ON 4/17/2026 10:33:00 PM</t>
        </is>
      </c>
      <c r="H575" t="inlineStr">
        <is>
          <t>AR_MARTIMA</t>
        </is>
      </c>
      <c r="J575" t="inlineStr">
        <is>
          <t>24-APR-2026</t>
        </is>
      </c>
      <c r="K575" t="inlineStr">
        <is>
          <t>24-APR-2026</t>
        </is>
      </c>
      <c r="M575" t="inlineStr">
        <is>
          <t>REF000000</t>
        </is>
      </c>
      <c r="N575" t="inlineStr">
        <is>
          <t>USSEA</t>
        </is>
      </c>
      <c r="O575" t="inlineStr">
        <is>
          <t>USSEA</t>
        </is>
      </c>
      <c r="P575" t="inlineStr">
        <is>
          <t>USHOU</t>
        </is>
      </c>
      <c r="U575" t="inlineStr">
        <is>
          <t>RULED</t>
        </is>
      </c>
      <c r="V575" t="inlineStr">
        <is>
          <t>RULED</t>
        </is>
      </c>
      <c r="W575" t="inlineStr">
        <is>
          <t>CANADA</t>
        </is>
      </c>
      <c r="X575" t="inlineStr">
        <is>
          <t>PERSIAN GULF</t>
        </is>
      </c>
      <c r="Y575" t="inlineStr">
        <is>
          <t>RUSSIA</t>
        </is>
      </c>
      <c r="Z575" t="inlineStr">
        <is>
          <t>External Review</t>
        </is>
      </c>
      <c r="AA575" t="inlineStr">
        <is>
          <t>HUB SHIPPING LLC-LED</t>
        </is>
      </c>
      <c r="AB575" t="inlineStr">
        <is>
          <t>Prepaid</t>
        </is>
      </c>
      <c r="AC575" t="inlineStr">
        <is>
          <t>MERCOSUL ITAJAI/0YO2PN1RCN</t>
        </is>
      </c>
      <c r="AE575" t="inlineStr">
        <is>
          <t>LADEN BOOKING</t>
        </is>
      </c>
      <c r="AF575" t="inlineStr">
        <is>
          <t>AR_MARTIMA</t>
        </is>
      </c>
      <c r="AG575" t="inlineStr">
        <is>
          <t>RH40</t>
        </is>
      </c>
      <c r="AI575" t="n">
        <v>40</v>
      </c>
      <c r="AJ575" t="n">
        <v>0</v>
      </c>
      <c r="AK575" t="n">
        <v>1</v>
      </c>
      <c r="AM575" t="n">
        <v>-18</v>
      </c>
      <c r="AP575" t="inlineStr">
        <is>
          <t>Non Haz</t>
        </is>
      </c>
      <c r="AQ575" t="inlineStr">
        <is>
          <t>CY/CY</t>
        </is>
      </c>
      <c r="AU575" t="n">
        <v>29000</v>
      </c>
      <c r="AV575" t="inlineStr">
        <is>
          <t>FROZEN MEAT</t>
        </is>
      </c>
      <c r="AX575" t="inlineStr">
        <is>
          <t>RSAMI032600010</t>
        </is>
      </c>
      <c r="AZ575" t="n">
        <v>0</v>
      </c>
      <c r="BA575" t="n">
        <v>10</v>
      </c>
      <c r="BB575" t="n">
        <v>10</v>
      </c>
      <c r="BC575" t="n">
        <v>6800</v>
      </c>
      <c r="BD575" t="inlineStr">
        <is>
          <t>No</t>
        </is>
      </c>
      <c r="BG575" t="inlineStr">
        <is>
          <t>USSEA</t>
        </is>
      </c>
      <c r="BH575" t="n">
        <v>0</v>
      </c>
      <c r="BI575" t="n">
        <v>0</v>
      </c>
      <c r="BJ575" t="inlineStr">
        <is>
          <t xml:space="preserve"> 0</t>
        </is>
      </c>
      <c r="BK575" t="inlineStr">
        <is>
          <t>LINE</t>
        </is>
      </c>
      <c r="BL575" t="inlineStr">
        <is>
          <t>DOLPHIN REEFER</t>
        </is>
      </c>
      <c r="BM575" t="inlineStr">
        <is>
          <t>DOLPHIN REEFER</t>
        </is>
      </c>
    </row>
    <row r="576">
      <c r="A576" t="n">
        <v>575</v>
      </c>
      <c r="B576" t="inlineStr">
        <is>
          <t>MARLIN REEFER</t>
        </is>
      </c>
      <c r="C576" t="inlineStr">
        <is>
          <t>REF000000</t>
        </is>
      </c>
      <c r="D576" t="inlineStr">
        <is>
          <t>REF000000</t>
        </is>
      </c>
      <c r="E576" t="inlineStr">
        <is>
          <t>17-APR-2026</t>
        </is>
      </c>
      <c r="F576" t="inlineStr">
        <is>
          <t>MARLIN REEFER</t>
        </is>
      </c>
      <c r="G576" t="inlineStr">
        <is>
          <t>ENTERED THROUGH SPLIT BOOKING FROM THE BOOKING ID REF000000, BY AR_MARTIMA, ON 4/17/2026 10:33:00 PM</t>
        </is>
      </c>
      <c r="H576" t="inlineStr">
        <is>
          <t>AR_MARTIMA</t>
        </is>
      </c>
      <c r="J576" t="inlineStr">
        <is>
          <t>24-APR-2026</t>
        </is>
      </c>
      <c r="K576" t="inlineStr">
        <is>
          <t>24-APR-2026</t>
        </is>
      </c>
      <c r="M576" t="inlineStr">
        <is>
          <t>REF000000</t>
        </is>
      </c>
      <c r="N576" t="inlineStr">
        <is>
          <t>USSEA</t>
        </is>
      </c>
      <c r="O576" t="inlineStr">
        <is>
          <t>USSEA</t>
        </is>
      </c>
      <c r="P576" t="inlineStr">
        <is>
          <t>USHOU</t>
        </is>
      </c>
      <c r="U576" t="inlineStr">
        <is>
          <t>RULED</t>
        </is>
      </c>
      <c r="V576" t="inlineStr">
        <is>
          <t>RULED</t>
        </is>
      </c>
      <c r="W576" t="inlineStr">
        <is>
          <t>CANADA</t>
        </is>
      </c>
      <c r="X576" t="inlineStr">
        <is>
          <t>PERSIAN GULF</t>
        </is>
      </c>
      <c r="Y576" t="inlineStr">
        <is>
          <t>RUSSIA</t>
        </is>
      </c>
      <c r="Z576" t="inlineStr">
        <is>
          <t>External Review</t>
        </is>
      </c>
      <c r="AA576" t="inlineStr">
        <is>
          <t>HUB SHIPPING LLC-LED</t>
        </is>
      </c>
      <c r="AB576" t="inlineStr">
        <is>
          <t>Prepaid</t>
        </is>
      </c>
      <c r="AC576" t="inlineStr">
        <is>
          <t>MERCOSUL ITAJAI/0YO2PN1RCN</t>
        </is>
      </c>
      <c r="AE576" t="inlineStr">
        <is>
          <t>LADEN BOOKING</t>
        </is>
      </c>
      <c r="AF576" t="inlineStr">
        <is>
          <t>AR_MARTIMA</t>
        </is>
      </c>
      <c r="AG576" t="inlineStr">
        <is>
          <t>RH40</t>
        </is>
      </c>
      <c r="AI576" t="n">
        <v>40</v>
      </c>
      <c r="AJ576" t="n">
        <v>0</v>
      </c>
      <c r="AK576" t="n">
        <v>1</v>
      </c>
      <c r="AM576" t="n">
        <v>-18</v>
      </c>
      <c r="AP576" t="inlineStr">
        <is>
          <t>Non Haz</t>
        </is>
      </c>
      <c r="AQ576" t="inlineStr">
        <is>
          <t>CY/CY</t>
        </is>
      </c>
      <c r="AU576" t="n">
        <v>29000</v>
      </c>
      <c r="AV576" t="inlineStr">
        <is>
          <t>FROZEN MEAT</t>
        </is>
      </c>
      <c r="AX576" t="inlineStr">
        <is>
          <t>RSAMI032600010</t>
        </is>
      </c>
      <c r="AZ576" t="n">
        <v>0</v>
      </c>
      <c r="BA576" t="n">
        <v>10</v>
      </c>
      <c r="BB576" t="n">
        <v>10</v>
      </c>
      <c r="BC576" t="n">
        <v>6800</v>
      </c>
      <c r="BD576" t="inlineStr">
        <is>
          <t>No</t>
        </is>
      </c>
      <c r="BG576" t="inlineStr">
        <is>
          <t>USSEA</t>
        </is>
      </c>
      <c r="BH576" t="n">
        <v>0</v>
      </c>
      <c r="BI576" t="n">
        <v>0</v>
      </c>
      <c r="BJ576" t="inlineStr">
        <is>
          <t xml:space="preserve"> 0</t>
        </is>
      </c>
      <c r="BK576" t="inlineStr">
        <is>
          <t>LINE</t>
        </is>
      </c>
      <c r="BL576" t="inlineStr">
        <is>
          <t>MARLIN REEFER</t>
        </is>
      </c>
      <c r="BM576" t="inlineStr">
        <is>
          <t>MARLIN REEFER</t>
        </is>
      </c>
    </row>
    <row r="577">
      <c r="A577" t="n">
        <v>576</v>
      </c>
      <c r="B577" t="inlineStr">
        <is>
          <t>TURTLE REEFER</t>
        </is>
      </c>
      <c r="C577" t="inlineStr">
        <is>
          <t>REF000000</t>
        </is>
      </c>
      <c r="D577" t="inlineStr">
        <is>
          <t>REF000000</t>
        </is>
      </c>
      <c r="E577" t="inlineStr">
        <is>
          <t>19-DEC-2025</t>
        </is>
      </c>
      <c r="F577" t="inlineStr">
        <is>
          <t>TURTLE REEFER</t>
        </is>
      </c>
      <c r="G577" t="inlineStr">
        <is>
          <t>-18 FROZEN MEAT</t>
        </is>
      </c>
      <c r="H577" t="inlineStr">
        <is>
          <t>United States_DOC</t>
        </is>
      </c>
      <c r="J577" t="n">
        <v>46038</v>
      </c>
      <c r="K577" t="n">
        <v>46037</v>
      </c>
      <c r="L577" t="n">
        <v>46038</v>
      </c>
      <c r="M577" t="inlineStr">
        <is>
          <t>REF000000</t>
        </is>
      </c>
      <c r="N577" t="inlineStr">
        <is>
          <t>USSEA</t>
        </is>
      </c>
      <c r="O577" t="inlineStr">
        <is>
          <t>USSEA</t>
        </is>
      </c>
      <c r="P577" t="inlineStr">
        <is>
          <t>CAVAN</t>
        </is>
      </c>
      <c r="Q577" t="inlineStr">
        <is>
          <t>USNFK</t>
        </is>
      </c>
      <c r="U577" t="inlineStr">
        <is>
          <t>RUBLT</t>
        </is>
      </c>
      <c r="V577" t="inlineStr">
        <is>
          <t>RUBLT</t>
        </is>
      </c>
      <c r="W577" t="inlineStr">
        <is>
          <t>UNITED STATES</t>
        </is>
      </c>
      <c r="X577" t="inlineStr">
        <is>
          <t>Latin America</t>
        </is>
      </c>
      <c r="Y577" t="inlineStr">
        <is>
          <t>RUSSIA</t>
        </is>
      </c>
      <c r="Z577" t="inlineStr">
        <is>
          <t>External Review</t>
        </is>
      </c>
      <c r="AA577" t="inlineStr">
        <is>
          <t>HUB Shipping-Kaliningrad</t>
        </is>
      </c>
      <c r="AB577" t="inlineStr">
        <is>
          <t>Prepaid</t>
        </is>
      </c>
      <c r="AC577" t="inlineStr">
        <is>
          <t>PAR 10002/198SB</t>
        </is>
      </c>
      <c r="AD577" t="inlineStr">
        <is>
          <t>LI DA XING / VOYAGE 1,TIGER GAUCHO / 906N</t>
        </is>
      </c>
      <c r="AE577" t="inlineStr">
        <is>
          <t>LADEN BOOKING</t>
        </is>
      </c>
      <c r="AF577" t="inlineStr">
        <is>
          <t>United States_DOC</t>
        </is>
      </c>
      <c r="AG577" t="inlineStr">
        <is>
          <t>RH40</t>
        </is>
      </c>
      <c r="AH577" t="inlineStr">
        <is>
          <t>NO</t>
        </is>
      </c>
      <c r="AI577" t="n">
        <v>40</v>
      </c>
      <c r="AJ577" t="n">
        <v>0</v>
      </c>
      <c r="AK577" t="n">
        <v>1</v>
      </c>
      <c r="AL577" t="inlineStr">
        <is>
          <t>ANON0000000</t>
        </is>
      </c>
      <c r="AM577" t="n">
        <v>-18</v>
      </c>
      <c r="AP577" t="inlineStr">
        <is>
          <t>Non Haz</t>
        </is>
      </c>
      <c r="AQ577" t="inlineStr">
        <is>
          <t>CY/CY</t>
        </is>
      </c>
      <c r="AT577" t="inlineStr">
        <is>
          <t>ALAS26000001</t>
        </is>
      </c>
      <c r="AU577" t="n">
        <v>25000</v>
      </c>
      <c r="AV577" t="inlineStr">
        <is>
          <t>FROZEN MEAT</t>
        </is>
      </c>
      <c r="AX577" t="inlineStr">
        <is>
          <t>RSLSA122500003</t>
        </is>
      </c>
      <c r="AZ577" t="n">
        <v>0</v>
      </c>
      <c r="BA577" t="n">
        <v>7</v>
      </c>
      <c r="BB577" t="n">
        <v>7</v>
      </c>
      <c r="BC577" t="n">
        <v>11000</v>
      </c>
      <c r="BD577" t="inlineStr">
        <is>
          <t>No</t>
        </is>
      </c>
      <c r="BF577" t="inlineStr">
        <is>
          <t>PARANAVE SA</t>
        </is>
      </c>
      <c r="BG577" t="inlineStr">
        <is>
          <t>USSEA</t>
        </is>
      </c>
      <c r="BH577" t="n">
        <v>0</v>
      </c>
      <c r="BI577" t="n">
        <v>1</v>
      </c>
      <c r="BJ577" t="n">
        <v>11000</v>
      </c>
      <c r="BK577" t="inlineStr">
        <is>
          <t>LINE</t>
        </is>
      </c>
      <c r="BL577" t="inlineStr">
        <is>
          <t>TURTLE REEFER</t>
        </is>
      </c>
      <c r="BM577" t="inlineStr">
        <is>
          <t>TURTLE REEFER</t>
        </is>
      </c>
    </row>
    <row r="578">
      <c r="A578" t="n">
        <v>577</v>
      </c>
      <c r="B578" t="inlineStr">
        <is>
          <t>FALCON DRY</t>
        </is>
      </c>
      <c r="C578" t="inlineStr">
        <is>
          <t>REF000000</t>
        </is>
      </c>
      <c r="D578" t="inlineStr">
        <is>
          <t>REF000000</t>
        </is>
      </c>
      <c r="E578" t="n">
        <v>46029</v>
      </c>
      <c r="F578" t="inlineStr">
        <is>
          <t>FALCON DRY</t>
        </is>
      </c>
      <c r="H578" t="inlineStr">
        <is>
          <t>HUB_FOB_SALESLSA</t>
        </is>
      </c>
      <c r="J578" t="inlineStr">
        <is>
          <t>02-FEB-2026</t>
        </is>
      </c>
      <c r="K578" t="inlineStr">
        <is>
          <t>02-FEB-2026</t>
        </is>
      </c>
      <c r="L578" t="inlineStr">
        <is>
          <t>03-FEB-2026</t>
        </is>
      </c>
      <c r="M578" t="inlineStr">
        <is>
          <t>REF000000</t>
        </is>
      </c>
      <c r="N578" t="inlineStr">
        <is>
          <t>USSEA</t>
        </is>
      </c>
      <c r="O578" t="inlineStr">
        <is>
          <t>USSEA</t>
        </is>
      </c>
      <c r="P578" t="inlineStr">
        <is>
          <t>CAVAN</t>
        </is>
      </c>
      <c r="Q578" t="inlineStr">
        <is>
          <t>USNFK</t>
        </is>
      </c>
      <c r="U578" t="inlineStr">
        <is>
          <t>RULED</t>
        </is>
      </c>
      <c r="V578" t="inlineStr">
        <is>
          <t>RULED</t>
        </is>
      </c>
      <c r="W578" t="inlineStr">
        <is>
          <t>UNITED STATES</t>
        </is>
      </c>
      <c r="X578" t="inlineStr">
        <is>
          <t>Latin America</t>
        </is>
      </c>
      <c r="Y578" t="inlineStr">
        <is>
          <t>RUSSIA</t>
        </is>
      </c>
      <c r="Z578" t="inlineStr">
        <is>
          <t>External Review</t>
        </is>
      </c>
      <c r="AA578" t="inlineStr">
        <is>
          <t>HUB SHIPPING LLC-LED</t>
        </is>
      </c>
      <c r="AB578" t="inlineStr">
        <is>
          <t>Collect</t>
        </is>
      </c>
      <c r="AC578" t="inlineStr">
        <is>
          <t>PAR 10001/192SB</t>
        </is>
      </c>
      <c r="AD578" t="inlineStr">
        <is>
          <t>TIGER GAUCHO / 910N</t>
        </is>
      </c>
      <c r="AE578" t="inlineStr">
        <is>
          <t>LADEN BOOKING</t>
        </is>
      </c>
      <c r="AF578" t="inlineStr">
        <is>
          <t>United States_DOC</t>
        </is>
      </c>
      <c r="AG578" t="inlineStr">
        <is>
          <t>DC20</t>
        </is>
      </c>
      <c r="AH578" t="inlineStr">
        <is>
          <t>NO</t>
        </is>
      </c>
      <c r="AI578" t="n">
        <v>20</v>
      </c>
      <c r="AJ578" t="n">
        <v>1</v>
      </c>
      <c r="AK578" t="n">
        <v>0</v>
      </c>
      <c r="AL578" t="inlineStr">
        <is>
          <t>ANON0000000</t>
        </is>
      </c>
      <c r="AP578" t="inlineStr">
        <is>
          <t>Non Haz</t>
        </is>
      </c>
      <c r="AQ578" t="inlineStr">
        <is>
          <t>CY/CY</t>
        </is>
      </c>
      <c r="AT578" t="inlineStr">
        <is>
          <t>ALAS26000003</t>
        </is>
      </c>
      <c r="AU578" t="n">
        <v>22000</v>
      </c>
      <c r="AV578" t="inlineStr">
        <is>
          <t>SEEDS</t>
        </is>
      </c>
      <c r="AX578" t="inlineStr">
        <is>
          <t>MRG368671</t>
        </is>
      </c>
      <c r="AY578" t="inlineStr">
        <is>
          <t>LINE</t>
        </is>
      </c>
      <c r="AZ578" t="n">
        <v>0</v>
      </c>
      <c r="BA578" t="n">
        <v>10</v>
      </c>
      <c r="BB578" t="n">
        <v>14</v>
      </c>
      <c r="BC578" t="n">
        <v>4650</v>
      </c>
      <c r="BD578" t="inlineStr">
        <is>
          <t>No</t>
        </is>
      </c>
      <c r="BF578" t="inlineStr">
        <is>
          <t>PARANAVE SA</t>
        </is>
      </c>
      <c r="BG578" t="inlineStr">
        <is>
          <t>RULED</t>
        </is>
      </c>
      <c r="BH578" t="n">
        <v>1</v>
      </c>
      <c r="BI578" t="n">
        <v>0</v>
      </c>
      <c r="BJ578" t="n">
        <v>4650</v>
      </c>
      <c r="BK578" t="inlineStr">
        <is>
          <t>LINE</t>
        </is>
      </c>
      <c r="BL578" t="inlineStr">
        <is>
          <t>FALCON DRY</t>
        </is>
      </c>
      <c r="BM578" t="inlineStr">
        <is>
          <t>FALCON DRY</t>
        </is>
      </c>
    </row>
    <row r="579">
      <c r="A579" t="n">
        <v>578</v>
      </c>
      <c r="B579" t="inlineStr">
        <is>
          <t>WOLF DRY</t>
        </is>
      </c>
      <c r="C579" t="inlineStr">
        <is>
          <t>REF000000</t>
        </is>
      </c>
      <c r="D579" t="inlineStr">
        <is>
          <t>REF000000</t>
        </is>
      </c>
      <c r="E579" t="n">
        <v>46034</v>
      </c>
      <c r="F579" t="inlineStr">
        <is>
          <t>WOLF DRY</t>
        </is>
      </c>
      <c r="H579" t="inlineStr">
        <is>
          <t>AdminLSA</t>
        </is>
      </c>
      <c r="J579" t="inlineStr">
        <is>
          <t>19-FEB-2026</t>
        </is>
      </c>
      <c r="K579" t="inlineStr">
        <is>
          <t>19-FEB-2026</t>
        </is>
      </c>
      <c r="L579" t="inlineStr">
        <is>
          <t>20-FEB-2026</t>
        </is>
      </c>
      <c r="M579" t="inlineStr">
        <is>
          <t>REF000000</t>
        </is>
      </c>
      <c r="N579" t="inlineStr">
        <is>
          <t>USSEA</t>
        </is>
      </c>
      <c r="O579" t="inlineStr">
        <is>
          <t>USSEA</t>
        </is>
      </c>
      <c r="P579" t="inlineStr">
        <is>
          <t>CAVAN</t>
        </is>
      </c>
      <c r="Q579" t="inlineStr">
        <is>
          <t>USNFK</t>
        </is>
      </c>
      <c r="U579" t="inlineStr">
        <is>
          <t>RULED</t>
        </is>
      </c>
      <c r="V579" t="inlineStr">
        <is>
          <t>RULED</t>
        </is>
      </c>
      <c r="W579" t="inlineStr">
        <is>
          <t>UNITED STATES</t>
        </is>
      </c>
      <c r="X579" t="inlineStr">
        <is>
          <t>Latin America</t>
        </is>
      </c>
      <c r="Y579" t="inlineStr">
        <is>
          <t>RUSSIA</t>
        </is>
      </c>
      <c r="Z579" t="inlineStr">
        <is>
          <t>External Review</t>
        </is>
      </c>
      <c r="AA579" t="inlineStr">
        <is>
          <t>HUB SHIPPING LLC-LED</t>
        </is>
      </c>
      <c r="AB579" t="inlineStr">
        <is>
          <t>Collect</t>
        </is>
      </c>
      <c r="AC579" t="inlineStr">
        <is>
          <t>PAR 10002/199SB</t>
        </is>
      </c>
      <c r="AD579" t="inlineStr">
        <is>
          <t>TIGER GAUCHO / 911N</t>
        </is>
      </c>
      <c r="AE579" t="inlineStr">
        <is>
          <t>LADEN BOOKING</t>
        </is>
      </c>
      <c r="AF579" t="inlineStr">
        <is>
          <t>RenniLSA</t>
        </is>
      </c>
      <c r="AG579" t="inlineStr">
        <is>
          <t>DC20</t>
        </is>
      </c>
      <c r="AH579" t="inlineStr">
        <is>
          <t>NO</t>
        </is>
      </c>
      <c r="AI579" t="n">
        <v>20</v>
      </c>
      <c r="AJ579" t="n">
        <v>1</v>
      </c>
      <c r="AK579" t="n">
        <v>0</v>
      </c>
      <c r="AL579" t="inlineStr">
        <is>
          <t>ANON0000000</t>
        </is>
      </c>
      <c r="AP579" t="inlineStr">
        <is>
          <t>Non Haz</t>
        </is>
      </c>
      <c r="AQ579" t="inlineStr">
        <is>
          <t>CY/CY</t>
        </is>
      </c>
      <c r="AT579" t="inlineStr">
        <is>
          <t>ALAS26000012</t>
        </is>
      </c>
      <c r="AU579" t="n">
        <v>20000</v>
      </c>
      <c r="AV579" t="inlineStr">
        <is>
          <t>GENERAL COMMODITY</t>
        </is>
      </c>
      <c r="AX579" t="inlineStr">
        <is>
          <t>MRG382808</t>
        </is>
      </c>
      <c r="AY579" t="inlineStr">
        <is>
          <t>LINE</t>
        </is>
      </c>
      <c r="AZ579" t="n">
        <v>0</v>
      </c>
      <c r="BA579" t="n">
        <v>10</v>
      </c>
      <c r="BB579" t="n">
        <v>14</v>
      </c>
      <c r="BC579" t="n">
        <v>4650</v>
      </c>
      <c r="BD579" t="inlineStr">
        <is>
          <t>Yes</t>
        </is>
      </c>
      <c r="BF579" t="inlineStr">
        <is>
          <t>PARANAVE SA</t>
        </is>
      </c>
      <c r="BG579" t="inlineStr">
        <is>
          <t>RULED</t>
        </is>
      </c>
      <c r="BH579" t="n">
        <v>1</v>
      </c>
      <c r="BI579" t="n">
        <v>0</v>
      </c>
      <c r="BJ579" t="n">
        <v>4650</v>
      </c>
      <c r="BK579" t="inlineStr">
        <is>
          <t>LINE</t>
        </is>
      </c>
      <c r="BL579" t="inlineStr">
        <is>
          <t>WOLF DRY</t>
        </is>
      </c>
      <c r="BM579" t="inlineStr">
        <is>
          <t>WOLF DRY</t>
        </is>
      </c>
    </row>
    <row r="580">
      <c r="A580" t="n">
        <v>579</v>
      </c>
      <c r="B580" t="inlineStr">
        <is>
          <t>DEER DRY</t>
        </is>
      </c>
      <c r="C580" t="inlineStr">
        <is>
          <t>REF000000</t>
        </is>
      </c>
      <c r="D580" t="inlineStr">
        <is>
          <t>REF000000</t>
        </is>
      </c>
      <c r="E580" t="n">
        <v>46035</v>
      </c>
      <c r="F580" t="inlineStr">
        <is>
          <t>DEER DRY</t>
        </is>
      </c>
      <c r="G580" t="inlineStr">
        <is>
          <t>40`HC</t>
        </is>
      </c>
      <c r="H580" t="inlineStr">
        <is>
          <t>United States_DOC</t>
        </is>
      </c>
      <c r="J580" t="n">
        <v>46038</v>
      </c>
      <c r="K580" t="n">
        <v>46037</v>
      </c>
      <c r="L580" t="n">
        <v>46038</v>
      </c>
      <c r="M580" t="inlineStr">
        <is>
          <t>REF000000</t>
        </is>
      </c>
      <c r="N580" t="inlineStr">
        <is>
          <t>USSEA</t>
        </is>
      </c>
      <c r="O580" t="inlineStr">
        <is>
          <t>USSEA</t>
        </is>
      </c>
      <c r="P580" t="inlineStr">
        <is>
          <t>CAVAN</t>
        </is>
      </c>
      <c r="Q580" t="inlineStr">
        <is>
          <t>USNFK</t>
        </is>
      </c>
      <c r="U580" t="inlineStr">
        <is>
          <t>RULED</t>
        </is>
      </c>
      <c r="V580" t="inlineStr">
        <is>
          <t>RULED</t>
        </is>
      </c>
      <c r="W580" t="inlineStr">
        <is>
          <t>UNITED STATES</t>
        </is>
      </c>
      <c r="X580" t="inlineStr">
        <is>
          <t>Latin America</t>
        </is>
      </c>
      <c r="Y580" t="inlineStr">
        <is>
          <t>RUSSIA</t>
        </is>
      </c>
      <c r="Z580" t="inlineStr">
        <is>
          <t>External Review</t>
        </is>
      </c>
      <c r="AA580" t="inlineStr">
        <is>
          <t>HUB SHIPPING LLC-LED</t>
        </is>
      </c>
      <c r="AB580" t="inlineStr">
        <is>
          <t>Prepaid</t>
        </is>
      </c>
      <c r="AC580" t="inlineStr">
        <is>
          <t>PAR 10002/198SB</t>
        </is>
      </c>
      <c r="AD580" t="inlineStr">
        <is>
          <t>LI DA XING / VOYAGE 1,TIGER GAUCHO / 906N</t>
        </is>
      </c>
      <c r="AE580" t="inlineStr">
        <is>
          <t>LADEN BOOKING</t>
        </is>
      </c>
      <c r="AF580" t="inlineStr">
        <is>
          <t>United States_DOC</t>
        </is>
      </c>
      <c r="AG580" t="inlineStr">
        <is>
          <t>HC40</t>
        </is>
      </c>
      <c r="AH580" t="inlineStr">
        <is>
          <t>NO</t>
        </is>
      </c>
      <c r="AI580" t="n">
        <v>40</v>
      </c>
      <c r="AJ580" t="n">
        <v>0</v>
      </c>
      <c r="AK580" t="n">
        <v>3</v>
      </c>
      <c r="AL580" t="inlineStr">
        <is>
          <t>ANON0000000,
ANON0000000,
ANON0000000</t>
        </is>
      </c>
      <c r="AP580" t="inlineStr">
        <is>
          <t>Non Haz</t>
        </is>
      </c>
      <c r="AQ580" t="inlineStr">
        <is>
          <t>CY/CY</t>
        </is>
      </c>
      <c r="AT580" t="inlineStr">
        <is>
          <t>ALAS26000002</t>
        </is>
      </c>
      <c r="AU580" t="n">
        <v>25000</v>
      </c>
      <c r="AV580" t="inlineStr">
        <is>
          <t>PEANUT</t>
        </is>
      </c>
      <c r="AX580" t="inlineStr">
        <is>
          <t>RSLSA012600001</t>
        </is>
      </c>
      <c r="AZ580" t="n">
        <v>0</v>
      </c>
      <c r="BA580" t="n">
        <v>10</v>
      </c>
      <c r="BB580" t="n">
        <v>14</v>
      </c>
      <c r="BC580" t="n">
        <v>5000</v>
      </c>
      <c r="BD580" t="inlineStr">
        <is>
          <t>No</t>
        </is>
      </c>
      <c r="BF580" t="inlineStr">
        <is>
          <t>PARANAVE SA</t>
        </is>
      </c>
      <c r="BG580" t="inlineStr">
        <is>
          <t>USSEA</t>
        </is>
      </c>
      <c r="BH580" t="n">
        <v>0</v>
      </c>
      <c r="BI580" t="n">
        <v>3</v>
      </c>
      <c r="BJ580" t="n">
        <v>15000</v>
      </c>
      <c r="BK580" t="inlineStr">
        <is>
          <t>LINE</t>
        </is>
      </c>
      <c r="BL580" t="inlineStr">
        <is>
          <t>DEER DRY</t>
        </is>
      </c>
      <c r="BM580" t="inlineStr">
        <is>
          <t>DEER DRY</t>
        </is>
      </c>
    </row>
    <row r="581">
      <c r="A581" t="n">
        <v>580</v>
      </c>
      <c r="B581" t="inlineStr">
        <is>
          <t>FOX DRY</t>
        </is>
      </c>
      <c r="C581" t="inlineStr">
        <is>
          <t>REF000000</t>
        </is>
      </c>
      <c r="D581" t="inlineStr">
        <is>
          <t>REF000000</t>
        </is>
      </c>
      <c r="E581" t="n">
        <v>46042</v>
      </c>
      <c r="F581" t="inlineStr">
        <is>
          <t>FOX DRY</t>
        </is>
      </c>
      <c r="H581" t="inlineStr">
        <is>
          <t>AdminLSA</t>
        </is>
      </c>
      <c r="J581" t="inlineStr">
        <is>
          <t>02-FEB-2026</t>
        </is>
      </c>
      <c r="K581" t="inlineStr">
        <is>
          <t>02-FEB-2026</t>
        </is>
      </c>
      <c r="L581" t="inlineStr">
        <is>
          <t>03-FEB-2026</t>
        </is>
      </c>
      <c r="M581" t="inlineStr">
        <is>
          <t>REF000000</t>
        </is>
      </c>
      <c r="N581" t="inlineStr">
        <is>
          <t>USSEA</t>
        </is>
      </c>
      <c r="O581" t="inlineStr">
        <is>
          <t>USSEA</t>
        </is>
      </c>
      <c r="P581" t="inlineStr">
        <is>
          <t>CAVAN</t>
        </is>
      </c>
      <c r="Q581" t="inlineStr">
        <is>
          <t>USNFK</t>
        </is>
      </c>
      <c r="U581" t="inlineStr">
        <is>
          <t>RULED</t>
        </is>
      </c>
      <c r="V581" t="inlineStr">
        <is>
          <t>RULED</t>
        </is>
      </c>
      <c r="W581" t="inlineStr">
        <is>
          <t>UNITED STATES</t>
        </is>
      </c>
      <c r="X581" t="inlineStr">
        <is>
          <t>Latin America</t>
        </is>
      </c>
      <c r="Y581" t="inlineStr">
        <is>
          <t>RUSSIA</t>
        </is>
      </c>
      <c r="Z581" t="inlineStr">
        <is>
          <t>External Review</t>
        </is>
      </c>
      <c r="AA581" t="inlineStr">
        <is>
          <t>HUB SHIPPING LLC-LED</t>
        </is>
      </c>
      <c r="AB581" t="inlineStr">
        <is>
          <t>Collect</t>
        </is>
      </c>
      <c r="AC581" t="inlineStr">
        <is>
          <t>PAR 10001/192SB</t>
        </is>
      </c>
      <c r="AD581" t="inlineStr">
        <is>
          <t>TIGER GAUCHO / 910N</t>
        </is>
      </c>
      <c r="AE581" t="inlineStr">
        <is>
          <t>LADEN BOOKING</t>
        </is>
      </c>
      <c r="AF581" t="inlineStr">
        <is>
          <t>RenniLSA</t>
        </is>
      </c>
      <c r="AG581" t="inlineStr">
        <is>
          <t>DC20</t>
        </is>
      </c>
      <c r="AH581" t="inlineStr">
        <is>
          <t>NO</t>
        </is>
      </c>
      <c r="AI581" t="n">
        <v>20</v>
      </c>
      <c r="AJ581" t="n">
        <v>1</v>
      </c>
      <c r="AK581" t="n">
        <v>0</v>
      </c>
      <c r="AL581" t="inlineStr">
        <is>
          <t>ANON0000000</t>
        </is>
      </c>
      <c r="AP581" t="inlineStr">
        <is>
          <t>Non Haz</t>
        </is>
      </c>
      <c r="AQ581" t="inlineStr">
        <is>
          <t>CY/CY</t>
        </is>
      </c>
      <c r="AT581" t="inlineStr">
        <is>
          <t>ALAS26000004</t>
        </is>
      </c>
      <c r="AU581" t="n">
        <v>26000</v>
      </c>
      <c r="AV581" t="inlineStr">
        <is>
          <t>GENERAL COMMODITY</t>
        </is>
      </c>
      <c r="AX581" t="inlineStr">
        <is>
          <t>MRG368671</t>
        </is>
      </c>
      <c r="AY581" t="inlineStr">
        <is>
          <t>LINE</t>
        </is>
      </c>
      <c r="AZ581" t="n">
        <v>0</v>
      </c>
      <c r="BA581" t="n">
        <v>10</v>
      </c>
      <c r="BB581" t="n">
        <v>14</v>
      </c>
      <c r="BC581" t="n">
        <v>4650</v>
      </c>
      <c r="BD581" t="inlineStr">
        <is>
          <t>Yes</t>
        </is>
      </c>
      <c r="BF581" t="inlineStr">
        <is>
          <t>PARANAVE SA</t>
        </is>
      </c>
      <c r="BG581" t="inlineStr">
        <is>
          <t>RULED</t>
        </is>
      </c>
      <c r="BH581" t="n">
        <v>1</v>
      </c>
      <c r="BI581" t="n">
        <v>0</v>
      </c>
      <c r="BJ581" t="n">
        <v>4650</v>
      </c>
      <c r="BK581" t="inlineStr">
        <is>
          <t>LINE</t>
        </is>
      </c>
      <c r="BL581" t="inlineStr">
        <is>
          <t>FOX DRY</t>
        </is>
      </c>
      <c r="BM581" t="inlineStr">
        <is>
          <t>FOX DRY</t>
        </is>
      </c>
    </row>
    <row r="582">
      <c r="A582" t="n">
        <v>581</v>
      </c>
      <c r="B582" t="inlineStr">
        <is>
          <t>BISON DRY</t>
        </is>
      </c>
      <c r="C582" t="inlineStr">
        <is>
          <t>REF000000</t>
        </is>
      </c>
      <c r="D582" t="inlineStr">
        <is>
          <t>REF000000</t>
        </is>
      </c>
      <c r="E582" t="n">
        <v>46042</v>
      </c>
      <c r="F582" t="inlineStr">
        <is>
          <t>BISON DRY</t>
        </is>
      </c>
      <c r="H582" t="inlineStr">
        <is>
          <t>United States_DOC</t>
        </is>
      </c>
      <c r="J582" t="inlineStr">
        <is>
          <t>02-FEB-2026</t>
        </is>
      </c>
      <c r="K582" t="inlineStr">
        <is>
          <t>02-FEB-2026</t>
        </is>
      </c>
      <c r="L582" t="inlineStr">
        <is>
          <t>03-FEB-2026</t>
        </is>
      </c>
      <c r="M582" t="inlineStr">
        <is>
          <t>REF000000</t>
        </is>
      </c>
      <c r="N582" t="inlineStr">
        <is>
          <t>USSEA</t>
        </is>
      </c>
      <c r="O582" t="inlineStr">
        <is>
          <t>USSEA</t>
        </is>
      </c>
      <c r="P582" t="inlineStr">
        <is>
          <t>CAVAN</t>
        </is>
      </c>
      <c r="Q582" t="inlineStr">
        <is>
          <t>USNFK</t>
        </is>
      </c>
      <c r="U582" t="inlineStr">
        <is>
          <t>RULED</t>
        </is>
      </c>
      <c r="V582" t="inlineStr">
        <is>
          <t>RULED</t>
        </is>
      </c>
      <c r="W582" t="inlineStr">
        <is>
          <t>UNITED STATES</t>
        </is>
      </c>
      <c r="X582" t="inlineStr">
        <is>
          <t>Latin America</t>
        </is>
      </c>
      <c r="Y582" t="inlineStr">
        <is>
          <t>RUSSIA</t>
        </is>
      </c>
      <c r="Z582" t="inlineStr">
        <is>
          <t>External Review</t>
        </is>
      </c>
      <c r="AA582" t="inlineStr">
        <is>
          <t>HUB SHIPPING LLC-LED</t>
        </is>
      </c>
      <c r="AB582" t="inlineStr">
        <is>
          <t>Prepaid</t>
        </is>
      </c>
      <c r="AC582" t="inlineStr">
        <is>
          <t>PAR 10001/192SB</t>
        </is>
      </c>
      <c r="AD582" t="inlineStr">
        <is>
          <t>TIGER GAUCHO / 910N</t>
        </is>
      </c>
      <c r="AE582" t="inlineStr">
        <is>
          <t>LADEN BOOKING</t>
        </is>
      </c>
      <c r="AF582" t="inlineStr">
        <is>
          <t>United States_DOC</t>
        </is>
      </c>
      <c r="AG582" t="inlineStr">
        <is>
          <t>HC40</t>
        </is>
      </c>
      <c r="AH582" t="inlineStr">
        <is>
          <t>NO</t>
        </is>
      </c>
      <c r="AI582" t="n">
        <v>40</v>
      </c>
      <c r="AJ582" t="n">
        <v>0</v>
      </c>
      <c r="AK582" t="n">
        <v>6</v>
      </c>
      <c r="AL582" t="inlineStr">
        <is>
          <t>ANON0000000,
ANON0000000,
ANON0000000,
ANON0000000,
ANON0000000,
ANON0000000</t>
        </is>
      </c>
      <c r="AP582" t="inlineStr">
        <is>
          <t>Non Haz</t>
        </is>
      </c>
      <c r="AQ582" t="inlineStr">
        <is>
          <t>CY/CY</t>
        </is>
      </c>
      <c r="AT582" t="inlineStr">
        <is>
          <t>ALAS26000005</t>
        </is>
      </c>
      <c r="AU582" t="n">
        <v>25000</v>
      </c>
      <c r="AV582" t="inlineStr">
        <is>
          <t>PEANUT</t>
        </is>
      </c>
      <c r="AX582" t="inlineStr">
        <is>
          <t>RSLSA122500002</t>
        </is>
      </c>
      <c r="AZ582" t="n">
        <v>0</v>
      </c>
      <c r="BA582" t="n">
        <v>10</v>
      </c>
      <c r="BB582" t="n">
        <v>14</v>
      </c>
      <c r="BC582" t="n">
        <v>5000</v>
      </c>
      <c r="BD582" t="inlineStr">
        <is>
          <t>No</t>
        </is>
      </c>
      <c r="BF582" t="inlineStr">
        <is>
          <t>PARANAVE SA</t>
        </is>
      </c>
      <c r="BG582" t="inlineStr">
        <is>
          <t>USSEA</t>
        </is>
      </c>
      <c r="BH582" t="n">
        <v>0</v>
      </c>
      <c r="BI582" t="n">
        <v>6</v>
      </c>
      <c r="BJ582" t="n">
        <v>30000</v>
      </c>
      <c r="BK582" t="inlineStr">
        <is>
          <t>LINE</t>
        </is>
      </c>
      <c r="BL582" t="inlineStr">
        <is>
          <t>BISON DRY</t>
        </is>
      </c>
      <c r="BM582" t="inlineStr">
        <is>
          <t>BISON DRY</t>
        </is>
      </c>
    </row>
    <row r="583">
      <c r="A583" t="n">
        <v>582</v>
      </c>
      <c r="B583" t="inlineStr">
        <is>
          <t>EAGLE DRY</t>
        </is>
      </c>
      <c r="C583" t="inlineStr">
        <is>
          <t>REF000000</t>
        </is>
      </c>
      <c r="D583" t="inlineStr">
        <is>
          <t>REF000000</t>
        </is>
      </c>
      <c r="E583" t="n">
        <v>46042</v>
      </c>
      <c r="F583" t="inlineStr">
        <is>
          <t>EAGLE DRY</t>
        </is>
      </c>
      <c r="H583" t="inlineStr">
        <is>
          <t>United States_DOC</t>
        </is>
      </c>
      <c r="J583" t="inlineStr">
        <is>
          <t>02-FEB-2026</t>
        </is>
      </c>
      <c r="K583" t="inlineStr">
        <is>
          <t>02-FEB-2026</t>
        </is>
      </c>
      <c r="L583" t="inlineStr">
        <is>
          <t>03-FEB-2026</t>
        </is>
      </c>
      <c r="M583" t="inlineStr">
        <is>
          <t>REF000000</t>
        </is>
      </c>
      <c r="N583" t="inlineStr">
        <is>
          <t>USSEA</t>
        </is>
      </c>
      <c r="O583" t="inlineStr">
        <is>
          <t>USSEA</t>
        </is>
      </c>
      <c r="P583" t="inlineStr">
        <is>
          <t>CAVAN</t>
        </is>
      </c>
      <c r="Q583" t="inlineStr">
        <is>
          <t>USNFK</t>
        </is>
      </c>
      <c r="U583" t="inlineStr">
        <is>
          <t>RULED</t>
        </is>
      </c>
      <c r="V583" t="inlineStr">
        <is>
          <t>RULED</t>
        </is>
      </c>
      <c r="W583" t="inlineStr">
        <is>
          <t>UNITED STATES</t>
        </is>
      </c>
      <c r="X583" t="inlineStr">
        <is>
          <t>Latin America</t>
        </is>
      </c>
      <c r="Y583" t="inlineStr">
        <is>
          <t>RUSSIA</t>
        </is>
      </c>
      <c r="Z583" t="inlineStr">
        <is>
          <t>External Review</t>
        </is>
      </c>
      <c r="AA583" t="inlineStr">
        <is>
          <t>HUB SHIPPING LLC-LED</t>
        </is>
      </c>
      <c r="AB583" t="inlineStr">
        <is>
          <t>Prepaid</t>
        </is>
      </c>
      <c r="AC583" t="inlineStr">
        <is>
          <t>PAR 10001/192SB</t>
        </is>
      </c>
      <c r="AD583" t="inlineStr">
        <is>
          <t>TIGER GAUCHO / 910N</t>
        </is>
      </c>
      <c r="AE583" t="inlineStr">
        <is>
          <t>LADEN BOOKING</t>
        </is>
      </c>
      <c r="AF583" t="inlineStr">
        <is>
          <t>United States_DOC</t>
        </is>
      </c>
      <c r="AG583" t="inlineStr">
        <is>
          <t>HC40</t>
        </is>
      </c>
      <c r="AH583" t="inlineStr">
        <is>
          <t>NO</t>
        </is>
      </c>
      <c r="AI583" t="n">
        <v>40</v>
      </c>
      <c r="AJ583" t="n">
        <v>0</v>
      </c>
      <c r="AK583" t="n">
        <v>2</v>
      </c>
      <c r="AL583" t="inlineStr">
        <is>
          <t>ANON0000000,
ANON0000000</t>
        </is>
      </c>
      <c r="AP583" t="inlineStr">
        <is>
          <t>Non Haz</t>
        </is>
      </c>
      <c r="AQ583" t="inlineStr">
        <is>
          <t>CY/CY</t>
        </is>
      </c>
      <c r="AT583" t="inlineStr">
        <is>
          <t>ALAS26000006</t>
        </is>
      </c>
      <c r="AU583" t="n">
        <v>25000</v>
      </c>
      <c r="AV583" t="inlineStr">
        <is>
          <t>PEANUT</t>
        </is>
      </c>
      <c r="AX583" t="inlineStr">
        <is>
          <t>RSLSA122500002</t>
        </is>
      </c>
      <c r="AZ583" t="n">
        <v>0</v>
      </c>
      <c r="BA583" t="n">
        <v>10</v>
      </c>
      <c r="BB583" t="n">
        <v>14</v>
      </c>
      <c r="BC583" t="n">
        <v>5000</v>
      </c>
      <c r="BD583" t="inlineStr">
        <is>
          <t>No</t>
        </is>
      </c>
      <c r="BF583" t="inlineStr">
        <is>
          <t>PARANAVE SA</t>
        </is>
      </c>
      <c r="BG583" t="inlineStr">
        <is>
          <t>USSEA</t>
        </is>
      </c>
      <c r="BH583" t="n">
        <v>0</v>
      </c>
      <c r="BI583" t="n">
        <v>2</v>
      </c>
      <c r="BJ583" t="n">
        <v>10000</v>
      </c>
      <c r="BK583" t="inlineStr">
        <is>
          <t>LINE</t>
        </is>
      </c>
      <c r="BL583" t="inlineStr">
        <is>
          <t>EAGLE DRY</t>
        </is>
      </c>
      <c r="BM583" t="inlineStr">
        <is>
          <t>EAGLE DRY</t>
        </is>
      </c>
    </row>
    <row r="584">
      <c r="A584" t="n">
        <v>583</v>
      </c>
      <c r="B584" t="inlineStr">
        <is>
          <t>COYOTE DRY</t>
        </is>
      </c>
      <c r="C584" t="inlineStr">
        <is>
          <t>REF000000</t>
        </is>
      </c>
      <c r="D584" t="inlineStr">
        <is>
          <t>REF000000</t>
        </is>
      </c>
      <c r="E584" t="n">
        <v>46042</v>
      </c>
      <c r="F584" t="inlineStr">
        <is>
          <t>COYOTE DRY</t>
        </is>
      </c>
      <c r="G584" t="inlineStr">
        <is>
          <t>40`HC</t>
        </is>
      </c>
      <c r="H584" t="inlineStr">
        <is>
          <t>United States_DOC</t>
        </is>
      </c>
      <c r="J584" t="inlineStr">
        <is>
          <t>02-FEB-2026</t>
        </is>
      </c>
      <c r="K584" t="inlineStr">
        <is>
          <t>02-FEB-2026</t>
        </is>
      </c>
      <c r="L584" t="inlineStr">
        <is>
          <t>03-FEB-2026</t>
        </is>
      </c>
      <c r="M584" t="inlineStr">
        <is>
          <t>REF000000</t>
        </is>
      </c>
      <c r="N584" t="inlineStr">
        <is>
          <t>USSEA</t>
        </is>
      </c>
      <c r="O584" t="inlineStr">
        <is>
          <t>USSEA</t>
        </is>
      </c>
      <c r="P584" t="inlineStr">
        <is>
          <t>CAVAN</t>
        </is>
      </c>
      <c r="Q584" t="inlineStr">
        <is>
          <t>USNFK</t>
        </is>
      </c>
      <c r="U584" t="inlineStr">
        <is>
          <t>RULED</t>
        </is>
      </c>
      <c r="V584" t="inlineStr">
        <is>
          <t>RULED</t>
        </is>
      </c>
      <c r="W584" t="inlineStr">
        <is>
          <t>UNITED STATES</t>
        </is>
      </c>
      <c r="X584" t="inlineStr">
        <is>
          <t>Latin America</t>
        </is>
      </c>
      <c r="Y584" t="inlineStr">
        <is>
          <t>RUSSIA</t>
        </is>
      </c>
      <c r="Z584" t="inlineStr">
        <is>
          <t>External Review</t>
        </is>
      </c>
      <c r="AA584" t="inlineStr">
        <is>
          <t>HUB SHIPPING LLC-LED</t>
        </is>
      </c>
      <c r="AB584" t="inlineStr">
        <is>
          <t>Prepaid</t>
        </is>
      </c>
      <c r="AC584" t="inlineStr">
        <is>
          <t>PAR 10001/192SB</t>
        </is>
      </c>
      <c r="AD584" t="inlineStr">
        <is>
          <t>TIGER GAUCHO / 910N</t>
        </is>
      </c>
      <c r="AE584" t="inlineStr">
        <is>
          <t>LADEN BOOKING</t>
        </is>
      </c>
      <c r="AF584" t="inlineStr">
        <is>
          <t>United States_DOC</t>
        </is>
      </c>
      <c r="AG584" t="inlineStr">
        <is>
          <t>HC40</t>
        </is>
      </c>
      <c r="AH584" t="inlineStr">
        <is>
          <t>NO</t>
        </is>
      </c>
      <c r="AI584" t="n">
        <v>40</v>
      </c>
      <c r="AJ584" t="n">
        <v>0</v>
      </c>
      <c r="AK584" t="n">
        <v>2</v>
      </c>
      <c r="AL584" t="inlineStr">
        <is>
          <t>ANON0000000,
ANON0000000</t>
        </is>
      </c>
      <c r="AP584" t="inlineStr">
        <is>
          <t>Non Haz</t>
        </is>
      </c>
      <c r="AQ584" t="inlineStr">
        <is>
          <t>CY/CY</t>
        </is>
      </c>
      <c r="AT584" t="inlineStr">
        <is>
          <t>ALAS26000007</t>
        </is>
      </c>
      <c r="AU584" t="n">
        <v>25000</v>
      </c>
      <c r="AV584" t="inlineStr">
        <is>
          <t>PEANUT</t>
        </is>
      </c>
      <c r="AX584" t="inlineStr">
        <is>
          <t>RSLSA012600001</t>
        </is>
      </c>
      <c r="AZ584" t="n">
        <v>0</v>
      </c>
      <c r="BA584" t="n">
        <v>10</v>
      </c>
      <c r="BB584" t="n">
        <v>14</v>
      </c>
      <c r="BC584" t="n">
        <v>5000</v>
      </c>
      <c r="BD584" t="inlineStr">
        <is>
          <t>No</t>
        </is>
      </c>
      <c r="BF584" t="inlineStr">
        <is>
          <t>PARANAVE SA</t>
        </is>
      </c>
      <c r="BG584" t="inlineStr">
        <is>
          <t>USSEA</t>
        </is>
      </c>
      <c r="BH584" t="n">
        <v>0</v>
      </c>
      <c r="BI584" t="n">
        <v>2</v>
      </c>
      <c r="BJ584" t="n">
        <v>10000</v>
      </c>
      <c r="BK584" t="inlineStr">
        <is>
          <t>LINE</t>
        </is>
      </c>
      <c r="BL584" t="inlineStr">
        <is>
          <t>COYOTE DRY</t>
        </is>
      </c>
      <c r="BM584" t="inlineStr">
        <is>
          <t>COYOTE DRY</t>
        </is>
      </c>
    </row>
    <row r="585">
      <c r="A585" t="n">
        <v>584</v>
      </c>
      <c r="B585" t="inlineStr">
        <is>
          <t>FALCON DRY</t>
        </is>
      </c>
      <c r="C585" t="inlineStr">
        <is>
          <t>REF000000</t>
        </is>
      </c>
      <c r="D585" t="inlineStr">
        <is>
          <t>REF000000</t>
        </is>
      </c>
      <c r="E585" t="n">
        <v>46044</v>
      </c>
      <c r="F585" t="inlineStr">
        <is>
          <t>FALCON DRY</t>
        </is>
      </c>
      <c r="H585" t="inlineStr">
        <is>
          <t>AdminLSA</t>
        </is>
      </c>
      <c r="J585" t="inlineStr">
        <is>
          <t>02-FEB-2026</t>
        </is>
      </c>
      <c r="K585" t="inlineStr">
        <is>
          <t>02-FEB-2026</t>
        </is>
      </c>
      <c r="L585" t="inlineStr">
        <is>
          <t>03-FEB-2026</t>
        </is>
      </c>
      <c r="M585" t="inlineStr">
        <is>
          <t>REF000000</t>
        </is>
      </c>
      <c r="N585" t="inlineStr">
        <is>
          <t>USSEA</t>
        </is>
      </c>
      <c r="O585" t="inlineStr">
        <is>
          <t>USSEA</t>
        </is>
      </c>
      <c r="P585" t="inlineStr">
        <is>
          <t>CAVAN</t>
        </is>
      </c>
      <c r="Q585" t="inlineStr">
        <is>
          <t>USNFK</t>
        </is>
      </c>
      <c r="U585" t="inlineStr">
        <is>
          <t>RULED</t>
        </is>
      </c>
      <c r="V585" t="inlineStr">
        <is>
          <t>RULED</t>
        </is>
      </c>
      <c r="W585" t="inlineStr">
        <is>
          <t>UNITED STATES</t>
        </is>
      </c>
      <c r="X585" t="inlineStr">
        <is>
          <t>Latin America</t>
        </is>
      </c>
      <c r="Y585" t="inlineStr">
        <is>
          <t>RUSSIA</t>
        </is>
      </c>
      <c r="Z585" t="inlineStr">
        <is>
          <t>External Review</t>
        </is>
      </c>
      <c r="AA585" t="inlineStr">
        <is>
          <t>HUB SHIPPING LLC-LED</t>
        </is>
      </c>
      <c r="AB585" t="inlineStr">
        <is>
          <t>Collect</t>
        </is>
      </c>
      <c r="AC585" t="inlineStr">
        <is>
          <t>PAR 10001/192SB</t>
        </is>
      </c>
      <c r="AD585" t="inlineStr">
        <is>
          <t>TIGER GAUCHO / 910N</t>
        </is>
      </c>
      <c r="AE585" t="inlineStr">
        <is>
          <t>LADEN BOOKING</t>
        </is>
      </c>
      <c r="AF585" t="inlineStr">
        <is>
          <t>RenniLSA</t>
        </is>
      </c>
      <c r="AG585" t="inlineStr">
        <is>
          <t>HC40</t>
        </is>
      </c>
      <c r="AH585" t="inlineStr">
        <is>
          <t>NO</t>
        </is>
      </c>
      <c r="AI585" t="n">
        <v>40</v>
      </c>
      <c r="AJ585" t="n">
        <v>0</v>
      </c>
      <c r="AK585" t="n">
        <v>1</v>
      </c>
      <c r="AL585" t="inlineStr">
        <is>
          <t>ANON0000000</t>
        </is>
      </c>
      <c r="AP585" t="inlineStr">
        <is>
          <t>Non Haz</t>
        </is>
      </c>
      <c r="AQ585" t="inlineStr">
        <is>
          <t>CY/CY</t>
        </is>
      </c>
      <c r="AT585" t="inlineStr">
        <is>
          <t>ALAS26000008</t>
        </is>
      </c>
      <c r="AU585" t="n">
        <v>26000</v>
      </c>
      <c r="AV585" t="inlineStr">
        <is>
          <t>GENERAL COMMODITY</t>
        </is>
      </c>
      <c r="AX585" t="inlineStr">
        <is>
          <t>RSLSA012600002</t>
        </is>
      </c>
      <c r="AZ585" t="n">
        <v>0</v>
      </c>
      <c r="BA585" t="n">
        <v>10</v>
      </c>
      <c r="BB585" t="n">
        <v>14</v>
      </c>
      <c r="BC585" t="n">
        <v>4950</v>
      </c>
      <c r="BD585" t="inlineStr">
        <is>
          <t>Yes</t>
        </is>
      </c>
      <c r="BF585" t="inlineStr">
        <is>
          <t>PARANAVE SA</t>
        </is>
      </c>
      <c r="BG585" t="inlineStr">
        <is>
          <t>RULED</t>
        </is>
      </c>
      <c r="BH585" t="n">
        <v>0</v>
      </c>
      <c r="BI585" t="n">
        <v>1</v>
      </c>
      <c r="BJ585" t="n">
        <v>4950</v>
      </c>
      <c r="BK585" t="inlineStr">
        <is>
          <t>LINE</t>
        </is>
      </c>
      <c r="BL585" t="inlineStr">
        <is>
          <t>FALCON DRY</t>
        </is>
      </c>
      <c r="BM585" t="inlineStr">
        <is>
          <t>FALCON DRY</t>
        </is>
      </c>
    </row>
    <row r="586">
      <c r="A586" t="n">
        <v>585</v>
      </c>
      <c r="B586" t="inlineStr">
        <is>
          <t>WOLF DRY</t>
        </is>
      </c>
      <c r="C586" t="inlineStr">
        <is>
          <t>REF000000</t>
        </is>
      </c>
      <c r="D586" t="inlineStr">
        <is>
          <t>REF000000</t>
        </is>
      </c>
      <c r="E586" t="inlineStr">
        <is>
          <t>03-FEB-2026</t>
        </is>
      </c>
      <c r="F586" t="inlineStr">
        <is>
          <t>WOLF DRY</t>
        </is>
      </c>
      <c r="H586" t="inlineStr">
        <is>
          <t>United States_DOC</t>
        </is>
      </c>
      <c r="J586" t="inlineStr">
        <is>
          <t>19-FEB-2026</t>
        </is>
      </c>
      <c r="K586" t="inlineStr">
        <is>
          <t>19-FEB-2026</t>
        </is>
      </c>
      <c r="L586" t="inlineStr">
        <is>
          <t>20-FEB-2026</t>
        </is>
      </c>
      <c r="M586" t="inlineStr">
        <is>
          <t>REF000000</t>
        </is>
      </c>
      <c r="N586" t="inlineStr">
        <is>
          <t>USSEA</t>
        </is>
      </c>
      <c r="O586" t="inlineStr">
        <is>
          <t>USSEA</t>
        </is>
      </c>
      <c r="P586" t="inlineStr">
        <is>
          <t>CAVAN</t>
        </is>
      </c>
      <c r="Q586" t="inlineStr">
        <is>
          <t>USNFK</t>
        </is>
      </c>
      <c r="U586" t="inlineStr">
        <is>
          <t>RULED</t>
        </is>
      </c>
      <c r="V586" t="inlineStr">
        <is>
          <t>RULED</t>
        </is>
      </c>
      <c r="W586" t="inlineStr">
        <is>
          <t>UNITED STATES</t>
        </is>
      </c>
      <c r="X586" t="inlineStr">
        <is>
          <t>Latin America</t>
        </is>
      </c>
      <c r="Y586" t="inlineStr">
        <is>
          <t>RUSSIA</t>
        </is>
      </c>
      <c r="Z586" t="inlineStr">
        <is>
          <t>External Review</t>
        </is>
      </c>
      <c r="AA586" t="inlineStr">
        <is>
          <t>HUB SHIPPING LLC-LED</t>
        </is>
      </c>
      <c r="AB586" t="inlineStr">
        <is>
          <t>Prepaid</t>
        </is>
      </c>
      <c r="AC586" t="inlineStr">
        <is>
          <t>PAR 10002/199SB</t>
        </is>
      </c>
      <c r="AD586" t="inlineStr">
        <is>
          <t>TIGER GAUCHO / 911N</t>
        </is>
      </c>
      <c r="AE586" t="inlineStr">
        <is>
          <t>LADEN BOOKING</t>
        </is>
      </c>
      <c r="AF586" t="inlineStr">
        <is>
          <t>United States_DOC</t>
        </is>
      </c>
      <c r="AG586" t="inlineStr">
        <is>
          <t>HC40</t>
        </is>
      </c>
      <c r="AH586" t="inlineStr">
        <is>
          <t>NO</t>
        </is>
      </c>
      <c r="AI586" t="n">
        <v>40</v>
      </c>
      <c r="AJ586" t="n">
        <v>0</v>
      </c>
      <c r="AK586" t="n">
        <v>5</v>
      </c>
      <c r="AL586" t="inlineStr">
        <is>
          <t>ANON0000000,
ANON0000000,
ANON0000000,
ANON0000000,
ANON0000000</t>
        </is>
      </c>
      <c r="AP586" t="inlineStr">
        <is>
          <t>Non Haz</t>
        </is>
      </c>
      <c r="AQ586" t="inlineStr">
        <is>
          <t>CY/CY</t>
        </is>
      </c>
      <c r="AT586" t="inlineStr">
        <is>
          <t>ALAS26000009</t>
        </is>
      </c>
      <c r="AU586" t="n">
        <v>25000</v>
      </c>
      <c r="AV586" t="inlineStr">
        <is>
          <t>PEANUT</t>
        </is>
      </c>
      <c r="AX586" t="inlineStr">
        <is>
          <t>RSLSA122500002</t>
        </is>
      </c>
      <c r="AZ586" t="n">
        <v>0</v>
      </c>
      <c r="BA586" t="n">
        <v>10</v>
      </c>
      <c r="BB586" t="n">
        <v>14</v>
      </c>
      <c r="BC586" t="n">
        <v>5000</v>
      </c>
      <c r="BD586" t="inlineStr">
        <is>
          <t>No</t>
        </is>
      </c>
      <c r="BF586" t="inlineStr">
        <is>
          <t>PARANAVE SA</t>
        </is>
      </c>
      <c r="BG586" t="inlineStr">
        <is>
          <t>USSEA</t>
        </is>
      </c>
      <c r="BH586" t="n">
        <v>0</v>
      </c>
      <c r="BI586" t="n">
        <v>5</v>
      </c>
      <c r="BJ586" t="n">
        <v>25000</v>
      </c>
      <c r="BK586" t="inlineStr">
        <is>
          <t>LINE</t>
        </is>
      </c>
      <c r="BL586" t="inlineStr">
        <is>
          <t>WOLF DRY</t>
        </is>
      </c>
      <c r="BM586" t="inlineStr">
        <is>
          <t>WOLF DRY</t>
        </is>
      </c>
    </row>
    <row r="587">
      <c r="A587" t="n">
        <v>586</v>
      </c>
      <c r="B587" t="inlineStr">
        <is>
          <t>DEER DRY</t>
        </is>
      </c>
      <c r="C587" t="inlineStr">
        <is>
          <t>REF000000</t>
        </is>
      </c>
      <c r="D587" t="inlineStr">
        <is>
          <t>REF000000</t>
        </is>
      </c>
      <c r="E587" t="inlineStr">
        <is>
          <t>06-FEB-2026</t>
        </is>
      </c>
      <c r="F587" t="inlineStr">
        <is>
          <t>DEER DRY</t>
        </is>
      </c>
      <c r="H587" t="inlineStr">
        <is>
          <t>AdminLSA</t>
        </is>
      </c>
      <c r="J587" t="inlineStr">
        <is>
          <t>19-FEB-2026</t>
        </is>
      </c>
      <c r="K587" t="inlineStr">
        <is>
          <t>19-FEB-2026</t>
        </is>
      </c>
      <c r="L587" t="inlineStr">
        <is>
          <t>20-FEB-2026</t>
        </is>
      </c>
      <c r="M587" t="inlineStr">
        <is>
          <t>REF000000</t>
        </is>
      </c>
      <c r="N587" t="inlineStr">
        <is>
          <t>USSEA</t>
        </is>
      </c>
      <c r="O587" t="inlineStr">
        <is>
          <t>USSEA</t>
        </is>
      </c>
      <c r="P587" t="inlineStr">
        <is>
          <t>CAVAN</t>
        </is>
      </c>
      <c r="Q587" t="inlineStr">
        <is>
          <t>USNFK</t>
        </is>
      </c>
      <c r="U587" t="inlineStr">
        <is>
          <t>RULED</t>
        </is>
      </c>
      <c r="V587" t="inlineStr">
        <is>
          <t>RULED</t>
        </is>
      </c>
      <c r="W587" t="inlineStr">
        <is>
          <t>UNITED STATES</t>
        </is>
      </c>
      <c r="X587" t="inlineStr">
        <is>
          <t>Latin America</t>
        </is>
      </c>
      <c r="Y587" t="inlineStr">
        <is>
          <t>RUSSIA</t>
        </is>
      </c>
      <c r="Z587" t="inlineStr">
        <is>
          <t>External Review</t>
        </is>
      </c>
      <c r="AA587" t="inlineStr">
        <is>
          <t>HUB SHIPPING LLC-LED</t>
        </is>
      </c>
      <c r="AB587" t="inlineStr">
        <is>
          <t>Collect</t>
        </is>
      </c>
      <c r="AC587" t="inlineStr">
        <is>
          <t>PAR 10002/199SB</t>
        </is>
      </c>
      <c r="AD587" t="inlineStr">
        <is>
          <t>TIGER GAUCHO / 911N</t>
        </is>
      </c>
      <c r="AE587" t="inlineStr">
        <is>
          <t>LADEN BOOKING</t>
        </is>
      </c>
      <c r="AF587" t="inlineStr">
        <is>
          <t>RenniLSA</t>
        </is>
      </c>
      <c r="AG587" t="inlineStr">
        <is>
          <t>DC20</t>
        </is>
      </c>
      <c r="AH587" t="inlineStr">
        <is>
          <t>NO</t>
        </is>
      </c>
      <c r="AI587" t="n">
        <v>20</v>
      </c>
      <c r="AJ587" t="n">
        <v>1</v>
      </c>
      <c r="AK587" t="n">
        <v>0</v>
      </c>
      <c r="AL587" t="inlineStr">
        <is>
          <t>ANON0000000</t>
        </is>
      </c>
      <c r="AP587" t="inlineStr">
        <is>
          <t>Non Haz</t>
        </is>
      </c>
      <c r="AQ587" t="inlineStr">
        <is>
          <t>CY/CY</t>
        </is>
      </c>
      <c r="AT587" t="inlineStr">
        <is>
          <t>ALAS26000010</t>
        </is>
      </c>
      <c r="AU587" t="n">
        <v>5500</v>
      </c>
      <c r="AV587" t="inlineStr">
        <is>
          <t>GENERAL COMMODITY</t>
        </is>
      </c>
      <c r="AX587" t="inlineStr">
        <is>
          <t>MRG382808</t>
        </is>
      </c>
      <c r="AY587" t="inlineStr">
        <is>
          <t>LINE</t>
        </is>
      </c>
      <c r="AZ587" t="n">
        <v>0</v>
      </c>
      <c r="BA587" t="n">
        <v>10</v>
      </c>
      <c r="BB587" t="n">
        <v>14</v>
      </c>
      <c r="BC587" t="n">
        <v>4650</v>
      </c>
      <c r="BD587" t="inlineStr">
        <is>
          <t>Yes</t>
        </is>
      </c>
      <c r="BF587" t="inlineStr">
        <is>
          <t>PARANAVE SA</t>
        </is>
      </c>
      <c r="BG587" t="inlineStr">
        <is>
          <t>RULED</t>
        </is>
      </c>
      <c r="BH587" t="n">
        <v>1</v>
      </c>
      <c r="BI587" t="n">
        <v>0</v>
      </c>
      <c r="BJ587" t="n">
        <v>4650</v>
      </c>
      <c r="BK587" t="inlineStr">
        <is>
          <t>LINE</t>
        </is>
      </c>
      <c r="BL587" t="inlineStr">
        <is>
          <t>DEER DRY</t>
        </is>
      </c>
      <c r="BM587" t="inlineStr">
        <is>
          <t>DEER DRY</t>
        </is>
      </c>
    </row>
    <row r="588">
      <c r="A588" t="n">
        <v>587</v>
      </c>
      <c r="B588" t="inlineStr">
        <is>
          <t>FOX DRY</t>
        </is>
      </c>
      <c r="C588" t="inlineStr">
        <is>
          <t>REF000000</t>
        </is>
      </c>
      <c r="D588" t="inlineStr">
        <is>
          <t>REF000000</t>
        </is>
      </c>
      <c r="E588" t="inlineStr">
        <is>
          <t>07-FEB-2026</t>
        </is>
      </c>
      <c r="F588" t="inlineStr">
        <is>
          <t>FOX DRY</t>
        </is>
      </c>
      <c r="H588" t="inlineStr">
        <is>
          <t>United States_DOC</t>
        </is>
      </c>
      <c r="J588" t="n">
        <v>46087</v>
      </c>
      <c r="K588" t="n">
        <v>46086</v>
      </c>
      <c r="L588" t="n">
        <v>46087</v>
      </c>
      <c r="M588" t="inlineStr">
        <is>
          <t>REF000000</t>
        </is>
      </c>
      <c r="N588" t="inlineStr">
        <is>
          <t>USSEA</t>
        </is>
      </c>
      <c r="O588" t="inlineStr">
        <is>
          <t>USSEA</t>
        </is>
      </c>
      <c r="P588" t="inlineStr">
        <is>
          <t>CAVAN</t>
        </is>
      </c>
      <c r="Q588" t="inlineStr">
        <is>
          <t>USNFK</t>
        </is>
      </c>
      <c r="U588" t="inlineStr">
        <is>
          <t>RULED</t>
        </is>
      </c>
      <c r="V588" t="inlineStr">
        <is>
          <t>RULED</t>
        </is>
      </c>
      <c r="W588" t="inlineStr">
        <is>
          <t>UNITED STATES</t>
        </is>
      </c>
      <c r="X588" t="inlineStr">
        <is>
          <t>Latin America</t>
        </is>
      </c>
      <c r="Y588" t="inlineStr">
        <is>
          <t>RUSSIA</t>
        </is>
      </c>
      <c r="Z588" t="inlineStr">
        <is>
          <t>External Review</t>
        </is>
      </c>
      <c r="AA588" t="inlineStr">
        <is>
          <t>HUB SHIPPING LLC-LED</t>
        </is>
      </c>
      <c r="AB588" t="inlineStr">
        <is>
          <t>Prepaid</t>
        </is>
      </c>
      <c r="AC588" t="inlineStr">
        <is>
          <t>PAR 10001/193SB</t>
        </is>
      </c>
      <c r="AD588" t="inlineStr">
        <is>
          <t>TIGER GAUCHO / 915N</t>
        </is>
      </c>
      <c r="AE588" t="inlineStr">
        <is>
          <t>LADEN BOOKING</t>
        </is>
      </c>
      <c r="AF588" t="inlineStr">
        <is>
          <t>United States_DOC</t>
        </is>
      </c>
      <c r="AG588" t="inlineStr">
        <is>
          <t>HC40</t>
        </is>
      </c>
      <c r="AH588" t="inlineStr">
        <is>
          <t>NO</t>
        </is>
      </c>
      <c r="AI588" t="n">
        <v>40</v>
      </c>
      <c r="AJ588" t="n">
        <v>0</v>
      </c>
      <c r="AK588" t="n">
        <v>5</v>
      </c>
      <c r="AL588" t="inlineStr">
        <is>
          <t>ANON0000000,
ANON0000000,
ANON0000000,
ANON0000000,
ANON0000000</t>
        </is>
      </c>
      <c r="AP588" t="inlineStr">
        <is>
          <t>Non Haz</t>
        </is>
      </c>
      <c r="AQ588" t="inlineStr">
        <is>
          <t>CY/CY</t>
        </is>
      </c>
      <c r="AT588" t="inlineStr">
        <is>
          <t>ALAS26000015</t>
        </is>
      </c>
      <c r="AU588" t="n">
        <v>25000</v>
      </c>
      <c r="AV588" t="inlineStr">
        <is>
          <t>PEANUT</t>
        </is>
      </c>
      <c r="AX588" t="inlineStr">
        <is>
          <t>RSLSA122500002</t>
        </is>
      </c>
      <c r="AZ588" t="n">
        <v>0</v>
      </c>
      <c r="BA588" t="n">
        <v>10</v>
      </c>
      <c r="BB588" t="n">
        <v>14</v>
      </c>
      <c r="BC588" t="n">
        <v>5000</v>
      </c>
      <c r="BD588" t="inlineStr">
        <is>
          <t>No</t>
        </is>
      </c>
      <c r="BF588" t="inlineStr">
        <is>
          <t>PARANAVE SA</t>
        </is>
      </c>
      <c r="BG588" t="inlineStr">
        <is>
          <t>USSEA</t>
        </is>
      </c>
      <c r="BH588" t="n">
        <v>0</v>
      </c>
      <c r="BI588" t="n">
        <v>5</v>
      </c>
      <c r="BJ588" t="n">
        <v>25000</v>
      </c>
      <c r="BK588" t="inlineStr">
        <is>
          <t>LINE</t>
        </is>
      </c>
      <c r="BL588" t="inlineStr">
        <is>
          <t>FOX DRY</t>
        </is>
      </c>
      <c r="BM588" t="inlineStr">
        <is>
          <t>FOX DRY</t>
        </is>
      </c>
    </row>
    <row r="589">
      <c r="A589" t="n">
        <v>588</v>
      </c>
      <c r="B589" t="inlineStr">
        <is>
          <t>BISON DRY</t>
        </is>
      </c>
      <c r="C589" t="inlineStr">
        <is>
          <t>REF000000</t>
        </is>
      </c>
      <c r="D589" t="inlineStr">
        <is>
          <t>REF000000</t>
        </is>
      </c>
      <c r="E589" t="inlineStr">
        <is>
          <t>13-FEB-2026</t>
        </is>
      </c>
      <c r="F589" t="inlineStr">
        <is>
          <t>BISON DRY</t>
        </is>
      </c>
      <c r="H589" t="inlineStr">
        <is>
          <t>United States_DOC</t>
        </is>
      </c>
      <c r="J589" t="inlineStr">
        <is>
          <t>19-FEB-2026</t>
        </is>
      </c>
      <c r="K589" t="inlineStr">
        <is>
          <t>19-FEB-2026</t>
        </is>
      </c>
      <c r="L589" t="inlineStr">
        <is>
          <t>20-FEB-2026</t>
        </is>
      </c>
      <c r="M589" t="inlineStr">
        <is>
          <t>REF000000</t>
        </is>
      </c>
      <c r="N589" t="inlineStr">
        <is>
          <t>USSEA</t>
        </is>
      </c>
      <c r="O589" t="inlineStr">
        <is>
          <t>USSEA</t>
        </is>
      </c>
      <c r="P589" t="inlineStr">
        <is>
          <t>CAVAN</t>
        </is>
      </c>
      <c r="Q589" t="inlineStr">
        <is>
          <t>USNFK</t>
        </is>
      </c>
      <c r="U589" t="inlineStr">
        <is>
          <t>RULED</t>
        </is>
      </c>
      <c r="V589" t="inlineStr">
        <is>
          <t>RULED</t>
        </is>
      </c>
      <c r="W589" t="inlineStr">
        <is>
          <t>UNITED STATES</t>
        </is>
      </c>
      <c r="X589" t="inlineStr">
        <is>
          <t>Latin America</t>
        </is>
      </c>
      <c r="Y589" t="inlineStr">
        <is>
          <t>RUSSIA</t>
        </is>
      </c>
      <c r="Z589" t="inlineStr">
        <is>
          <t>External Review</t>
        </is>
      </c>
      <c r="AA589" t="inlineStr">
        <is>
          <t>HUB SHIPPING LLC-LED</t>
        </is>
      </c>
      <c r="AB589" t="inlineStr">
        <is>
          <t>Prepaid</t>
        </is>
      </c>
      <c r="AC589" t="inlineStr">
        <is>
          <t>PAR 10002/199SB</t>
        </is>
      </c>
      <c r="AD589" t="inlineStr">
        <is>
          <t>TIGER GAUCHO / 911N</t>
        </is>
      </c>
      <c r="AE589" t="inlineStr">
        <is>
          <t>LADEN BOOKING</t>
        </is>
      </c>
      <c r="AF589" t="inlineStr">
        <is>
          <t>United States_DOC</t>
        </is>
      </c>
      <c r="AG589" t="inlineStr">
        <is>
          <t>HC40</t>
        </is>
      </c>
      <c r="AH589" t="inlineStr">
        <is>
          <t>NO</t>
        </is>
      </c>
      <c r="AI589" t="n">
        <v>40</v>
      </c>
      <c r="AJ589" t="n">
        <v>0</v>
      </c>
      <c r="AK589" t="n">
        <v>5</v>
      </c>
      <c r="AL589" t="inlineStr">
        <is>
          <t>ANON0000000,
ANON0000000,
ANON0000000,
ANON0000000,
ANON0000000</t>
        </is>
      </c>
      <c r="AP589" t="inlineStr">
        <is>
          <t>Non Haz</t>
        </is>
      </c>
      <c r="AQ589" t="inlineStr">
        <is>
          <t>CY/CY</t>
        </is>
      </c>
      <c r="AT589" t="inlineStr">
        <is>
          <t>ALAS26000011</t>
        </is>
      </c>
      <c r="AU589" t="n">
        <v>25000</v>
      </c>
      <c r="AV589" t="inlineStr">
        <is>
          <t>PEANUT</t>
        </is>
      </c>
      <c r="AX589" t="inlineStr">
        <is>
          <t>RSLSA122500002</t>
        </is>
      </c>
      <c r="AZ589" t="n">
        <v>0</v>
      </c>
      <c r="BA589" t="n">
        <v>10</v>
      </c>
      <c r="BB589" t="n">
        <v>14</v>
      </c>
      <c r="BC589" t="n">
        <v>5000</v>
      </c>
      <c r="BD589" t="inlineStr">
        <is>
          <t>No</t>
        </is>
      </c>
      <c r="BF589" t="inlineStr">
        <is>
          <t>PARANAVE SA</t>
        </is>
      </c>
      <c r="BG589" t="inlineStr">
        <is>
          <t>USSEA</t>
        </is>
      </c>
      <c r="BH589" t="n">
        <v>0</v>
      </c>
      <c r="BI589" t="n">
        <v>5</v>
      </c>
      <c r="BJ589" t="n">
        <v>25000</v>
      </c>
      <c r="BK589" t="inlineStr">
        <is>
          <t>LINE</t>
        </is>
      </c>
      <c r="BL589" t="inlineStr">
        <is>
          <t>BISON DRY</t>
        </is>
      </c>
      <c r="BM589" t="inlineStr">
        <is>
          <t>BISON DRY</t>
        </is>
      </c>
    </row>
    <row r="590">
      <c r="A590" t="n">
        <v>589</v>
      </c>
      <c r="B590" t="inlineStr">
        <is>
          <t>EAGLE DRY</t>
        </is>
      </c>
      <c r="C590" t="inlineStr">
        <is>
          <t>REF000000</t>
        </is>
      </c>
      <c r="D590" t="inlineStr">
        <is>
          <t>REF000000</t>
        </is>
      </c>
      <c r="E590" t="inlineStr">
        <is>
          <t>13-FEB-2026</t>
        </is>
      </c>
      <c r="F590" t="inlineStr">
        <is>
          <t>EAGLE DRY</t>
        </is>
      </c>
      <c r="H590" t="inlineStr">
        <is>
          <t>United States_DOC</t>
        </is>
      </c>
      <c r="J590" t="n">
        <v>46087</v>
      </c>
      <c r="K590" t="n">
        <v>46086</v>
      </c>
      <c r="L590" t="n">
        <v>46087</v>
      </c>
      <c r="M590" t="inlineStr">
        <is>
          <t>REF000000</t>
        </is>
      </c>
      <c r="N590" t="inlineStr">
        <is>
          <t>USSEA</t>
        </is>
      </c>
      <c r="O590" t="inlineStr">
        <is>
          <t>USSEA</t>
        </is>
      </c>
      <c r="P590" t="inlineStr">
        <is>
          <t>CAVAN</t>
        </is>
      </c>
      <c r="Q590" t="inlineStr">
        <is>
          <t>USNFK</t>
        </is>
      </c>
      <c r="U590" t="inlineStr">
        <is>
          <t>RULED</t>
        </is>
      </c>
      <c r="V590" t="inlineStr">
        <is>
          <t>RULED</t>
        </is>
      </c>
      <c r="W590" t="inlineStr">
        <is>
          <t>UNITED STATES</t>
        </is>
      </c>
      <c r="X590" t="inlineStr">
        <is>
          <t>Latin America</t>
        </is>
      </c>
      <c r="Y590" t="inlineStr">
        <is>
          <t>RUSSIA</t>
        </is>
      </c>
      <c r="Z590" t="inlineStr">
        <is>
          <t>External Review</t>
        </is>
      </c>
      <c r="AA590" t="inlineStr">
        <is>
          <t>HUB SHIPPING LLC-LED</t>
        </is>
      </c>
      <c r="AB590" t="inlineStr">
        <is>
          <t>Prepaid</t>
        </is>
      </c>
      <c r="AC590" t="inlineStr">
        <is>
          <t>PAR 10001/193SB</t>
        </is>
      </c>
      <c r="AD590" t="inlineStr">
        <is>
          <t>TIGER GAUCHO / 915N</t>
        </is>
      </c>
      <c r="AE590" t="inlineStr">
        <is>
          <t>LADEN BOOKING</t>
        </is>
      </c>
      <c r="AF590" t="inlineStr">
        <is>
          <t>United States_DOC</t>
        </is>
      </c>
      <c r="AG590" t="inlineStr">
        <is>
          <t>HC40</t>
        </is>
      </c>
      <c r="AH590" t="inlineStr">
        <is>
          <t>NO</t>
        </is>
      </c>
      <c r="AI590" t="n">
        <v>40</v>
      </c>
      <c r="AJ590" t="n">
        <v>0</v>
      </c>
      <c r="AK590" t="n">
        <v>5</v>
      </c>
      <c r="AL590" t="inlineStr">
        <is>
          <t>ANON0000000,
ANON0000000,
ANON0000000,
ANON0000000,
ANON0000000</t>
        </is>
      </c>
      <c r="AP590" t="inlineStr">
        <is>
          <t>Non Haz</t>
        </is>
      </c>
      <c r="AQ590" t="inlineStr">
        <is>
          <t>CY/CY</t>
        </is>
      </c>
      <c r="AT590" t="inlineStr">
        <is>
          <t>ALAS26000014</t>
        </is>
      </c>
      <c r="AU590" t="n">
        <v>25000</v>
      </c>
      <c r="AV590" t="inlineStr">
        <is>
          <t>PEANUT</t>
        </is>
      </c>
      <c r="AX590" t="inlineStr">
        <is>
          <t>RSLSA122500002</t>
        </is>
      </c>
      <c r="AZ590" t="n">
        <v>0</v>
      </c>
      <c r="BA590" t="n">
        <v>10</v>
      </c>
      <c r="BB590" t="n">
        <v>14</v>
      </c>
      <c r="BC590" t="n">
        <v>5000</v>
      </c>
      <c r="BD590" t="inlineStr">
        <is>
          <t>No</t>
        </is>
      </c>
      <c r="BF590" t="inlineStr">
        <is>
          <t>PARANAVE SA</t>
        </is>
      </c>
      <c r="BG590" t="inlineStr">
        <is>
          <t>USSEA</t>
        </is>
      </c>
      <c r="BH590" t="n">
        <v>0</v>
      </c>
      <c r="BI590" t="n">
        <v>5</v>
      </c>
      <c r="BJ590" t="n">
        <v>25000</v>
      </c>
      <c r="BK590" t="inlineStr">
        <is>
          <t>LINE</t>
        </is>
      </c>
      <c r="BL590" t="inlineStr">
        <is>
          <t>EAGLE DRY</t>
        </is>
      </c>
      <c r="BM590" t="inlineStr">
        <is>
          <t>EAGLE DRY</t>
        </is>
      </c>
    </row>
    <row r="591">
      <c r="A591" t="n">
        <v>590</v>
      </c>
      <c r="B591" t="inlineStr">
        <is>
          <t>COYOTE DRY</t>
        </is>
      </c>
      <c r="C591" t="inlineStr">
        <is>
          <t>REF000000</t>
        </is>
      </c>
      <c r="D591" t="inlineStr">
        <is>
          <t>REF000000</t>
        </is>
      </c>
      <c r="E591" t="inlineStr">
        <is>
          <t>13-FEB-2026</t>
        </is>
      </c>
      <c r="F591" t="inlineStr">
        <is>
          <t>COYOTE DRY</t>
        </is>
      </c>
      <c r="H591" t="inlineStr">
        <is>
          <t>United States_DOC</t>
        </is>
      </c>
      <c r="J591" t="n">
        <v>46087</v>
      </c>
      <c r="K591" t="n">
        <v>46086</v>
      </c>
      <c r="L591" t="n">
        <v>46087</v>
      </c>
      <c r="M591" t="inlineStr">
        <is>
          <t>REF000000</t>
        </is>
      </c>
      <c r="N591" t="inlineStr">
        <is>
          <t>USSEA</t>
        </is>
      </c>
      <c r="O591" t="inlineStr">
        <is>
          <t>USSEA</t>
        </is>
      </c>
      <c r="P591" t="inlineStr">
        <is>
          <t>CAVAN</t>
        </is>
      </c>
      <c r="Q591" t="inlineStr">
        <is>
          <t>USNFK</t>
        </is>
      </c>
      <c r="U591" t="inlineStr">
        <is>
          <t>RULED</t>
        </is>
      </c>
      <c r="V591" t="inlineStr">
        <is>
          <t>RULED</t>
        </is>
      </c>
      <c r="W591" t="inlineStr">
        <is>
          <t>UNITED STATES</t>
        </is>
      </c>
      <c r="X591" t="inlineStr">
        <is>
          <t>Latin America</t>
        </is>
      </c>
      <c r="Y591" t="inlineStr">
        <is>
          <t>RUSSIA</t>
        </is>
      </c>
      <c r="Z591" t="inlineStr">
        <is>
          <t>External Review</t>
        </is>
      </c>
      <c r="AA591" t="inlineStr">
        <is>
          <t>HUB SHIPPING LLC-LED</t>
        </is>
      </c>
      <c r="AB591" t="inlineStr">
        <is>
          <t>Prepaid</t>
        </is>
      </c>
      <c r="AC591" t="inlineStr">
        <is>
          <t>PAR 10001/193SB</t>
        </is>
      </c>
      <c r="AD591" t="inlineStr">
        <is>
          <t>TIGER GAUCHO / 915N</t>
        </is>
      </c>
      <c r="AE591" t="inlineStr">
        <is>
          <t>LADEN BOOKING</t>
        </is>
      </c>
      <c r="AF591" t="inlineStr">
        <is>
          <t>United States_DOC</t>
        </is>
      </c>
      <c r="AG591" t="inlineStr">
        <is>
          <t>HC40</t>
        </is>
      </c>
      <c r="AH591" t="inlineStr">
        <is>
          <t>NO</t>
        </is>
      </c>
      <c r="AI591" t="n">
        <v>40</v>
      </c>
      <c r="AJ591" t="n">
        <v>0</v>
      </c>
      <c r="AK591" t="n">
        <v>6</v>
      </c>
      <c r="AL591" t="inlineStr">
        <is>
          <t>ANON0000000,
ANON0000000,
ANON0000000,
ANON0000000,
ANON0000000,
ANON0000000</t>
        </is>
      </c>
      <c r="AP591" t="inlineStr">
        <is>
          <t>Non Haz</t>
        </is>
      </c>
      <c r="AQ591" t="inlineStr">
        <is>
          <t>CY/CY</t>
        </is>
      </c>
      <c r="AT591" t="inlineStr">
        <is>
          <t>ALAS26000013</t>
        </is>
      </c>
      <c r="AU591" t="n">
        <v>25000</v>
      </c>
      <c r="AV591" t="inlineStr">
        <is>
          <t>PEANUT</t>
        </is>
      </c>
      <c r="AX591" t="inlineStr">
        <is>
          <t>RSLSA122500002</t>
        </is>
      </c>
      <c r="AZ591" t="n">
        <v>0</v>
      </c>
      <c r="BA591" t="n">
        <v>10</v>
      </c>
      <c r="BB591" t="n">
        <v>14</v>
      </c>
      <c r="BC591" t="n">
        <v>5000</v>
      </c>
      <c r="BD591" t="inlineStr">
        <is>
          <t>No</t>
        </is>
      </c>
      <c r="BF591" t="inlineStr">
        <is>
          <t>PARANAVE SA</t>
        </is>
      </c>
      <c r="BG591" t="inlineStr">
        <is>
          <t>USSEA</t>
        </is>
      </c>
      <c r="BH591" t="n">
        <v>0</v>
      </c>
      <c r="BI591" t="n">
        <v>6</v>
      </c>
      <c r="BJ591" t="n">
        <v>30000</v>
      </c>
      <c r="BK591" t="inlineStr">
        <is>
          <t>LINE</t>
        </is>
      </c>
      <c r="BL591" t="inlineStr">
        <is>
          <t>COYOTE DRY</t>
        </is>
      </c>
      <c r="BM591" t="inlineStr">
        <is>
          <t>COYOTE DRY</t>
        </is>
      </c>
    </row>
    <row r="592">
      <c r="A592" t="n">
        <v>591</v>
      </c>
      <c r="B592" t="inlineStr">
        <is>
          <t>FALCON DRY</t>
        </is>
      </c>
      <c r="C592" t="inlineStr">
        <is>
          <t>REF000000</t>
        </is>
      </c>
      <c r="D592" t="inlineStr">
        <is>
          <t>REF000000</t>
        </is>
      </c>
      <c r="E592" t="inlineStr">
        <is>
          <t>26-FEB-2026</t>
        </is>
      </c>
      <c r="F592" t="inlineStr">
        <is>
          <t>FALCON DRY</t>
        </is>
      </c>
      <c r="H592" t="inlineStr">
        <is>
          <t>AdminLSA</t>
        </is>
      </c>
      <c r="J592" t="n">
        <v>46087</v>
      </c>
      <c r="K592" t="n">
        <v>46086</v>
      </c>
      <c r="L592" t="n">
        <v>46087</v>
      </c>
      <c r="M592" t="inlineStr">
        <is>
          <t>REF000000</t>
        </is>
      </c>
      <c r="N592" t="inlineStr">
        <is>
          <t>USSEA</t>
        </is>
      </c>
      <c r="O592" t="inlineStr">
        <is>
          <t>USSEA</t>
        </is>
      </c>
      <c r="P592" t="inlineStr">
        <is>
          <t>CAVAN</t>
        </is>
      </c>
      <c r="Q592" t="inlineStr">
        <is>
          <t>USNFK</t>
        </is>
      </c>
      <c r="U592" t="inlineStr">
        <is>
          <t>RULED</t>
        </is>
      </c>
      <c r="V592" t="inlineStr">
        <is>
          <t>RULED</t>
        </is>
      </c>
      <c r="W592" t="inlineStr">
        <is>
          <t>UNITED STATES</t>
        </is>
      </c>
      <c r="X592" t="inlineStr">
        <is>
          <t>Latin America</t>
        </is>
      </c>
      <c r="Y592" t="inlineStr">
        <is>
          <t>RUSSIA</t>
        </is>
      </c>
      <c r="Z592" t="inlineStr">
        <is>
          <t>External Review</t>
        </is>
      </c>
      <c r="AA592" t="inlineStr">
        <is>
          <t>HUB SHIPPING LLC-LED</t>
        </is>
      </c>
      <c r="AB592" t="inlineStr">
        <is>
          <t>Collect</t>
        </is>
      </c>
      <c r="AC592" t="inlineStr">
        <is>
          <t>PAR 10001/193SB</t>
        </is>
      </c>
      <c r="AD592" t="inlineStr">
        <is>
          <t>TIGER GAUCHO / 915N</t>
        </is>
      </c>
      <c r="AE592" t="inlineStr">
        <is>
          <t>LADEN BOOKING</t>
        </is>
      </c>
      <c r="AF592" t="inlineStr">
        <is>
          <t>RenniLSA</t>
        </is>
      </c>
      <c r="AG592" t="inlineStr">
        <is>
          <t>DC20</t>
        </is>
      </c>
      <c r="AH592" t="inlineStr">
        <is>
          <t>NO</t>
        </is>
      </c>
      <c r="AI592" t="n">
        <v>20</v>
      </c>
      <c r="AJ592" t="n">
        <v>1</v>
      </c>
      <c r="AK592" t="n">
        <v>0</v>
      </c>
      <c r="AL592" t="inlineStr">
        <is>
          <t>ANON0000000</t>
        </is>
      </c>
      <c r="AP592" t="inlineStr">
        <is>
          <t>Non Haz</t>
        </is>
      </c>
      <c r="AQ592" t="inlineStr">
        <is>
          <t>CY/CY</t>
        </is>
      </c>
      <c r="AT592" t="inlineStr">
        <is>
          <t>ALAS26000016</t>
        </is>
      </c>
      <c r="AU592" t="n">
        <v>5500</v>
      </c>
      <c r="AV592" t="inlineStr">
        <is>
          <t>GENERAL COMMODITY</t>
        </is>
      </c>
      <c r="AX592" t="inlineStr">
        <is>
          <t>MRG395755</t>
        </is>
      </c>
      <c r="AY592" t="inlineStr">
        <is>
          <t>LINE</t>
        </is>
      </c>
      <c r="AZ592" t="n">
        <v>0</v>
      </c>
      <c r="BA592" t="n">
        <v>10</v>
      </c>
      <c r="BB592" t="n">
        <v>14</v>
      </c>
      <c r="BC592" t="n">
        <v>4650</v>
      </c>
      <c r="BD592" t="inlineStr">
        <is>
          <t>Yes</t>
        </is>
      </c>
      <c r="BF592" t="inlineStr">
        <is>
          <t>PARANAVE SA</t>
        </is>
      </c>
      <c r="BG592" t="inlineStr">
        <is>
          <t>RULED</t>
        </is>
      </c>
      <c r="BH592" t="n">
        <v>1</v>
      </c>
      <c r="BI592" t="n">
        <v>0</v>
      </c>
      <c r="BJ592" t="n">
        <v>4650</v>
      </c>
      <c r="BK592" t="inlineStr">
        <is>
          <t>LINE</t>
        </is>
      </c>
      <c r="BL592" t="inlineStr">
        <is>
          <t>FALCON DRY</t>
        </is>
      </c>
      <c r="BM592" t="inlineStr">
        <is>
          <t>FALCON DRY</t>
        </is>
      </c>
    </row>
    <row r="593">
      <c r="A593" t="n">
        <v>592</v>
      </c>
      <c r="B593" t="inlineStr">
        <is>
          <t>WOLF DRY</t>
        </is>
      </c>
      <c r="C593" t="inlineStr">
        <is>
          <t>REF000000</t>
        </is>
      </c>
      <c r="D593" t="inlineStr">
        <is>
          <t>REF000000</t>
        </is>
      </c>
      <c r="E593" t="n">
        <v>46087</v>
      </c>
      <c r="F593" t="inlineStr">
        <is>
          <t>WOLF DRY</t>
        </is>
      </c>
      <c r="H593" t="inlineStr">
        <is>
          <t>United States_DOC</t>
        </is>
      </c>
      <c r="J593" t="inlineStr">
        <is>
          <t>01-APR-2026</t>
        </is>
      </c>
      <c r="K593" t="n">
        <v>46112</v>
      </c>
      <c r="L593" t="inlineStr">
        <is>
          <t>01-APR-2026</t>
        </is>
      </c>
      <c r="M593" t="inlineStr">
        <is>
          <t>REF000000</t>
        </is>
      </c>
      <c r="N593" t="inlineStr">
        <is>
          <t>USSEA</t>
        </is>
      </c>
      <c r="O593" t="inlineStr">
        <is>
          <t>USSEA</t>
        </is>
      </c>
      <c r="P593" t="inlineStr">
        <is>
          <t>CAVAN</t>
        </is>
      </c>
      <c r="Q593" t="inlineStr">
        <is>
          <t>USNFK</t>
        </is>
      </c>
      <c r="U593" t="inlineStr">
        <is>
          <t>RULED</t>
        </is>
      </c>
      <c r="V593" t="inlineStr">
        <is>
          <t>RULED</t>
        </is>
      </c>
      <c r="W593" t="inlineStr">
        <is>
          <t>UNITED STATES</t>
        </is>
      </c>
      <c r="X593" t="inlineStr">
        <is>
          <t>Latin America</t>
        </is>
      </c>
      <c r="Y593" t="inlineStr">
        <is>
          <t>RUSSIA</t>
        </is>
      </c>
      <c r="Z593" t="inlineStr">
        <is>
          <t>External Review</t>
        </is>
      </c>
      <c r="AA593" t="inlineStr">
        <is>
          <t>HUB SHIPPING LLC-LED</t>
        </is>
      </c>
      <c r="AB593" t="inlineStr">
        <is>
          <t>Prepaid</t>
        </is>
      </c>
      <c r="AC593" t="inlineStr">
        <is>
          <t>PAR 10001/194SB</t>
        </is>
      </c>
      <c r="AD593" t="inlineStr">
        <is>
          <t>TIGER GAUCHO / 917N</t>
        </is>
      </c>
      <c r="AE593" t="inlineStr">
        <is>
          <t>LADEN BOOKING</t>
        </is>
      </c>
      <c r="AF593" t="inlineStr">
        <is>
          <t>United States_DOC</t>
        </is>
      </c>
      <c r="AG593" t="inlineStr">
        <is>
          <t>HC40</t>
        </is>
      </c>
      <c r="AH593" t="inlineStr">
        <is>
          <t>NO</t>
        </is>
      </c>
      <c r="AI593" t="n">
        <v>40</v>
      </c>
      <c r="AJ593" t="n">
        <v>0</v>
      </c>
      <c r="AK593" t="n">
        <v>2</v>
      </c>
      <c r="AL593" t="inlineStr">
        <is>
          <t>ANON0000000,
ANON0000000</t>
        </is>
      </c>
      <c r="AP593" t="inlineStr">
        <is>
          <t>Non Haz</t>
        </is>
      </c>
      <c r="AQ593" t="inlineStr">
        <is>
          <t>CY/CY</t>
        </is>
      </c>
      <c r="AT593" t="inlineStr">
        <is>
          <t>ALAS26000017</t>
        </is>
      </c>
      <c r="AU593" t="n">
        <v>25000</v>
      </c>
      <c r="AV593" t="inlineStr">
        <is>
          <t>PEANUT</t>
        </is>
      </c>
      <c r="AX593" t="inlineStr">
        <is>
          <t>RSLSA122500002</t>
        </is>
      </c>
      <c r="AZ593" t="n">
        <v>0</v>
      </c>
      <c r="BA593" t="n">
        <v>10</v>
      </c>
      <c r="BB593" t="n">
        <v>14</v>
      </c>
      <c r="BC593" t="n">
        <v>5000</v>
      </c>
      <c r="BD593" t="inlineStr">
        <is>
          <t>No</t>
        </is>
      </c>
      <c r="BF593" t="inlineStr">
        <is>
          <t>PARANAVE SA</t>
        </is>
      </c>
      <c r="BG593" t="inlineStr">
        <is>
          <t>USSEA</t>
        </is>
      </c>
      <c r="BH593" t="n">
        <v>0</v>
      </c>
      <c r="BI593" t="n">
        <v>2</v>
      </c>
      <c r="BJ593" t="n">
        <v>10000</v>
      </c>
      <c r="BK593" t="inlineStr">
        <is>
          <t>LINE</t>
        </is>
      </c>
      <c r="BL593" t="inlineStr">
        <is>
          <t>WOLF DRY</t>
        </is>
      </c>
      <c r="BM593" t="inlineStr">
        <is>
          <t>WOLF DRY</t>
        </is>
      </c>
    </row>
    <row r="594">
      <c r="A594" t="n">
        <v>593</v>
      </c>
      <c r="B594" t="inlineStr">
        <is>
          <t>DEER DRY</t>
        </is>
      </c>
      <c r="C594" t="inlineStr">
        <is>
          <t>REF000000</t>
        </is>
      </c>
      <c r="D594" t="inlineStr">
        <is>
          <t>REF000000</t>
        </is>
      </c>
      <c r="E594" t="n">
        <v>46094</v>
      </c>
      <c r="F594" t="inlineStr">
        <is>
          <t>DEER DRY</t>
        </is>
      </c>
      <c r="H594" t="inlineStr">
        <is>
          <t>United States_DOC</t>
        </is>
      </c>
      <c r="J594" t="inlineStr">
        <is>
          <t>26-APR-2026</t>
        </is>
      </c>
      <c r="K594" t="inlineStr">
        <is>
          <t>26-APR-2026</t>
        </is>
      </c>
      <c r="M594" t="inlineStr">
        <is>
          <t>REF000000</t>
        </is>
      </c>
      <c r="N594" t="inlineStr">
        <is>
          <t>USSEA</t>
        </is>
      </c>
      <c r="O594" t="inlineStr">
        <is>
          <t>USSEA</t>
        </is>
      </c>
      <c r="P594" t="inlineStr">
        <is>
          <t>CAVAN</t>
        </is>
      </c>
      <c r="Q594" t="inlineStr">
        <is>
          <t>USNFK</t>
        </is>
      </c>
      <c r="U594" t="inlineStr">
        <is>
          <t>RULED</t>
        </is>
      </c>
      <c r="V594" t="inlineStr">
        <is>
          <t>RULED</t>
        </is>
      </c>
      <c r="W594" t="inlineStr">
        <is>
          <t>UNITED STATES</t>
        </is>
      </c>
      <c r="X594" t="inlineStr">
        <is>
          <t>Latin America</t>
        </is>
      </c>
      <c r="Y594" t="inlineStr">
        <is>
          <t>RUSSIA</t>
        </is>
      </c>
      <c r="Z594" t="inlineStr">
        <is>
          <t>External Review</t>
        </is>
      </c>
      <c r="AA594" t="inlineStr">
        <is>
          <t>HUB SHIPPING LLC-LED</t>
        </is>
      </c>
      <c r="AB594" t="inlineStr">
        <is>
          <t>Prepaid</t>
        </is>
      </c>
      <c r="AC594" t="inlineStr">
        <is>
          <t>PAR 10001/195SB</t>
        </is>
      </c>
      <c r="AE594" t="inlineStr">
        <is>
          <t>LADEN BOOKING</t>
        </is>
      </c>
      <c r="AF594" t="inlineStr">
        <is>
          <t>United States_DOC</t>
        </is>
      </c>
      <c r="AG594" t="inlineStr">
        <is>
          <t>HC40</t>
        </is>
      </c>
      <c r="AH594" t="inlineStr">
        <is>
          <t>NO</t>
        </is>
      </c>
      <c r="AI594" t="n">
        <v>40</v>
      </c>
      <c r="AJ594" t="n">
        <v>0</v>
      </c>
      <c r="AK594" t="n">
        <v>5</v>
      </c>
      <c r="AP594" t="inlineStr">
        <is>
          <t>Non Haz</t>
        </is>
      </c>
      <c r="AQ594" t="inlineStr">
        <is>
          <t>CY/CY</t>
        </is>
      </c>
      <c r="AU594" t="n">
        <v>25000</v>
      </c>
      <c r="AV594" t="inlineStr">
        <is>
          <t>PEANUT</t>
        </is>
      </c>
      <c r="AX594" t="inlineStr">
        <is>
          <t>RSLSA032600001</t>
        </is>
      </c>
      <c r="AZ594" t="n">
        <v>0</v>
      </c>
      <c r="BA594" t="n">
        <v>14</v>
      </c>
      <c r="BB594" t="n">
        <v>21</v>
      </c>
      <c r="BC594" t="n">
        <v>5000</v>
      </c>
      <c r="BD594" t="inlineStr">
        <is>
          <t>No</t>
        </is>
      </c>
      <c r="BG594" t="inlineStr">
        <is>
          <t>USSEA</t>
        </is>
      </c>
      <c r="BH594" t="n">
        <v>0</v>
      </c>
      <c r="BI594" t="n">
        <v>0</v>
      </c>
      <c r="BJ594" t="inlineStr">
        <is>
          <t xml:space="preserve"> 0</t>
        </is>
      </c>
      <c r="BK594" t="inlineStr">
        <is>
          <t>LINE</t>
        </is>
      </c>
      <c r="BL594" t="inlineStr">
        <is>
          <t>DEER DRY</t>
        </is>
      </c>
      <c r="BM594" t="inlineStr">
        <is>
          <t>DEER DRY</t>
        </is>
      </c>
    </row>
    <row r="595">
      <c r="A595" t="n">
        <v>594</v>
      </c>
      <c r="B595" t="inlineStr">
        <is>
          <t>FOX DRY</t>
        </is>
      </c>
      <c r="C595" t="inlineStr">
        <is>
          <t>REF000000</t>
        </is>
      </c>
      <c r="D595" t="inlineStr">
        <is>
          <t>REF000000</t>
        </is>
      </c>
      <c r="E595" t="n">
        <v>46098</v>
      </c>
      <c r="F595" t="inlineStr">
        <is>
          <t>FOX DRY</t>
        </is>
      </c>
      <c r="H595" t="inlineStr">
        <is>
          <t>AdminLSA</t>
        </is>
      </c>
      <c r="J595" t="inlineStr">
        <is>
          <t>01-APR-2026</t>
        </is>
      </c>
      <c r="K595" t="n">
        <v>46112</v>
      </c>
      <c r="L595" t="inlineStr">
        <is>
          <t>01-APR-2026</t>
        </is>
      </c>
      <c r="M595" t="inlineStr">
        <is>
          <t>REF000000</t>
        </is>
      </c>
      <c r="N595" t="inlineStr">
        <is>
          <t>USSEA</t>
        </is>
      </c>
      <c r="O595" t="inlineStr">
        <is>
          <t>USSEA</t>
        </is>
      </c>
      <c r="P595" t="inlineStr">
        <is>
          <t>CAVAN</t>
        </is>
      </c>
      <c r="Q595" t="inlineStr">
        <is>
          <t>USNFK</t>
        </is>
      </c>
      <c r="U595" t="inlineStr">
        <is>
          <t>RULED</t>
        </is>
      </c>
      <c r="V595" t="inlineStr">
        <is>
          <t>RULED</t>
        </is>
      </c>
      <c r="W595" t="inlineStr">
        <is>
          <t>UNITED STATES</t>
        </is>
      </c>
      <c r="X595" t="inlineStr">
        <is>
          <t>Latin America</t>
        </is>
      </c>
      <c r="Y595" t="inlineStr">
        <is>
          <t>RUSSIA</t>
        </is>
      </c>
      <c r="Z595" t="inlineStr">
        <is>
          <t>External Review</t>
        </is>
      </c>
      <c r="AA595" t="inlineStr">
        <is>
          <t>HUB SHIPPING LLC-LED</t>
        </is>
      </c>
      <c r="AB595" t="inlineStr">
        <is>
          <t>Collect</t>
        </is>
      </c>
      <c r="AC595" t="inlineStr">
        <is>
          <t>PAR 10001/194SB</t>
        </is>
      </c>
      <c r="AD595" t="inlineStr">
        <is>
          <t>TIGER GAUCHO / 917N</t>
        </is>
      </c>
      <c r="AE595" t="inlineStr">
        <is>
          <t>LADEN BOOKING</t>
        </is>
      </c>
      <c r="AF595" t="inlineStr">
        <is>
          <t>RenniLSA</t>
        </is>
      </c>
      <c r="AG595" t="inlineStr">
        <is>
          <t>DC20</t>
        </is>
      </c>
      <c r="AH595" t="inlineStr">
        <is>
          <t>NO</t>
        </is>
      </c>
      <c r="AI595" t="n">
        <v>20</v>
      </c>
      <c r="AJ595" t="n">
        <v>1</v>
      </c>
      <c r="AK595" t="n">
        <v>0</v>
      </c>
      <c r="AL595" t="inlineStr">
        <is>
          <t>ANON0000000</t>
        </is>
      </c>
      <c r="AP595" t="inlineStr">
        <is>
          <t>Non Haz</t>
        </is>
      </c>
      <c r="AQ595" t="inlineStr">
        <is>
          <t>CY/CY</t>
        </is>
      </c>
      <c r="AT595" t="inlineStr">
        <is>
          <t>ALAS26000018</t>
        </is>
      </c>
      <c r="AU595" t="n">
        <v>20000</v>
      </c>
      <c r="AV595" t="inlineStr">
        <is>
          <t>GENERAL COMMODITY</t>
        </is>
      </c>
      <c r="AX595" t="inlineStr">
        <is>
          <t>MRG401671</t>
        </is>
      </c>
      <c r="AY595" t="inlineStr">
        <is>
          <t>LINE</t>
        </is>
      </c>
      <c r="AZ595" t="n">
        <v>0</v>
      </c>
      <c r="BA595" t="n">
        <v>10</v>
      </c>
      <c r="BB595" t="n">
        <v>14</v>
      </c>
      <c r="BC595" t="n">
        <v>4650</v>
      </c>
      <c r="BD595" t="inlineStr">
        <is>
          <t>Yes</t>
        </is>
      </c>
      <c r="BF595" t="inlineStr">
        <is>
          <t>PARANAVE SA</t>
        </is>
      </c>
      <c r="BG595" t="inlineStr">
        <is>
          <t>RULED</t>
        </is>
      </c>
      <c r="BH595" t="n">
        <v>1</v>
      </c>
      <c r="BI595" t="n">
        <v>0</v>
      </c>
      <c r="BJ595" t="n">
        <v>4650</v>
      </c>
      <c r="BK595" t="inlineStr">
        <is>
          <t>LINE</t>
        </is>
      </c>
      <c r="BL595" t="inlineStr">
        <is>
          <t>FOX DRY</t>
        </is>
      </c>
      <c r="BM595" t="inlineStr">
        <is>
          <t>FOX DRY</t>
        </is>
      </c>
    </row>
    <row r="596">
      <c r="A596" t="n">
        <v>595</v>
      </c>
      <c r="B596" t="inlineStr">
        <is>
          <t>BISON DRY</t>
        </is>
      </c>
      <c r="C596" t="inlineStr">
        <is>
          <t>REF000000</t>
        </is>
      </c>
      <c r="D596" t="inlineStr">
        <is>
          <t>REF000000</t>
        </is>
      </c>
      <c r="E596" t="n">
        <v>46098</v>
      </c>
      <c r="F596" t="inlineStr">
        <is>
          <t>BISON DRY</t>
        </is>
      </c>
      <c r="H596" t="inlineStr">
        <is>
          <t>AdminLSA</t>
        </is>
      </c>
      <c r="J596" t="inlineStr">
        <is>
          <t>01-APR-2026</t>
        </is>
      </c>
      <c r="K596" t="n">
        <v>46112</v>
      </c>
      <c r="L596" t="inlineStr">
        <is>
          <t>01-APR-2026</t>
        </is>
      </c>
      <c r="M596" t="inlineStr">
        <is>
          <t>REF000000</t>
        </is>
      </c>
      <c r="N596" t="inlineStr">
        <is>
          <t>USSEA</t>
        </is>
      </c>
      <c r="O596" t="inlineStr">
        <is>
          <t>USSEA</t>
        </is>
      </c>
      <c r="P596" t="inlineStr">
        <is>
          <t>CAVAN</t>
        </is>
      </c>
      <c r="Q596" t="inlineStr">
        <is>
          <t>USNFK</t>
        </is>
      </c>
      <c r="U596" t="inlineStr">
        <is>
          <t>RULED</t>
        </is>
      </c>
      <c r="V596" t="inlineStr">
        <is>
          <t>RULED</t>
        </is>
      </c>
      <c r="W596" t="inlineStr">
        <is>
          <t>UNITED STATES</t>
        </is>
      </c>
      <c r="X596" t="inlineStr">
        <is>
          <t>Latin America</t>
        </is>
      </c>
      <c r="Y596" t="inlineStr">
        <is>
          <t>RUSSIA</t>
        </is>
      </c>
      <c r="Z596" t="inlineStr">
        <is>
          <t>External Review</t>
        </is>
      </c>
      <c r="AA596" t="inlineStr">
        <is>
          <t>HUB SHIPPING LLC-LED</t>
        </is>
      </c>
      <c r="AB596" t="inlineStr">
        <is>
          <t>Collect</t>
        </is>
      </c>
      <c r="AC596" t="inlineStr">
        <is>
          <t>PAR 10001/194SB</t>
        </is>
      </c>
      <c r="AD596" t="inlineStr">
        <is>
          <t>TIGER GAUCHO / 917N</t>
        </is>
      </c>
      <c r="AE596" t="inlineStr">
        <is>
          <t>LADEN BOOKING</t>
        </is>
      </c>
      <c r="AF596" t="inlineStr">
        <is>
          <t>RenniLSA</t>
        </is>
      </c>
      <c r="AG596" t="inlineStr">
        <is>
          <t>DC20</t>
        </is>
      </c>
      <c r="AH596" t="inlineStr">
        <is>
          <t>NO</t>
        </is>
      </c>
      <c r="AI596" t="n">
        <v>20</v>
      </c>
      <c r="AJ596" t="n">
        <v>1</v>
      </c>
      <c r="AK596" t="n">
        <v>0</v>
      </c>
      <c r="AL596" t="inlineStr">
        <is>
          <t>ANON0000000</t>
        </is>
      </c>
      <c r="AP596" t="inlineStr">
        <is>
          <t>Non Haz</t>
        </is>
      </c>
      <c r="AQ596" t="inlineStr">
        <is>
          <t>CY/CY</t>
        </is>
      </c>
      <c r="AT596" t="inlineStr">
        <is>
          <t>ALAS26000019</t>
        </is>
      </c>
      <c r="AU596" t="n">
        <v>5500</v>
      </c>
      <c r="AV596" t="inlineStr">
        <is>
          <t>GENERAL COMMODITY</t>
        </is>
      </c>
      <c r="AX596" t="inlineStr">
        <is>
          <t>MRG401671</t>
        </is>
      </c>
      <c r="AY596" t="inlineStr">
        <is>
          <t>LINE</t>
        </is>
      </c>
      <c r="AZ596" t="n">
        <v>0</v>
      </c>
      <c r="BA596" t="n">
        <v>10</v>
      </c>
      <c r="BB596" t="n">
        <v>14</v>
      </c>
      <c r="BC596" t="n">
        <v>4650</v>
      </c>
      <c r="BD596" t="inlineStr">
        <is>
          <t>Yes</t>
        </is>
      </c>
      <c r="BF596" t="inlineStr">
        <is>
          <t>PARANAVE SA</t>
        </is>
      </c>
      <c r="BG596" t="inlineStr">
        <is>
          <t>RULED</t>
        </is>
      </c>
      <c r="BH596" t="n">
        <v>1</v>
      </c>
      <c r="BI596" t="n">
        <v>0</v>
      </c>
      <c r="BJ596" t="n">
        <v>4650</v>
      </c>
      <c r="BK596" t="inlineStr">
        <is>
          <t>LINE</t>
        </is>
      </c>
      <c r="BL596" t="inlineStr">
        <is>
          <t>BISON DRY</t>
        </is>
      </c>
      <c r="BM596" t="inlineStr">
        <is>
          <t>BISON DRY</t>
        </is>
      </c>
    </row>
    <row r="597">
      <c r="A597" t="n">
        <v>596</v>
      </c>
      <c r="B597" t="inlineStr">
        <is>
          <t>EAGLE DRY</t>
        </is>
      </c>
      <c r="C597" t="inlineStr">
        <is>
          <t>REF000000</t>
        </is>
      </c>
      <c r="D597" t="inlineStr">
        <is>
          <t>REF000000</t>
        </is>
      </c>
      <c r="E597" t="n">
        <v>46104</v>
      </c>
      <c r="F597" t="inlineStr">
        <is>
          <t>EAGLE DRY</t>
        </is>
      </c>
      <c r="H597" t="inlineStr">
        <is>
          <t>United States_DOC</t>
        </is>
      </c>
      <c r="J597" t="inlineStr">
        <is>
          <t>01-APR-2026</t>
        </is>
      </c>
      <c r="K597" t="n">
        <v>46112</v>
      </c>
      <c r="L597" t="inlineStr">
        <is>
          <t>01-APR-2026</t>
        </is>
      </c>
      <c r="M597" t="inlineStr">
        <is>
          <t>REF000000</t>
        </is>
      </c>
      <c r="N597" t="inlineStr">
        <is>
          <t>USSEA</t>
        </is>
      </c>
      <c r="O597" t="inlineStr">
        <is>
          <t>USSEA</t>
        </is>
      </c>
      <c r="P597" t="inlineStr">
        <is>
          <t>CAVAN</t>
        </is>
      </c>
      <c r="Q597" t="inlineStr">
        <is>
          <t>USNFK</t>
        </is>
      </c>
      <c r="U597" t="inlineStr">
        <is>
          <t>RULED</t>
        </is>
      </c>
      <c r="V597" t="inlineStr">
        <is>
          <t>RULED</t>
        </is>
      </c>
      <c r="W597" t="inlineStr">
        <is>
          <t>UNITED STATES</t>
        </is>
      </c>
      <c r="X597" t="inlineStr">
        <is>
          <t>Latin America</t>
        </is>
      </c>
      <c r="Y597" t="inlineStr">
        <is>
          <t>RUSSIA</t>
        </is>
      </c>
      <c r="Z597" t="inlineStr">
        <is>
          <t>External Review</t>
        </is>
      </c>
      <c r="AA597" t="inlineStr">
        <is>
          <t>HUB SHIPPING LLC-LED</t>
        </is>
      </c>
      <c r="AB597" t="inlineStr">
        <is>
          <t>Prepaid</t>
        </is>
      </c>
      <c r="AC597" t="inlineStr">
        <is>
          <t>PAR 10001/194SB</t>
        </is>
      </c>
      <c r="AD597" t="inlineStr">
        <is>
          <t>TIGER GAUCHO / 917N</t>
        </is>
      </c>
      <c r="AE597" t="inlineStr">
        <is>
          <t>LADEN BOOKING</t>
        </is>
      </c>
      <c r="AF597" t="inlineStr">
        <is>
          <t>United States_DOC</t>
        </is>
      </c>
      <c r="AG597" t="inlineStr">
        <is>
          <t>HC40</t>
        </is>
      </c>
      <c r="AH597" t="inlineStr">
        <is>
          <t>NO</t>
        </is>
      </c>
      <c r="AI597" t="n">
        <v>40</v>
      </c>
      <c r="AJ597" t="n">
        <v>0</v>
      </c>
      <c r="AK597" t="n">
        <v>5</v>
      </c>
      <c r="AL597" t="inlineStr">
        <is>
          <t>ANON0000000,
ANON0000000,
ANON0000000,
ANON0000000,
ANON0000000</t>
        </is>
      </c>
      <c r="AP597" t="inlineStr">
        <is>
          <t>Non Haz</t>
        </is>
      </c>
      <c r="AQ597" t="inlineStr">
        <is>
          <t>CY/CY</t>
        </is>
      </c>
      <c r="AT597" t="inlineStr">
        <is>
          <t>ALAS26000020</t>
        </is>
      </c>
      <c r="AU597" t="n">
        <v>25000</v>
      </c>
      <c r="AV597" t="inlineStr">
        <is>
          <t>PEANUT</t>
        </is>
      </c>
      <c r="AX597" t="inlineStr">
        <is>
          <t>RSLSA032600001</t>
        </is>
      </c>
      <c r="AZ597" t="n">
        <v>0</v>
      </c>
      <c r="BA597" t="n">
        <v>14</v>
      </c>
      <c r="BB597" t="n">
        <v>21</v>
      </c>
      <c r="BC597" t="n">
        <v>5000</v>
      </c>
      <c r="BD597" t="inlineStr">
        <is>
          <t>No</t>
        </is>
      </c>
      <c r="BF597" t="inlineStr">
        <is>
          <t>PARANAVE SA</t>
        </is>
      </c>
      <c r="BG597" t="inlineStr">
        <is>
          <t>USSEA</t>
        </is>
      </c>
      <c r="BH597" t="n">
        <v>0</v>
      </c>
      <c r="BI597" t="n">
        <v>5</v>
      </c>
      <c r="BJ597" t="n">
        <v>25000</v>
      </c>
      <c r="BK597" t="inlineStr">
        <is>
          <t>LINE</t>
        </is>
      </c>
      <c r="BL597" t="inlineStr">
        <is>
          <t>EAGLE DRY</t>
        </is>
      </c>
      <c r="BM597" t="inlineStr">
        <is>
          <t>EAGLE DRY</t>
        </is>
      </c>
    </row>
    <row r="598">
      <c r="A598" t="n">
        <v>597</v>
      </c>
      <c r="B598" t="inlineStr">
        <is>
          <t>COYOTE DRY</t>
        </is>
      </c>
      <c r="C598" t="inlineStr">
        <is>
          <t>REF000000</t>
        </is>
      </c>
      <c r="D598" t="inlineStr">
        <is>
          <t>REF000000</t>
        </is>
      </c>
      <c r="E598" t="n">
        <v>46106</v>
      </c>
      <c r="F598" t="inlineStr">
        <is>
          <t>COYOTE DRY</t>
        </is>
      </c>
      <c r="H598" t="inlineStr">
        <is>
          <t>AdminLSA</t>
        </is>
      </c>
      <c r="J598" t="inlineStr">
        <is>
          <t>01-APR-2026</t>
        </is>
      </c>
      <c r="K598" t="n">
        <v>46112</v>
      </c>
      <c r="L598" t="inlineStr">
        <is>
          <t>01-APR-2026</t>
        </is>
      </c>
      <c r="M598" t="inlineStr">
        <is>
          <t>REF000000</t>
        </is>
      </c>
      <c r="N598" t="inlineStr">
        <is>
          <t>USSEA</t>
        </is>
      </c>
      <c r="O598" t="inlineStr">
        <is>
          <t>USSEA</t>
        </is>
      </c>
      <c r="P598" t="inlineStr">
        <is>
          <t>CAVAN</t>
        </is>
      </c>
      <c r="Q598" t="inlineStr">
        <is>
          <t>USNFK</t>
        </is>
      </c>
      <c r="U598" t="inlineStr">
        <is>
          <t>RULED</t>
        </is>
      </c>
      <c r="V598" t="inlineStr">
        <is>
          <t>RULED</t>
        </is>
      </c>
      <c r="W598" t="inlineStr">
        <is>
          <t>UNITED STATES</t>
        </is>
      </c>
      <c r="X598" t="inlineStr">
        <is>
          <t>Latin America</t>
        </is>
      </c>
      <c r="Y598" t="inlineStr">
        <is>
          <t>RUSSIA</t>
        </is>
      </c>
      <c r="Z598" t="inlineStr">
        <is>
          <t>External Review</t>
        </is>
      </c>
      <c r="AA598" t="inlineStr">
        <is>
          <t>HUB SHIPPING LLC-LED</t>
        </is>
      </c>
      <c r="AB598" t="inlineStr">
        <is>
          <t>Collect</t>
        </is>
      </c>
      <c r="AC598" t="inlineStr">
        <is>
          <t>PAR 10001/194SB</t>
        </is>
      </c>
      <c r="AD598" t="inlineStr">
        <is>
          <t>TIGER GAUCHO / 917N</t>
        </is>
      </c>
      <c r="AE598" t="inlineStr">
        <is>
          <t>LADEN BOOKING</t>
        </is>
      </c>
      <c r="AF598" t="inlineStr">
        <is>
          <t>RenniLSA</t>
        </is>
      </c>
      <c r="AG598" t="inlineStr">
        <is>
          <t>HC40</t>
        </is>
      </c>
      <c r="AH598" t="inlineStr">
        <is>
          <t>NO</t>
        </is>
      </c>
      <c r="AI598" t="n">
        <v>40</v>
      </c>
      <c r="AJ598" t="n">
        <v>0</v>
      </c>
      <c r="AK598" t="n">
        <v>2</v>
      </c>
      <c r="AL598" t="inlineStr">
        <is>
          <t>ANON0000000,
ANON0000000</t>
        </is>
      </c>
      <c r="AP598" t="inlineStr">
        <is>
          <t>Non Haz</t>
        </is>
      </c>
      <c r="AQ598" t="inlineStr">
        <is>
          <t>CY/CY</t>
        </is>
      </c>
      <c r="AT598" t="inlineStr">
        <is>
          <t>ALAS26000023</t>
        </is>
      </c>
      <c r="AU598" t="n">
        <v>26000</v>
      </c>
      <c r="AV598" t="inlineStr">
        <is>
          <t>GENERAL COMMODITY</t>
        </is>
      </c>
      <c r="AX598" t="inlineStr">
        <is>
          <t>MRG422759</t>
        </is>
      </c>
      <c r="AY598" t="inlineStr">
        <is>
          <t>LINE</t>
        </is>
      </c>
      <c r="AZ598" t="n">
        <v>0</v>
      </c>
      <c r="BA598" t="n">
        <v>10</v>
      </c>
      <c r="BB598" t="n">
        <v>14</v>
      </c>
      <c r="BC598" t="n">
        <v>7450</v>
      </c>
      <c r="BD598" t="inlineStr">
        <is>
          <t>Yes</t>
        </is>
      </c>
      <c r="BF598" t="inlineStr">
        <is>
          <t>PARANAVE SA</t>
        </is>
      </c>
      <c r="BG598" t="inlineStr">
        <is>
          <t>RULED</t>
        </is>
      </c>
      <c r="BH598" t="n">
        <v>0</v>
      </c>
      <c r="BI598" t="n">
        <v>2</v>
      </c>
      <c r="BJ598" t="n">
        <v>14900</v>
      </c>
      <c r="BK598" t="inlineStr">
        <is>
          <t>LINE</t>
        </is>
      </c>
      <c r="BL598" t="inlineStr">
        <is>
          <t>COYOTE DRY</t>
        </is>
      </c>
      <c r="BM598" t="inlineStr">
        <is>
          <t>COYOTE DRY</t>
        </is>
      </c>
    </row>
    <row r="599">
      <c r="A599" t="n">
        <v>598</v>
      </c>
      <c r="B599" t="inlineStr">
        <is>
          <t>ORCA REEFER</t>
        </is>
      </c>
      <c r="C599" t="inlineStr">
        <is>
          <t>REF000000</t>
        </is>
      </c>
      <c r="D599" t="inlineStr">
        <is>
          <t>REF000000</t>
        </is>
      </c>
      <c r="E599" t="n">
        <v>46107</v>
      </c>
      <c r="F599" t="inlineStr">
        <is>
          <t>ORCA REEFER</t>
        </is>
      </c>
      <c r="G599" t="inlineStr">
        <is>
          <t>-18 frozen meat</t>
        </is>
      </c>
      <c r="H599" t="inlineStr">
        <is>
          <t>United States_DOC</t>
        </is>
      </c>
      <c r="J599" t="inlineStr">
        <is>
          <t>05-APR-2026</t>
        </is>
      </c>
      <c r="K599" t="inlineStr">
        <is>
          <t>04-APR-2026</t>
        </is>
      </c>
      <c r="L599" t="inlineStr">
        <is>
          <t>05-APR-2026</t>
        </is>
      </c>
      <c r="M599" t="inlineStr">
        <is>
          <t>REF000000</t>
        </is>
      </c>
      <c r="N599" t="inlineStr">
        <is>
          <t>USSEA</t>
        </is>
      </c>
      <c r="O599" t="inlineStr">
        <is>
          <t>USSEA</t>
        </is>
      </c>
      <c r="P599" t="inlineStr">
        <is>
          <t>CAVAN</t>
        </is>
      </c>
      <c r="Q599" t="inlineStr">
        <is>
          <t>USNFK</t>
        </is>
      </c>
      <c r="U599" t="inlineStr">
        <is>
          <t>RULED</t>
        </is>
      </c>
      <c r="V599" t="inlineStr">
        <is>
          <t>RULED</t>
        </is>
      </c>
      <c r="W599" t="inlineStr">
        <is>
          <t>UNITED STATES</t>
        </is>
      </c>
      <c r="X599" t="inlineStr">
        <is>
          <t>Latin America</t>
        </is>
      </c>
      <c r="Y599" t="inlineStr">
        <is>
          <t>RUSSIA</t>
        </is>
      </c>
      <c r="Z599" t="inlineStr">
        <is>
          <t>External Review</t>
        </is>
      </c>
      <c r="AA599" t="inlineStr">
        <is>
          <t>HUB SHIPPING LLC-LED</t>
        </is>
      </c>
      <c r="AB599" t="inlineStr">
        <is>
          <t>Prepaid</t>
        </is>
      </c>
      <c r="AC599" t="inlineStr">
        <is>
          <t>PAR 10002/201SB</t>
        </is>
      </c>
      <c r="AD599" t="inlineStr">
        <is>
          <t>TIGER GAUCHO / 917N</t>
        </is>
      </c>
      <c r="AE599" t="inlineStr">
        <is>
          <t>LADEN BOOKING</t>
        </is>
      </c>
      <c r="AF599" t="inlineStr">
        <is>
          <t>United States_DOC</t>
        </is>
      </c>
      <c r="AG599" t="inlineStr">
        <is>
          <t>RH40</t>
        </is>
      </c>
      <c r="AH599" t="inlineStr">
        <is>
          <t>NO</t>
        </is>
      </c>
      <c r="AI599" t="n">
        <v>40</v>
      </c>
      <c r="AJ599" t="n">
        <v>0</v>
      </c>
      <c r="AK599" t="n">
        <v>1</v>
      </c>
      <c r="AL599" t="inlineStr">
        <is>
          <t>ANON0000000</t>
        </is>
      </c>
      <c r="AM599" t="n">
        <v>-18</v>
      </c>
      <c r="AP599" t="inlineStr">
        <is>
          <t>Non Haz</t>
        </is>
      </c>
      <c r="AQ599" t="inlineStr">
        <is>
          <t>CY/CY</t>
        </is>
      </c>
      <c r="AT599" t="inlineStr">
        <is>
          <t>ALAS26000021</t>
        </is>
      </c>
      <c r="AU599" t="n">
        <v>25000</v>
      </c>
      <c r="AV599" t="inlineStr">
        <is>
          <t>FROZEN MEAT</t>
        </is>
      </c>
      <c r="AX599" t="inlineStr">
        <is>
          <t>RSLSA032600002</t>
        </is>
      </c>
      <c r="AZ599" t="n">
        <v>0</v>
      </c>
      <c r="BA599" t="n">
        <v>7</v>
      </c>
      <c r="BB599" t="n">
        <v>7</v>
      </c>
      <c r="BC599" t="n">
        <v>9000</v>
      </c>
      <c r="BD599" t="inlineStr">
        <is>
          <t>No</t>
        </is>
      </c>
      <c r="BF599" t="inlineStr">
        <is>
          <t>PARANAVE SA</t>
        </is>
      </c>
      <c r="BG599" t="inlineStr">
        <is>
          <t>USSEA</t>
        </is>
      </c>
      <c r="BH599" t="n">
        <v>0</v>
      </c>
      <c r="BI599" t="n">
        <v>1</v>
      </c>
      <c r="BJ599" t="n">
        <v>9000</v>
      </c>
      <c r="BK599" t="inlineStr">
        <is>
          <t>LINE</t>
        </is>
      </c>
      <c r="BL599" t="inlineStr">
        <is>
          <t>ORCA REEFER</t>
        </is>
      </c>
      <c r="BM599" t="inlineStr">
        <is>
          <t>ORCA REEFER</t>
        </is>
      </c>
    </row>
    <row r="600">
      <c r="A600" t="n">
        <v>599</v>
      </c>
      <c r="B600" t="inlineStr">
        <is>
          <t>WHALE REEFER</t>
        </is>
      </c>
      <c r="C600" t="inlineStr">
        <is>
          <t>REF000000</t>
        </is>
      </c>
      <c r="D600" t="inlineStr">
        <is>
          <t>REF000000</t>
        </is>
      </c>
      <c r="E600" t="n">
        <v>46108</v>
      </c>
      <c r="F600" t="inlineStr">
        <is>
          <t>WHALE REEFER</t>
        </is>
      </c>
      <c r="G600" t="inlineStr">
        <is>
          <t>-18 frozen meat</t>
        </is>
      </c>
      <c r="H600" t="inlineStr">
        <is>
          <t>United States_DOC</t>
        </is>
      </c>
      <c r="J600" t="inlineStr">
        <is>
          <t>05-APR-2026</t>
        </is>
      </c>
      <c r="K600" t="inlineStr">
        <is>
          <t>04-APR-2026</t>
        </is>
      </c>
      <c r="L600" t="inlineStr">
        <is>
          <t>05-APR-2026</t>
        </is>
      </c>
      <c r="M600" t="inlineStr">
        <is>
          <t>REF000000</t>
        </is>
      </c>
      <c r="N600" t="inlineStr">
        <is>
          <t>USSEA</t>
        </is>
      </c>
      <c r="O600" t="inlineStr">
        <is>
          <t>USSEA</t>
        </is>
      </c>
      <c r="P600" t="inlineStr">
        <is>
          <t>CAVAN</t>
        </is>
      </c>
      <c r="Q600" t="inlineStr">
        <is>
          <t>USNFK</t>
        </is>
      </c>
      <c r="U600" t="inlineStr">
        <is>
          <t>RULED</t>
        </is>
      </c>
      <c r="V600" t="inlineStr">
        <is>
          <t>RULED</t>
        </is>
      </c>
      <c r="W600" t="inlineStr">
        <is>
          <t>UNITED STATES</t>
        </is>
      </c>
      <c r="X600" t="inlineStr">
        <is>
          <t>Latin America</t>
        </is>
      </c>
      <c r="Y600" t="inlineStr">
        <is>
          <t>RUSSIA</t>
        </is>
      </c>
      <c r="Z600" t="inlineStr">
        <is>
          <t>External Review</t>
        </is>
      </c>
      <c r="AA600" t="inlineStr">
        <is>
          <t>HUB SHIPPING LLC-LED</t>
        </is>
      </c>
      <c r="AB600" t="inlineStr">
        <is>
          <t>Prepaid</t>
        </is>
      </c>
      <c r="AC600" t="inlineStr">
        <is>
          <t>PAR 10002/201SB</t>
        </is>
      </c>
      <c r="AD600" t="inlineStr">
        <is>
          <t>TIGER GAUCHO / 917N</t>
        </is>
      </c>
      <c r="AE600" t="inlineStr">
        <is>
          <t>LADEN BOOKING</t>
        </is>
      </c>
      <c r="AF600" t="inlineStr">
        <is>
          <t>United States_DOC</t>
        </is>
      </c>
      <c r="AG600" t="inlineStr">
        <is>
          <t>RH40</t>
        </is>
      </c>
      <c r="AH600" t="inlineStr">
        <is>
          <t>NO</t>
        </is>
      </c>
      <c r="AI600" t="n">
        <v>40</v>
      </c>
      <c r="AJ600" t="n">
        <v>0</v>
      </c>
      <c r="AK600" t="n">
        <v>1</v>
      </c>
      <c r="AL600" t="inlineStr">
        <is>
          <t>ANON0000000</t>
        </is>
      </c>
      <c r="AM600" t="n">
        <v>-18</v>
      </c>
      <c r="AP600" t="inlineStr">
        <is>
          <t>Non Haz</t>
        </is>
      </c>
      <c r="AQ600" t="inlineStr">
        <is>
          <t>CY/CY</t>
        </is>
      </c>
      <c r="AT600" t="inlineStr">
        <is>
          <t>ALAS26000022</t>
        </is>
      </c>
      <c r="AU600" t="n">
        <v>25000</v>
      </c>
      <c r="AV600" t="inlineStr">
        <is>
          <t>FROZEN MEAT</t>
        </is>
      </c>
      <c r="AX600" t="inlineStr">
        <is>
          <t>RSLSA032600002</t>
        </is>
      </c>
      <c r="AZ600" t="n">
        <v>0</v>
      </c>
      <c r="BA600" t="n">
        <v>7</v>
      </c>
      <c r="BB600" t="n">
        <v>7</v>
      </c>
      <c r="BC600" t="n">
        <v>9000</v>
      </c>
      <c r="BD600" t="inlineStr">
        <is>
          <t>No</t>
        </is>
      </c>
      <c r="BF600" t="inlineStr">
        <is>
          <t>PARANAVE SA</t>
        </is>
      </c>
      <c r="BG600" t="inlineStr">
        <is>
          <t>USSEA</t>
        </is>
      </c>
      <c r="BH600" t="n">
        <v>0</v>
      </c>
      <c r="BI600" t="n">
        <v>1</v>
      </c>
      <c r="BJ600" t="n">
        <v>9000</v>
      </c>
      <c r="BK600" t="inlineStr">
        <is>
          <t>LINE</t>
        </is>
      </c>
      <c r="BL600" t="inlineStr">
        <is>
          <t>WHALE REEFER</t>
        </is>
      </c>
      <c r="BM600" t="inlineStr">
        <is>
          <t>WHALE REEFER</t>
        </is>
      </c>
    </row>
    <row r="601">
      <c r="A601" t="n">
        <v>600</v>
      </c>
      <c r="B601" t="inlineStr">
        <is>
          <t>DEER DRY</t>
        </is>
      </c>
      <c r="C601" t="inlineStr">
        <is>
          <t>REF000000</t>
        </is>
      </c>
      <c r="D601" t="inlineStr">
        <is>
          <t>REF000000</t>
        </is>
      </c>
      <c r="E601" t="inlineStr">
        <is>
          <t>14-APR-2026</t>
        </is>
      </c>
      <c r="F601" t="inlineStr">
        <is>
          <t>DEER DRY</t>
        </is>
      </c>
      <c r="H601" t="inlineStr">
        <is>
          <t>AdminLSA</t>
        </is>
      </c>
      <c r="J601" t="inlineStr">
        <is>
          <t>26-APR-2026</t>
        </is>
      </c>
      <c r="K601" t="inlineStr">
        <is>
          <t>26-APR-2026</t>
        </is>
      </c>
      <c r="M601" t="inlineStr">
        <is>
          <t>REF000000</t>
        </is>
      </c>
      <c r="N601" t="inlineStr">
        <is>
          <t>USSEA</t>
        </is>
      </c>
      <c r="O601" t="inlineStr">
        <is>
          <t>USSEA</t>
        </is>
      </c>
      <c r="P601" t="inlineStr">
        <is>
          <t>CAVAN</t>
        </is>
      </c>
      <c r="Q601" t="inlineStr">
        <is>
          <t>USNFK</t>
        </is>
      </c>
      <c r="U601" t="inlineStr">
        <is>
          <t>RULED</t>
        </is>
      </c>
      <c r="V601" t="inlineStr">
        <is>
          <t>RULED</t>
        </is>
      </c>
      <c r="W601" t="inlineStr">
        <is>
          <t>UNITED STATES</t>
        </is>
      </c>
      <c r="X601" t="inlineStr">
        <is>
          <t>Latin America</t>
        </is>
      </c>
      <c r="Y601" t="inlineStr">
        <is>
          <t>RUSSIA</t>
        </is>
      </c>
      <c r="Z601" t="inlineStr">
        <is>
          <t>External Review</t>
        </is>
      </c>
      <c r="AA601" t="inlineStr">
        <is>
          <t>HUB SHIPPING LLC-LED</t>
        </is>
      </c>
      <c r="AB601" t="inlineStr">
        <is>
          <t>Collect</t>
        </is>
      </c>
      <c r="AC601" t="inlineStr">
        <is>
          <t>PAR 10001/195SB</t>
        </is>
      </c>
      <c r="AE601" t="inlineStr">
        <is>
          <t>LADEN BOOKING</t>
        </is>
      </c>
      <c r="AF601" t="inlineStr">
        <is>
          <t>RenniLSA</t>
        </is>
      </c>
      <c r="AG601" t="inlineStr">
        <is>
          <t>DC20</t>
        </is>
      </c>
      <c r="AH601" t="inlineStr">
        <is>
          <t>NO</t>
        </is>
      </c>
      <c r="AI601" t="n">
        <v>20</v>
      </c>
      <c r="AJ601" t="n">
        <v>1</v>
      </c>
      <c r="AK601" t="n">
        <v>0</v>
      </c>
      <c r="AP601" t="inlineStr">
        <is>
          <t>Non Haz</t>
        </is>
      </c>
      <c r="AQ601" t="inlineStr">
        <is>
          <t>CY/CY</t>
        </is>
      </c>
      <c r="AU601" t="n">
        <v>26000</v>
      </c>
      <c r="AV601" t="inlineStr">
        <is>
          <t>GENERAL COMMODITY</t>
        </is>
      </c>
      <c r="AX601" t="inlineStr">
        <is>
          <t>MRG422783</t>
        </is>
      </c>
      <c r="AY601" t="inlineStr">
        <is>
          <t>LINE</t>
        </is>
      </c>
      <c r="AZ601" t="n">
        <v>0</v>
      </c>
      <c r="BA601" t="n">
        <v>10</v>
      </c>
      <c r="BB601" t="n">
        <v>14</v>
      </c>
      <c r="BC601" t="n">
        <v>4850</v>
      </c>
      <c r="BD601" t="inlineStr">
        <is>
          <t>Yes</t>
        </is>
      </c>
      <c r="BG601" t="inlineStr">
        <is>
          <t>RULED</t>
        </is>
      </c>
      <c r="BH601" t="n">
        <v>0</v>
      </c>
      <c r="BI601" t="n">
        <v>0</v>
      </c>
      <c r="BJ601" t="inlineStr">
        <is>
          <t xml:space="preserve"> 0</t>
        </is>
      </c>
      <c r="BK601" t="inlineStr">
        <is>
          <t>LINE</t>
        </is>
      </c>
      <c r="BL601" t="inlineStr">
        <is>
          <t>DEER DRY</t>
        </is>
      </c>
      <c r="BM601" t="inlineStr">
        <is>
          <t>DEER DRY</t>
        </is>
      </c>
    </row>
    <row r="602">
      <c r="A602" t="n">
        <v>601</v>
      </c>
      <c r="B602" t="inlineStr">
        <is>
          <t>SHARK REEFER</t>
        </is>
      </c>
      <c r="C602" t="inlineStr">
        <is>
          <t>REF000000</t>
        </is>
      </c>
      <c r="D602" t="inlineStr">
        <is>
          <t>REF000000</t>
        </is>
      </c>
      <c r="E602" t="inlineStr">
        <is>
          <t>04-DEC-2025</t>
        </is>
      </c>
      <c r="F602" t="inlineStr">
        <is>
          <t>SHARK REEFER</t>
        </is>
      </c>
      <c r="G602" t="inlineStr">
        <is>
          <t>-18 celsius</t>
        </is>
      </c>
      <c r="H602" t="inlineStr">
        <is>
          <t>DOC_MEXICO</t>
        </is>
      </c>
      <c r="J602" t="n">
        <v>46024</v>
      </c>
      <c r="K602" t="n">
        <v>46024</v>
      </c>
      <c r="L602" t="n">
        <v>46024</v>
      </c>
      <c r="M602" t="inlineStr">
        <is>
          <t>REF000000</t>
        </is>
      </c>
      <c r="N602" t="inlineStr">
        <is>
          <t>CAVAN</t>
        </is>
      </c>
      <c r="O602" t="inlineStr">
        <is>
          <t>CAVAN</t>
        </is>
      </c>
      <c r="P602" t="inlineStr">
        <is>
          <t>USNFK</t>
        </is>
      </c>
      <c r="U602" t="inlineStr">
        <is>
          <t>RULED</t>
        </is>
      </c>
      <c r="V602" t="inlineStr">
        <is>
          <t>RULED</t>
        </is>
      </c>
      <c r="W602" t="inlineStr">
        <is>
          <t>MEXICO</t>
        </is>
      </c>
      <c r="X602" t="inlineStr">
        <is>
          <t>Latin America</t>
        </is>
      </c>
      <c r="Y602" t="inlineStr">
        <is>
          <t>RUSSIA</t>
        </is>
      </c>
      <c r="Z602" t="inlineStr">
        <is>
          <t>External Review</t>
        </is>
      </c>
      <c r="AA602" t="inlineStr">
        <is>
          <t>HUB SHIPPING LLC-LED</t>
        </is>
      </c>
      <c r="AB602" t="inlineStr">
        <is>
          <t>Prepaid</t>
        </is>
      </c>
      <c r="AC602" t="inlineStr">
        <is>
          <t>TIGER GAUCHO/902N</t>
        </is>
      </c>
      <c r="AD602" t="inlineStr">
        <is>
          <t>MERCURY / 25016E</t>
        </is>
      </c>
      <c r="AE602" t="inlineStr">
        <is>
          <t>LADEN BOOKING</t>
        </is>
      </c>
      <c r="AF602" t="inlineStr">
        <is>
          <t>DOC_MEXICO</t>
        </is>
      </c>
      <c r="AG602" t="inlineStr">
        <is>
          <t>RH40</t>
        </is>
      </c>
      <c r="AH602" t="inlineStr">
        <is>
          <t>NO</t>
        </is>
      </c>
      <c r="AI602" t="n">
        <v>40</v>
      </c>
      <c r="AJ602" t="n">
        <v>0</v>
      </c>
      <c r="AK602" t="n">
        <v>1</v>
      </c>
      <c r="AL602" t="inlineStr">
        <is>
          <t>ANON0000000</t>
        </is>
      </c>
      <c r="AM602" t="n">
        <v>-18</v>
      </c>
      <c r="AP602" t="inlineStr">
        <is>
          <t>Non Haz</t>
        </is>
      </c>
      <c r="AQ602" t="inlineStr">
        <is>
          <t>CY/CY</t>
        </is>
      </c>
      <c r="AT602" t="inlineStr">
        <is>
          <t>ALUY25000046</t>
        </is>
      </c>
      <c r="AU602" t="n">
        <v>28000</v>
      </c>
      <c r="AV602" t="inlineStr">
        <is>
          <t>MEAT PRODUCTS</t>
        </is>
      </c>
      <c r="AW602" t="n">
        <v>20230</v>
      </c>
      <c r="AX602" t="inlineStr">
        <is>
          <t>RSCOL122500003</t>
        </is>
      </c>
      <c r="AZ602" t="n">
        <v>5</v>
      </c>
      <c r="BA602" t="n">
        <v>20</v>
      </c>
      <c r="BB602" t="n">
        <v>15</v>
      </c>
      <c r="BC602" t="n">
        <v>8000</v>
      </c>
      <c r="BD602" t="inlineStr">
        <is>
          <t>No</t>
        </is>
      </c>
      <c r="BF602" t="inlineStr">
        <is>
          <t>PARANAVE SA</t>
        </is>
      </c>
      <c r="BG602" t="inlineStr">
        <is>
          <t>CAVAN</t>
        </is>
      </c>
      <c r="BH602" t="n">
        <v>0</v>
      </c>
      <c r="BI602" t="n">
        <v>1</v>
      </c>
      <c r="BJ602" t="n">
        <v>8000</v>
      </c>
      <c r="BK602" t="inlineStr">
        <is>
          <t>LINE</t>
        </is>
      </c>
      <c r="BL602" t="inlineStr">
        <is>
          <t>SHARK REEFER</t>
        </is>
      </c>
      <c r="BM602" t="inlineStr">
        <is>
          <t>SHARK REEFER</t>
        </is>
      </c>
    </row>
    <row r="603">
      <c r="A603" t="n">
        <v>602</v>
      </c>
      <c r="B603" t="inlineStr">
        <is>
          <t>DOLPHIN REEFER</t>
        </is>
      </c>
      <c r="C603" t="inlineStr">
        <is>
          <t>REF000000</t>
        </is>
      </c>
      <c r="D603" t="inlineStr">
        <is>
          <t>REF000000</t>
        </is>
      </c>
      <c r="E603" t="inlineStr">
        <is>
          <t>12-DEC-2025</t>
        </is>
      </c>
      <c r="F603" t="inlineStr">
        <is>
          <t>DOLPHIN REEFER</t>
        </is>
      </c>
      <c r="G603" t="inlineStr">
        <is>
          <t>-18 celsius</t>
        </is>
      </c>
      <c r="H603" t="inlineStr">
        <is>
          <t>DOC_MEXICO</t>
        </is>
      </c>
      <c r="J603" t="n">
        <v>46024</v>
      </c>
      <c r="K603" t="n">
        <v>46024</v>
      </c>
      <c r="L603" t="n">
        <v>46024</v>
      </c>
      <c r="M603" t="inlineStr">
        <is>
          <t>REF000000</t>
        </is>
      </c>
      <c r="N603" t="inlineStr">
        <is>
          <t>CAVAN</t>
        </is>
      </c>
      <c r="O603" t="inlineStr">
        <is>
          <t>CAVAN</t>
        </is>
      </c>
      <c r="P603" t="inlineStr">
        <is>
          <t>USNFK</t>
        </is>
      </c>
      <c r="U603" t="inlineStr">
        <is>
          <t>RULED</t>
        </is>
      </c>
      <c r="V603" t="inlineStr">
        <is>
          <t>RULED</t>
        </is>
      </c>
      <c r="W603" t="inlineStr">
        <is>
          <t>MEXICO</t>
        </is>
      </c>
      <c r="X603" t="inlineStr">
        <is>
          <t>Latin America</t>
        </is>
      </c>
      <c r="Y603" t="inlineStr">
        <is>
          <t>RUSSIA</t>
        </is>
      </c>
      <c r="Z603" t="inlineStr">
        <is>
          <t>External Review</t>
        </is>
      </c>
      <c r="AA603" t="inlineStr">
        <is>
          <t>HUB SHIPPING LLC-LED</t>
        </is>
      </c>
      <c r="AB603" t="inlineStr">
        <is>
          <t>Prepaid</t>
        </is>
      </c>
      <c r="AC603" t="inlineStr">
        <is>
          <t>TIGER GAUCHO/902N</t>
        </is>
      </c>
      <c r="AD603" t="inlineStr">
        <is>
          <t>MERCURY / 25016E</t>
        </is>
      </c>
      <c r="AE603" t="inlineStr">
        <is>
          <t>LADEN BOOKING</t>
        </is>
      </c>
      <c r="AF603" t="inlineStr">
        <is>
          <t>DOC_MEXICO</t>
        </is>
      </c>
      <c r="AG603" t="inlineStr">
        <is>
          <t>RH40</t>
        </is>
      </c>
      <c r="AH603" t="inlineStr">
        <is>
          <t>NO</t>
        </is>
      </c>
      <c r="AI603" t="n">
        <v>40</v>
      </c>
      <c r="AJ603" t="n">
        <v>0</v>
      </c>
      <c r="AK603" t="n">
        <v>1</v>
      </c>
      <c r="AL603" t="inlineStr">
        <is>
          <t>ANON0000000</t>
        </is>
      </c>
      <c r="AM603" t="n">
        <v>-18</v>
      </c>
      <c r="AP603" t="inlineStr">
        <is>
          <t>Non Haz</t>
        </is>
      </c>
      <c r="AQ603" t="inlineStr">
        <is>
          <t>CY/CY</t>
        </is>
      </c>
      <c r="AT603" t="inlineStr">
        <is>
          <t>ALUY25000045</t>
        </is>
      </c>
      <c r="AU603" t="n">
        <v>28000</v>
      </c>
      <c r="AV603" t="inlineStr">
        <is>
          <t>MEAT PRODUCTS</t>
        </is>
      </c>
      <c r="AW603" t="n">
        <v>20230</v>
      </c>
      <c r="AX603" t="inlineStr">
        <is>
          <t>RSCOL122500003</t>
        </is>
      </c>
      <c r="AZ603" t="n">
        <v>5</v>
      </c>
      <c r="BA603" t="n">
        <v>20</v>
      </c>
      <c r="BB603" t="n">
        <v>15</v>
      </c>
      <c r="BC603" t="n">
        <v>8000</v>
      </c>
      <c r="BD603" t="inlineStr">
        <is>
          <t>No</t>
        </is>
      </c>
      <c r="BF603" t="inlineStr">
        <is>
          <t>PARANAVE SA</t>
        </is>
      </c>
      <c r="BG603" t="inlineStr">
        <is>
          <t>CAVAN</t>
        </is>
      </c>
      <c r="BH603" t="n">
        <v>0</v>
      </c>
      <c r="BI603" t="n">
        <v>1</v>
      </c>
      <c r="BJ603" t="n">
        <v>8000</v>
      </c>
      <c r="BK603" t="inlineStr">
        <is>
          <t>LINE</t>
        </is>
      </c>
      <c r="BL603" t="inlineStr">
        <is>
          <t>DOLPHIN REEFER</t>
        </is>
      </c>
      <c r="BM603" t="inlineStr">
        <is>
          <t>DOLPHIN REEFER</t>
        </is>
      </c>
    </row>
    <row r="604">
      <c r="A604" t="n">
        <v>603</v>
      </c>
      <c r="B604" t="inlineStr">
        <is>
          <t>MARLIN REEFER</t>
        </is>
      </c>
      <c r="C604" t="inlineStr">
        <is>
          <t>REF000000</t>
        </is>
      </c>
      <c r="D604" t="inlineStr">
        <is>
          <t>REF000000</t>
        </is>
      </c>
      <c r="E604" t="inlineStr">
        <is>
          <t>12-DEC-2025</t>
        </is>
      </c>
      <c r="F604" t="inlineStr">
        <is>
          <t>MARLIN REEFER</t>
        </is>
      </c>
      <c r="G604" t="inlineStr">
        <is>
          <t>-18 celsius</t>
        </is>
      </c>
      <c r="H604" t="inlineStr">
        <is>
          <t>DOC_MEXICO</t>
        </is>
      </c>
      <c r="J604" t="n">
        <v>46024</v>
      </c>
      <c r="K604" t="n">
        <v>46024</v>
      </c>
      <c r="L604" t="n">
        <v>46024</v>
      </c>
      <c r="M604" t="inlineStr">
        <is>
          <t>REF000000</t>
        </is>
      </c>
      <c r="N604" t="inlineStr">
        <is>
          <t>CAVAN</t>
        </is>
      </c>
      <c r="O604" t="inlineStr">
        <is>
          <t>CAVAN</t>
        </is>
      </c>
      <c r="P604" t="inlineStr">
        <is>
          <t>USNFK</t>
        </is>
      </c>
      <c r="U604" t="inlineStr">
        <is>
          <t>RULED</t>
        </is>
      </c>
      <c r="V604" t="inlineStr">
        <is>
          <t>RULED</t>
        </is>
      </c>
      <c r="W604" t="inlineStr">
        <is>
          <t>MEXICO</t>
        </is>
      </c>
      <c r="X604" t="inlineStr">
        <is>
          <t>Latin America</t>
        </is>
      </c>
      <c r="Y604" t="inlineStr">
        <is>
          <t>RUSSIA</t>
        </is>
      </c>
      <c r="Z604" t="inlineStr">
        <is>
          <t>External Review</t>
        </is>
      </c>
      <c r="AA604" t="inlineStr">
        <is>
          <t>HUB SHIPPING LLC-LED</t>
        </is>
      </c>
      <c r="AB604" t="inlineStr">
        <is>
          <t>Prepaid</t>
        </is>
      </c>
      <c r="AC604" t="inlineStr">
        <is>
          <t>TIGER GAUCHO/902N</t>
        </is>
      </c>
      <c r="AD604" t="inlineStr">
        <is>
          <t>MERCURY / 25016E</t>
        </is>
      </c>
      <c r="AE604" t="inlineStr">
        <is>
          <t>LADEN BOOKING</t>
        </is>
      </c>
      <c r="AF604" t="inlineStr">
        <is>
          <t>DOC_MEXICO</t>
        </is>
      </c>
      <c r="AG604" t="inlineStr">
        <is>
          <t>RH40</t>
        </is>
      </c>
      <c r="AH604" t="inlineStr">
        <is>
          <t>NO</t>
        </is>
      </c>
      <c r="AI604" t="n">
        <v>40</v>
      </c>
      <c r="AJ604" t="n">
        <v>0</v>
      </c>
      <c r="AK604" t="n">
        <v>1</v>
      </c>
      <c r="AL604" t="inlineStr">
        <is>
          <t>ANON0000000</t>
        </is>
      </c>
      <c r="AM604" t="n">
        <v>-18</v>
      </c>
      <c r="AP604" t="inlineStr">
        <is>
          <t>Non Haz</t>
        </is>
      </c>
      <c r="AQ604" t="inlineStr">
        <is>
          <t>CY/CY</t>
        </is>
      </c>
      <c r="AT604" t="inlineStr">
        <is>
          <t>ALUY25000047</t>
        </is>
      </c>
      <c r="AU604" t="n">
        <v>28000</v>
      </c>
      <c r="AV604" t="inlineStr">
        <is>
          <t>MEAT PRODUCTS</t>
        </is>
      </c>
      <c r="AW604" t="n">
        <v>20230</v>
      </c>
      <c r="AX604" t="inlineStr">
        <is>
          <t>RSCOL122500003</t>
        </is>
      </c>
      <c r="AZ604" t="n">
        <v>5</v>
      </c>
      <c r="BA604" t="n">
        <v>20</v>
      </c>
      <c r="BB604" t="n">
        <v>15</v>
      </c>
      <c r="BC604" t="n">
        <v>8000</v>
      </c>
      <c r="BD604" t="inlineStr">
        <is>
          <t>No</t>
        </is>
      </c>
      <c r="BF604" t="inlineStr">
        <is>
          <t>PARANAVE SA</t>
        </is>
      </c>
      <c r="BG604" t="inlineStr">
        <is>
          <t>CAVAN</t>
        </is>
      </c>
      <c r="BH604" t="n">
        <v>0</v>
      </c>
      <c r="BI604" t="n">
        <v>1</v>
      </c>
      <c r="BJ604" t="n">
        <v>8000</v>
      </c>
      <c r="BK604" t="inlineStr">
        <is>
          <t>LINE</t>
        </is>
      </c>
      <c r="BL604" t="inlineStr">
        <is>
          <t>MARLIN REEFER</t>
        </is>
      </c>
      <c r="BM604" t="inlineStr">
        <is>
          <t>MARLIN REEFER</t>
        </is>
      </c>
    </row>
    <row r="605">
      <c r="A605" t="n">
        <v>604</v>
      </c>
      <c r="B605" t="inlineStr">
        <is>
          <t>TURTLE REEFER</t>
        </is>
      </c>
      <c r="C605" t="inlineStr">
        <is>
          <t>REF000000</t>
        </is>
      </c>
      <c r="D605" t="inlineStr">
        <is>
          <t>REF000000</t>
        </is>
      </c>
      <c r="E605" t="inlineStr">
        <is>
          <t>12-DEC-2025</t>
        </is>
      </c>
      <c r="F605" t="inlineStr">
        <is>
          <t>TURTLE REEFER</t>
        </is>
      </c>
      <c r="G605" t="inlineStr">
        <is>
          <t>-18 celsius</t>
        </is>
      </c>
      <c r="H605" t="inlineStr">
        <is>
          <t>DOC_MEXICO</t>
        </is>
      </c>
      <c r="J605" t="n">
        <v>46024</v>
      </c>
      <c r="K605" t="n">
        <v>46024</v>
      </c>
      <c r="L605" t="n">
        <v>46024</v>
      </c>
      <c r="M605" t="inlineStr">
        <is>
          <t>REF000000</t>
        </is>
      </c>
      <c r="N605" t="inlineStr">
        <is>
          <t>CAVAN</t>
        </is>
      </c>
      <c r="O605" t="inlineStr">
        <is>
          <t>CAVAN</t>
        </is>
      </c>
      <c r="P605" t="inlineStr">
        <is>
          <t>USNFK</t>
        </is>
      </c>
      <c r="U605" t="inlineStr">
        <is>
          <t>RULED</t>
        </is>
      </c>
      <c r="V605" t="inlineStr">
        <is>
          <t>RULED</t>
        </is>
      </c>
      <c r="W605" t="inlineStr">
        <is>
          <t>MEXICO</t>
        </is>
      </c>
      <c r="X605" t="inlineStr">
        <is>
          <t>Latin America</t>
        </is>
      </c>
      <c r="Y605" t="inlineStr">
        <is>
          <t>RUSSIA</t>
        </is>
      </c>
      <c r="Z605" t="inlineStr">
        <is>
          <t>External Review</t>
        </is>
      </c>
      <c r="AA605" t="inlineStr">
        <is>
          <t>HUB SHIPPING LLC-LED</t>
        </is>
      </c>
      <c r="AB605" t="inlineStr">
        <is>
          <t>Prepaid</t>
        </is>
      </c>
      <c r="AC605" t="inlineStr">
        <is>
          <t>TIGER GAUCHO/902N</t>
        </is>
      </c>
      <c r="AD605" t="inlineStr">
        <is>
          <t>MERCURY / 25016E</t>
        </is>
      </c>
      <c r="AE605" t="inlineStr">
        <is>
          <t>LADEN BOOKING</t>
        </is>
      </c>
      <c r="AF605" t="inlineStr">
        <is>
          <t>DOC_MEXICO</t>
        </is>
      </c>
      <c r="AG605" t="inlineStr">
        <is>
          <t>RH40</t>
        </is>
      </c>
      <c r="AH605" t="inlineStr">
        <is>
          <t>NO</t>
        </is>
      </c>
      <c r="AI605" t="n">
        <v>40</v>
      </c>
      <c r="AJ605" t="n">
        <v>0</v>
      </c>
      <c r="AK605" t="n">
        <v>1</v>
      </c>
      <c r="AL605" t="inlineStr">
        <is>
          <t>ANON0000000</t>
        </is>
      </c>
      <c r="AM605" t="n">
        <v>-18</v>
      </c>
      <c r="AP605" t="inlineStr">
        <is>
          <t>Non Haz</t>
        </is>
      </c>
      <c r="AQ605" t="inlineStr">
        <is>
          <t>CY/CY</t>
        </is>
      </c>
      <c r="AT605" t="inlineStr">
        <is>
          <t>ALUY25000051</t>
        </is>
      </c>
      <c r="AU605" t="n">
        <v>28000</v>
      </c>
      <c r="AV605" t="inlineStr">
        <is>
          <t>MEAT PRODUCTS</t>
        </is>
      </c>
      <c r="AW605" t="n">
        <v>20622</v>
      </c>
      <c r="AX605" t="inlineStr">
        <is>
          <t>RSCOL122500003</t>
        </is>
      </c>
      <c r="AZ605" t="n">
        <v>5</v>
      </c>
      <c r="BA605" t="n">
        <v>20</v>
      </c>
      <c r="BB605" t="n">
        <v>15</v>
      </c>
      <c r="BC605" t="n">
        <v>8000</v>
      </c>
      <c r="BD605" t="inlineStr">
        <is>
          <t>No</t>
        </is>
      </c>
      <c r="BF605" t="inlineStr">
        <is>
          <t>PARANAVE SA</t>
        </is>
      </c>
      <c r="BG605" t="inlineStr">
        <is>
          <t>CAVAN</t>
        </is>
      </c>
      <c r="BH605" t="n">
        <v>0</v>
      </c>
      <c r="BI605" t="n">
        <v>1</v>
      </c>
      <c r="BJ605" t="n">
        <v>8000</v>
      </c>
      <c r="BK605" t="inlineStr">
        <is>
          <t>LINE</t>
        </is>
      </c>
      <c r="BL605" t="inlineStr">
        <is>
          <t>TURTLE REEFER</t>
        </is>
      </c>
      <c r="BM605" t="inlineStr">
        <is>
          <t>TURTLE REEFER</t>
        </is>
      </c>
    </row>
    <row r="606">
      <c r="A606" t="n">
        <v>605</v>
      </c>
      <c r="B606" t="inlineStr">
        <is>
          <t>FALCON DRY</t>
        </is>
      </c>
      <c r="C606" t="inlineStr">
        <is>
          <t>REF000000</t>
        </is>
      </c>
      <c r="D606" t="inlineStr">
        <is>
          <t>REF000000</t>
        </is>
      </c>
      <c r="E606" t="inlineStr">
        <is>
          <t>18-DEC-2025</t>
        </is>
      </c>
      <c r="F606" t="inlineStr">
        <is>
          <t>FALCON DRY</t>
        </is>
      </c>
      <c r="H606" t="inlineStr">
        <is>
          <t>DOC_MEXICO</t>
        </is>
      </c>
      <c r="J606" t="n">
        <v>46024</v>
      </c>
      <c r="K606" t="n">
        <v>46024</v>
      </c>
      <c r="L606" t="n">
        <v>46024</v>
      </c>
      <c r="M606" t="inlineStr">
        <is>
          <t>REF000000</t>
        </is>
      </c>
      <c r="N606" t="inlineStr">
        <is>
          <t>CAVAN</t>
        </is>
      </c>
      <c r="O606" t="inlineStr">
        <is>
          <t>CAVAN</t>
        </is>
      </c>
      <c r="P606" t="inlineStr">
        <is>
          <t>USNFK</t>
        </is>
      </c>
      <c r="U606" t="inlineStr">
        <is>
          <t>RULED</t>
        </is>
      </c>
      <c r="V606" t="inlineStr">
        <is>
          <t>RULED</t>
        </is>
      </c>
      <c r="W606" t="inlineStr">
        <is>
          <t>MEXICO</t>
        </is>
      </c>
      <c r="X606" t="inlineStr">
        <is>
          <t>Latin America</t>
        </is>
      </c>
      <c r="Y606" t="inlineStr">
        <is>
          <t>RUSSIA</t>
        </is>
      </c>
      <c r="Z606" t="inlineStr">
        <is>
          <t>External Review</t>
        </is>
      </c>
      <c r="AA606" t="inlineStr">
        <is>
          <t>HUB SHIPPING LLC-LED</t>
        </is>
      </c>
      <c r="AB606" t="inlineStr">
        <is>
          <t>Prepaid</t>
        </is>
      </c>
      <c r="AC606" t="inlineStr">
        <is>
          <t>TIGER GAUCHO/902N</t>
        </is>
      </c>
      <c r="AD606" t="inlineStr">
        <is>
          <t>MERCURY / 25016E</t>
        </is>
      </c>
      <c r="AE606" t="inlineStr">
        <is>
          <t>LADEN BOOKING</t>
        </is>
      </c>
      <c r="AF606" t="inlineStr">
        <is>
          <t>DOC_MEXICO</t>
        </is>
      </c>
      <c r="AG606" t="inlineStr">
        <is>
          <t>DC20</t>
        </is>
      </c>
      <c r="AH606" t="inlineStr">
        <is>
          <t>NO</t>
        </is>
      </c>
      <c r="AI606" t="n">
        <v>20</v>
      </c>
      <c r="AJ606" t="n">
        <v>1</v>
      </c>
      <c r="AK606" t="n">
        <v>0</v>
      </c>
      <c r="AL606" t="inlineStr">
        <is>
          <t>ANON0000000</t>
        </is>
      </c>
      <c r="AP606" t="inlineStr">
        <is>
          <t>Non Haz</t>
        </is>
      </c>
      <c r="AQ606" t="inlineStr">
        <is>
          <t>CY/CY</t>
        </is>
      </c>
      <c r="AT606" t="inlineStr">
        <is>
          <t>ALUY25000052</t>
        </is>
      </c>
      <c r="AU606" t="n">
        <v>20000</v>
      </c>
      <c r="AV606" t="inlineStr">
        <is>
          <t>GENERAL COMMODITY</t>
        </is>
      </c>
      <c r="AW606" t="n">
        <v>50400</v>
      </c>
      <c r="AX606" t="inlineStr">
        <is>
          <t>RSCOL122500004</t>
        </is>
      </c>
      <c r="AZ606" t="n">
        <v>0</v>
      </c>
      <c r="BA606" t="n">
        <v>10</v>
      </c>
      <c r="BB606" t="n">
        <v>14</v>
      </c>
      <c r="BC606" t="n">
        <v>3500</v>
      </c>
      <c r="BD606" t="inlineStr">
        <is>
          <t>No</t>
        </is>
      </c>
      <c r="BF606" t="inlineStr">
        <is>
          <t>PARANAVE SA</t>
        </is>
      </c>
      <c r="BG606" t="inlineStr">
        <is>
          <t>CAVAN</t>
        </is>
      </c>
      <c r="BH606" t="n">
        <v>1</v>
      </c>
      <c r="BI606" t="n">
        <v>0</v>
      </c>
      <c r="BJ606" t="n">
        <v>3500</v>
      </c>
      <c r="BK606" t="inlineStr">
        <is>
          <t>LINE</t>
        </is>
      </c>
      <c r="BL606" t="inlineStr">
        <is>
          <t>FALCON DRY</t>
        </is>
      </c>
      <c r="BM606" t="inlineStr">
        <is>
          <t>FALCON DRY</t>
        </is>
      </c>
    </row>
    <row r="607">
      <c r="A607" t="n">
        <v>606</v>
      </c>
      <c r="B607" t="inlineStr">
        <is>
          <t>WHALE REEFER</t>
        </is>
      </c>
      <c r="C607" t="inlineStr">
        <is>
          <t>REF000000</t>
        </is>
      </c>
      <c r="D607" t="inlineStr">
        <is>
          <t>REF000000</t>
        </is>
      </c>
      <c r="E607" t="inlineStr">
        <is>
          <t>23-DEC-2025</t>
        </is>
      </c>
      <c r="F607" t="inlineStr">
        <is>
          <t>WHALE REEFER</t>
        </is>
      </c>
      <c r="G607" t="inlineStr">
        <is>
          <t>-18 celsius</t>
        </is>
      </c>
      <c r="H607" t="inlineStr">
        <is>
          <t>DOC_MEXICO</t>
        </is>
      </c>
      <c r="J607" t="n">
        <v>46024</v>
      </c>
      <c r="K607" t="n">
        <v>46024</v>
      </c>
      <c r="L607" t="n">
        <v>46024</v>
      </c>
      <c r="M607" t="inlineStr">
        <is>
          <t>REF000000</t>
        </is>
      </c>
      <c r="N607" t="inlineStr">
        <is>
          <t>CAVAN</t>
        </is>
      </c>
      <c r="O607" t="inlineStr">
        <is>
          <t>CAVAN</t>
        </is>
      </c>
      <c r="P607" t="inlineStr">
        <is>
          <t>USNFK</t>
        </is>
      </c>
      <c r="U607" t="inlineStr">
        <is>
          <t>RULED</t>
        </is>
      </c>
      <c r="V607" t="inlineStr">
        <is>
          <t>RULED</t>
        </is>
      </c>
      <c r="W607" t="inlineStr">
        <is>
          <t>MEXICO</t>
        </is>
      </c>
      <c r="X607" t="inlineStr">
        <is>
          <t>Latin America</t>
        </is>
      </c>
      <c r="Y607" t="inlineStr">
        <is>
          <t>RUSSIA</t>
        </is>
      </c>
      <c r="Z607" t="inlineStr">
        <is>
          <t>External Review</t>
        </is>
      </c>
      <c r="AA607" t="inlineStr">
        <is>
          <t>HUB SHIPPING LLC-LED</t>
        </is>
      </c>
      <c r="AB607" t="inlineStr">
        <is>
          <t>Prepaid</t>
        </is>
      </c>
      <c r="AC607" t="inlineStr">
        <is>
          <t>TIGER GAUCHO/902N</t>
        </is>
      </c>
      <c r="AD607" t="inlineStr">
        <is>
          <t>MERCURY / 25016E</t>
        </is>
      </c>
      <c r="AE607" t="inlineStr">
        <is>
          <t>LADEN BOOKING</t>
        </is>
      </c>
      <c r="AF607" t="inlineStr">
        <is>
          <t>DOC_MEXICO</t>
        </is>
      </c>
      <c r="AG607" t="inlineStr">
        <is>
          <t>RH40</t>
        </is>
      </c>
      <c r="AH607" t="inlineStr">
        <is>
          <t>NO</t>
        </is>
      </c>
      <c r="AI607" t="n">
        <v>40</v>
      </c>
      <c r="AJ607" t="n">
        <v>0</v>
      </c>
      <c r="AK607" t="n">
        <v>1</v>
      </c>
      <c r="AL607" t="inlineStr">
        <is>
          <t>ANON0000000</t>
        </is>
      </c>
      <c r="AM607" t="n">
        <v>-18</v>
      </c>
      <c r="AP607" t="inlineStr">
        <is>
          <t>Non Haz</t>
        </is>
      </c>
      <c r="AQ607" t="inlineStr">
        <is>
          <t>CY/CY</t>
        </is>
      </c>
      <c r="AT607" t="inlineStr">
        <is>
          <t>ALUY25000050</t>
        </is>
      </c>
      <c r="AU607" t="n">
        <v>28000</v>
      </c>
      <c r="AV607" t="inlineStr">
        <is>
          <t>MEAT PRODUCTS</t>
        </is>
      </c>
      <c r="AW607" t="n">
        <v>150210</v>
      </c>
      <c r="AX607" t="inlineStr">
        <is>
          <t>RSCOL122500003</t>
        </is>
      </c>
      <c r="AZ607" t="n">
        <v>5</v>
      </c>
      <c r="BA607" t="n">
        <v>20</v>
      </c>
      <c r="BB607" t="n">
        <v>15</v>
      </c>
      <c r="BC607" t="n">
        <v>8000</v>
      </c>
      <c r="BD607" t="inlineStr">
        <is>
          <t>No</t>
        </is>
      </c>
      <c r="BF607" t="inlineStr">
        <is>
          <t>PARANAVE SA</t>
        </is>
      </c>
      <c r="BG607" t="inlineStr">
        <is>
          <t>CAVAN</t>
        </is>
      </c>
      <c r="BH607" t="n">
        <v>0</v>
      </c>
      <c r="BI607" t="n">
        <v>1</v>
      </c>
      <c r="BJ607" t="n">
        <v>8000</v>
      </c>
      <c r="BK607" t="inlineStr">
        <is>
          <t>LINE</t>
        </is>
      </c>
      <c r="BL607" t="inlineStr">
        <is>
          <t>WHALE REEFER</t>
        </is>
      </c>
      <c r="BM607" t="inlineStr">
        <is>
          <t>WHALE REEFER</t>
        </is>
      </c>
    </row>
    <row r="608">
      <c r="A608" t="n">
        <v>607</v>
      </c>
      <c r="B608" t="inlineStr">
        <is>
          <t>SEAL REEFER</t>
        </is>
      </c>
      <c r="C608" t="inlineStr">
        <is>
          <t>REF000000</t>
        </is>
      </c>
      <c r="D608" t="inlineStr">
        <is>
          <t>REF000000</t>
        </is>
      </c>
      <c r="E608" t="inlineStr">
        <is>
          <t>23-DEC-2025</t>
        </is>
      </c>
      <c r="F608" t="inlineStr">
        <is>
          <t>SEAL REEFER</t>
        </is>
      </c>
      <c r="G608" t="inlineStr">
        <is>
          <t>-18 celsius</t>
        </is>
      </c>
      <c r="H608" t="inlineStr">
        <is>
          <t>DOC_MEXICO</t>
        </is>
      </c>
      <c r="J608" t="n">
        <v>46024</v>
      </c>
      <c r="K608" t="n">
        <v>46024</v>
      </c>
      <c r="L608" t="n">
        <v>46024</v>
      </c>
      <c r="M608" t="inlineStr">
        <is>
          <t>REF000000</t>
        </is>
      </c>
      <c r="N608" t="inlineStr">
        <is>
          <t>CAVAN</t>
        </is>
      </c>
      <c r="O608" t="inlineStr">
        <is>
          <t>CAVAN</t>
        </is>
      </c>
      <c r="P608" t="inlineStr">
        <is>
          <t>USNFK</t>
        </is>
      </c>
      <c r="U608" t="inlineStr">
        <is>
          <t>RULED</t>
        </is>
      </c>
      <c r="V608" t="inlineStr">
        <is>
          <t>RULED</t>
        </is>
      </c>
      <c r="W608" t="inlineStr">
        <is>
          <t>MEXICO</t>
        </is>
      </c>
      <c r="X608" t="inlineStr">
        <is>
          <t>Latin America</t>
        </is>
      </c>
      <c r="Y608" t="inlineStr">
        <is>
          <t>RUSSIA</t>
        </is>
      </c>
      <c r="Z608" t="inlineStr">
        <is>
          <t>External Review</t>
        </is>
      </c>
      <c r="AA608" t="inlineStr">
        <is>
          <t>HUB SHIPPING LLC-LED</t>
        </is>
      </c>
      <c r="AB608" t="inlineStr">
        <is>
          <t>Prepaid</t>
        </is>
      </c>
      <c r="AC608" t="inlineStr">
        <is>
          <t>TIGER GAUCHO/902N</t>
        </is>
      </c>
      <c r="AD608" t="inlineStr">
        <is>
          <t>MERCURY / 25016E</t>
        </is>
      </c>
      <c r="AE608" t="inlineStr">
        <is>
          <t>LADEN BOOKING</t>
        </is>
      </c>
      <c r="AF608" t="inlineStr">
        <is>
          <t>DOC_MEXICO</t>
        </is>
      </c>
      <c r="AG608" t="inlineStr">
        <is>
          <t>RH40</t>
        </is>
      </c>
      <c r="AH608" t="inlineStr">
        <is>
          <t>NO</t>
        </is>
      </c>
      <c r="AI608" t="n">
        <v>40</v>
      </c>
      <c r="AJ608" t="n">
        <v>0</v>
      </c>
      <c r="AK608" t="n">
        <v>1</v>
      </c>
      <c r="AL608" t="inlineStr">
        <is>
          <t>ANON0000000</t>
        </is>
      </c>
      <c r="AM608" t="n">
        <v>-18</v>
      </c>
      <c r="AP608" t="inlineStr">
        <is>
          <t>Non Haz</t>
        </is>
      </c>
      <c r="AQ608" t="inlineStr">
        <is>
          <t>CY/CY</t>
        </is>
      </c>
      <c r="AT608" t="inlineStr">
        <is>
          <t>ALUY25000053</t>
        </is>
      </c>
      <c r="AU608" t="n">
        <v>28000</v>
      </c>
      <c r="AV608" t="inlineStr">
        <is>
          <t>MEAT PRODUCTS</t>
        </is>
      </c>
      <c r="AW608" t="n">
        <v>1502</v>
      </c>
      <c r="AX608" t="inlineStr">
        <is>
          <t>RSCOL122500003</t>
        </is>
      </c>
      <c r="AZ608" t="n">
        <v>5</v>
      </c>
      <c r="BA608" t="n">
        <v>20</v>
      </c>
      <c r="BB608" t="n">
        <v>15</v>
      </c>
      <c r="BC608" t="n">
        <v>8000</v>
      </c>
      <c r="BD608" t="inlineStr">
        <is>
          <t>No</t>
        </is>
      </c>
      <c r="BF608" t="inlineStr">
        <is>
          <t>PARANAVE SA</t>
        </is>
      </c>
      <c r="BG608" t="inlineStr">
        <is>
          <t>CAVAN</t>
        </is>
      </c>
      <c r="BH608" t="n">
        <v>0</v>
      </c>
      <c r="BI608" t="n">
        <v>1</v>
      </c>
      <c r="BJ608" t="n">
        <v>8000</v>
      </c>
      <c r="BK608" t="inlineStr">
        <is>
          <t>LINE</t>
        </is>
      </c>
      <c r="BL608" t="inlineStr">
        <is>
          <t>SEAL REEFER</t>
        </is>
      </c>
      <c r="BM608" t="inlineStr">
        <is>
          <t>SEAL REEFER</t>
        </is>
      </c>
    </row>
    <row r="609">
      <c r="A609" t="n">
        <v>608</v>
      </c>
      <c r="B609" t="inlineStr">
        <is>
          <t>SHARK REEFER</t>
        </is>
      </c>
      <c r="C609" t="inlineStr">
        <is>
          <t>REF000000</t>
        </is>
      </c>
      <c r="D609" t="inlineStr">
        <is>
          <t>REF000000</t>
        </is>
      </c>
      <c r="E609" t="inlineStr">
        <is>
          <t>23-DEC-2025</t>
        </is>
      </c>
      <c r="F609" t="inlineStr">
        <is>
          <t>SHARK REEFER</t>
        </is>
      </c>
      <c r="G609" t="inlineStr">
        <is>
          <t>-18 celsius</t>
        </is>
      </c>
      <c r="H609" t="inlineStr">
        <is>
          <t>DOC_MEXICO</t>
        </is>
      </c>
      <c r="J609" t="n">
        <v>46024</v>
      </c>
      <c r="K609" t="n">
        <v>46024</v>
      </c>
      <c r="L609" t="n">
        <v>46024</v>
      </c>
      <c r="M609" t="inlineStr">
        <is>
          <t>REF000000</t>
        </is>
      </c>
      <c r="N609" t="inlineStr">
        <is>
          <t>CAVAN</t>
        </is>
      </c>
      <c r="O609" t="inlineStr">
        <is>
          <t>CAVAN</t>
        </is>
      </c>
      <c r="P609" t="inlineStr">
        <is>
          <t>USNFK</t>
        </is>
      </c>
      <c r="U609" t="inlineStr">
        <is>
          <t>RULED</t>
        </is>
      </c>
      <c r="V609" t="inlineStr">
        <is>
          <t>RULED</t>
        </is>
      </c>
      <c r="W609" t="inlineStr">
        <is>
          <t>MEXICO</t>
        </is>
      </c>
      <c r="X609" t="inlineStr">
        <is>
          <t>Latin America</t>
        </is>
      </c>
      <c r="Y609" t="inlineStr">
        <is>
          <t>RUSSIA</t>
        </is>
      </c>
      <c r="Z609" t="inlineStr">
        <is>
          <t>External Review</t>
        </is>
      </c>
      <c r="AA609" t="inlineStr">
        <is>
          <t>HUB SHIPPING LLC-LED</t>
        </is>
      </c>
      <c r="AB609" t="inlineStr">
        <is>
          <t>Prepaid</t>
        </is>
      </c>
      <c r="AC609" t="inlineStr">
        <is>
          <t>TIGER GAUCHO/902N</t>
        </is>
      </c>
      <c r="AD609" t="inlineStr">
        <is>
          <t>MERCURY / 25016E</t>
        </is>
      </c>
      <c r="AE609" t="inlineStr">
        <is>
          <t>LADEN BOOKING</t>
        </is>
      </c>
      <c r="AF609" t="inlineStr">
        <is>
          <t>DOC_MEXICO</t>
        </is>
      </c>
      <c r="AG609" t="inlineStr">
        <is>
          <t>RH40</t>
        </is>
      </c>
      <c r="AH609" t="inlineStr">
        <is>
          <t>NO</t>
        </is>
      </c>
      <c r="AI609" t="n">
        <v>40</v>
      </c>
      <c r="AJ609" t="n">
        <v>0</v>
      </c>
      <c r="AK609" t="n">
        <v>1</v>
      </c>
      <c r="AL609" t="inlineStr">
        <is>
          <t>ANON0000000</t>
        </is>
      </c>
      <c r="AM609" t="n">
        <v>-18</v>
      </c>
      <c r="AP609" t="inlineStr">
        <is>
          <t>Non Haz</t>
        </is>
      </c>
      <c r="AQ609" t="inlineStr">
        <is>
          <t>CY/CY</t>
        </is>
      </c>
      <c r="AT609" t="inlineStr">
        <is>
          <t>ALUY25000049</t>
        </is>
      </c>
      <c r="AU609" t="n">
        <v>28000</v>
      </c>
      <c r="AV609" t="inlineStr">
        <is>
          <t>MEAT PRODUCTS</t>
        </is>
      </c>
      <c r="AW609" t="n">
        <v>20629</v>
      </c>
      <c r="AX609" t="inlineStr">
        <is>
          <t>RSCOL122500003</t>
        </is>
      </c>
      <c r="AZ609" t="n">
        <v>5</v>
      </c>
      <c r="BA609" t="n">
        <v>20</v>
      </c>
      <c r="BB609" t="n">
        <v>15</v>
      </c>
      <c r="BC609" t="n">
        <v>8000</v>
      </c>
      <c r="BD609" t="inlineStr">
        <is>
          <t>No</t>
        </is>
      </c>
      <c r="BF609" t="inlineStr">
        <is>
          <t>PARANAVE SA</t>
        </is>
      </c>
      <c r="BG609" t="inlineStr">
        <is>
          <t>CAVAN</t>
        </is>
      </c>
      <c r="BH609" t="n">
        <v>0</v>
      </c>
      <c r="BI609" t="n">
        <v>1</v>
      </c>
      <c r="BJ609" t="n">
        <v>8000</v>
      </c>
      <c r="BK609" t="inlineStr">
        <is>
          <t>LINE</t>
        </is>
      </c>
      <c r="BL609" t="inlineStr">
        <is>
          <t>SHARK REEFER</t>
        </is>
      </c>
      <c r="BM609" t="inlineStr">
        <is>
          <t>SHARK REEFER</t>
        </is>
      </c>
    </row>
    <row r="610">
      <c r="A610" t="n">
        <v>609</v>
      </c>
      <c r="B610" t="inlineStr">
        <is>
          <t>DOLPHIN REEFER</t>
        </is>
      </c>
      <c r="C610" t="inlineStr">
        <is>
          <t>REF000000</t>
        </is>
      </c>
      <c r="D610" t="inlineStr">
        <is>
          <t>REF000000</t>
        </is>
      </c>
      <c r="E610" t="inlineStr">
        <is>
          <t>23-DEC-2025</t>
        </is>
      </c>
      <c r="F610" t="inlineStr">
        <is>
          <t>DOLPHIN REEFER</t>
        </is>
      </c>
      <c r="G610" t="inlineStr">
        <is>
          <t>-18 celsius</t>
        </is>
      </c>
      <c r="H610" t="inlineStr">
        <is>
          <t>DOC_MEXICO</t>
        </is>
      </c>
      <c r="J610" t="n">
        <v>46024</v>
      </c>
      <c r="K610" t="n">
        <v>46024</v>
      </c>
      <c r="L610" t="n">
        <v>46024</v>
      </c>
      <c r="M610" t="inlineStr">
        <is>
          <t>REF000000</t>
        </is>
      </c>
      <c r="N610" t="inlineStr">
        <is>
          <t>CAVAN</t>
        </is>
      </c>
      <c r="O610" t="inlineStr">
        <is>
          <t>CAVAN</t>
        </is>
      </c>
      <c r="P610" t="inlineStr">
        <is>
          <t>USNFK</t>
        </is>
      </c>
      <c r="U610" t="inlineStr">
        <is>
          <t>RULED</t>
        </is>
      </c>
      <c r="V610" t="inlineStr">
        <is>
          <t>RULED</t>
        </is>
      </c>
      <c r="W610" t="inlineStr">
        <is>
          <t>MEXICO</t>
        </is>
      </c>
      <c r="X610" t="inlineStr">
        <is>
          <t>Latin America</t>
        </is>
      </c>
      <c r="Y610" t="inlineStr">
        <is>
          <t>RUSSIA</t>
        </is>
      </c>
      <c r="Z610" t="inlineStr">
        <is>
          <t>External Review</t>
        </is>
      </c>
      <c r="AA610" t="inlineStr">
        <is>
          <t>HUB SHIPPING LLC-LED</t>
        </is>
      </c>
      <c r="AB610" t="inlineStr">
        <is>
          <t>Prepaid</t>
        </is>
      </c>
      <c r="AC610" t="inlineStr">
        <is>
          <t>TIGER GAUCHO/902N</t>
        </is>
      </c>
      <c r="AD610" t="inlineStr">
        <is>
          <t>MERCURY / 25016E</t>
        </is>
      </c>
      <c r="AE610" t="inlineStr">
        <is>
          <t>LADEN BOOKING</t>
        </is>
      </c>
      <c r="AF610" t="inlineStr">
        <is>
          <t>DOC_MEXICO</t>
        </is>
      </c>
      <c r="AG610" t="inlineStr">
        <is>
          <t>RH40</t>
        </is>
      </c>
      <c r="AH610" t="inlineStr">
        <is>
          <t>NO</t>
        </is>
      </c>
      <c r="AI610" t="n">
        <v>40</v>
      </c>
      <c r="AJ610" t="n">
        <v>0</v>
      </c>
      <c r="AK610" t="n">
        <v>1</v>
      </c>
      <c r="AL610" t="inlineStr">
        <is>
          <t>ANON0000000</t>
        </is>
      </c>
      <c r="AM610" t="n">
        <v>-18</v>
      </c>
      <c r="AP610" t="inlineStr">
        <is>
          <t>Non Haz</t>
        </is>
      </c>
      <c r="AQ610" t="inlineStr">
        <is>
          <t>CY/CY</t>
        </is>
      </c>
      <c r="AT610" t="inlineStr">
        <is>
          <t>ALUY25000048</t>
        </is>
      </c>
      <c r="AU610" t="n">
        <v>28000</v>
      </c>
      <c r="AV610" t="inlineStr">
        <is>
          <t>MEAT PRODUCTS</t>
        </is>
      </c>
      <c r="AW610" t="n">
        <v>202</v>
      </c>
      <c r="AX610" t="inlineStr">
        <is>
          <t>RSCOL122500003</t>
        </is>
      </c>
      <c r="AZ610" t="n">
        <v>5</v>
      </c>
      <c r="BA610" t="n">
        <v>20</v>
      </c>
      <c r="BB610" t="n">
        <v>15</v>
      </c>
      <c r="BC610" t="n">
        <v>8000</v>
      </c>
      <c r="BD610" t="inlineStr">
        <is>
          <t>No</t>
        </is>
      </c>
      <c r="BF610" t="inlineStr">
        <is>
          <t>PARANAVE SA</t>
        </is>
      </c>
      <c r="BG610" t="inlineStr">
        <is>
          <t>CAVAN</t>
        </is>
      </c>
      <c r="BH610" t="n">
        <v>0</v>
      </c>
      <c r="BI610" t="n">
        <v>1</v>
      </c>
      <c r="BJ610" t="n">
        <v>8000</v>
      </c>
      <c r="BK610" t="inlineStr">
        <is>
          <t>LINE</t>
        </is>
      </c>
      <c r="BL610" t="inlineStr">
        <is>
          <t>DOLPHIN REEFER</t>
        </is>
      </c>
      <c r="BM610" t="inlineStr">
        <is>
          <t>DOLPHIN REEFER</t>
        </is>
      </c>
    </row>
    <row r="611">
      <c r="A611" t="n">
        <v>610</v>
      </c>
      <c r="B611" t="inlineStr">
        <is>
          <t>MARLIN REEFER</t>
        </is>
      </c>
      <c r="C611" t="inlineStr">
        <is>
          <t>REF000000</t>
        </is>
      </c>
      <c r="D611" t="inlineStr">
        <is>
          <t>REF000000</t>
        </is>
      </c>
      <c r="E611" t="inlineStr">
        <is>
          <t>29-DEC-2025</t>
        </is>
      </c>
      <c r="F611" t="inlineStr">
        <is>
          <t>MARLIN REEFER</t>
        </is>
      </c>
      <c r="G611" t="inlineStr">
        <is>
          <t>-18 celsius</t>
        </is>
      </c>
      <c r="H611" t="inlineStr">
        <is>
          <t>DOC_MEXICO</t>
        </is>
      </c>
      <c r="J611" t="n">
        <v>46032</v>
      </c>
      <c r="K611" t="n">
        <v>46031</v>
      </c>
      <c r="L611" t="n">
        <v>46032</v>
      </c>
      <c r="M611" t="inlineStr">
        <is>
          <t>REF000000</t>
        </is>
      </c>
      <c r="N611" t="inlineStr">
        <is>
          <t>CAVAN</t>
        </is>
      </c>
      <c r="O611" t="inlineStr">
        <is>
          <t>CAVAN</t>
        </is>
      </c>
      <c r="P611" t="inlineStr">
        <is>
          <t>USNFK</t>
        </is>
      </c>
      <c r="U611" t="inlineStr">
        <is>
          <t>RULED</t>
        </is>
      </c>
      <c r="V611" t="inlineStr">
        <is>
          <t>RULED</t>
        </is>
      </c>
      <c r="W611" t="inlineStr">
        <is>
          <t>MEXICO</t>
        </is>
      </c>
      <c r="X611" t="inlineStr">
        <is>
          <t>Latin America</t>
        </is>
      </c>
      <c r="Y611" t="inlineStr">
        <is>
          <t>RUSSIA</t>
        </is>
      </c>
      <c r="Z611" t="inlineStr">
        <is>
          <t>External Review</t>
        </is>
      </c>
      <c r="AA611" t="inlineStr">
        <is>
          <t>HUB SHIPPING LLC-LED</t>
        </is>
      </c>
      <c r="AB611" t="inlineStr">
        <is>
          <t>Prepaid</t>
        </is>
      </c>
      <c r="AC611" t="inlineStr">
        <is>
          <t>TIGER GAUCHO/903N</t>
        </is>
      </c>
      <c r="AD611" t="inlineStr">
        <is>
          <t>MERCURY / 25016E</t>
        </is>
      </c>
      <c r="AE611" t="inlineStr">
        <is>
          <t>LADEN BOOKING</t>
        </is>
      </c>
      <c r="AF611" t="inlineStr">
        <is>
          <t>DOC_MEXICO</t>
        </is>
      </c>
      <c r="AG611" t="inlineStr">
        <is>
          <t>RH40</t>
        </is>
      </c>
      <c r="AH611" t="inlineStr">
        <is>
          <t>NO</t>
        </is>
      </c>
      <c r="AI611" t="n">
        <v>40</v>
      </c>
      <c r="AJ611" t="n">
        <v>0</v>
      </c>
      <c r="AK611" t="n">
        <v>1</v>
      </c>
      <c r="AL611" t="inlineStr">
        <is>
          <t>ANON0000000</t>
        </is>
      </c>
      <c r="AM611" t="n">
        <v>-18</v>
      </c>
      <c r="AP611" t="inlineStr">
        <is>
          <t>Non Haz</t>
        </is>
      </c>
      <c r="AQ611" t="inlineStr">
        <is>
          <t>CY/CY</t>
        </is>
      </c>
      <c r="AT611" t="inlineStr">
        <is>
          <t>ALUY26000001</t>
        </is>
      </c>
      <c r="AU611" t="n">
        <v>28000</v>
      </c>
      <c r="AV611" t="inlineStr">
        <is>
          <t>MEAT PRODUCTS</t>
        </is>
      </c>
      <c r="AW611" t="n">
        <v>1502</v>
      </c>
      <c r="AX611" t="inlineStr">
        <is>
          <t>RSCOL122500003</t>
        </is>
      </c>
      <c r="AZ611" t="n">
        <v>5</v>
      </c>
      <c r="BA611" t="n">
        <v>20</v>
      </c>
      <c r="BB611" t="n">
        <v>15</v>
      </c>
      <c r="BC611" t="n">
        <v>8000</v>
      </c>
      <c r="BD611" t="inlineStr">
        <is>
          <t>No</t>
        </is>
      </c>
      <c r="BF611" t="inlineStr">
        <is>
          <t>PARANAVE SA</t>
        </is>
      </c>
      <c r="BG611" t="inlineStr">
        <is>
          <t>CAVAN</t>
        </is>
      </c>
      <c r="BH611" t="n">
        <v>0</v>
      </c>
      <c r="BI611" t="n">
        <v>1</v>
      </c>
      <c r="BJ611" t="n">
        <v>8000</v>
      </c>
      <c r="BK611" t="inlineStr">
        <is>
          <t>LINE</t>
        </is>
      </c>
      <c r="BL611" t="inlineStr">
        <is>
          <t>MARLIN REEFER</t>
        </is>
      </c>
      <c r="BM611" t="inlineStr">
        <is>
          <t>MARLIN REEFER</t>
        </is>
      </c>
    </row>
    <row r="612">
      <c r="A612" t="n">
        <v>611</v>
      </c>
      <c r="B612" t="inlineStr">
        <is>
          <t>TURTLE REEFER</t>
        </is>
      </c>
      <c r="C612" t="inlineStr">
        <is>
          <t>REF000000</t>
        </is>
      </c>
      <c r="D612" t="inlineStr">
        <is>
          <t>REF000000</t>
        </is>
      </c>
      <c r="E612" t="inlineStr">
        <is>
          <t>29-DEC-2025</t>
        </is>
      </c>
      <c r="F612" t="inlineStr">
        <is>
          <t>TURTLE REEFER</t>
        </is>
      </c>
      <c r="G612" t="inlineStr">
        <is>
          <t>-18 celsius</t>
        </is>
      </c>
      <c r="H612" t="inlineStr">
        <is>
          <t>DOC_MEXICO</t>
        </is>
      </c>
      <c r="J612" t="n">
        <v>46032</v>
      </c>
      <c r="K612" t="n">
        <v>46031</v>
      </c>
      <c r="L612" t="n">
        <v>46032</v>
      </c>
      <c r="M612" t="inlineStr">
        <is>
          <t>REF000000</t>
        </is>
      </c>
      <c r="N612" t="inlineStr">
        <is>
          <t>CAVAN</t>
        </is>
      </c>
      <c r="O612" t="inlineStr">
        <is>
          <t>CAVAN</t>
        </is>
      </c>
      <c r="P612" t="inlineStr">
        <is>
          <t>USNFK</t>
        </is>
      </c>
      <c r="U612" t="inlineStr">
        <is>
          <t>RULED</t>
        </is>
      </c>
      <c r="V612" t="inlineStr">
        <is>
          <t>RULED</t>
        </is>
      </c>
      <c r="W612" t="inlineStr">
        <is>
          <t>MEXICO</t>
        </is>
      </c>
      <c r="X612" t="inlineStr">
        <is>
          <t>Latin America</t>
        </is>
      </c>
      <c r="Y612" t="inlineStr">
        <is>
          <t>RUSSIA</t>
        </is>
      </c>
      <c r="Z612" t="inlineStr">
        <is>
          <t>External Review</t>
        </is>
      </c>
      <c r="AA612" t="inlineStr">
        <is>
          <t>HUB SHIPPING LLC-LED</t>
        </is>
      </c>
      <c r="AB612" t="inlineStr">
        <is>
          <t>Prepaid</t>
        </is>
      </c>
      <c r="AC612" t="inlineStr">
        <is>
          <t>TIGER GAUCHO/903N</t>
        </is>
      </c>
      <c r="AD612" t="inlineStr">
        <is>
          <t>MERCURY / 25016E</t>
        </is>
      </c>
      <c r="AE612" t="inlineStr">
        <is>
          <t>LADEN BOOKING</t>
        </is>
      </c>
      <c r="AF612" t="inlineStr">
        <is>
          <t>DOC_MEXICO</t>
        </is>
      </c>
      <c r="AG612" t="inlineStr">
        <is>
          <t>RH40</t>
        </is>
      </c>
      <c r="AH612" t="inlineStr">
        <is>
          <t>NO</t>
        </is>
      </c>
      <c r="AI612" t="n">
        <v>40</v>
      </c>
      <c r="AJ612" t="n">
        <v>0</v>
      </c>
      <c r="AK612" t="n">
        <v>1</v>
      </c>
      <c r="AL612" t="inlineStr">
        <is>
          <t>ANON0000000</t>
        </is>
      </c>
      <c r="AM612" t="n">
        <v>-18</v>
      </c>
      <c r="AP612" t="inlineStr">
        <is>
          <t>Non Haz</t>
        </is>
      </c>
      <c r="AQ612" t="inlineStr">
        <is>
          <t>CY/CY</t>
        </is>
      </c>
      <c r="AT612" t="inlineStr">
        <is>
          <t>ALUY26000002</t>
        </is>
      </c>
      <c r="AU612" t="n">
        <v>28000</v>
      </c>
      <c r="AV612" t="inlineStr">
        <is>
          <t>MEAT PRODUCTS</t>
        </is>
      </c>
      <c r="AW612" t="n">
        <v>20622</v>
      </c>
      <c r="AX612" t="inlineStr">
        <is>
          <t>RSCOL122500003</t>
        </is>
      </c>
      <c r="AZ612" t="n">
        <v>5</v>
      </c>
      <c r="BA612" t="n">
        <v>20</v>
      </c>
      <c r="BB612" t="n">
        <v>15</v>
      </c>
      <c r="BC612" t="n">
        <v>8000</v>
      </c>
      <c r="BD612" t="inlineStr">
        <is>
          <t>No</t>
        </is>
      </c>
      <c r="BF612" t="inlineStr">
        <is>
          <t>PARANAVE SA</t>
        </is>
      </c>
      <c r="BG612" t="inlineStr">
        <is>
          <t>CAVAN</t>
        </is>
      </c>
      <c r="BH612" t="n">
        <v>0</v>
      </c>
      <c r="BI612" t="n">
        <v>1</v>
      </c>
      <c r="BJ612" t="n">
        <v>8000</v>
      </c>
      <c r="BK612" t="inlineStr">
        <is>
          <t>LINE</t>
        </is>
      </c>
      <c r="BL612" t="inlineStr">
        <is>
          <t>TURTLE REEFER</t>
        </is>
      </c>
      <c r="BM612" t="inlineStr">
        <is>
          <t>TURTLE REEFER</t>
        </is>
      </c>
    </row>
    <row r="613">
      <c r="A613" t="n">
        <v>612</v>
      </c>
      <c r="B613" t="inlineStr">
        <is>
          <t>ORCA REEFER</t>
        </is>
      </c>
      <c r="C613" t="inlineStr">
        <is>
          <t>REF000000</t>
        </is>
      </c>
      <c r="D613" t="inlineStr">
        <is>
          <t>REF000000</t>
        </is>
      </c>
      <c r="E613" t="n">
        <v>46027</v>
      </c>
      <c r="F613" t="inlineStr">
        <is>
          <t>ORCA REEFER</t>
        </is>
      </c>
      <c r="G613" t="inlineStr">
        <is>
          <t>-18 celsius</t>
        </is>
      </c>
      <c r="H613" t="inlineStr">
        <is>
          <t>DOC_MEXICO</t>
        </is>
      </c>
      <c r="J613" t="n">
        <v>46032</v>
      </c>
      <c r="K613" t="n">
        <v>46031</v>
      </c>
      <c r="L613" t="n">
        <v>46032</v>
      </c>
      <c r="M613" t="inlineStr">
        <is>
          <t>REF000000</t>
        </is>
      </c>
      <c r="N613" t="inlineStr">
        <is>
          <t>CAVAN</t>
        </is>
      </c>
      <c r="O613" t="inlineStr">
        <is>
          <t>CAVAN</t>
        </is>
      </c>
      <c r="P613" t="inlineStr">
        <is>
          <t>USNFK</t>
        </is>
      </c>
      <c r="U613" t="inlineStr">
        <is>
          <t>RULED</t>
        </is>
      </c>
      <c r="V613" t="inlineStr">
        <is>
          <t>RULED</t>
        </is>
      </c>
      <c r="W613" t="inlineStr">
        <is>
          <t>MEXICO</t>
        </is>
      </c>
      <c r="X613" t="inlineStr">
        <is>
          <t>Latin America</t>
        </is>
      </c>
      <c r="Y613" t="inlineStr">
        <is>
          <t>RUSSIA</t>
        </is>
      </c>
      <c r="Z613" t="inlineStr">
        <is>
          <t>External Review</t>
        </is>
      </c>
      <c r="AA613" t="inlineStr">
        <is>
          <t>HUB SHIPPING LLC-LED</t>
        </is>
      </c>
      <c r="AB613" t="inlineStr">
        <is>
          <t>Prepaid</t>
        </is>
      </c>
      <c r="AC613" t="inlineStr">
        <is>
          <t>TIGER GAUCHO/903N</t>
        </is>
      </c>
      <c r="AD613" t="inlineStr">
        <is>
          <t>MERCURY / 25016E</t>
        </is>
      </c>
      <c r="AE613" t="inlineStr">
        <is>
          <t>LADEN BOOKING</t>
        </is>
      </c>
      <c r="AF613" t="inlineStr">
        <is>
          <t>DOC_MEXICO</t>
        </is>
      </c>
      <c r="AG613" t="inlineStr">
        <is>
          <t>RH40</t>
        </is>
      </c>
      <c r="AH613" t="inlineStr">
        <is>
          <t>NO</t>
        </is>
      </c>
      <c r="AI613" t="n">
        <v>40</v>
      </c>
      <c r="AJ613" t="n">
        <v>0</v>
      </c>
      <c r="AK613" t="n">
        <v>1</v>
      </c>
      <c r="AL613" t="inlineStr">
        <is>
          <t>ANON0000000</t>
        </is>
      </c>
      <c r="AM613" t="n">
        <v>-18</v>
      </c>
      <c r="AP613" t="inlineStr">
        <is>
          <t>Non Haz</t>
        </is>
      </c>
      <c r="AQ613" t="inlineStr">
        <is>
          <t>CY/CY</t>
        </is>
      </c>
      <c r="AT613" t="inlineStr">
        <is>
          <t>ALUY26000006</t>
        </is>
      </c>
      <c r="AU613" t="n">
        <v>28000</v>
      </c>
      <c r="AV613" t="inlineStr">
        <is>
          <t>MEAT PRODUCTS</t>
        </is>
      </c>
      <c r="AW613" t="n">
        <v>206</v>
      </c>
      <c r="AX613" t="inlineStr">
        <is>
          <t>RSCOL122500003</t>
        </is>
      </c>
      <c r="AZ613" t="n">
        <v>5</v>
      </c>
      <c r="BA613" t="n">
        <v>20</v>
      </c>
      <c r="BB613" t="n">
        <v>15</v>
      </c>
      <c r="BC613" t="n">
        <v>8000</v>
      </c>
      <c r="BD613" t="inlineStr">
        <is>
          <t>No</t>
        </is>
      </c>
      <c r="BF613" t="inlineStr">
        <is>
          <t>PARANAVE SA</t>
        </is>
      </c>
      <c r="BG613" t="inlineStr">
        <is>
          <t>CAVAN</t>
        </is>
      </c>
      <c r="BH613" t="n">
        <v>0</v>
      </c>
      <c r="BI613" t="n">
        <v>1</v>
      </c>
      <c r="BJ613" t="n">
        <v>8000</v>
      </c>
      <c r="BK613" t="inlineStr">
        <is>
          <t>LINE</t>
        </is>
      </c>
      <c r="BL613" t="inlineStr">
        <is>
          <t>ORCA REEFER</t>
        </is>
      </c>
      <c r="BM613" t="inlineStr">
        <is>
          <t>ORCA REEFER</t>
        </is>
      </c>
    </row>
    <row r="614">
      <c r="A614" t="n">
        <v>613</v>
      </c>
      <c r="B614" t="inlineStr">
        <is>
          <t>WHALE REEFER</t>
        </is>
      </c>
      <c r="C614" t="inlineStr">
        <is>
          <t>REF000000</t>
        </is>
      </c>
      <c r="D614" t="inlineStr">
        <is>
          <t>REF000000</t>
        </is>
      </c>
      <c r="E614" t="n">
        <v>46027</v>
      </c>
      <c r="F614" t="inlineStr">
        <is>
          <t>WHALE REEFER</t>
        </is>
      </c>
      <c r="G614" t="inlineStr">
        <is>
          <t>-18 celsius</t>
        </is>
      </c>
      <c r="H614" t="inlineStr">
        <is>
          <t>DOC_MEXICO</t>
        </is>
      </c>
      <c r="J614" t="n">
        <v>46032</v>
      </c>
      <c r="K614" t="n">
        <v>46031</v>
      </c>
      <c r="L614" t="n">
        <v>46032</v>
      </c>
      <c r="M614" t="inlineStr">
        <is>
          <t>REF000000</t>
        </is>
      </c>
      <c r="N614" t="inlineStr">
        <is>
          <t>CAVAN</t>
        </is>
      </c>
      <c r="O614" t="inlineStr">
        <is>
          <t>CAVAN</t>
        </is>
      </c>
      <c r="P614" t="inlineStr">
        <is>
          <t>USNFK</t>
        </is>
      </c>
      <c r="U614" t="inlineStr">
        <is>
          <t>RULED</t>
        </is>
      </c>
      <c r="V614" t="inlineStr">
        <is>
          <t>RULED</t>
        </is>
      </c>
      <c r="W614" t="inlineStr">
        <is>
          <t>MEXICO</t>
        </is>
      </c>
      <c r="X614" t="inlineStr">
        <is>
          <t>Latin America</t>
        </is>
      </c>
      <c r="Y614" t="inlineStr">
        <is>
          <t>RUSSIA</t>
        </is>
      </c>
      <c r="Z614" t="inlineStr">
        <is>
          <t>External Review</t>
        </is>
      </c>
      <c r="AA614" t="inlineStr">
        <is>
          <t>HUB SHIPPING LLC-LED</t>
        </is>
      </c>
      <c r="AB614" t="inlineStr">
        <is>
          <t>Prepaid</t>
        </is>
      </c>
      <c r="AC614" t="inlineStr">
        <is>
          <t>TIGER GAUCHO/903N</t>
        </is>
      </c>
      <c r="AD614" t="inlineStr">
        <is>
          <t>MERCURY / 25016E</t>
        </is>
      </c>
      <c r="AE614" t="inlineStr">
        <is>
          <t>LADEN BOOKING</t>
        </is>
      </c>
      <c r="AF614" t="inlineStr">
        <is>
          <t>DOC_MEXICO</t>
        </is>
      </c>
      <c r="AG614" t="inlineStr">
        <is>
          <t>RH40</t>
        </is>
      </c>
      <c r="AH614" t="inlineStr">
        <is>
          <t>NO</t>
        </is>
      </c>
      <c r="AI614" t="n">
        <v>40</v>
      </c>
      <c r="AJ614" t="n">
        <v>0</v>
      </c>
      <c r="AK614" t="n">
        <v>1</v>
      </c>
      <c r="AL614" t="inlineStr">
        <is>
          <t>ANON0000000</t>
        </is>
      </c>
      <c r="AM614" t="n">
        <v>-18</v>
      </c>
      <c r="AP614" t="inlineStr">
        <is>
          <t>Non Haz</t>
        </is>
      </c>
      <c r="AQ614" t="inlineStr">
        <is>
          <t>CY/CY</t>
        </is>
      </c>
      <c r="AT614" t="inlineStr">
        <is>
          <t>ALUY26000004</t>
        </is>
      </c>
      <c r="AU614" t="n">
        <v>28000</v>
      </c>
      <c r="AV614" t="inlineStr">
        <is>
          <t>MEAT PRODUCTS</t>
        </is>
      </c>
      <c r="AW614" t="n">
        <v>20629</v>
      </c>
      <c r="AX614" t="inlineStr">
        <is>
          <t>RSCOL122500003</t>
        </is>
      </c>
      <c r="AZ614" t="n">
        <v>5</v>
      </c>
      <c r="BA614" t="n">
        <v>20</v>
      </c>
      <c r="BB614" t="n">
        <v>15</v>
      </c>
      <c r="BC614" t="n">
        <v>8000</v>
      </c>
      <c r="BD614" t="inlineStr">
        <is>
          <t>No</t>
        </is>
      </c>
      <c r="BF614" t="inlineStr">
        <is>
          <t>PARANAVE SA</t>
        </is>
      </c>
      <c r="BG614" t="inlineStr">
        <is>
          <t>CAVAN</t>
        </is>
      </c>
      <c r="BH614" t="n">
        <v>0</v>
      </c>
      <c r="BI614" t="n">
        <v>1</v>
      </c>
      <c r="BJ614" t="n">
        <v>8000</v>
      </c>
      <c r="BK614" t="inlineStr">
        <is>
          <t>LINE</t>
        </is>
      </c>
      <c r="BL614" t="inlineStr">
        <is>
          <t>WHALE REEFER</t>
        </is>
      </c>
      <c r="BM614" t="inlineStr">
        <is>
          <t>WHALE REEFER</t>
        </is>
      </c>
    </row>
    <row r="615">
      <c r="A615" t="n">
        <v>614</v>
      </c>
      <c r="B615" t="inlineStr">
        <is>
          <t>SEAL REEFER</t>
        </is>
      </c>
      <c r="C615" t="inlineStr">
        <is>
          <t>REF000000</t>
        </is>
      </c>
      <c r="D615" t="inlineStr">
        <is>
          <t>REF000000</t>
        </is>
      </c>
      <c r="E615" t="n">
        <v>46027</v>
      </c>
      <c r="F615" t="inlineStr">
        <is>
          <t>SEAL REEFER</t>
        </is>
      </c>
      <c r="G615" t="inlineStr">
        <is>
          <t>-18 celsius</t>
        </is>
      </c>
      <c r="H615" t="inlineStr">
        <is>
          <t>DOC_MEXICO</t>
        </is>
      </c>
      <c r="J615" t="n">
        <v>46032</v>
      </c>
      <c r="K615" t="n">
        <v>46031</v>
      </c>
      <c r="L615" t="n">
        <v>46032</v>
      </c>
      <c r="M615" t="inlineStr">
        <is>
          <t>REF000000</t>
        </is>
      </c>
      <c r="N615" t="inlineStr">
        <is>
          <t>CAVAN</t>
        </is>
      </c>
      <c r="O615" t="inlineStr">
        <is>
          <t>CAVAN</t>
        </is>
      </c>
      <c r="P615" t="inlineStr">
        <is>
          <t>USNFK</t>
        </is>
      </c>
      <c r="U615" t="inlineStr">
        <is>
          <t>RULED</t>
        </is>
      </c>
      <c r="V615" t="inlineStr">
        <is>
          <t>RULED</t>
        </is>
      </c>
      <c r="W615" t="inlineStr">
        <is>
          <t>MEXICO</t>
        </is>
      </c>
      <c r="X615" t="inlineStr">
        <is>
          <t>Latin America</t>
        </is>
      </c>
      <c r="Y615" t="inlineStr">
        <is>
          <t>RUSSIA</t>
        </is>
      </c>
      <c r="Z615" t="inlineStr">
        <is>
          <t>External Review</t>
        </is>
      </c>
      <c r="AA615" t="inlineStr">
        <is>
          <t>HUB SHIPPING LLC-LED</t>
        </is>
      </c>
      <c r="AB615" t="inlineStr">
        <is>
          <t>Prepaid</t>
        </is>
      </c>
      <c r="AC615" t="inlineStr">
        <is>
          <t>TIGER GAUCHO/903N</t>
        </is>
      </c>
      <c r="AD615" t="inlineStr">
        <is>
          <t>MERCURY / 25016E</t>
        </is>
      </c>
      <c r="AE615" t="inlineStr">
        <is>
          <t>LADEN BOOKING</t>
        </is>
      </c>
      <c r="AF615" t="inlineStr">
        <is>
          <t>DOC_MEXICO</t>
        </is>
      </c>
      <c r="AG615" t="inlineStr">
        <is>
          <t>RH40</t>
        </is>
      </c>
      <c r="AH615" t="inlineStr">
        <is>
          <t>NO</t>
        </is>
      </c>
      <c r="AI615" t="n">
        <v>40</v>
      </c>
      <c r="AJ615" t="n">
        <v>0</v>
      </c>
      <c r="AK615" t="n">
        <v>1</v>
      </c>
      <c r="AL615" t="inlineStr">
        <is>
          <t>ANON0000000</t>
        </is>
      </c>
      <c r="AM615" t="n">
        <v>-18</v>
      </c>
      <c r="AP615" t="inlineStr">
        <is>
          <t>Non Haz</t>
        </is>
      </c>
      <c r="AQ615" t="inlineStr">
        <is>
          <t>CY/CY</t>
        </is>
      </c>
      <c r="AT615" t="inlineStr">
        <is>
          <t>ALUY26000003</t>
        </is>
      </c>
      <c r="AU615" t="n">
        <v>28000</v>
      </c>
      <c r="AV615" t="inlineStr">
        <is>
          <t>MEAT PRODUCTS</t>
        </is>
      </c>
      <c r="AW615" t="n">
        <v>20629</v>
      </c>
      <c r="AX615" t="inlineStr">
        <is>
          <t>RSCOL122500003</t>
        </is>
      </c>
      <c r="AZ615" t="n">
        <v>5</v>
      </c>
      <c r="BA615" t="n">
        <v>20</v>
      </c>
      <c r="BB615" t="n">
        <v>15</v>
      </c>
      <c r="BC615" t="n">
        <v>8000</v>
      </c>
      <c r="BD615" t="inlineStr">
        <is>
          <t>No</t>
        </is>
      </c>
      <c r="BF615" t="inlineStr">
        <is>
          <t>PARANAVE SA</t>
        </is>
      </c>
      <c r="BG615" t="inlineStr">
        <is>
          <t>CAVAN</t>
        </is>
      </c>
      <c r="BH615" t="n">
        <v>0</v>
      </c>
      <c r="BI615" t="n">
        <v>1</v>
      </c>
      <c r="BJ615" t="n">
        <v>8000</v>
      </c>
      <c r="BK615" t="inlineStr">
        <is>
          <t>LINE</t>
        </is>
      </c>
      <c r="BL615" t="inlineStr">
        <is>
          <t>SEAL REEFER</t>
        </is>
      </c>
      <c r="BM615" t="inlineStr">
        <is>
          <t>SEAL REEFER</t>
        </is>
      </c>
    </row>
    <row r="616">
      <c r="A616" t="n">
        <v>615</v>
      </c>
      <c r="B616" t="inlineStr">
        <is>
          <t>SHARK REEFER</t>
        </is>
      </c>
      <c r="C616" t="inlineStr">
        <is>
          <t>REF000000</t>
        </is>
      </c>
      <c r="D616" t="inlineStr">
        <is>
          <t>REF000000</t>
        </is>
      </c>
      <c r="E616" t="n">
        <v>46027</v>
      </c>
      <c r="F616" t="inlineStr">
        <is>
          <t>SHARK REEFER</t>
        </is>
      </c>
      <c r="G616" t="inlineStr">
        <is>
          <t>-18 celsius</t>
        </is>
      </c>
      <c r="H616" t="inlineStr">
        <is>
          <t>DOC_MEXICO</t>
        </is>
      </c>
      <c r="J616" t="n">
        <v>46032</v>
      </c>
      <c r="K616" t="n">
        <v>46031</v>
      </c>
      <c r="L616" t="n">
        <v>46032</v>
      </c>
      <c r="M616" t="inlineStr">
        <is>
          <t>REF000000</t>
        </is>
      </c>
      <c r="N616" t="inlineStr">
        <is>
          <t>CAVAN</t>
        </is>
      </c>
      <c r="O616" t="inlineStr">
        <is>
          <t>CAVAN</t>
        </is>
      </c>
      <c r="P616" t="inlineStr">
        <is>
          <t>USNFK</t>
        </is>
      </c>
      <c r="U616" t="inlineStr">
        <is>
          <t>RULED</t>
        </is>
      </c>
      <c r="V616" t="inlineStr">
        <is>
          <t>RULED</t>
        </is>
      </c>
      <c r="W616" t="inlineStr">
        <is>
          <t>MEXICO</t>
        </is>
      </c>
      <c r="X616" t="inlineStr">
        <is>
          <t>Latin America</t>
        </is>
      </c>
      <c r="Y616" t="inlineStr">
        <is>
          <t>RUSSIA</t>
        </is>
      </c>
      <c r="Z616" t="inlineStr">
        <is>
          <t>External Review</t>
        </is>
      </c>
      <c r="AA616" t="inlineStr">
        <is>
          <t>HUB SHIPPING LLC-LED</t>
        </is>
      </c>
      <c r="AB616" t="inlineStr">
        <is>
          <t>Prepaid</t>
        </is>
      </c>
      <c r="AC616" t="inlineStr">
        <is>
          <t>TIGER GAUCHO/903N</t>
        </is>
      </c>
      <c r="AD616" t="inlineStr">
        <is>
          <t>MERCURY / 25016E</t>
        </is>
      </c>
      <c r="AE616" t="inlineStr">
        <is>
          <t>LADEN BOOKING</t>
        </is>
      </c>
      <c r="AF616" t="inlineStr">
        <is>
          <t>DOC_MEXICO</t>
        </is>
      </c>
      <c r="AG616" t="inlineStr">
        <is>
          <t>RH40</t>
        </is>
      </c>
      <c r="AH616" t="inlineStr">
        <is>
          <t>NO</t>
        </is>
      </c>
      <c r="AI616" t="n">
        <v>40</v>
      </c>
      <c r="AJ616" t="n">
        <v>0</v>
      </c>
      <c r="AK616" t="n">
        <v>1</v>
      </c>
      <c r="AL616" t="inlineStr">
        <is>
          <t>ANON0000000</t>
        </is>
      </c>
      <c r="AM616" t="n">
        <v>-18</v>
      </c>
      <c r="AP616" t="inlineStr">
        <is>
          <t>Non Haz</t>
        </is>
      </c>
      <c r="AQ616" t="inlineStr">
        <is>
          <t>CY/CY</t>
        </is>
      </c>
      <c r="AT616" t="inlineStr">
        <is>
          <t>ALUY26000005</t>
        </is>
      </c>
      <c r="AU616" t="n">
        <v>28000</v>
      </c>
      <c r="AV616" t="inlineStr">
        <is>
          <t>MEAT PRODUCTS</t>
        </is>
      </c>
      <c r="AW616" t="n">
        <v>150210</v>
      </c>
      <c r="AX616" t="inlineStr">
        <is>
          <t>RSCOL122500003</t>
        </is>
      </c>
      <c r="AZ616" t="n">
        <v>5</v>
      </c>
      <c r="BA616" t="n">
        <v>20</v>
      </c>
      <c r="BB616" t="n">
        <v>15</v>
      </c>
      <c r="BC616" t="n">
        <v>8000</v>
      </c>
      <c r="BD616" t="inlineStr">
        <is>
          <t>No</t>
        </is>
      </c>
      <c r="BF616" t="inlineStr">
        <is>
          <t>PARANAVE SA</t>
        </is>
      </c>
      <c r="BG616" t="inlineStr">
        <is>
          <t>CAVAN</t>
        </is>
      </c>
      <c r="BH616" t="n">
        <v>0</v>
      </c>
      <c r="BI616" t="n">
        <v>1</v>
      </c>
      <c r="BJ616" t="n">
        <v>8000</v>
      </c>
      <c r="BK616" t="inlineStr">
        <is>
          <t>LINE</t>
        </is>
      </c>
      <c r="BL616" t="inlineStr">
        <is>
          <t>SHARK REEFER</t>
        </is>
      </c>
      <c r="BM616" t="inlineStr">
        <is>
          <t>SHARK REEFER</t>
        </is>
      </c>
    </row>
    <row r="617">
      <c r="A617" t="n">
        <v>616</v>
      </c>
      <c r="B617" t="inlineStr">
        <is>
          <t>DOLPHIN REEFER</t>
        </is>
      </c>
      <c r="C617" t="inlineStr">
        <is>
          <t>REF000000</t>
        </is>
      </c>
      <c r="D617" t="inlineStr">
        <is>
          <t>REF000000</t>
        </is>
      </c>
      <c r="E617" t="n">
        <v>46029</v>
      </c>
      <c r="F617" t="inlineStr">
        <is>
          <t>DOLPHIN REEFER</t>
        </is>
      </c>
      <c r="G617" t="inlineStr">
        <is>
          <t>-18 celsius</t>
        </is>
      </c>
      <c r="H617" t="inlineStr">
        <is>
          <t>DOC_MEXICO</t>
        </is>
      </c>
      <c r="J617" t="n">
        <v>46038</v>
      </c>
      <c r="K617" t="n">
        <v>46038</v>
      </c>
      <c r="L617" t="n">
        <v>46038</v>
      </c>
      <c r="M617" t="inlineStr">
        <is>
          <t>REF000000</t>
        </is>
      </c>
      <c r="N617" t="inlineStr">
        <is>
          <t>CAVAN</t>
        </is>
      </c>
      <c r="O617" t="inlineStr">
        <is>
          <t>CAVAN</t>
        </is>
      </c>
      <c r="P617" t="inlineStr">
        <is>
          <t>USNFK</t>
        </is>
      </c>
      <c r="U617" t="inlineStr">
        <is>
          <t>RULED</t>
        </is>
      </c>
      <c r="V617" t="inlineStr">
        <is>
          <t>RULED</t>
        </is>
      </c>
      <c r="W617" t="inlineStr">
        <is>
          <t>MEXICO</t>
        </is>
      </c>
      <c r="X617" t="inlineStr">
        <is>
          <t>Latin America</t>
        </is>
      </c>
      <c r="Y617" t="inlineStr">
        <is>
          <t>RUSSIA</t>
        </is>
      </c>
      <c r="Z617" t="inlineStr">
        <is>
          <t>External Review</t>
        </is>
      </c>
      <c r="AA617" t="inlineStr">
        <is>
          <t>HUB SHIPPING LLC-LED</t>
        </is>
      </c>
      <c r="AB617" t="inlineStr">
        <is>
          <t>Prepaid</t>
        </is>
      </c>
      <c r="AC617" t="inlineStr">
        <is>
          <t>TIGER GAUCHO/904N</t>
        </is>
      </c>
      <c r="AD617" t="inlineStr">
        <is>
          <t>LI DA XING / VOYAGE 1</t>
        </is>
      </c>
      <c r="AE617" t="inlineStr">
        <is>
          <t>LADEN BOOKING</t>
        </is>
      </c>
      <c r="AF617" t="inlineStr">
        <is>
          <t>DOC_MEXICO</t>
        </is>
      </c>
      <c r="AG617" t="inlineStr">
        <is>
          <t>RH40</t>
        </is>
      </c>
      <c r="AH617" t="inlineStr">
        <is>
          <t>NO</t>
        </is>
      </c>
      <c r="AI617" t="n">
        <v>40</v>
      </c>
      <c r="AJ617" t="n">
        <v>0</v>
      </c>
      <c r="AK617" t="n">
        <v>1</v>
      </c>
      <c r="AL617" t="inlineStr">
        <is>
          <t>ANON0000000</t>
        </is>
      </c>
      <c r="AM617" t="n">
        <v>-18</v>
      </c>
      <c r="AP617" t="inlineStr">
        <is>
          <t>Non Haz</t>
        </is>
      </c>
      <c r="AQ617" t="inlineStr">
        <is>
          <t>CY/CY</t>
        </is>
      </c>
      <c r="AT617" t="inlineStr">
        <is>
          <t>ALUY26000007</t>
        </is>
      </c>
      <c r="AU617" t="n">
        <v>28000</v>
      </c>
      <c r="AV617" t="inlineStr">
        <is>
          <t>MEAT PRODUCTS</t>
        </is>
      </c>
      <c r="AW617" t="n">
        <v>20230</v>
      </c>
      <c r="AX617" t="inlineStr">
        <is>
          <t>RSCOL122500003</t>
        </is>
      </c>
      <c r="AZ617" t="n">
        <v>5</v>
      </c>
      <c r="BA617" t="n">
        <v>20</v>
      </c>
      <c r="BB617" t="n">
        <v>15</v>
      </c>
      <c r="BC617" t="n">
        <v>8000</v>
      </c>
      <c r="BD617" t="inlineStr">
        <is>
          <t>No</t>
        </is>
      </c>
      <c r="BF617" t="inlineStr">
        <is>
          <t>PARANAVE SA</t>
        </is>
      </c>
      <c r="BG617" t="inlineStr">
        <is>
          <t>CAVAN</t>
        </is>
      </c>
      <c r="BH617" t="n">
        <v>0</v>
      </c>
      <c r="BI617" t="n">
        <v>1</v>
      </c>
      <c r="BJ617" t="n">
        <v>8000</v>
      </c>
      <c r="BK617" t="inlineStr">
        <is>
          <t>LINE</t>
        </is>
      </c>
      <c r="BL617" t="inlineStr">
        <is>
          <t>DOLPHIN REEFER</t>
        </is>
      </c>
      <c r="BM617" t="inlineStr">
        <is>
          <t>DOLPHIN REEFER</t>
        </is>
      </c>
    </row>
    <row r="618">
      <c r="A618" t="n">
        <v>617</v>
      </c>
      <c r="B618" t="inlineStr">
        <is>
          <t>MARLIN REEFER</t>
        </is>
      </c>
      <c r="C618" t="inlineStr">
        <is>
          <t>REF000000</t>
        </is>
      </c>
      <c r="D618" t="inlineStr">
        <is>
          <t>REF000000</t>
        </is>
      </c>
      <c r="E618" t="n">
        <v>46029</v>
      </c>
      <c r="F618" t="inlineStr">
        <is>
          <t>MARLIN REEFER</t>
        </is>
      </c>
      <c r="G618" t="inlineStr">
        <is>
          <t>-18 celsius</t>
        </is>
      </c>
      <c r="H618" t="inlineStr">
        <is>
          <t>DOC_MEXICO</t>
        </is>
      </c>
      <c r="J618" t="n">
        <v>46038</v>
      </c>
      <c r="K618" t="n">
        <v>46038</v>
      </c>
      <c r="L618" t="n">
        <v>46038</v>
      </c>
      <c r="M618" t="inlineStr">
        <is>
          <t>REF000000</t>
        </is>
      </c>
      <c r="N618" t="inlineStr">
        <is>
          <t>CAVAN</t>
        </is>
      </c>
      <c r="O618" t="inlineStr">
        <is>
          <t>CAVAN</t>
        </is>
      </c>
      <c r="P618" t="inlineStr">
        <is>
          <t>USNFK</t>
        </is>
      </c>
      <c r="U618" t="inlineStr">
        <is>
          <t>RULED</t>
        </is>
      </c>
      <c r="V618" t="inlineStr">
        <is>
          <t>RULED</t>
        </is>
      </c>
      <c r="W618" t="inlineStr">
        <is>
          <t>MEXICO</t>
        </is>
      </c>
      <c r="X618" t="inlineStr">
        <is>
          <t>Latin America</t>
        </is>
      </c>
      <c r="Y618" t="inlineStr">
        <is>
          <t>RUSSIA</t>
        </is>
      </c>
      <c r="Z618" t="inlineStr">
        <is>
          <t>External Review</t>
        </is>
      </c>
      <c r="AA618" t="inlineStr">
        <is>
          <t>HUB SHIPPING LLC-LED</t>
        </is>
      </c>
      <c r="AB618" t="inlineStr">
        <is>
          <t>Prepaid</t>
        </is>
      </c>
      <c r="AC618" t="inlineStr">
        <is>
          <t>TIGER GAUCHO/904N</t>
        </is>
      </c>
      <c r="AD618" t="inlineStr">
        <is>
          <t>LI DA XING / VOYAGE 1</t>
        </is>
      </c>
      <c r="AE618" t="inlineStr">
        <is>
          <t>LADEN BOOKING</t>
        </is>
      </c>
      <c r="AF618" t="inlineStr">
        <is>
          <t>DOC_MEXICO</t>
        </is>
      </c>
      <c r="AG618" t="inlineStr">
        <is>
          <t>RH40</t>
        </is>
      </c>
      <c r="AH618" t="inlineStr">
        <is>
          <t>NO</t>
        </is>
      </c>
      <c r="AI618" t="n">
        <v>40</v>
      </c>
      <c r="AJ618" t="n">
        <v>0</v>
      </c>
      <c r="AK618" t="n">
        <v>1</v>
      </c>
      <c r="AL618" t="inlineStr">
        <is>
          <t>ANON0000000</t>
        </is>
      </c>
      <c r="AM618" t="n">
        <v>-18</v>
      </c>
      <c r="AP618" t="inlineStr">
        <is>
          <t>Non Haz</t>
        </is>
      </c>
      <c r="AQ618" t="inlineStr">
        <is>
          <t>CY/CY</t>
        </is>
      </c>
      <c r="AT618" t="inlineStr">
        <is>
          <t>ALUY26000009</t>
        </is>
      </c>
      <c r="AU618" t="n">
        <v>28000</v>
      </c>
      <c r="AV618" t="inlineStr">
        <is>
          <t>MEAT PRODUCTS</t>
        </is>
      </c>
      <c r="AW618" t="n">
        <v>20622</v>
      </c>
      <c r="AX618" t="inlineStr">
        <is>
          <t>RSCOL122500003</t>
        </is>
      </c>
      <c r="AZ618" t="n">
        <v>5</v>
      </c>
      <c r="BA618" t="n">
        <v>20</v>
      </c>
      <c r="BB618" t="n">
        <v>15</v>
      </c>
      <c r="BC618" t="n">
        <v>8000</v>
      </c>
      <c r="BD618" t="inlineStr">
        <is>
          <t>No</t>
        </is>
      </c>
      <c r="BF618" t="inlineStr">
        <is>
          <t>PARANAVE SA</t>
        </is>
      </c>
      <c r="BG618" t="inlineStr">
        <is>
          <t>CAVAN</t>
        </is>
      </c>
      <c r="BH618" t="n">
        <v>0</v>
      </c>
      <c r="BI618" t="n">
        <v>1</v>
      </c>
      <c r="BJ618" t="n">
        <v>8000</v>
      </c>
      <c r="BK618" t="inlineStr">
        <is>
          <t>LINE</t>
        </is>
      </c>
      <c r="BL618" t="inlineStr">
        <is>
          <t>MARLIN REEFER</t>
        </is>
      </c>
      <c r="BM618" t="inlineStr">
        <is>
          <t>MARLIN REEFER</t>
        </is>
      </c>
    </row>
    <row r="619">
      <c r="A619" t="n">
        <v>618</v>
      </c>
      <c r="B619" t="inlineStr">
        <is>
          <t>TURTLE REEFER</t>
        </is>
      </c>
      <c r="C619" t="inlineStr">
        <is>
          <t>REF000000</t>
        </is>
      </c>
      <c r="D619" t="inlineStr">
        <is>
          <t>REF000000</t>
        </is>
      </c>
      <c r="E619" t="n">
        <v>46029</v>
      </c>
      <c r="F619" t="inlineStr">
        <is>
          <t>TURTLE REEFER</t>
        </is>
      </c>
      <c r="G619" t="inlineStr">
        <is>
          <t>-18 celsius</t>
        </is>
      </c>
      <c r="H619" t="inlineStr">
        <is>
          <t>DOC_MEXICO</t>
        </is>
      </c>
      <c r="J619" t="n">
        <v>46038</v>
      </c>
      <c r="K619" t="n">
        <v>46038</v>
      </c>
      <c r="L619" t="n">
        <v>46038</v>
      </c>
      <c r="M619" t="inlineStr">
        <is>
          <t>REF000000</t>
        </is>
      </c>
      <c r="N619" t="inlineStr">
        <is>
          <t>CAVAN</t>
        </is>
      </c>
      <c r="O619" t="inlineStr">
        <is>
          <t>CAVAN</t>
        </is>
      </c>
      <c r="P619" t="inlineStr">
        <is>
          <t>USNFK</t>
        </is>
      </c>
      <c r="U619" t="inlineStr">
        <is>
          <t>RULED</t>
        </is>
      </c>
      <c r="V619" t="inlineStr">
        <is>
          <t>RULED</t>
        </is>
      </c>
      <c r="W619" t="inlineStr">
        <is>
          <t>MEXICO</t>
        </is>
      </c>
      <c r="X619" t="inlineStr">
        <is>
          <t>Latin America</t>
        </is>
      </c>
      <c r="Y619" t="inlineStr">
        <is>
          <t>RUSSIA</t>
        </is>
      </c>
      <c r="Z619" t="inlineStr">
        <is>
          <t>External Review</t>
        </is>
      </c>
      <c r="AA619" t="inlineStr">
        <is>
          <t>HUB SHIPPING LLC-LED</t>
        </is>
      </c>
      <c r="AB619" t="inlineStr">
        <is>
          <t>Prepaid</t>
        </is>
      </c>
      <c r="AC619" t="inlineStr">
        <is>
          <t>TIGER GAUCHO/904N</t>
        </is>
      </c>
      <c r="AD619" t="inlineStr">
        <is>
          <t>LI DA XING / VOYAGE 1</t>
        </is>
      </c>
      <c r="AE619" t="inlineStr">
        <is>
          <t>LADEN BOOKING</t>
        </is>
      </c>
      <c r="AF619" t="inlineStr">
        <is>
          <t>DOC_MEXICO</t>
        </is>
      </c>
      <c r="AG619" t="inlineStr">
        <is>
          <t>RH40</t>
        </is>
      </c>
      <c r="AH619" t="inlineStr">
        <is>
          <t>NO</t>
        </is>
      </c>
      <c r="AI619" t="n">
        <v>40</v>
      </c>
      <c r="AJ619" t="n">
        <v>0</v>
      </c>
      <c r="AK619" t="n">
        <v>1</v>
      </c>
      <c r="AL619" t="inlineStr">
        <is>
          <t>ANON0000000</t>
        </is>
      </c>
      <c r="AM619" t="n">
        <v>-18</v>
      </c>
      <c r="AP619" t="inlineStr">
        <is>
          <t>Non Haz</t>
        </is>
      </c>
      <c r="AQ619" t="inlineStr">
        <is>
          <t>CY/CY</t>
        </is>
      </c>
      <c r="AT619" t="inlineStr">
        <is>
          <t>ALUY26000008</t>
        </is>
      </c>
      <c r="AU619" t="n">
        <v>28000</v>
      </c>
      <c r="AV619" t="inlineStr">
        <is>
          <t>MEAT PRODUCTS</t>
        </is>
      </c>
      <c r="AW619" t="n">
        <v>20629</v>
      </c>
      <c r="AX619" t="inlineStr">
        <is>
          <t>RSCOL122500003</t>
        </is>
      </c>
      <c r="AZ619" t="n">
        <v>5</v>
      </c>
      <c r="BA619" t="n">
        <v>20</v>
      </c>
      <c r="BB619" t="n">
        <v>15</v>
      </c>
      <c r="BC619" t="n">
        <v>8000</v>
      </c>
      <c r="BD619" t="inlineStr">
        <is>
          <t>No</t>
        </is>
      </c>
      <c r="BF619" t="inlineStr">
        <is>
          <t>PARANAVE SA</t>
        </is>
      </c>
      <c r="BG619" t="inlineStr">
        <is>
          <t>CAVAN</t>
        </is>
      </c>
      <c r="BH619" t="n">
        <v>0</v>
      </c>
      <c r="BI619" t="n">
        <v>1</v>
      </c>
      <c r="BJ619" t="n">
        <v>8000</v>
      </c>
      <c r="BK619" t="inlineStr">
        <is>
          <t>LINE</t>
        </is>
      </c>
      <c r="BL619" t="inlineStr">
        <is>
          <t>TURTLE REEFER</t>
        </is>
      </c>
      <c r="BM619" t="inlineStr">
        <is>
          <t>TURTLE REEFER</t>
        </is>
      </c>
    </row>
    <row r="620">
      <c r="A620" t="n">
        <v>619</v>
      </c>
      <c r="B620" t="inlineStr">
        <is>
          <t>FALCON DRY</t>
        </is>
      </c>
      <c r="C620" t="inlineStr">
        <is>
          <t>REF000000</t>
        </is>
      </c>
      <c r="D620" t="inlineStr">
        <is>
          <t>REF000000</t>
        </is>
      </c>
      <c r="E620" t="n">
        <v>46041</v>
      </c>
      <c r="F620" t="inlineStr">
        <is>
          <t>FALCON DRY</t>
        </is>
      </c>
      <c r="H620" t="inlineStr">
        <is>
          <t>DOC_MEXICO</t>
        </is>
      </c>
      <c r="J620" t="inlineStr">
        <is>
          <t>05-FEB-2026</t>
        </is>
      </c>
      <c r="K620" t="inlineStr">
        <is>
          <t>04-FEB-2026</t>
        </is>
      </c>
      <c r="L620" t="inlineStr">
        <is>
          <t>05-FEB-2026</t>
        </is>
      </c>
      <c r="M620" t="inlineStr">
        <is>
          <t>REF000000</t>
        </is>
      </c>
      <c r="N620" t="inlineStr">
        <is>
          <t>CAVAN</t>
        </is>
      </c>
      <c r="O620" t="inlineStr">
        <is>
          <t>CAVAN</t>
        </is>
      </c>
      <c r="P620" t="inlineStr">
        <is>
          <t>USNFK</t>
        </is>
      </c>
      <c r="U620" t="inlineStr">
        <is>
          <t>RULED</t>
        </is>
      </c>
      <c r="V620" t="inlineStr">
        <is>
          <t>RULED</t>
        </is>
      </c>
      <c r="W620" t="inlineStr">
        <is>
          <t>MEXICO</t>
        </is>
      </c>
      <c r="X620" t="inlineStr">
        <is>
          <t>Latin America</t>
        </is>
      </c>
      <c r="Y620" t="inlineStr">
        <is>
          <t>RUSSIA</t>
        </is>
      </c>
      <c r="Z620" t="inlineStr">
        <is>
          <t>External Review</t>
        </is>
      </c>
      <c r="AA620" t="inlineStr">
        <is>
          <t>HUB SHIPPING LLC-LED</t>
        </is>
      </c>
      <c r="AB620" t="inlineStr">
        <is>
          <t>Prepaid</t>
        </is>
      </c>
      <c r="AC620" t="inlineStr">
        <is>
          <t>TIGER GAUCHO/907N</t>
        </is>
      </c>
      <c r="AD620" t="inlineStr">
        <is>
          <t>LI DA XING / VOYAGE 1</t>
        </is>
      </c>
      <c r="AE620" t="inlineStr">
        <is>
          <t>LADEN BOOKING</t>
        </is>
      </c>
      <c r="AF620" t="inlineStr">
        <is>
          <t>DOC_MEXICO</t>
        </is>
      </c>
      <c r="AG620" t="inlineStr">
        <is>
          <t>HC40</t>
        </is>
      </c>
      <c r="AH620" t="inlineStr">
        <is>
          <t>NO</t>
        </is>
      </c>
      <c r="AI620" t="n">
        <v>40</v>
      </c>
      <c r="AJ620" t="n">
        <v>0</v>
      </c>
      <c r="AK620" t="n">
        <v>1</v>
      </c>
      <c r="AL620" t="inlineStr">
        <is>
          <t>ANON0000000</t>
        </is>
      </c>
      <c r="AP620" t="inlineStr">
        <is>
          <t>Non Haz</t>
        </is>
      </c>
      <c r="AQ620" t="inlineStr">
        <is>
          <t>CY/CY</t>
        </is>
      </c>
      <c r="AT620" t="inlineStr">
        <is>
          <t>ALUY26000010</t>
        </is>
      </c>
      <c r="AU620" t="n">
        <v>28000</v>
      </c>
      <c r="AV620" t="inlineStr">
        <is>
          <t>PE- WAX</t>
        </is>
      </c>
      <c r="AW620" t="inlineStr">
        <is>
          <t>340242 150500</t>
        </is>
      </c>
      <c r="AX620" t="inlineStr">
        <is>
          <t>RSCOL012600001</t>
        </is>
      </c>
      <c r="AZ620" t="n">
        <v>0</v>
      </c>
      <c r="BA620" t="n">
        <v>10</v>
      </c>
      <c r="BB620" t="n">
        <v>14</v>
      </c>
      <c r="BC620" t="n">
        <v>5500</v>
      </c>
      <c r="BD620" t="inlineStr">
        <is>
          <t>No</t>
        </is>
      </c>
      <c r="BF620" t="inlineStr">
        <is>
          <t>PARANAVE SA</t>
        </is>
      </c>
      <c r="BG620" t="inlineStr">
        <is>
          <t>CAVAN</t>
        </is>
      </c>
      <c r="BH620" t="n">
        <v>0</v>
      </c>
      <c r="BI620" t="n">
        <v>1</v>
      </c>
      <c r="BJ620" t="n">
        <v>5500</v>
      </c>
      <c r="BK620" t="inlineStr">
        <is>
          <t>LINE</t>
        </is>
      </c>
      <c r="BL620" t="inlineStr">
        <is>
          <t>FALCON DRY</t>
        </is>
      </c>
      <c r="BM620" t="inlineStr">
        <is>
          <t>FALCON DRY</t>
        </is>
      </c>
    </row>
    <row r="621">
      <c r="A621" t="n">
        <v>620</v>
      </c>
      <c r="B621" t="inlineStr">
        <is>
          <t>WHALE REEFER</t>
        </is>
      </c>
      <c r="C621" t="inlineStr">
        <is>
          <t>REF000000</t>
        </is>
      </c>
      <c r="D621" t="inlineStr">
        <is>
          <t>REF000000</t>
        </is>
      </c>
      <c r="E621" t="n">
        <v>46050</v>
      </c>
      <c r="F621" t="inlineStr">
        <is>
          <t>WHALE REEFER</t>
        </is>
      </c>
      <c r="G621" t="inlineStr">
        <is>
          <t>+4ï¿½C BTL APPROVE IN ATTACH NOTE THAT THE CORRECT IS 907N.</t>
        </is>
      </c>
      <c r="H621" t="inlineStr">
        <is>
          <t>DOC_MEXICO</t>
        </is>
      </c>
      <c r="J621" t="inlineStr">
        <is>
          <t>05-FEB-2026</t>
        </is>
      </c>
      <c r="K621" t="inlineStr">
        <is>
          <t>04-FEB-2026</t>
        </is>
      </c>
      <c r="L621" t="inlineStr">
        <is>
          <t>05-FEB-2026</t>
        </is>
      </c>
      <c r="M621" t="inlineStr">
        <is>
          <t>REF000000</t>
        </is>
      </c>
      <c r="N621" t="inlineStr">
        <is>
          <t>CAVAN</t>
        </is>
      </c>
      <c r="O621" t="inlineStr">
        <is>
          <t>CAVAN</t>
        </is>
      </c>
      <c r="P621" t="inlineStr">
        <is>
          <t>USNFK</t>
        </is>
      </c>
      <c r="U621" t="inlineStr">
        <is>
          <t>RULED</t>
        </is>
      </c>
      <c r="V621" t="inlineStr">
        <is>
          <t>RULED</t>
        </is>
      </c>
      <c r="W621" t="inlineStr">
        <is>
          <t>MEXICO</t>
        </is>
      </c>
      <c r="X621" t="inlineStr">
        <is>
          <t>Latin America</t>
        </is>
      </c>
      <c r="Y621" t="inlineStr">
        <is>
          <t>RUSSIA</t>
        </is>
      </c>
      <c r="Z621" t="inlineStr">
        <is>
          <t>External Review</t>
        </is>
      </c>
      <c r="AA621" t="inlineStr">
        <is>
          <t>HUB SHIPPING LLC-LED</t>
        </is>
      </c>
      <c r="AB621" t="inlineStr">
        <is>
          <t>Prepaid</t>
        </is>
      </c>
      <c r="AC621" t="inlineStr">
        <is>
          <t>TIGER GAUCHO/907N</t>
        </is>
      </c>
      <c r="AD621" t="inlineStr">
        <is>
          <t>LI DA XING / VOYAGE 1</t>
        </is>
      </c>
      <c r="AE621" t="inlineStr">
        <is>
          <t>LADEN BOOKING</t>
        </is>
      </c>
      <c r="AF621" t="inlineStr">
        <is>
          <t>DOC_MEXICO</t>
        </is>
      </c>
      <c r="AG621" t="inlineStr">
        <is>
          <t>RH40</t>
        </is>
      </c>
      <c r="AH621" t="inlineStr">
        <is>
          <t>NO</t>
        </is>
      </c>
      <c r="AI621" t="n">
        <v>40</v>
      </c>
      <c r="AJ621" t="n">
        <v>0</v>
      </c>
      <c r="AK621" t="n">
        <v>1</v>
      </c>
      <c r="AL621" t="inlineStr">
        <is>
          <t>ANON0000000</t>
        </is>
      </c>
      <c r="AM621" t="n">
        <v>4.4</v>
      </c>
      <c r="AP621" t="inlineStr">
        <is>
          <t>HAZ</t>
        </is>
      </c>
      <c r="AQ621" t="inlineStr">
        <is>
          <t>CY/CY</t>
        </is>
      </c>
      <c r="AR621" t="n">
        <v>8.300000000000001</v>
      </c>
      <c r="AS621" t="n">
        <v>1805.1197</v>
      </c>
      <c r="AT621" t="inlineStr">
        <is>
          <t>ALUY26000014</t>
        </is>
      </c>
      <c r="AU621" t="n">
        <v>23000</v>
      </c>
      <c r="AV621" t="inlineStr">
        <is>
          <t>PHOSPHORIC ACID, LIQUID, SOLUTION</t>
        </is>
      </c>
      <c r="AW621" t="inlineStr">
        <is>
          <t>1702900000 2106901000 2916312100 2918140000 2918150000 2918199000 2924299100 2932140000 2934999900 3302100000</t>
        </is>
      </c>
      <c r="AX621" t="inlineStr">
        <is>
          <t>RSCOL012600002</t>
        </is>
      </c>
      <c r="AZ621" t="n">
        <v>0</v>
      </c>
      <c r="BA621" t="n">
        <v>5</v>
      </c>
      <c r="BB621" t="n">
        <v>10</v>
      </c>
      <c r="BC621" t="n">
        <v>8000</v>
      </c>
      <c r="BD621" t="inlineStr">
        <is>
          <t>No</t>
        </is>
      </c>
      <c r="BF621" t="inlineStr">
        <is>
          <t>PARANAVE SA</t>
        </is>
      </c>
      <c r="BG621" t="inlineStr">
        <is>
          <t>CAVAN</t>
        </is>
      </c>
      <c r="BH621" t="n">
        <v>0</v>
      </c>
      <c r="BI621" t="n">
        <v>1</v>
      </c>
      <c r="BJ621" t="n">
        <v>8000</v>
      </c>
      <c r="BK621" t="inlineStr">
        <is>
          <t>LINE</t>
        </is>
      </c>
      <c r="BL621" t="inlineStr">
        <is>
          <t>WHALE REEFER</t>
        </is>
      </c>
      <c r="BM621" t="inlineStr">
        <is>
          <t>WHALE REEFER</t>
        </is>
      </c>
    </row>
    <row r="622">
      <c r="A622" t="n">
        <v>621</v>
      </c>
      <c r="B622" t="inlineStr">
        <is>
          <t>SEAL REEFER</t>
        </is>
      </c>
      <c r="C622" t="inlineStr">
        <is>
          <t>REF000000</t>
        </is>
      </c>
      <c r="D622" t="inlineStr">
        <is>
          <t>REF000000</t>
        </is>
      </c>
      <c r="E622" t="n">
        <v>46050</v>
      </c>
      <c r="F622" t="inlineStr">
        <is>
          <t>SEAL REEFER</t>
        </is>
      </c>
      <c r="G622" t="inlineStr">
        <is>
          <t>+4ï¿½C / please now is correct 907, thanks!!!!</t>
        </is>
      </c>
      <c r="H622" t="inlineStr">
        <is>
          <t>DOC_MEXICO</t>
        </is>
      </c>
      <c r="J622" t="inlineStr">
        <is>
          <t>05-FEB-2026</t>
        </is>
      </c>
      <c r="K622" t="inlineStr">
        <is>
          <t>04-FEB-2026</t>
        </is>
      </c>
      <c r="L622" t="inlineStr">
        <is>
          <t>05-FEB-2026</t>
        </is>
      </c>
      <c r="M622" t="inlineStr">
        <is>
          <t>REF000000</t>
        </is>
      </c>
      <c r="N622" t="inlineStr">
        <is>
          <t>CAVAN</t>
        </is>
      </c>
      <c r="O622" t="inlineStr">
        <is>
          <t>CAVAN</t>
        </is>
      </c>
      <c r="P622" t="inlineStr">
        <is>
          <t>USNFK</t>
        </is>
      </c>
      <c r="U622" t="inlineStr">
        <is>
          <t>RULED</t>
        </is>
      </c>
      <c r="V622" t="inlineStr">
        <is>
          <t>RULED</t>
        </is>
      </c>
      <c r="W622" t="inlineStr">
        <is>
          <t>MEXICO</t>
        </is>
      </c>
      <c r="X622" t="inlineStr">
        <is>
          <t>Latin America</t>
        </is>
      </c>
      <c r="Y622" t="inlineStr">
        <is>
          <t>RUSSIA</t>
        </is>
      </c>
      <c r="Z622" t="inlineStr">
        <is>
          <t>External Review</t>
        </is>
      </c>
      <c r="AA622" t="inlineStr">
        <is>
          <t>HUB SHIPPING LLC-LED</t>
        </is>
      </c>
      <c r="AB622" t="inlineStr">
        <is>
          <t>Prepaid</t>
        </is>
      </c>
      <c r="AC622" t="inlineStr">
        <is>
          <t>TIGER GAUCHO/907N</t>
        </is>
      </c>
      <c r="AD622" t="inlineStr">
        <is>
          <t>LI DA XING / VOYAGE 1</t>
        </is>
      </c>
      <c r="AE622" t="inlineStr">
        <is>
          <t>LADEN BOOKING</t>
        </is>
      </c>
      <c r="AF622" t="inlineStr">
        <is>
          <t>DOC_MEXICO</t>
        </is>
      </c>
      <c r="AG622" t="inlineStr">
        <is>
          <t>RH40</t>
        </is>
      </c>
      <c r="AH622" t="inlineStr">
        <is>
          <t>NO</t>
        </is>
      </c>
      <c r="AI622" t="n">
        <v>40</v>
      </c>
      <c r="AJ622" t="n">
        <v>0</v>
      </c>
      <c r="AK622" t="n">
        <v>1</v>
      </c>
      <c r="AL622" t="inlineStr">
        <is>
          <t>ANON0000000</t>
        </is>
      </c>
      <c r="AM622" t="n">
        <v>4</v>
      </c>
      <c r="AP622" t="inlineStr">
        <is>
          <t>HAZ</t>
        </is>
      </c>
      <c r="AQ622" t="inlineStr">
        <is>
          <t>CY/CY</t>
        </is>
      </c>
      <c r="AR622" t="n">
        <v>8</v>
      </c>
      <c r="AS622" t="n">
        <v>1805</v>
      </c>
      <c r="AT622" t="inlineStr">
        <is>
          <t>ALUY26000013</t>
        </is>
      </c>
      <c r="AU622" t="n">
        <v>20000</v>
      </c>
      <c r="AV622" t="inlineStr">
        <is>
          <t>PHOSPHORIC ACID, LIQUID, SOLUTION</t>
        </is>
      </c>
      <c r="AW622" t="inlineStr">
        <is>
          <t>2932140000 1702900000 2106901000 2918140000 2934999900 3302100000</t>
        </is>
      </c>
      <c r="AX622" t="inlineStr">
        <is>
          <t>RSCOL012600002</t>
        </is>
      </c>
      <c r="AZ622" t="n">
        <v>0</v>
      </c>
      <c r="BA622" t="n">
        <v>5</v>
      </c>
      <c r="BB622" t="n">
        <v>10</v>
      </c>
      <c r="BC622" t="n">
        <v>8000</v>
      </c>
      <c r="BD622" t="inlineStr">
        <is>
          <t>No</t>
        </is>
      </c>
      <c r="BF622" t="inlineStr">
        <is>
          <t>PARANAVE SA</t>
        </is>
      </c>
      <c r="BG622" t="inlineStr">
        <is>
          <t>CAVAN</t>
        </is>
      </c>
      <c r="BH622" t="n">
        <v>0</v>
      </c>
      <c r="BI622" t="n">
        <v>1</v>
      </c>
      <c r="BJ622" t="n">
        <v>8000</v>
      </c>
      <c r="BK622" t="inlineStr">
        <is>
          <t>LINE</t>
        </is>
      </c>
      <c r="BL622" t="inlineStr">
        <is>
          <t>SEAL REEFER</t>
        </is>
      </c>
      <c r="BM622" t="inlineStr">
        <is>
          <t>SEAL REEFER</t>
        </is>
      </c>
    </row>
    <row r="623">
      <c r="A623" t="n">
        <v>622</v>
      </c>
      <c r="B623" t="inlineStr">
        <is>
          <t>SHARK REEFER</t>
        </is>
      </c>
      <c r="C623" t="inlineStr">
        <is>
          <t>REF000000</t>
        </is>
      </c>
      <c r="D623" t="inlineStr">
        <is>
          <t>REF000000</t>
        </is>
      </c>
      <c r="E623" t="n">
        <v>46050</v>
      </c>
      <c r="F623" t="inlineStr">
        <is>
          <t>SHARK REEFER</t>
        </is>
      </c>
      <c r="G623" t="inlineStr">
        <is>
          <t>+4ï¿½C / IN ATTACH BTL APPROVE. TEH CORRECT VOY IS 907N.</t>
        </is>
      </c>
      <c r="H623" t="inlineStr">
        <is>
          <t>DOC_MEXICO</t>
        </is>
      </c>
      <c r="J623" t="inlineStr">
        <is>
          <t>05-FEB-2026</t>
        </is>
      </c>
      <c r="K623" t="inlineStr">
        <is>
          <t>04-FEB-2026</t>
        </is>
      </c>
      <c r="L623" t="inlineStr">
        <is>
          <t>05-FEB-2026</t>
        </is>
      </c>
      <c r="M623" t="inlineStr">
        <is>
          <t>REF000000</t>
        </is>
      </c>
      <c r="N623" t="inlineStr">
        <is>
          <t>CAVAN</t>
        </is>
      </c>
      <c r="O623" t="inlineStr">
        <is>
          <t>CAVAN</t>
        </is>
      </c>
      <c r="P623" t="inlineStr">
        <is>
          <t>USNFK</t>
        </is>
      </c>
      <c r="U623" t="inlineStr">
        <is>
          <t>RULED</t>
        </is>
      </c>
      <c r="V623" t="inlineStr">
        <is>
          <t>RULED</t>
        </is>
      </c>
      <c r="W623" t="inlineStr">
        <is>
          <t>MEXICO</t>
        </is>
      </c>
      <c r="X623" t="inlineStr">
        <is>
          <t>Latin America</t>
        </is>
      </c>
      <c r="Y623" t="inlineStr">
        <is>
          <t>RUSSIA</t>
        </is>
      </c>
      <c r="Z623" t="inlineStr">
        <is>
          <t>External Review</t>
        </is>
      </c>
      <c r="AA623" t="inlineStr">
        <is>
          <t>HUB SHIPPING LLC-LED</t>
        </is>
      </c>
      <c r="AB623" t="inlineStr">
        <is>
          <t>Prepaid</t>
        </is>
      </c>
      <c r="AC623" t="inlineStr">
        <is>
          <t>TIGER GAUCHO/907N</t>
        </is>
      </c>
      <c r="AD623" t="inlineStr">
        <is>
          <t>LI DA XING / VOYAGE 1</t>
        </is>
      </c>
      <c r="AE623" t="inlineStr">
        <is>
          <t>LADEN BOOKING</t>
        </is>
      </c>
      <c r="AF623" t="inlineStr">
        <is>
          <t>DOC_MEXICO</t>
        </is>
      </c>
      <c r="AG623" t="inlineStr">
        <is>
          <t>RH40</t>
        </is>
      </c>
      <c r="AH623" t="inlineStr">
        <is>
          <t>NO</t>
        </is>
      </c>
      <c r="AI623" t="n">
        <v>40</v>
      </c>
      <c r="AJ623" t="n">
        <v>0</v>
      </c>
      <c r="AK623" t="n">
        <v>1</v>
      </c>
      <c r="AL623" t="inlineStr">
        <is>
          <t>ANON0000000</t>
        </is>
      </c>
      <c r="AM623" t="n">
        <v>4</v>
      </c>
      <c r="AP623" t="inlineStr">
        <is>
          <t>HAZ</t>
        </is>
      </c>
      <c r="AQ623" t="inlineStr">
        <is>
          <t>CY/CY</t>
        </is>
      </c>
      <c r="AR623" t="n">
        <v>8</v>
      </c>
      <c r="AS623" t="n">
        <v>1805</v>
      </c>
      <c r="AT623" t="inlineStr">
        <is>
          <t>ALUY26000011</t>
        </is>
      </c>
      <c r="AU623" t="n">
        <v>20000</v>
      </c>
      <c r="AV623" t="inlineStr">
        <is>
          <t>PHOSPHORIC ACID, LIQUID, SOLUTION</t>
        </is>
      </c>
      <c r="AW623" t="inlineStr">
        <is>
          <t>1702900000 2106901000 2916312100 2918140000 2918150000 2932140000 2934999900 2939301000 3204199000 3302100000</t>
        </is>
      </c>
      <c r="AX623" t="inlineStr">
        <is>
          <t>RSCOL012600002</t>
        </is>
      </c>
      <c r="AZ623" t="n">
        <v>0</v>
      </c>
      <c r="BA623" t="n">
        <v>5</v>
      </c>
      <c r="BB623" t="n">
        <v>10</v>
      </c>
      <c r="BC623" t="n">
        <v>8000</v>
      </c>
      <c r="BD623" t="inlineStr">
        <is>
          <t>No</t>
        </is>
      </c>
      <c r="BF623" t="inlineStr">
        <is>
          <t>PARANAVE SA</t>
        </is>
      </c>
      <c r="BG623" t="inlineStr">
        <is>
          <t>CAVAN</t>
        </is>
      </c>
      <c r="BH623" t="n">
        <v>0</v>
      </c>
      <c r="BI623" t="n">
        <v>1</v>
      </c>
      <c r="BJ623" t="n">
        <v>8000</v>
      </c>
      <c r="BK623" t="inlineStr">
        <is>
          <t>LINE</t>
        </is>
      </c>
      <c r="BL623" t="inlineStr">
        <is>
          <t>SHARK REEFER</t>
        </is>
      </c>
      <c r="BM623" t="inlineStr">
        <is>
          <t>SHARK REEFER</t>
        </is>
      </c>
    </row>
    <row r="624">
      <c r="A624" t="n">
        <v>623</v>
      </c>
      <c r="B624" t="inlineStr">
        <is>
          <t>DOLPHIN REEFER</t>
        </is>
      </c>
      <c r="C624" t="inlineStr">
        <is>
          <t>REF000000</t>
        </is>
      </c>
      <c r="D624" t="inlineStr">
        <is>
          <t>REF000000</t>
        </is>
      </c>
      <c r="E624" t="n">
        <v>46050</v>
      </c>
      <c r="F624" t="inlineStr">
        <is>
          <t>DOLPHIN REEFER</t>
        </is>
      </c>
      <c r="G624" t="inlineStr">
        <is>
          <t>+4ï¿½C BTL approve in the attach. the correct voy is N.</t>
        </is>
      </c>
      <c r="H624" t="inlineStr">
        <is>
          <t>DOC_MEXICO</t>
        </is>
      </c>
      <c r="J624" t="inlineStr">
        <is>
          <t>05-FEB-2026</t>
        </is>
      </c>
      <c r="K624" t="inlineStr">
        <is>
          <t>04-FEB-2026</t>
        </is>
      </c>
      <c r="L624" t="inlineStr">
        <is>
          <t>05-FEB-2026</t>
        </is>
      </c>
      <c r="M624" t="inlineStr">
        <is>
          <t>REF000000</t>
        </is>
      </c>
      <c r="N624" t="inlineStr">
        <is>
          <t>CAVAN</t>
        </is>
      </c>
      <c r="O624" t="inlineStr">
        <is>
          <t>CAVAN</t>
        </is>
      </c>
      <c r="P624" t="inlineStr">
        <is>
          <t>USNFK</t>
        </is>
      </c>
      <c r="U624" t="inlineStr">
        <is>
          <t>RULED</t>
        </is>
      </c>
      <c r="V624" t="inlineStr">
        <is>
          <t>RULED</t>
        </is>
      </c>
      <c r="W624" t="inlineStr">
        <is>
          <t>MEXICO</t>
        </is>
      </c>
      <c r="X624" t="inlineStr">
        <is>
          <t>Latin America</t>
        </is>
      </c>
      <c r="Y624" t="inlineStr">
        <is>
          <t>RUSSIA</t>
        </is>
      </c>
      <c r="Z624" t="inlineStr">
        <is>
          <t>External Review</t>
        </is>
      </c>
      <c r="AA624" t="inlineStr">
        <is>
          <t>HUB SHIPPING LLC-LED</t>
        </is>
      </c>
      <c r="AB624" t="inlineStr">
        <is>
          <t>Prepaid</t>
        </is>
      </c>
      <c r="AC624" t="inlineStr">
        <is>
          <t>TIGER GAUCHO/907N</t>
        </is>
      </c>
      <c r="AD624" t="inlineStr">
        <is>
          <t>LI DA XING / VOYAGE 1</t>
        </is>
      </c>
      <c r="AE624" t="inlineStr">
        <is>
          <t>LADEN BOOKING</t>
        </is>
      </c>
      <c r="AF624" t="inlineStr">
        <is>
          <t>DOC_MEXICO</t>
        </is>
      </c>
      <c r="AG624" t="inlineStr">
        <is>
          <t>RH40</t>
        </is>
      </c>
      <c r="AH624" t="inlineStr">
        <is>
          <t>NO</t>
        </is>
      </c>
      <c r="AI624" t="n">
        <v>40</v>
      </c>
      <c r="AJ624" t="n">
        <v>0</v>
      </c>
      <c r="AK624" t="n">
        <v>1</v>
      </c>
      <c r="AL624" t="inlineStr">
        <is>
          <t>ANON0000000</t>
        </is>
      </c>
      <c r="AM624" t="n">
        <v>4</v>
      </c>
      <c r="AP624" t="inlineStr">
        <is>
          <t>HAZ</t>
        </is>
      </c>
      <c r="AQ624" t="inlineStr">
        <is>
          <t>CY/CY</t>
        </is>
      </c>
      <c r="AR624" t="n">
        <v>8</v>
      </c>
      <c r="AS624" t="n">
        <v>1805</v>
      </c>
      <c r="AT624" t="inlineStr">
        <is>
          <t>ALUY26000012</t>
        </is>
      </c>
      <c r="AU624" t="n">
        <v>20000</v>
      </c>
      <c r="AV624" t="inlineStr">
        <is>
          <t>PHOSPHORIC ACID, LIQUID, SOLUTION</t>
        </is>
      </c>
      <c r="AW624" t="inlineStr">
        <is>
          <t>1702900000 2106901000 2918140000 2932140000 2934999900 3302100000</t>
        </is>
      </c>
      <c r="AX624" t="inlineStr">
        <is>
          <t>RSCOL012600002</t>
        </is>
      </c>
      <c r="AZ624" t="n">
        <v>0</v>
      </c>
      <c r="BA624" t="n">
        <v>5</v>
      </c>
      <c r="BB624" t="n">
        <v>10</v>
      </c>
      <c r="BC624" t="n">
        <v>8000</v>
      </c>
      <c r="BD624" t="inlineStr">
        <is>
          <t>No</t>
        </is>
      </c>
      <c r="BF624" t="inlineStr">
        <is>
          <t>PARANAVE SA</t>
        </is>
      </c>
      <c r="BG624" t="inlineStr">
        <is>
          <t>CAVAN</t>
        </is>
      </c>
      <c r="BH624" t="n">
        <v>0</v>
      </c>
      <c r="BI624" t="n">
        <v>1</v>
      </c>
      <c r="BJ624" t="n">
        <v>8000</v>
      </c>
      <c r="BK624" t="inlineStr">
        <is>
          <t>LINE</t>
        </is>
      </c>
      <c r="BL624" t="inlineStr">
        <is>
          <t>DOLPHIN REEFER</t>
        </is>
      </c>
      <c r="BM624" t="inlineStr">
        <is>
          <t>DOLPHIN REEFER</t>
        </is>
      </c>
    </row>
    <row r="625">
      <c r="A625" t="n">
        <v>624</v>
      </c>
      <c r="B625" t="inlineStr">
        <is>
          <t>MARLIN REEFER</t>
        </is>
      </c>
      <c r="C625" t="inlineStr">
        <is>
          <t>REF000000</t>
        </is>
      </c>
      <c r="D625" t="inlineStr">
        <is>
          <t>REF000000</t>
        </is>
      </c>
      <c r="E625" t="n">
        <v>46050</v>
      </c>
      <c r="F625" t="inlineStr">
        <is>
          <t>MARLIN REEFER</t>
        </is>
      </c>
      <c r="G625" t="inlineStr">
        <is>
          <t>+4ï¿½C BTL APPROVE IN ATTACH. NOTE THAT THE CORRECT VOY is 907 N.</t>
        </is>
      </c>
      <c r="H625" t="inlineStr">
        <is>
          <t>DOC_MEXICO</t>
        </is>
      </c>
      <c r="J625" t="inlineStr">
        <is>
          <t>05-FEB-2026</t>
        </is>
      </c>
      <c r="K625" t="inlineStr">
        <is>
          <t>04-FEB-2026</t>
        </is>
      </c>
      <c r="L625" t="inlineStr">
        <is>
          <t>05-FEB-2026</t>
        </is>
      </c>
      <c r="M625" t="inlineStr">
        <is>
          <t>REF000000</t>
        </is>
      </c>
      <c r="N625" t="inlineStr">
        <is>
          <t>CAVAN</t>
        </is>
      </c>
      <c r="O625" t="inlineStr">
        <is>
          <t>CAVAN</t>
        </is>
      </c>
      <c r="P625" t="inlineStr">
        <is>
          <t>USNFK</t>
        </is>
      </c>
      <c r="U625" t="inlineStr">
        <is>
          <t>RULED</t>
        </is>
      </c>
      <c r="V625" t="inlineStr">
        <is>
          <t>RULED</t>
        </is>
      </c>
      <c r="W625" t="inlineStr">
        <is>
          <t>MEXICO</t>
        </is>
      </c>
      <c r="X625" t="inlineStr">
        <is>
          <t>Latin America</t>
        </is>
      </c>
      <c r="Y625" t="inlineStr">
        <is>
          <t>RUSSIA</t>
        </is>
      </c>
      <c r="Z625" t="inlineStr">
        <is>
          <t>External Review</t>
        </is>
      </c>
      <c r="AA625" t="inlineStr">
        <is>
          <t>HUB SHIPPING LLC-LED</t>
        </is>
      </c>
      <c r="AB625" t="inlineStr">
        <is>
          <t>Prepaid</t>
        </is>
      </c>
      <c r="AC625" t="inlineStr">
        <is>
          <t>TIGER GAUCHO/907N</t>
        </is>
      </c>
      <c r="AD625" t="inlineStr">
        <is>
          <t>LI DA XING / VOYAGE 1</t>
        </is>
      </c>
      <c r="AE625" t="inlineStr">
        <is>
          <t>LADEN BOOKING</t>
        </is>
      </c>
      <c r="AF625" t="inlineStr">
        <is>
          <t>DOC_MEXICO</t>
        </is>
      </c>
      <c r="AG625" t="inlineStr">
        <is>
          <t>RH40</t>
        </is>
      </c>
      <c r="AH625" t="inlineStr">
        <is>
          <t>NO</t>
        </is>
      </c>
      <c r="AI625" t="n">
        <v>40</v>
      </c>
      <c r="AJ625" t="n">
        <v>0</v>
      </c>
      <c r="AK625" t="n">
        <v>1</v>
      </c>
      <c r="AL625" t="inlineStr">
        <is>
          <t>ANON0000000</t>
        </is>
      </c>
      <c r="AM625" t="n">
        <v>4</v>
      </c>
      <c r="AP625" t="inlineStr">
        <is>
          <t>HAZ</t>
        </is>
      </c>
      <c r="AQ625" t="inlineStr">
        <is>
          <t>CY/CY</t>
        </is>
      </c>
      <c r="AR625" t="n">
        <v>8</v>
      </c>
      <c r="AS625" t="n">
        <v>1805</v>
      </c>
      <c r="AT625" t="inlineStr">
        <is>
          <t>ALUY26000015</t>
        </is>
      </c>
      <c r="AU625" t="n">
        <v>20000</v>
      </c>
      <c r="AV625" t="inlineStr">
        <is>
          <t>PHOSPHORIC ACID, LIQUID, SOLUTION</t>
        </is>
      </c>
      <c r="AW625" t="inlineStr">
        <is>
          <t>1702900000 2106901000 2916312100 2918140000 2918150000 2924299100 2932140000 2934999900 3302100000 3824997900 3824998900</t>
        </is>
      </c>
      <c r="AX625" t="inlineStr">
        <is>
          <t>RSCOL012600002</t>
        </is>
      </c>
      <c r="AZ625" t="n">
        <v>0</v>
      </c>
      <c r="BA625" t="n">
        <v>5</v>
      </c>
      <c r="BB625" t="n">
        <v>10</v>
      </c>
      <c r="BC625" t="n">
        <v>8000</v>
      </c>
      <c r="BD625" t="inlineStr">
        <is>
          <t>No</t>
        </is>
      </c>
      <c r="BF625" t="inlineStr">
        <is>
          <t>PARANAVE SA</t>
        </is>
      </c>
      <c r="BG625" t="inlineStr">
        <is>
          <t>CAVAN</t>
        </is>
      </c>
      <c r="BH625" t="n">
        <v>0</v>
      </c>
      <c r="BI625" t="n">
        <v>1</v>
      </c>
      <c r="BJ625" t="n">
        <v>8000</v>
      </c>
      <c r="BK625" t="inlineStr">
        <is>
          <t>LINE</t>
        </is>
      </c>
      <c r="BL625" t="inlineStr">
        <is>
          <t>MARLIN REEFER</t>
        </is>
      </c>
      <c r="BM625" t="inlineStr">
        <is>
          <t>MARLIN REEFER</t>
        </is>
      </c>
    </row>
    <row r="626">
      <c r="A626" t="n">
        <v>625</v>
      </c>
      <c r="B626" t="inlineStr">
        <is>
          <t>TURTLE REEFER</t>
        </is>
      </c>
      <c r="C626" t="inlineStr">
        <is>
          <t>REF000000</t>
        </is>
      </c>
      <c r="D626" t="inlineStr">
        <is>
          <t>REF000000</t>
        </is>
      </c>
      <c r="E626" t="inlineStr">
        <is>
          <t>02-FEB-2026</t>
        </is>
      </c>
      <c r="F626" t="inlineStr">
        <is>
          <t>TURTLE REEFER</t>
        </is>
      </c>
      <c r="G626" t="inlineStr">
        <is>
          <t>-18 celsius</t>
        </is>
      </c>
      <c r="H626" t="inlineStr">
        <is>
          <t>DOC_MEXICO</t>
        </is>
      </c>
      <c r="J626" t="inlineStr">
        <is>
          <t>13-FEB-2026</t>
        </is>
      </c>
      <c r="K626" t="inlineStr">
        <is>
          <t>12-FEB-2026</t>
        </is>
      </c>
      <c r="L626" t="inlineStr">
        <is>
          <t>13-FEB-2026</t>
        </is>
      </c>
      <c r="M626" t="inlineStr">
        <is>
          <t>REF000000</t>
        </is>
      </c>
      <c r="N626" t="inlineStr">
        <is>
          <t>CAVAN</t>
        </is>
      </c>
      <c r="O626" t="inlineStr">
        <is>
          <t>CAVAN</t>
        </is>
      </c>
      <c r="P626" t="inlineStr">
        <is>
          <t>USNFK</t>
        </is>
      </c>
      <c r="U626" t="inlineStr">
        <is>
          <t>RULED</t>
        </is>
      </c>
      <c r="V626" t="inlineStr">
        <is>
          <t>RULED</t>
        </is>
      </c>
      <c r="W626" t="inlineStr">
        <is>
          <t>MEXICO</t>
        </is>
      </c>
      <c r="X626" t="inlineStr">
        <is>
          <t>Latin America</t>
        </is>
      </c>
      <c r="Y626" t="inlineStr">
        <is>
          <t>RUSSIA</t>
        </is>
      </c>
      <c r="Z626" t="inlineStr">
        <is>
          <t>External Review</t>
        </is>
      </c>
      <c r="AA626" t="inlineStr">
        <is>
          <t>HUB SHIPPING LLC-LED</t>
        </is>
      </c>
      <c r="AB626" t="inlineStr">
        <is>
          <t>Prepaid</t>
        </is>
      </c>
      <c r="AC626" t="inlineStr">
        <is>
          <t>TIGER GAUCHO/908N</t>
        </is>
      </c>
      <c r="AD626" t="inlineStr">
        <is>
          <t>LI DA XING / VOYAGE 1</t>
        </is>
      </c>
      <c r="AE626" t="inlineStr">
        <is>
          <t>LADEN BOOKING</t>
        </is>
      </c>
      <c r="AF626" t="inlineStr">
        <is>
          <t>DOC_MEXICO</t>
        </is>
      </c>
      <c r="AG626" t="inlineStr">
        <is>
          <t>RH40</t>
        </is>
      </c>
      <c r="AH626" t="inlineStr">
        <is>
          <t>NO</t>
        </is>
      </c>
      <c r="AI626" t="n">
        <v>40</v>
      </c>
      <c r="AJ626" t="n">
        <v>0</v>
      </c>
      <c r="AK626" t="n">
        <v>1</v>
      </c>
      <c r="AL626" t="inlineStr">
        <is>
          <t>ANON0000000</t>
        </is>
      </c>
      <c r="AM626" t="n">
        <v>-18</v>
      </c>
      <c r="AP626" t="inlineStr">
        <is>
          <t>Non Haz</t>
        </is>
      </c>
      <c r="AQ626" t="inlineStr">
        <is>
          <t>CY/CY</t>
        </is>
      </c>
      <c r="AT626" t="inlineStr">
        <is>
          <t>ALUY26000016</t>
        </is>
      </c>
      <c r="AU626" t="n">
        <v>28000</v>
      </c>
      <c r="AV626" t="inlineStr">
        <is>
          <t>MEAT PRODUCTS</t>
        </is>
      </c>
      <c r="AW626" t="n">
        <v>20622</v>
      </c>
      <c r="AX626" t="inlineStr">
        <is>
          <t>RSCOL012600003</t>
        </is>
      </c>
      <c r="AZ626" t="n">
        <v>5</v>
      </c>
      <c r="BA626" t="n">
        <v>20</v>
      </c>
      <c r="BB626" t="n">
        <v>15</v>
      </c>
      <c r="BC626" t="n">
        <v>7500</v>
      </c>
      <c r="BD626" t="inlineStr">
        <is>
          <t>No</t>
        </is>
      </c>
      <c r="BF626" t="inlineStr">
        <is>
          <t>PARANAVE SA</t>
        </is>
      </c>
      <c r="BG626" t="inlineStr">
        <is>
          <t>CAVAN</t>
        </is>
      </c>
      <c r="BH626" t="n">
        <v>0</v>
      </c>
      <c r="BI626" t="n">
        <v>1</v>
      </c>
      <c r="BJ626" t="n">
        <v>7500</v>
      </c>
      <c r="BK626" t="inlineStr">
        <is>
          <t>LINE</t>
        </is>
      </c>
      <c r="BL626" t="inlineStr">
        <is>
          <t>TURTLE REEFER</t>
        </is>
      </c>
      <c r="BM626" t="inlineStr">
        <is>
          <t>TURTLE REEFER</t>
        </is>
      </c>
    </row>
    <row r="627">
      <c r="A627" t="n">
        <v>626</v>
      </c>
      <c r="B627" t="inlineStr">
        <is>
          <t>ORCA REEFER</t>
        </is>
      </c>
      <c r="C627" t="inlineStr">
        <is>
          <t>REF000000</t>
        </is>
      </c>
      <c r="D627" t="inlineStr">
        <is>
          <t>REF000000</t>
        </is>
      </c>
      <c r="E627" t="inlineStr">
        <is>
          <t>05-FEB-2026</t>
        </is>
      </c>
      <c r="F627" t="inlineStr">
        <is>
          <t>ORCA REEFER</t>
        </is>
      </c>
      <c r="G627" t="inlineStr">
        <is>
          <t>-18 C</t>
        </is>
      </c>
      <c r="H627" t="inlineStr">
        <is>
          <t>DOC_MEXICO</t>
        </is>
      </c>
      <c r="J627" t="inlineStr">
        <is>
          <t>13-FEB-2026</t>
        </is>
      </c>
      <c r="K627" t="inlineStr">
        <is>
          <t>12-FEB-2026</t>
        </is>
      </c>
      <c r="L627" t="inlineStr">
        <is>
          <t>13-FEB-2026</t>
        </is>
      </c>
      <c r="M627" t="inlineStr">
        <is>
          <t>REF000000</t>
        </is>
      </c>
      <c r="N627" t="inlineStr">
        <is>
          <t>CAVAN</t>
        </is>
      </c>
      <c r="O627" t="inlineStr">
        <is>
          <t>CAVAN</t>
        </is>
      </c>
      <c r="P627" t="inlineStr">
        <is>
          <t>USNFK</t>
        </is>
      </c>
      <c r="U627" t="inlineStr">
        <is>
          <t>RUBLT</t>
        </is>
      </c>
      <c r="V627" t="inlineStr">
        <is>
          <t>RUBLT</t>
        </is>
      </c>
      <c r="W627" t="inlineStr">
        <is>
          <t>MEXICO</t>
        </is>
      </c>
      <c r="X627" t="inlineStr">
        <is>
          <t>Latin America</t>
        </is>
      </c>
      <c r="Y627" t="inlineStr">
        <is>
          <t>RUSSIA</t>
        </is>
      </c>
      <c r="Z627" t="inlineStr">
        <is>
          <t>External Review</t>
        </is>
      </c>
      <c r="AA627" t="inlineStr">
        <is>
          <t>HUB Shipping-Kaliningrad</t>
        </is>
      </c>
      <c r="AB627" t="inlineStr">
        <is>
          <t>Prepaid</t>
        </is>
      </c>
      <c r="AC627" t="inlineStr">
        <is>
          <t>TIGER GAUCHO/908N</t>
        </is>
      </c>
      <c r="AD627" t="inlineStr">
        <is>
          <t>LI DA XING / VOYAGE 1</t>
        </is>
      </c>
      <c r="AE627" t="inlineStr">
        <is>
          <t>LADEN BOOKING</t>
        </is>
      </c>
      <c r="AF627" t="inlineStr">
        <is>
          <t>DOC_MEXICO</t>
        </is>
      </c>
      <c r="AG627" t="inlineStr">
        <is>
          <t>RH40</t>
        </is>
      </c>
      <c r="AH627" t="inlineStr">
        <is>
          <t>NO</t>
        </is>
      </c>
      <c r="AI627" t="n">
        <v>40</v>
      </c>
      <c r="AJ627" t="n">
        <v>0</v>
      </c>
      <c r="AK627" t="n">
        <v>1</v>
      </c>
      <c r="AL627" t="inlineStr">
        <is>
          <t>ANON0000000</t>
        </is>
      </c>
      <c r="AM627" t="n">
        <v>-18</v>
      </c>
      <c r="AP627" t="inlineStr">
        <is>
          <t>Non Haz</t>
        </is>
      </c>
      <c r="AQ627" t="inlineStr">
        <is>
          <t>CY/CY</t>
        </is>
      </c>
      <c r="AT627" t="inlineStr">
        <is>
          <t>ALUY26000018</t>
        </is>
      </c>
      <c r="AU627" t="n">
        <v>28000</v>
      </c>
      <c r="AV627" t="inlineStr">
        <is>
          <t>FROZEN MEAT</t>
        </is>
      </c>
      <c r="AW627" t="n">
        <v>20622</v>
      </c>
      <c r="AX627" t="inlineStr">
        <is>
          <t>RSCOL022600001</t>
        </is>
      </c>
      <c r="AZ627" t="n">
        <v>5</v>
      </c>
      <c r="BA627" t="n">
        <v>20</v>
      </c>
      <c r="BB627" t="n">
        <v>15</v>
      </c>
      <c r="BC627" t="n">
        <v>10500</v>
      </c>
      <c r="BD627" t="inlineStr">
        <is>
          <t>No</t>
        </is>
      </c>
      <c r="BF627" t="inlineStr">
        <is>
          <t>PARANAVE SA</t>
        </is>
      </c>
      <c r="BG627" t="inlineStr">
        <is>
          <t>CAVAN</t>
        </is>
      </c>
      <c r="BH627" t="n">
        <v>0</v>
      </c>
      <c r="BI627" t="n">
        <v>1</v>
      </c>
      <c r="BJ627" t="n">
        <v>10500</v>
      </c>
      <c r="BK627" t="inlineStr">
        <is>
          <t>LINE</t>
        </is>
      </c>
      <c r="BL627" t="inlineStr">
        <is>
          <t>ORCA REEFER</t>
        </is>
      </c>
      <c r="BM627" t="inlineStr">
        <is>
          <t>ORCA REEFER</t>
        </is>
      </c>
    </row>
    <row r="628">
      <c r="A628" t="n">
        <v>627</v>
      </c>
      <c r="B628" t="inlineStr">
        <is>
          <t>WHALE REEFER</t>
        </is>
      </c>
      <c r="C628" t="inlineStr">
        <is>
          <t>REF000000</t>
        </is>
      </c>
      <c r="D628" t="inlineStr">
        <is>
          <t>REF000000</t>
        </is>
      </c>
      <c r="E628" t="inlineStr">
        <is>
          <t>05-FEB-2026</t>
        </is>
      </c>
      <c r="F628" t="inlineStr">
        <is>
          <t>WHALE REEFER</t>
        </is>
      </c>
      <c r="G628" t="inlineStr">
        <is>
          <t>-18 celsius</t>
        </is>
      </c>
      <c r="H628" t="inlineStr">
        <is>
          <t>DOC_MEXICO</t>
        </is>
      </c>
      <c r="J628" t="inlineStr">
        <is>
          <t>26-FEB-2026</t>
        </is>
      </c>
      <c r="K628" t="inlineStr">
        <is>
          <t>25-FEB-2026</t>
        </is>
      </c>
      <c r="L628" t="inlineStr">
        <is>
          <t>26-FEB-2026</t>
        </is>
      </c>
      <c r="M628" t="inlineStr">
        <is>
          <t>REF000000</t>
        </is>
      </c>
      <c r="N628" t="inlineStr">
        <is>
          <t>CAVAN</t>
        </is>
      </c>
      <c r="O628" t="inlineStr">
        <is>
          <t>CAVAN</t>
        </is>
      </c>
      <c r="P628" t="inlineStr">
        <is>
          <t>USNFK</t>
        </is>
      </c>
      <c r="U628" t="inlineStr">
        <is>
          <t>RULED</t>
        </is>
      </c>
      <c r="V628" t="inlineStr">
        <is>
          <t>RULED</t>
        </is>
      </c>
      <c r="W628" t="inlineStr">
        <is>
          <t>MEXICO</t>
        </is>
      </c>
      <c r="X628" t="inlineStr">
        <is>
          <t>Latin America</t>
        </is>
      </c>
      <c r="Y628" t="inlineStr">
        <is>
          <t>RUSSIA</t>
        </is>
      </c>
      <c r="Z628" t="inlineStr">
        <is>
          <t>External Review</t>
        </is>
      </c>
      <c r="AA628" t="inlineStr">
        <is>
          <t>HUB SHIPPING LLC-LED</t>
        </is>
      </c>
      <c r="AB628" t="inlineStr">
        <is>
          <t>Prepaid</t>
        </is>
      </c>
      <c r="AC628" t="inlineStr">
        <is>
          <t>TIGER GAUCHO/910N</t>
        </is>
      </c>
      <c r="AE628" t="inlineStr">
        <is>
          <t>LADEN BOOKING</t>
        </is>
      </c>
      <c r="AF628" t="inlineStr">
        <is>
          <t>DOC_MEXICO</t>
        </is>
      </c>
      <c r="AG628" t="inlineStr">
        <is>
          <t>RH40</t>
        </is>
      </c>
      <c r="AH628" t="inlineStr">
        <is>
          <t>NO</t>
        </is>
      </c>
      <c r="AI628" t="n">
        <v>40</v>
      </c>
      <c r="AJ628" t="n">
        <v>0</v>
      </c>
      <c r="AK628" t="n">
        <v>1</v>
      </c>
      <c r="AL628" t="inlineStr">
        <is>
          <t>ANON0000000</t>
        </is>
      </c>
      <c r="AM628" t="n">
        <v>-18</v>
      </c>
      <c r="AP628" t="inlineStr">
        <is>
          <t>Non Haz</t>
        </is>
      </c>
      <c r="AQ628" t="inlineStr">
        <is>
          <t>CY/CY</t>
        </is>
      </c>
      <c r="AT628" t="inlineStr">
        <is>
          <t>ALUY26000026</t>
        </is>
      </c>
      <c r="AU628" t="n">
        <v>28000</v>
      </c>
      <c r="AV628" t="inlineStr">
        <is>
          <t>MEAT PRODUCTS</t>
        </is>
      </c>
      <c r="AW628" t="n">
        <v>20622</v>
      </c>
      <c r="AX628" t="inlineStr">
        <is>
          <t>RSCOL012600003</t>
        </is>
      </c>
      <c r="AZ628" t="n">
        <v>5</v>
      </c>
      <c r="BA628" t="n">
        <v>20</v>
      </c>
      <c r="BB628" t="n">
        <v>15</v>
      </c>
      <c r="BC628" t="n">
        <v>7500</v>
      </c>
      <c r="BD628" t="inlineStr">
        <is>
          <t>No</t>
        </is>
      </c>
      <c r="BG628" t="inlineStr">
        <is>
          <t>CAVAN</t>
        </is>
      </c>
      <c r="BH628" t="n">
        <v>0</v>
      </c>
      <c r="BI628" t="n">
        <v>1</v>
      </c>
      <c r="BJ628" t="n">
        <v>7500</v>
      </c>
      <c r="BK628" t="inlineStr">
        <is>
          <t>LINE</t>
        </is>
      </c>
      <c r="BL628" t="inlineStr">
        <is>
          <t>WHALE REEFER</t>
        </is>
      </c>
      <c r="BM628" t="inlineStr">
        <is>
          <t>WHALE REEFER</t>
        </is>
      </c>
    </row>
    <row r="629">
      <c r="A629" t="n">
        <v>628</v>
      </c>
      <c r="B629" t="inlineStr">
        <is>
          <t>SEAL REEFER</t>
        </is>
      </c>
      <c r="C629" t="inlineStr">
        <is>
          <t>REF000000</t>
        </is>
      </c>
      <c r="D629" t="inlineStr">
        <is>
          <t>REF000000</t>
        </is>
      </c>
      <c r="E629" t="inlineStr">
        <is>
          <t>05-FEB-2026</t>
        </is>
      </c>
      <c r="F629" t="inlineStr">
        <is>
          <t>SEAL REEFER</t>
        </is>
      </c>
      <c r="G629" t="inlineStr">
        <is>
          <t>-18 celsius</t>
        </is>
      </c>
      <c r="H629" t="inlineStr">
        <is>
          <t>DOC_MEXICO</t>
        </is>
      </c>
      <c r="J629" t="inlineStr">
        <is>
          <t>26-FEB-2026</t>
        </is>
      </c>
      <c r="K629" t="inlineStr">
        <is>
          <t>25-FEB-2026</t>
        </is>
      </c>
      <c r="L629" t="inlineStr">
        <is>
          <t>26-FEB-2026</t>
        </is>
      </c>
      <c r="M629" t="inlineStr">
        <is>
          <t>REF000000</t>
        </is>
      </c>
      <c r="N629" t="inlineStr">
        <is>
          <t>CAVAN</t>
        </is>
      </c>
      <c r="O629" t="inlineStr">
        <is>
          <t>CAVAN</t>
        </is>
      </c>
      <c r="P629" t="inlineStr">
        <is>
          <t>USNFK</t>
        </is>
      </c>
      <c r="U629" t="inlineStr">
        <is>
          <t>RULED</t>
        </is>
      </c>
      <c r="V629" t="inlineStr">
        <is>
          <t>RULED</t>
        </is>
      </c>
      <c r="W629" t="inlineStr">
        <is>
          <t>MEXICO</t>
        </is>
      </c>
      <c r="X629" t="inlineStr">
        <is>
          <t>Latin America</t>
        </is>
      </c>
      <c r="Y629" t="inlineStr">
        <is>
          <t>RUSSIA</t>
        </is>
      </c>
      <c r="Z629" t="inlineStr">
        <is>
          <t>External Review</t>
        </is>
      </c>
      <c r="AA629" t="inlineStr">
        <is>
          <t>HUB SHIPPING LLC-LED</t>
        </is>
      </c>
      <c r="AB629" t="inlineStr">
        <is>
          <t>Prepaid</t>
        </is>
      </c>
      <c r="AC629" t="inlineStr">
        <is>
          <t>TIGER GAUCHO/910N</t>
        </is>
      </c>
      <c r="AE629" t="inlineStr">
        <is>
          <t>LADEN BOOKING</t>
        </is>
      </c>
      <c r="AF629" t="inlineStr">
        <is>
          <t>DOC_MEXICO</t>
        </is>
      </c>
      <c r="AG629" t="inlineStr">
        <is>
          <t>RH40</t>
        </is>
      </c>
      <c r="AH629" t="inlineStr">
        <is>
          <t>NO</t>
        </is>
      </c>
      <c r="AI629" t="n">
        <v>40</v>
      </c>
      <c r="AJ629" t="n">
        <v>0</v>
      </c>
      <c r="AK629" t="n">
        <v>1</v>
      </c>
      <c r="AL629" t="inlineStr">
        <is>
          <t>ANON0000000</t>
        </is>
      </c>
      <c r="AM629" t="n">
        <v>-18</v>
      </c>
      <c r="AP629" t="inlineStr">
        <is>
          <t>Non Haz</t>
        </is>
      </c>
      <c r="AQ629" t="inlineStr">
        <is>
          <t>CY/CY</t>
        </is>
      </c>
      <c r="AT629" t="inlineStr">
        <is>
          <t>ALUY26000028</t>
        </is>
      </c>
      <c r="AU629" t="n">
        <v>28000</v>
      </c>
      <c r="AV629" t="inlineStr">
        <is>
          <t>MEAT PRODUCTS</t>
        </is>
      </c>
      <c r="AW629" t="n">
        <v>20230</v>
      </c>
      <c r="AX629" t="inlineStr">
        <is>
          <t>RSCOL012600003</t>
        </is>
      </c>
      <c r="AZ629" t="n">
        <v>5</v>
      </c>
      <c r="BA629" t="n">
        <v>20</v>
      </c>
      <c r="BB629" t="n">
        <v>15</v>
      </c>
      <c r="BC629" t="n">
        <v>7500</v>
      </c>
      <c r="BD629" t="inlineStr">
        <is>
          <t>No</t>
        </is>
      </c>
      <c r="BG629" t="inlineStr">
        <is>
          <t>CAVAN</t>
        </is>
      </c>
      <c r="BH629" t="n">
        <v>0</v>
      </c>
      <c r="BI629" t="n">
        <v>1</v>
      </c>
      <c r="BJ629" t="n">
        <v>7500</v>
      </c>
      <c r="BK629" t="inlineStr">
        <is>
          <t>LINE</t>
        </is>
      </c>
      <c r="BL629" t="inlineStr">
        <is>
          <t>SEAL REEFER</t>
        </is>
      </c>
      <c r="BM629" t="inlineStr">
        <is>
          <t>SEAL REEFER</t>
        </is>
      </c>
    </row>
    <row r="630">
      <c r="A630" t="n">
        <v>629</v>
      </c>
      <c r="B630" t="inlineStr">
        <is>
          <t>SHARK REEFER</t>
        </is>
      </c>
      <c r="C630" t="inlineStr">
        <is>
          <t>REF000000</t>
        </is>
      </c>
      <c r="D630" t="inlineStr">
        <is>
          <t>REF000000</t>
        </is>
      </c>
      <c r="E630" t="inlineStr">
        <is>
          <t>05-FEB-2026</t>
        </is>
      </c>
      <c r="F630" t="inlineStr">
        <is>
          <t>SHARK REEFER</t>
        </is>
      </c>
      <c r="G630" t="inlineStr">
        <is>
          <t>-18 celsius</t>
        </is>
      </c>
      <c r="H630" t="inlineStr">
        <is>
          <t>DOC_MEXICO</t>
        </is>
      </c>
      <c r="J630" t="inlineStr">
        <is>
          <t>26-FEB-2026</t>
        </is>
      </c>
      <c r="K630" t="inlineStr">
        <is>
          <t>25-FEB-2026</t>
        </is>
      </c>
      <c r="L630" t="inlineStr">
        <is>
          <t>26-FEB-2026</t>
        </is>
      </c>
      <c r="M630" t="inlineStr">
        <is>
          <t>REF000000</t>
        </is>
      </c>
      <c r="N630" t="inlineStr">
        <is>
          <t>CAVAN</t>
        </is>
      </c>
      <c r="O630" t="inlineStr">
        <is>
          <t>CAVAN</t>
        </is>
      </c>
      <c r="P630" t="inlineStr">
        <is>
          <t>USNFK</t>
        </is>
      </c>
      <c r="U630" t="inlineStr">
        <is>
          <t>RULED</t>
        </is>
      </c>
      <c r="V630" t="inlineStr">
        <is>
          <t>RULED</t>
        </is>
      </c>
      <c r="W630" t="inlineStr">
        <is>
          <t>MEXICO</t>
        </is>
      </c>
      <c r="X630" t="inlineStr">
        <is>
          <t>Latin America</t>
        </is>
      </c>
      <c r="Y630" t="inlineStr">
        <is>
          <t>RUSSIA</t>
        </is>
      </c>
      <c r="Z630" t="inlineStr">
        <is>
          <t>External Review</t>
        </is>
      </c>
      <c r="AA630" t="inlineStr">
        <is>
          <t>HUB SHIPPING LLC-LED</t>
        </is>
      </c>
      <c r="AB630" t="inlineStr">
        <is>
          <t>Prepaid</t>
        </is>
      </c>
      <c r="AC630" t="inlineStr">
        <is>
          <t>TIGER GAUCHO/910N</t>
        </is>
      </c>
      <c r="AE630" t="inlineStr">
        <is>
          <t>LADEN BOOKING</t>
        </is>
      </c>
      <c r="AF630" t="inlineStr">
        <is>
          <t>DOC_MEXICO</t>
        </is>
      </c>
      <c r="AG630" t="inlineStr">
        <is>
          <t>RH40</t>
        </is>
      </c>
      <c r="AH630" t="inlineStr">
        <is>
          <t>NO</t>
        </is>
      </c>
      <c r="AI630" t="n">
        <v>40</v>
      </c>
      <c r="AJ630" t="n">
        <v>0</v>
      </c>
      <c r="AK630" t="n">
        <v>1</v>
      </c>
      <c r="AL630" t="inlineStr">
        <is>
          <t>ANON0000000</t>
        </is>
      </c>
      <c r="AM630" t="n">
        <v>-18</v>
      </c>
      <c r="AP630" t="inlineStr">
        <is>
          <t>Non Haz</t>
        </is>
      </c>
      <c r="AQ630" t="inlineStr">
        <is>
          <t>CY/CY</t>
        </is>
      </c>
      <c r="AT630" t="inlineStr">
        <is>
          <t>ALUY26000029</t>
        </is>
      </c>
      <c r="AU630" t="n">
        <v>28000</v>
      </c>
      <c r="AV630" t="inlineStr">
        <is>
          <t>MEAT PRODUCTS</t>
        </is>
      </c>
      <c r="AW630" t="n">
        <v>20629</v>
      </c>
      <c r="AX630" t="inlineStr">
        <is>
          <t>RSCOL012600003</t>
        </is>
      </c>
      <c r="AZ630" t="n">
        <v>5</v>
      </c>
      <c r="BA630" t="n">
        <v>20</v>
      </c>
      <c r="BB630" t="n">
        <v>15</v>
      </c>
      <c r="BC630" t="n">
        <v>7500</v>
      </c>
      <c r="BD630" t="inlineStr">
        <is>
          <t>No</t>
        </is>
      </c>
      <c r="BG630" t="inlineStr">
        <is>
          <t>CAVAN</t>
        </is>
      </c>
      <c r="BH630" t="n">
        <v>0</v>
      </c>
      <c r="BI630" t="n">
        <v>1</v>
      </c>
      <c r="BJ630" t="n">
        <v>7500</v>
      </c>
      <c r="BK630" t="inlineStr">
        <is>
          <t>LINE</t>
        </is>
      </c>
      <c r="BL630" t="inlineStr">
        <is>
          <t>SHARK REEFER</t>
        </is>
      </c>
      <c r="BM630" t="inlineStr">
        <is>
          <t>SHARK REEFER</t>
        </is>
      </c>
    </row>
    <row r="631">
      <c r="A631" t="n">
        <v>630</v>
      </c>
      <c r="B631" t="inlineStr">
        <is>
          <t>DOLPHIN REEFER</t>
        </is>
      </c>
      <c r="C631" t="inlineStr">
        <is>
          <t>REF000000</t>
        </is>
      </c>
      <c r="D631" t="inlineStr">
        <is>
          <t>REF000000</t>
        </is>
      </c>
      <c r="E631" t="inlineStr">
        <is>
          <t>05-FEB-2026</t>
        </is>
      </c>
      <c r="F631" t="inlineStr">
        <is>
          <t>DOLPHIN REEFER</t>
        </is>
      </c>
      <c r="G631" t="inlineStr">
        <is>
          <t>-18 celsius</t>
        </is>
      </c>
      <c r="H631" t="inlineStr">
        <is>
          <t>DOC_MEXICO</t>
        </is>
      </c>
      <c r="J631" t="inlineStr">
        <is>
          <t>13-FEB-2026</t>
        </is>
      </c>
      <c r="K631" t="inlineStr">
        <is>
          <t>12-FEB-2026</t>
        </is>
      </c>
      <c r="L631" t="inlineStr">
        <is>
          <t>13-FEB-2026</t>
        </is>
      </c>
      <c r="M631" t="inlineStr">
        <is>
          <t>REF000000</t>
        </is>
      </c>
      <c r="N631" t="inlineStr">
        <is>
          <t>CAVAN</t>
        </is>
      </c>
      <c r="O631" t="inlineStr">
        <is>
          <t>CAVAN</t>
        </is>
      </c>
      <c r="P631" t="inlineStr">
        <is>
          <t>USNFK</t>
        </is>
      </c>
      <c r="U631" t="inlineStr">
        <is>
          <t>RULED</t>
        </is>
      </c>
      <c r="V631" t="inlineStr">
        <is>
          <t>RULED</t>
        </is>
      </c>
      <c r="W631" t="inlineStr">
        <is>
          <t>MEXICO</t>
        </is>
      </c>
      <c r="X631" t="inlineStr">
        <is>
          <t>Latin America</t>
        </is>
      </c>
      <c r="Y631" t="inlineStr">
        <is>
          <t>RUSSIA</t>
        </is>
      </c>
      <c r="Z631" t="inlineStr">
        <is>
          <t>External Review</t>
        </is>
      </c>
      <c r="AA631" t="inlineStr">
        <is>
          <t>HUB SHIPPING LLC-LED</t>
        </is>
      </c>
      <c r="AB631" t="inlineStr">
        <is>
          <t>Prepaid</t>
        </is>
      </c>
      <c r="AC631" t="inlineStr">
        <is>
          <t>TIGER GAUCHO/908N</t>
        </is>
      </c>
      <c r="AD631" t="inlineStr">
        <is>
          <t>LI DA XING / VOYAGE 1</t>
        </is>
      </c>
      <c r="AE631" t="inlineStr">
        <is>
          <t>LADEN BOOKING</t>
        </is>
      </c>
      <c r="AF631" t="inlineStr">
        <is>
          <t>DOC_MEXICO</t>
        </is>
      </c>
      <c r="AG631" t="inlineStr">
        <is>
          <t>RH40</t>
        </is>
      </c>
      <c r="AH631" t="inlineStr">
        <is>
          <t>NO</t>
        </is>
      </c>
      <c r="AI631" t="n">
        <v>40</v>
      </c>
      <c r="AJ631" t="n">
        <v>0</v>
      </c>
      <c r="AK631" t="n">
        <v>1</v>
      </c>
      <c r="AL631" t="inlineStr">
        <is>
          <t>ANON0000000</t>
        </is>
      </c>
      <c r="AM631" t="n">
        <v>-18</v>
      </c>
      <c r="AP631" t="inlineStr">
        <is>
          <t>Non Haz</t>
        </is>
      </c>
      <c r="AQ631" t="inlineStr">
        <is>
          <t>CY/CY</t>
        </is>
      </c>
      <c r="AT631" t="inlineStr">
        <is>
          <t>ALUY26000017</t>
        </is>
      </c>
      <c r="AU631" t="n">
        <v>28000</v>
      </c>
      <c r="AV631" t="inlineStr">
        <is>
          <t>MEAT PRODUCTS</t>
        </is>
      </c>
      <c r="AW631" t="n">
        <v>20622</v>
      </c>
      <c r="AX631" t="inlineStr">
        <is>
          <t>RSCOL012600003</t>
        </is>
      </c>
      <c r="AZ631" t="n">
        <v>5</v>
      </c>
      <c r="BA631" t="n">
        <v>20</v>
      </c>
      <c r="BB631" t="n">
        <v>15</v>
      </c>
      <c r="BC631" t="n">
        <v>7500</v>
      </c>
      <c r="BD631" t="inlineStr">
        <is>
          <t>No</t>
        </is>
      </c>
      <c r="BF631" t="inlineStr">
        <is>
          <t>PARANAVE SA</t>
        </is>
      </c>
      <c r="BG631" t="inlineStr">
        <is>
          <t>CAVAN</t>
        </is>
      </c>
      <c r="BH631" t="n">
        <v>0</v>
      </c>
      <c r="BI631" t="n">
        <v>1</v>
      </c>
      <c r="BJ631" t="n">
        <v>7500</v>
      </c>
      <c r="BK631" t="inlineStr">
        <is>
          <t>LINE</t>
        </is>
      </c>
      <c r="BL631" t="inlineStr">
        <is>
          <t>DOLPHIN REEFER</t>
        </is>
      </c>
      <c r="BM631" t="inlineStr">
        <is>
          <t>DOLPHIN REEFER</t>
        </is>
      </c>
    </row>
    <row r="632">
      <c r="A632" t="n">
        <v>631</v>
      </c>
      <c r="B632" t="inlineStr">
        <is>
          <t>MARLIN REEFER</t>
        </is>
      </c>
      <c r="C632" t="inlineStr">
        <is>
          <t>REF000000</t>
        </is>
      </c>
      <c r="D632" t="inlineStr">
        <is>
          <t>REF000000</t>
        </is>
      </c>
      <c r="E632" t="inlineStr">
        <is>
          <t>11-FEB-2026</t>
        </is>
      </c>
      <c r="F632" t="inlineStr">
        <is>
          <t>MARLIN REEFER</t>
        </is>
      </c>
      <c r="G632" t="inlineStr">
        <is>
          <t>final reefer details should be collected and provided to carrier by agents of POL</t>
        </is>
      </c>
      <c r="H632" t="inlineStr">
        <is>
          <t>AdminCOL</t>
        </is>
      </c>
      <c r="J632" t="inlineStr">
        <is>
          <t>26-FEB-2026</t>
        </is>
      </c>
      <c r="K632" t="inlineStr">
        <is>
          <t>25-FEB-2026</t>
        </is>
      </c>
      <c r="L632" t="inlineStr">
        <is>
          <t>26-FEB-2026</t>
        </is>
      </c>
      <c r="M632" t="inlineStr">
        <is>
          <t>REF000000</t>
        </is>
      </c>
      <c r="N632" t="inlineStr">
        <is>
          <t>CAVAN</t>
        </is>
      </c>
      <c r="O632" t="inlineStr">
        <is>
          <t>CAVAN</t>
        </is>
      </c>
      <c r="P632" t="inlineStr">
        <is>
          <t>USNFK</t>
        </is>
      </c>
      <c r="U632" t="inlineStr">
        <is>
          <t>RULED</t>
        </is>
      </c>
      <c r="V632" t="inlineStr">
        <is>
          <t>RULED</t>
        </is>
      </c>
      <c r="W632" t="inlineStr">
        <is>
          <t>MEXICO</t>
        </is>
      </c>
      <c r="X632" t="inlineStr">
        <is>
          <t>Latin America</t>
        </is>
      </c>
      <c r="Y632" t="inlineStr">
        <is>
          <t>RUSSIA</t>
        </is>
      </c>
      <c r="Z632" t="inlineStr">
        <is>
          <t>External Review</t>
        </is>
      </c>
      <c r="AA632" t="inlineStr">
        <is>
          <t>HUB SHIPPING LLC-LED</t>
        </is>
      </c>
      <c r="AB632" t="inlineStr">
        <is>
          <t>Collect</t>
        </is>
      </c>
      <c r="AC632" t="inlineStr">
        <is>
          <t>TIGER GAUCHO/910N</t>
        </is>
      </c>
      <c r="AE632" t="inlineStr">
        <is>
          <t>LADEN BOOKING</t>
        </is>
      </c>
      <c r="AF632" t="inlineStr">
        <is>
          <t>RenniCOL</t>
        </is>
      </c>
      <c r="AG632" t="inlineStr">
        <is>
          <t>RH40</t>
        </is>
      </c>
      <c r="AH632" t="inlineStr">
        <is>
          <t>NO</t>
        </is>
      </c>
      <c r="AI632" t="n">
        <v>40</v>
      </c>
      <c r="AJ632" t="n">
        <v>0</v>
      </c>
      <c r="AK632" t="n">
        <v>1</v>
      </c>
      <c r="AL632" t="inlineStr">
        <is>
          <t>ANON0000000</t>
        </is>
      </c>
      <c r="AM632" t="n">
        <v>-18</v>
      </c>
      <c r="AO632" t="inlineStr">
        <is>
          <t>closed</t>
        </is>
      </c>
      <c r="AP632" t="inlineStr">
        <is>
          <t>Non Haz</t>
        </is>
      </c>
      <c r="AQ632" t="inlineStr">
        <is>
          <t>CY/CY</t>
        </is>
      </c>
      <c r="AT632" t="inlineStr">
        <is>
          <t>ALUY26000025</t>
        </is>
      </c>
      <c r="AU632" t="n">
        <v>27000</v>
      </c>
      <c r="AV632" t="inlineStr">
        <is>
          <t>FROZEN FOODSTUFF</t>
        </is>
      </c>
      <c r="AW632" t="n">
        <v>2062200</v>
      </c>
      <c r="AX632" t="inlineStr">
        <is>
          <t>RSCOL022600002</t>
        </is>
      </c>
      <c r="AZ632" t="n">
        <v>0</v>
      </c>
      <c r="BA632" t="n">
        <v>5</v>
      </c>
      <c r="BB632" t="n">
        <v>5</v>
      </c>
      <c r="BC632" t="n">
        <v>9050</v>
      </c>
      <c r="BD632" t="inlineStr">
        <is>
          <t>Yes</t>
        </is>
      </c>
      <c r="BG632" t="inlineStr">
        <is>
          <t>RULED</t>
        </is>
      </c>
      <c r="BH632" t="n">
        <v>0</v>
      </c>
      <c r="BI632" t="n">
        <v>1</v>
      </c>
      <c r="BJ632" t="n">
        <v>9050</v>
      </c>
      <c r="BK632" t="inlineStr">
        <is>
          <t>LINE</t>
        </is>
      </c>
      <c r="BL632" t="inlineStr">
        <is>
          <t>MARLIN REEFER</t>
        </is>
      </c>
      <c r="BM632" t="inlineStr">
        <is>
          <t>MARLIN REEFER</t>
        </is>
      </c>
    </row>
    <row r="633">
      <c r="A633" t="n">
        <v>632</v>
      </c>
      <c r="B633" t="inlineStr">
        <is>
          <t>TURTLE REEFER</t>
        </is>
      </c>
      <c r="C633" t="inlineStr">
        <is>
          <t>REF000000</t>
        </is>
      </c>
      <c r="D633" t="inlineStr">
        <is>
          <t>REF000000</t>
        </is>
      </c>
      <c r="E633" t="inlineStr">
        <is>
          <t>18-FEB-2026</t>
        </is>
      </c>
      <c r="F633" t="inlineStr">
        <is>
          <t>TURTLE REEFER</t>
        </is>
      </c>
      <c r="G633" t="inlineStr">
        <is>
          <t>+4ï¿½C</t>
        </is>
      </c>
      <c r="H633" t="inlineStr">
        <is>
          <t>DOC_MEXICO</t>
        </is>
      </c>
      <c r="J633" t="inlineStr">
        <is>
          <t>26-FEB-2026</t>
        </is>
      </c>
      <c r="K633" t="inlineStr">
        <is>
          <t>25-FEB-2026</t>
        </is>
      </c>
      <c r="L633" t="inlineStr">
        <is>
          <t>26-FEB-2026</t>
        </is>
      </c>
      <c r="M633" t="inlineStr">
        <is>
          <t>REF000000</t>
        </is>
      </c>
      <c r="N633" t="inlineStr">
        <is>
          <t>CAVAN</t>
        </is>
      </c>
      <c r="O633" t="inlineStr">
        <is>
          <t>CAVAN</t>
        </is>
      </c>
      <c r="P633" t="inlineStr">
        <is>
          <t>USNFK</t>
        </is>
      </c>
      <c r="U633" t="inlineStr">
        <is>
          <t>RULED</t>
        </is>
      </c>
      <c r="V633" t="inlineStr">
        <is>
          <t>RULED</t>
        </is>
      </c>
      <c r="W633" t="inlineStr">
        <is>
          <t>MEXICO</t>
        </is>
      </c>
      <c r="X633" t="inlineStr">
        <is>
          <t>Latin America</t>
        </is>
      </c>
      <c r="Y633" t="inlineStr">
        <is>
          <t>RUSSIA</t>
        </is>
      </c>
      <c r="Z633" t="inlineStr">
        <is>
          <t>External Review</t>
        </is>
      </c>
      <c r="AA633" t="inlineStr">
        <is>
          <t>HUB SHIPPING LLC-LED</t>
        </is>
      </c>
      <c r="AB633" t="inlineStr">
        <is>
          <t>Prepaid</t>
        </is>
      </c>
      <c r="AC633" t="inlineStr">
        <is>
          <t>TIGER GAUCHO/910N</t>
        </is>
      </c>
      <c r="AE633" t="inlineStr">
        <is>
          <t>LADEN BOOKING</t>
        </is>
      </c>
      <c r="AF633" t="inlineStr">
        <is>
          <t>DOC_MEXICO</t>
        </is>
      </c>
      <c r="AG633" t="inlineStr">
        <is>
          <t>RH40</t>
        </is>
      </c>
      <c r="AH633" t="inlineStr">
        <is>
          <t>NO</t>
        </is>
      </c>
      <c r="AI633" t="n">
        <v>40</v>
      </c>
      <c r="AJ633" t="n">
        <v>0</v>
      </c>
      <c r="AK633" t="n">
        <v>1</v>
      </c>
      <c r="AL633" t="inlineStr">
        <is>
          <t>ANON0000000</t>
        </is>
      </c>
      <c r="AM633" t="n">
        <v>4.4</v>
      </c>
      <c r="AP633" t="inlineStr">
        <is>
          <t>HAZ</t>
        </is>
      </c>
      <c r="AQ633" t="inlineStr">
        <is>
          <t>CY/CY</t>
        </is>
      </c>
      <c r="AR633" t="n">
        <v>3.8</v>
      </c>
      <c r="AS633" t="n">
        <v>1197.1805</v>
      </c>
      <c r="AT633" t="inlineStr">
        <is>
          <t>ALUY26000022</t>
        </is>
      </c>
      <c r="AU633" t="n">
        <v>23000</v>
      </c>
      <c r="AV633" t="inlineStr">
        <is>
          <t>PHOSPHORIC ACID, LIQUID, SOLUTION</t>
        </is>
      </c>
      <c r="AW633" t="inlineStr">
        <is>
          <t>3302100000 1702900000 2106901000 2916312100 2918140000 2918150000 2918199000 2924299100 2932140000 2934999900 3302100000 3824998900</t>
        </is>
      </c>
      <c r="AX633" t="inlineStr">
        <is>
          <t>RSCOL012600002</t>
        </is>
      </c>
      <c r="AZ633" t="n">
        <v>0</v>
      </c>
      <c r="BA633" t="n">
        <v>5</v>
      </c>
      <c r="BB633" t="n">
        <v>10</v>
      </c>
      <c r="BC633" t="n">
        <v>8000</v>
      </c>
      <c r="BD633" t="inlineStr">
        <is>
          <t>No</t>
        </is>
      </c>
      <c r="BG633" t="inlineStr">
        <is>
          <t>CAVAN</t>
        </is>
      </c>
      <c r="BH633" t="n">
        <v>0</v>
      </c>
      <c r="BI633" t="n">
        <v>1</v>
      </c>
      <c r="BJ633" t="n">
        <v>8000</v>
      </c>
      <c r="BK633" t="inlineStr">
        <is>
          <t>LINE</t>
        </is>
      </c>
      <c r="BL633" t="inlineStr">
        <is>
          <t>TURTLE REEFER</t>
        </is>
      </c>
      <c r="BM633" t="inlineStr">
        <is>
          <t>TURTLE REEFER</t>
        </is>
      </c>
    </row>
    <row r="634">
      <c r="A634" t="n">
        <v>633</v>
      </c>
      <c r="B634" t="inlineStr">
        <is>
          <t>ORCA REEFER</t>
        </is>
      </c>
      <c r="C634" t="inlineStr">
        <is>
          <t>REF000000</t>
        </is>
      </c>
      <c r="D634" t="inlineStr">
        <is>
          <t>REF000000</t>
        </is>
      </c>
      <c r="E634" t="inlineStr">
        <is>
          <t>18-FEB-2026</t>
        </is>
      </c>
      <c r="F634" t="inlineStr">
        <is>
          <t>ORCA REEFER</t>
        </is>
      </c>
      <c r="G634" t="inlineStr">
        <is>
          <t>+4ï¿½C</t>
        </is>
      </c>
      <c r="H634" t="inlineStr">
        <is>
          <t>DOC_MEXICO</t>
        </is>
      </c>
      <c r="J634" t="inlineStr">
        <is>
          <t>26-FEB-2026</t>
        </is>
      </c>
      <c r="K634" t="inlineStr">
        <is>
          <t>25-FEB-2026</t>
        </is>
      </c>
      <c r="L634" t="inlineStr">
        <is>
          <t>26-FEB-2026</t>
        </is>
      </c>
      <c r="M634" t="inlineStr">
        <is>
          <t>REF000000</t>
        </is>
      </c>
      <c r="N634" t="inlineStr">
        <is>
          <t>CAVAN</t>
        </is>
      </c>
      <c r="O634" t="inlineStr">
        <is>
          <t>CAVAN</t>
        </is>
      </c>
      <c r="P634" t="inlineStr">
        <is>
          <t>USNFK</t>
        </is>
      </c>
      <c r="U634" t="inlineStr">
        <is>
          <t>RULED</t>
        </is>
      </c>
      <c r="V634" t="inlineStr">
        <is>
          <t>RULED</t>
        </is>
      </c>
      <c r="W634" t="inlineStr">
        <is>
          <t>MEXICO</t>
        </is>
      </c>
      <c r="X634" t="inlineStr">
        <is>
          <t>Latin America</t>
        </is>
      </c>
      <c r="Y634" t="inlineStr">
        <is>
          <t>RUSSIA</t>
        </is>
      </c>
      <c r="Z634" t="inlineStr">
        <is>
          <t>External Review</t>
        </is>
      </c>
      <c r="AA634" t="inlineStr">
        <is>
          <t>HUB SHIPPING LLC-LED</t>
        </is>
      </c>
      <c r="AB634" t="inlineStr">
        <is>
          <t>Prepaid</t>
        </is>
      </c>
      <c r="AC634" t="inlineStr">
        <is>
          <t>TIGER GAUCHO/910N</t>
        </is>
      </c>
      <c r="AE634" t="inlineStr">
        <is>
          <t>LADEN BOOKING</t>
        </is>
      </c>
      <c r="AF634" t="inlineStr">
        <is>
          <t>DOC_MEXICO</t>
        </is>
      </c>
      <c r="AG634" t="inlineStr">
        <is>
          <t>RH40</t>
        </is>
      </c>
      <c r="AH634" t="inlineStr">
        <is>
          <t>NO</t>
        </is>
      </c>
      <c r="AI634" t="n">
        <v>40</v>
      </c>
      <c r="AJ634" t="n">
        <v>0</v>
      </c>
      <c r="AK634" t="n">
        <v>1</v>
      </c>
      <c r="AL634" t="inlineStr">
        <is>
          <t>ANON0000000</t>
        </is>
      </c>
      <c r="AM634" t="n">
        <v>4</v>
      </c>
      <c r="AP634" t="inlineStr">
        <is>
          <t>HAZ</t>
        </is>
      </c>
      <c r="AQ634" t="inlineStr">
        <is>
          <t>CY/CY</t>
        </is>
      </c>
      <c r="AR634" t="n">
        <v>8</v>
      </c>
      <c r="AS634" t="n">
        <v>1805</v>
      </c>
      <c r="AT634" t="inlineStr">
        <is>
          <t>ALUY26000021</t>
        </is>
      </c>
      <c r="AU634" t="n">
        <v>20000</v>
      </c>
      <c r="AV634" t="inlineStr">
        <is>
          <t>PHOSPHORIC ACID, LIQUID, SOLUTION</t>
        </is>
      </c>
      <c r="AW634" t="inlineStr">
        <is>
          <t>1702900000 2106901000 2918140000 2918150000 2924299100 2932140000 2934999900 3302100000 3824997900</t>
        </is>
      </c>
      <c r="AX634" t="inlineStr">
        <is>
          <t>RSCOL012600002</t>
        </is>
      </c>
      <c r="AZ634" t="n">
        <v>0</v>
      </c>
      <c r="BA634" t="n">
        <v>5</v>
      </c>
      <c r="BB634" t="n">
        <v>10</v>
      </c>
      <c r="BC634" t="n">
        <v>8000</v>
      </c>
      <c r="BD634" t="inlineStr">
        <is>
          <t>No</t>
        </is>
      </c>
      <c r="BG634" t="inlineStr">
        <is>
          <t>CAVAN</t>
        </is>
      </c>
      <c r="BH634" t="n">
        <v>0</v>
      </c>
      <c r="BI634" t="n">
        <v>1</v>
      </c>
      <c r="BJ634" t="n">
        <v>8000</v>
      </c>
      <c r="BK634" t="inlineStr">
        <is>
          <t>LINE</t>
        </is>
      </c>
      <c r="BL634" t="inlineStr">
        <is>
          <t>ORCA REEFER</t>
        </is>
      </c>
      <c r="BM634" t="inlineStr">
        <is>
          <t>ORCA REEFER</t>
        </is>
      </c>
    </row>
    <row r="635">
      <c r="A635" t="n">
        <v>634</v>
      </c>
      <c r="B635" t="inlineStr">
        <is>
          <t>WHALE REEFER</t>
        </is>
      </c>
      <c r="C635" t="inlineStr">
        <is>
          <t>REF000000</t>
        </is>
      </c>
      <c r="D635" t="inlineStr">
        <is>
          <t>REF000000</t>
        </is>
      </c>
      <c r="E635" t="inlineStr">
        <is>
          <t>18-FEB-2026</t>
        </is>
      </c>
      <c r="F635" t="inlineStr">
        <is>
          <t>WHALE REEFER</t>
        </is>
      </c>
      <c r="G635" t="inlineStr">
        <is>
          <t>+4ï¿½C</t>
        </is>
      </c>
      <c r="H635" t="inlineStr">
        <is>
          <t>DOC_MEXICO</t>
        </is>
      </c>
      <c r="J635" t="inlineStr">
        <is>
          <t>26-FEB-2026</t>
        </is>
      </c>
      <c r="K635" t="inlineStr">
        <is>
          <t>25-FEB-2026</t>
        </is>
      </c>
      <c r="L635" t="inlineStr">
        <is>
          <t>26-FEB-2026</t>
        </is>
      </c>
      <c r="M635" t="inlineStr">
        <is>
          <t>REF000000</t>
        </is>
      </c>
      <c r="N635" t="inlineStr">
        <is>
          <t>CAVAN</t>
        </is>
      </c>
      <c r="O635" t="inlineStr">
        <is>
          <t>CAVAN</t>
        </is>
      </c>
      <c r="P635" t="inlineStr">
        <is>
          <t>USNFK</t>
        </is>
      </c>
      <c r="U635" t="inlineStr">
        <is>
          <t>RULED</t>
        </is>
      </c>
      <c r="V635" t="inlineStr">
        <is>
          <t>RULED</t>
        </is>
      </c>
      <c r="W635" t="inlineStr">
        <is>
          <t>MEXICO</t>
        </is>
      </c>
      <c r="X635" t="inlineStr">
        <is>
          <t>Latin America</t>
        </is>
      </c>
      <c r="Y635" t="inlineStr">
        <is>
          <t>RUSSIA</t>
        </is>
      </c>
      <c r="Z635" t="inlineStr">
        <is>
          <t>External Review</t>
        </is>
      </c>
      <c r="AA635" t="inlineStr">
        <is>
          <t>HUB SHIPPING LLC-LED</t>
        </is>
      </c>
      <c r="AB635" t="inlineStr">
        <is>
          <t>Prepaid</t>
        </is>
      </c>
      <c r="AC635" t="inlineStr">
        <is>
          <t>TIGER GAUCHO/910N</t>
        </is>
      </c>
      <c r="AE635" t="inlineStr">
        <is>
          <t>LADEN BOOKING</t>
        </is>
      </c>
      <c r="AF635" t="inlineStr">
        <is>
          <t>DOC_MEXICO</t>
        </is>
      </c>
      <c r="AG635" t="inlineStr">
        <is>
          <t>RH40</t>
        </is>
      </c>
      <c r="AH635" t="inlineStr">
        <is>
          <t>NO</t>
        </is>
      </c>
      <c r="AI635" t="n">
        <v>40</v>
      </c>
      <c r="AJ635" t="n">
        <v>0</v>
      </c>
      <c r="AK635" t="n">
        <v>1</v>
      </c>
      <c r="AL635" t="inlineStr">
        <is>
          <t>ANON0000000</t>
        </is>
      </c>
      <c r="AM635" t="n">
        <v>4</v>
      </c>
      <c r="AP635" t="inlineStr">
        <is>
          <t>HAZ</t>
        </is>
      </c>
      <c r="AQ635" t="inlineStr">
        <is>
          <t>CY/CY</t>
        </is>
      </c>
      <c r="AR635" t="n">
        <v>8</v>
      </c>
      <c r="AS635" t="n">
        <v>1805</v>
      </c>
      <c r="AT635" t="inlineStr">
        <is>
          <t>ALUY26000024</t>
        </is>
      </c>
      <c r="AU635" t="n">
        <v>20000</v>
      </c>
      <c r="AV635" t="inlineStr">
        <is>
          <t>PHOSPHORIC ACID, LIQUID, SOLUTION</t>
        </is>
      </c>
      <c r="AW635" t="inlineStr">
        <is>
          <t>2932140000 1702900000 2106901000 2918140000 2934999900 3302100000</t>
        </is>
      </c>
      <c r="AX635" t="inlineStr">
        <is>
          <t>RSCOL012600002</t>
        </is>
      </c>
      <c r="AZ635" t="n">
        <v>0</v>
      </c>
      <c r="BA635" t="n">
        <v>5</v>
      </c>
      <c r="BB635" t="n">
        <v>10</v>
      </c>
      <c r="BC635" t="n">
        <v>8000</v>
      </c>
      <c r="BD635" t="inlineStr">
        <is>
          <t>No</t>
        </is>
      </c>
      <c r="BG635" t="inlineStr">
        <is>
          <t>CAVAN</t>
        </is>
      </c>
      <c r="BH635" t="n">
        <v>0</v>
      </c>
      <c r="BI635" t="n">
        <v>1</v>
      </c>
      <c r="BJ635" t="n">
        <v>8000</v>
      </c>
      <c r="BK635" t="inlineStr">
        <is>
          <t>LINE</t>
        </is>
      </c>
      <c r="BL635" t="inlineStr">
        <is>
          <t>WHALE REEFER</t>
        </is>
      </c>
      <c r="BM635" t="inlineStr">
        <is>
          <t>WHALE REEFER</t>
        </is>
      </c>
    </row>
    <row r="636">
      <c r="A636" t="n">
        <v>635</v>
      </c>
      <c r="B636" t="inlineStr">
        <is>
          <t>SEAL REEFER</t>
        </is>
      </c>
      <c r="C636" t="inlineStr">
        <is>
          <t>REF000000</t>
        </is>
      </c>
      <c r="D636" t="inlineStr">
        <is>
          <t>REF000000</t>
        </is>
      </c>
      <c r="E636" t="inlineStr">
        <is>
          <t>18-FEB-2026</t>
        </is>
      </c>
      <c r="F636" t="inlineStr">
        <is>
          <t>SEAL REEFER</t>
        </is>
      </c>
      <c r="G636" t="inlineStr">
        <is>
          <t>+4ï¿½C</t>
        </is>
      </c>
      <c r="H636" t="inlineStr">
        <is>
          <t>DOC_MEXICO</t>
        </is>
      </c>
      <c r="J636" t="inlineStr">
        <is>
          <t>26-FEB-2026</t>
        </is>
      </c>
      <c r="K636" t="inlineStr">
        <is>
          <t>25-FEB-2026</t>
        </is>
      </c>
      <c r="L636" t="inlineStr">
        <is>
          <t>26-FEB-2026</t>
        </is>
      </c>
      <c r="M636" t="inlineStr">
        <is>
          <t>REF000000</t>
        </is>
      </c>
      <c r="N636" t="inlineStr">
        <is>
          <t>CAVAN</t>
        </is>
      </c>
      <c r="O636" t="inlineStr">
        <is>
          <t>CAVAN</t>
        </is>
      </c>
      <c r="P636" t="inlineStr">
        <is>
          <t>USNFK</t>
        </is>
      </c>
      <c r="U636" t="inlineStr">
        <is>
          <t>RULED</t>
        </is>
      </c>
      <c r="V636" t="inlineStr">
        <is>
          <t>RULED</t>
        </is>
      </c>
      <c r="W636" t="inlineStr">
        <is>
          <t>MEXICO</t>
        </is>
      </c>
      <c r="X636" t="inlineStr">
        <is>
          <t>Latin America</t>
        </is>
      </c>
      <c r="Y636" t="inlineStr">
        <is>
          <t>RUSSIA</t>
        </is>
      </c>
      <c r="Z636" t="inlineStr">
        <is>
          <t>External Review</t>
        </is>
      </c>
      <c r="AA636" t="inlineStr">
        <is>
          <t>HUB SHIPPING LLC-LED</t>
        </is>
      </c>
      <c r="AB636" t="inlineStr">
        <is>
          <t>Prepaid</t>
        </is>
      </c>
      <c r="AC636" t="inlineStr">
        <is>
          <t>TIGER GAUCHO/910N</t>
        </is>
      </c>
      <c r="AE636" t="inlineStr">
        <is>
          <t>LADEN BOOKING</t>
        </is>
      </c>
      <c r="AF636" t="inlineStr">
        <is>
          <t>DOC_MEXICO</t>
        </is>
      </c>
      <c r="AG636" t="inlineStr">
        <is>
          <t>RH40</t>
        </is>
      </c>
      <c r="AH636" t="inlineStr">
        <is>
          <t>NO</t>
        </is>
      </c>
      <c r="AI636" t="n">
        <v>40</v>
      </c>
      <c r="AJ636" t="n">
        <v>0</v>
      </c>
      <c r="AK636" t="n">
        <v>1</v>
      </c>
      <c r="AL636" t="inlineStr">
        <is>
          <t>ANON0000000</t>
        </is>
      </c>
      <c r="AM636" t="n">
        <v>4</v>
      </c>
      <c r="AP636" t="inlineStr">
        <is>
          <t>HAZ</t>
        </is>
      </c>
      <c r="AQ636" t="inlineStr">
        <is>
          <t>CY/CY</t>
        </is>
      </c>
      <c r="AR636" t="n">
        <v>8</v>
      </c>
      <c r="AS636" t="n">
        <v>1805</v>
      </c>
      <c r="AT636" t="inlineStr">
        <is>
          <t>ALUY26000020</t>
        </is>
      </c>
      <c r="AU636" t="n">
        <v>20000</v>
      </c>
      <c r="AV636" t="inlineStr">
        <is>
          <t>PHOSPHORIC ACID, LIQUID, SOLUTION</t>
        </is>
      </c>
      <c r="AW636" t="inlineStr">
        <is>
          <t>1702900000 2106901000 2916312100 2918140000 2918150000 2932140000 2934999900 2939301000 3204199000 3302100000</t>
        </is>
      </c>
      <c r="AX636" t="inlineStr">
        <is>
          <t>RSCOL012600002</t>
        </is>
      </c>
      <c r="AZ636" t="n">
        <v>0</v>
      </c>
      <c r="BA636" t="n">
        <v>5</v>
      </c>
      <c r="BB636" t="n">
        <v>10</v>
      </c>
      <c r="BC636" t="n">
        <v>8000</v>
      </c>
      <c r="BD636" t="inlineStr">
        <is>
          <t>No</t>
        </is>
      </c>
      <c r="BG636" t="inlineStr">
        <is>
          <t>CAVAN</t>
        </is>
      </c>
      <c r="BH636" t="n">
        <v>0</v>
      </c>
      <c r="BI636" t="n">
        <v>1</v>
      </c>
      <c r="BJ636" t="n">
        <v>8000</v>
      </c>
      <c r="BK636" t="inlineStr">
        <is>
          <t>LINE</t>
        </is>
      </c>
      <c r="BL636" t="inlineStr">
        <is>
          <t>SEAL REEFER</t>
        </is>
      </c>
      <c r="BM636" t="inlineStr">
        <is>
          <t>SEAL REEFER</t>
        </is>
      </c>
    </row>
    <row r="637">
      <c r="A637" t="n">
        <v>636</v>
      </c>
      <c r="B637" t="inlineStr">
        <is>
          <t>SHARK REEFER</t>
        </is>
      </c>
      <c r="C637" t="inlineStr">
        <is>
          <t>REF000000</t>
        </is>
      </c>
      <c r="D637" t="inlineStr">
        <is>
          <t>REF000000</t>
        </is>
      </c>
      <c r="E637" t="inlineStr">
        <is>
          <t>18-FEB-2026</t>
        </is>
      </c>
      <c r="F637" t="inlineStr">
        <is>
          <t>SHARK REEFER</t>
        </is>
      </c>
      <c r="G637" t="inlineStr">
        <is>
          <t>+4ï¿½C</t>
        </is>
      </c>
      <c r="H637" t="inlineStr">
        <is>
          <t>DOC_MEXICO</t>
        </is>
      </c>
      <c r="J637" t="inlineStr">
        <is>
          <t>26-FEB-2026</t>
        </is>
      </c>
      <c r="K637" t="inlineStr">
        <is>
          <t>25-FEB-2026</t>
        </is>
      </c>
      <c r="L637" t="inlineStr">
        <is>
          <t>26-FEB-2026</t>
        </is>
      </c>
      <c r="M637" t="inlineStr">
        <is>
          <t>REF000000</t>
        </is>
      </c>
      <c r="N637" t="inlineStr">
        <is>
          <t>CAVAN</t>
        </is>
      </c>
      <c r="O637" t="inlineStr">
        <is>
          <t>CAVAN</t>
        </is>
      </c>
      <c r="P637" t="inlineStr">
        <is>
          <t>USNFK</t>
        </is>
      </c>
      <c r="U637" t="inlineStr">
        <is>
          <t>RULED</t>
        </is>
      </c>
      <c r="V637" t="inlineStr">
        <is>
          <t>RULED</t>
        </is>
      </c>
      <c r="W637" t="inlineStr">
        <is>
          <t>MEXICO</t>
        </is>
      </c>
      <c r="X637" t="inlineStr">
        <is>
          <t>Latin America</t>
        </is>
      </c>
      <c r="Y637" t="inlineStr">
        <is>
          <t>RUSSIA</t>
        </is>
      </c>
      <c r="Z637" t="inlineStr">
        <is>
          <t>External Review</t>
        </is>
      </c>
      <c r="AA637" t="inlineStr">
        <is>
          <t>HUB SHIPPING LLC-LED</t>
        </is>
      </c>
      <c r="AB637" t="inlineStr">
        <is>
          <t>Prepaid</t>
        </is>
      </c>
      <c r="AC637" t="inlineStr">
        <is>
          <t>TIGER GAUCHO/910N</t>
        </is>
      </c>
      <c r="AE637" t="inlineStr">
        <is>
          <t>LADEN BOOKING</t>
        </is>
      </c>
      <c r="AF637" t="inlineStr">
        <is>
          <t>DOC_MEXICO</t>
        </is>
      </c>
      <c r="AG637" t="inlineStr">
        <is>
          <t>RH40</t>
        </is>
      </c>
      <c r="AH637" t="inlineStr">
        <is>
          <t>NO</t>
        </is>
      </c>
      <c r="AI637" t="n">
        <v>40</v>
      </c>
      <c r="AJ637" t="n">
        <v>0</v>
      </c>
      <c r="AK637" t="n">
        <v>1</v>
      </c>
      <c r="AL637" t="inlineStr">
        <is>
          <t>ANON0000000</t>
        </is>
      </c>
      <c r="AM637" t="n">
        <v>4</v>
      </c>
      <c r="AP637" t="inlineStr">
        <is>
          <t>HAZ</t>
        </is>
      </c>
      <c r="AQ637" t="inlineStr">
        <is>
          <t>CY/CY</t>
        </is>
      </c>
      <c r="AR637" t="n">
        <v>8</v>
      </c>
      <c r="AS637" t="n">
        <v>1805</v>
      </c>
      <c r="AT637" t="inlineStr">
        <is>
          <t>ALUY26000023</t>
        </is>
      </c>
      <c r="AU637" t="n">
        <v>20000</v>
      </c>
      <c r="AV637" t="inlineStr">
        <is>
          <t>PHOSPHORIC ACID, LIQUID, SOLUTION</t>
        </is>
      </c>
      <c r="AW637" t="inlineStr">
        <is>
          <t>1702900000 2106901000 2918140000 2932140000 2934999900 3302100000</t>
        </is>
      </c>
      <c r="AX637" t="inlineStr">
        <is>
          <t>RSCOL012600002</t>
        </is>
      </c>
      <c r="AZ637" t="n">
        <v>0</v>
      </c>
      <c r="BA637" t="n">
        <v>5</v>
      </c>
      <c r="BB637" t="n">
        <v>10</v>
      </c>
      <c r="BC637" t="n">
        <v>8000</v>
      </c>
      <c r="BD637" t="inlineStr">
        <is>
          <t>No</t>
        </is>
      </c>
      <c r="BG637" t="inlineStr">
        <is>
          <t>CAVAN</t>
        </is>
      </c>
      <c r="BH637" t="n">
        <v>0</v>
      </c>
      <c r="BI637" t="n">
        <v>1</v>
      </c>
      <c r="BJ637" t="n">
        <v>8000</v>
      </c>
      <c r="BK637" t="inlineStr">
        <is>
          <t>LINE</t>
        </is>
      </c>
      <c r="BL637" t="inlineStr">
        <is>
          <t>SHARK REEFER</t>
        </is>
      </c>
      <c r="BM637" t="inlineStr">
        <is>
          <t>SHARK REEFER</t>
        </is>
      </c>
    </row>
    <row r="638">
      <c r="A638" t="n">
        <v>637</v>
      </c>
      <c r="B638" t="inlineStr">
        <is>
          <t>DOLPHIN REEFER</t>
        </is>
      </c>
      <c r="C638" t="inlineStr">
        <is>
          <t>REF000000</t>
        </is>
      </c>
      <c r="D638" t="inlineStr">
        <is>
          <t>REF000000</t>
        </is>
      </c>
      <c r="E638" t="inlineStr">
        <is>
          <t>19-FEB-2026</t>
        </is>
      </c>
      <c r="F638" t="inlineStr">
        <is>
          <t>DOLPHIN REEFER</t>
        </is>
      </c>
      <c r="G638" t="inlineStr">
        <is>
          <t>-18 celsius</t>
        </is>
      </c>
      <c r="H638" t="inlineStr">
        <is>
          <t>DOC_MEXICO</t>
        </is>
      </c>
      <c r="J638" t="inlineStr">
        <is>
          <t>26-FEB-2026</t>
        </is>
      </c>
      <c r="K638" t="inlineStr">
        <is>
          <t>25-FEB-2026</t>
        </is>
      </c>
      <c r="L638" t="inlineStr">
        <is>
          <t>26-FEB-2026</t>
        </is>
      </c>
      <c r="M638" t="inlineStr">
        <is>
          <t>REF000000</t>
        </is>
      </c>
      <c r="N638" t="inlineStr">
        <is>
          <t>CAVAN</t>
        </is>
      </c>
      <c r="O638" t="inlineStr">
        <is>
          <t>CAVAN</t>
        </is>
      </c>
      <c r="P638" t="inlineStr">
        <is>
          <t>USNFK</t>
        </is>
      </c>
      <c r="U638" t="inlineStr">
        <is>
          <t>RULED</t>
        </is>
      </c>
      <c r="V638" t="inlineStr">
        <is>
          <t>RULED</t>
        </is>
      </c>
      <c r="W638" t="inlineStr">
        <is>
          <t>MEXICO</t>
        </is>
      </c>
      <c r="X638" t="inlineStr">
        <is>
          <t>Latin America</t>
        </is>
      </c>
      <c r="Y638" t="inlineStr">
        <is>
          <t>RUSSIA</t>
        </is>
      </c>
      <c r="Z638" t="inlineStr">
        <is>
          <t>External Review</t>
        </is>
      </c>
      <c r="AA638" t="inlineStr">
        <is>
          <t>HUB SHIPPING LLC-LED</t>
        </is>
      </c>
      <c r="AB638" t="inlineStr">
        <is>
          <t>Prepaid</t>
        </is>
      </c>
      <c r="AC638" t="inlineStr">
        <is>
          <t>TIGER GAUCHO/910N</t>
        </is>
      </c>
      <c r="AE638" t="inlineStr">
        <is>
          <t>LADEN BOOKING</t>
        </is>
      </c>
      <c r="AF638" t="inlineStr">
        <is>
          <t>DOC_MEXICO</t>
        </is>
      </c>
      <c r="AG638" t="inlineStr">
        <is>
          <t>RH40</t>
        </is>
      </c>
      <c r="AH638" t="inlineStr">
        <is>
          <t>NO</t>
        </is>
      </c>
      <c r="AI638" t="n">
        <v>40</v>
      </c>
      <c r="AJ638" t="n">
        <v>0</v>
      </c>
      <c r="AK638" t="n">
        <v>1</v>
      </c>
      <c r="AL638" t="inlineStr">
        <is>
          <t>ANON0000000</t>
        </is>
      </c>
      <c r="AM638" t="n">
        <v>-18</v>
      </c>
      <c r="AP638" t="inlineStr">
        <is>
          <t>Non Haz</t>
        </is>
      </c>
      <c r="AQ638" t="inlineStr">
        <is>
          <t>CY/CY</t>
        </is>
      </c>
      <c r="AT638" t="inlineStr">
        <is>
          <t>ALUY26000027</t>
        </is>
      </c>
      <c r="AU638" t="n">
        <v>28000</v>
      </c>
      <c r="AV638" t="inlineStr">
        <is>
          <t>MEAT PRODUCTS</t>
        </is>
      </c>
      <c r="AW638" t="n">
        <v>20622</v>
      </c>
      <c r="AX638" t="inlineStr">
        <is>
          <t>RSCOL012600003</t>
        </is>
      </c>
      <c r="AZ638" t="n">
        <v>5</v>
      </c>
      <c r="BA638" t="n">
        <v>20</v>
      </c>
      <c r="BB638" t="n">
        <v>15</v>
      </c>
      <c r="BC638" t="n">
        <v>7500</v>
      </c>
      <c r="BD638" t="inlineStr">
        <is>
          <t>No</t>
        </is>
      </c>
      <c r="BG638" t="inlineStr">
        <is>
          <t>CAVAN</t>
        </is>
      </c>
      <c r="BH638" t="n">
        <v>0</v>
      </c>
      <c r="BI638" t="n">
        <v>1</v>
      </c>
      <c r="BJ638" t="n">
        <v>7500</v>
      </c>
      <c r="BK638" t="inlineStr">
        <is>
          <t>LINE</t>
        </is>
      </c>
      <c r="BL638" t="inlineStr">
        <is>
          <t>DOLPHIN REEFER</t>
        </is>
      </c>
      <c r="BM638" t="inlineStr">
        <is>
          <t>DOLPHIN REEFER</t>
        </is>
      </c>
    </row>
    <row r="639">
      <c r="A639" t="n">
        <v>638</v>
      </c>
      <c r="B639" t="inlineStr">
        <is>
          <t>MARLIN REEFER</t>
        </is>
      </c>
      <c r="C639" t="inlineStr">
        <is>
          <t>REF000000</t>
        </is>
      </c>
      <c r="D639" t="inlineStr">
        <is>
          <t>REF000000</t>
        </is>
      </c>
      <c r="E639" t="inlineStr">
        <is>
          <t>19-FEB-2026</t>
        </is>
      </c>
      <c r="F639" t="inlineStr">
        <is>
          <t>MARLIN REEFER</t>
        </is>
      </c>
      <c r="G639" t="inlineStr">
        <is>
          <t>-18 celsius</t>
        </is>
      </c>
      <c r="H639" t="inlineStr">
        <is>
          <t>DOC_MEXICO</t>
        </is>
      </c>
      <c r="J639" t="inlineStr">
        <is>
          <t>26-FEB-2026</t>
        </is>
      </c>
      <c r="K639" t="inlineStr">
        <is>
          <t>25-FEB-2026</t>
        </is>
      </c>
      <c r="L639" t="inlineStr">
        <is>
          <t>26-FEB-2026</t>
        </is>
      </c>
      <c r="M639" t="inlineStr">
        <is>
          <t>REF000000</t>
        </is>
      </c>
      <c r="N639" t="inlineStr">
        <is>
          <t>CAVAN</t>
        </is>
      </c>
      <c r="O639" t="inlineStr">
        <is>
          <t>CAVAN</t>
        </is>
      </c>
      <c r="P639" t="inlineStr">
        <is>
          <t>USNFK</t>
        </is>
      </c>
      <c r="U639" t="inlineStr">
        <is>
          <t>RULED</t>
        </is>
      </c>
      <c r="V639" t="inlineStr">
        <is>
          <t>RULED</t>
        </is>
      </c>
      <c r="W639" t="inlineStr">
        <is>
          <t>MEXICO</t>
        </is>
      </c>
      <c r="X639" t="inlineStr">
        <is>
          <t>Latin America</t>
        </is>
      </c>
      <c r="Y639" t="inlineStr">
        <is>
          <t>RUSSIA</t>
        </is>
      </c>
      <c r="Z639" t="inlineStr">
        <is>
          <t>External Review</t>
        </is>
      </c>
      <c r="AA639" t="inlineStr">
        <is>
          <t>HUB SHIPPING LLC-LED</t>
        </is>
      </c>
      <c r="AB639" t="inlineStr">
        <is>
          <t>Prepaid</t>
        </is>
      </c>
      <c r="AC639" t="inlineStr">
        <is>
          <t>TIGER GAUCHO/910N</t>
        </is>
      </c>
      <c r="AE639" t="inlineStr">
        <is>
          <t>LADEN BOOKING</t>
        </is>
      </c>
      <c r="AF639" t="inlineStr">
        <is>
          <t>DOC_MEXICO</t>
        </is>
      </c>
      <c r="AG639" t="inlineStr">
        <is>
          <t>RH40</t>
        </is>
      </c>
      <c r="AH639" t="inlineStr">
        <is>
          <t>NO</t>
        </is>
      </c>
      <c r="AI639" t="n">
        <v>40</v>
      </c>
      <c r="AJ639" t="n">
        <v>0</v>
      </c>
      <c r="AK639" t="n">
        <v>1</v>
      </c>
      <c r="AL639" t="inlineStr">
        <is>
          <t>ANON0000000</t>
        </is>
      </c>
      <c r="AM639" t="n">
        <v>-18</v>
      </c>
      <c r="AP639" t="inlineStr">
        <is>
          <t>Non Haz</t>
        </is>
      </c>
      <c r="AQ639" t="inlineStr">
        <is>
          <t>CY/CY</t>
        </is>
      </c>
      <c r="AT639" t="inlineStr">
        <is>
          <t>ALUY26000019</t>
        </is>
      </c>
      <c r="AU639" t="n">
        <v>28000</v>
      </c>
      <c r="AV639" t="inlineStr">
        <is>
          <t>MEAT PRODUCTS</t>
        </is>
      </c>
      <c r="AW639" t="n">
        <v>20629</v>
      </c>
      <c r="AX639" t="inlineStr">
        <is>
          <t>RSCOL012600003</t>
        </is>
      </c>
      <c r="AZ639" t="n">
        <v>5</v>
      </c>
      <c r="BA639" t="n">
        <v>20</v>
      </c>
      <c r="BB639" t="n">
        <v>15</v>
      </c>
      <c r="BC639" t="n">
        <v>7500</v>
      </c>
      <c r="BD639" t="inlineStr">
        <is>
          <t>No</t>
        </is>
      </c>
      <c r="BG639" t="inlineStr">
        <is>
          <t>CAVAN</t>
        </is>
      </c>
      <c r="BH639" t="n">
        <v>0</v>
      </c>
      <c r="BI639" t="n">
        <v>1</v>
      </c>
      <c r="BJ639" t="n">
        <v>7500</v>
      </c>
      <c r="BK639" t="inlineStr">
        <is>
          <t>LINE</t>
        </is>
      </c>
      <c r="BL639" t="inlineStr">
        <is>
          <t>MARLIN REEFER</t>
        </is>
      </c>
      <c r="BM639" t="inlineStr">
        <is>
          <t>MARLIN REEFER</t>
        </is>
      </c>
    </row>
    <row r="640">
      <c r="A640" t="n">
        <v>639</v>
      </c>
      <c r="B640" t="inlineStr">
        <is>
          <t>COYOTE DRY</t>
        </is>
      </c>
      <c r="C640" t="inlineStr">
        <is>
          <t>REF000000</t>
        </is>
      </c>
      <c r="D640" t="inlineStr">
        <is>
          <t>REF000000</t>
        </is>
      </c>
      <c r="E640" t="inlineStr">
        <is>
          <t>27-FEB-2026</t>
        </is>
      </c>
      <c r="F640" t="inlineStr">
        <is>
          <t>COYOTE DRY</t>
        </is>
      </c>
      <c r="H640" t="inlineStr">
        <is>
          <t>DOC_MEXICO</t>
        </is>
      </c>
      <c r="J640" t="n">
        <v>46101</v>
      </c>
      <c r="K640" t="n">
        <v>46100</v>
      </c>
      <c r="L640" t="n">
        <v>46101</v>
      </c>
      <c r="M640" t="inlineStr">
        <is>
          <t>REF000000</t>
        </is>
      </c>
      <c r="N640" t="inlineStr">
        <is>
          <t>CAVAN</t>
        </is>
      </c>
      <c r="O640" t="inlineStr">
        <is>
          <t>CAVAN</t>
        </is>
      </c>
      <c r="P640" t="inlineStr">
        <is>
          <t>USNFK</t>
        </is>
      </c>
      <c r="U640" t="inlineStr">
        <is>
          <t>RULED</t>
        </is>
      </c>
      <c r="V640" t="inlineStr">
        <is>
          <t>RULED</t>
        </is>
      </c>
      <c r="W640" t="inlineStr">
        <is>
          <t>MEXICO</t>
        </is>
      </c>
      <c r="X640" t="inlineStr">
        <is>
          <t>Latin America</t>
        </is>
      </c>
      <c r="Y640" t="inlineStr">
        <is>
          <t>RUSSIA</t>
        </is>
      </c>
      <c r="Z640" t="inlineStr">
        <is>
          <t>External Review</t>
        </is>
      </c>
      <c r="AA640" t="inlineStr">
        <is>
          <t>HUB SHIPPING LLC-LED</t>
        </is>
      </c>
      <c r="AB640" t="inlineStr">
        <is>
          <t>Prepaid</t>
        </is>
      </c>
      <c r="AC640" t="inlineStr">
        <is>
          <t>TIGER GAUCHO/913N</t>
        </is>
      </c>
      <c r="AE640" t="inlineStr">
        <is>
          <t>LADEN BOOKING</t>
        </is>
      </c>
      <c r="AF640" t="inlineStr">
        <is>
          <t>DOC_MEXICO</t>
        </is>
      </c>
      <c r="AG640" t="inlineStr">
        <is>
          <t>HC40</t>
        </is>
      </c>
      <c r="AH640" t="inlineStr">
        <is>
          <t>NO</t>
        </is>
      </c>
      <c r="AI640" t="n">
        <v>40</v>
      </c>
      <c r="AJ640" t="n">
        <v>0</v>
      </c>
      <c r="AK640" t="n">
        <v>1</v>
      </c>
      <c r="AL640" t="inlineStr">
        <is>
          <t>ANON0000000</t>
        </is>
      </c>
      <c r="AP640" t="inlineStr">
        <is>
          <t>Non Haz</t>
        </is>
      </c>
      <c r="AQ640" t="inlineStr">
        <is>
          <t>CY/CY</t>
        </is>
      </c>
      <c r="AT640" t="inlineStr">
        <is>
          <t>ALUY26000033</t>
        </is>
      </c>
      <c r="AU640" t="n">
        <v>28000</v>
      </c>
      <c r="AV640" t="inlineStr">
        <is>
          <t>PE- WAX</t>
        </is>
      </c>
      <c r="AW640" t="inlineStr">
        <is>
          <t>340242 150500</t>
        </is>
      </c>
      <c r="AX640" t="inlineStr">
        <is>
          <t>RSCOL012600001</t>
        </is>
      </c>
      <c r="AZ640" t="n">
        <v>0</v>
      </c>
      <c r="BA640" t="n">
        <v>10</v>
      </c>
      <c r="BB640" t="n">
        <v>14</v>
      </c>
      <c r="BC640" t="n">
        <v>5500</v>
      </c>
      <c r="BD640" t="inlineStr">
        <is>
          <t>No</t>
        </is>
      </c>
      <c r="BF640" t="inlineStr">
        <is>
          <t>PARANAVE SA</t>
        </is>
      </c>
      <c r="BG640" t="inlineStr">
        <is>
          <t>CAVAN</t>
        </is>
      </c>
      <c r="BH640" t="n">
        <v>0</v>
      </c>
      <c r="BI640" t="n">
        <v>1</v>
      </c>
      <c r="BJ640" t="n">
        <v>5500</v>
      </c>
      <c r="BK640" t="inlineStr">
        <is>
          <t>LINE</t>
        </is>
      </c>
      <c r="BL640" t="inlineStr">
        <is>
          <t>COYOTE DRY</t>
        </is>
      </c>
      <c r="BM640" t="inlineStr">
        <is>
          <t>COYOTE DRY</t>
        </is>
      </c>
    </row>
    <row r="641">
      <c r="A641" t="n">
        <v>640</v>
      </c>
      <c r="B641" t="inlineStr">
        <is>
          <t>ORCA REEFER</t>
        </is>
      </c>
      <c r="C641" t="inlineStr">
        <is>
          <t>REF000000</t>
        </is>
      </c>
      <c r="D641" t="inlineStr">
        <is>
          <t>REF000000</t>
        </is>
      </c>
      <c r="E641" t="n">
        <v>46083</v>
      </c>
      <c r="F641" t="inlineStr">
        <is>
          <t>ORCA REEFER</t>
        </is>
      </c>
      <c r="G641" t="inlineStr">
        <is>
          <t>-18 celsius</t>
        </is>
      </c>
      <c r="H641" t="inlineStr">
        <is>
          <t>DOC_MEXICO</t>
        </is>
      </c>
      <c r="J641" t="n">
        <v>46091</v>
      </c>
      <c r="K641" t="n">
        <v>46091</v>
      </c>
      <c r="L641" t="n">
        <v>46091</v>
      </c>
      <c r="M641" t="inlineStr">
        <is>
          <t>REF000000</t>
        </is>
      </c>
      <c r="N641" t="inlineStr">
        <is>
          <t>CAVAN</t>
        </is>
      </c>
      <c r="O641" t="inlineStr">
        <is>
          <t>CAVAN</t>
        </is>
      </c>
      <c r="P641" t="inlineStr">
        <is>
          <t>USNFK</t>
        </is>
      </c>
      <c r="U641" t="inlineStr">
        <is>
          <t>RULED</t>
        </is>
      </c>
      <c r="V641" t="inlineStr">
        <is>
          <t>RULED</t>
        </is>
      </c>
      <c r="W641" t="inlineStr">
        <is>
          <t>MEXICO</t>
        </is>
      </c>
      <c r="X641" t="inlineStr">
        <is>
          <t>Latin America</t>
        </is>
      </c>
      <c r="Y641" t="inlineStr">
        <is>
          <t>RUSSIA</t>
        </is>
      </c>
      <c r="Z641" t="inlineStr">
        <is>
          <t>External Review</t>
        </is>
      </c>
      <c r="AA641" t="inlineStr">
        <is>
          <t>HUB SHIPPING LLC-LED</t>
        </is>
      </c>
      <c r="AB641" t="inlineStr">
        <is>
          <t>Prepaid</t>
        </is>
      </c>
      <c r="AC641" t="inlineStr">
        <is>
          <t>TIGER PLATA/971N</t>
        </is>
      </c>
      <c r="AE641" t="inlineStr">
        <is>
          <t>LADEN BOOKING</t>
        </is>
      </c>
      <c r="AF641" t="inlineStr">
        <is>
          <t>DOC_MEXICO</t>
        </is>
      </c>
      <c r="AG641" t="inlineStr">
        <is>
          <t>RH40</t>
        </is>
      </c>
      <c r="AH641" t="inlineStr">
        <is>
          <t>NO</t>
        </is>
      </c>
      <c r="AI641" t="n">
        <v>40</v>
      </c>
      <c r="AJ641" t="n">
        <v>0</v>
      </c>
      <c r="AK641" t="n">
        <v>1</v>
      </c>
      <c r="AL641" t="inlineStr">
        <is>
          <t>ANON0000000</t>
        </is>
      </c>
      <c r="AM641" t="n">
        <v>-18</v>
      </c>
      <c r="AP641" t="inlineStr">
        <is>
          <t>Non Haz</t>
        </is>
      </c>
      <c r="AQ641" t="inlineStr">
        <is>
          <t>CY/CY</t>
        </is>
      </c>
      <c r="AT641" t="inlineStr">
        <is>
          <t>ALUY26000030</t>
        </is>
      </c>
      <c r="AU641" t="n">
        <v>28000</v>
      </c>
      <c r="AV641" t="inlineStr">
        <is>
          <t>MEAT PRODUCTS</t>
        </is>
      </c>
      <c r="AW641" t="n">
        <v>20629</v>
      </c>
      <c r="AX641" t="inlineStr">
        <is>
          <t>RSCOL012600003</t>
        </is>
      </c>
      <c r="AZ641" t="n">
        <v>5</v>
      </c>
      <c r="BA641" t="n">
        <v>20</v>
      </c>
      <c r="BB641" t="n">
        <v>15</v>
      </c>
      <c r="BC641" t="n">
        <v>7500</v>
      </c>
      <c r="BD641" t="inlineStr">
        <is>
          <t>No</t>
        </is>
      </c>
      <c r="BF641" t="inlineStr">
        <is>
          <t>PARANAVE SA</t>
        </is>
      </c>
      <c r="BG641" t="inlineStr">
        <is>
          <t>CAVAN</t>
        </is>
      </c>
      <c r="BH641" t="n">
        <v>0</v>
      </c>
      <c r="BI641" t="n">
        <v>1</v>
      </c>
      <c r="BJ641" t="n">
        <v>7500</v>
      </c>
      <c r="BK641" t="inlineStr">
        <is>
          <t>LINE</t>
        </is>
      </c>
      <c r="BL641" t="inlineStr">
        <is>
          <t>ORCA REEFER</t>
        </is>
      </c>
      <c r="BM641" t="inlineStr">
        <is>
          <t>ORCA REEFER</t>
        </is>
      </c>
    </row>
    <row r="642">
      <c r="A642" t="n">
        <v>641</v>
      </c>
      <c r="B642" t="inlineStr">
        <is>
          <t>WHALE REEFER</t>
        </is>
      </c>
      <c r="C642" t="inlineStr">
        <is>
          <t>REF000000</t>
        </is>
      </c>
      <c r="D642" t="inlineStr">
        <is>
          <t>REF000000</t>
        </is>
      </c>
      <c r="E642" t="n">
        <v>46083</v>
      </c>
      <c r="F642" t="inlineStr">
        <is>
          <t>WHALE REEFER</t>
        </is>
      </c>
      <c r="G642" t="inlineStr">
        <is>
          <t>-18 celsius</t>
        </is>
      </c>
      <c r="H642" t="inlineStr">
        <is>
          <t>DOC_MEXICO</t>
        </is>
      </c>
      <c r="J642" t="n">
        <v>46091</v>
      </c>
      <c r="K642" t="n">
        <v>46091</v>
      </c>
      <c r="L642" t="n">
        <v>46091</v>
      </c>
      <c r="M642" t="inlineStr">
        <is>
          <t>REF000000</t>
        </is>
      </c>
      <c r="N642" t="inlineStr">
        <is>
          <t>CAVAN</t>
        </is>
      </c>
      <c r="O642" t="inlineStr">
        <is>
          <t>CAVAN</t>
        </is>
      </c>
      <c r="P642" t="inlineStr">
        <is>
          <t>USNFK</t>
        </is>
      </c>
      <c r="U642" t="inlineStr">
        <is>
          <t>RULED</t>
        </is>
      </c>
      <c r="V642" t="inlineStr">
        <is>
          <t>RULED</t>
        </is>
      </c>
      <c r="W642" t="inlineStr">
        <is>
          <t>MEXICO</t>
        </is>
      </c>
      <c r="X642" t="inlineStr">
        <is>
          <t>Latin America</t>
        </is>
      </c>
      <c r="Y642" t="inlineStr">
        <is>
          <t>RUSSIA</t>
        </is>
      </c>
      <c r="Z642" t="inlineStr">
        <is>
          <t>External Review</t>
        </is>
      </c>
      <c r="AA642" t="inlineStr">
        <is>
          <t>HUB SHIPPING LLC-LED</t>
        </is>
      </c>
      <c r="AB642" t="inlineStr">
        <is>
          <t>Prepaid</t>
        </is>
      </c>
      <c r="AC642" t="inlineStr">
        <is>
          <t>TIGER PLATA/971N</t>
        </is>
      </c>
      <c r="AE642" t="inlineStr">
        <is>
          <t>LADEN BOOKING</t>
        </is>
      </c>
      <c r="AF642" t="inlineStr">
        <is>
          <t>DOC_MEXICO</t>
        </is>
      </c>
      <c r="AG642" t="inlineStr">
        <is>
          <t>RH40</t>
        </is>
      </c>
      <c r="AH642" t="inlineStr">
        <is>
          <t>NO</t>
        </is>
      </c>
      <c r="AI642" t="n">
        <v>40</v>
      </c>
      <c r="AJ642" t="n">
        <v>0</v>
      </c>
      <c r="AK642" t="n">
        <v>1</v>
      </c>
      <c r="AL642" t="inlineStr">
        <is>
          <t>ANON0000000</t>
        </is>
      </c>
      <c r="AM642" t="n">
        <v>-18</v>
      </c>
      <c r="AP642" t="inlineStr">
        <is>
          <t>Non Haz</t>
        </is>
      </c>
      <c r="AQ642" t="inlineStr">
        <is>
          <t>CY/CY</t>
        </is>
      </c>
      <c r="AT642" t="inlineStr">
        <is>
          <t>ALUY26000031</t>
        </is>
      </c>
      <c r="AU642" t="n">
        <v>28000</v>
      </c>
      <c r="AV642" t="inlineStr">
        <is>
          <t>MEAT PRODUCTS</t>
        </is>
      </c>
      <c r="AW642" t="n">
        <v>20629</v>
      </c>
      <c r="AX642" t="inlineStr">
        <is>
          <t>RSCOL012600003</t>
        </is>
      </c>
      <c r="AZ642" t="n">
        <v>5</v>
      </c>
      <c r="BA642" t="n">
        <v>20</v>
      </c>
      <c r="BB642" t="n">
        <v>15</v>
      </c>
      <c r="BC642" t="n">
        <v>7500</v>
      </c>
      <c r="BD642" t="inlineStr">
        <is>
          <t>No</t>
        </is>
      </c>
      <c r="BF642" t="inlineStr">
        <is>
          <t>PARANAVE SA</t>
        </is>
      </c>
      <c r="BG642" t="inlineStr">
        <is>
          <t>CAVAN</t>
        </is>
      </c>
      <c r="BH642" t="n">
        <v>0</v>
      </c>
      <c r="BI642" t="n">
        <v>1</v>
      </c>
      <c r="BJ642" t="n">
        <v>7500</v>
      </c>
      <c r="BK642" t="inlineStr">
        <is>
          <t>LINE</t>
        </is>
      </c>
      <c r="BL642" t="inlineStr">
        <is>
          <t>WHALE REEFER</t>
        </is>
      </c>
      <c r="BM642" t="inlineStr">
        <is>
          <t>WHALE REEFER</t>
        </is>
      </c>
    </row>
    <row r="643">
      <c r="A643" t="n">
        <v>642</v>
      </c>
      <c r="B643" t="inlineStr">
        <is>
          <t>SEAL REEFER</t>
        </is>
      </c>
      <c r="C643" t="inlineStr">
        <is>
          <t>REF000000</t>
        </is>
      </c>
      <c r="D643" t="inlineStr">
        <is>
          <t>REF000000</t>
        </is>
      </c>
      <c r="E643" t="n">
        <v>46086</v>
      </c>
      <c r="F643" t="inlineStr">
        <is>
          <t>SEAL REEFER</t>
        </is>
      </c>
      <c r="G643" t="inlineStr">
        <is>
          <t>final reefer details should be collected and provided to carrier by agents of POL</t>
        </is>
      </c>
      <c r="H643" t="inlineStr">
        <is>
          <t>AdminCOL</t>
        </is>
      </c>
      <c r="J643" t="n">
        <v>46101</v>
      </c>
      <c r="K643" t="n">
        <v>46100</v>
      </c>
      <c r="L643" t="n">
        <v>46101</v>
      </c>
      <c r="M643" t="inlineStr">
        <is>
          <t>REF000000</t>
        </is>
      </c>
      <c r="N643" t="inlineStr">
        <is>
          <t>CAVAN</t>
        </is>
      </c>
      <c r="O643" t="inlineStr">
        <is>
          <t>CAVAN</t>
        </is>
      </c>
      <c r="P643" t="inlineStr">
        <is>
          <t>USNFK</t>
        </is>
      </c>
      <c r="U643" t="inlineStr">
        <is>
          <t>RULED</t>
        </is>
      </c>
      <c r="V643" t="inlineStr">
        <is>
          <t>RULED</t>
        </is>
      </c>
      <c r="W643" t="inlineStr">
        <is>
          <t>MEXICO</t>
        </is>
      </c>
      <c r="X643" t="inlineStr">
        <is>
          <t>Latin America</t>
        </is>
      </c>
      <c r="Y643" t="inlineStr">
        <is>
          <t>RUSSIA</t>
        </is>
      </c>
      <c r="Z643" t="inlineStr">
        <is>
          <t>External Review</t>
        </is>
      </c>
      <c r="AA643" t="inlineStr">
        <is>
          <t>HUB SHIPPING LLC-LED</t>
        </is>
      </c>
      <c r="AB643" t="inlineStr">
        <is>
          <t>Collect</t>
        </is>
      </c>
      <c r="AC643" t="inlineStr">
        <is>
          <t>TIGER GAUCHO/913N</t>
        </is>
      </c>
      <c r="AE643" t="inlineStr">
        <is>
          <t>LADEN BOOKING</t>
        </is>
      </c>
      <c r="AF643" t="inlineStr">
        <is>
          <t>RenniCOL</t>
        </is>
      </c>
      <c r="AG643" t="inlineStr">
        <is>
          <t>RH40</t>
        </is>
      </c>
      <c r="AH643" t="inlineStr">
        <is>
          <t>NO</t>
        </is>
      </c>
      <c r="AI643" t="n">
        <v>40</v>
      </c>
      <c r="AJ643" t="n">
        <v>0</v>
      </c>
      <c r="AK643" t="n">
        <v>1</v>
      </c>
      <c r="AL643" t="inlineStr">
        <is>
          <t>ANON0000000</t>
        </is>
      </c>
      <c r="AM643" t="n">
        <v>-18</v>
      </c>
      <c r="AP643" t="inlineStr">
        <is>
          <t>Non Haz</t>
        </is>
      </c>
      <c r="AQ643" t="inlineStr">
        <is>
          <t>CY/CY</t>
        </is>
      </c>
      <c r="AT643" t="inlineStr">
        <is>
          <t>ALUY26000032</t>
        </is>
      </c>
      <c r="AU643" t="n">
        <v>27000</v>
      </c>
      <c r="AV643" t="inlineStr">
        <is>
          <t>FROZEN FOODSTUFF</t>
        </is>
      </c>
      <c r="AW643" t="n">
        <v>20622</v>
      </c>
      <c r="AX643" t="inlineStr">
        <is>
          <t>RSCOL022600002</t>
        </is>
      </c>
      <c r="AZ643" t="n">
        <v>0</v>
      </c>
      <c r="BA643" t="n">
        <v>5</v>
      </c>
      <c r="BB643" t="n">
        <v>5</v>
      </c>
      <c r="BC643" t="n">
        <v>9050</v>
      </c>
      <c r="BD643" t="inlineStr">
        <is>
          <t>Yes</t>
        </is>
      </c>
      <c r="BF643" t="inlineStr">
        <is>
          <t>PARANAVE SA</t>
        </is>
      </c>
      <c r="BG643" t="inlineStr">
        <is>
          <t>RULED</t>
        </is>
      </c>
      <c r="BH643" t="n">
        <v>0</v>
      </c>
      <c r="BI643" t="n">
        <v>1</v>
      </c>
      <c r="BJ643" t="n">
        <v>9050</v>
      </c>
      <c r="BK643" t="inlineStr">
        <is>
          <t>LINE</t>
        </is>
      </c>
      <c r="BL643" t="inlineStr">
        <is>
          <t>SEAL REEFER</t>
        </is>
      </c>
      <c r="BM643" t="inlineStr">
        <is>
          <t>SEAL REEFER</t>
        </is>
      </c>
    </row>
    <row r="644">
      <c r="A644" t="n">
        <v>643</v>
      </c>
      <c r="B644" t="inlineStr">
        <is>
          <t>SHARK REEFER</t>
        </is>
      </c>
      <c r="C644" t="inlineStr">
        <is>
          <t>REF000000</t>
        </is>
      </c>
      <c r="D644" t="inlineStr">
        <is>
          <t>REF000000</t>
        </is>
      </c>
      <c r="E644" t="n">
        <v>46087</v>
      </c>
      <c r="F644" t="inlineStr">
        <is>
          <t>SHARK REEFER</t>
        </is>
      </c>
      <c r="G644" t="inlineStr">
        <is>
          <t>-18 celsius</t>
        </is>
      </c>
      <c r="H644" t="inlineStr">
        <is>
          <t>DOC_MEXICO</t>
        </is>
      </c>
      <c r="J644" t="n">
        <v>46101</v>
      </c>
      <c r="K644" t="n">
        <v>46100</v>
      </c>
      <c r="L644" t="n">
        <v>46101</v>
      </c>
      <c r="M644" t="inlineStr">
        <is>
          <t>REF000000</t>
        </is>
      </c>
      <c r="N644" t="inlineStr">
        <is>
          <t>CAVAN</t>
        </is>
      </c>
      <c r="O644" t="inlineStr">
        <is>
          <t>CAVAN</t>
        </is>
      </c>
      <c r="P644" t="inlineStr">
        <is>
          <t>USNFK</t>
        </is>
      </c>
      <c r="U644" t="inlineStr">
        <is>
          <t>RULED</t>
        </is>
      </c>
      <c r="V644" t="inlineStr">
        <is>
          <t>RULED</t>
        </is>
      </c>
      <c r="W644" t="inlineStr">
        <is>
          <t>MEXICO</t>
        </is>
      </c>
      <c r="X644" t="inlineStr">
        <is>
          <t>Latin America</t>
        </is>
      </c>
      <c r="Y644" t="inlineStr">
        <is>
          <t>RUSSIA</t>
        </is>
      </c>
      <c r="Z644" t="inlineStr">
        <is>
          <t>External Review</t>
        </is>
      </c>
      <c r="AA644" t="inlineStr">
        <is>
          <t>HUB SHIPPING LLC-LED</t>
        </is>
      </c>
      <c r="AB644" t="inlineStr">
        <is>
          <t>Prepaid</t>
        </is>
      </c>
      <c r="AC644" t="inlineStr">
        <is>
          <t>TIGER GAUCHO/913N</t>
        </is>
      </c>
      <c r="AE644" t="inlineStr">
        <is>
          <t>LADEN BOOKING</t>
        </is>
      </c>
      <c r="AF644" t="inlineStr">
        <is>
          <t>DOC_MEXICO</t>
        </is>
      </c>
      <c r="AG644" t="inlineStr">
        <is>
          <t>RH40</t>
        </is>
      </c>
      <c r="AH644" t="inlineStr">
        <is>
          <t>NO</t>
        </is>
      </c>
      <c r="AI644" t="n">
        <v>40</v>
      </c>
      <c r="AJ644" t="n">
        <v>0</v>
      </c>
      <c r="AK644" t="n">
        <v>1</v>
      </c>
      <c r="AL644" t="inlineStr">
        <is>
          <t>ANON0000000</t>
        </is>
      </c>
      <c r="AM644" t="n">
        <v>-18</v>
      </c>
      <c r="AP644" t="inlineStr">
        <is>
          <t>Non Haz</t>
        </is>
      </c>
      <c r="AQ644" t="inlineStr">
        <is>
          <t>CY/CY</t>
        </is>
      </c>
      <c r="AT644" t="inlineStr">
        <is>
          <t>ALUY26000035</t>
        </is>
      </c>
      <c r="AU644" t="n">
        <v>28000</v>
      </c>
      <c r="AV644" t="inlineStr">
        <is>
          <t>MEAT PRODUCTS</t>
        </is>
      </c>
      <c r="AW644" t="n">
        <v>20629</v>
      </c>
      <c r="AX644" t="inlineStr">
        <is>
          <t>RSCOL012600003</t>
        </is>
      </c>
      <c r="AZ644" t="n">
        <v>5</v>
      </c>
      <c r="BA644" t="n">
        <v>20</v>
      </c>
      <c r="BB644" t="n">
        <v>15</v>
      </c>
      <c r="BC644" t="n">
        <v>7500</v>
      </c>
      <c r="BD644" t="inlineStr">
        <is>
          <t>No</t>
        </is>
      </c>
      <c r="BF644" t="inlineStr">
        <is>
          <t>PARANAVE SA</t>
        </is>
      </c>
      <c r="BG644" t="inlineStr">
        <is>
          <t>CAVAN</t>
        </is>
      </c>
      <c r="BH644" t="n">
        <v>0</v>
      </c>
      <c r="BI644" t="n">
        <v>1</v>
      </c>
      <c r="BJ644" t="n">
        <v>7500</v>
      </c>
      <c r="BK644" t="inlineStr">
        <is>
          <t>LINE</t>
        </is>
      </c>
      <c r="BL644" t="inlineStr">
        <is>
          <t>SHARK REEFER</t>
        </is>
      </c>
      <c r="BM644" t="inlineStr">
        <is>
          <t>SHARK REEFER</t>
        </is>
      </c>
    </row>
    <row r="645">
      <c r="A645" t="n">
        <v>644</v>
      </c>
      <c r="B645" t="inlineStr">
        <is>
          <t>DOLPHIN REEFER</t>
        </is>
      </c>
      <c r="C645" t="inlineStr">
        <is>
          <t>REF000000</t>
        </is>
      </c>
      <c r="D645" t="inlineStr">
        <is>
          <t>REF000000</t>
        </is>
      </c>
      <c r="E645" t="n">
        <v>46087</v>
      </c>
      <c r="F645" t="inlineStr">
        <is>
          <t>DOLPHIN REEFER</t>
        </is>
      </c>
      <c r="G645" t="inlineStr">
        <is>
          <t>-18 celsius</t>
        </is>
      </c>
      <c r="H645" t="inlineStr">
        <is>
          <t>DOC_MEXICO</t>
        </is>
      </c>
      <c r="J645" t="n">
        <v>46101</v>
      </c>
      <c r="K645" t="n">
        <v>46100</v>
      </c>
      <c r="L645" t="n">
        <v>46101</v>
      </c>
      <c r="M645" t="inlineStr">
        <is>
          <t>REF000000</t>
        </is>
      </c>
      <c r="N645" t="inlineStr">
        <is>
          <t>CAVAN</t>
        </is>
      </c>
      <c r="O645" t="inlineStr">
        <is>
          <t>CAVAN</t>
        </is>
      </c>
      <c r="P645" t="inlineStr">
        <is>
          <t>USNFK</t>
        </is>
      </c>
      <c r="U645" t="inlineStr">
        <is>
          <t>RULED</t>
        </is>
      </c>
      <c r="V645" t="inlineStr">
        <is>
          <t>RULED</t>
        </is>
      </c>
      <c r="W645" t="inlineStr">
        <is>
          <t>MEXICO</t>
        </is>
      </c>
      <c r="X645" t="inlineStr">
        <is>
          <t>Latin America</t>
        </is>
      </c>
      <c r="Y645" t="inlineStr">
        <is>
          <t>RUSSIA</t>
        </is>
      </c>
      <c r="Z645" t="inlineStr">
        <is>
          <t>External Review</t>
        </is>
      </c>
      <c r="AA645" t="inlineStr">
        <is>
          <t>HUB SHIPPING LLC-LED</t>
        </is>
      </c>
      <c r="AB645" t="inlineStr">
        <is>
          <t>Prepaid</t>
        </is>
      </c>
      <c r="AC645" t="inlineStr">
        <is>
          <t>TIGER GAUCHO/913N</t>
        </is>
      </c>
      <c r="AE645" t="inlineStr">
        <is>
          <t>LADEN BOOKING</t>
        </is>
      </c>
      <c r="AF645" t="inlineStr">
        <is>
          <t>DOC_MEXICO</t>
        </is>
      </c>
      <c r="AG645" t="inlineStr">
        <is>
          <t>RH40</t>
        </is>
      </c>
      <c r="AH645" t="inlineStr">
        <is>
          <t>NO</t>
        </is>
      </c>
      <c r="AI645" t="n">
        <v>40</v>
      </c>
      <c r="AJ645" t="n">
        <v>0</v>
      </c>
      <c r="AK645" t="n">
        <v>1</v>
      </c>
      <c r="AL645" t="inlineStr">
        <is>
          <t>ANON0000000</t>
        </is>
      </c>
      <c r="AM645" t="n">
        <v>-18</v>
      </c>
      <c r="AP645" t="inlineStr">
        <is>
          <t>Non Haz</t>
        </is>
      </c>
      <c r="AQ645" t="inlineStr">
        <is>
          <t>CY/CY</t>
        </is>
      </c>
      <c r="AT645" t="inlineStr">
        <is>
          <t>ALUY26000037</t>
        </is>
      </c>
      <c r="AU645" t="n">
        <v>28000</v>
      </c>
      <c r="AV645" t="inlineStr">
        <is>
          <t>MEAT PRODUCTS</t>
        </is>
      </c>
      <c r="AW645" t="n">
        <v>150210</v>
      </c>
      <c r="AX645" t="inlineStr">
        <is>
          <t>RSCOL012600003</t>
        </is>
      </c>
      <c r="AZ645" t="n">
        <v>5</v>
      </c>
      <c r="BA645" t="n">
        <v>20</v>
      </c>
      <c r="BB645" t="n">
        <v>15</v>
      </c>
      <c r="BC645" t="n">
        <v>7500</v>
      </c>
      <c r="BD645" t="inlineStr">
        <is>
          <t>No</t>
        </is>
      </c>
      <c r="BF645" t="inlineStr">
        <is>
          <t>PARANAVE SA</t>
        </is>
      </c>
      <c r="BG645" t="inlineStr">
        <is>
          <t>CAVAN</t>
        </is>
      </c>
      <c r="BH645" t="n">
        <v>0</v>
      </c>
      <c r="BI645" t="n">
        <v>1</v>
      </c>
      <c r="BJ645" t="n">
        <v>7500</v>
      </c>
      <c r="BK645" t="inlineStr">
        <is>
          <t>LINE</t>
        </is>
      </c>
      <c r="BL645" t="inlineStr">
        <is>
          <t>DOLPHIN REEFER</t>
        </is>
      </c>
      <c r="BM645" t="inlineStr">
        <is>
          <t>DOLPHIN REEFER</t>
        </is>
      </c>
    </row>
    <row r="646">
      <c r="A646" t="n">
        <v>645</v>
      </c>
      <c r="B646" t="inlineStr">
        <is>
          <t>MARLIN REEFER</t>
        </is>
      </c>
      <c r="C646" t="inlineStr">
        <is>
          <t>REF000000</t>
        </is>
      </c>
      <c r="D646" t="inlineStr">
        <is>
          <t>REF000000</t>
        </is>
      </c>
      <c r="E646" t="n">
        <v>46091</v>
      </c>
      <c r="F646" t="inlineStr">
        <is>
          <t>MARLIN REEFER</t>
        </is>
      </c>
      <c r="G646" t="inlineStr">
        <is>
          <t>-18 celsius</t>
        </is>
      </c>
      <c r="H646" t="inlineStr">
        <is>
          <t>DOC_MEXICO</t>
        </is>
      </c>
      <c r="J646" t="n">
        <v>46101</v>
      </c>
      <c r="K646" t="n">
        <v>46100</v>
      </c>
      <c r="L646" t="n">
        <v>46101</v>
      </c>
      <c r="M646" t="inlineStr">
        <is>
          <t>REF000000</t>
        </is>
      </c>
      <c r="N646" t="inlineStr">
        <is>
          <t>CAVAN</t>
        </is>
      </c>
      <c r="O646" t="inlineStr">
        <is>
          <t>CAVAN</t>
        </is>
      </c>
      <c r="P646" t="inlineStr">
        <is>
          <t>USNFK</t>
        </is>
      </c>
      <c r="U646" t="inlineStr">
        <is>
          <t>RULED</t>
        </is>
      </c>
      <c r="V646" t="inlineStr">
        <is>
          <t>RULED</t>
        </is>
      </c>
      <c r="W646" t="inlineStr">
        <is>
          <t>MEXICO</t>
        </is>
      </c>
      <c r="X646" t="inlineStr">
        <is>
          <t>Latin America</t>
        </is>
      </c>
      <c r="Y646" t="inlineStr">
        <is>
          <t>RUSSIA</t>
        </is>
      </c>
      <c r="Z646" t="inlineStr">
        <is>
          <t>External Review</t>
        </is>
      </c>
      <c r="AA646" t="inlineStr">
        <is>
          <t>HUB SHIPPING LLC-LED</t>
        </is>
      </c>
      <c r="AB646" t="inlineStr">
        <is>
          <t>Prepaid</t>
        </is>
      </c>
      <c r="AC646" t="inlineStr">
        <is>
          <t>TIGER GAUCHO/913N</t>
        </is>
      </c>
      <c r="AE646" t="inlineStr">
        <is>
          <t>LADEN BOOKING</t>
        </is>
      </c>
      <c r="AF646" t="inlineStr">
        <is>
          <t>DOC_MEXICO</t>
        </is>
      </c>
      <c r="AG646" t="inlineStr">
        <is>
          <t>RH40</t>
        </is>
      </c>
      <c r="AH646" t="inlineStr">
        <is>
          <t>NO</t>
        </is>
      </c>
      <c r="AI646" t="n">
        <v>40</v>
      </c>
      <c r="AJ646" t="n">
        <v>0</v>
      </c>
      <c r="AK646" t="n">
        <v>1</v>
      </c>
      <c r="AL646" t="inlineStr">
        <is>
          <t>ANON0000000</t>
        </is>
      </c>
      <c r="AM646" t="n">
        <v>-18</v>
      </c>
      <c r="AP646" t="inlineStr">
        <is>
          <t>Non Haz</t>
        </is>
      </c>
      <c r="AQ646" t="inlineStr">
        <is>
          <t>CY/CY</t>
        </is>
      </c>
      <c r="AT646" t="inlineStr">
        <is>
          <t>ALUY26000034</t>
        </is>
      </c>
      <c r="AU646" t="n">
        <v>28000</v>
      </c>
      <c r="AV646" t="inlineStr">
        <is>
          <t>FROZEN MEAT</t>
        </is>
      </c>
      <c r="AW646" t="n">
        <v>20629</v>
      </c>
      <c r="AX646" t="inlineStr">
        <is>
          <t>RSCOL032600001</t>
        </is>
      </c>
      <c r="AZ646" t="n">
        <v>0</v>
      </c>
      <c r="BA646" t="n">
        <v>10</v>
      </c>
      <c r="BB646" t="n">
        <v>10</v>
      </c>
      <c r="BC646" t="n">
        <v>8000</v>
      </c>
      <c r="BD646" t="inlineStr">
        <is>
          <t>No</t>
        </is>
      </c>
      <c r="BF646" t="inlineStr">
        <is>
          <t>PARANAVE SA</t>
        </is>
      </c>
      <c r="BG646" t="inlineStr">
        <is>
          <t>CAVAN</t>
        </is>
      </c>
      <c r="BH646" t="n">
        <v>0</v>
      </c>
      <c r="BI646" t="n">
        <v>1</v>
      </c>
      <c r="BJ646" t="n">
        <v>8000</v>
      </c>
      <c r="BK646" t="inlineStr">
        <is>
          <t>LINE</t>
        </is>
      </c>
      <c r="BL646" t="inlineStr">
        <is>
          <t>MARLIN REEFER</t>
        </is>
      </c>
      <c r="BM646" t="inlineStr">
        <is>
          <t>MARLIN REEFER</t>
        </is>
      </c>
    </row>
    <row r="647">
      <c r="A647" t="n">
        <v>646</v>
      </c>
      <c r="B647" t="inlineStr">
        <is>
          <t>TURTLE REEFER</t>
        </is>
      </c>
      <c r="C647" t="inlineStr">
        <is>
          <t>REF000000</t>
        </is>
      </c>
      <c r="D647" t="inlineStr">
        <is>
          <t>REF000000</t>
        </is>
      </c>
      <c r="E647" t="n">
        <v>46092</v>
      </c>
      <c r="F647" t="inlineStr">
        <is>
          <t>TURTLE REEFER</t>
        </is>
      </c>
      <c r="G647" t="inlineStr">
        <is>
          <t>-18 celsius</t>
        </is>
      </c>
      <c r="H647" t="inlineStr">
        <is>
          <t>DOC_MEXICO</t>
        </is>
      </c>
      <c r="J647" t="n">
        <v>46101</v>
      </c>
      <c r="K647" t="n">
        <v>46100</v>
      </c>
      <c r="L647" t="n">
        <v>46101</v>
      </c>
      <c r="M647" t="inlineStr">
        <is>
          <t>REF000000</t>
        </is>
      </c>
      <c r="N647" t="inlineStr">
        <is>
          <t>CAVAN</t>
        </is>
      </c>
      <c r="O647" t="inlineStr">
        <is>
          <t>CAVAN</t>
        </is>
      </c>
      <c r="P647" t="inlineStr">
        <is>
          <t>USNFK</t>
        </is>
      </c>
      <c r="U647" t="inlineStr">
        <is>
          <t>RULED</t>
        </is>
      </c>
      <c r="V647" t="inlineStr">
        <is>
          <t>RULED</t>
        </is>
      </c>
      <c r="W647" t="inlineStr">
        <is>
          <t>MEXICO</t>
        </is>
      </c>
      <c r="X647" t="inlineStr">
        <is>
          <t>Latin America</t>
        </is>
      </c>
      <c r="Y647" t="inlineStr">
        <is>
          <t>RUSSIA</t>
        </is>
      </c>
      <c r="Z647" t="inlineStr">
        <is>
          <t>External Review</t>
        </is>
      </c>
      <c r="AA647" t="inlineStr">
        <is>
          <t>HUB SHIPPING LLC-LED</t>
        </is>
      </c>
      <c r="AB647" t="inlineStr">
        <is>
          <t>Prepaid</t>
        </is>
      </c>
      <c r="AC647" t="inlineStr">
        <is>
          <t>TIGER GAUCHO/913N</t>
        </is>
      </c>
      <c r="AE647" t="inlineStr">
        <is>
          <t>LADEN BOOKING</t>
        </is>
      </c>
      <c r="AF647" t="inlineStr">
        <is>
          <t>DOC_MEXICO</t>
        </is>
      </c>
      <c r="AG647" t="inlineStr">
        <is>
          <t>RH40</t>
        </is>
      </c>
      <c r="AH647" t="inlineStr">
        <is>
          <t>NO</t>
        </is>
      </c>
      <c r="AI647" t="n">
        <v>40</v>
      </c>
      <c r="AJ647" t="n">
        <v>0</v>
      </c>
      <c r="AK647" t="n">
        <v>1</v>
      </c>
      <c r="AL647" t="inlineStr">
        <is>
          <t>ANON0000000</t>
        </is>
      </c>
      <c r="AM647" t="n">
        <v>-18</v>
      </c>
      <c r="AP647" t="inlineStr">
        <is>
          <t>Non Haz</t>
        </is>
      </c>
      <c r="AQ647" t="inlineStr">
        <is>
          <t>CY/CY</t>
        </is>
      </c>
      <c r="AT647" t="inlineStr">
        <is>
          <t>ALUY26000036</t>
        </is>
      </c>
      <c r="AU647" t="n">
        <v>28000</v>
      </c>
      <c r="AV647" t="inlineStr">
        <is>
          <t>FROZEN MEAT</t>
        </is>
      </c>
      <c r="AW647" t="n">
        <v>20230</v>
      </c>
      <c r="AX647" t="inlineStr">
        <is>
          <t>RSCOL032600002</t>
        </is>
      </c>
      <c r="AZ647" t="n">
        <v>0</v>
      </c>
      <c r="BA647" t="n">
        <v>10</v>
      </c>
      <c r="BB647" t="n">
        <v>10</v>
      </c>
      <c r="BC647" t="n">
        <v>8000</v>
      </c>
      <c r="BD647" t="inlineStr">
        <is>
          <t>No</t>
        </is>
      </c>
      <c r="BF647" t="inlineStr">
        <is>
          <t>PARANAVE SA</t>
        </is>
      </c>
      <c r="BG647" t="inlineStr">
        <is>
          <t>CAVAN</t>
        </is>
      </c>
      <c r="BH647" t="n">
        <v>0</v>
      </c>
      <c r="BI647" t="n">
        <v>1</v>
      </c>
      <c r="BJ647" t="n">
        <v>8000</v>
      </c>
      <c r="BK647" t="inlineStr">
        <is>
          <t>LINE</t>
        </is>
      </c>
      <c r="BL647" t="inlineStr">
        <is>
          <t>TURTLE REEFER</t>
        </is>
      </c>
      <c r="BM647" t="inlineStr">
        <is>
          <t>TURTLE REEFER</t>
        </is>
      </c>
    </row>
    <row r="648">
      <c r="A648" t="n">
        <v>647</v>
      </c>
      <c r="B648" t="inlineStr">
        <is>
          <t>FALCON DRY</t>
        </is>
      </c>
      <c r="C648" t="inlineStr">
        <is>
          <t>REF000000</t>
        </is>
      </c>
      <c r="D648" t="inlineStr">
        <is>
          <t>REF000000</t>
        </is>
      </c>
      <c r="E648" t="n">
        <v>46093</v>
      </c>
      <c r="F648" t="inlineStr">
        <is>
          <t>FALCON DRY</t>
        </is>
      </c>
      <c r="G648" t="inlineStr">
        <is>
          <t>In attach the approval. Only booking REF000000 considers both UN numbers in the same container.</t>
        </is>
      </c>
      <c r="H648" t="inlineStr">
        <is>
          <t>DOC_MEXICO</t>
        </is>
      </c>
      <c r="J648" t="n">
        <v>46108</v>
      </c>
      <c r="K648" t="n">
        <v>46107</v>
      </c>
      <c r="L648" t="n">
        <v>46108</v>
      </c>
      <c r="M648" t="inlineStr">
        <is>
          <t>REF000000</t>
        </is>
      </c>
      <c r="N648" t="inlineStr">
        <is>
          <t>CAVAN</t>
        </is>
      </c>
      <c r="O648" t="inlineStr">
        <is>
          <t>CAVAN</t>
        </is>
      </c>
      <c r="P648" t="inlineStr">
        <is>
          <t>USNFK</t>
        </is>
      </c>
      <c r="U648" t="inlineStr">
        <is>
          <t>RULED</t>
        </is>
      </c>
      <c r="V648" t="inlineStr">
        <is>
          <t>RULED</t>
        </is>
      </c>
      <c r="W648" t="inlineStr">
        <is>
          <t>MEXICO</t>
        </is>
      </c>
      <c r="X648" t="inlineStr">
        <is>
          <t>Latin America</t>
        </is>
      </c>
      <c r="Y648" t="inlineStr">
        <is>
          <t>RUSSIA</t>
        </is>
      </c>
      <c r="Z648" t="inlineStr">
        <is>
          <t>External Review</t>
        </is>
      </c>
      <c r="AA648" t="inlineStr">
        <is>
          <t>HUB SHIPPING LLC-LED</t>
        </is>
      </c>
      <c r="AB648" t="inlineStr">
        <is>
          <t>Prepaid</t>
        </is>
      </c>
      <c r="AC648" t="inlineStr">
        <is>
          <t>TIGER GAUCHO/914N</t>
        </is>
      </c>
      <c r="AE648" t="inlineStr">
        <is>
          <t>LADEN BOOKING</t>
        </is>
      </c>
      <c r="AF648" t="inlineStr">
        <is>
          <t>DOC_MEXICO</t>
        </is>
      </c>
      <c r="AG648" t="inlineStr">
        <is>
          <t>HC40</t>
        </is>
      </c>
      <c r="AH648" t="inlineStr">
        <is>
          <t>NO</t>
        </is>
      </c>
      <c r="AI648" t="n">
        <v>40</v>
      </c>
      <c r="AJ648" t="n">
        <v>0</v>
      </c>
      <c r="AK648" t="n">
        <v>1</v>
      </c>
      <c r="AL648" t="inlineStr">
        <is>
          <t>ANON0000000</t>
        </is>
      </c>
      <c r="AP648" t="inlineStr">
        <is>
          <t>HAZ</t>
        </is>
      </c>
      <c r="AQ648" t="inlineStr">
        <is>
          <t>CY/CY</t>
        </is>
      </c>
      <c r="AR648" t="n">
        <v>8</v>
      </c>
      <c r="AS648" t="n">
        <v>1805</v>
      </c>
      <c r="AT648" t="inlineStr">
        <is>
          <t>ALUY26000040</t>
        </is>
      </c>
      <c r="AU648" t="n">
        <v>28000</v>
      </c>
      <c r="AV648" t="inlineStr">
        <is>
          <t>PHOSPHORIC ACID, LIQUID, SOLUTION</t>
        </is>
      </c>
      <c r="AW648" t="inlineStr">
        <is>
          <t>2106901000 2916312100 2918140000 2918150000 2924299100 2932140000 2934999900 3302100000 3824997900 3824998900 1702900000</t>
        </is>
      </c>
      <c r="AX648" t="inlineStr">
        <is>
          <t>RSCOL032600003</t>
        </is>
      </c>
      <c r="AZ648" t="n">
        <v>0</v>
      </c>
      <c r="BA648" t="n">
        <v>20</v>
      </c>
      <c r="BB648" t="n">
        <v>14</v>
      </c>
      <c r="BC648" t="n">
        <v>5500</v>
      </c>
      <c r="BD648" t="inlineStr">
        <is>
          <t>No</t>
        </is>
      </c>
      <c r="BF648" t="inlineStr">
        <is>
          <t>PARANAVE SA</t>
        </is>
      </c>
      <c r="BG648" t="inlineStr">
        <is>
          <t>CAVAN</t>
        </is>
      </c>
      <c r="BH648" t="n">
        <v>0</v>
      </c>
      <c r="BI648" t="n">
        <v>1</v>
      </c>
      <c r="BJ648" t="n">
        <v>5500</v>
      </c>
      <c r="BK648" t="inlineStr">
        <is>
          <t>LINE</t>
        </is>
      </c>
      <c r="BL648" t="inlineStr">
        <is>
          <t>FALCON DRY</t>
        </is>
      </c>
      <c r="BM648" t="inlineStr">
        <is>
          <t>FALCON DRY</t>
        </is>
      </c>
    </row>
    <row r="649">
      <c r="A649" t="n">
        <v>648</v>
      </c>
      <c r="B649" t="inlineStr">
        <is>
          <t>WOLF DRY</t>
        </is>
      </c>
      <c r="C649" t="inlineStr">
        <is>
          <t>REF000000</t>
        </is>
      </c>
      <c r="D649" t="inlineStr">
        <is>
          <t>REF000000</t>
        </is>
      </c>
      <c r="E649" t="n">
        <v>46093</v>
      </c>
      <c r="F649" t="inlineStr">
        <is>
          <t>WOLF DRY</t>
        </is>
      </c>
      <c r="G649" t="inlineStr">
        <is>
          <t>In attach the approval. Only booking REF000000 considers both UN numbers in the same container.</t>
        </is>
      </c>
      <c r="H649" t="inlineStr">
        <is>
          <t>DOC_MEXICO</t>
        </is>
      </c>
      <c r="J649" t="n">
        <v>46108</v>
      </c>
      <c r="K649" t="n">
        <v>46107</v>
      </c>
      <c r="L649" t="n">
        <v>46108</v>
      </c>
      <c r="M649" t="inlineStr">
        <is>
          <t>REF000000</t>
        </is>
      </c>
      <c r="N649" t="inlineStr">
        <is>
          <t>CAVAN</t>
        </is>
      </c>
      <c r="O649" t="inlineStr">
        <is>
          <t>CAVAN</t>
        </is>
      </c>
      <c r="P649" t="inlineStr">
        <is>
          <t>USNFK</t>
        </is>
      </c>
      <c r="U649" t="inlineStr">
        <is>
          <t>RULED</t>
        </is>
      </c>
      <c r="V649" t="inlineStr">
        <is>
          <t>RULED</t>
        </is>
      </c>
      <c r="W649" t="inlineStr">
        <is>
          <t>MEXICO</t>
        </is>
      </c>
      <c r="X649" t="inlineStr">
        <is>
          <t>Latin America</t>
        </is>
      </c>
      <c r="Y649" t="inlineStr">
        <is>
          <t>RUSSIA</t>
        </is>
      </c>
      <c r="Z649" t="inlineStr">
        <is>
          <t>External Review</t>
        </is>
      </c>
      <c r="AA649" t="inlineStr">
        <is>
          <t>HUB SHIPPING LLC-LED</t>
        </is>
      </c>
      <c r="AB649" t="inlineStr">
        <is>
          <t>Prepaid</t>
        </is>
      </c>
      <c r="AC649" t="inlineStr">
        <is>
          <t>TIGER GAUCHO/914N</t>
        </is>
      </c>
      <c r="AE649" t="inlineStr">
        <is>
          <t>LADEN BOOKING</t>
        </is>
      </c>
      <c r="AF649" t="inlineStr">
        <is>
          <t>DOC_MEXICO</t>
        </is>
      </c>
      <c r="AG649" t="inlineStr">
        <is>
          <t>HC40</t>
        </is>
      </c>
      <c r="AH649" t="inlineStr">
        <is>
          <t>NO</t>
        </is>
      </c>
      <c r="AI649" t="n">
        <v>40</v>
      </c>
      <c r="AJ649" t="n">
        <v>0</v>
      </c>
      <c r="AK649" t="n">
        <v>1</v>
      </c>
      <c r="AL649" t="inlineStr">
        <is>
          <t>ANON0000000</t>
        </is>
      </c>
      <c r="AP649" t="inlineStr">
        <is>
          <t>HAZ</t>
        </is>
      </c>
      <c r="AQ649" t="inlineStr">
        <is>
          <t>CY/CY</t>
        </is>
      </c>
      <c r="AR649" t="n">
        <v>3.8</v>
      </c>
      <c r="AS649" t="n">
        <v>1197.1805</v>
      </c>
      <c r="AT649" t="inlineStr">
        <is>
          <t>ALUY26000041</t>
        </is>
      </c>
      <c r="AU649" t="n">
        <v>28000</v>
      </c>
      <c r="AV649" t="inlineStr">
        <is>
          <t>EXTRACTS, FLAVOURING, LIQUID</t>
        </is>
      </c>
      <c r="AW649" t="inlineStr">
        <is>
          <t>1702900000 2106901000 2916312100 2918140000 2918150000 2918199000 2924299100 2932140000 2934999900 2939301000 3204199000 3302100000 3824997900</t>
        </is>
      </c>
      <c r="AX649" t="inlineStr">
        <is>
          <t>RSCOL032600004</t>
        </is>
      </c>
      <c r="AZ649" t="n">
        <v>0</v>
      </c>
      <c r="BA649" t="n">
        <v>20</v>
      </c>
      <c r="BB649" t="n">
        <v>14</v>
      </c>
      <c r="BC649" t="n">
        <v>5500</v>
      </c>
      <c r="BD649" t="inlineStr">
        <is>
          <t>No</t>
        </is>
      </c>
      <c r="BF649" t="inlineStr">
        <is>
          <t>PARANAVE SA</t>
        </is>
      </c>
      <c r="BG649" t="inlineStr">
        <is>
          <t>CAVAN</t>
        </is>
      </c>
      <c r="BH649" t="n">
        <v>0</v>
      </c>
      <c r="BI649" t="n">
        <v>1</v>
      </c>
      <c r="BJ649" t="n">
        <v>5500</v>
      </c>
      <c r="BK649" t="inlineStr">
        <is>
          <t>LINE</t>
        </is>
      </c>
      <c r="BL649" t="inlineStr">
        <is>
          <t>WOLF DRY</t>
        </is>
      </c>
      <c r="BM649" t="inlineStr">
        <is>
          <t>WOLF DRY</t>
        </is>
      </c>
    </row>
    <row r="650">
      <c r="A650" t="n">
        <v>649</v>
      </c>
      <c r="B650" t="inlineStr">
        <is>
          <t>SEAL REEFER</t>
        </is>
      </c>
      <c r="C650" t="inlineStr">
        <is>
          <t>REF000000</t>
        </is>
      </c>
      <c r="D650" t="inlineStr">
        <is>
          <t>REF000000</t>
        </is>
      </c>
      <c r="E650" t="n">
        <v>46094</v>
      </c>
      <c r="F650" t="inlineStr">
        <is>
          <t>SEAL REEFER</t>
        </is>
      </c>
      <c r="G650" t="inlineStr">
        <is>
          <t>-18 celsius</t>
        </is>
      </c>
      <c r="H650" t="inlineStr">
        <is>
          <t>DOC_MEXICO</t>
        </is>
      </c>
      <c r="J650" t="n">
        <v>46108</v>
      </c>
      <c r="K650" t="n">
        <v>46107</v>
      </c>
      <c r="L650" t="n">
        <v>46108</v>
      </c>
      <c r="M650" t="inlineStr">
        <is>
          <t>REF000000</t>
        </is>
      </c>
      <c r="N650" t="inlineStr">
        <is>
          <t>CAVAN</t>
        </is>
      </c>
      <c r="O650" t="inlineStr">
        <is>
          <t>CAVAN</t>
        </is>
      </c>
      <c r="P650" t="inlineStr">
        <is>
          <t>USNFK</t>
        </is>
      </c>
      <c r="U650" t="inlineStr">
        <is>
          <t>RULED</t>
        </is>
      </c>
      <c r="V650" t="inlineStr">
        <is>
          <t>RULED</t>
        </is>
      </c>
      <c r="W650" t="inlineStr">
        <is>
          <t>MEXICO</t>
        </is>
      </c>
      <c r="X650" t="inlineStr">
        <is>
          <t>Latin America</t>
        </is>
      </c>
      <c r="Y650" t="inlineStr">
        <is>
          <t>RUSSIA</t>
        </is>
      </c>
      <c r="Z650" t="inlineStr">
        <is>
          <t>External Review</t>
        </is>
      </c>
      <c r="AA650" t="inlineStr">
        <is>
          <t>HUB SHIPPING LLC-LED</t>
        </is>
      </c>
      <c r="AB650" t="inlineStr">
        <is>
          <t>Prepaid</t>
        </is>
      </c>
      <c r="AC650" t="inlineStr">
        <is>
          <t>TIGER GAUCHO/914N</t>
        </is>
      </c>
      <c r="AE650" t="inlineStr">
        <is>
          <t>LADEN BOOKING</t>
        </is>
      </c>
      <c r="AF650" t="inlineStr">
        <is>
          <t>DOC_MEXICO</t>
        </is>
      </c>
      <c r="AG650" t="inlineStr">
        <is>
          <t>RH40</t>
        </is>
      </c>
      <c r="AH650" t="inlineStr">
        <is>
          <t>NO</t>
        </is>
      </c>
      <c r="AI650" t="n">
        <v>40</v>
      </c>
      <c r="AJ650" t="n">
        <v>0</v>
      </c>
      <c r="AK650" t="n">
        <v>1</v>
      </c>
      <c r="AL650" t="inlineStr">
        <is>
          <t>ANON0000000</t>
        </is>
      </c>
      <c r="AM650" t="n">
        <v>-18</v>
      </c>
      <c r="AP650" t="inlineStr">
        <is>
          <t>Non Haz</t>
        </is>
      </c>
      <c r="AQ650" t="inlineStr">
        <is>
          <t>CY/CY</t>
        </is>
      </c>
      <c r="AT650" t="inlineStr">
        <is>
          <t>ALUY26000039</t>
        </is>
      </c>
      <c r="AU650" t="n">
        <v>28000</v>
      </c>
      <c r="AV650" t="inlineStr">
        <is>
          <t>MEAT PRODUCTS</t>
        </is>
      </c>
      <c r="AW650" t="n">
        <v>150210</v>
      </c>
      <c r="AX650" t="inlineStr">
        <is>
          <t>RSCOL012600003</t>
        </is>
      </c>
      <c r="AZ650" t="n">
        <v>5</v>
      </c>
      <c r="BA650" t="n">
        <v>20</v>
      </c>
      <c r="BB650" t="n">
        <v>15</v>
      </c>
      <c r="BC650" t="n">
        <v>7500</v>
      </c>
      <c r="BD650" t="inlineStr">
        <is>
          <t>No</t>
        </is>
      </c>
      <c r="BF650" t="inlineStr">
        <is>
          <t>PARANAVE SA</t>
        </is>
      </c>
      <c r="BG650" t="inlineStr">
        <is>
          <t>CAVAN</t>
        </is>
      </c>
      <c r="BH650" t="n">
        <v>0</v>
      </c>
      <c r="BI650" t="n">
        <v>1</v>
      </c>
      <c r="BJ650" t="n">
        <v>7500</v>
      </c>
      <c r="BK650" t="inlineStr">
        <is>
          <t>LINE</t>
        </is>
      </c>
      <c r="BL650" t="inlineStr">
        <is>
          <t>SEAL REEFER</t>
        </is>
      </c>
      <c r="BM650" t="inlineStr">
        <is>
          <t>SEAL REEFER</t>
        </is>
      </c>
    </row>
    <row r="651">
      <c r="A651" t="n">
        <v>650</v>
      </c>
      <c r="B651" t="inlineStr">
        <is>
          <t>SHARK REEFER</t>
        </is>
      </c>
      <c r="C651" t="inlineStr">
        <is>
          <t>REF000000</t>
        </is>
      </c>
      <c r="D651" t="inlineStr">
        <is>
          <t>REF000000</t>
        </is>
      </c>
      <c r="E651" t="n">
        <v>46094</v>
      </c>
      <c r="F651" t="inlineStr">
        <is>
          <t>SHARK REEFER</t>
        </is>
      </c>
      <c r="G651" t="inlineStr">
        <is>
          <t>-18 celsius</t>
        </is>
      </c>
      <c r="H651" t="inlineStr">
        <is>
          <t>DOC_MEXICO</t>
        </is>
      </c>
      <c r="J651" t="n">
        <v>46108</v>
      </c>
      <c r="K651" t="n">
        <v>46107</v>
      </c>
      <c r="L651" t="n">
        <v>46108</v>
      </c>
      <c r="M651" t="inlineStr">
        <is>
          <t>REF000000</t>
        </is>
      </c>
      <c r="N651" t="inlineStr">
        <is>
          <t>CAVAN</t>
        </is>
      </c>
      <c r="O651" t="inlineStr">
        <is>
          <t>CAVAN</t>
        </is>
      </c>
      <c r="P651" t="inlineStr">
        <is>
          <t>USNFK</t>
        </is>
      </c>
      <c r="U651" t="inlineStr">
        <is>
          <t>RULED</t>
        </is>
      </c>
      <c r="V651" t="inlineStr">
        <is>
          <t>RULED</t>
        </is>
      </c>
      <c r="W651" t="inlineStr">
        <is>
          <t>MEXICO</t>
        </is>
      </c>
      <c r="X651" t="inlineStr">
        <is>
          <t>Latin America</t>
        </is>
      </c>
      <c r="Y651" t="inlineStr">
        <is>
          <t>RUSSIA</t>
        </is>
      </c>
      <c r="Z651" t="inlineStr">
        <is>
          <t>External Review</t>
        </is>
      </c>
      <c r="AA651" t="inlineStr">
        <is>
          <t>HUB SHIPPING LLC-LED</t>
        </is>
      </c>
      <c r="AB651" t="inlineStr">
        <is>
          <t>Prepaid</t>
        </is>
      </c>
      <c r="AC651" t="inlineStr">
        <is>
          <t>TIGER GAUCHO/914N</t>
        </is>
      </c>
      <c r="AE651" t="inlineStr">
        <is>
          <t>LADEN BOOKING</t>
        </is>
      </c>
      <c r="AF651" t="inlineStr">
        <is>
          <t>DOC_MEXICO</t>
        </is>
      </c>
      <c r="AG651" t="inlineStr">
        <is>
          <t>RH40</t>
        </is>
      </c>
      <c r="AH651" t="inlineStr">
        <is>
          <t>NO</t>
        </is>
      </c>
      <c r="AI651" t="n">
        <v>40</v>
      </c>
      <c r="AJ651" t="n">
        <v>0</v>
      </c>
      <c r="AK651" t="n">
        <v>1</v>
      </c>
      <c r="AL651" t="inlineStr">
        <is>
          <t>ANON0000000</t>
        </is>
      </c>
      <c r="AM651" t="n">
        <v>-18</v>
      </c>
      <c r="AP651" t="inlineStr">
        <is>
          <t>Non Haz</t>
        </is>
      </c>
      <c r="AQ651" t="inlineStr">
        <is>
          <t>CY/CY</t>
        </is>
      </c>
      <c r="AT651" t="inlineStr">
        <is>
          <t>ALUY26000042</t>
        </is>
      </c>
      <c r="AU651" t="n">
        <v>28000</v>
      </c>
      <c r="AV651" t="inlineStr">
        <is>
          <t>MEAT PRODUCTS</t>
        </is>
      </c>
      <c r="AW651" t="n">
        <v>20622</v>
      </c>
      <c r="AX651" t="inlineStr">
        <is>
          <t>RSCOL012600003</t>
        </is>
      </c>
      <c r="AZ651" t="n">
        <v>5</v>
      </c>
      <c r="BA651" t="n">
        <v>20</v>
      </c>
      <c r="BB651" t="n">
        <v>15</v>
      </c>
      <c r="BC651" t="n">
        <v>7500</v>
      </c>
      <c r="BD651" t="inlineStr">
        <is>
          <t>No</t>
        </is>
      </c>
      <c r="BF651" t="inlineStr">
        <is>
          <t>PARANAVE SA</t>
        </is>
      </c>
      <c r="BG651" t="inlineStr">
        <is>
          <t>CAVAN</t>
        </is>
      </c>
      <c r="BH651" t="n">
        <v>0</v>
      </c>
      <c r="BI651" t="n">
        <v>1</v>
      </c>
      <c r="BJ651" t="n">
        <v>7500</v>
      </c>
      <c r="BK651" t="inlineStr">
        <is>
          <t>LINE</t>
        </is>
      </c>
      <c r="BL651" t="inlineStr">
        <is>
          <t>SHARK REEFER</t>
        </is>
      </c>
      <c r="BM651" t="inlineStr">
        <is>
          <t>SHARK REEFER</t>
        </is>
      </c>
    </row>
    <row r="652">
      <c r="A652" t="n">
        <v>651</v>
      </c>
      <c r="B652" t="inlineStr">
        <is>
          <t>DOLPHIN REEFER</t>
        </is>
      </c>
      <c r="C652" t="inlineStr">
        <is>
          <t>REF000000</t>
        </is>
      </c>
      <c r="D652" t="inlineStr">
        <is>
          <t>REF000000</t>
        </is>
      </c>
      <c r="E652" t="n">
        <v>46094</v>
      </c>
      <c r="F652" t="inlineStr">
        <is>
          <t>DOLPHIN REEFER</t>
        </is>
      </c>
      <c r="G652" t="inlineStr">
        <is>
          <t>-18 celsius</t>
        </is>
      </c>
      <c r="H652" t="inlineStr">
        <is>
          <t>DOC_MEXICO</t>
        </is>
      </c>
      <c r="J652" t="n">
        <v>46108</v>
      </c>
      <c r="K652" t="n">
        <v>46107</v>
      </c>
      <c r="L652" t="n">
        <v>46108</v>
      </c>
      <c r="M652" t="inlineStr">
        <is>
          <t>REF000000</t>
        </is>
      </c>
      <c r="N652" t="inlineStr">
        <is>
          <t>CAVAN</t>
        </is>
      </c>
      <c r="O652" t="inlineStr">
        <is>
          <t>CAVAN</t>
        </is>
      </c>
      <c r="P652" t="inlineStr">
        <is>
          <t>USNFK</t>
        </is>
      </c>
      <c r="U652" t="inlineStr">
        <is>
          <t>RULED</t>
        </is>
      </c>
      <c r="V652" t="inlineStr">
        <is>
          <t>RULED</t>
        </is>
      </c>
      <c r="W652" t="inlineStr">
        <is>
          <t>MEXICO</t>
        </is>
      </c>
      <c r="X652" t="inlineStr">
        <is>
          <t>Latin America</t>
        </is>
      </c>
      <c r="Y652" t="inlineStr">
        <is>
          <t>RUSSIA</t>
        </is>
      </c>
      <c r="Z652" t="inlineStr">
        <is>
          <t>External Review</t>
        </is>
      </c>
      <c r="AA652" t="inlineStr">
        <is>
          <t>HUB SHIPPING LLC-LED</t>
        </is>
      </c>
      <c r="AB652" t="inlineStr">
        <is>
          <t>Prepaid</t>
        </is>
      </c>
      <c r="AC652" t="inlineStr">
        <is>
          <t>TIGER GAUCHO/914N</t>
        </is>
      </c>
      <c r="AE652" t="inlineStr">
        <is>
          <t>LADEN BOOKING</t>
        </is>
      </c>
      <c r="AF652" t="inlineStr">
        <is>
          <t>DOC_MEXICO</t>
        </is>
      </c>
      <c r="AG652" t="inlineStr">
        <is>
          <t>RH40</t>
        </is>
      </c>
      <c r="AH652" t="inlineStr">
        <is>
          <t>NO</t>
        </is>
      </c>
      <c r="AI652" t="n">
        <v>40</v>
      </c>
      <c r="AJ652" t="n">
        <v>0</v>
      </c>
      <c r="AK652" t="n">
        <v>1</v>
      </c>
      <c r="AL652" t="inlineStr">
        <is>
          <t>ANON0000000</t>
        </is>
      </c>
      <c r="AM652" t="n">
        <v>-18</v>
      </c>
      <c r="AP652" t="inlineStr">
        <is>
          <t>Non Haz</t>
        </is>
      </c>
      <c r="AQ652" t="inlineStr">
        <is>
          <t>CY/CY</t>
        </is>
      </c>
      <c r="AT652" t="inlineStr">
        <is>
          <t>ALUY26000038</t>
        </is>
      </c>
      <c r="AU652" t="n">
        <v>28000</v>
      </c>
      <c r="AV652" t="inlineStr">
        <is>
          <t>MEAT PRODUCTS</t>
        </is>
      </c>
      <c r="AW652" t="n">
        <v>20629</v>
      </c>
      <c r="AX652" t="inlineStr">
        <is>
          <t>RSCOL012600003</t>
        </is>
      </c>
      <c r="AZ652" t="n">
        <v>5</v>
      </c>
      <c r="BA652" t="n">
        <v>20</v>
      </c>
      <c r="BB652" t="n">
        <v>15</v>
      </c>
      <c r="BC652" t="n">
        <v>7500</v>
      </c>
      <c r="BD652" t="inlineStr">
        <is>
          <t>No</t>
        </is>
      </c>
      <c r="BF652" t="inlineStr">
        <is>
          <t>PARANAVE SA</t>
        </is>
      </c>
      <c r="BG652" t="inlineStr">
        <is>
          <t>CAVAN</t>
        </is>
      </c>
      <c r="BH652" t="n">
        <v>0</v>
      </c>
      <c r="BI652" t="n">
        <v>1</v>
      </c>
      <c r="BJ652" t="n">
        <v>7500</v>
      </c>
      <c r="BK652" t="inlineStr">
        <is>
          <t>LINE</t>
        </is>
      </c>
      <c r="BL652" t="inlineStr">
        <is>
          <t>DOLPHIN REEFER</t>
        </is>
      </c>
      <c r="BM652" t="inlineStr">
        <is>
          <t>DOLPHIN REEFER</t>
        </is>
      </c>
    </row>
    <row r="653">
      <c r="A653" t="n">
        <v>652</v>
      </c>
      <c r="B653" t="inlineStr">
        <is>
          <t>MARLIN REEFER</t>
        </is>
      </c>
      <c r="C653" t="inlineStr">
        <is>
          <t>REF000000</t>
        </is>
      </c>
      <c r="D653" t="inlineStr">
        <is>
          <t>REF000000</t>
        </is>
      </c>
      <c r="E653" t="n">
        <v>46106</v>
      </c>
      <c r="F653" t="inlineStr">
        <is>
          <t>MARLIN REEFER</t>
        </is>
      </c>
      <c r="G653" t="inlineStr">
        <is>
          <t>-18 celsius</t>
        </is>
      </c>
      <c r="H653" t="inlineStr">
        <is>
          <t>DOC_MEXICO</t>
        </is>
      </c>
      <c r="J653" t="inlineStr">
        <is>
          <t>02-APR-2026</t>
        </is>
      </c>
      <c r="K653" t="inlineStr">
        <is>
          <t>01-APR-2026</t>
        </is>
      </c>
      <c r="L653" t="inlineStr">
        <is>
          <t>02-APR-2026</t>
        </is>
      </c>
      <c r="M653" t="inlineStr">
        <is>
          <t>REF000000</t>
        </is>
      </c>
      <c r="N653" t="inlineStr">
        <is>
          <t>CAVAN</t>
        </is>
      </c>
      <c r="O653" t="inlineStr">
        <is>
          <t>CAVAN</t>
        </is>
      </c>
      <c r="P653" t="inlineStr">
        <is>
          <t>USNFK</t>
        </is>
      </c>
      <c r="U653" t="inlineStr">
        <is>
          <t>RULED</t>
        </is>
      </c>
      <c r="V653" t="inlineStr">
        <is>
          <t>RULED</t>
        </is>
      </c>
      <c r="W653" t="inlineStr">
        <is>
          <t>MEXICO</t>
        </is>
      </c>
      <c r="X653" t="inlineStr">
        <is>
          <t>Latin America</t>
        </is>
      </c>
      <c r="Y653" t="inlineStr">
        <is>
          <t>RUSSIA</t>
        </is>
      </c>
      <c r="Z653" t="inlineStr">
        <is>
          <t>External Review</t>
        </is>
      </c>
      <c r="AA653" t="inlineStr">
        <is>
          <t>HUB SHIPPING LLC-LED</t>
        </is>
      </c>
      <c r="AB653" t="inlineStr">
        <is>
          <t>Prepaid</t>
        </is>
      </c>
      <c r="AC653" t="inlineStr">
        <is>
          <t>TIGER GAUCHO/915N</t>
        </is>
      </c>
      <c r="AE653" t="inlineStr">
        <is>
          <t>LADEN BOOKING</t>
        </is>
      </c>
      <c r="AF653" t="inlineStr">
        <is>
          <t>DOC_MEXICO</t>
        </is>
      </c>
      <c r="AG653" t="inlineStr">
        <is>
          <t>RH40</t>
        </is>
      </c>
      <c r="AH653" t="inlineStr">
        <is>
          <t>NO</t>
        </is>
      </c>
      <c r="AI653" t="n">
        <v>40</v>
      </c>
      <c r="AJ653" t="n">
        <v>0</v>
      </c>
      <c r="AK653" t="n">
        <v>1</v>
      </c>
      <c r="AL653" t="inlineStr">
        <is>
          <t>ANON0000000</t>
        </is>
      </c>
      <c r="AM653" t="n">
        <v>-18</v>
      </c>
      <c r="AP653" t="inlineStr">
        <is>
          <t>Non Haz</t>
        </is>
      </c>
      <c r="AQ653" t="inlineStr">
        <is>
          <t>CY/CY</t>
        </is>
      </c>
      <c r="AT653" t="inlineStr">
        <is>
          <t>ALUY26000043</t>
        </is>
      </c>
      <c r="AU653" t="n">
        <v>28000</v>
      </c>
      <c r="AV653" t="inlineStr">
        <is>
          <t>MEAT PRODUCTS</t>
        </is>
      </c>
      <c r="AW653" t="n">
        <v>20629</v>
      </c>
      <c r="AX653" t="inlineStr">
        <is>
          <t>RSCOL012600003</t>
        </is>
      </c>
      <c r="AZ653" t="n">
        <v>5</v>
      </c>
      <c r="BA653" t="n">
        <v>20</v>
      </c>
      <c r="BB653" t="n">
        <v>15</v>
      </c>
      <c r="BC653" t="n">
        <v>7500</v>
      </c>
      <c r="BD653" t="inlineStr">
        <is>
          <t>No</t>
        </is>
      </c>
      <c r="BF653" t="inlineStr">
        <is>
          <t>PARANAVE SA</t>
        </is>
      </c>
      <c r="BG653" t="inlineStr">
        <is>
          <t>CAVAN</t>
        </is>
      </c>
      <c r="BH653" t="n">
        <v>0</v>
      </c>
      <c r="BI653" t="n">
        <v>1</v>
      </c>
      <c r="BJ653" t="n">
        <v>7500</v>
      </c>
      <c r="BK653" t="inlineStr">
        <is>
          <t>LINE</t>
        </is>
      </c>
      <c r="BL653" t="inlineStr">
        <is>
          <t>MARLIN REEFER</t>
        </is>
      </c>
      <c r="BM653" t="inlineStr">
        <is>
          <t>MARLIN REEFER</t>
        </is>
      </c>
    </row>
    <row r="654">
      <c r="A654" t="n">
        <v>653</v>
      </c>
      <c r="B654" t="inlineStr">
        <is>
          <t>TURTLE REEFER</t>
        </is>
      </c>
      <c r="C654" t="inlineStr">
        <is>
          <t>REF000000</t>
        </is>
      </c>
      <c r="D654" t="inlineStr">
        <is>
          <t>REF000000</t>
        </is>
      </c>
      <c r="E654" t="n">
        <v>46107</v>
      </c>
      <c r="F654" t="inlineStr">
        <is>
          <t>TURTLE REEFER</t>
        </is>
      </c>
      <c r="G654" t="inlineStr">
        <is>
          <t>-18 celsius</t>
        </is>
      </c>
      <c r="H654" t="inlineStr">
        <is>
          <t>DOC_MEXICO</t>
        </is>
      </c>
      <c r="J654" t="inlineStr">
        <is>
          <t>02-APR-2026</t>
        </is>
      </c>
      <c r="K654" t="inlineStr">
        <is>
          <t>01-APR-2026</t>
        </is>
      </c>
      <c r="L654" t="inlineStr">
        <is>
          <t>02-APR-2026</t>
        </is>
      </c>
      <c r="M654" t="inlineStr">
        <is>
          <t>REF000000</t>
        </is>
      </c>
      <c r="N654" t="inlineStr">
        <is>
          <t>CAVAN</t>
        </is>
      </c>
      <c r="O654" t="inlineStr">
        <is>
          <t>CAVAN</t>
        </is>
      </c>
      <c r="P654" t="inlineStr">
        <is>
          <t>USNFK</t>
        </is>
      </c>
      <c r="U654" t="inlineStr">
        <is>
          <t>RULED</t>
        </is>
      </c>
      <c r="V654" t="inlineStr">
        <is>
          <t>RULED</t>
        </is>
      </c>
      <c r="W654" t="inlineStr">
        <is>
          <t>MEXICO</t>
        </is>
      </c>
      <c r="X654" t="inlineStr">
        <is>
          <t>Latin America</t>
        </is>
      </c>
      <c r="Y654" t="inlineStr">
        <is>
          <t>RUSSIA</t>
        </is>
      </c>
      <c r="Z654" t="inlineStr">
        <is>
          <t>External Review</t>
        </is>
      </c>
      <c r="AA654" t="inlineStr">
        <is>
          <t>HUB SHIPPING LLC-LED</t>
        </is>
      </c>
      <c r="AB654" t="inlineStr">
        <is>
          <t>Prepaid</t>
        </is>
      </c>
      <c r="AC654" t="inlineStr">
        <is>
          <t>TIGER GAUCHO/915N</t>
        </is>
      </c>
      <c r="AE654" t="inlineStr">
        <is>
          <t>LADEN BOOKING</t>
        </is>
      </c>
      <c r="AF654" t="inlineStr">
        <is>
          <t>DOC_MEXICO</t>
        </is>
      </c>
      <c r="AG654" t="inlineStr">
        <is>
          <t>RH40</t>
        </is>
      </c>
      <c r="AH654" t="inlineStr">
        <is>
          <t>NO</t>
        </is>
      </c>
      <c r="AI654" t="n">
        <v>40</v>
      </c>
      <c r="AJ654" t="n">
        <v>0</v>
      </c>
      <c r="AK654" t="n">
        <v>1</v>
      </c>
      <c r="AL654" t="inlineStr">
        <is>
          <t>ANON0000000</t>
        </is>
      </c>
      <c r="AM654" t="n">
        <v>-18</v>
      </c>
      <c r="AP654" t="inlineStr">
        <is>
          <t>Non Haz</t>
        </is>
      </c>
      <c r="AQ654" t="inlineStr">
        <is>
          <t>CY/CY</t>
        </is>
      </c>
      <c r="AT654" t="inlineStr">
        <is>
          <t>ALUY26000044</t>
        </is>
      </c>
      <c r="AU654" t="n">
        <v>28000</v>
      </c>
      <c r="AV654" t="inlineStr">
        <is>
          <t>FROZEN MEAT</t>
        </is>
      </c>
      <c r="AW654" t="inlineStr">
        <is>
          <t>020622 020629 020621</t>
        </is>
      </c>
      <c r="AX654" t="inlineStr">
        <is>
          <t>RSCOL032600002</t>
        </is>
      </c>
      <c r="AZ654" t="n">
        <v>0</v>
      </c>
      <c r="BA654" t="n">
        <v>10</v>
      </c>
      <c r="BB654" t="n">
        <v>10</v>
      </c>
      <c r="BC654" t="n">
        <v>8000</v>
      </c>
      <c r="BD654" t="inlineStr">
        <is>
          <t>No</t>
        </is>
      </c>
      <c r="BF654" t="inlineStr">
        <is>
          <t>PARANAVE SA</t>
        </is>
      </c>
      <c r="BG654" t="inlineStr">
        <is>
          <t>CAVAN</t>
        </is>
      </c>
      <c r="BH654" t="n">
        <v>0</v>
      </c>
      <c r="BI654" t="n">
        <v>1</v>
      </c>
      <c r="BJ654" t="n">
        <v>8000</v>
      </c>
      <c r="BK654" t="inlineStr">
        <is>
          <t>LINE</t>
        </is>
      </c>
      <c r="BL654" t="inlineStr">
        <is>
          <t>TURTLE REEFER</t>
        </is>
      </c>
      <c r="BM654" t="inlineStr">
        <is>
          <t>TURTLE REEFER</t>
        </is>
      </c>
    </row>
    <row r="655">
      <c r="A655" t="n">
        <v>654</v>
      </c>
      <c r="B655" t="inlineStr">
        <is>
          <t>FALCON DRY</t>
        </is>
      </c>
      <c r="C655" t="inlineStr">
        <is>
          <t>REF000000</t>
        </is>
      </c>
      <c r="D655" t="inlineStr">
        <is>
          <t>REF000000</t>
        </is>
      </c>
      <c r="E655" t="inlineStr">
        <is>
          <t>02-APR-2026</t>
        </is>
      </c>
      <c r="F655" t="inlineStr">
        <is>
          <t>FALCON DRY</t>
        </is>
      </c>
      <c r="H655" t="inlineStr">
        <is>
          <t>AdminSAM</t>
        </is>
      </c>
      <c r="J655" t="inlineStr">
        <is>
          <t>23-APR-2026</t>
        </is>
      </c>
      <c r="K655" t="inlineStr">
        <is>
          <t>23-APR-2026</t>
        </is>
      </c>
      <c r="M655" t="inlineStr">
        <is>
          <t>REF000000</t>
        </is>
      </c>
      <c r="N655" t="inlineStr">
        <is>
          <t>USNFK</t>
        </is>
      </c>
      <c r="O655" t="inlineStr">
        <is>
          <t>USNFK</t>
        </is>
      </c>
      <c r="P655" t="inlineStr">
        <is>
          <t>RULED</t>
        </is>
      </c>
      <c r="U655" t="inlineStr">
        <is>
          <t>RULED</t>
        </is>
      </c>
      <c r="V655" t="inlineStr">
        <is>
          <t>RULED</t>
        </is>
      </c>
      <c r="W655" t="inlineStr">
        <is>
          <t>UNITED STATES</t>
        </is>
      </c>
      <c r="X655" t="inlineStr">
        <is>
          <t>Latin America</t>
        </is>
      </c>
      <c r="Y655" t="inlineStr">
        <is>
          <t>RUSSIA</t>
        </is>
      </c>
      <c r="Z655" t="inlineStr">
        <is>
          <t>External Review</t>
        </is>
      </c>
      <c r="AA655" t="inlineStr">
        <is>
          <t>HUB SHIPPING LLC-LED</t>
        </is>
      </c>
      <c r="AB655" t="inlineStr">
        <is>
          <t>Collect</t>
        </is>
      </c>
      <c r="AC655" t="inlineStr">
        <is>
          <t>VENUS / VOYAGE 2</t>
        </is>
      </c>
      <c r="AE655" t="inlineStr">
        <is>
          <t>LADEN BOOKING</t>
        </is>
      </c>
      <c r="AF655" t="inlineStr">
        <is>
          <t>RenniSAM</t>
        </is>
      </c>
      <c r="AG655" t="inlineStr">
        <is>
          <t>DC20</t>
        </is>
      </c>
      <c r="AH655" t="inlineStr">
        <is>
          <t>NO</t>
        </is>
      </c>
      <c r="AI655" t="n">
        <v>20</v>
      </c>
      <c r="AJ655" t="n">
        <v>1</v>
      </c>
      <c r="AK655" t="n">
        <v>0</v>
      </c>
      <c r="AP655" t="inlineStr">
        <is>
          <t>Non Haz</t>
        </is>
      </c>
      <c r="AQ655" t="inlineStr">
        <is>
          <t>CY/CY</t>
        </is>
      </c>
      <c r="AU655" t="n">
        <v>25000</v>
      </c>
      <c r="AV655" t="inlineStr">
        <is>
          <t>GENERAL COMMODITY</t>
        </is>
      </c>
      <c r="AX655" t="inlineStr">
        <is>
          <t>MRG422781</t>
        </is>
      </c>
      <c r="AY655" t="inlineStr">
        <is>
          <t>LINE</t>
        </is>
      </c>
      <c r="AZ655" t="n">
        <v>0</v>
      </c>
      <c r="BA655" t="n">
        <v>14</v>
      </c>
      <c r="BB655" t="n">
        <v>14</v>
      </c>
      <c r="BC655" t="n">
        <v>3400</v>
      </c>
      <c r="BD655" t="inlineStr">
        <is>
          <t>Yes</t>
        </is>
      </c>
      <c r="BG655" t="inlineStr">
        <is>
          <t>RULED</t>
        </is>
      </c>
      <c r="BH655" t="n">
        <v>0</v>
      </c>
      <c r="BI655" t="n">
        <v>0</v>
      </c>
      <c r="BJ655" t="inlineStr">
        <is>
          <t xml:space="preserve"> 0</t>
        </is>
      </c>
      <c r="BK655" t="inlineStr">
        <is>
          <t>LINE</t>
        </is>
      </c>
      <c r="BL655" t="inlineStr">
        <is>
          <t>FALCON DRY</t>
        </is>
      </c>
      <c r="BM655" t="inlineStr">
        <is>
          <t>FALCON DRY</t>
        </is>
      </c>
    </row>
    <row r="656">
      <c r="A656" t="n">
        <v>655</v>
      </c>
      <c r="B656" t="inlineStr">
        <is>
          <t>WHALE REEFER</t>
        </is>
      </c>
      <c r="C656" t="inlineStr">
        <is>
          <t>REF000000</t>
        </is>
      </c>
      <c r="D656" t="inlineStr">
        <is>
          <t>REF000000</t>
        </is>
      </c>
      <c r="E656" t="inlineStr">
        <is>
          <t>02-APR-2026</t>
        </is>
      </c>
      <c r="F656" t="inlineStr">
        <is>
          <t>WHALE REEFER</t>
        </is>
      </c>
      <c r="G656" t="inlineStr">
        <is>
          <t>final reefer details should be collected and provided to carrier by agents of POL</t>
        </is>
      </c>
      <c r="H656" t="inlineStr">
        <is>
          <t>AdminSAM</t>
        </is>
      </c>
      <c r="J656" t="inlineStr">
        <is>
          <t>20-APR-2026</t>
        </is>
      </c>
      <c r="K656" t="inlineStr">
        <is>
          <t>20-APR-2026</t>
        </is>
      </c>
      <c r="M656" t="inlineStr">
        <is>
          <t>REF000000</t>
        </is>
      </c>
      <c r="N656" t="inlineStr">
        <is>
          <t>USHOU</t>
        </is>
      </c>
      <c r="O656" t="inlineStr">
        <is>
          <t>USHOU</t>
        </is>
      </c>
      <c r="P656" t="inlineStr">
        <is>
          <t>RULED</t>
        </is>
      </c>
      <c r="U656" t="inlineStr">
        <is>
          <t>RULED</t>
        </is>
      </c>
      <c r="V656" t="inlineStr">
        <is>
          <t>RULED</t>
        </is>
      </c>
      <c r="W656" t="inlineStr">
        <is>
          <t>UNITED STATES</t>
        </is>
      </c>
      <c r="X656" t="inlineStr">
        <is>
          <t>Latin America</t>
        </is>
      </c>
      <c r="Y656" t="inlineStr">
        <is>
          <t>RUSSIA</t>
        </is>
      </c>
      <c r="Z656" t="inlineStr">
        <is>
          <t>External Review</t>
        </is>
      </c>
      <c r="AA656" t="inlineStr">
        <is>
          <t>HUB SHIPPING LLC-LED</t>
        </is>
      </c>
      <c r="AB656" t="inlineStr">
        <is>
          <t>Collect</t>
        </is>
      </c>
      <c r="AC656" t="inlineStr">
        <is>
          <t>VENUS / VOYAGE 2</t>
        </is>
      </c>
      <c r="AE656" t="inlineStr">
        <is>
          <t>LADEN BOOKING</t>
        </is>
      </c>
      <c r="AF656" t="inlineStr">
        <is>
          <t>RenniSAM</t>
        </is>
      </c>
      <c r="AG656" t="inlineStr">
        <is>
          <t>RH40</t>
        </is>
      </c>
      <c r="AH656" t="inlineStr">
        <is>
          <t>NO</t>
        </is>
      </c>
      <c r="AI656" t="n">
        <v>40</v>
      </c>
      <c r="AJ656" t="n">
        <v>0</v>
      </c>
      <c r="AK656" t="n">
        <v>4</v>
      </c>
      <c r="AM656" t="n">
        <v>0</v>
      </c>
      <c r="AN656" t="n">
        <v>0.9</v>
      </c>
      <c r="AO656" t="inlineStr">
        <is>
          <t>40cbm/h</t>
        </is>
      </c>
      <c r="AP656" t="inlineStr">
        <is>
          <t>Non Haz</t>
        </is>
      </c>
      <c r="AQ656" t="inlineStr">
        <is>
          <t>CY/CY</t>
        </is>
      </c>
      <c r="AU656" t="n">
        <v>26000</v>
      </c>
      <c r="AV656" t="inlineStr">
        <is>
          <t>FRESH FRUITS AND VEGETABLES</t>
        </is>
      </c>
      <c r="AX656" t="inlineStr">
        <is>
          <t>RSSAM042600023</t>
        </is>
      </c>
      <c r="AZ656" t="n">
        <v>4</v>
      </c>
      <c r="BA656" t="n">
        <v>14</v>
      </c>
      <c r="BB656" t="n">
        <v>7</v>
      </c>
      <c r="BC656" t="n">
        <v>7350</v>
      </c>
      <c r="BD656" t="inlineStr">
        <is>
          <t>Yes</t>
        </is>
      </c>
      <c r="BG656" t="inlineStr">
        <is>
          <t>RULED</t>
        </is>
      </c>
      <c r="BH656" t="n">
        <v>0</v>
      </c>
      <c r="BI656" t="n">
        <v>0</v>
      </c>
      <c r="BJ656" t="inlineStr">
        <is>
          <t xml:space="preserve"> 0</t>
        </is>
      </c>
      <c r="BK656" t="inlineStr">
        <is>
          <t>LINE</t>
        </is>
      </c>
      <c r="BL656" t="inlineStr">
        <is>
          <t>WHALE REEFER</t>
        </is>
      </c>
      <c r="BM656" t="inlineStr">
        <is>
          <t>WHALE REEFER</t>
        </is>
      </c>
    </row>
    <row r="657">
      <c r="A657" t="n">
        <v>656</v>
      </c>
      <c r="B657" t="inlineStr">
        <is>
          <t>SEAL REEFER</t>
        </is>
      </c>
      <c r="C657" t="inlineStr">
        <is>
          <t>REF000000</t>
        </is>
      </c>
      <c r="D657" t="inlineStr">
        <is>
          <t>REF000000</t>
        </is>
      </c>
      <c r="E657" t="inlineStr">
        <is>
          <t>03-APR-2026</t>
        </is>
      </c>
      <c r="F657" t="inlineStr">
        <is>
          <t>SEAL REEFER</t>
        </is>
      </c>
      <c r="G657" t="inlineStr">
        <is>
          <t>final reefer details should be collected and provided to carrier by agents of POL</t>
        </is>
      </c>
      <c r="H657" t="inlineStr">
        <is>
          <t>AdminSAM</t>
        </is>
      </c>
      <c r="J657" t="inlineStr">
        <is>
          <t>20-APR-2026</t>
        </is>
      </c>
      <c r="K657" t="inlineStr">
        <is>
          <t>20-APR-2026</t>
        </is>
      </c>
      <c r="M657" t="inlineStr">
        <is>
          <t>REF000000</t>
        </is>
      </c>
      <c r="N657" t="inlineStr">
        <is>
          <t>USHOU</t>
        </is>
      </c>
      <c r="O657" t="inlineStr">
        <is>
          <t>USHOU</t>
        </is>
      </c>
      <c r="P657" t="inlineStr">
        <is>
          <t>RULED</t>
        </is>
      </c>
      <c r="U657" t="inlineStr">
        <is>
          <t>RULED</t>
        </is>
      </c>
      <c r="V657" t="inlineStr">
        <is>
          <t>RULED</t>
        </is>
      </c>
      <c r="W657" t="inlineStr">
        <is>
          <t>UNITED STATES</t>
        </is>
      </c>
      <c r="X657" t="inlineStr">
        <is>
          <t>Latin America</t>
        </is>
      </c>
      <c r="Y657" t="inlineStr">
        <is>
          <t>RUSSIA</t>
        </is>
      </c>
      <c r="Z657" t="inlineStr">
        <is>
          <t>External Review</t>
        </is>
      </c>
      <c r="AA657" t="inlineStr">
        <is>
          <t>HUB SHIPPING LLC-LED</t>
        </is>
      </c>
      <c r="AB657" t="inlineStr">
        <is>
          <t>Collect</t>
        </is>
      </c>
      <c r="AC657" t="inlineStr">
        <is>
          <t>VENUS / VOYAGE 2</t>
        </is>
      </c>
      <c r="AE657" t="inlineStr">
        <is>
          <t>LADEN BOOKING</t>
        </is>
      </c>
      <c r="AF657" t="inlineStr">
        <is>
          <t>RenniSAM</t>
        </is>
      </c>
      <c r="AG657" t="inlineStr">
        <is>
          <t>RH40</t>
        </is>
      </c>
      <c r="AH657" t="inlineStr">
        <is>
          <t>NO</t>
        </is>
      </c>
      <c r="AI657" t="n">
        <v>40</v>
      </c>
      <c r="AJ657" t="n">
        <v>0</v>
      </c>
      <c r="AK657" t="n">
        <v>5</v>
      </c>
      <c r="AM657" t="n">
        <v>0</v>
      </c>
      <c r="AN657" t="n">
        <v>0.9</v>
      </c>
      <c r="AO657" t="inlineStr">
        <is>
          <t>35 cbm/h</t>
        </is>
      </c>
      <c r="AP657" t="inlineStr">
        <is>
          <t>Non Haz</t>
        </is>
      </c>
      <c r="AQ657" t="inlineStr">
        <is>
          <t>CY/CY</t>
        </is>
      </c>
      <c r="AU657" t="n">
        <v>23563</v>
      </c>
      <c r="AV657" t="inlineStr">
        <is>
          <t>FRESH FRUITS AND VEGETABLES</t>
        </is>
      </c>
      <c r="AX657" t="inlineStr">
        <is>
          <t>RSSAM042600012</t>
        </is>
      </c>
      <c r="AZ657" t="n">
        <v>0</v>
      </c>
      <c r="BA657" t="n">
        <v>21</v>
      </c>
      <c r="BB657" t="n">
        <v>6</v>
      </c>
      <c r="BC657" t="n">
        <v>7000</v>
      </c>
      <c r="BD657" t="inlineStr">
        <is>
          <t>Yes</t>
        </is>
      </c>
      <c r="BG657" t="inlineStr">
        <is>
          <t>RULED</t>
        </is>
      </c>
      <c r="BH657" t="n">
        <v>0</v>
      </c>
      <c r="BI657" t="n">
        <v>0</v>
      </c>
      <c r="BJ657" t="inlineStr">
        <is>
          <t xml:space="preserve"> 0</t>
        </is>
      </c>
      <c r="BK657" t="inlineStr">
        <is>
          <t>LINE</t>
        </is>
      </c>
      <c r="BL657" t="inlineStr">
        <is>
          <t>SEAL REEFER</t>
        </is>
      </c>
      <c r="BM657" t="inlineStr">
        <is>
          <t>SEAL REEFER</t>
        </is>
      </c>
    </row>
    <row r="658">
      <c r="A658" t="n">
        <v>657</v>
      </c>
      <c r="B658" t="inlineStr">
        <is>
          <t>FOX DRY</t>
        </is>
      </c>
      <c r="C658" t="inlineStr">
        <is>
          <t>REF000000</t>
        </is>
      </c>
      <c r="D658" t="inlineStr">
        <is>
          <t>REF000000</t>
        </is>
      </c>
      <c r="E658" t="inlineStr">
        <is>
          <t>03-APR-2026</t>
        </is>
      </c>
      <c r="F658" t="inlineStr">
        <is>
          <t>FOX DRY</t>
        </is>
      </c>
      <c r="G658" t="inlineStr">
        <is>
          <t>EVI030401 / Food Grade</t>
        </is>
      </c>
      <c r="H658" t="inlineStr">
        <is>
          <t>AdminSAM</t>
        </is>
      </c>
      <c r="J658" t="inlineStr">
        <is>
          <t>23-APR-2026</t>
        </is>
      </c>
      <c r="K658" t="inlineStr">
        <is>
          <t>23-APR-2026</t>
        </is>
      </c>
      <c r="M658" t="inlineStr">
        <is>
          <t>REF000000</t>
        </is>
      </c>
      <c r="N658" t="inlineStr">
        <is>
          <t>USNFK</t>
        </is>
      </c>
      <c r="O658" t="inlineStr">
        <is>
          <t>USNFK</t>
        </is>
      </c>
      <c r="P658" t="inlineStr">
        <is>
          <t>RULED</t>
        </is>
      </c>
      <c r="U658" t="inlineStr">
        <is>
          <t>RULED</t>
        </is>
      </c>
      <c r="V658" t="inlineStr">
        <is>
          <t>RULED</t>
        </is>
      </c>
      <c r="W658" t="inlineStr">
        <is>
          <t>UNITED STATES</t>
        </is>
      </c>
      <c r="X658" t="inlineStr">
        <is>
          <t>Latin America</t>
        </is>
      </c>
      <c r="Y658" t="inlineStr">
        <is>
          <t>RUSSIA</t>
        </is>
      </c>
      <c r="Z658" t="inlineStr">
        <is>
          <t>External Review</t>
        </is>
      </c>
      <c r="AA658" t="inlineStr">
        <is>
          <t>HUB SHIPPING LLC-LED</t>
        </is>
      </c>
      <c r="AB658" t="inlineStr">
        <is>
          <t>Collect</t>
        </is>
      </c>
      <c r="AC658" t="inlineStr">
        <is>
          <t>VENUS / VOYAGE 2</t>
        </is>
      </c>
      <c r="AE658" t="inlineStr">
        <is>
          <t>LADEN BOOKING</t>
        </is>
      </c>
      <c r="AF658" t="inlineStr">
        <is>
          <t>RenniSAM</t>
        </is>
      </c>
      <c r="AG658" t="inlineStr">
        <is>
          <t>HC40</t>
        </is>
      </c>
      <c r="AH658" t="inlineStr">
        <is>
          <t>NO</t>
        </is>
      </c>
      <c r="AI658" t="n">
        <v>40</v>
      </c>
      <c r="AJ658" t="n">
        <v>0</v>
      </c>
      <c r="AK658" t="n">
        <v>2</v>
      </c>
      <c r="AP658" t="inlineStr">
        <is>
          <t>Non Haz</t>
        </is>
      </c>
      <c r="AQ658" t="inlineStr">
        <is>
          <t>CY/CY</t>
        </is>
      </c>
      <c r="AU658" t="n">
        <v>23000</v>
      </c>
      <c r="AV658" t="inlineStr">
        <is>
          <t>GENERAL COMMODITY</t>
        </is>
      </c>
      <c r="AX658" t="inlineStr">
        <is>
          <t>RSSAM042600013</t>
        </is>
      </c>
      <c r="AZ658" t="n">
        <v>0</v>
      </c>
      <c r="BA658" t="n">
        <v>14</v>
      </c>
      <c r="BB658" t="n">
        <v>14</v>
      </c>
      <c r="BC658" t="n">
        <v>3100</v>
      </c>
      <c r="BD658" t="inlineStr">
        <is>
          <t>Yes</t>
        </is>
      </c>
      <c r="BG658" t="inlineStr">
        <is>
          <t>RULED</t>
        </is>
      </c>
      <c r="BH658" t="n">
        <v>0</v>
      </c>
      <c r="BI658" t="n">
        <v>0</v>
      </c>
      <c r="BJ658" t="inlineStr">
        <is>
          <t xml:space="preserve"> 0</t>
        </is>
      </c>
      <c r="BK658" t="inlineStr">
        <is>
          <t>LINE</t>
        </is>
      </c>
      <c r="BL658" t="inlineStr">
        <is>
          <t>FOX DRY</t>
        </is>
      </c>
      <c r="BM658" t="inlineStr">
        <is>
          <t>FOX DRY</t>
        </is>
      </c>
    </row>
    <row r="659">
      <c r="A659" t="n">
        <v>658</v>
      </c>
      <c r="B659" t="inlineStr">
        <is>
          <t>BISON DRY</t>
        </is>
      </c>
      <c r="C659" t="inlineStr">
        <is>
          <t>REF000000</t>
        </is>
      </c>
      <c r="D659" t="inlineStr">
        <is>
          <t>REF000000</t>
        </is>
      </c>
      <c r="E659" t="inlineStr">
        <is>
          <t>03-APR-2026</t>
        </is>
      </c>
      <c r="F659" t="inlineStr">
        <is>
          <t>BISON DRY</t>
        </is>
      </c>
      <c r="G659" t="inlineStr">
        <is>
          <t>EVI030402 / Food Grade</t>
        </is>
      </c>
      <c r="H659" t="inlineStr">
        <is>
          <t>AdminSAM</t>
        </is>
      </c>
      <c r="J659" t="inlineStr">
        <is>
          <t>23-APR-2026</t>
        </is>
      </c>
      <c r="K659" t="inlineStr">
        <is>
          <t>23-APR-2026</t>
        </is>
      </c>
      <c r="M659" t="inlineStr">
        <is>
          <t>REF000000</t>
        </is>
      </c>
      <c r="N659" t="inlineStr">
        <is>
          <t>USNFK</t>
        </is>
      </c>
      <c r="O659" t="inlineStr">
        <is>
          <t>USNFK</t>
        </is>
      </c>
      <c r="P659" t="inlineStr">
        <is>
          <t>RULED</t>
        </is>
      </c>
      <c r="U659" t="inlineStr">
        <is>
          <t>RULED</t>
        </is>
      </c>
      <c r="V659" t="inlineStr">
        <is>
          <t>RULED</t>
        </is>
      </c>
      <c r="W659" t="inlineStr">
        <is>
          <t>UNITED STATES</t>
        </is>
      </c>
      <c r="X659" t="inlineStr">
        <is>
          <t>Latin America</t>
        </is>
      </c>
      <c r="Y659" t="inlineStr">
        <is>
          <t>RUSSIA</t>
        </is>
      </c>
      <c r="Z659" t="inlineStr">
        <is>
          <t>External Review</t>
        </is>
      </c>
      <c r="AA659" t="inlineStr">
        <is>
          <t>HUB SHIPPING LLC-LED</t>
        </is>
      </c>
      <c r="AB659" t="inlineStr">
        <is>
          <t>Collect</t>
        </is>
      </c>
      <c r="AC659" t="inlineStr">
        <is>
          <t>VENUS / VOYAGE 2</t>
        </is>
      </c>
      <c r="AE659" t="inlineStr">
        <is>
          <t>LADEN BOOKING</t>
        </is>
      </c>
      <c r="AF659" t="inlineStr">
        <is>
          <t>RenniSAM</t>
        </is>
      </c>
      <c r="AG659" t="inlineStr">
        <is>
          <t>HC40</t>
        </is>
      </c>
      <c r="AH659" t="inlineStr">
        <is>
          <t>NO</t>
        </is>
      </c>
      <c r="AI659" t="n">
        <v>40</v>
      </c>
      <c r="AJ659" t="n">
        <v>0</v>
      </c>
      <c r="AK659" t="n">
        <v>4</v>
      </c>
      <c r="AP659" t="inlineStr">
        <is>
          <t>Non Haz</t>
        </is>
      </c>
      <c r="AQ659" t="inlineStr">
        <is>
          <t>CY/CY</t>
        </is>
      </c>
      <c r="AU659" t="n">
        <v>23000</v>
      </c>
      <c r="AV659" t="inlineStr">
        <is>
          <t>GENERAL COMMODITY</t>
        </is>
      </c>
      <c r="AX659" t="inlineStr">
        <is>
          <t>RSSAM042600013</t>
        </is>
      </c>
      <c r="AZ659" t="n">
        <v>0</v>
      </c>
      <c r="BA659" t="n">
        <v>14</v>
      </c>
      <c r="BB659" t="n">
        <v>14</v>
      </c>
      <c r="BC659" t="n">
        <v>3100</v>
      </c>
      <c r="BD659" t="inlineStr">
        <is>
          <t>Yes</t>
        </is>
      </c>
      <c r="BG659" t="inlineStr">
        <is>
          <t>RULED</t>
        </is>
      </c>
      <c r="BH659" t="n">
        <v>0</v>
      </c>
      <c r="BI659" t="n">
        <v>0</v>
      </c>
      <c r="BJ659" t="inlineStr">
        <is>
          <t xml:space="preserve"> 0</t>
        </is>
      </c>
      <c r="BK659" t="inlineStr">
        <is>
          <t>LINE</t>
        </is>
      </c>
      <c r="BL659" t="inlineStr">
        <is>
          <t>BISON DRY</t>
        </is>
      </c>
      <c r="BM659" t="inlineStr">
        <is>
          <t>BISON DRY</t>
        </is>
      </c>
    </row>
    <row r="660">
      <c r="A660" t="n">
        <v>659</v>
      </c>
      <c r="B660" t="inlineStr">
        <is>
          <t>EAGLE DRY</t>
        </is>
      </c>
      <c r="C660" t="inlineStr">
        <is>
          <t>REF000000</t>
        </is>
      </c>
      <c r="D660" t="inlineStr">
        <is>
          <t>REF000000</t>
        </is>
      </c>
      <c r="E660" t="inlineStr">
        <is>
          <t>03-APR-2026</t>
        </is>
      </c>
      <c r="F660" t="inlineStr">
        <is>
          <t>EAGLE DRY</t>
        </is>
      </c>
      <c r="G660" t="inlineStr">
        <is>
          <t>EVI030403 / Food Grade</t>
        </is>
      </c>
      <c r="H660" t="inlineStr">
        <is>
          <t>AdminSAM</t>
        </is>
      </c>
      <c r="J660" t="inlineStr">
        <is>
          <t>23-APR-2026</t>
        </is>
      </c>
      <c r="K660" t="inlineStr">
        <is>
          <t>23-APR-2026</t>
        </is>
      </c>
      <c r="M660" t="inlineStr">
        <is>
          <t>REF000000</t>
        </is>
      </c>
      <c r="N660" t="inlineStr">
        <is>
          <t>USNFK</t>
        </is>
      </c>
      <c r="O660" t="inlineStr">
        <is>
          <t>USNFK</t>
        </is>
      </c>
      <c r="P660" t="inlineStr">
        <is>
          <t>RULED</t>
        </is>
      </c>
      <c r="U660" t="inlineStr">
        <is>
          <t>RULED</t>
        </is>
      </c>
      <c r="V660" t="inlineStr">
        <is>
          <t>RULED</t>
        </is>
      </c>
      <c r="W660" t="inlineStr">
        <is>
          <t>UNITED STATES</t>
        </is>
      </c>
      <c r="X660" t="inlineStr">
        <is>
          <t>Latin America</t>
        </is>
      </c>
      <c r="Y660" t="inlineStr">
        <is>
          <t>RUSSIA</t>
        </is>
      </c>
      <c r="Z660" t="inlineStr">
        <is>
          <t>External Review</t>
        </is>
      </c>
      <c r="AA660" t="inlineStr">
        <is>
          <t>HUB SHIPPING LLC-LED</t>
        </is>
      </c>
      <c r="AB660" t="inlineStr">
        <is>
          <t>Collect</t>
        </is>
      </c>
      <c r="AC660" t="inlineStr">
        <is>
          <t>VENUS / VOYAGE 2</t>
        </is>
      </c>
      <c r="AE660" t="inlineStr">
        <is>
          <t>LADEN BOOKING</t>
        </is>
      </c>
      <c r="AF660" t="inlineStr">
        <is>
          <t>RenniSAM</t>
        </is>
      </c>
      <c r="AG660" t="inlineStr">
        <is>
          <t>HC40</t>
        </is>
      </c>
      <c r="AH660" t="inlineStr">
        <is>
          <t>NO</t>
        </is>
      </c>
      <c r="AI660" t="n">
        <v>40</v>
      </c>
      <c r="AJ660" t="n">
        <v>0</v>
      </c>
      <c r="AK660" t="n">
        <v>2</v>
      </c>
      <c r="AP660" t="inlineStr">
        <is>
          <t>Non Haz</t>
        </is>
      </c>
      <c r="AQ660" t="inlineStr">
        <is>
          <t>CY/CY</t>
        </is>
      </c>
      <c r="AU660" t="n">
        <v>23000</v>
      </c>
      <c r="AV660" t="inlineStr">
        <is>
          <t>GENERAL COMMODITY</t>
        </is>
      </c>
      <c r="AX660" t="inlineStr">
        <is>
          <t>RSSAM042600003</t>
        </is>
      </c>
      <c r="AZ660" t="n">
        <v>0</v>
      </c>
      <c r="BA660" t="n">
        <v>14</v>
      </c>
      <c r="BB660" t="n">
        <v>14</v>
      </c>
      <c r="BC660" t="n">
        <v>999999</v>
      </c>
      <c r="BD660" t="inlineStr">
        <is>
          <t>Yes</t>
        </is>
      </c>
      <c r="BG660" t="inlineStr">
        <is>
          <t>RULED</t>
        </is>
      </c>
      <c r="BH660" t="n">
        <v>0</v>
      </c>
      <c r="BI660" t="n">
        <v>0</v>
      </c>
      <c r="BJ660" t="inlineStr">
        <is>
          <t xml:space="preserve"> 0</t>
        </is>
      </c>
      <c r="BK660" t="inlineStr">
        <is>
          <t>LINE</t>
        </is>
      </c>
      <c r="BL660" t="inlineStr">
        <is>
          <t>EAGLE DRY</t>
        </is>
      </c>
      <c r="BM660" t="inlineStr">
        <is>
          <t>EAGLE DRY</t>
        </is>
      </c>
    </row>
    <row r="661">
      <c r="A661" t="n">
        <v>660</v>
      </c>
      <c r="B661" t="inlineStr">
        <is>
          <t>TURTLE REEFER</t>
        </is>
      </c>
      <c r="C661" t="inlineStr">
        <is>
          <t>REF000000</t>
        </is>
      </c>
      <c r="D661" t="inlineStr">
        <is>
          <t>REF000000</t>
        </is>
      </c>
      <c r="E661" t="inlineStr">
        <is>
          <t>06-APR-2026</t>
        </is>
      </c>
      <c r="F661" t="inlineStr">
        <is>
          <t>TURTLE REEFER</t>
        </is>
      </c>
      <c r="H661" t="inlineStr">
        <is>
          <t>AdminSAM</t>
        </is>
      </c>
      <c r="J661" t="inlineStr">
        <is>
          <t>19-APR-2026</t>
        </is>
      </c>
      <c r="K661" t="inlineStr">
        <is>
          <t>19-APR-2026</t>
        </is>
      </c>
      <c r="M661" t="inlineStr">
        <is>
          <t>REF000000</t>
        </is>
      </c>
      <c r="N661" t="inlineStr">
        <is>
          <t>USNYC</t>
        </is>
      </c>
      <c r="O661" t="inlineStr">
        <is>
          <t>USNYC</t>
        </is>
      </c>
      <c r="P661" t="inlineStr">
        <is>
          <t>RULED</t>
        </is>
      </c>
      <c r="U661" t="inlineStr">
        <is>
          <t>RULED</t>
        </is>
      </c>
      <c r="V661" t="inlineStr">
        <is>
          <t>RULED</t>
        </is>
      </c>
      <c r="W661" t="inlineStr">
        <is>
          <t>UNITED STATES</t>
        </is>
      </c>
      <c r="X661" t="inlineStr">
        <is>
          <t>Latin America</t>
        </is>
      </c>
      <c r="Y661" t="inlineStr">
        <is>
          <t>RUSSIA</t>
        </is>
      </c>
      <c r="Z661" t="inlineStr">
        <is>
          <t>External Review</t>
        </is>
      </c>
      <c r="AA661" t="inlineStr">
        <is>
          <t>HUB SHIPPING LLC-LED</t>
        </is>
      </c>
      <c r="AB661" t="inlineStr">
        <is>
          <t>Collect</t>
        </is>
      </c>
      <c r="AC661" t="inlineStr">
        <is>
          <t>VENUS / VOYAGE 2</t>
        </is>
      </c>
      <c r="AE661" t="inlineStr">
        <is>
          <t>LADEN BOOKING</t>
        </is>
      </c>
      <c r="AF661" t="inlineStr">
        <is>
          <t>RenniSAM</t>
        </is>
      </c>
      <c r="AG661" t="inlineStr">
        <is>
          <t>DC20</t>
        </is>
      </c>
      <c r="AH661" t="inlineStr">
        <is>
          <t>NO</t>
        </is>
      </c>
      <c r="AI661" t="n">
        <v>20</v>
      </c>
      <c r="AJ661" t="n">
        <v>6</v>
      </c>
      <c r="AK661" t="n">
        <v>0</v>
      </c>
      <c r="AP661" t="inlineStr">
        <is>
          <t>Non Haz</t>
        </is>
      </c>
      <c r="AQ661" t="inlineStr">
        <is>
          <t>CY/CY</t>
        </is>
      </c>
      <c r="AU661" t="n">
        <v>25000</v>
      </c>
      <c r="AV661" t="inlineStr">
        <is>
          <t>GENERAL COMMODITY</t>
        </is>
      </c>
      <c r="AX661" t="inlineStr">
        <is>
          <t>RSSAM042600004</t>
        </is>
      </c>
      <c r="AZ661" t="n">
        <v>0</v>
      </c>
      <c r="BA661" t="n">
        <v>14</v>
      </c>
      <c r="BB661" t="n">
        <v>21</v>
      </c>
      <c r="BC661" t="n">
        <v>99999</v>
      </c>
      <c r="BD661" t="inlineStr">
        <is>
          <t>Yes</t>
        </is>
      </c>
      <c r="BG661" t="inlineStr">
        <is>
          <t>RULED</t>
        </is>
      </c>
      <c r="BH661" t="n">
        <v>0</v>
      </c>
      <c r="BI661" t="n">
        <v>0</v>
      </c>
      <c r="BJ661" t="inlineStr">
        <is>
          <t xml:space="preserve"> 0</t>
        </is>
      </c>
      <c r="BK661" t="inlineStr">
        <is>
          <t>LINE</t>
        </is>
      </c>
      <c r="BL661" t="inlineStr">
        <is>
          <t>TURTLE REEFER</t>
        </is>
      </c>
      <c r="BM661" t="inlineStr">
        <is>
          <t>TURTLE REEFER</t>
        </is>
      </c>
    </row>
    <row r="662">
      <c r="A662" t="n">
        <v>661</v>
      </c>
      <c r="B662" t="inlineStr">
        <is>
          <t>ORCA REEFER</t>
        </is>
      </c>
      <c r="C662" t="inlineStr">
        <is>
          <t>REF000000</t>
        </is>
      </c>
      <c r="D662" t="inlineStr">
        <is>
          <t>REF000000</t>
        </is>
      </c>
      <c r="E662" t="inlineStr">
        <is>
          <t>06-APR-2026</t>
        </is>
      </c>
      <c r="F662" t="inlineStr">
        <is>
          <t>ORCA REEFER</t>
        </is>
      </c>
      <c r="H662" t="inlineStr">
        <is>
          <t>AdminSAM</t>
        </is>
      </c>
      <c r="J662" t="inlineStr">
        <is>
          <t>19-APR-2026</t>
        </is>
      </c>
      <c r="K662" t="inlineStr">
        <is>
          <t>19-APR-2026</t>
        </is>
      </c>
      <c r="M662" t="inlineStr">
        <is>
          <t>REF000000</t>
        </is>
      </c>
      <c r="N662" t="inlineStr">
        <is>
          <t>USNYC</t>
        </is>
      </c>
      <c r="O662" t="inlineStr">
        <is>
          <t>USNYC</t>
        </is>
      </c>
      <c r="P662" t="inlineStr">
        <is>
          <t>RULED</t>
        </is>
      </c>
      <c r="U662" t="inlineStr">
        <is>
          <t>RULED</t>
        </is>
      </c>
      <c r="V662" t="inlineStr">
        <is>
          <t>RULED</t>
        </is>
      </c>
      <c r="W662" t="inlineStr">
        <is>
          <t>UNITED STATES</t>
        </is>
      </c>
      <c r="X662" t="inlineStr">
        <is>
          <t>Latin America</t>
        </is>
      </c>
      <c r="Y662" t="inlineStr">
        <is>
          <t>RUSSIA</t>
        </is>
      </c>
      <c r="Z662" t="inlineStr">
        <is>
          <t>External Review</t>
        </is>
      </c>
      <c r="AA662" t="inlineStr">
        <is>
          <t>HUB SHIPPING LLC-LED</t>
        </is>
      </c>
      <c r="AB662" t="inlineStr">
        <is>
          <t>Collect</t>
        </is>
      </c>
      <c r="AC662" t="inlineStr">
        <is>
          <t>VENUS / VOYAGE 2</t>
        </is>
      </c>
      <c r="AE662" t="inlineStr">
        <is>
          <t>LADEN BOOKING</t>
        </is>
      </c>
      <c r="AF662" t="inlineStr">
        <is>
          <t>RenniSAM</t>
        </is>
      </c>
      <c r="AG662" t="inlineStr">
        <is>
          <t>DC20</t>
        </is>
      </c>
      <c r="AH662" t="inlineStr">
        <is>
          <t>NO</t>
        </is>
      </c>
      <c r="AI662" t="n">
        <v>20</v>
      </c>
      <c r="AJ662" t="n">
        <v>12</v>
      </c>
      <c r="AK662" t="n">
        <v>0</v>
      </c>
      <c r="AL662" t="inlineStr">
        <is>
          <t>ANON0000000,
ANON0000000,
ANON0000000,
ANON0000000,
ANON0000000,
ANON0000000,
ANON0000000,
ANON0000000,
ANON0000000,
ANON0000000,
ANON0000000,
ANON0000000</t>
        </is>
      </c>
      <c r="AP662" t="inlineStr">
        <is>
          <t>Non Haz</t>
        </is>
      </c>
      <c r="AQ662" t="inlineStr">
        <is>
          <t>CY/CY</t>
        </is>
      </c>
      <c r="AT662" t="inlineStr">
        <is>
          <t>REF000000</t>
        </is>
      </c>
      <c r="AU662" t="n">
        <v>25000</v>
      </c>
      <c r="AV662" t="inlineStr">
        <is>
          <t>GENERAL COMMODITY</t>
        </is>
      </c>
      <c r="AX662" t="inlineStr">
        <is>
          <t>RSSAM042600004</t>
        </is>
      </c>
      <c r="AZ662" t="n">
        <v>0</v>
      </c>
      <c r="BA662" t="n">
        <v>14</v>
      </c>
      <c r="BB662" t="n">
        <v>21</v>
      </c>
      <c r="BC662" t="n">
        <v>99999</v>
      </c>
      <c r="BD662" t="inlineStr">
        <is>
          <t>Yes</t>
        </is>
      </c>
      <c r="BG662" t="inlineStr">
        <is>
          <t>RULED</t>
        </is>
      </c>
      <c r="BH662" t="n">
        <v>12</v>
      </c>
      <c r="BI662" t="n">
        <v>0</v>
      </c>
      <c r="BJ662" t="n">
        <v>1199988</v>
      </c>
      <c r="BK662" t="inlineStr">
        <is>
          <t>LINE</t>
        </is>
      </c>
      <c r="BL662" t="inlineStr">
        <is>
          <t>ORCA REEFER</t>
        </is>
      </c>
      <c r="BM662" t="inlineStr">
        <is>
          <t>ORCA REEFER</t>
        </is>
      </c>
    </row>
    <row r="663">
      <c r="A663" t="n">
        <v>662</v>
      </c>
      <c r="B663" t="inlineStr">
        <is>
          <t>WHALE REEFER</t>
        </is>
      </c>
      <c r="C663" t="inlineStr">
        <is>
          <t>REF000000</t>
        </is>
      </c>
      <c r="D663" t="inlineStr">
        <is>
          <t>REF000000</t>
        </is>
      </c>
      <c r="E663" t="inlineStr">
        <is>
          <t>06-APR-2026</t>
        </is>
      </c>
      <c r="F663" t="inlineStr">
        <is>
          <t>WHALE REEFER</t>
        </is>
      </c>
      <c r="H663" t="inlineStr">
        <is>
          <t>AdminSAM</t>
        </is>
      </c>
      <c r="J663" t="inlineStr">
        <is>
          <t>19-APR-2026</t>
        </is>
      </c>
      <c r="K663" t="inlineStr">
        <is>
          <t>19-APR-2026</t>
        </is>
      </c>
      <c r="M663" t="inlineStr">
        <is>
          <t>REF000000</t>
        </is>
      </c>
      <c r="N663" t="inlineStr">
        <is>
          <t>USNYC</t>
        </is>
      </c>
      <c r="O663" t="inlineStr">
        <is>
          <t>USNYC</t>
        </is>
      </c>
      <c r="P663" t="inlineStr">
        <is>
          <t>RULED</t>
        </is>
      </c>
      <c r="U663" t="inlineStr">
        <is>
          <t>RULED</t>
        </is>
      </c>
      <c r="V663" t="inlineStr">
        <is>
          <t>RULED</t>
        </is>
      </c>
      <c r="W663" t="inlineStr">
        <is>
          <t>UNITED STATES</t>
        </is>
      </c>
      <c r="X663" t="inlineStr">
        <is>
          <t>Latin America</t>
        </is>
      </c>
      <c r="Y663" t="inlineStr">
        <is>
          <t>RUSSIA</t>
        </is>
      </c>
      <c r="Z663" t="inlineStr">
        <is>
          <t>External Review</t>
        </is>
      </c>
      <c r="AA663" t="inlineStr">
        <is>
          <t>HUB SHIPPING LLC-LED</t>
        </is>
      </c>
      <c r="AB663" t="inlineStr">
        <is>
          <t>Collect</t>
        </is>
      </c>
      <c r="AC663" t="inlineStr">
        <is>
          <t>VENUS / VOYAGE 2</t>
        </is>
      </c>
      <c r="AE663" t="inlineStr">
        <is>
          <t>LADEN BOOKING</t>
        </is>
      </c>
      <c r="AF663" t="inlineStr">
        <is>
          <t>RenniSAM</t>
        </is>
      </c>
      <c r="AG663" t="inlineStr">
        <is>
          <t>DC20</t>
        </is>
      </c>
      <c r="AH663" t="inlineStr">
        <is>
          <t>NO</t>
        </is>
      </c>
      <c r="AI663" t="n">
        <v>20</v>
      </c>
      <c r="AJ663" t="n">
        <v>20</v>
      </c>
      <c r="AK663" t="n">
        <v>0</v>
      </c>
      <c r="AL663" t="inlineStr">
        <is>
          <t>ANON0000000,
ANON0000000,
ANON0000000,
ANON0000000,
ANON0000000,
ANON0000000,
ANON0000000,
ANON0000000,
ANON0000000,
ANON0000000,
ANON0000000,
ANON0000000,
ANON0000000,
ANON0000000,
ANON0000000,
ANON0000000,
ANON0000000,
ANON0000000,
ANON0000000,
ANON0000000</t>
        </is>
      </c>
      <c r="AP663" t="inlineStr">
        <is>
          <t>Non Haz</t>
        </is>
      </c>
      <c r="AQ663" t="inlineStr">
        <is>
          <t>CY/CY</t>
        </is>
      </c>
      <c r="AT663" t="inlineStr">
        <is>
          <t>REF000000</t>
        </is>
      </c>
      <c r="AU663" t="n">
        <v>25000</v>
      </c>
      <c r="AV663" t="inlineStr">
        <is>
          <t>GENERAL COMMODITY</t>
        </is>
      </c>
      <c r="AX663" t="inlineStr">
        <is>
          <t>RSSAM042600014</t>
        </is>
      </c>
      <c r="AZ663" t="n">
        <v>0</v>
      </c>
      <c r="BA663" t="n">
        <v>14</v>
      </c>
      <c r="BB663" t="n">
        <v>21</v>
      </c>
      <c r="BC663" t="n">
        <v>1750</v>
      </c>
      <c r="BD663" t="inlineStr">
        <is>
          <t>Yes</t>
        </is>
      </c>
      <c r="BG663" t="inlineStr">
        <is>
          <t>RULED</t>
        </is>
      </c>
      <c r="BH663" t="n">
        <v>20</v>
      </c>
      <c r="BI663" t="n">
        <v>0</v>
      </c>
      <c r="BJ663" t="n">
        <v>35000</v>
      </c>
      <c r="BK663" t="inlineStr">
        <is>
          <t>LINE</t>
        </is>
      </c>
      <c r="BL663" t="inlineStr">
        <is>
          <t>WHALE REEFER</t>
        </is>
      </c>
      <c r="BM663" t="inlineStr">
        <is>
          <t>WHALE REEFER</t>
        </is>
      </c>
    </row>
    <row r="664">
      <c r="A664" t="n">
        <v>663</v>
      </c>
      <c r="B664" t="inlineStr">
        <is>
          <t>SEAL REEFER</t>
        </is>
      </c>
      <c r="C664" t="inlineStr">
        <is>
          <t>REF000000</t>
        </is>
      </c>
      <c r="D664" t="inlineStr">
        <is>
          <t>REF000000</t>
        </is>
      </c>
      <c r="E664" t="inlineStr">
        <is>
          <t>06-APR-2026</t>
        </is>
      </c>
      <c r="F664" t="inlineStr">
        <is>
          <t>SEAL REEFER</t>
        </is>
      </c>
      <c r="H664" t="inlineStr">
        <is>
          <t>AdminSAM</t>
        </is>
      </c>
      <c r="J664" t="inlineStr">
        <is>
          <t>19-APR-2026</t>
        </is>
      </c>
      <c r="K664" t="inlineStr">
        <is>
          <t>19-APR-2026</t>
        </is>
      </c>
      <c r="M664" t="inlineStr">
        <is>
          <t>REF000000</t>
        </is>
      </c>
      <c r="N664" t="inlineStr">
        <is>
          <t>USNYC</t>
        </is>
      </c>
      <c r="O664" t="inlineStr">
        <is>
          <t>USNYC</t>
        </is>
      </c>
      <c r="P664" t="inlineStr">
        <is>
          <t>RULED</t>
        </is>
      </c>
      <c r="U664" t="inlineStr">
        <is>
          <t>RULED</t>
        </is>
      </c>
      <c r="V664" t="inlineStr">
        <is>
          <t>RULED</t>
        </is>
      </c>
      <c r="W664" t="inlineStr">
        <is>
          <t>UNITED STATES</t>
        </is>
      </c>
      <c r="X664" t="inlineStr">
        <is>
          <t>Latin America</t>
        </is>
      </c>
      <c r="Y664" t="inlineStr">
        <is>
          <t>RUSSIA</t>
        </is>
      </c>
      <c r="Z664" t="inlineStr">
        <is>
          <t>External Review</t>
        </is>
      </c>
      <c r="AA664" t="inlineStr">
        <is>
          <t>HUB SHIPPING LLC-LED</t>
        </is>
      </c>
      <c r="AB664" t="inlineStr">
        <is>
          <t>Collect</t>
        </is>
      </c>
      <c r="AC664" t="inlineStr">
        <is>
          <t>VENUS / VOYAGE 2</t>
        </is>
      </c>
      <c r="AE664" t="inlineStr">
        <is>
          <t>LADEN BOOKING</t>
        </is>
      </c>
      <c r="AF664" t="inlineStr">
        <is>
          <t>RenniSAM</t>
        </is>
      </c>
      <c r="AG664" t="inlineStr">
        <is>
          <t>DC20</t>
        </is>
      </c>
      <c r="AH664" t="inlineStr">
        <is>
          <t>NO</t>
        </is>
      </c>
      <c r="AI664" t="n">
        <v>20</v>
      </c>
      <c r="AJ664" t="n">
        <v>20</v>
      </c>
      <c r="AK664" t="n">
        <v>0</v>
      </c>
      <c r="AP664" t="inlineStr">
        <is>
          <t>Non Haz</t>
        </is>
      </c>
      <c r="AQ664" t="inlineStr">
        <is>
          <t>CY/CY</t>
        </is>
      </c>
      <c r="AU664" t="n">
        <v>25000</v>
      </c>
      <c r="AV664" t="inlineStr">
        <is>
          <t>GENERAL COMMODITY</t>
        </is>
      </c>
      <c r="AX664" t="inlineStr">
        <is>
          <t>RSSAM042600004</t>
        </is>
      </c>
      <c r="AZ664" t="n">
        <v>0</v>
      </c>
      <c r="BA664" t="n">
        <v>14</v>
      </c>
      <c r="BB664" t="n">
        <v>21</v>
      </c>
      <c r="BC664" t="n">
        <v>99999</v>
      </c>
      <c r="BD664" t="inlineStr">
        <is>
          <t>Yes</t>
        </is>
      </c>
      <c r="BG664" t="inlineStr">
        <is>
          <t>RULED</t>
        </is>
      </c>
      <c r="BH664" t="n">
        <v>0</v>
      </c>
      <c r="BI664" t="n">
        <v>0</v>
      </c>
      <c r="BJ664" t="inlineStr">
        <is>
          <t xml:space="preserve"> 0</t>
        </is>
      </c>
      <c r="BK664" t="inlineStr">
        <is>
          <t>LINE</t>
        </is>
      </c>
      <c r="BL664" t="inlineStr">
        <is>
          <t>SEAL REEFER</t>
        </is>
      </c>
      <c r="BM664" t="inlineStr">
        <is>
          <t>SEAL REEFER</t>
        </is>
      </c>
    </row>
    <row r="665">
      <c r="A665" t="n">
        <v>664</v>
      </c>
      <c r="B665" t="inlineStr">
        <is>
          <t>FOX DRY</t>
        </is>
      </c>
      <c r="C665" t="inlineStr">
        <is>
          <t>REF000000</t>
        </is>
      </c>
      <c r="D665" t="inlineStr">
        <is>
          <t>REF000000</t>
        </is>
      </c>
      <c r="E665" t="inlineStr">
        <is>
          <t>06-APR-2026</t>
        </is>
      </c>
      <c r="F665" t="inlineStr">
        <is>
          <t>FOX DRY</t>
        </is>
      </c>
      <c r="H665" t="inlineStr">
        <is>
          <t>AdminSAM</t>
        </is>
      </c>
      <c r="J665" t="inlineStr">
        <is>
          <t>23-APR-2026</t>
        </is>
      </c>
      <c r="K665" t="inlineStr">
        <is>
          <t>23-APR-2026</t>
        </is>
      </c>
      <c r="M665" t="inlineStr">
        <is>
          <t>REF000000</t>
        </is>
      </c>
      <c r="N665" t="inlineStr">
        <is>
          <t>USNFK</t>
        </is>
      </c>
      <c r="O665" t="inlineStr">
        <is>
          <t>USNFK</t>
        </is>
      </c>
      <c r="P665" t="inlineStr">
        <is>
          <t>RULED</t>
        </is>
      </c>
      <c r="U665" t="inlineStr">
        <is>
          <t>RULED</t>
        </is>
      </c>
      <c r="V665" t="inlineStr">
        <is>
          <t>RULED</t>
        </is>
      </c>
      <c r="W665" t="inlineStr">
        <is>
          <t>UNITED STATES</t>
        </is>
      </c>
      <c r="X665" t="inlineStr">
        <is>
          <t>Latin America</t>
        </is>
      </c>
      <c r="Y665" t="inlineStr">
        <is>
          <t>RUSSIA</t>
        </is>
      </c>
      <c r="Z665" t="inlineStr">
        <is>
          <t>External Review</t>
        </is>
      </c>
      <c r="AA665" t="inlineStr">
        <is>
          <t>HUB SHIPPING LLC-LED</t>
        </is>
      </c>
      <c r="AB665" t="inlineStr">
        <is>
          <t>Collect</t>
        </is>
      </c>
      <c r="AC665" t="inlineStr">
        <is>
          <t>VENUS / VOYAGE 2</t>
        </is>
      </c>
      <c r="AE665" t="inlineStr">
        <is>
          <t>LADEN BOOKING</t>
        </is>
      </c>
      <c r="AF665" t="inlineStr">
        <is>
          <t>RenniSAM</t>
        </is>
      </c>
      <c r="AG665" t="inlineStr">
        <is>
          <t>DC20</t>
        </is>
      </c>
      <c r="AH665" t="inlineStr">
        <is>
          <t>NO</t>
        </is>
      </c>
      <c r="AI665" t="n">
        <v>20</v>
      </c>
      <c r="AJ665" t="n">
        <v>20</v>
      </c>
      <c r="AK665" t="n">
        <v>0</v>
      </c>
      <c r="AP665" t="inlineStr">
        <is>
          <t>Non Haz</t>
        </is>
      </c>
      <c r="AQ665" t="inlineStr">
        <is>
          <t>CY/CY</t>
        </is>
      </c>
      <c r="AU665" t="n">
        <v>25000</v>
      </c>
      <c r="AV665" t="inlineStr">
        <is>
          <t>GENERAL COMMODITY</t>
        </is>
      </c>
      <c r="AX665" t="inlineStr">
        <is>
          <t>RSSAM042600005</t>
        </is>
      </c>
      <c r="AZ665" t="n">
        <v>0</v>
      </c>
      <c r="BA665" t="n">
        <v>14</v>
      </c>
      <c r="BB665" t="n">
        <v>21</v>
      </c>
      <c r="BC665" t="n">
        <v>99999</v>
      </c>
      <c r="BD665" t="inlineStr">
        <is>
          <t>Yes</t>
        </is>
      </c>
      <c r="BG665" t="inlineStr">
        <is>
          <t>RULED</t>
        </is>
      </c>
      <c r="BH665" t="n">
        <v>0</v>
      </c>
      <c r="BI665" t="n">
        <v>0</v>
      </c>
      <c r="BJ665" t="inlineStr">
        <is>
          <t xml:space="preserve"> 0</t>
        </is>
      </c>
      <c r="BK665" t="inlineStr">
        <is>
          <t>LINE</t>
        </is>
      </c>
      <c r="BL665" t="inlineStr">
        <is>
          <t>FOX DRY</t>
        </is>
      </c>
      <c r="BM665" t="inlineStr">
        <is>
          <t>FOX DRY</t>
        </is>
      </c>
    </row>
    <row r="666">
      <c r="A666" t="n">
        <v>665</v>
      </c>
      <c r="B666" t="inlineStr">
        <is>
          <t>BISON DRY</t>
        </is>
      </c>
      <c r="C666" t="inlineStr">
        <is>
          <t>REF000000</t>
        </is>
      </c>
      <c r="D666" t="inlineStr">
        <is>
          <t>REF000000</t>
        </is>
      </c>
      <c r="E666" t="inlineStr">
        <is>
          <t>06-APR-2026</t>
        </is>
      </c>
      <c r="F666" t="inlineStr">
        <is>
          <t>BISON DRY</t>
        </is>
      </c>
      <c r="H666" t="inlineStr">
        <is>
          <t>AdminSAM</t>
        </is>
      </c>
      <c r="J666" t="inlineStr">
        <is>
          <t>23-APR-2026</t>
        </is>
      </c>
      <c r="K666" t="inlineStr">
        <is>
          <t>23-APR-2026</t>
        </is>
      </c>
      <c r="M666" t="inlineStr">
        <is>
          <t>REF000000</t>
        </is>
      </c>
      <c r="N666" t="inlineStr">
        <is>
          <t>USNFK</t>
        </is>
      </c>
      <c r="O666" t="inlineStr">
        <is>
          <t>USNFK</t>
        </is>
      </c>
      <c r="P666" t="inlineStr">
        <is>
          <t>RULED</t>
        </is>
      </c>
      <c r="U666" t="inlineStr">
        <is>
          <t>RULED</t>
        </is>
      </c>
      <c r="V666" t="inlineStr">
        <is>
          <t>RULED</t>
        </is>
      </c>
      <c r="W666" t="inlineStr">
        <is>
          <t>UNITED STATES</t>
        </is>
      </c>
      <c r="X666" t="inlineStr">
        <is>
          <t>Latin America</t>
        </is>
      </c>
      <c r="Y666" t="inlineStr">
        <is>
          <t>RUSSIA</t>
        </is>
      </c>
      <c r="Z666" t="inlineStr">
        <is>
          <t>External Review</t>
        </is>
      </c>
      <c r="AA666" t="inlineStr">
        <is>
          <t>HUB SHIPPING LLC-LED</t>
        </is>
      </c>
      <c r="AB666" t="inlineStr">
        <is>
          <t>Collect</t>
        </is>
      </c>
      <c r="AC666" t="inlineStr">
        <is>
          <t>VENUS / VOYAGE 2</t>
        </is>
      </c>
      <c r="AE666" t="inlineStr">
        <is>
          <t>LADEN BOOKING</t>
        </is>
      </c>
      <c r="AF666" t="inlineStr">
        <is>
          <t>RenniSAM</t>
        </is>
      </c>
      <c r="AG666" t="inlineStr">
        <is>
          <t>DC20</t>
        </is>
      </c>
      <c r="AH666" t="inlineStr">
        <is>
          <t>NO</t>
        </is>
      </c>
      <c r="AI666" t="n">
        <v>20</v>
      </c>
      <c r="AJ666" t="n">
        <v>9</v>
      </c>
      <c r="AK666" t="n">
        <v>0</v>
      </c>
      <c r="AP666" t="inlineStr">
        <is>
          <t>Non Haz</t>
        </is>
      </c>
      <c r="AQ666" t="inlineStr">
        <is>
          <t>CY/CY</t>
        </is>
      </c>
      <c r="AU666" t="n">
        <v>25000</v>
      </c>
      <c r="AV666" t="inlineStr">
        <is>
          <t>GENERAL COMMODITY</t>
        </is>
      </c>
      <c r="AX666" t="inlineStr">
        <is>
          <t>RSSAM042600005</t>
        </is>
      </c>
      <c r="AZ666" t="n">
        <v>0</v>
      </c>
      <c r="BA666" t="n">
        <v>14</v>
      </c>
      <c r="BB666" t="n">
        <v>21</v>
      </c>
      <c r="BC666" t="n">
        <v>99999</v>
      </c>
      <c r="BD666" t="inlineStr">
        <is>
          <t>Yes</t>
        </is>
      </c>
      <c r="BG666" t="inlineStr">
        <is>
          <t>RULED</t>
        </is>
      </c>
      <c r="BH666" t="n">
        <v>0</v>
      </c>
      <c r="BI666" t="n">
        <v>0</v>
      </c>
      <c r="BJ666" t="inlineStr">
        <is>
          <t xml:space="preserve"> 0</t>
        </is>
      </c>
      <c r="BK666" t="inlineStr">
        <is>
          <t>LINE</t>
        </is>
      </c>
      <c r="BL666" t="inlineStr">
        <is>
          <t>BISON DRY</t>
        </is>
      </c>
      <c r="BM666" t="inlineStr">
        <is>
          <t>BISON DRY</t>
        </is>
      </c>
    </row>
    <row r="667">
      <c r="A667" t="n">
        <v>666</v>
      </c>
      <c r="B667" t="inlineStr">
        <is>
          <t>EAGLE DRY</t>
        </is>
      </c>
      <c r="C667" t="inlineStr">
        <is>
          <t>REF000000</t>
        </is>
      </c>
      <c r="D667" t="inlineStr">
        <is>
          <t>REF000000</t>
        </is>
      </c>
      <c r="E667" t="inlineStr">
        <is>
          <t>06-APR-2026</t>
        </is>
      </c>
      <c r="F667" t="inlineStr">
        <is>
          <t>EAGLE DRY</t>
        </is>
      </c>
      <c r="H667" t="inlineStr">
        <is>
          <t>AdminSAM</t>
        </is>
      </c>
      <c r="J667" t="inlineStr">
        <is>
          <t>23-APR-2026</t>
        </is>
      </c>
      <c r="K667" t="inlineStr">
        <is>
          <t>23-APR-2026</t>
        </is>
      </c>
      <c r="M667" t="inlineStr">
        <is>
          <t>REF000000</t>
        </is>
      </c>
      <c r="N667" t="inlineStr">
        <is>
          <t>USNFK</t>
        </is>
      </c>
      <c r="O667" t="inlineStr">
        <is>
          <t>USNFK</t>
        </is>
      </c>
      <c r="P667" t="inlineStr">
        <is>
          <t>RULED</t>
        </is>
      </c>
      <c r="U667" t="inlineStr">
        <is>
          <t>RULED</t>
        </is>
      </c>
      <c r="V667" t="inlineStr">
        <is>
          <t>RULED</t>
        </is>
      </c>
      <c r="W667" t="inlineStr">
        <is>
          <t>UNITED STATES</t>
        </is>
      </c>
      <c r="X667" t="inlineStr">
        <is>
          <t>Latin America</t>
        </is>
      </c>
      <c r="Y667" t="inlineStr">
        <is>
          <t>RUSSIA</t>
        </is>
      </c>
      <c r="Z667" t="inlineStr">
        <is>
          <t>External Review</t>
        </is>
      </c>
      <c r="AA667" t="inlineStr">
        <is>
          <t>HUB SHIPPING LLC-LED</t>
        </is>
      </c>
      <c r="AB667" t="inlineStr">
        <is>
          <t>Collect</t>
        </is>
      </c>
      <c r="AC667" t="inlineStr">
        <is>
          <t>VENUS / VOYAGE 2</t>
        </is>
      </c>
      <c r="AE667" t="inlineStr">
        <is>
          <t>LADEN BOOKING</t>
        </is>
      </c>
      <c r="AF667" t="inlineStr">
        <is>
          <t>RenniSAM</t>
        </is>
      </c>
      <c r="AG667" t="inlineStr">
        <is>
          <t>DC20</t>
        </is>
      </c>
      <c r="AH667" t="inlineStr">
        <is>
          <t>NO</t>
        </is>
      </c>
      <c r="AI667" t="n">
        <v>20</v>
      </c>
      <c r="AJ667" t="n">
        <v>12</v>
      </c>
      <c r="AK667" t="n">
        <v>0</v>
      </c>
      <c r="AP667" t="inlineStr">
        <is>
          <t>Non Haz</t>
        </is>
      </c>
      <c r="AQ667" t="inlineStr">
        <is>
          <t>CY/CY</t>
        </is>
      </c>
      <c r="AU667" t="n">
        <v>25000</v>
      </c>
      <c r="AV667" t="inlineStr">
        <is>
          <t>GENERAL COMMODITY</t>
        </is>
      </c>
      <c r="AX667" t="inlineStr">
        <is>
          <t>RSSAM042600005</t>
        </is>
      </c>
      <c r="AZ667" t="n">
        <v>0</v>
      </c>
      <c r="BA667" t="n">
        <v>14</v>
      </c>
      <c r="BB667" t="n">
        <v>21</v>
      </c>
      <c r="BC667" t="n">
        <v>99999</v>
      </c>
      <c r="BD667" t="inlineStr">
        <is>
          <t>Yes</t>
        </is>
      </c>
      <c r="BG667" t="inlineStr">
        <is>
          <t>RULED</t>
        </is>
      </c>
      <c r="BH667" t="n">
        <v>0</v>
      </c>
      <c r="BI667" t="n">
        <v>0</v>
      </c>
      <c r="BJ667" t="inlineStr">
        <is>
          <t xml:space="preserve"> 0</t>
        </is>
      </c>
      <c r="BK667" t="inlineStr">
        <is>
          <t>LINE</t>
        </is>
      </c>
      <c r="BL667" t="inlineStr">
        <is>
          <t>EAGLE DRY</t>
        </is>
      </c>
      <c r="BM667" t="inlineStr">
        <is>
          <t>EAGLE DRY</t>
        </is>
      </c>
    </row>
    <row r="668">
      <c r="A668" t="n">
        <v>667</v>
      </c>
      <c r="B668" t="inlineStr">
        <is>
          <t>COYOTE DRY</t>
        </is>
      </c>
      <c r="C668" t="inlineStr">
        <is>
          <t>REF000000</t>
        </is>
      </c>
      <c r="D668" t="inlineStr">
        <is>
          <t>REF000000</t>
        </is>
      </c>
      <c r="E668" t="inlineStr">
        <is>
          <t>06-APR-2026</t>
        </is>
      </c>
      <c r="F668" t="inlineStr">
        <is>
          <t>COYOTE DRY</t>
        </is>
      </c>
      <c r="H668" t="inlineStr">
        <is>
          <t>AdminSAM</t>
        </is>
      </c>
      <c r="J668" t="inlineStr">
        <is>
          <t>20-APR-2026</t>
        </is>
      </c>
      <c r="K668" t="inlineStr">
        <is>
          <t>20-APR-2026</t>
        </is>
      </c>
      <c r="M668" t="inlineStr">
        <is>
          <t>REF000000</t>
        </is>
      </c>
      <c r="N668" t="inlineStr">
        <is>
          <t>USHOU</t>
        </is>
      </c>
      <c r="O668" t="inlineStr">
        <is>
          <t>USHOU</t>
        </is>
      </c>
      <c r="P668" t="inlineStr">
        <is>
          <t>RULED</t>
        </is>
      </c>
      <c r="U668" t="inlineStr">
        <is>
          <t>RULED</t>
        </is>
      </c>
      <c r="V668" t="inlineStr">
        <is>
          <t>RULED</t>
        </is>
      </c>
      <c r="W668" t="inlineStr">
        <is>
          <t>UNITED STATES</t>
        </is>
      </c>
      <c r="X668" t="inlineStr">
        <is>
          <t>Latin America</t>
        </is>
      </c>
      <c r="Y668" t="inlineStr">
        <is>
          <t>RUSSIA</t>
        </is>
      </c>
      <c r="Z668" t="inlineStr">
        <is>
          <t>External Review</t>
        </is>
      </c>
      <c r="AA668" t="inlineStr">
        <is>
          <t>HUB SHIPPING LLC-LED</t>
        </is>
      </c>
      <c r="AB668" t="inlineStr">
        <is>
          <t>Collect</t>
        </is>
      </c>
      <c r="AC668" t="inlineStr">
        <is>
          <t>VENUS / VOYAGE 2</t>
        </is>
      </c>
      <c r="AE668" t="inlineStr">
        <is>
          <t>LADEN BOOKING</t>
        </is>
      </c>
      <c r="AF668" t="inlineStr">
        <is>
          <t>RenniSAM</t>
        </is>
      </c>
      <c r="AG668" t="inlineStr">
        <is>
          <t>HC40</t>
        </is>
      </c>
      <c r="AH668" t="inlineStr">
        <is>
          <t>NO</t>
        </is>
      </c>
      <c r="AI668" t="n">
        <v>40</v>
      </c>
      <c r="AJ668" t="n">
        <v>0</v>
      </c>
      <c r="AK668" t="n">
        <v>1</v>
      </c>
      <c r="AP668" t="inlineStr">
        <is>
          <t>Non Haz</t>
        </is>
      </c>
      <c r="AQ668" t="inlineStr">
        <is>
          <t>DOOR/CY</t>
        </is>
      </c>
      <c r="AU668" t="n">
        <v>25000</v>
      </c>
      <c r="AV668" t="inlineStr">
        <is>
          <t>GENERAL COMMODITY</t>
        </is>
      </c>
      <c r="AX668" t="inlineStr">
        <is>
          <t>RSSAM042600080</t>
        </is>
      </c>
      <c r="AZ668" t="n">
        <v>0</v>
      </c>
      <c r="BA668" t="n">
        <v>14</v>
      </c>
      <c r="BB668" t="n">
        <v>21</v>
      </c>
      <c r="BC668" t="n">
        <v>3700</v>
      </c>
      <c r="BD668" t="inlineStr">
        <is>
          <t>Yes</t>
        </is>
      </c>
      <c r="BG668" t="inlineStr">
        <is>
          <t>RULED</t>
        </is>
      </c>
      <c r="BH668" t="n">
        <v>0</v>
      </c>
      <c r="BI668" t="n">
        <v>0</v>
      </c>
      <c r="BJ668" t="inlineStr">
        <is>
          <t xml:space="preserve"> 0</t>
        </is>
      </c>
      <c r="BK668" t="inlineStr">
        <is>
          <t>LINE</t>
        </is>
      </c>
      <c r="BL668" t="inlineStr">
        <is>
          <t>COYOTE DRY</t>
        </is>
      </c>
      <c r="BM668" t="inlineStr">
        <is>
          <t>COYOTE DRY</t>
        </is>
      </c>
    </row>
    <row r="669">
      <c r="A669" t="n">
        <v>668</v>
      </c>
      <c r="B669" t="inlineStr">
        <is>
          <t>ORCA REEFER</t>
        </is>
      </c>
      <c r="C669" t="inlineStr">
        <is>
          <t>REF000000</t>
        </is>
      </c>
      <c r="D669" t="inlineStr">
        <is>
          <t>REF000000</t>
        </is>
      </c>
      <c r="E669" t="inlineStr">
        <is>
          <t>06-APR-2026</t>
        </is>
      </c>
      <c r="F669" t="inlineStr">
        <is>
          <t>ORCA REEFER</t>
        </is>
      </c>
      <c r="H669" t="inlineStr">
        <is>
          <t>AdminSAM</t>
        </is>
      </c>
      <c r="J669" t="inlineStr">
        <is>
          <t>01-MAY-2026</t>
        </is>
      </c>
      <c r="K669" t="inlineStr">
        <is>
          <t>30-APR-2026</t>
        </is>
      </c>
      <c r="M669" t="inlineStr">
        <is>
          <t>REF000000</t>
        </is>
      </c>
      <c r="N669" t="inlineStr">
        <is>
          <t>USNYC</t>
        </is>
      </c>
      <c r="O669" t="inlineStr">
        <is>
          <t>USNYC</t>
        </is>
      </c>
      <c r="P669" t="inlineStr">
        <is>
          <t>RULED</t>
        </is>
      </c>
      <c r="U669" t="inlineStr">
        <is>
          <t>RULED</t>
        </is>
      </c>
      <c r="V669" t="inlineStr">
        <is>
          <t>RULED</t>
        </is>
      </c>
      <c r="W669" t="inlineStr">
        <is>
          <t>UNITED STATES</t>
        </is>
      </c>
      <c r="X669" t="inlineStr">
        <is>
          <t>Latin America</t>
        </is>
      </c>
      <c r="Y669" t="inlineStr">
        <is>
          <t>RUSSIA</t>
        </is>
      </c>
      <c r="Z669" t="inlineStr">
        <is>
          <t>External Review</t>
        </is>
      </c>
      <c r="AA669" t="inlineStr">
        <is>
          <t>HUB SHIPPING LLC-LED</t>
        </is>
      </c>
      <c r="AB669" t="inlineStr">
        <is>
          <t>Collect</t>
        </is>
      </c>
      <c r="AC669" t="inlineStr">
        <is>
          <t>LI DA XING/VOYAGE 1</t>
        </is>
      </c>
      <c r="AE669" t="inlineStr">
        <is>
          <t>LADEN BOOKING</t>
        </is>
      </c>
      <c r="AF669" t="inlineStr">
        <is>
          <t>RenniSAM</t>
        </is>
      </c>
      <c r="AG669" t="inlineStr">
        <is>
          <t>DC20</t>
        </is>
      </c>
      <c r="AH669" t="inlineStr">
        <is>
          <t>NO</t>
        </is>
      </c>
      <c r="AI669" t="n">
        <v>20</v>
      </c>
      <c r="AJ669" t="n">
        <v>1</v>
      </c>
      <c r="AK669" t="n">
        <v>0</v>
      </c>
      <c r="AP669" t="inlineStr">
        <is>
          <t>Non Haz</t>
        </is>
      </c>
      <c r="AQ669" t="inlineStr">
        <is>
          <t>CY/CY</t>
        </is>
      </c>
      <c r="AU669" t="n">
        <v>25000</v>
      </c>
      <c r="AV669" t="inlineStr">
        <is>
          <t>GENERAL COMMODITY</t>
        </is>
      </c>
      <c r="AX669" t="inlineStr">
        <is>
          <t>RSSAM042600016</t>
        </is>
      </c>
      <c r="AZ669" t="n">
        <v>0</v>
      </c>
      <c r="BA669" t="n">
        <v>10</v>
      </c>
      <c r="BB669" t="n">
        <v>14</v>
      </c>
      <c r="BC669" t="n">
        <v>2950</v>
      </c>
      <c r="BD669" t="inlineStr">
        <is>
          <t>Yes</t>
        </is>
      </c>
      <c r="BG669" t="inlineStr">
        <is>
          <t>RULED</t>
        </is>
      </c>
      <c r="BH669" t="n">
        <v>0</v>
      </c>
      <c r="BI669" t="n">
        <v>0</v>
      </c>
      <c r="BJ669" t="inlineStr">
        <is>
          <t xml:space="preserve"> 0</t>
        </is>
      </c>
      <c r="BK669" t="inlineStr">
        <is>
          <t>LINE</t>
        </is>
      </c>
      <c r="BL669" t="inlineStr">
        <is>
          <t>ORCA REEFER</t>
        </is>
      </c>
      <c r="BM669" t="inlineStr">
        <is>
          <t>ORCA REEFER</t>
        </is>
      </c>
    </row>
    <row r="670">
      <c r="A670" t="n">
        <v>669</v>
      </c>
      <c r="B670" t="inlineStr">
        <is>
          <t>WHALE REEFER</t>
        </is>
      </c>
      <c r="C670" t="inlineStr">
        <is>
          <t>REF000000</t>
        </is>
      </c>
      <c r="D670" t="inlineStr">
        <is>
          <t>REF000000</t>
        </is>
      </c>
      <c r="E670" t="inlineStr">
        <is>
          <t>07-APR-2026</t>
        </is>
      </c>
      <c r="F670" t="inlineStr">
        <is>
          <t>WHALE REEFER</t>
        </is>
      </c>
      <c r="G670" t="inlineStr">
        <is>
          <t>final reefer details should be collected and provided to carrier by agents of POL</t>
        </is>
      </c>
      <c r="H670" t="inlineStr">
        <is>
          <t>AdminSAM</t>
        </is>
      </c>
      <c r="J670" t="inlineStr">
        <is>
          <t>20-APR-2026</t>
        </is>
      </c>
      <c r="K670" t="inlineStr">
        <is>
          <t>20-APR-2026</t>
        </is>
      </c>
      <c r="M670" t="inlineStr">
        <is>
          <t>REF000000</t>
        </is>
      </c>
      <c r="N670" t="inlineStr">
        <is>
          <t>USHOU</t>
        </is>
      </c>
      <c r="O670" t="inlineStr">
        <is>
          <t>USHOU</t>
        </is>
      </c>
      <c r="P670" t="inlineStr">
        <is>
          <t>RULED</t>
        </is>
      </c>
      <c r="U670" t="inlineStr">
        <is>
          <t>RULED</t>
        </is>
      </c>
      <c r="V670" t="inlineStr">
        <is>
          <t>RULED</t>
        </is>
      </c>
      <c r="W670" t="inlineStr">
        <is>
          <t>UNITED STATES</t>
        </is>
      </c>
      <c r="X670" t="inlineStr">
        <is>
          <t>Latin America</t>
        </is>
      </c>
      <c r="Y670" t="inlineStr">
        <is>
          <t>RUSSIA</t>
        </is>
      </c>
      <c r="Z670" t="inlineStr">
        <is>
          <t>External Review</t>
        </is>
      </c>
      <c r="AA670" t="inlineStr">
        <is>
          <t>HUB SHIPPING LLC-LED</t>
        </is>
      </c>
      <c r="AB670" t="inlineStr">
        <is>
          <t>Collect</t>
        </is>
      </c>
      <c r="AC670" t="inlineStr">
        <is>
          <t>VENUS / VOYAGE 2</t>
        </is>
      </c>
      <c r="AE670" t="inlineStr">
        <is>
          <t>LADEN BOOKING</t>
        </is>
      </c>
      <c r="AF670" t="inlineStr">
        <is>
          <t>RenniSAM</t>
        </is>
      </c>
      <c r="AG670" t="inlineStr">
        <is>
          <t>RH40</t>
        </is>
      </c>
      <c r="AH670" t="inlineStr">
        <is>
          <t>NO</t>
        </is>
      </c>
      <c r="AI670" t="n">
        <v>40</v>
      </c>
      <c r="AJ670" t="n">
        <v>0</v>
      </c>
      <c r="AK670" t="n">
        <v>10</v>
      </c>
      <c r="AM670" t="n">
        <v>0</v>
      </c>
      <c r="AN670" t="n">
        <v>0.9</v>
      </c>
      <c r="AO670" t="inlineStr">
        <is>
          <t>35 cbm/h</t>
        </is>
      </c>
      <c r="AP670" t="inlineStr">
        <is>
          <t>Non Haz</t>
        </is>
      </c>
      <c r="AQ670" t="inlineStr">
        <is>
          <t>CY/CY</t>
        </is>
      </c>
      <c r="AU670" t="n">
        <v>23562</v>
      </c>
      <c r="AV670" t="inlineStr">
        <is>
          <t>FRESH FRUITS AND VEGETABLES</t>
        </is>
      </c>
      <c r="AX670" t="inlineStr">
        <is>
          <t>RSSAM042600012</t>
        </is>
      </c>
      <c r="AZ670" t="n">
        <v>0</v>
      </c>
      <c r="BA670" t="n">
        <v>21</v>
      </c>
      <c r="BB670" t="n">
        <v>6</v>
      </c>
      <c r="BC670" t="n">
        <v>7000</v>
      </c>
      <c r="BD670" t="inlineStr">
        <is>
          <t>Yes</t>
        </is>
      </c>
      <c r="BG670" t="inlineStr">
        <is>
          <t>RULED</t>
        </is>
      </c>
      <c r="BH670" t="n">
        <v>0</v>
      </c>
      <c r="BI670" t="n">
        <v>0</v>
      </c>
      <c r="BJ670" t="inlineStr">
        <is>
          <t xml:space="preserve"> 0</t>
        </is>
      </c>
      <c r="BK670" t="inlineStr">
        <is>
          <t>LINE</t>
        </is>
      </c>
      <c r="BL670" t="inlineStr">
        <is>
          <t>WHALE REEFER</t>
        </is>
      </c>
      <c r="BM670" t="inlineStr">
        <is>
          <t>WHALE REEFER</t>
        </is>
      </c>
    </row>
    <row r="671">
      <c r="A671" t="n">
        <v>670</v>
      </c>
      <c r="B671" t="inlineStr">
        <is>
          <t>SEAL REEFER</t>
        </is>
      </c>
      <c r="C671" t="inlineStr">
        <is>
          <t>REF000000</t>
        </is>
      </c>
      <c r="D671" t="inlineStr">
        <is>
          <t>REF000000</t>
        </is>
      </c>
      <c r="E671" t="inlineStr">
        <is>
          <t>07-APR-2026</t>
        </is>
      </c>
      <c r="F671" t="inlineStr">
        <is>
          <t>SEAL REEFER</t>
        </is>
      </c>
      <c r="G671" t="inlineStr">
        <is>
          <t>final reefer details should be collected and provided to carrier by agents of POL</t>
        </is>
      </c>
      <c r="H671" t="inlineStr">
        <is>
          <t>AdminSAM</t>
        </is>
      </c>
      <c r="J671" t="inlineStr">
        <is>
          <t>02-MAY-2026</t>
        </is>
      </c>
      <c r="K671" t="inlineStr">
        <is>
          <t>01-MAY-2026</t>
        </is>
      </c>
      <c r="M671" t="inlineStr">
        <is>
          <t>REF000000</t>
        </is>
      </c>
      <c r="N671" t="inlineStr">
        <is>
          <t>USHOU</t>
        </is>
      </c>
      <c r="O671" t="inlineStr">
        <is>
          <t>USHOU</t>
        </is>
      </c>
      <c r="P671" t="inlineStr">
        <is>
          <t>RULED</t>
        </is>
      </c>
      <c r="U671" t="inlineStr">
        <is>
          <t>RULED</t>
        </is>
      </c>
      <c r="V671" t="inlineStr">
        <is>
          <t>RULED</t>
        </is>
      </c>
      <c r="W671" t="inlineStr">
        <is>
          <t>UNITED STATES</t>
        </is>
      </c>
      <c r="X671" t="inlineStr">
        <is>
          <t>Latin America</t>
        </is>
      </c>
      <c r="Y671" t="inlineStr">
        <is>
          <t>RUSSIA</t>
        </is>
      </c>
      <c r="Z671" t="inlineStr">
        <is>
          <t>External Review</t>
        </is>
      </c>
      <c r="AA671" t="inlineStr">
        <is>
          <t>HUB SHIPPING LLC-LED</t>
        </is>
      </c>
      <c r="AB671" t="inlineStr">
        <is>
          <t>Collect</t>
        </is>
      </c>
      <c r="AC671" t="inlineStr">
        <is>
          <t>LI DA XING/VOYAGE 1</t>
        </is>
      </c>
      <c r="AE671" t="inlineStr">
        <is>
          <t>LADEN BOOKING</t>
        </is>
      </c>
      <c r="AF671" t="inlineStr">
        <is>
          <t>RenniSAM</t>
        </is>
      </c>
      <c r="AG671" t="inlineStr">
        <is>
          <t>RH40</t>
        </is>
      </c>
      <c r="AH671" t="inlineStr">
        <is>
          <t>NO</t>
        </is>
      </c>
      <c r="AI671" t="n">
        <v>40</v>
      </c>
      <c r="AJ671" t="n">
        <v>0</v>
      </c>
      <c r="AK671" t="n">
        <v>20</v>
      </c>
      <c r="AM671" t="n">
        <v>0</v>
      </c>
      <c r="AN671" t="n">
        <v>0.9</v>
      </c>
      <c r="AO671" t="inlineStr">
        <is>
          <t>35 cbm/h</t>
        </is>
      </c>
      <c r="AP671" t="inlineStr">
        <is>
          <t>Non Haz</t>
        </is>
      </c>
      <c r="AQ671" t="inlineStr">
        <is>
          <t>CY/CY</t>
        </is>
      </c>
      <c r="AU671" t="n">
        <v>23562</v>
      </c>
      <c r="AV671" t="inlineStr">
        <is>
          <t>FRESH FRUITS AND VEGETABLES</t>
        </is>
      </c>
      <c r="AX671" t="inlineStr">
        <is>
          <t>RSSAM042600012</t>
        </is>
      </c>
      <c r="AZ671" t="n">
        <v>0</v>
      </c>
      <c r="BA671" t="n">
        <v>21</v>
      </c>
      <c r="BB671" t="n">
        <v>6</v>
      </c>
      <c r="BC671" t="n">
        <v>7000</v>
      </c>
      <c r="BD671" t="inlineStr">
        <is>
          <t>Yes</t>
        </is>
      </c>
      <c r="BG671" t="inlineStr">
        <is>
          <t>RULED</t>
        </is>
      </c>
      <c r="BH671" t="n">
        <v>0</v>
      </c>
      <c r="BI671" t="n">
        <v>0</v>
      </c>
      <c r="BJ671" t="inlineStr">
        <is>
          <t xml:space="preserve"> 0</t>
        </is>
      </c>
      <c r="BK671" t="inlineStr">
        <is>
          <t>LINE</t>
        </is>
      </c>
      <c r="BL671" t="inlineStr">
        <is>
          <t>SEAL REEFER</t>
        </is>
      </c>
      <c r="BM671" t="inlineStr">
        <is>
          <t>SEAL REEFER</t>
        </is>
      </c>
    </row>
    <row r="672">
      <c r="A672" t="n">
        <v>671</v>
      </c>
      <c r="B672" t="inlineStr">
        <is>
          <t>FOX DRY</t>
        </is>
      </c>
      <c r="C672" t="inlineStr">
        <is>
          <t>REF000000</t>
        </is>
      </c>
      <c r="D672" t="inlineStr">
        <is>
          <t>REF000000</t>
        </is>
      </c>
      <c r="E672" t="inlineStr">
        <is>
          <t>08-APR-2026</t>
        </is>
      </c>
      <c r="F672" t="inlineStr">
        <is>
          <t>FOX DRY</t>
        </is>
      </c>
      <c r="H672" t="inlineStr">
        <is>
          <t>AdminSAM</t>
        </is>
      </c>
      <c r="J672" t="inlineStr">
        <is>
          <t>20-APR-2026</t>
        </is>
      </c>
      <c r="K672" t="inlineStr">
        <is>
          <t>20-APR-2026</t>
        </is>
      </c>
      <c r="M672" t="inlineStr">
        <is>
          <t>REF000000</t>
        </is>
      </c>
      <c r="N672" t="inlineStr">
        <is>
          <t>USHOU</t>
        </is>
      </c>
      <c r="O672" t="inlineStr">
        <is>
          <t>USHOU</t>
        </is>
      </c>
      <c r="P672" t="inlineStr">
        <is>
          <t>RUBLT</t>
        </is>
      </c>
      <c r="U672" t="inlineStr">
        <is>
          <t>RUBLT</t>
        </is>
      </c>
      <c r="V672" t="inlineStr">
        <is>
          <t>RUBLT</t>
        </is>
      </c>
      <c r="W672" t="inlineStr">
        <is>
          <t>UNITED STATES</t>
        </is>
      </c>
      <c r="X672" t="inlineStr">
        <is>
          <t>Latin America</t>
        </is>
      </c>
      <c r="Y672" t="inlineStr">
        <is>
          <t>RUSSIA</t>
        </is>
      </c>
      <c r="Z672" t="inlineStr">
        <is>
          <t>External Review</t>
        </is>
      </c>
      <c r="AA672" t="inlineStr">
        <is>
          <t>HUB Shipping-Kaliningrad</t>
        </is>
      </c>
      <c r="AB672" t="inlineStr">
        <is>
          <t>Collect</t>
        </is>
      </c>
      <c r="AC672" t="inlineStr">
        <is>
          <t>VENUS / VOYAGE 2</t>
        </is>
      </c>
      <c r="AE672" t="inlineStr">
        <is>
          <t>LADEN BOOKING</t>
        </is>
      </c>
      <c r="AF672" t="inlineStr">
        <is>
          <t>RenniSAM</t>
        </is>
      </c>
      <c r="AG672" t="inlineStr">
        <is>
          <t>HC40</t>
        </is>
      </c>
      <c r="AH672" t="inlineStr">
        <is>
          <t>NO</t>
        </is>
      </c>
      <c r="AI672" t="n">
        <v>40</v>
      </c>
      <c r="AJ672" t="n">
        <v>0</v>
      </c>
      <c r="AK672" t="n">
        <v>1</v>
      </c>
      <c r="AP672" t="inlineStr">
        <is>
          <t>Non Haz</t>
        </is>
      </c>
      <c r="AQ672" t="inlineStr">
        <is>
          <t>CY/CY</t>
        </is>
      </c>
      <c r="AU672" t="n">
        <v>22000</v>
      </c>
      <c r="AV672" t="inlineStr">
        <is>
          <t>KITCHENWARE</t>
        </is>
      </c>
      <c r="AX672" t="inlineStr">
        <is>
          <t>MRG422770</t>
        </is>
      </c>
      <c r="AY672" t="inlineStr">
        <is>
          <t>LINE</t>
        </is>
      </c>
      <c r="AZ672" t="n">
        <v>0</v>
      </c>
      <c r="BA672" t="n">
        <v>14</v>
      </c>
      <c r="BB672" t="n">
        <v>7</v>
      </c>
      <c r="BC672" t="n">
        <v>5000</v>
      </c>
      <c r="BD672" t="inlineStr">
        <is>
          <t>Yes</t>
        </is>
      </c>
      <c r="BG672" t="inlineStr">
        <is>
          <t>RUBLT</t>
        </is>
      </c>
      <c r="BH672" t="n">
        <v>0</v>
      </c>
      <c r="BI672" t="n">
        <v>0</v>
      </c>
      <c r="BJ672" t="inlineStr">
        <is>
          <t xml:space="preserve"> 0</t>
        </is>
      </c>
      <c r="BK672" t="inlineStr">
        <is>
          <t>LINE</t>
        </is>
      </c>
      <c r="BL672" t="inlineStr">
        <is>
          <t>FOX DRY</t>
        </is>
      </c>
      <c r="BM672" t="inlineStr">
        <is>
          <t>FOX DRY</t>
        </is>
      </c>
    </row>
    <row r="673">
      <c r="A673" t="n">
        <v>672</v>
      </c>
      <c r="B673" t="inlineStr">
        <is>
          <t>DOLPHIN REEFER</t>
        </is>
      </c>
      <c r="C673" t="inlineStr">
        <is>
          <t>REF000000</t>
        </is>
      </c>
      <c r="D673" t="inlineStr">
        <is>
          <t>REF000000</t>
        </is>
      </c>
      <c r="E673" t="inlineStr">
        <is>
          <t>08-APR-2026</t>
        </is>
      </c>
      <c r="F673" t="inlineStr">
        <is>
          <t>DOLPHIN REEFER</t>
        </is>
      </c>
      <c r="G673" t="inlineStr">
        <is>
          <t>final reefer details should be collected and provided to carrier by agents of POL</t>
        </is>
      </c>
      <c r="H673" t="inlineStr">
        <is>
          <t>AdminSAM</t>
        </is>
      </c>
      <c r="J673" t="inlineStr">
        <is>
          <t>20-APR-2026</t>
        </is>
      </c>
      <c r="K673" t="inlineStr">
        <is>
          <t>20-APR-2026</t>
        </is>
      </c>
      <c r="M673" t="inlineStr">
        <is>
          <t>REF000000</t>
        </is>
      </c>
      <c r="N673" t="inlineStr">
        <is>
          <t>USHOU</t>
        </is>
      </c>
      <c r="O673" t="inlineStr">
        <is>
          <t>USHOU</t>
        </is>
      </c>
      <c r="P673" t="inlineStr">
        <is>
          <t>RULED</t>
        </is>
      </c>
      <c r="U673" t="inlineStr">
        <is>
          <t>RULED</t>
        </is>
      </c>
      <c r="V673" t="inlineStr">
        <is>
          <t>RULED</t>
        </is>
      </c>
      <c r="W673" t="inlineStr">
        <is>
          <t>UNITED STATES</t>
        </is>
      </c>
      <c r="X673" t="inlineStr">
        <is>
          <t>Latin America</t>
        </is>
      </c>
      <c r="Y673" t="inlineStr">
        <is>
          <t>RUSSIA</t>
        </is>
      </c>
      <c r="Z673" t="inlineStr">
        <is>
          <t>External Review</t>
        </is>
      </c>
      <c r="AA673" t="inlineStr">
        <is>
          <t>HUB SHIPPING LLC-LED</t>
        </is>
      </c>
      <c r="AB673" t="inlineStr">
        <is>
          <t>Collect</t>
        </is>
      </c>
      <c r="AC673" t="inlineStr">
        <is>
          <t>VENUS / VOYAGE 2</t>
        </is>
      </c>
      <c r="AE673" t="inlineStr">
        <is>
          <t>LADEN BOOKING</t>
        </is>
      </c>
      <c r="AF673" t="inlineStr">
        <is>
          <t>RenniSAM</t>
        </is>
      </c>
      <c r="AG673" t="inlineStr">
        <is>
          <t>RH40</t>
        </is>
      </c>
      <c r="AH673" t="inlineStr">
        <is>
          <t>NO</t>
        </is>
      </c>
      <c r="AI673" t="n">
        <v>40</v>
      </c>
      <c r="AJ673" t="n">
        <v>0</v>
      </c>
      <c r="AK673" t="n">
        <v>2</v>
      </c>
      <c r="AM673" t="n">
        <v>0</v>
      </c>
      <c r="AN673" t="n">
        <v>0.9</v>
      </c>
      <c r="AO673" t="inlineStr">
        <is>
          <t>40 cbm/h</t>
        </is>
      </c>
      <c r="AP673" t="inlineStr">
        <is>
          <t>Non Haz</t>
        </is>
      </c>
      <c r="AQ673" t="inlineStr">
        <is>
          <t>CY/CY</t>
        </is>
      </c>
      <c r="AU673" t="n">
        <v>23562</v>
      </c>
      <c r="AV673" t="inlineStr">
        <is>
          <t>FRESH FRUITS AND VEGETABLES</t>
        </is>
      </c>
      <c r="AX673" t="inlineStr">
        <is>
          <t>RSSAM042600012</t>
        </is>
      </c>
      <c r="AZ673" t="n">
        <v>0</v>
      </c>
      <c r="BA673" t="n">
        <v>21</v>
      </c>
      <c r="BB673" t="n">
        <v>6</v>
      </c>
      <c r="BC673" t="n">
        <v>7000</v>
      </c>
      <c r="BD673" t="inlineStr">
        <is>
          <t>Yes</t>
        </is>
      </c>
      <c r="BG673" t="inlineStr">
        <is>
          <t>RULED</t>
        </is>
      </c>
      <c r="BH673" t="n">
        <v>0</v>
      </c>
      <c r="BI673" t="n">
        <v>0</v>
      </c>
      <c r="BJ673" t="inlineStr">
        <is>
          <t xml:space="preserve"> 0</t>
        </is>
      </c>
      <c r="BK673" t="inlineStr">
        <is>
          <t>LINE</t>
        </is>
      </c>
      <c r="BL673" t="inlineStr">
        <is>
          <t>DOLPHIN REEFER</t>
        </is>
      </c>
      <c r="BM673" t="inlineStr">
        <is>
          <t>DOLPHIN REEFER</t>
        </is>
      </c>
    </row>
    <row r="674">
      <c r="A674" t="n">
        <v>673</v>
      </c>
      <c r="B674" t="inlineStr">
        <is>
          <t>EAGLE DRY</t>
        </is>
      </c>
      <c r="C674" t="inlineStr">
        <is>
          <t>REF000000</t>
        </is>
      </c>
      <c r="D674" t="inlineStr">
        <is>
          <t>REF000000</t>
        </is>
      </c>
      <c r="E674" t="inlineStr">
        <is>
          <t>08-APR-2026</t>
        </is>
      </c>
      <c r="F674" t="inlineStr">
        <is>
          <t>EAGLE DRY</t>
        </is>
      </c>
      <c r="H674" t="inlineStr">
        <is>
          <t>AdminSAM</t>
        </is>
      </c>
      <c r="J674" t="inlineStr">
        <is>
          <t>23-APR-2026</t>
        </is>
      </c>
      <c r="K674" t="inlineStr">
        <is>
          <t>23-APR-2026</t>
        </is>
      </c>
      <c r="M674" t="inlineStr">
        <is>
          <t>REF000000</t>
        </is>
      </c>
      <c r="N674" t="inlineStr">
        <is>
          <t>USNFK</t>
        </is>
      </c>
      <c r="O674" t="inlineStr">
        <is>
          <t>USNFK</t>
        </is>
      </c>
      <c r="P674" t="inlineStr">
        <is>
          <t>RULED</t>
        </is>
      </c>
      <c r="U674" t="inlineStr">
        <is>
          <t>RULED</t>
        </is>
      </c>
      <c r="V674" t="inlineStr">
        <is>
          <t>RULED</t>
        </is>
      </c>
      <c r="W674" t="inlineStr">
        <is>
          <t>UNITED STATES</t>
        </is>
      </c>
      <c r="X674" t="inlineStr">
        <is>
          <t>Latin America</t>
        </is>
      </c>
      <c r="Y674" t="inlineStr">
        <is>
          <t>RUSSIA</t>
        </is>
      </c>
      <c r="Z674" t="inlineStr">
        <is>
          <t>External Review</t>
        </is>
      </c>
      <c r="AA674" t="inlineStr">
        <is>
          <t>HUB SHIPPING LLC-LED</t>
        </is>
      </c>
      <c r="AB674" t="inlineStr">
        <is>
          <t>Collect</t>
        </is>
      </c>
      <c r="AC674" t="inlineStr">
        <is>
          <t>VENUS / VOYAGE 2</t>
        </is>
      </c>
      <c r="AE674" t="inlineStr">
        <is>
          <t>LADEN BOOKING</t>
        </is>
      </c>
      <c r="AF674" t="inlineStr">
        <is>
          <t>RenniSAM</t>
        </is>
      </c>
      <c r="AG674" t="inlineStr">
        <is>
          <t>DC20</t>
        </is>
      </c>
      <c r="AH674" t="inlineStr">
        <is>
          <t>NO</t>
        </is>
      </c>
      <c r="AI674" t="n">
        <v>20</v>
      </c>
      <c r="AJ674" t="n">
        <v>1</v>
      </c>
      <c r="AK674" t="n">
        <v>0</v>
      </c>
      <c r="AP674" t="inlineStr">
        <is>
          <t>Non Haz</t>
        </is>
      </c>
      <c r="AQ674" t="inlineStr">
        <is>
          <t>CY/CY</t>
        </is>
      </c>
      <c r="AU674" t="n">
        <v>25000</v>
      </c>
      <c r="AV674" t="inlineStr">
        <is>
          <t>GENERAL COMMODITY</t>
        </is>
      </c>
      <c r="AX674" t="inlineStr">
        <is>
          <t>RSSAM042600011</t>
        </is>
      </c>
      <c r="AZ674" t="n">
        <v>0</v>
      </c>
      <c r="BA674" t="n">
        <v>10</v>
      </c>
      <c r="BB674" t="n">
        <v>14</v>
      </c>
      <c r="BC674" t="n">
        <v>2350</v>
      </c>
      <c r="BD674" t="inlineStr">
        <is>
          <t>Yes</t>
        </is>
      </c>
      <c r="BG674" t="inlineStr">
        <is>
          <t>RULED</t>
        </is>
      </c>
      <c r="BH674" t="n">
        <v>0</v>
      </c>
      <c r="BI674" t="n">
        <v>0</v>
      </c>
      <c r="BJ674" t="inlineStr">
        <is>
          <t xml:space="preserve"> 0</t>
        </is>
      </c>
      <c r="BK674" t="inlineStr">
        <is>
          <t>LINE</t>
        </is>
      </c>
      <c r="BL674" t="inlineStr">
        <is>
          <t>EAGLE DRY</t>
        </is>
      </c>
      <c r="BM674" t="inlineStr">
        <is>
          <t>EAGLE DRY</t>
        </is>
      </c>
    </row>
    <row r="675">
      <c r="A675" t="n">
        <v>674</v>
      </c>
      <c r="B675" t="inlineStr">
        <is>
          <t>COYOTE DRY</t>
        </is>
      </c>
      <c r="C675" t="inlineStr">
        <is>
          <t>REF000000</t>
        </is>
      </c>
      <c r="D675" t="inlineStr">
        <is>
          <t>REF000000</t>
        </is>
      </c>
      <c r="E675" t="inlineStr">
        <is>
          <t>08-APR-2026</t>
        </is>
      </c>
      <c r="F675" t="inlineStr">
        <is>
          <t>COYOTE DRY</t>
        </is>
      </c>
      <c r="H675" t="inlineStr">
        <is>
          <t>AdminSAM</t>
        </is>
      </c>
      <c r="J675" t="inlineStr">
        <is>
          <t>29-APR-2026</t>
        </is>
      </c>
      <c r="K675" t="inlineStr">
        <is>
          <t>29-APR-2026</t>
        </is>
      </c>
      <c r="M675" t="inlineStr">
        <is>
          <t>REF000000</t>
        </is>
      </c>
      <c r="N675" t="inlineStr">
        <is>
          <t>USNFK</t>
        </is>
      </c>
      <c r="O675" t="inlineStr">
        <is>
          <t>USNFK</t>
        </is>
      </c>
      <c r="P675" t="inlineStr">
        <is>
          <t>RULED</t>
        </is>
      </c>
      <c r="U675" t="inlineStr">
        <is>
          <t>RULED</t>
        </is>
      </c>
      <c r="V675" t="inlineStr">
        <is>
          <t>RULED</t>
        </is>
      </c>
      <c r="W675" t="inlineStr">
        <is>
          <t>UNITED STATES</t>
        </is>
      </c>
      <c r="X675" t="inlineStr">
        <is>
          <t>Latin America</t>
        </is>
      </c>
      <c r="Y675" t="inlineStr">
        <is>
          <t>RUSSIA</t>
        </is>
      </c>
      <c r="Z675" t="inlineStr">
        <is>
          <t>External Review</t>
        </is>
      </c>
      <c r="AA675" t="inlineStr">
        <is>
          <t>HUB SHIPPING LLC-LED</t>
        </is>
      </c>
      <c r="AB675" t="inlineStr">
        <is>
          <t>Collect</t>
        </is>
      </c>
      <c r="AC675" t="inlineStr">
        <is>
          <t>LI DA XING/VOYAGE 1</t>
        </is>
      </c>
      <c r="AE675" t="inlineStr">
        <is>
          <t>LADEN BOOKING</t>
        </is>
      </c>
      <c r="AF675" t="inlineStr">
        <is>
          <t>RenniSAM</t>
        </is>
      </c>
      <c r="AG675" t="inlineStr">
        <is>
          <t>DC20</t>
        </is>
      </c>
      <c r="AH675" t="inlineStr">
        <is>
          <t>NO</t>
        </is>
      </c>
      <c r="AI675" t="n">
        <v>20</v>
      </c>
      <c r="AJ675" t="n">
        <v>1</v>
      </c>
      <c r="AK675" t="n">
        <v>0</v>
      </c>
      <c r="AP675" t="inlineStr">
        <is>
          <t>Non Haz</t>
        </is>
      </c>
      <c r="AQ675" t="inlineStr">
        <is>
          <t>CY/CY</t>
        </is>
      </c>
      <c r="AU675" t="n">
        <v>23000</v>
      </c>
      <c r="AV675" t="inlineStr">
        <is>
          <t>GENERAL COMMODITY</t>
        </is>
      </c>
      <c r="AX675" t="inlineStr">
        <is>
          <t>MRG422781</t>
        </is>
      </c>
      <c r="AY675" t="inlineStr">
        <is>
          <t>LINE</t>
        </is>
      </c>
      <c r="AZ675" t="n">
        <v>0</v>
      </c>
      <c r="BA675" t="n">
        <v>14</v>
      </c>
      <c r="BB675" t="n">
        <v>14</v>
      </c>
      <c r="BC675" t="n">
        <v>3400</v>
      </c>
      <c r="BD675" t="inlineStr">
        <is>
          <t>Yes</t>
        </is>
      </c>
      <c r="BG675" t="inlineStr">
        <is>
          <t>RULED</t>
        </is>
      </c>
      <c r="BH675" t="n">
        <v>0</v>
      </c>
      <c r="BI675" t="n">
        <v>0</v>
      </c>
      <c r="BJ675" t="inlineStr">
        <is>
          <t xml:space="preserve"> 0</t>
        </is>
      </c>
      <c r="BK675" t="inlineStr">
        <is>
          <t>LINE</t>
        </is>
      </c>
      <c r="BL675" t="inlineStr">
        <is>
          <t>COYOTE DRY</t>
        </is>
      </c>
      <c r="BM675" t="inlineStr">
        <is>
          <t>COYOTE DRY</t>
        </is>
      </c>
    </row>
    <row r="676">
      <c r="A676" t="n">
        <v>675</v>
      </c>
      <c r="B676" t="inlineStr">
        <is>
          <t>FALCON DRY</t>
        </is>
      </c>
      <c r="C676" t="inlineStr">
        <is>
          <t>REF000000</t>
        </is>
      </c>
      <c r="D676" t="inlineStr">
        <is>
          <t>REF000000</t>
        </is>
      </c>
      <c r="E676" t="inlineStr">
        <is>
          <t>08-APR-2026</t>
        </is>
      </c>
      <c r="F676" t="inlineStr">
        <is>
          <t>FALCON DRY</t>
        </is>
      </c>
      <c r="H676" t="inlineStr">
        <is>
          <t>AdminSAM</t>
        </is>
      </c>
      <c r="J676" t="inlineStr">
        <is>
          <t>20-APR-2026</t>
        </is>
      </c>
      <c r="K676" t="inlineStr">
        <is>
          <t>20-APR-2026</t>
        </is>
      </c>
      <c r="M676" t="inlineStr">
        <is>
          <t>REF000000</t>
        </is>
      </c>
      <c r="N676" t="inlineStr">
        <is>
          <t>USHOU</t>
        </is>
      </c>
      <c r="O676" t="inlineStr">
        <is>
          <t>USHOU</t>
        </is>
      </c>
      <c r="P676" t="inlineStr">
        <is>
          <t>RULED</t>
        </is>
      </c>
      <c r="U676" t="inlineStr">
        <is>
          <t>RULED</t>
        </is>
      </c>
      <c r="V676" t="inlineStr">
        <is>
          <t>RULED</t>
        </is>
      </c>
      <c r="W676" t="inlineStr">
        <is>
          <t>UNITED STATES</t>
        </is>
      </c>
      <c r="X676" t="inlineStr">
        <is>
          <t>Latin America</t>
        </is>
      </c>
      <c r="Y676" t="inlineStr">
        <is>
          <t>RUSSIA</t>
        </is>
      </c>
      <c r="Z676" t="inlineStr">
        <is>
          <t>External Review</t>
        </is>
      </c>
      <c r="AA676" t="inlineStr">
        <is>
          <t>HUB SHIPPING LLC-LED</t>
        </is>
      </c>
      <c r="AB676" t="inlineStr">
        <is>
          <t>Collect</t>
        </is>
      </c>
      <c r="AC676" t="inlineStr">
        <is>
          <t>VENUS / VOYAGE 2</t>
        </is>
      </c>
      <c r="AE676" t="inlineStr">
        <is>
          <t>LADEN BOOKING</t>
        </is>
      </c>
      <c r="AF676" t="inlineStr">
        <is>
          <t>RenniSAM</t>
        </is>
      </c>
      <c r="AG676" t="inlineStr">
        <is>
          <t>HC40</t>
        </is>
      </c>
      <c r="AH676" t="inlineStr">
        <is>
          <t>NO</t>
        </is>
      </c>
      <c r="AI676" t="n">
        <v>40</v>
      </c>
      <c r="AJ676" t="n">
        <v>0</v>
      </c>
      <c r="AK676" t="n">
        <v>4</v>
      </c>
      <c r="AP676" t="inlineStr">
        <is>
          <t>Non Haz</t>
        </is>
      </c>
      <c r="AQ676" t="inlineStr">
        <is>
          <t>CY/CY</t>
        </is>
      </c>
      <c r="AU676" t="n">
        <v>23000</v>
      </c>
      <c r="AV676" t="inlineStr">
        <is>
          <t>GENERAL COMMODITY</t>
        </is>
      </c>
      <c r="AX676" t="inlineStr">
        <is>
          <t>RSSAM042600020</t>
        </is>
      </c>
      <c r="AZ676" t="n">
        <v>0</v>
      </c>
      <c r="BA676" t="n">
        <v>14</v>
      </c>
      <c r="BB676" t="n">
        <v>14</v>
      </c>
      <c r="BC676" t="n">
        <v>2750</v>
      </c>
      <c r="BD676" t="inlineStr">
        <is>
          <t>Yes</t>
        </is>
      </c>
      <c r="BG676" t="inlineStr">
        <is>
          <t>RULED</t>
        </is>
      </c>
      <c r="BH676" t="n">
        <v>0</v>
      </c>
      <c r="BI676" t="n">
        <v>0</v>
      </c>
      <c r="BJ676" t="inlineStr">
        <is>
          <t xml:space="preserve"> 0</t>
        </is>
      </c>
      <c r="BK676" t="inlineStr">
        <is>
          <t>LINE</t>
        </is>
      </c>
      <c r="BL676" t="inlineStr">
        <is>
          <t>FALCON DRY</t>
        </is>
      </c>
      <c r="BM676" t="inlineStr">
        <is>
          <t>FALCON DRY</t>
        </is>
      </c>
    </row>
    <row r="677">
      <c r="A677" t="n">
        <v>676</v>
      </c>
      <c r="B677" t="inlineStr">
        <is>
          <t>WHALE REEFER</t>
        </is>
      </c>
      <c r="C677" t="inlineStr">
        <is>
          <t>REF000000</t>
        </is>
      </c>
      <c r="D677" t="inlineStr">
        <is>
          <t>REF000000</t>
        </is>
      </c>
      <c r="E677" t="inlineStr">
        <is>
          <t>08-APR-2026</t>
        </is>
      </c>
      <c r="F677" t="inlineStr">
        <is>
          <t>WHALE REEFER</t>
        </is>
      </c>
      <c r="H677" t="inlineStr">
        <is>
          <t>AdminSAM</t>
        </is>
      </c>
      <c r="J677" t="inlineStr">
        <is>
          <t>19-APR-2026</t>
        </is>
      </c>
      <c r="K677" t="inlineStr">
        <is>
          <t>19-APR-2026</t>
        </is>
      </c>
      <c r="M677" t="inlineStr">
        <is>
          <t>REF000000</t>
        </is>
      </c>
      <c r="N677" t="inlineStr">
        <is>
          <t>USNYC</t>
        </is>
      </c>
      <c r="O677" t="inlineStr">
        <is>
          <t>USNYC</t>
        </is>
      </c>
      <c r="P677" t="inlineStr">
        <is>
          <t>RULED</t>
        </is>
      </c>
      <c r="U677" t="inlineStr">
        <is>
          <t>RULED</t>
        </is>
      </c>
      <c r="V677" t="inlineStr">
        <is>
          <t>RULED</t>
        </is>
      </c>
      <c r="W677" t="inlineStr">
        <is>
          <t>UNITED STATES</t>
        </is>
      </c>
      <c r="X677" t="inlineStr">
        <is>
          <t>Latin America</t>
        </is>
      </c>
      <c r="Y677" t="inlineStr">
        <is>
          <t>RUSSIA</t>
        </is>
      </c>
      <c r="Z677" t="inlineStr">
        <is>
          <t>External Review</t>
        </is>
      </c>
      <c r="AA677" t="inlineStr">
        <is>
          <t>HUB SHIPPING LLC-LED</t>
        </is>
      </c>
      <c r="AB677" t="inlineStr">
        <is>
          <t>Collect</t>
        </is>
      </c>
      <c r="AC677" t="inlineStr">
        <is>
          <t>VENUS / VOYAGE 2</t>
        </is>
      </c>
      <c r="AE677" t="inlineStr">
        <is>
          <t>LADEN BOOKING</t>
        </is>
      </c>
      <c r="AF677" t="inlineStr">
        <is>
          <t>RenniSAM</t>
        </is>
      </c>
      <c r="AG677" t="inlineStr">
        <is>
          <t>HC40</t>
        </is>
      </c>
      <c r="AH677" t="inlineStr">
        <is>
          <t>NO</t>
        </is>
      </c>
      <c r="AI677" t="n">
        <v>40</v>
      </c>
      <c r="AJ677" t="n">
        <v>0</v>
      </c>
      <c r="AK677" t="n">
        <v>1</v>
      </c>
      <c r="AL677" t="inlineStr">
        <is>
          <t>ANON0000000</t>
        </is>
      </c>
      <c r="AP677" t="inlineStr">
        <is>
          <t>Non Haz</t>
        </is>
      </c>
      <c r="AQ677" t="inlineStr">
        <is>
          <t>CY/CY</t>
        </is>
      </c>
      <c r="AT677" t="inlineStr">
        <is>
          <t>REF000000</t>
        </is>
      </c>
      <c r="AU677" t="n">
        <v>23000</v>
      </c>
      <c r="AV677" t="inlineStr">
        <is>
          <t>GENERAL COMMODITY</t>
        </is>
      </c>
      <c r="AX677" t="inlineStr">
        <is>
          <t>MRG422787</t>
        </is>
      </c>
      <c r="AY677" t="inlineStr">
        <is>
          <t>LINE</t>
        </is>
      </c>
      <c r="AZ677" t="n">
        <v>0</v>
      </c>
      <c r="BA677" t="n">
        <v>14</v>
      </c>
      <c r="BB677" t="n">
        <v>14</v>
      </c>
      <c r="BC677" t="n">
        <v>4800</v>
      </c>
      <c r="BD677" t="inlineStr">
        <is>
          <t>Yes</t>
        </is>
      </c>
      <c r="BG677" t="inlineStr">
        <is>
          <t>RULED</t>
        </is>
      </c>
      <c r="BH677" t="n">
        <v>0</v>
      </c>
      <c r="BI677" t="n">
        <v>1</v>
      </c>
      <c r="BJ677" t="n">
        <v>4800</v>
      </c>
      <c r="BK677" t="inlineStr">
        <is>
          <t>LINE</t>
        </is>
      </c>
      <c r="BL677" t="inlineStr">
        <is>
          <t>WHALE REEFER</t>
        </is>
      </c>
      <c r="BM677" t="inlineStr">
        <is>
          <t>WHALE REEFER</t>
        </is>
      </c>
    </row>
    <row r="678">
      <c r="A678" t="n">
        <v>677</v>
      </c>
      <c r="B678" t="inlineStr">
        <is>
          <t>SEAL REEFER</t>
        </is>
      </c>
      <c r="C678" t="inlineStr">
        <is>
          <t>REF000000</t>
        </is>
      </c>
      <c r="D678" t="inlineStr">
        <is>
          <t>REF000000</t>
        </is>
      </c>
      <c r="E678" t="inlineStr">
        <is>
          <t>08-APR-2026</t>
        </is>
      </c>
      <c r="F678" t="inlineStr">
        <is>
          <t>SEAL REEFER</t>
        </is>
      </c>
      <c r="H678" t="inlineStr">
        <is>
          <t>AdminSAM</t>
        </is>
      </c>
      <c r="J678" t="inlineStr">
        <is>
          <t>01-MAY-2026</t>
        </is>
      </c>
      <c r="K678" t="inlineStr">
        <is>
          <t>30-APR-2026</t>
        </is>
      </c>
      <c r="M678" t="inlineStr">
        <is>
          <t>REF000000</t>
        </is>
      </c>
      <c r="N678" t="inlineStr">
        <is>
          <t>USNYC</t>
        </is>
      </c>
      <c r="O678" t="inlineStr">
        <is>
          <t>USNYC</t>
        </is>
      </c>
      <c r="P678" t="inlineStr">
        <is>
          <t>RULED</t>
        </is>
      </c>
      <c r="U678" t="inlineStr">
        <is>
          <t>RULED</t>
        </is>
      </c>
      <c r="V678" t="inlineStr">
        <is>
          <t>RULED</t>
        </is>
      </c>
      <c r="W678" t="inlineStr">
        <is>
          <t>UNITED STATES</t>
        </is>
      </c>
      <c r="X678" t="inlineStr">
        <is>
          <t>Latin America</t>
        </is>
      </c>
      <c r="Y678" t="inlineStr">
        <is>
          <t>RUSSIA</t>
        </is>
      </c>
      <c r="Z678" t="inlineStr">
        <is>
          <t>External Review</t>
        </is>
      </c>
      <c r="AA678" t="inlineStr">
        <is>
          <t>HUB SHIPPING LLC-LED</t>
        </is>
      </c>
      <c r="AB678" t="inlineStr">
        <is>
          <t>Collect</t>
        </is>
      </c>
      <c r="AC678" t="inlineStr">
        <is>
          <t>LI DA XING/VOYAGE 1</t>
        </is>
      </c>
      <c r="AE678" t="inlineStr">
        <is>
          <t>LADEN BOOKING</t>
        </is>
      </c>
      <c r="AF678" t="inlineStr">
        <is>
          <t>RenniSAM</t>
        </is>
      </c>
      <c r="AG678" t="inlineStr">
        <is>
          <t>DC20</t>
        </is>
      </c>
      <c r="AH678" t="inlineStr">
        <is>
          <t>NO</t>
        </is>
      </c>
      <c r="AI678" t="n">
        <v>20</v>
      </c>
      <c r="AJ678" t="n">
        <v>3</v>
      </c>
      <c r="AK678" t="n">
        <v>0</v>
      </c>
      <c r="AP678" t="inlineStr">
        <is>
          <t>Non Haz</t>
        </is>
      </c>
      <c r="AQ678" t="inlineStr">
        <is>
          <t>CY/CY</t>
        </is>
      </c>
      <c r="AU678" t="n">
        <v>23000</v>
      </c>
      <c r="AV678" t="inlineStr">
        <is>
          <t>GENERAL COMMODITY</t>
        </is>
      </c>
      <c r="AX678" t="inlineStr">
        <is>
          <t>RSSAM042600079</t>
        </is>
      </c>
      <c r="AZ678" t="n">
        <v>0</v>
      </c>
      <c r="BA678" t="n">
        <v>14</v>
      </c>
      <c r="BB678" t="n">
        <v>14</v>
      </c>
      <c r="BC678" t="n">
        <v>2475</v>
      </c>
      <c r="BD678" t="inlineStr">
        <is>
          <t>Yes</t>
        </is>
      </c>
      <c r="BG678" t="inlineStr">
        <is>
          <t>RULED</t>
        </is>
      </c>
      <c r="BH678" t="n">
        <v>0</v>
      </c>
      <c r="BI678" t="n">
        <v>0</v>
      </c>
      <c r="BJ678" t="inlineStr">
        <is>
          <t xml:space="preserve"> 0</t>
        </is>
      </c>
      <c r="BK678" t="inlineStr">
        <is>
          <t>LINE</t>
        </is>
      </c>
      <c r="BL678" t="inlineStr">
        <is>
          <t>SEAL REEFER</t>
        </is>
      </c>
      <c r="BM678" t="inlineStr">
        <is>
          <t>SEAL REEFER</t>
        </is>
      </c>
    </row>
    <row r="679">
      <c r="A679" t="n">
        <v>678</v>
      </c>
      <c r="B679" t="inlineStr">
        <is>
          <t>FOX DRY</t>
        </is>
      </c>
      <c r="C679" t="inlineStr">
        <is>
          <t>REF000000</t>
        </is>
      </c>
      <c r="D679" t="inlineStr">
        <is>
          <t>REF000000</t>
        </is>
      </c>
      <c r="E679" t="inlineStr">
        <is>
          <t>08-APR-2026</t>
        </is>
      </c>
      <c r="F679" t="inlineStr">
        <is>
          <t>FOX DRY</t>
        </is>
      </c>
      <c r="H679" t="inlineStr">
        <is>
          <t>AdminSAM</t>
        </is>
      </c>
      <c r="J679" t="inlineStr">
        <is>
          <t>23-APR-2026</t>
        </is>
      </c>
      <c r="K679" t="inlineStr">
        <is>
          <t>23-APR-2026</t>
        </is>
      </c>
      <c r="M679" t="inlineStr">
        <is>
          <t>REF000000</t>
        </is>
      </c>
      <c r="N679" t="inlineStr">
        <is>
          <t>USNFK</t>
        </is>
      </c>
      <c r="O679" t="inlineStr">
        <is>
          <t>USNFK</t>
        </is>
      </c>
      <c r="P679" t="inlineStr">
        <is>
          <t>RULED</t>
        </is>
      </c>
      <c r="U679" t="inlineStr">
        <is>
          <t>RULED</t>
        </is>
      </c>
      <c r="V679" t="inlineStr">
        <is>
          <t>RULED</t>
        </is>
      </c>
      <c r="W679" t="inlineStr">
        <is>
          <t>UNITED STATES</t>
        </is>
      </c>
      <c r="X679" t="inlineStr">
        <is>
          <t>Latin America</t>
        </is>
      </c>
      <c r="Y679" t="inlineStr">
        <is>
          <t>RUSSIA</t>
        </is>
      </c>
      <c r="Z679" t="inlineStr">
        <is>
          <t>External Review</t>
        </is>
      </c>
      <c r="AA679" t="inlineStr">
        <is>
          <t>HUB SHIPPING LLC-LED</t>
        </is>
      </c>
      <c r="AB679" t="inlineStr">
        <is>
          <t>Collect</t>
        </is>
      </c>
      <c r="AC679" t="inlineStr">
        <is>
          <t>VENUS / VOYAGE 2</t>
        </is>
      </c>
      <c r="AE679" t="inlineStr">
        <is>
          <t>LADEN BOOKING</t>
        </is>
      </c>
      <c r="AF679" t="inlineStr">
        <is>
          <t>RenniSAM</t>
        </is>
      </c>
      <c r="AG679" t="inlineStr">
        <is>
          <t>HC40</t>
        </is>
      </c>
      <c r="AH679" t="inlineStr">
        <is>
          <t>NO</t>
        </is>
      </c>
      <c r="AI679" t="n">
        <v>40</v>
      </c>
      <c r="AJ679" t="n">
        <v>0</v>
      </c>
      <c r="AK679" t="n">
        <v>2</v>
      </c>
      <c r="AP679" t="inlineStr">
        <is>
          <t>Non Haz</t>
        </is>
      </c>
      <c r="AQ679" t="inlineStr">
        <is>
          <t>CY/CY</t>
        </is>
      </c>
      <c r="AU679" t="n">
        <v>23000</v>
      </c>
      <c r="AV679" t="inlineStr">
        <is>
          <t>GENERAL COMMODITY</t>
        </is>
      </c>
      <c r="AX679" t="inlineStr">
        <is>
          <t>RSSAM042600013</t>
        </is>
      </c>
      <c r="AZ679" t="n">
        <v>0</v>
      </c>
      <c r="BA679" t="n">
        <v>14</v>
      </c>
      <c r="BB679" t="n">
        <v>14</v>
      </c>
      <c r="BC679" t="n">
        <v>3100</v>
      </c>
      <c r="BD679" t="inlineStr">
        <is>
          <t>Yes</t>
        </is>
      </c>
      <c r="BG679" t="inlineStr">
        <is>
          <t>RULED</t>
        </is>
      </c>
      <c r="BH679" t="n">
        <v>0</v>
      </c>
      <c r="BI679" t="n">
        <v>0</v>
      </c>
      <c r="BJ679" t="inlineStr">
        <is>
          <t xml:space="preserve"> 0</t>
        </is>
      </c>
      <c r="BK679" t="inlineStr">
        <is>
          <t>LINE</t>
        </is>
      </c>
      <c r="BL679" t="inlineStr">
        <is>
          <t>FOX DRY</t>
        </is>
      </c>
      <c r="BM679" t="inlineStr">
        <is>
          <t>FOX DRY</t>
        </is>
      </c>
    </row>
    <row r="680">
      <c r="A680" t="n">
        <v>679</v>
      </c>
      <c r="B680" t="inlineStr">
        <is>
          <t>BISON DRY</t>
        </is>
      </c>
      <c r="C680" t="inlineStr">
        <is>
          <t>REF000000</t>
        </is>
      </c>
      <c r="D680" t="inlineStr">
        <is>
          <t>REF000000</t>
        </is>
      </c>
      <c r="E680" t="inlineStr">
        <is>
          <t>08-APR-2026</t>
        </is>
      </c>
      <c r="F680" t="inlineStr">
        <is>
          <t>BISON DRY</t>
        </is>
      </c>
      <c r="H680" t="inlineStr">
        <is>
          <t>AdminSAM</t>
        </is>
      </c>
      <c r="J680" t="inlineStr">
        <is>
          <t>20-APR-2026</t>
        </is>
      </c>
      <c r="K680" t="inlineStr">
        <is>
          <t>20-APR-2026</t>
        </is>
      </c>
      <c r="M680" t="inlineStr">
        <is>
          <t>REF000000</t>
        </is>
      </c>
      <c r="N680" t="inlineStr">
        <is>
          <t>USLAX</t>
        </is>
      </c>
      <c r="O680" t="inlineStr">
        <is>
          <t>USLAX</t>
        </is>
      </c>
      <c r="P680" t="inlineStr">
        <is>
          <t>USNFK</t>
        </is>
      </c>
      <c r="U680" t="inlineStr">
        <is>
          <t>RULED</t>
        </is>
      </c>
      <c r="V680" t="inlineStr">
        <is>
          <t>RULED</t>
        </is>
      </c>
      <c r="W680" t="inlineStr">
        <is>
          <t>UNITED STATES</t>
        </is>
      </c>
      <c r="X680" t="inlineStr">
        <is>
          <t>Latin America</t>
        </is>
      </c>
      <c r="Y680" t="inlineStr">
        <is>
          <t>RUSSIA</t>
        </is>
      </c>
      <c r="Z680" t="inlineStr">
        <is>
          <t>External Review</t>
        </is>
      </c>
      <c r="AA680" t="inlineStr">
        <is>
          <t>HUB SHIPPING LLC-LED</t>
        </is>
      </c>
      <c r="AB680" t="inlineStr">
        <is>
          <t>Collect</t>
        </is>
      </c>
      <c r="AC680" t="inlineStr">
        <is>
          <t>LOG IN PANTANAL/594S</t>
        </is>
      </c>
      <c r="AE680" t="inlineStr">
        <is>
          <t>LADEN BOOKING</t>
        </is>
      </c>
      <c r="AF680" t="inlineStr">
        <is>
          <t>RenniSAM</t>
        </is>
      </c>
      <c r="AG680" t="inlineStr">
        <is>
          <t>DC20</t>
        </is>
      </c>
      <c r="AH680" t="inlineStr">
        <is>
          <t>NO</t>
        </is>
      </c>
      <c r="AI680" t="n">
        <v>20</v>
      </c>
      <c r="AJ680" t="n">
        <v>1</v>
      </c>
      <c r="AK680" t="n">
        <v>0</v>
      </c>
      <c r="AL680" t="inlineStr">
        <is>
          <t>ANON0000000</t>
        </is>
      </c>
      <c r="AP680" t="inlineStr">
        <is>
          <t>Non Haz</t>
        </is>
      </c>
      <c r="AQ680" t="inlineStr">
        <is>
          <t>CY/CY</t>
        </is>
      </c>
      <c r="AT680" t="inlineStr">
        <is>
          <t>REF000000</t>
        </is>
      </c>
      <c r="AU680" t="n">
        <v>23000</v>
      </c>
      <c r="AV680" t="inlineStr">
        <is>
          <t>GENERAL COMMODITY</t>
        </is>
      </c>
      <c r="AX680" t="inlineStr">
        <is>
          <t>RSSAM042600086</t>
        </is>
      </c>
      <c r="AZ680" t="n">
        <v>0</v>
      </c>
      <c r="BA680" t="n">
        <v>14</v>
      </c>
      <c r="BB680" t="n">
        <v>14</v>
      </c>
      <c r="BC680" t="n">
        <v>4275</v>
      </c>
      <c r="BD680" t="inlineStr">
        <is>
          <t>Yes</t>
        </is>
      </c>
      <c r="BG680" t="inlineStr">
        <is>
          <t>RULED</t>
        </is>
      </c>
      <c r="BH680" t="n">
        <v>1</v>
      </c>
      <c r="BI680" t="n">
        <v>0</v>
      </c>
      <c r="BJ680" t="n">
        <v>4275</v>
      </c>
      <c r="BK680" t="inlineStr">
        <is>
          <t>LINE</t>
        </is>
      </c>
      <c r="BL680" t="inlineStr">
        <is>
          <t>BISON DRY</t>
        </is>
      </c>
      <c r="BM680" t="inlineStr">
        <is>
          <t>BISON DRY</t>
        </is>
      </c>
    </row>
    <row r="681">
      <c r="A681" t="n">
        <v>680</v>
      </c>
      <c r="B681" t="inlineStr">
        <is>
          <t>EAGLE DRY</t>
        </is>
      </c>
      <c r="C681" t="inlineStr">
        <is>
          <t>REF000000</t>
        </is>
      </c>
      <c r="D681" t="inlineStr">
        <is>
          <t>REF000000</t>
        </is>
      </c>
      <c r="E681" t="inlineStr">
        <is>
          <t>08-APR-2026</t>
        </is>
      </c>
      <c r="F681" t="inlineStr">
        <is>
          <t>EAGLE DRY</t>
        </is>
      </c>
      <c r="H681" t="inlineStr">
        <is>
          <t>AdminSAM</t>
        </is>
      </c>
      <c r="J681" t="inlineStr">
        <is>
          <t>20-APR-2026</t>
        </is>
      </c>
      <c r="K681" t="inlineStr">
        <is>
          <t>20-APR-2026</t>
        </is>
      </c>
      <c r="M681" t="inlineStr">
        <is>
          <t>REF000000</t>
        </is>
      </c>
      <c r="N681" t="inlineStr">
        <is>
          <t>USLAX</t>
        </is>
      </c>
      <c r="O681" t="inlineStr">
        <is>
          <t>USLAX</t>
        </is>
      </c>
      <c r="P681" t="inlineStr">
        <is>
          <t>USNFK</t>
        </is>
      </c>
      <c r="U681" t="inlineStr">
        <is>
          <t>RULED</t>
        </is>
      </c>
      <c r="V681" t="inlineStr">
        <is>
          <t>RULED</t>
        </is>
      </c>
      <c r="W681" t="inlineStr">
        <is>
          <t>UNITED STATES</t>
        </is>
      </c>
      <c r="X681" t="inlineStr">
        <is>
          <t>Latin America</t>
        </is>
      </c>
      <c r="Y681" t="inlineStr">
        <is>
          <t>RUSSIA</t>
        </is>
      </c>
      <c r="Z681" t="inlineStr">
        <is>
          <t>External Review</t>
        </is>
      </c>
      <c r="AA681" t="inlineStr">
        <is>
          <t>HUB SHIPPING LLC-LED</t>
        </is>
      </c>
      <c r="AB681" t="inlineStr">
        <is>
          <t>Collect</t>
        </is>
      </c>
      <c r="AC681" t="inlineStr">
        <is>
          <t>LOG IN PANTANAL/594S</t>
        </is>
      </c>
      <c r="AE681" t="inlineStr">
        <is>
          <t>LADEN BOOKING</t>
        </is>
      </c>
      <c r="AF681" t="inlineStr">
        <is>
          <t>RenniSAM</t>
        </is>
      </c>
      <c r="AG681" t="inlineStr">
        <is>
          <t>DC20</t>
        </is>
      </c>
      <c r="AH681" t="inlineStr">
        <is>
          <t>NO</t>
        </is>
      </c>
      <c r="AI681" t="n">
        <v>20</v>
      </c>
      <c r="AJ681" t="n">
        <v>1</v>
      </c>
      <c r="AK681" t="n">
        <v>0</v>
      </c>
      <c r="AL681" t="inlineStr">
        <is>
          <t>ANON0000000</t>
        </is>
      </c>
      <c r="AP681" t="inlineStr">
        <is>
          <t>Non Haz</t>
        </is>
      </c>
      <c r="AQ681" t="inlineStr">
        <is>
          <t>CY/CY</t>
        </is>
      </c>
      <c r="AT681" t="inlineStr">
        <is>
          <t>REF000000</t>
        </is>
      </c>
      <c r="AU681" t="n">
        <v>23000</v>
      </c>
      <c r="AV681" t="inlineStr">
        <is>
          <t>GENERAL COMMODITY</t>
        </is>
      </c>
      <c r="AX681" t="inlineStr">
        <is>
          <t>RSSAM042600086</t>
        </is>
      </c>
      <c r="AZ681" t="n">
        <v>0</v>
      </c>
      <c r="BA681" t="n">
        <v>14</v>
      </c>
      <c r="BB681" t="n">
        <v>14</v>
      </c>
      <c r="BC681" t="n">
        <v>4275</v>
      </c>
      <c r="BD681" t="inlineStr">
        <is>
          <t>Yes</t>
        </is>
      </c>
      <c r="BG681" t="inlineStr">
        <is>
          <t>RULED</t>
        </is>
      </c>
      <c r="BH681" t="n">
        <v>1</v>
      </c>
      <c r="BI681" t="n">
        <v>0</v>
      </c>
      <c r="BJ681" t="n">
        <v>4275</v>
      </c>
      <c r="BK681" t="inlineStr">
        <is>
          <t>LINE</t>
        </is>
      </c>
      <c r="BL681" t="inlineStr">
        <is>
          <t>EAGLE DRY</t>
        </is>
      </c>
      <c r="BM681" t="inlineStr">
        <is>
          <t>EAGLE DRY</t>
        </is>
      </c>
    </row>
    <row r="682">
      <c r="A682" t="n">
        <v>681</v>
      </c>
      <c r="B682" t="inlineStr">
        <is>
          <t>TURTLE REEFER</t>
        </is>
      </c>
      <c r="C682" t="inlineStr">
        <is>
          <t>REF000000</t>
        </is>
      </c>
      <c r="D682" t="inlineStr">
        <is>
          <t>REF000000</t>
        </is>
      </c>
      <c r="E682" t="inlineStr">
        <is>
          <t>09-APR-2026</t>
        </is>
      </c>
      <c r="F682" t="inlineStr">
        <is>
          <t>TURTLE REEFER</t>
        </is>
      </c>
      <c r="G682" t="inlineStr">
        <is>
          <t>PREPAID WET BLUE</t>
        </is>
      </c>
      <c r="H682" t="inlineStr">
        <is>
          <t>DiegoSAM</t>
        </is>
      </c>
      <c r="J682" t="inlineStr">
        <is>
          <t>19-APR-2026</t>
        </is>
      </c>
      <c r="K682" t="inlineStr">
        <is>
          <t>19-APR-2026</t>
        </is>
      </c>
      <c r="M682" t="inlineStr">
        <is>
          <t>REF000000</t>
        </is>
      </c>
      <c r="N682" t="inlineStr">
        <is>
          <t>USNYC</t>
        </is>
      </c>
      <c r="O682" t="inlineStr">
        <is>
          <t>USNYC</t>
        </is>
      </c>
      <c r="P682" t="inlineStr">
        <is>
          <t>RULED</t>
        </is>
      </c>
      <c r="U682" t="inlineStr">
        <is>
          <t>RULED</t>
        </is>
      </c>
      <c r="V682" t="inlineStr">
        <is>
          <t>RULED</t>
        </is>
      </c>
      <c r="W682" t="inlineStr">
        <is>
          <t>UNITED STATES</t>
        </is>
      </c>
      <c r="X682" t="inlineStr">
        <is>
          <t>Latin America</t>
        </is>
      </c>
      <c r="Y682" t="inlineStr">
        <is>
          <t>RUSSIA</t>
        </is>
      </c>
      <c r="Z682" t="inlineStr">
        <is>
          <t>External Review</t>
        </is>
      </c>
      <c r="AA682" t="inlineStr">
        <is>
          <t>HUB SHIPPING LLC-LED</t>
        </is>
      </c>
      <c r="AB682" t="inlineStr">
        <is>
          <t>Prepaid</t>
        </is>
      </c>
      <c r="AC682" t="inlineStr">
        <is>
          <t>VENUS / VOYAGE 2</t>
        </is>
      </c>
      <c r="AE682" t="inlineStr">
        <is>
          <t>LADEN BOOKING</t>
        </is>
      </c>
      <c r="AF682" t="inlineStr">
        <is>
          <t>Maria JessicaSAM</t>
        </is>
      </c>
      <c r="AG682" t="inlineStr">
        <is>
          <t>DC20</t>
        </is>
      </c>
      <c r="AH682" t="inlineStr">
        <is>
          <t>NO</t>
        </is>
      </c>
      <c r="AI682" t="n">
        <v>20</v>
      </c>
      <c r="AJ682" t="n">
        <v>1</v>
      </c>
      <c r="AK682" t="n">
        <v>0</v>
      </c>
      <c r="AL682" t="inlineStr">
        <is>
          <t>ANON0000000</t>
        </is>
      </c>
      <c r="AP682" t="inlineStr">
        <is>
          <t>Non Haz</t>
        </is>
      </c>
      <c r="AQ682" t="inlineStr">
        <is>
          <t>CY/CY</t>
        </is>
      </c>
      <c r="AT682" t="inlineStr">
        <is>
          <t>REF000000</t>
        </is>
      </c>
      <c r="AU682" t="n">
        <v>23000</v>
      </c>
      <c r="AV682" t="inlineStr">
        <is>
          <t>GENERAL COMMODITY</t>
        </is>
      </c>
      <c r="AX682" t="inlineStr">
        <is>
          <t>MRG422779</t>
        </is>
      </c>
      <c r="AY682" t="inlineStr">
        <is>
          <t>LINE</t>
        </is>
      </c>
      <c r="AZ682" t="n">
        <v>0</v>
      </c>
      <c r="BA682" t="n">
        <v>14</v>
      </c>
      <c r="BB682" t="n">
        <v>14</v>
      </c>
      <c r="BC682" t="n">
        <v>3400</v>
      </c>
      <c r="BD682" t="inlineStr">
        <is>
          <t>No</t>
        </is>
      </c>
      <c r="BG682" t="inlineStr">
        <is>
          <t>USNYC</t>
        </is>
      </c>
      <c r="BH682" t="n">
        <v>1</v>
      </c>
      <c r="BI682" t="n">
        <v>0</v>
      </c>
      <c r="BJ682" t="n">
        <v>3400</v>
      </c>
      <c r="BK682" t="inlineStr">
        <is>
          <t>LINE</t>
        </is>
      </c>
      <c r="BL682" t="inlineStr">
        <is>
          <t>TURTLE REEFER</t>
        </is>
      </c>
      <c r="BM682" t="inlineStr">
        <is>
          <t>TURTLE REEFER</t>
        </is>
      </c>
    </row>
    <row r="683">
      <c r="A683" t="n">
        <v>682</v>
      </c>
      <c r="B683" t="inlineStr">
        <is>
          <t>ORCA REEFER</t>
        </is>
      </c>
      <c r="C683" t="inlineStr">
        <is>
          <t>REF000000</t>
        </is>
      </c>
      <c r="D683" t="inlineStr">
        <is>
          <t>REF000000</t>
        </is>
      </c>
      <c r="E683" t="inlineStr">
        <is>
          <t>09-APR-2026</t>
        </is>
      </c>
      <c r="F683" t="inlineStr">
        <is>
          <t>ORCA REEFER</t>
        </is>
      </c>
      <c r="G683" t="inlineStr">
        <is>
          <t>PREPAID ABROAD</t>
        </is>
      </c>
      <c r="H683" t="inlineStr">
        <is>
          <t>DiegoSAM</t>
        </is>
      </c>
      <c r="J683" t="inlineStr">
        <is>
          <t>20-APR-2026</t>
        </is>
      </c>
      <c r="K683" t="inlineStr">
        <is>
          <t>20-APR-2026</t>
        </is>
      </c>
      <c r="M683" t="inlineStr">
        <is>
          <t>REF000000</t>
        </is>
      </c>
      <c r="N683" t="inlineStr">
        <is>
          <t>USHOU</t>
        </is>
      </c>
      <c r="O683" t="inlineStr">
        <is>
          <t>USHOU</t>
        </is>
      </c>
      <c r="P683" t="inlineStr">
        <is>
          <t>RUBLT</t>
        </is>
      </c>
      <c r="U683" t="inlineStr">
        <is>
          <t>RUBLT</t>
        </is>
      </c>
      <c r="V683" t="inlineStr">
        <is>
          <t>RUBLT</t>
        </is>
      </c>
      <c r="W683" t="inlineStr">
        <is>
          <t>UNITED STATES</t>
        </is>
      </c>
      <c r="X683" t="inlineStr">
        <is>
          <t>Latin America</t>
        </is>
      </c>
      <c r="Y683" t="inlineStr">
        <is>
          <t>RUSSIA</t>
        </is>
      </c>
      <c r="Z683" t="inlineStr">
        <is>
          <t>External Review</t>
        </is>
      </c>
      <c r="AA683" t="inlineStr">
        <is>
          <t>HUB Shipping-Kaliningrad</t>
        </is>
      </c>
      <c r="AB683" t="inlineStr">
        <is>
          <t>Prepaid</t>
        </is>
      </c>
      <c r="AC683" t="inlineStr">
        <is>
          <t>VENUS / VOYAGE 2</t>
        </is>
      </c>
      <c r="AE683" t="inlineStr">
        <is>
          <t>LADEN BOOKING</t>
        </is>
      </c>
      <c r="AF683" t="inlineStr">
        <is>
          <t>Joao RibeiroSAM</t>
        </is>
      </c>
      <c r="AG683" t="inlineStr">
        <is>
          <t>RH40</t>
        </is>
      </c>
      <c r="AH683" t="inlineStr">
        <is>
          <t>NO</t>
        </is>
      </c>
      <c r="AI683" t="n">
        <v>40</v>
      </c>
      <c r="AJ683" t="n">
        <v>0</v>
      </c>
      <c r="AK683" t="n">
        <v>1</v>
      </c>
      <c r="AM683" t="n">
        <v>-22</v>
      </c>
      <c r="AP683" t="inlineStr">
        <is>
          <t>Non Haz</t>
        </is>
      </c>
      <c r="AQ683" t="inlineStr">
        <is>
          <t>CY/CY</t>
        </is>
      </c>
      <c r="AU683" t="n">
        <v>28000</v>
      </c>
      <c r="AV683" t="inlineStr">
        <is>
          <t>FROZEN MEAT</t>
        </is>
      </c>
      <c r="AX683" t="inlineStr">
        <is>
          <t>RSSAM042600049</t>
        </is>
      </c>
      <c r="AZ683" t="n">
        <v>0</v>
      </c>
      <c r="BA683" t="n">
        <v>21</v>
      </c>
      <c r="BB683" t="n">
        <v>14</v>
      </c>
      <c r="BC683" t="n">
        <v>9350</v>
      </c>
      <c r="BD683" t="inlineStr">
        <is>
          <t>No</t>
        </is>
      </c>
      <c r="BG683" t="inlineStr">
        <is>
          <t>USHOU</t>
        </is>
      </c>
      <c r="BH683" t="n">
        <v>0</v>
      </c>
      <c r="BI683" t="n">
        <v>0</v>
      </c>
      <c r="BJ683" t="inlineStr">
        <is>
          <t xml:space="preserve"> 0</t>
        </is>
      </c>
      <c r="BK683" t="inlineStr">
        <is>
          <t>LINE</t>
        </is>
      </c>
      <c r="BL683" t="inlineStr">
        <is>
          <t>ORCA REEFER</t>
        </is>
      </c>
      <c r="BM683" t="inlineStr">
        <is>
          <t>ORCA REEFER</t>
        </is>
      </c>
    </row>
    <row r="684">
      <c r="A684" t="n">
        <v>683</v>
      </c>
      <c r="B684" t="inlineStr">
        <is>
          <t>WHALE REEFER</t>
        </is>
      </c>
      <c r="C684" t="inlineStr">
        <is>
          <t>REF000000</t>
        </is>
      </c>
      <c r="D684" t="inlineStr">
        <is>
          <t>REF000000</t>
        </is>
      </c>
      <c r="E684" t="inlineStr">
        <is>
          <t>09-APR-2026</t>
        </is>
      </c>
      <c r="F684" t="inlineStr">
        <is>
          <t>WHALE REEFER</t>
        </is>
      </c>
      <c r="G684" t="inlineStr">
        <is>
          <t>PREPAID ABROAD</t>
        </is>
      </c>
      <c r="H684" t="inlineStr">
        <is>
          <t>DiegoSAM</t>
        </is>
      </c>
      <c r="J684" t="inlineStr">
        <is>
          <t>20-APR-2026</t>
        </is>
      </c>
      <c r="K684" t="inlineStr">
        <is>
          <t>20-APR-2026</t>
        </is>
      </c>
      <c r="M684" t="inlineStr">
        <is>
          <t>REF000000</t>
        </is>
      </c>
      <c r="N684" t="inlineStr">
        <is>
          <t>USHOU</t>
        </is>
      </c>
      <c r="O684" t="inlineStr">
        <is>
          <t>USHOU</t>
        </is>
      </c>
      <c r="P684" t="inlineStr">
        <is>
          <t>RUBLT</t>
        </is>
      </c>
      <c r="U684" t="inlineStr">
        <is>
          <t>RUBLT</t>
        </is>
      </c>
      <c r="V684" t="inlineStr">
        <is>
          <t>RUBLT</t>
        </is>
      </c>
      <c r="W684" t="inlineStr">
        <is>
          <t>UNITED STATES</t>
        </is>
      </c>
      <c r="X684" t="inlineStr">
        <is>
          <t>Latin America</t>
        </is>
      </c>
      <c r="Y684" t="inlineStr">
        <is>
          <t>RUSSIA</t>
        </is>
      </c>
      <c r="Z684" t="inlineStr">
        <is>
          <t>External Review</t>
        </is>
      </c>
      <c r="AA684" t="inlineStr">
        <is>
          <t>HUB Shipping-Kaliningrad</t>
        </is>
      </c>
      <c r="AB684" t="inlineStr">
        <is>
          <t>Prepaid</t>
        </is>
      </c>
      <c r="AC684" t="inlineStr">
        <is>
          <t>VENUS / VOYAGE 2</t>
        </is>
      </c>
      <c r="AE684" t="inlineStr">
        <is>
          <t>LADEN BOOKING</t>
        </is>
      </c>
      <c r="AF684" t="inlineStr">
        <is>
          <t>Joao RibeiroSAM</t>
        </is>
      </c>
      <c r="AG684" t="inlineStr">
        <is>
          <t>RH40</t>
        </is>
      </c>
      <c r="AH684" t="inlineStr">
        <is>
          <t>NO</t>
        </is>
      </c>
      <c r="AI684" t="n">
        <v>40</v>
      </c>
      <c r="AJ684" t="n">
        <v>0</v>
      </c>
      <c r="AK684" t="n">
        <v>2</v>
      </c>
      <c r="AM684" t="n">
        <v>-22</v>
      </c>
      <c r="AP684" t="inlineStr">
        <is>
          <t>Non Haz</t>
        </is>
      </c>
      <c r="AQ684" t="inlineStr">
        <is>
          <t>CY/CY</t>
        </is>
      </c>
      <c r="AU684" t="n">
        <v>28000</v>
      </c>
      <c r="AV684" t="inlineStr">
        <is>
          <t>FROZEN MEAT</t>
        </is>
      </c>
      <c r="AX684" t="inlineStr">
        <is>
          <t>RSSAM042600049</t>
        </is>
      </c>
      <c r="AZ684" t="n">
        <v>0</v>
      </c>
      <c r="BA684" t="n">
        <v>21</v>
      </c>
      <c r="BB684" t="n">
        <v>14</v>
      </c>
      <c r="BC684" t="n">
        <v>9350</v>
      </c>
      <c r="BD684" t="inlineStr">
        <is>
          <t>No</t>
        </is>
      </c>
      <c r="BG684" t="inlineStr">
        <is>
          <t>USHOU</t>
        </is>
      </c>
      <c r="BH684" t="n">
        <v>0</v>
      </c>
      <c r="BI684" t="n">
        <v>0</v>
      </c>
      <c r="BJ684" t="inlineStr">
        <is>
          <t xml:space="preserve"> 0</t>
        </is>
      </c>
      <c r="BK684" t="inlineStr">
        <is>
          <t>LINE</t>
        </is>
      </c>
      <c r="BL684" t="inlineStr">
        <is>
          <t>WHALE REEFER</t>
        </is>
      </c>
      <c r="BM684" t="inlineStr">
        <is>
          <t>WHALE REEFER</t>
        </is>
      </c>
    </row>
    <row r="685">
      <c r="A685" t="n">
        <v>684</v>
      </c>
      <c r="B685" t="inlineStr">
        <is>
          <t>SEAL REEFER</t>
        </is>
      </c>
      <c r="C685" t="inlineStr">
        <is>
          <t>REF000000</t>
        </is>
      </c>
      <c r="D685" t="inlineStr">
        <is>
          <t>REF000000</t>
        </is>
      </c>
      <c r="E685" t="inlineStr">
        <is>
          <t>09-APR-2026</t>
        </is>
      </c>
      <c r="F685" t="inlineStr">
        <is>
          <t>SEAL REEFER</t>
        </is>
      </c>
      <c r="G685" t="inlineStr">
        <is>
          <t>PREPAID</t>
        </is>
      </c>
      <c r="H685" t="inlineStr">
        <is>
          <t>DiegoSAM</t>
        </is>
      </c>
      <c r="J685" t="inlineStr">
        <is>
          <t>23-APR-2026</t>
        </is>
      </c>
      <c r="K685" t="inlineStr">
        <is>
          <t>23-APR-2026</t>
        </is>
      </c>
      <c r="M685" t="inlineStr">
        <is>
          <t>REF000000</t>
        </is>
      </c>
      <c r="N685" t="inlineStr">
        <is>
          <t>USNFK</t>
        </is>
      </c>
      <c r="O685" t="inlineStr">
        <is>
          <t>USNFK</t>
        </is>
      </c>
      <c r="P685" t="inlineStr">
        <is>
          <t>RULED</t>
        </is>
      </c>
      <c r="U685" t="inlineStr">
        <is>
          <t>RULED</t>
        </is>
      </c>
      <c r="V685" t="inlineStr">
        <is>
          <t>RULED</t>
        </is>
      </c>
      <c r="W685" t="inlineStr">
        <is>
          <t>UNITED STATES</t>
        </is>
      </c>
      <c r="X685" t="inlineStr">
        <is>
          <t>Latin America</t>
        </is>
      </c>
      <c r="Y685" t="inlineStr">
        <is>
          <t>RUSSIA</t>
        </is>
      </c>
      <c r="Z685" t="inlineStr">
        <is>
          <t>External Review</t>
        </is>
      </c>
      <c r="AA685" t="inlineStr">
        <is>
          <t>HUB SHIPPING LLC-LED</t>
        </is>
      </c>
      <c r="AB685" t="inlineStr">
        <is>
          <t>Prepaid</t>
        </is>
      </c>
      <c r="AC685" t="inlineStr">
        <is>
          <t>VENUS / VOYAGE 2</t>
        </is>
      </c>
      <c r="AE685" t="inlineStr">
        <is>
          <t>LADEN BOOKING</t>
        </is>
      </c>
      <c r="AF685" t="inlineStr">
        <is>
          <t>Joao RibeiroSAM</t>
        </is>
      </c>
      <c r="AG685" t="inlineStr">
        <is>
          <t>RH40</t>
        </is>
      </c>
      <c r="AH685" t="inlineStr">
        <is>
          <t>NO</t>
        </is>
      </c>
      <c r="AI685" t="n">
        <v>40</v>
      </c>
      <c r="AJ685" t="n">
        <v>0</v>
      </c>
      <c r="AK685" t="n">
        <v>1</v>
      </c>
      <c r="AM685" t="n">
        <v>-18</v>
      </c>
      <c r="AP685" t="inlineStr">
        <is>
          <t>Non Haz</t>
        </is>
      </c>
      <c r="AQ685" t="inlineStr">
        <is>
          <t>CY/CY</t>
        </is>
      </c>
      <c r="AU685" t="n">
        <v>28000</v>
      </c>
      <c r="AV685" t="inlineStr">
        <is>
          <t>FROZEN MEAT</t>
        </is>
      </c>
      <c r="AX685" t="inlineStr">
        <is>
          <t>RSSAM042600025</t>
        </is>
      </c>
      <c r="AZ685" t="n">
        <v>5</v>
      </c>
      <c r="BA685" t="n">
        <v>21</v>
      </c>
      <c r="BB685" t="n">
        <v>10</v>
      </c>
      <c r="BC685" t="n">
        <v>8150</v>
      </c>
      <c r="BD685" t="inlineStr">
        <is>
          <t>No</t>
        </is>
      </c>
      <c r="BG685" t="inlineStr">
        <is>
          <t>USNFK</t>
        </is>
      </c>
      <c r="BH685" t="n">
        <v>0</v>
      </c>
      <c r="BI685" t="n">
        <v>0</v>
      </c>
      <c r="BJ685" t="inlineStr">
        <is>
          <t xml:space="preserve"> 0</t>
        </is>
      </c>
      <c r="BK685" t="inlineStr">
        <is>
          <t>LINE</t>
        </is>
      </c>
      <c r="BL685" t="inlineStr">
        <is>
          <t>SEAL REEFER</t>
        </is>
      </c>
      <c r="BM685" t="inlineStr">
        <is>
          <t>SEAL REEFER</t>
        </is>
      </c>
    </row>
    <row r="686">
      <c r="A686" t="n">
        <v>685</v>
      </c>
      <c r="B686" t="inlineStr">
        <is>
          <t>SHARK REEFER</t>
        </is>
      </c>
      <c r="C686" t="inlineStr">
        <is>
          <t>REF000000</t>
        </is>
      </c>
      <c r="D686" t="inlineStr">
        <is>
          <t>REF000000</t>
        </is>
      </c>
      <c r="E686" t="inlineStr">
        <is>
          <t>09-APR-2026</t>
        </is>
      </c>
      <c r="F686" t="inlineStr">
        <is>
          <t>SHARK REEFER</t>
        </is>
      </c>
      <c r="G686" t="inlineStr">
        <is>
          <t>PREPAID</t>
        </is>
      </c>
      <c r="H686" t="inlineStr">
        <is>
          <t>DiegoSAM</t>
        </is>
      </c>
      <c r="J686" t="inlineStr">
        <is>
          <t>23-APR-2026</t>
        </is>
      </c>
      <c r="K686" t="inlineStr">
        <is>
          <t>23-APR-2026</t>
        </is>
      </c>
      <c r="M686" t="inlineStr">
        <is>
          <t>REF000000</t>
        </is>
      </c>
      <c r="N686" t="inlineStr">
        <is>
          <t>USNFK</t>
        </is>
      </c>
      <c r="O686" t="inlineStr">
        <is>
          <t>USNFK</t>
        </is>
      </c>
      <c r="P686" t="inlineStr">
        <is>
          <t>RULED</t>
        </is>
      </c>
      <c r="U686" t="inlineStr">
        <is>
          <t>RULED</t>
        </is>
      </c>
      <c r="V686" t="inlineStr">
        <is>
          <t>RULED</t>
        </is>
      </c>
      <c r="W686" t="inlineStr">
        <is>
          <t>UNITED STATES</t>
        </is>
      </c>
      <c r="X686" t="inlineStr">
        <is>
          <t>Latin America</t>
        </is>
      </c>
      <c r="Y686" t="inlineStr">
        <is>
          <t>RUSSIA</t>
        </is>
      </c>
      <c r="Z686" t="inlineStr">
        <is>
          <t>External Review</t>
        </is>
      </c>
      <c r="AA686" t="inlineStr">
        <is>
          <t>HUB SHIPPING LLC-LED</t>
        </is>
      </c>
      <c r="AB686" t="inlineStr">
        <is>
          <t>Prepaid</t>
        </is>
      </c>
      <c r="AC686" t="inlineStr">
        <is>
          <t>VENUS / VOYAGE 2</t>
        </is>
      </c>
      <c r="AE686" t="inlineStr">
        <is>
          <t>LADEN BOOKING</t>
        </is>
      </c>
      <c r="AF686" t="inlineStr">
        <is>
          <t>Joao RibeiroSAM</t>
        </is>
      </c>
      <c r="AG686" t="inlineStr">
        <is>
          <t>RH40</t>
        </is>
      </c>
      <c r="AH686" t="inlineStr">
        <is>
          <t>NO</t>
        </is>
      </c>
      <c r="AI686" t="n">
        <v>40</v>
      </c>
      <c r="AJ686" t="n">
        <v>0</v>
      </c>
      <c r="AK686" t="n">
        <v>1</v>
      </c>
      <c r="AM686" t="n">
        <v>-18</v>
      </c>
      <c r="AP686" t="inlineStr">
        <is>
          <t>Non Haz</t>
        </is>
      </c>
      <c r="AQ686" t="inlineStr">
        <is>
          <t>CY/CY</t>
        </is>
      </c>
      <c r="AU686" t="n">
        <v>28000</v>
      </c>
      <c r="AV686" t="inlineStr">
        <is>
          <t>FROZEN MEAT</t>
        </is>
      </c>
      <c r="AX686" t="inlineStr">
        <is>
          <t>RSSAM042600025</t>
        </is>
      </c>
      <c r="AZ686" t="n">
        <v>5</v>
      </c>
      <c r="BA686" t="n">
        <v>21</v>
      </c>
      <c r="BB686" t="n">
        <v>10</v>
      </c>
      <c r="BC686" t="n">
        <v>8150</v>
      </c>
      <c r="BD686" t="inlineStr">
        <is>
          <t>No</t>
        </is>
      </c>
      <c r="BG686" t="inlineStr">
        <is>
          <t>USNFK</t>
        </is>
      </c>
      <c r="BH686" t="n">
        <v>0</v>
      </c>
      <c r="BI686" t="n">
        <v>0</v>
      </c>
      <c r="BJ686" t="inlineStr">
        <is>
          <t xml:space="preserve"> 0</t>
        </is>
      </c>
      <c r="BK686" t="inlineStr">
        <is>
          <t>LINE</t>
        </is>
      </c>
      <c r="BL686" t="inlineStr">
        <is>
          <t>SHARK REEFER</t>
        </is>
      </c>
      <c r="BM686" t="inlineStr">
        <is>
          <t>SHARK REEFER</t>
        </is>
      </c>
    </row>
    <row r="687">
      <c r="A687" t="n">
        <v>686</v>
      </c>
      <c r="B687" t="inlineStr">
        <is>
          <t>DOLPHIN REEFER</t>
        </is>
      </c>
      <c r="C687" t="inlineStr">
        <is>
          <t>REF000000</t>
        </is>
      </c>
      <c r="D687" t="inlineStr">
        <is>
          <t>REF000000</t>
        </is>
      </c>
      <c r="E687" t="inlineStr">
        <is>
          <t>09-APR-2026</t>
        </is>
      </c>
      <c r="F687" t="inlineStr">
        <is>
          <t>DOLPHIN REEFER</t>
        </is>
      </c>
      <c r="G687" t="inlineStr">
        <is>
          <t>PREPAID</t>
        </is>
      </c>
      <c r="H687" t="inlineStr">
        <is>
          <t>DiegoSAM</t>
        </is>
      </c>
      <c r="J687" t="inlineStr">
        <is>
          <t>23-APR-2026</t>
        </is>
      </c>
      <c r="K687" t="inlineStr">
        <is>
          <t>23-APR-2026</t>
        </is>
      </c>
      <c r="M687" t="inlineStr">
        <is>
          <t>REF000000</t>
        </is>
      </c>
      <c r="N687" t="inlineStr">
        <is>
          <t>USNFK</t>
        </is>
      </c>
      <c r="O687" t="inlineStr">
        <is>
          <t>USNFK</t>
        </is>
      </c>
      <c r="P687" t="inlineStr">
        <is>
          <t>RULED</t>
        </is>
      </c>
      <c r="U687" t="inlineStr">
        <is>
          <t>RULED</t>
        </is>
      </c>
      <c r="V687" t="inlineStr">
        <is>
          <t>RULED</t>
        </is>
      </c>
      <c r="W687" t="inlineStr">
        <is>
          <t>UNITED STATES</t>
        </is>
      </c>
      <c r="X687" t="inlineStr">
        <is>
          <t>Latin America</t>
        </is>
      </c>
      <c r="Y687" t="inlineStr">
        <is>
          <t>RUSSIA</t>
        </is>
      </c>
      <c r="Z687" t="inlineStr">
        <is>
          <t>External Review</t>
        </is>
      </c>
      <c r="AA687" t="inlineStr">
        <is>
          <t>HUB SHIPPING LLC-LED</t>
        </is>
      </c>
      <c r="AB687" t="inlineStr">
        <is>
          <t>Prepaid</t>
        </is>
      </c>
      <c r="AC687" t="inlineStr">
        <is>
          <t>VENUS / VOYAGE 2</t>
        </is>
      </c>
      <c r="AE687" t="inlineStr">
        <is>
          <t>LADEN BOOKING</t>
        </is>
      </c>
      <c r="AF687" t="inlineStr">
        <is>
          <t>Joao RibeiroSAM</t>
        </is>
      </c>
      <c r="AG687" t="inlineStr">
        <is>
          <t>RH40</t>
        </is>
      </c>
      <c r="AH687" t="inlineStr">
        <is>
          <t>NO</t>
        </is>
      </c>
      <c r="AI687" t="n">
        <v>40</v>
      </c>
      <c r="AJ687" t="n">
        <v>0</v>
      </c>
      <c r="AK687" t="n">
        <v>1</v>
      </c>
      <c r="AM687" t="n">
        <v>-18</v>
      </c>
      <c r="AP687" t="inlineStr">
        <is>
          <t>Non Haz</t>
        </is>
      </c>
      <c r="AQ687" t="inlineStr">
        <is>
          <t>CY/CY</t>
        </is>
      </c>
      <c r="AU687" t="n">
        <v>28000</v>
      </c>
      <c r="AV687" t="inlineStr">
        <is>
          <t>FROZEN MEAT</t>
        </is>
      </c>
      <c r="AX687" t="inlineStr">
        <is>
          <t>RSSAM042600025</t>
        </is>
      </c>
      <c r="AZ687" t="n">
        <v>5</v>
      </c>
      <c r="BA687" t="n">
        <v>21</v>
      </c>
      <c r="BB687" t="n">
        <v>10</v>
      </c>
      <c r="BC687" t="n">
        <v>8150</v>
      </c>
      <c r="BD687" t="inlineStr">
        <is>
          <t>No</t>
        </is>
      </c>
      <c r="BG687" t="inlineStr">
        <is>
          <t>USNFK</t>
        </is>
      </c>
      <c r="BH687" t="n">
        <v>0</v>
      </c>
      <c r="BI687" t="n">
        <v>0</v>
      </c>
      <c r="BJ687" t="inlineStr">
        <is>
          <t xml:space="preserve"> 0</t>
        </is>
      </c>
      <c r="BK687" t="inlineStr">
        <is>
          <t>LINE</t>
        </is>
      </c>
      <c r="BL687" t="inlineStr">
        <is>
          <t>DOLPHIN REEFER</t>
        </is>
      </c>
      <c r="BM687" t="inlineStr">
        <is>
          <t>DOLPHIN REEFER</t>
        </is>
      </c>
    </row>
    <row r="688">
      <c r="A688" t="n">
        <v>687</v>
      </c>
      <c r="B688" t="inlineStr">
        <is>
          <t>MARLIN REEFER</t>
        </is>
      </c>
      <c r="C688" t="inlineStr">
        <is>
          <t>REF000000</t>
        </is>
      </c>
      <c r="D688" t="inlineStr">
        <is>
          <t>REF000000</t>
        </is>
      </c>
      <c r="E688" t="inlineStr">
        <is>
          <t>09-APR-2026</t>
        </is>
      </c>
      <c r="F688" t="inlineStr">
        <is>
          <t>MARLIN REEFER</t>
        </is>
      </c>
      <c r="G688" t="inlineStr">
        <is>
          <t>PREPAID</t>
        </is>
      </c>
      <c r="H688" t="inlineStr">
        <is>
          <t>DiegoSAM</t>
        </is>
      </c>
      <c r="J688" t="inlineStr">
        <is>
          <t>23-APR-2026</t>
        </is>
      </c>
      <c r="K688" t="inlineStr">
        <is>
          <t>23-APR-2026</t>
        </is>
      </c>
      <c r="M688" t="inlineStr">
        <is>
          <t>REF000000</t>
        </is>
      </c>
      <c r="N688" t="inlineStr">
        <is>
          <t>USNFK</t>
        </is>
      </c>
      <c r="O688" t="inlineStr">
        <is>
          <t>USNFK</t>
        </is>
      </c>
      <c r="P688" t="inlineStr">
        <is>
          <t>RULED</t>
        </is>
      </c>
      <c r="U688" t="inlineStr">
        <is>
          <t>RULED</t>
        </is>
      </c>
      <c r="V688" t="inlineStr">
        <is>
          <t>RULED</t>
        </is>
      </c>
      <c r="W688" t="inlineStr">
        <is>
          <t>UNITED STATES</t>
        </is>
      </c>
      <c r="X688" t="inlineStr">
        <is>
          <t>Latin America</t>
        </is>
      </c>
      <c r="Y688" t="inlineStr">
        <is>
          <t>RUSSIA</t>
        </is>
      </c>
      <c r="Z688" t="inlineStr">
        <is>
          <t>External Review</t>
        </is>
      </c>
      <c r="AA688" t="inlineStr">
        <is>
          <t>HUB SHIPPING LLC-LED</t>
        </is>
      </c>
      <c r="AB688" t="inlineStr">
        <is>
          <t>Prepaid</t>
        </is>
      </c>
      <c r="AC688" t="inlineStr">
        <is>
          <t>VENUS / VOYAGE 2</t>
        </is>
      </c>
      <c r="AE688" t="inlineStr">
        <is>
          <t>LADEN BOOKING</t>
        </is>
      </c>
      <c r="AF688" t="inlineStr">
        <is>
          <t>Joao RibeiroSAM</t>
        </is>
      </c>
      <c r="AG688" t="inlineStr">
        <is>
          <t>RH40</t>
        </is>
      </c>
      <c r="AH688" t="inlineStr">
        <is>
          <t>NO</t>
        </is>
      </c>
      <c r="AI688" t="n">
        <v>40</v>
      </c>
      <c r="AJ688" t="n">
        <v>0</v>
      </c>
      <c r="AK688" t="n">
        <v>1</v>
      </c>
      <c r="AM688" t="n">
        <v>-18</v>
      </c>
      <c r="AP688" t="inlineStr">
        <is>
          <t>Non Haz</t>
        </is>
      </c>
      <c r="AQ688" t="inlineStr">
        <is>
          <t>CY/CY</t>
        </is>
      </c>
      <c r="AU688" t="n">
        <v>28000</v>
      </c>
      <c r="AV688" t="inlineStr">
        <is>
          <t>FROZEN MEAT</t>
        </is>
      </c>
      <c r="AX688" t="inlineStr">
        <is>
          <t>RSSAM042600025</t>
        </is>
      </c>
      <c r="AZ688" t="n">
        <v>5</v>
      </c>
      <c r="BA688" t="n">
        <v>21</v>
      </c>
      <c r="BB688" t="n">
        <v>10</v>
      </c>
      <c r="BC688" t="n">
        <v>8150</v>
      </c>
      <c r="BD688" t="inlineStr">
        <is>
          <t>No</t>
        </is>
      </c>
      <c r="BG688" t="inlineStr">
        <is>
          <t>USNFK</t>
        </is>
      </c>
      <c r="BH688" t="n">
        <v>0</v>
      </c>
      <c r="BI688" t="n">
        <v>0</v>
      </c>
      <c r="BJ688" t="inlineStr">
        <is>
          <t xml:space="preserve"> 0</t>
        </is>
      </c>
      <c r="BK688" t="inlineStr">
        <is>
          <t>LINE</t>
        </is>
      </c>
      <c r="BL688" t="inlineStr">
        <is>
          <t>MARLIN REEFER</t>
        </is>
      </c>
      <c r="BM688" t="inlineStr">
        <is>
          <t>MARLIN REEFER</t>
        </is>
      </c>
    </row>
    <row r="689">
      <c r="A689" t="n">
        <v>688</v>
      </c>
      <c r="B689" t="inlineStr">
        <is>
          <t>TURTLE REEFER</t>
        </is>
      </c>
      <c r="C689" t="inlineStr">
        <is>
          <t>REF000000</t>
        </is>
      </c>
      <c r="D689" t="inlineStr">
        <is>
          <t>REF000000</t>
        </is>
      </c>
      <c r="E689" t="inlineStr">
        <is>
          <t>09-APR-2026</t>
        </is>
      </c>
      <c r="F689" t="inlineStr">
        <is>
          <t>TURTLE REEFER</t>
        </is>
      </c>
      <c r="G689" t="inlineStr">
        <is>
          <t>PREPAID ABROAD</t>
        </is>
      </c>
      <c r="H689" t="inlineStr">
        <is>
          <t>DiegoSAM</t>
        </is>
      </c>
      <c r="J689" t="inlineStr">
        <is>
          <t>19-APR-2026</t>
        </is>
      </c>
      <c r="K689" t="inlineStr">
        <is>
          <t>19-APR-2026</t>
        </is>
      </c>
      <c r="M689" t="inlineStr">
        <is>
          <t>REF000000</t>
        </is>
      </c>
      <c r="N689" t="inlineStr">
        <is>
          <t>USNYC</t>
        </is>
      </c>
      <c r="O689" t="inlineStr">
        <is>
          <t>USNYC</t>
        </is>
      </c>
      <c r="P689" t="inlineStr">
        <is>
          <t>RUBLT</t>
        </is>
      </c>
      <c r="U689" t="inlineStr">
        <is>
          <t>RUBLT</t>
        </is>
      </c>
      <c r="V689" t="inlineStr">
        <is>
          <t>RUBLT</t>
        </is>
      </c>
      <c r="W689" t="inlineStr">
        <is>
          <t>UNITED STATES</t>
        </is>
      </c>
      <c r="X689" t="inlineStr">
        <is>
          <t>Latin America</t>
        </is>
      </c>
      <c r="Y689" t="inlineStr">
        <is>
          <t>RUSSIA</t>
        </is>
      </c>
      <c r="Z689" t="inlineStr">
        <is>
          <t>External Review</t>
        </is>
      </c>
      <c r="AA689" t="inlineStr">
        <is>
          <t>HUB Shipping-Kaliningrad</t>
        </is>
      </c>
      <c r="AB689" t="inlineStr">
        <is>
          <t>Prepaid</t>
        </is>
      </c>
      <c r="AC689" t="inlineStr">
        <is>
          <t>VENUS / VOYAGE 2</t>
        </is>
      </c>
      <c r="AE689" t="inlineStr">
        <is>
          <t>LADEN BOOKING</t>
        </is>
      </c>
      <c r="AF689" t="inlineStr">
        <is>
          <t>Guilherme Souza</t>
        </is>
      </c>
      <c r="AG689" t="inlineStr">
        <is>
          <t>RH40</t>
        </is>
      </c>
      <c r="AH689" t="inlineStr">
        <is>
          <t>NO</t>
        </is>
      </c>
      <c r="AI689" t="n">
        <v>40</v>
      </c>
      <c r="AJ689" t="n">
        <v>0</v>
      </c>
      <c r="AK689" t="n">
        <v>1</v>
      </c>
      <c r="AL689" t="inlineStr">
        <is>
          <t>ANON0000000</t>
        </is>
      </c>
      <c r="AM689" t="n">
        <v>-22</v>
      </c>
      <c r="AP689" t="inlineStr">
        <is>
          <t>Non Haz</t>
        </is>
      </c>
      <c r="AQ689" t="inlineStr">
        <is>
          <t>CY/CY</t>
        </is>
      </c>
      <c r="AT689" t="inlineStr">
        <is>
          <t>REF000000</t>
        </is>
      </c>
      <c r="AU689" t="n">
        <v>28000</v>
      </c>
      <c r="AV689" t="inlineStr">
        <is>
          <t>FROZEN MEAT</t>
        </is>
      </c>
      <c r="AX689" t="inlineStr">
        <is>
          <t>RSSAM042600064</t>
        </is>
      </c>
      <c r="AZ689" t="n">
        <v>5</v>
      </c>
      <c r="BA689" t="n">
        <v>25</v>
      </c>
      <c r="BB689" t="n">
        <v>10</v>
      </c>
      <c r="BC689" t="n">
        <v>8600</v>
      </c>
      <c r="BD689" t="inlineStr">
        <is>
          <t>No</t>
        </is>
      </c>
      <c r="BG689" t="inlineStr">
        <is>
          <t>USNYC</t>
        </is>
      </c>
      <c r="BH689" t="n">
        <v>0</v>
      </c>
      <c r="BI689" t="n">
        <v>1</v>
      </c>
      <c r="BJ689" t="n">
        <v>8600</v>
      </c>
      <c r="BK689" t="inlineStr">
        <is>
          <t>LINE</t>
        </is>
      </c>
      <c r="BL689" t="inlineStr">
        <is>
          <t>TURTLE REEFER</t>
        </is>
      </c>
      <c r="BM689" t="inlineStr">
        <is>
          <t>TURTLE REEFER</t>
        </is>
      </c>
    </row>
    <row r="690">
      <c r="A690" t="n">
        <v>689</v>
      </c>
      <c r="B690" t="inlineStr">
        <is>
          <t>ORCA REEFER</t>
        </is>
      </c>
      <c r="C690" t="inlineStr">
        <is>
          <t>REF000000</t>
        </is>
      </c>
      <c r="D690" t="inlineStr">
        <is>
          <t>REF000000</t>
        </is>
      </c>
      <c r="E690" t="inlineStr">
        <is>
          <t>09-APR-2026</t>
        </is>
      </c>
      <c r="F690" t="inlineStr">
        <is>
          <t>ORCA REEFER</t>
        </is>
      </c>
      <c r="G690" t="inlineStr">
        <is>
          <t>PREPAID ABROAD</t>
        </is>
      </c>
      <c r="H690" t="inlineStr">
        <is>
          <t>DiegoSAM</t>
        </is>
      </c>
      <c r="J690" t="inlineStr">
        <is>
          <t>19-APR-2026</t>
        </is>
      </c>
      <c r="K690" t="inlineStr">
        <is>
          <t>19-APR-2026</t>
        </is>
      </c>
      <c r="M690" t="inlineStr">
        <is>
          <t>REF000000</t>
        </is>
      </c>
      <c r="N690" t="inlineStr">
        <is>
          <t>USNYC</t>
        </is>
      </c>
      <c r="O690" t="inlineStr">
        <is>
          <t>USNYC</t>
        </is>
      </c>
      <c r="P690" t="inlineStr">
        <is>
          <t>RULED</t>
        </is>
      </c>
      <c r="U690" t="inlineStr">
        <is>
          <t>RULED</t>
        </is>
      </c>
      <c r="V690" t="inlineStr">
        <is>
          <t>RULED</t>
        </is>
      </c>
      <c r="W690" t="inlineStr">
        <is>
          <t>UNITED STATES</t>
        </is>
      </c>
      <c r="X690" t="inlineStr">
        <is>
          <t>Latin America</t>
        </is>
      </c>
      <c r="Y690" t="inlineStr">
        <is>
          <t>RUSSIA</t>
        </is>
      </c>
      <c r="Z690" t="inlineStr">
        <is>
          <t>External Review</t>
        </is>
      </c>
      <c r="AA690" t="inlineStr">
        <is>
          <t>HUB SHIPPING LLC-LED</t>
        </is>
      </c>
      <c r="AB690" t="inlineStr">
        <is>
          <t>Prepaid</t>
        </is>
      </c>
      <c r="AC690" t="inlineStr">
        <is>
          <t>VENUS / VOYAGE 2</t>
        </is>
      </c>
      <c r="AE690" t="inlineStr">
        <is>
          <t>LADEN BOOKING</t>
        </is>
      </c>
      <c r="AF690" t="inlineStr">
        <is>
          <t>Joao RibeiroSAM</t>
        </is>
      </c>
      <c r="AG690" t="inlineStr">
        <is>
          <t>RH40</t>
        </is>
      </c>
      <c r="AH690" t="inlineStr">
        <is>
          <t>NO</t>
        </is>
      </c>
      <c r="AI690" t="n">
        <v>40</v>
      </c>
      <c r="AJ690" t="n">
        <v>0</v>
      </c>
      <c r="AK690" t="n">
        <v>1</v>
      </c>
      <c r="AL690" t="inlineStr">
        <is>
          <t>ANON0000000</t>
        </is>
      </c>
      <c r="AM690" t="n">
        <v>-18</v>
      </c>
      <c r="AP690" t="inlineStr">
        <is>
          <t>Non Haz</t>
        </is>
      </c>
      <c r="AQ690" t="inlineStr">
        <is>
          <t>CY/CY</t>
        </is>
      </c>
      <c r="AT690" t="inlineStr">
        <is>
          <t>REF000000</t>
        </is>
      </c>
      <c r="AU690" t="n">
        <v>28000</v>
      </c>
      <c r="AV690" t="inlineStr">
        <is>
          <t>FROZEN MEAT</t>
        </is>
      </c>
      <c r="AX690" t="inlineStr">
        <is>
          <t>RSSAM042600052</t>
        </is>
      </c>
      <c r="AZ690" t="n">
        <v>5</v>
      </c>
      <c r="BA690" t="n">
        <v>25</v>
      </c>
      <c r="BB690" t="n">
        <v>15</v>
      </c>
      <c r="BC690" t="n">
        <v>7000</v>
      </c>
      <c r="BD690" t="inlineStr">
        <is>
          <t>No</t>
        </is>
      </c>
      <c r="BG690" t="inlineStr">
        <is>
          <t>USNYC</t>
        </is>
      </c>
      <c r="BH690" t="n">
        <v>0</v>
      </c>
      <c r="BI690" t="n">
        <v>1</v>
      </c>
      <c r="BJ690" t="n">
        <v>7000</v>
      </c>
      <c r="BK690" t="inlineStr">
        <is>
          <t>LINE</t>
        </is>
      </c>
      <c r="BL690" t="inlineStr">
        <is>
          <t>ORCA REEFER</t>
        </is>
      </c>
      <c r="BM690" t="inlineStr">
        <is>
          <t>ORCA REEFER</t>
        </is>
      </c>
    </row>
    <row r="691">
      <c r="A691" t="n">
        <v>690</v>
      </c>
      <c r="B691" t="inlineStr">
        <is>
          <t>WHALE REEFER</t>
        </is>
      </c>
      <c r="C691" t="inlineStr">
        <is>
          <t>REF000000</t>
        </is>
      </c>
      <c r="D691" t="inlineStr">
        <is>
          <t>REF000000</t>
        </is>
      </c>
      <c r="E691" t="inlineStr">
        <is>
          <t>09-APR-2026</t>
        </is>
      </c>
      <c r="F691" t="inlineStr">
        <is>
          <t>WHALE REEFER</t>
        </is>
      </c>
      <c r="G691" t="inlineStr">
        <is>
          <t>PREPAID ABROAD</t>
        </is>
      </c>
      <c r="H691" t="inlineStr">
        <is>
          <t>DiegoSAM</t>
        </is>
      </c>
      <c r="J691" t="inlineStr">
        <is>
          <t>19-APR-2026</t>
        </is>
      </c>
      <c r="K691" t="inlineStr">
        <is>
          <t>19-APR-2026</t>
        </is>
      </c>
      <c r="M691" t="inlineStr">
        <is>
          <t>REF000000</t>
        </is>
      </c>
      <c r="N691" t="inlineStr">
        <is>
          <t>USNYC</t>
        </is>
      </c>
      <c r="O691" t="inlineStr">
        <is>
          <t>USNYC</t>
        </is>
      </c>
      <c r="P691" t="inlineStr">
        <is>
          <t>RUBLT</t>
        </is>
      </c>
      <c r="U691" t="inlineStr">
        <is>
          <t>RUBLT</t>
        </is>
      </c>
      <c r="V691" t="inlineStr">
        <is>
          <t>RUBLT</t>
        </is>
      </c>
      <c r="W691" t="inlineStr">
        <is>
          <t>UNITED STATES</t>
        </is>
      </c>
      <c r="X691" t="inlineStr">
        <is>
          <t>Latin America</t>
        </is>
      </c>
      <c r="Y691" t="inlineStr">
        <is>
          <t>RUSSIA</t>
        </is>
      </c>
      <c r="Z691" t="inlineStr">
        <is>
          <t>External Review</t>
        </is>
      </c>
      <c r="AA691" t="inlineStr">
        <is>
          <t>HUB Shipping-Kaliningrad</t>
        </is>
      </c>
      <c r="AB691" t="inlineStr">
        <is>
          <t>Prepaid</t>
        </is>
      </c>
      <c r="AC691" t="inlineStr">
        <is>
          <t>VENUS / VOYAGE 2</t>
        </is>
      </c>
      <c r="AE691" t="inlineStr">
        <is>
          <t>LADEN BOOKING</t>
        </is>
      </c>
      <c r="AF691" t="inlineStr">
        <is>
          <t>Guilherme Souza</t>
        </is>
      </c>
      <c r="AG691" t="inlineStr">
        <is>
          <t>RH40</t>
        </is>
      </c>
      <c r="AH691" t="inlineStr">
        <is>
          <t>NO</t>
        </is>
      </c>
      <c r="AI691" t="n">
        <v>40</v>
      </c>
      <c r="AJ691" t="n">
        <v>0</v>
      </c>
      <c r="AK691" t="n">
        <v>1</v>
      </c>
      <c r="AL691" t="inlineStr">
        <is>
          <t>ANON0000000</t>
        </is>
      </c>
      <c r="AM691" t="n">
        <v>-22</v>
      </c>
      <c r="AP691" t="inlineStr">
        <is>
          <t>Non Haz</t>
        </is>
      </c>
      <c r="AQ691" t="inlineStr">
        <is>
          <t>CY/CY</t>
        </is>
      </c>
      <c r="AT691" t="inlineStr">
        <is>
          <t>REF000000</t>
        </is>
      </c>
      <c r="AU691" t="n">
        <v>28000</v>
      </c>
      <c r="AV691" t="inlineStr">
        <is>
          <t>FROZEN MEAT</t>
        </is>
      </c>
      <c r="AX691" t="inlineStr">
        <is>
          <t>RSSAM042600064</t>
        </is>
      </c>
      <c r="AZ691" t="n">
        <v>5</v>
      </c>
      <c r="BA691" t="n">
        <v>25</v>
      </c>
      <c r="BB691" t="n">
        <v>10</v>
      </c>
      <c r="BC691" t="n">
        <v>8600</v>
      </c>
      <c r="BD691" t="inlineStr">
        <is>
          <t>No</t>
        </is>
      </c>
      <c r="BG691" t="inlineStr">
        <is>
          <t>USNYC</t>
        </is>
      </c>
      <c r="BH691" t="n">
        <v>0</v>
      </c>
      <c r="BI691" t="n">
        <v>1</v>
      </c>
      <c r="BJ691" t="n">
        <v>8600</v>
      </c>
      <c r="BK691" t="inlineStr">
        <is>
          <t>LINE</t>
        </is>
      </c>
      <c r="BL691" t="inlineStr">
        <is>
          <t>WHALE REEFER</t>
        </is>
      </c>
      <c r="BM691" t="inlineStr">
        <is>
          <t>WHALE REEFER</t>
        </is>
      </c>
    </row>
    <row r="692">
      <c r="A692" t="n">
        <v>691</v>
      </c>
      <c r="B692" t="inlineStr">
        <is>
          <t>SEAL REEFER</t>
        </is>
      </c>
      <c r="C692" t="inlineStr">
        <is>
          <t>REF000000</t>
        </is>
      </c>
      <c r="D692" t="inlineStr">
        <is>
          <t>REF000000</t>
        </is>
      </c>
      <c r="E692" t="inlineStr">
        <is>
          <t>09-APR-2026</t>
        </is>
      </c>
      <c r="F692" t="inlineStr">
        <is>
          <t>SEAL REEFER</t>
        </is>
      </c>
      <c r="G692" t="inlineStr">
        <is>
          <t>PREPAID ABROAD</t>
        </is>
      </c>
      <c r="H692" t="inlineStr">
        <is>
          <t>DiegoSAM</t>
        </is>
      </c>
      <c r="J692" t="inlineStr">
        <is>
          <t>19-APR-2026</t>
        </is>
      </c>
      <c r="K692" t="inlineStr">
        <is>
          <t>19-APR-2026</t>
        </is>
      </c>
      <c r="M692" t="inlineStr">
        <is>
          <t>REF000000</t>
        </is>
      </c>
      <c r="N692" t="inlineStr">
        <is>
          <t>USNYC</t>
        </is>
      </c>
      <c r="O692" t="inlineStr">
        <is>
          <t>USNYC</t>
        </is>
      </c>
      <c r="P692" t="inlineStr">
        <is>
          <t>RUBLT</t>
        </is>
      </c>
      <c r="U692" t="inlineStr">
        <is>
          <t>RUBLT</t>
        </is>
      </c>
      <c r="V692" t="inlineStr">
        <is>
          <t>RUBLT</t>
        </is>
      </c>
      <c r="W692" t="inlineStr">
        <is>
          <t>UNITED STATES</t>
        </is>
      </c>
      <c r="X692" t="inlineStr">
        <is>
          <t>Latin America</t>
        </is>
      </c>
      <c r="Y692" t="inlineStr">
        <is>
          <t>RUSSIA</t>
        </is>
      </c>
      <c r="Z692" t="inlineStr">
        <is>
          <t>External Review</t>
        </is>
      </c>
      <c r="AA692" t="inlineStr">
        <is>
          <t>HUB Shipping-Kaliningrad</t>
        </is>
      </c>
      <c r="AB692" t="inlineStr">
        <is>
          <t>Prepaid</t>
        </is>
      </c>
      <c r="AC692" t="inlineStr">
        <is>
          <t>VENUS / VOYAGE 2</t>
        </is>
      </c>
      <c r="AE692" t="inlineStr">
        <is>
          <t>LADEN BOOKING</t>
        </is>
      </c>
      <c r="AF692" t="inlineStr">
        <is>
          <t>Guilherme Souza</t>
        </is>
      </c>
      <c r="AG692" t="inlineStr">
        <is>
          <t>RH40</t>
        </is>
      </c>
      <c r="AH692" t="inlineStr">
        <is>
          <t>NO</t>
        </is>
      </c>
      <c r="AI692" t="n">
        <v>40</v>
      </c>
      <c r="AJ692" t="n">
        <v>0</v>
      </c>
      <c r="AK692" t="n">
        <v>1</v>
      </c>
      <c r="AM692" t="n">
        <v>-22</v>
      </c>
      <c r="AP692" t="inlineStr">
        <is>
          <t>Non Haz</t>
        </is>
      </c>
      <c r="AQ692" t="inlineStr">
        <is>
          <t>CY/CY</t>
        </is>
      </c>
      <c r="AU692" t="n">
        <v>28000</v>
      </c>
      <c r="AV692" t="inlineStr">
        <is>
          <t>FROZEN MEAT</t>
        </is>
      </c>
      <c r="AX692" t="inlineStr">
        <is>
          <t>RSSAM042600064</t>
        </is>
      </c>
      <c r="AZ692" t="n">
        <v>5</v>
      </c>
      <c r="BA692" t="n">
        <v>25</v>
      </c>
      <c r="BB692" t="n">
        <v>10</v>
      </c>
      <c r="BC692" t="n">
        <v>8600</v>
      </c>
      <c r="BD692" t="inlineStr">
        <is>
          <t>No</t>
        </is>
      </c>
      <c r="BG692" t="inlineStr">
        <is>
          <t>USNYC</t>
        </is>
      </c>
      <c r="BH692" t="n">
        <v>0</v>
      </c>
      <c r="BI692" t="n">
        <v>0</v>
      </c>
      <c r="BJ692" t="inlineStr">
        <is>
          <t xml:space="preserve"> 0</t>
        </is>
      </c>
      <c r="BK692" t="inlineStr">
        <is>
          <t>LINE</t>
        </is>
      </c>
      <c r="BL692" t="inlineStr">
        <is>
          <t>SEAL REEFER</t>
        </is>
      </c>
      <c r="BM692" t="inlineStr">
        <is>
          <t>SEAL REEFER</t>
        </is>
      </c>
    </row>
    <row r="693">
      <c r="A693" t="n">
        <v>692</v>
      </c>
      <c r="B693" t="inlineStr">
        <is>
          <t>SHARK REEFER</t>
        </is>
      </c>
      <c r="C693" t="inlineStr">
        <is>
          <t>REF000000</t>
        </is>
      </c>
      <c r="D693" t="inlineStr">
        <is>
          <t>REF000000</t>
        </is>
      </c>
      <c r="E693" t="inlineStr">
        <is>
          <t>09-APR-2026</t>
        </is>
      </c>
      <c r="F693" t="inlineStr">
        <is>
          <t>SHARK REEFER</t>
        </is>
      </c>
      <c r="G693" t="inlineStr">
        <is>
          <t>PREPAID ABROAD</t>
        </is>
      </c>
      <c r="H693" t="inlineStr">
        <is>
          <t>DiegoSAM</t>
        </is>
      </c>
      <c r="J693" t="inlineStr">
        <is>
          <t>20-APR-2026</t>
        </is>
      </c>
      <c r="K693" t="inlineStr">
        <is>
          <t>20-APR-2026</t>
        </is>
      </c>
      <c r="M693" t="inlineStr">
        <is>
          <t>REF000000</t>
        </is>
      </c>
      <c r="N693" t="inlineStr">
        <is>
          <t>USHOU</t>
        </is>
      </c>
      <c r="O693" t="inlineStr">
        <is>
          <t>USHOU</t>
        </is>
      </c>
      <c r="P693" t="inlineStr">
        <is>
          <t>RUBLT</t>
        </is>
      </c>
      <c r="U693" t="inlineStr">
        <is>
          <t>RUBLT</t>
        </is>
      </c>
      <c r="V693" t="inlineStr">
        <is>
          <t>RUBLT</t>
        </is>
      </c>
      <c r="W693" t="inlineStr">
        <is>
          <t>UNITED STATES</t>
        </is>
      </c>
      <c r="X693" t="inlineStr">
        <is>
          <t>Latin America</t>
        </is>
      </c>
      <c r="Y693" t="inlineStr">
        <is>
          <t>RUSSIA</t>
        </is>
      </c>
      <c r="Z693" t="inlineStr">
        <is>
          <t>External Review</t>
        </is>
      </c>
      <c r="AA693" t="inlineStr">
        <is>
          <t>HUB Shipping-Kaliningrad</t>
        </is>
      </c>
      <c r="AB693" t="inlineStr">
        <is>
          <t>Prepaid</t>
        </is>
      </c>
      <c r="AC693" t="inlineStr">
        <is>
          <t>VENUS / VOYAGE 2</t>
        </is>
      </c>
      <c r="AE693" t="inlineStr">
        <is>
          <t>LADEN BOOKING</t>
        </is>
      </c>
      <c r="AF693" t="inlineStr">
        <is>
          <t>Guilherme Souza</t>
        </is>
      </c>
      <c r="AG693" t="inlineStr">
        <is>
          <t>RH40</t>
        </is>
      </c>
      <c r="AH693" t="inlineStr">
        <is>
          <t>NO</t>
        </is>
      </c>
      <c r="AI693" t="n">
        <v>40</v>
      </c>
      <c r="AJ693" t="n">
        <v>0</v>
      </c>
      <c r="AK693" t="n">
        <v>1</v>
      </c>
      <c r="AM693" t="n">
        <v>-22</v>
      </c>
      <c r="AP693" t="inlineStr">
        <is>
          <t>Non Haz</t>
        </is>
      </c>
      <c r="AQ693" t="inlineStr">
        <is>
          <t>CY/CY</t>
        </is>
      </c>
      <c r="AU693" t="n">
        <v>28000</v>
      </c>
      <c r="AV693" t="inlineStr">
        <is>
          <t>FROZEN MEAT</t>
        </is>
      </c>
      <c r="AX693" t="inlineStr">
        <is>
          <t>RSSAM042600065</t>
        </is>
      </c>
      <c r="AZ693" t="n">
        <v>5</v>
      </c>
      <c r="BA693" t="n">
        <v>25</v>
      </c>
      <c r="BB693" t="n">
        <v>10</v>
      </c>
      <c r="BC693" t="n">
        <v>8600</v>
      </c>
      <c r="BD693" t="inlineStr">
        <is>
          <t>No</t>
        </is>
      </c>
      <c r="BG693" t="inlineStr">
        <is>
          <t>USHOU</t>
        </is>
      </c>
      <c r="BH693" t="n">
        <v>0</v>
      </c>
      <c r="BI693" t="n">
        <v>0</v>
      </c>
      <c r="BJ693" t="inlineStr">
        <is>
          <t xml:space="preserve"> 0</t>
        </is>
      </c>
      <c r="BK693" t="inlineStr">
        <is>
          <t>LINE</t>
        </is>
      </c>
      <c r="BL693" t="inlineStr">
        <is>
          <t>SHARK REEFER</t>
        </is>
      </c>
      <c r="BM693" t="inlineStr">
        <is>
          <t>SHARK REEFER</t>
        </is>
      </c>
    </row>
    <row r="694">
      <c r="A694" t="n">
        <v>693</v>
      </c>
      <c r="B694" t="inlineStr">
        <is>
          <t>DOLPHIN REEFER</t>
        </is>
      </c>
      <c r="C694" t="inlineStr">
        <is>
          <t>REF000000</t>
        </is>
      </c>
      <c r="D694" t="inlineStr">
        <is>
          <t>REF000000</t>
        </is>
      </c>
      <c r="E694" t="inlineStr">
        <is>
          <t>09-APR-2026</t>
        </is>
      </c>
      <c r="F694" t="inlineStr">
        <is>
          <t>DOLPHIN REEFER</t>
        </is>
      </c>
      <c r="G694" t="inlineStr">
        <is>
          <t>PREPAID ABROAD</t>
        </is>
      </c>
      <c r="H694" t="inlineStr">
        <is>
          <t>DiegoSAM</t>
        </is>
      </c>
      <c r="J694" t="inlineStr">
        <is>
          <t>01-MAY-2026</t>
        </is>
      </c>
      <c r="K694" t="inlineStr">
        <is>
          <t>30-APR-2026</t>
        </is>
      </c>
      <c r="M694" t="inlineStr">
        <is>
          <t>REF000000</t>
        </is>
      </c>
      <c r="N694" t="inlineStr">
        <is>
          <t>USNYC</t>
        </is>
      </c>
      <c r="O694" t="inlineStr">
        <is>
          <t>USNYC</t>
        </is>
      </c>
      <c r="P694" t="inlineStr">
        <is>
          <t>RUBLT</t>
        </is>
      </c>
      <c r="U694" t="inlineStr">
        <is>
          <t>RUBLT</t>
        </is>
      </c>
      <c r="V694" t="inlineStr">
        <is>
          <t>RUBLT</t>
        </is>
      </c>
      <c r="W694" t="inlineStr">
        <is>
          <t>UNITED STATES</t>
        </is>
      </c>
      <c r="X694" t="inlineStr">
        <is>
          <t>Latin America</t>
        </is>
      </c>
      <c r="Y694" t="inlineStr">
        <is>
          <t>RUSSIA</t>
        </is>
      </c>
      <c r="Z694" t="inlineStr">
        <is>
          <t>External Review</t>
        </is>
      </c>
      <c r="AA694" t="inlineStr">
        <is>
          <t>HUB Shipping-Kaliningrad</t>
        </is>
      </c>
      <c r="AB694" t="inlineStr">
        <is>
          <t>Prepaid</t>
        </is>
      </c>
      <c r="AC694" t="inlineStr">
        <is>
          <t>LI DA XING/VOYAGE 1</t>
        </is>
      </c>
      <c r="AE694" t="inlineStr">
        <is>
          <t>LADEN BOOKING</t>
        </is>
      </c>
      <c r="AF694" t="inlineStr">
        <is>
          <t>Guilherme Souza</t>
        </is>
      </c>
      <c r="AG694" t="inlineStr">
        <is>
          <t>RH40</t>
        </is>
      </c>
      <c r="AH694" t="inlineStr">
        <is>
          <t>NO</t>
        </is>
      </c>
      <c r="AI694" t="n">
        <v>40</v>
      </c>
      <c r="AJ694" t="n">
        <v>0</v>
      </c>
      <c r="AK694" t="n">
        <v>1</v>
      </c>
      <c r="AM694" t="n">
        <v>-22</v>
      </c>
      <c r="AP694" t="inlineStr">
        <is>
          <t>Non Haz</t>
        </is>
      </c>
      <c r="AQ694" t="inlineStr">
        <is>
          <t>CY/CY</t>
        </is>
      </c>
      <c r="AU694" t="n">
        <v>28000</v>
      </c>
      <c r="AV694" t="inlineStr">
        <is>
          <t>FROZEN MEAT</t>
        </is>
      </c>
      <c r="AX694" t="inlineStr">
        <is>
          <t>RSSAM042600064</t>
        </is>
      </c>
      <c r="AZ694" t="n">
        <v>5</v>
      </c>
      <c r="BA694" t="n">
        <v>25</v>
      </c>
      <c r="BB694" t="n">
        <v>10</v>
      </c>
      <c r="BC694" t="n">
        <v>8600</v>
      </c>
      <c r="BD694" t="inlineStr">
        <is>
          <t>No</t>
        </is>
      </c>
      <c r="BG694" t="inlineStr">
        <is>
          <t>USNYC</t>
        </is>
      </c>
      <c r="BH694" t="n">
        <v>0</v>
      </c>
      <c r="BI694" t="n">
        <v>0</v>
      </c>
      <c r="BJ694" t="inlineStr">
        <is>
          <t xml:space="preserve"> 0</t>
        </is>
      </c>
      <c r="BK694" t="inlineStr">
        <is>
          <t>LINE</t>
        </is>
      </c>
      <c r="BL694" t="inlineStr">
        <is>
          <t>DOLPHIN REEFER</t>
        </is>
      </c>
      <c r="BM694" t="inlineStr">
        <is>
          <t>DOLPHIN REEFER</t>
        </is>
      </c>
    </row>
    <row r="695">
      <c r="A695" t="n">
        <v>694</v>
      </c>
      <c r="B695" t="inlineStr">
        <is>
          <t>MARLIN REEFER</t>
        </is>
      </c>
      <c r="C695" t="inlineStr">
        <is>
          <t>REF000000</t>
        </is>
      </c>
      <c r="D695" t="inlineStr">
        <is>
          <t>REF000000</t>
        </is>
      </c>
      <c r="E695" t="inlineStr">
        <is>
          <t>09-APR-2026</t>
        </is>
      </c>
      <c r="F695" t="inlineStr">
        <is>
          <t>MARLIN REEFER</t>
        </is>
      </c>
      <c r="G695" t="inlineStr">
        <is>
          <t>PREPAID ABROAD</t>
        </is>
      </c>
      <c r="H695" t="inlineStr">
        <is>
          <t>DiegoSAM</t>
        </is>
      </c>
      <c r="J695" t="inlineStr">
        <is>
          <t>19-APR-2026</t>
        </is>
      </c>
      <c r="K695" t="inlineStr">
        <is>
          <t>19-APR-2026</t>
        </is>
      </c>
      <c r="M695" t="inlineStr">
        <is>
          <t>REF000000</t>
        </is>
      </c>
      <c r="N695" t="inlineStr">
        <is>
          <t>USNYC</t>
        </is>
      </c>
      <c r="O695" t="inlineStr">
        <is>
          <t>USNYC</t>
        </is>
      </c>
      <c r="P695" t="inlineStr">
        <is>
          <t>RUBLT</t>
        </is>
      </c>
      <c r="U695" t="inlineStr">
        <is>
          <t>RUBLT</t>
        </is>
      </c>
      <c r="V695" t="inlineStr">
        <is>
          <t>RUBLT</t>
        </is>
      </c>
      <c r="W695" t="inlineStr">
        <is>
          <t>UNITED STATES</t>
        </is>
      </c>
      <c r="X695" t="inlineStr">
        <is>
          <t>Latin America</t>
        </is>
      </c>
      <c r="Y695" t="inlineStr">
        <is>
          <t>RUSSIA</t>
        </is>
      </c>
      <c r="Z695" t="inlineStr">
        <is>
          <t>External Review</t>
        </is>
      </c>
      <c r="AA695" t="inlineStr">
        <is>
          <t>HUB Shipping-Kaliningrad</t>
        </is>
      </c>
      <c r="AB695" t="inlineStr">
        <is>
          <t>Prepaid</t>
        </is>
      </c>
      <c r="AC695" t="inlineStr">
        <is>
          <t>VENUS / VOYAGE 2</t>
        </is>
      </c>
      <c r="AE695" t="inlineStr">
        <is>
          <t>LADEN BOOKING</t>
        </is>
      </c>
      <c r="AF695" t="inlineStr">
        <is>
          <t>Guilherme Souza</t>
        </is>
      </c>
      <c r="AG695" t="inlineStr">
        <is>
          <t>RH40</t>
        </is>
      </c>
      <c r="AH695" t="inlineStr">
        <is>
          <t>NO</t>
        </is>
      </c>
      <c r="AI695" t="n">
        <v>40</v>
      </c>
      <c r="AJ695" t="n">
        <v>0</v>
      </c>
      <c r="AK695" t="n">
        <v>1</v>
      </c>
      <c r="AL695" t="inlineStr">
        <is>
          <t>ANON0000000</t>
        </is>
      </c>
      <c r="AM695" t="n">
        <v>-22</v>
      </c>
      <c r="AP695" t="inlineStr">
        <is>
          <t>Non Haz</t>
        </is>
      </c>
      <c r="AQ695" t="inlineStr">
        <is>
          <t>CY/CY</t>
        </is>
      </c>
      <c r="AT695" t="inlineStr">
        <is>
          <t>REF000000</t>
        </is>
      </c>
      <c r="AU695" t="n">
        <v>28000</v>
      </c>
      <c r="AV695" t="inlineStr">
        <is>
          <t>FROZEN MEAT</t>
        </is>
      </c>
      <c r="AX695" t="inlineStr">
        <is>
          <t>RSSAM042600064</t>
        </is>
      </c>
      <c r="AZ695" t="n">
        <v>5</v>
      </c>
      <c r="BA695" t="n">
        <v>25</v>
      </c>
      <c r="BB695" t="n">
        <v>10</v>
      </c>
      <c r="BC695" t="n">
        <v>8600</v>
      </c>
      <c r="BD695" t="inlineStr">
        <is>
          <t>No</t>
        </is>
      </c>
      <c r="BG695" t="inlineStr">
        <is>
          <t>USNYC</t>
        </is>
      </c>
      <c r="BH695" t="n">
        <v>0</v>
      </c>
      <c r="BI695" t="n">
        <v>1</v>
      </c>
      <c r="BJ695" t="n">
        <v>8600</v>
      </c>
      <c r="BK695" t="inlineStr">
        <is>
          <t>LINE</t>
        </is>
      </c>
      <c r="BL695" t="inlineStr">
        <is>
          <t>MARLIN REEFER</t>
        </is>
      </c>
      <c r="BM695" t="inlineStr">
        <is>
          <t>MARLIN REEFER</t>
        </is>
      </c>
    </row>
    <row r="696">
      <c r="A696" t="n">
        <v>695</v>
      </c>
      <c r="B696" t="inlineStr">
        <is>
          <t>TURTLE REEFER</t>
        </is>
      </c>
      <c r="C696" t="inlineStr">
        <is>
          <t>REF000000</t>
        </is>
      </c>
      <c r="D696" t="inlineStr">
        <is>
          <t>REF000000</t>
        </is>
      </c>
      <c r="E696" t="inlineStr">
        <is>
          <t>09-APR-2026</t>
        </is>
      </c>
      <c r="F696" t="inlineStr">
        <is>
          <t>TURTLE REEFER</t>
        </is>
      </c>
      <c r="G696" t="inlineStr">
        <is>
          <t>PREPAID ABROAD</t>
        </is>
      </c>
      <c r="H696" t="inlineStr">
        <is>
          <t>DiegoSAM</t>
        </is>
      </c>
      <c r="J696" t="inlineStr">
        <is>
          <t>01-MAY-2026</t>
        </is>
      </c>
      <c r="K696" t="inlineStr">
        <is>
          <t>30-APR-2026</t>
        </is>
      </c>
      <c r="M696" t="inlineStr">
        <is>
          <t>REF000000</t>
        </is>
      </c>
      <c r="N696" t="inlineStr">
        <is>
          <t>USNYC</t>
        </is>
      </c>
      <c r="O696" t="inlineStr">
        <is>
          <t>USNYC</t>
        </is>
      </c>
      <c r="P696" t="inlineStr">
        <is>
          <t>RUBLT</t>
        </is>
      </c>
      <c r="U696" t="inlineStr">
        <is>
          <t>RUBLT</t>
        </is>
      </c>
      <c r="V696" t="inlineStr">
        <is>
          <t>RUBLT</t>
        </is>
      </c>
      <c r="W696" t="inlineStr">
        <is>
          <t>UNITED STATES</t>
        </is>
      </c>
      <c r="X696" t="inlineStr">
        <is>
          <t>Latin America</t>
        </is>
      </c>
      <c r="Y696" t="inlineStr">
        <is>
          <t>RUSSIA</t>
        </is>
      </c>
      <c r="Z696" t="inlineStr">
        <is>
          <t>External Review</t>
        </is>
      </c>
      <c r="AA696" t="inlineStr">
        <is>
          <t>HUB Shipping-Kaliningrad</t>
        </is>
      </c>
      <c r="AB696" t="inlineStr">
        <is>
          <t>Prepaid</t>
        </is>
      </c>
      <c r="AC696" t="inlineStr">
        <is>
          <t>LI DA XING/VOYAGE 1</t>
        </is>
      </c>
      <c r="AE696" t="inlineStr">
        <is>
          <t>LADEN BOOKING</t>
        </is>
      </c>
      <c r="AF696" t="inlineStr">
        <is>
          <t>Guilherme Souza</t>
        </is>
      </c>
      <c r="AG696" t="inlineStr">
        <is>
          <t>RH40</t>
        </is>
      </c>
      <c r="AH696" t="inlineStr">
        <is>
          <t>NO</t>
        </is>
      </c>
      <c r="AI696" t="n">
        <v>40</v>
      </c>
      <c r="AJ696" t="n">
        <v>0</v>
      </c>
      <c r="AK696" t="n">
        <v>1</v>
      </c>
      <c r="AM696" t="n">
        <v>-22</v>
      </c>
      <c r="AP696" t="inlineStr">
        <is>
          <t>Non Haz</t>
        </is>
      </c>
      <c r="AQ696" t="inlineStr">
        <is>
          <t>CY/CY</t>
        </is>
      </c>
      <c r="AU696" t="n">
        <v>28000</v>
      </c>
      <c r="AV696" t="inlineStr">
        <is>
          <t>FROZEN MEAT</t>
        </is>
      </c>
      <c r="AX696" t="inlineStr">
        <is>
          <t>RSSAM042600064</t>
        </is>
      </c>
      <c r="AZ696" t="n">
        <v>5</v>
      </c>
      <c r="BA696" t="n">
        <v>25</v>
      </c>
      <c r="BB696" t="n">
        <v>10</v>
      </c>
      <c r="BC696" t="n">
        <v>8600</v>
      </c>
      <c r="BD696" t="inlineStr">
        <is>
          <t>No</t>
        </is>
      </c>
      <c r="BG696" t="inlineStr">
        <is>
          <t>USNYC</t>
        </is>
      </c>
      <c r="BH696" t="n">
        <v>0</v>
      </c>
      <c r="BI696" t="n">
        <v>0</v>
      </c>
      <c r="BJ696" t="inlineStr">
        <is>
          <t xml:space="preserve"> 0</t>
        </is>
      </c>
      <c r="BK696" t="inlineStr">
        <is>
          <t>LINE</t>
        </is>
      </c>
      <c r="BL696" t="inlineStr">
        <is>
          <t>TURTLE REEFER</t>
        </is>
      </c>
      <c r="BM696" t="inlineStr">
        <is>
          <t>TURTLE REEFER</t>
        </is>
      </c>
    </row>
    <row r="697">
      <c r="A697" t="n">
        <v>696</v>
      </c>
      <c r="B697" t="inlineStr">
        <is>
          <t>ORCA REEFER</t>
        </is>
      </c>
      <c r="C697" t="inlineStr">
        <is>
          <t>REF000000</t>
        </is>
      </c>
      <c r="D697" t="inlineStr">
        <is>
          <t>REF000000</t>
        </is>
      </c>
      <c r="E697" t="inlineStr">
        <is>
          <t>09-APR-2026</t>
        </is>
      </c>
      <c r="F697" t="inlineStr">
        <is>
          <t>ORCA REEFER</t>
        </is>
      </c>
      <c r="G697" t="inlineStr">
        <is>
          <t>PREPAID ABROAD</t>
        </is>
      </c>
      <c r="H697" t="inlineStr">
        <is>
          <t>DiegoSAM</t>
        </is>
      </c>
      <c r="J697" t="inlineStr">
        <is>
          <t>01-MAY-2026</t>
        </is>
      </c>
      <c r="K697" t="inlineStr">
        <is>
          <t>30-APR-2026</t>
        </is>
      </c>
      <c r="M697" t="inlineStr">
        <is>
          <t>REF000000</t>
        </is>
      </c>
      <c r="N697" t="inlineStr">
        <is>
          <t>USNYC</t>
        </is>
      </c>
      <c r="O697" t="inlineStr">
        <is>
          <t>USNYC</t>
        </is>
      </c>
      <c r="P697" t="inlineStr">
        <is>
          <t>RUBLT</t>
        </is>
      </c>
      <c r="U697" t="inlineStr">
        <is>
          <t>RUBLT</t>
        </is>
      </c>
      <c r="V697" t="inlineStr">
        <is>
          <t>RUBLT</t>
        </is>
      </c>
      <c r="W697" t="inlineStr">
        <is>
          <t>UNITED STATES</t>
        </is>
      </c>
      <c r="X697" t="inlineStr">
        <is>
          <t>Latin America</t>
        </is>
      </c>
      <c r="Y697" t="inlineStr">
        <is>
          <t>RUSSIA</t>
        </is>
      </c>
      <c r="Z697" t="inlineStr">
        <is>
          <t>External Review</t>
        </is>
      </c>
      <c r="AA697" t="inlineStr">
        <is>
          <t>HUB Shipping-Kaliningrad</t>
        </is>
      </c>
      <c r="AB697" t="inlineStr">
        <is>
          <t>Prepaid</t>
        </is>
      </c>
      <c r="AC697" t="inlineStr">
        <is>
          <t>LI DA XING/VOYAGE 1</t>
        </is>
      </c>
      <c r="AE697" t="inlineStr">
        <is>
          <t>LADEN BOOKING</t>
        </is>
      </c>
      <c r="AF697" t="inlineStr">
        <is>
          <t>Guilherme Souza</t>
        </is>
      </c>
      <c r="AG697" t="inlineStr">
        <is>
          <t>RH40</t>
        </is>
      </c>
      <c r="AH697" t="inlineStr">
        <is>
          <t>NO</t>
        </is>
      </c>
      <c r="AI697" t="n">
        <v>40</v>
      </c>
      <c r="AJ697" t="n">
        <v>0</v>
      </c>
      <c r="AK697" t="n">
        <v>1</v>
      </c>
      <c r="AM697" t="n">
        <v>-22</v>
      </c>
      <c r="AP697" t="inlineStr">
        <is>
          <t>Non Haz</t>
        </is>
      </c>
      <c r="AQ697" t="inlineStr">
        <is>
          <t>CY/CY</t>
        </is>
      </c>
      <c r="AU697" t="n">
        <v>28000</v>
      </c>
      <c r="AV697" t="inlineStr">
        <is>
          <t>FROZEN MEAT</t>
        </is>
      </c>
      <c r="AX697" t="inlineStr">
        <is>
          <t>RSSAM042600064</t>
        </is>
      </c>
      <c r="AZ697" t="n">
        <v>5</v>
      </c>
      <c r="BA697" t="n">
        <v>25</v>
      </c>
      <c r="BB697" t="n">
        <v>10</v>
      </c>
      <c r="BC697" t="n">
        <v>8600</v>
      </c>
      <c r="BD697" t="inlineStr">
        <is>
          <t>No</t>
        </is>
      </c>
      <c r="BG697" t="inlineStr">
        <is>
          <t>USNYC</t>
        </is>
      </c>
      <c r="BH697" t="n">
        <v>0</v>
      </c>
      <c r="BI697" t="n">
        <v>0</v>
      </c>
      <c r="BJ697" t="inlineStr">
        <is>
          <t xml:space="preserve"> 0</t>
        </is>
      </c>
      <c r="BK697" t="inlineStr">
        <is>
          <t>LINE</t>
        </is>
      </c>
      <c r="BL697" t="inlineStr">
        <is>
          <t>ORCA REEFER</t>
        </is>
      </c>
      <c r="BM697" t="inlineStr">
        <is>
          <t>ORCA REEFER</t>
        </is>
      </c>
    </row>
    <row r="698">
      <c r="A698" t="n">
        <v>697</v>
      </c>
      <c r="B698" t="inlineStr">
        <is>
          <t>WHALE REEFER</t>
        </is>
      </c>
      <c r="C698" t="inlineStr">
        <is>
          <t>REF000000</t>
        </is>
      </c>
      <c r="D698" t="inlineStr">
        <is>
          <t>REF000000</t>
        </is>
      </c>
      <c r="E698" t="inlineStr">
        <is>
          <t>09-APR-2026</t>
        </is>
      </c>
      <c r="F698" t="inlineStr">
        <is>
          <t>WHALE REEFER</t>
        </is>
      </c>
      <c r="G698" t="inlineStr">
        <is>
          <t>PREPAID ABROAD</t>
        </is>
      </c>
      <c r="H698" t="inlineStr">
        <is>
          <t>DiegoSAM</t>
        </is>
      </c>
      <c r="J698" t="inlineStr">
        <is>
          <t>01-MAY-2026</t>
        </is>
      </c>
      <c r="K698" t="inlineStr">
        <is>
          <t>30-APR-2026</t>
        </is>
      </c>
      <c r="M698" t="inlineStr">
        <is>
          <t>REF000000</t>
        </is>
      </c>
      <c r="N698" t="inlineStr">
        <is>
          <t>USNYC</t>
        </is>
      </c>
      <c r="O698" t="inlineStr">
        <is>
          <t>USNYC</t>
        </is>
      </c>
      <c r="P698" t="inlineStr">
        <is>
          <t>RUBLT</t>
        </is>
      </c>
      <c r="U698" t="inlineStr">
        <is>
          <t>RUBLT</t>
        </is>
      </c>
      <c r="V698" t="inlineStr">
        <is>
          <t>RUBLT</t>
        </is>
      </c>
      <c r="W698" t="inlineStr">
        <is>
          <t>UNITED STATES</t>
        </is>
      </c>
      <c r="X698" t="inlineStr">
        <is>
          <t>Latin America</t>
        </is>
      </c>
      <c r="Y698" t="inlineStr">
        <is>
          <t>RUSSIA</t>
        </is>
      </c>
      <c r="Z698" t="inlineStr">
        <is>
          <t>External Review</t>
        </is>
      </c>
      <c r="AA698" t="inlineStr">
        <is>
          <t>HUB Shipping-Kaliningrad</t>
        </is>
      </c>
      <c r="AB698" t="inlineStr">
        <is>
          <t>Prepaid</t>
        </is>
      </c>
      <c r="AC698" t="inlineStr">
        <is>
          <t>LI DA XING/VOYAGE 1</t>
        </is>
      </c>
      <c r="AE698" t="inlineStr">
        <is>
          <t>LADEN BOOKING</t>
        </is>
      </c>
      <c r="AF698" t="inlineStr">
        <is>
          <t>Guilherme Souza</t>
        </is>
      </c>
      <c r="AG698" t="inlineStr">
        <is>
          <t>RH40</t>
        </is>
      </c>
      <c r="AH698" t="inlineStr">
        <is>
          <t>NO</t>
        </is>
      </c>
      <c r="AI698" t="n">
        <v>40</v>
      </c>
      <c r="AJ698" t="n">
        <v>0</v>
      </c>
      <c r="AK698" t="n">
        <v>1</v>
      </c>
      <c r="AM698" t="n">
        <v>-22</v>
      </c>
      <c r="AP698" t="inlineStr">
        <is>
          <t>Non Haz</t>
        </is>
      </c>
      <c r="AQ698" t="inlineStr">
        <is>
          <t>CY/CY</t>
        </is>
      </c>
      <c r="AU698" t="n">
        <v>28000</v>
      </c>
      <c r="AV698" t="inlineStr">
        <is>
          <t>FROZEN MEAT</t>
        </is>
      </c>
      <c r="AX698" t="inlineStr">
        <is>
          <t>RSSAM042600064</t>
        </is>
      </c>
      <c r="AZ698" t="n">
        <v>5</v>
      </c>
      <c r="BA698" t="n">
        <v>25</v>
      </c>
      <c r="BB698" t="n">
        <v>10</v>
      </c>
      <c r="BC698" t="n">
        <v>8600</v>
      </c>
      <c r="BD698" t="inlineStr">
        <is>
          <t>No</t>
        </is>
      </c>
      <c r="BG698" t="inlineStr">
        <is>
          <t>USNYC</t>
        </is>
      </c>
      <c r="BH698" t="n">
        <v>0</v>
      </c>
      <c r="BI698" t="n">
        <v>0</v>
      </c>
      <c r="BJ698" t="inlineStr">
        <is>
          <t xml:space="preserve"> 0</t>
        </is>
      </c>
      <c r="BK698" t="inlineStr">
        <is>
          <t>LINE</t>
        </is>
      </c>
      <c r="BL698" t="inlineStr">
        <is>
          <t>WHALE REEFER</t>
        </is>
      </c>
      <c r="BM698" t="inlineStr">
        <is>
          <t>WHALE REEFER</t>
        </is>
      </c>
    </row>
    <row r="699">
      <c r="A699" t="n">
        <v>698</v>
      </c>
      <c r="B699" t="inlineStr">
        <is>
          <t>DEER DRY</t>
        </is>
      </c>
      <c r="C699" t="inlineStr">
        <is>
          <t>REF000000</t>
        </is>
      </c>
      <c r="D699" t="inlineStr">
        <is>
          <t>REF000000</t>
        </is>
      </c>
      <c r="E699" t="inlineStr">
        <is>
          <t>09-APR-2026</t>
        </is>
      </c>
      <c r="F699" t="inlineStr">
        <is>
          <t>DEER DRY</t>
        </is>
      </c>
      <c r="G699" t="inlineStr">
        <is>
          <t>PREPAID ABROAD THS-004</t>
        </is>
      </c>
      <c r="H699" t="inlineStr">
        <is>
          <t>DiegoSAM</t>
        </is>
      </c>
      <c r="J699" t="inlineStr">
        <is>
          <t>23-APR-2026</t>
        </is>
      </c>
      <c r="K699" t="inlineStr">
        <is>
          <t>23-APR-2026</t>
        </is>
      </c>
      <c r="M699" t="inlineStr">
        <is>
          <t>REF000000</t>
        </is>
      </c>
      <c r="N699" t="inlineStr">
        <is>
          <t>USNFK</t>
        </is>
      </c>
      <c r="O699" t="inlineStr">
        <is>
          <t>USNFK</t>
        </is>
      </c>
      <c r="P699" t="inlineStr">
        <is>
          <t>RULED</t>
        </is>
      </c>
      <c r="U699" t="inlineStr">
        <is>
          <t>RULED</t>
        </is>
      </c>
      <c r="V699" t="inlineStr">
        <is>
          <t>RULED</t>
        </is>
      </c>
      <c r="W699" t="inlineStr">
        <is>
          <t>UNITED STATES</t>
        </is>
      </c>
      <c r="X699" t="inlineStr">
        <is>
          <t>Latin America</t>
        </is>
      </c>
      <c r="Y699" t="inlineStr">
        <is>
          <t>RUSSIA</t>
        </is>
      </c>
      <c r="Z699" t="inlineStr">
        <is>
          <t>External Review</t>
        </is>
      </c>
      <c r="AA699" t="inlineStr">
        <is>
          <t>HUB SHIPPING LLC-LED</t>
        </is>
      </c>
      <c r="AB699" t="inlineStr">
        <is>
          <t>Prepaid</t>
        </is>
      </c>
      <c r="AC699" t="inlineStr">
        <is>
          <t>VENUS / VOYAGE 2</t>
        </is>
      </c>
      <c r="AE699" t="inlineStr">
        <is>
          <t>LADEN BOOKING</t>
        </is>
      </c>
      <c r="AF699" t="inlineStr">
        <is>
          <t>Maria JessicaSAM</t>
        </is>
      </c>
      <c r="AG699" t="inlineStr">
        <is>
          <t>DC20</t>
        </is>
      </c>
      <c r="AH699" t="inlineStr">
        <is>
          <t>NO</t>
        </is>
      </c>
      <c r="AI699" t="n">
        <v>20</v>
      </c>
      <c r="AJ699" t="n">
        <v>1</v>
      </c>
      <c r="AK699" t="n">
        <v>0</v>
      </c>
      <c r="AP699" t="inlineStr">
        <is>
          <t>Non Haz</t>
        </is>
      </c>
      <c r="AQ699" t="inlineStr">
        <is>
          <t>CY/CY</t>
        </is>
      </c>
      <c r="AU699" t="n">
        <v>22000</v>
      </c>
      <c r="AV699" t="inlineStr">
        <is>
          <t>COFFEE</t>
        </is>
      </c>
      <c r="AX699" t="inlineStr">
        <is>
          <t>RSSAM042600028</t>
        </is>
      </c>
      <c r="AZ699" t="n">
        <v>0</v>
      </c>
      <c r="BA699" t="n">
        <v>14</v>
      </c>
      <c r="BB699" t="n">
        <v>14</v>
      </c>
      <c r="BC699" t="n">
        <v>3200</v>
      </c>
      <c r="BD699" t="inlineStr">
        <is>
          <t>No</t>
        </is>
      </c>
      <c r="BG699" t="inlineStr">
        <is>
          <t>USNFK</t>
        </is>
      </c>
      <c r="BH699" t="n">
        <v>0</v>
      </c>
      <c r="BI699" t="n">
        <v>0</v>
      </c>
      <c r="BJ699" t="inlineStr">
        <is>
          <t xml:space="preserve"> 0</t>
        </is>
      </c>
      <c r="BK699" t="inlineStr">
        <is>
          <t>LINE</t>
        </is>
      </c>
      <c r="BL699" t="inlineStr">
        <is>
          <t>DEER DRY</t>
        </is>
      </c>
      <c r="BM699" t="inlineStr">
        <is>
          <t>DEER DRY</t>
        </is>
      </c>
    </row>
    <row r="700">
      <c r="A700" t="n">
        <v>699</v>
      </c>
      <c r="B700" t="inlineStr">
        <is>
          <t>SHARK REEFER</t>
        </is>
      </c>
      <c r="C700" t="inlineStr">
        <is>
          <t>REF000000</t>
        </is>
      </c>
      <c r="D700" t="inlineStr">
        <is>
          <t>REF000000</t>
        </is>
      </c>
      <c r="E700" t="inlineStr">
        <is>
          <t>09-APR-2026</t>
        </is>
      </c>
      <c r="F700" t="inlineStr">
        <is>
          <t>SHARK REEFER</t>
        </is>
      </c>
      <c r="G700" t="inlineStr">
        <is>
          <t>PREPAID ABROAD</t>
        </is>
      </c>
      <c r="H700" t="inlineStr">
        <is>
          <t>DiegoSAM</t>
        </is>
      </c>
      <c r="J700" t="inlineStr">
        <is>
          <t>20-APR-2026</t>
        </is>
      </c>
      <c r="K700" t="inlineStr">
        <is>
          <t>20-APR-2026</t>
        </is>
      </c>
      <c r="M700" t="inlineStr">
        <is>
          <t>REF000000</t>
        </is>
      </c>
      <c r="N700" t="inlineStr">
        <is>
          <t>USHOU</t>
        </is>
      </c>
      <c r="O700" t="inlineStr">
        <is>
          <t>USHOU</t>
        </is>
      </c>
      <c r="P700" t="inlineStr">
        <is>
          <t>RUBLT</t>
        </is>
      </c>
      <c r="U700" t="inlineStr">
        <is>
          <t>RUBLT</t>
        </is>
      </c>
      <c r="V700" t="inlineStr">
        <is>
          <t>RUBLT</t>
        </is>
      </c>
      <c r="W700" t="inlineStr">
        <is>
          <t>UNITED STATES</t>
        </is>
      </c>
      <c r="X700" t="inlineStr">
        <is>
          <t>Latin America</t>
        </is>
      </c>
      <c r="Y700" t="inlineStr">
        <is>
          <t>RUSSIA</t>
        </is>
      </c>
      <c r="Z700" t="inlineStr">
        <is>
          <t>External Review</t>
        </is>
      </c>
      <c r="AA700" t="inlineStr">
        <is>
          <t>HUB Shipping-Kaliningrad</t>
        </is>
      </c>
      <c r="AB700" t="inlineStr">
        <is>
          <t>Prepaid</t>
        </is>
      </c>
      <c r="AC700" t="inlineStr">
        <is>
          <t>VENUS / VOYAGE 2</t>
        </is>
      </c>
      <c r="AE700" t="inlineStr">
        <is>
          <t>LADEN BOOKING</t>
        </is>
      </c>
      <c r="AF700" t="inlineStr">
        <is>
          <t>Guilherme Souza</t>
        </is>
      </c>
      <c r="AG700" t="inlineStr">
        <is>
          <t>RH40</t>
        </is>
      </c>
      <c r="AH700" t="inlineStr">
        <is>
          <t>NO</t>
        </is>
      </c>
      <c r="AI700" t="n">
        <v>40</v>
      </c>
      <c r="AJ700" t="n">
        <v>0</v>
      </c>
      <c r="AK700" t="n">
        <v>1</v>
      </c>
      <c r="AM700" t="n">
        <v>-22</v>
      </c>
      <c r="AP700" t="inlineStr">
        <is>
          <t>Non Haz</t>
        </is>
      </c>
      <c r="AQ700" t="inlineStr">
        <is>
          <t>CY/CY</t>
        </is>
      </c>
      <c r="AU700" t="n">
        <v>28000</v>
      </c>
      <c r="AV700" t="inlineStr">
        <is>
          <t>FROZEN MEAT</t>
        </is>
      </c>
      <c r="AX700" t="inlineStr">
        <is>
          <t>RSSAM042600065</t>
        </is>
      </c>
      <c r="AZ700" t="n">
        <v>5</v>
      </c>
      <c r="BA700" t="n">
        <v>25</v>
      </c>
      <c r="BB700" t="n">
        <v>10</v>
      </c>
      <c r="BC700" t="n">
        <v>8600</v>
      </c>
      <c r="BD700" t="inlineStr">
        <is>
          <t>No</t>
        </is>
      </c>
      <c r="BG700" t="inlineStr">
        <is>
          <t>USHOU</t>
        </is>
      </c>
      <c r="BH700" t="n">
        <v>0</v>
      </c>
      <c r="BI700" t="n">
        <v>0</v>
      </c>
      <c r="BJ700" t="inlineStr">
        <is>
          <t xml:space="preserve"> 0</t>
        </is>
      </c>
      <c r="BK700" t="inlineStr">
        <is>
          <t>LINE</t>
        </is>
      </c>
      <c r="BL700" t="inlineStr">
        <is>
          <t>SHARK REEFER</t>
        </is>
      </c>
      <c r="BM700" t="inlineStr">
        <is>
          <t>SHARK REEFER</t>
        </is>
      </c>
    </row>
    <row r="701">
      <c r="A701" t="n">
        <v>700</v>
      </c>
      <c r="B701" t="inlineStr">
        <is>
          <t>DOLPHIN REEFER</t>
        </is>
      </c>
      <c r="C701" t="inlineStr">
        <is>
          <t>REF000000</t>
        </is>
      </c>
      <c r="D701" t="inlineStr">
        <is>
          <t>REF000000</t>
        </is>
      </c>
      <c r="E701" t="inlineStr">
        <is>
          <t>09-APR-2026</t>
        </is>
      </c>
      <c r="F701" t="inlineStr">
        <is>
          <t>DOLPHIN REEFER</t>
        </is>
      </c>
      <c r="G701" t="inlineStr">
        <is>
          <t>PREPAID ABROAD</t>
        </is>
      </c>
      <c r="H701" t="inlineStr">
        <is>
          <t>DiegoSAM</t>
        </is>
      </c>
      <c r="J701" t="inlineStr">
        <is>
          <t>20-APR-2026</t>
        </is>
      </c>
      <c r="K701" t="inlineStr">
        <is>
          <t>20-APR-2026</t>
        </is>
      </c>
      <c r="M701" t="inlineStr">
        <is>
          <t>REF000000</t>
        </is>
      </c>
      <c r="N701" t="inlineStr">
        <is>
          <t>USHOU</t>
        </is>
      </c>
      <c r="O701" t="inlineStr">
        <is>
          <t>USHOU</t>
        </is>
      </c>
      <c r="P701" t="inlineStr">
        <is>
          <t>RUBLT</t>
        </is>
      </c>
      <c r="U701" t="inlineStr">
        <is>
          <t>RUBLT</t>
        </is>
      </c>
      <c r="V701" t="inlineStr">
        <is>
          <t>RUBLT</t>
        </is>
      </c>
      <c r="W701" t="inlineStr">
        <is>
          <t>UNITED STATES</t>
        </is>
      </c>
      <c r="X701" t="inlineStr">
        <is>
          <t>Latin America</t>
        </is>
      </c>
      <c r="Y701" t="inlineStr">
        <is>
          <t>RUSSIA</t>
        </is>
      </c>
      <c r="Z701" t="inlineStr">
        <is>
          <t>External Review</t>
        </is>
      </c>
      <c r="AA701" t="inlineStr">
        <is>
          <t>HUB Shipping-Kaliningrad</t>
        </is>
      </c>
      <c r="AB701" t="inlineStr">
        <is>
          <t>Prepaid</t>
        </is>
      </c>
      <c r="AC701" t="inlineStr">
        <is>
          <t>VENUS / VOYAGE 2</t>
        </is>
      </c>
      <c r="AE701" t="inlineStr">
        <is>
          <t>LADEN BOOKING</t>
        </is>
      </c>
      <c r="AF701" t="inlineStr">
        <is>
          <t>Guilherme Souza</t>
        </is>
      </c>
      <c r="AG701" t="inlineStr">
        <is>
          <t>RH40</t>
        </is>
      </c>
      <c r="AH701" t="inlineStr">
        <is>
          <t>NO</t>
        </is>
      </c>
      <c r="AI701" t="n">
        <v>40</v>
      </c>
      <c r="AJ701" t="n">
        <v>0</v>
      </c>
      <c r="AK701" t="n">
        <v>1</v>
      </c>
      <c r="AM701" t="n">
        <v>-22</v>
      </c>
      <c r="AP701" t="inlineStr">
        <is>
          <t>Non Haz</t>
        </is>
      </c>
      <c r="AQ701" t="inlineStr">
        <is>
          <t>CY/CY</t>
        </is>
      </c>
      <c r="AU701" t="n">
        <v>28000</v>
      </c>
      <c r="AV701" t="inlineStr">
        <is>
          <t>FROZEN MEAT</t>
        </is>
      </c>
      <c r="AX701" t="inlineStr">
        <is>
          <t>RSSAM042600065</t>
        </is>
      </c>
      <c r="AZ701" t="n">
        <v>5</v>
      </c>
      <c r="BA701" t="n">
        <v>25</v>
      </c>
      <c r="BB701" t="n">
        <v>10</v>
      </c>
      <c r="BC701" t="n">
        <v>8600</v>
      </c>
      <c r="BD701" t="inlineStr">
        <is>
          <t>No</t>
        </is>
      </c>
      <c r="BG701" t="inlineStr">
        <is>
          <t>USHOU</t>
        </is>
      </c>
      <c r="BH701" t="n">
        <v>0</v>
      </c>
      <c r="BI701" t="n">
        <v>0</v>
      </c>
      <c r="BJ701" t="inlineStr">
        <is>
          <t xml:space="preserve"> 0</t>
        </is>
      </c>
      <c r="BK701" t="inlineStr">
        <is>
          <t>LINE</t>
        </is>
      </c>
      <c r="BL701" t="inlineStr">
        <is>
          <t>DOLPHIN REEFER</t>
        </is>
      </c>
      <c r="BM701" t="inlineStr">
        <is>
          <t>DOLPHIN REEFER</t>
        </is>
      </c>
    </row>
    <row r="702">
      <c r="A702" t="n">
        <v>701</v>
      </c>
      <c r="B702" t="inlineStr">
        <is>
          <t>MARLIN REEFER</t>
        </is>
      </c>
      <c r="C702" t="inlineStr">
        <is>
          <t>REF000000</t>
        </is>
      </c>
      <c r="D702" t="inlineStr">
        <is>
          <t>REF000000</t>
        </is>
      </c>
      <c r="E702" t="inlineStr">
        <is>
          <t>09-APR-2026</t>
        </is>
      </c>
      <c r="F702" t="inlineStr">
        <is>
          <t>MARLIN REEFER</t>
        </is>
      </c>
      <c r="G702" t="inlineStr">
        <is>
          <t>PREPAID ABROAD</t>
        </is>
      </c>
      <c r="H702" t="inlineStr">
        <is>
          <t>DiegoSAM</t>
        </is>
      </c>
      <c r="J702" t="inlineStr">
        <is>
          <t>20-APR-2026</t>
        </is>
      </c>
      <c r="K702" t="inlineStr">
        <is>
          <t>20-APR-2026</t>
        </is>
      </c>
      <c r="M702" t="inlineStr">
        <is>
          <t>REF000000</t>
        </is>
      </c>
      <c r="N702" t="inlineStr">
        <is>
          <t>USHOU</t>
        </is>
      </c>
      <c r="O702" t="inlineStr">
        <is>
          <t>USHOU</t>
        </is>
      </c>
      <c r="P702" t="inlineStr">
        <is>
          <t>RUBLT</t>
        </is>
      </c>
      <c r="U702" t="inlineStr">
        <is>
          <t>RUBLT</t>
        </is>
      </c>
      <c r="V702" t="inlineStr">
        <is>
          <t>RUBLT</t>
        </is>
      </c>
      <c r="W702" t="inlineStr">
        <is>
          <t>UNITED STATES</t>
        </is>
      </c>
      <c r="X702" t="inlineStr">
        <is>
          <t>Latin America</t>
        </is>
      </c>
      <c r="Y702" t="inlineStr">
        <is>
          <t>RUSSIA</t>
        </is>
      </c>
      <c r="Z702" t="inlineStr">
        <is>
          <t>External Review</t>
        </is>
      </c>
      <c r="AA702" t="inlineStr">
        <is>
          <t>HUB Shipping-Kaliningrad</t>
        </is>
      </c>
      <c r="AB702" t="inlineStr">
        <is>
          <t>Prepaid</t>
        </is>
      </c>
      <c r="AC702" t="inlineStr">
        <is>
          <t>VENUS / VOYAGE 2</t>
        </is>
      </c>
      <c r="AE702" t="inlineStr">
        <is>
          <t>LADEN BOOKING</t>
        </is>
      </c>
      <c r="AF702" t="inlineStr">
        <is>
          <t>Guilherme Souza</t>
        </is>
      </c>
      <c r="AG702" t="inlineStr">
        <is>
          <t>RH40</t>
        </is>
      </c>
      <c r="AH702" t="inlineStr">
        <is>
          <t>NO</t>
        </is>
      </c>
      <c r="AI702" t="n">
        <v>40</v>
      </c>
      <c r="AJ702" t="n">
        <v>0</v>
      </c>
      <c r="AK702" t="n">
        <v>1</v>
      </c>
      <c r="AM702" t="n">
        <v>-22</v>
      </c>
      <c r="AP702" t="inlineStr">
        <is>
          <t>Non Haz</t>
        </is>
      </c>
      <c r="AQ702" t="inlineStr">
        <is>
          <t>CY/CY</t>
        </is>
      </c>
      <c r="AU702" t="n">
        <v>28000</v>
      </c>
      <c r="AV702" t="inlineStr">
        <is>
          <t>FROZEN MEAT</t>
        </is>
      </c>
      <c r="AX702" t="inlineStr">
        <is>
          <t>RSSAM042600065</t>
        </is>
      </c>
      <c r="AZ702" t="n">
        <v>5</v>
      </c>
      <c r="BA702" t="n">
        <v>25</v>
      </c>
      <c r="BB702" t="n">
        <v>10</v>
      </c>
      <c r="BC702" t="n">
        <v>8600</v>
      </c>
      <c r="BD702" t="inlineStr">
        <is>
          <t>No</t>
        </is>
      </c>
      <c r="BG702" t="inlineStr">
        <is>
          <t>USHOU</t>
        </is>
      </c>
      <c r="BH702" t="n">
        <v>0</v>
      </c>
      <c r="BI702" t="n">
        <v>0</v>
      </c>
      <c r="BJ702" t="inlineStr">
        <is>
          <t xml:space="preserve"> 0</t>
        </is>
      </c>
      <c r="BK702" t="inlineStr">
        <is>
          <t>LINE</t>
        </is>
      </c>
      <c r="BL702" t="inlineStr">
        <is>
          <t>MARLIN REEFER</t>
        </is>
      </c>
      <c r="BM702" t="inlineStr">
        <is>
          <t>MARLIN REEFER</t>
        </is>
      </c>
    </row>
    <row r="703">
      <c r="A703" t="n">
        <v>702</v>
      </c>
      <c r="B703" t="inlineStr">
        <is>
          <t>TURTLE REEFER</t>
        </is>
      </c>
      <c r="C703" t="inlineStr">
        <is>
          <t>REF000000</t>
        </is>
      </c>
      <c r="D703" t="inlineStr">
        <is>
          <t>REF000000</t>
        </is>
      </c>
      <c r="E703" t="inlineStr">
        <is>
          <t>09-APR-2026</t>
        </is>
      </c>
      <c r="F703" t="inlineStr">
        <is>
          <t>TURTLE REEFER</t>
        </is>
      </c>
      <c r="G703" t="inlineStr">
        <is>
          <t>PREPAID ABROAD</t>
        </is>
      </c>
      <c r="H703" t="inlineStr">
        <is>
          <t>DiegoSAM</t>
        </is>
      </c>
      <c r="J703" t="inlineStr">
        <is>
          <t>02-MAY-2026</t>
        </is>
      </c>
      <c r="K703" t="inlineStr">
        <is>
          <t>01-MAY-2026</t>
        </is>
      </c>
      <c r="M703" t="inlineStr">
        <is>
          <t>REF000000</t>
        </is>
      </c>
      <c r="N703" t="inlineStr">
        <is>
          <t>USHOU</t>
        </is>
      </c>
      <c r="O703" t="inlineStr">
        <is>
          <t>USHOU</t>
        </is>
      </c>
      <c r="P703" t="inlineStr">
        <is>
          <t>RUBLT</t>
        </is>
      </c>
      <c r="U703" t="inlineStr">
        <is>
          <t>RUBLT</t>
        </is>
      </c>
      <c r="V703" t="inlineStr">
        <is>
          <t>RUBLT</t>
        </is>
      </c>
      <c r="W703" t="inlineStr">
        <is>
          <t>UNITED STATES</t>
        </is>
      </c>
      <c r="X703" t="inlineStr">
        <is>
          <t>Latin America</t>
        </is>
      </c>
      <c r="Y703" t="inlineStr">
        <is>
          <t>RUSSIA</t>
        </is>
      </c>
      <c r="Z703" t="inlineStr">
        <is>
          <t>External Review</t>
        </is>
      </c>
      <c r="AA703" t="inlineStr">
        <is>
          <t>HUB Shipping-Kaliningrad</t>
        </is>
      </c>
      <c r="AB703" t="inlineStr">
        <is>
          <t>Prepaid</t>
        </is>
      </c>
      <c r="AC703" t="inlineStr">
        <is>
          <t>LI DA XING/VOYAGE 1</t>
        </is>
      </c>
      <c r="AE703" t="inlineStr">
        <is>
          <t>LADEN BOOKING</t>
        </is>
      </c>
      <c r="AF703" t="inlineStr">
        <is>
          <t>Guilherme Souza</t>
        </is>
      </c>
      <c r="AG703" t="inlineStr">
        <is>
          <t>RH40</t>
        </is>
      </c>
      <c r="AH703" t="inlineStr">
        <is>
          <t>NO</t>
        </is>
      </c>
      <c r="AI703" t="n">
        <v>40</v>
      </c>
      <c r="AJ703" t="n">
        <v>0</v>
      </c>
      <c r="AK703" t="n">
        <v>1</v>
      </c>
      <c r="AM703" t="n">
        <v>-22</v>
      </c>
      <c r="AP703" t="inlineStr">
        <is>
          <t>Non Haz</t>
        </is>
      </c>
      <c r="AQ703" t="inlineStr">
        <is>
          <t>CY/CY</t>
        </is>
      </c>
      <c r="AU703" t="n">
        <v>28000</v>
      </c>
      <c r="AV703" t="inlineStr">
        <is>
          <t>FROZEN MEAT</t>
        </is>
      </c>
      <c r="AX703" t="inlineStr">
        <is>
          <t>RSSAM042600065</t>
        </is>
      </c>
      <c r="AZ703" t="n">
        <v>5</v>
      </c>
      <c r="BA703" t="n">
        <v>25</v>
      </c>
      <c r="BB703" t="n">
        <v>10</v>
      </c>
      <c r="BC703" t="n">
        <v>8600</v>
      </c>
      <c r="BD703" t="inlineStr">
        <is>
          <t>No</t>
        </is>
      </c>
      <c r="BG703" t="inlineStr">
        <is>
          <t>USHOU</t>
        </is>
      </c>
      <c r="BH703" t="n">
        <v>0</v>
      </c>
      <c r="BI703" t="n">
        <v>0</v>
      </c>
      <c r="BJ703" t="inlineStr">
        <is>
          <t xml:space="preserve"> 0</t>
        </is>
      </c>
      <c r="BK703" t="inlineStr">
        <is>
          <t>LINE</t>
        </is>
      </c>
      <c r="BL703" t="inlineStr">
        <is>
          <t>TURTLE REEFER</t>
        </is>
      </c>
      <c r="BM703" t="inlineStr">
        <is>
          <t>TURTLE REEFER</t>
        </is>
      </c>
    </row>
    <row r="704">
      <c r="A704" t="n">
        <v>703</v>
      </c>
      <c r="B704" t="inlineStr">
        <is>
          <t>FALCON DRY</t>
        </is>
      </c>
      <c r="C704" t="inlineStr">
        <is>
          <t>REF000000</t>
        </is>
      </c>
      <c r="D704" t="inlineStr">
        <is>
          <t>REF000000</t>
        </is>
      </c>
      <c r="E704" t="inlineStr">
        <is>
          <t>09-APR-2026</t>
        </is>
      </c>
      <c r="F704" t="inlineStr">
        <is>
          <t>FALCON DRY</t>
        </is>
      </c>
      <c r="H704" t="inlineStr">
        <is>
          <t>AdminSAM</t>
        </is>
      </c>
      <c r="J704" t="inlineStr">
        <is>
          <t>23-APR-2026</t>
        </is>
      </c>
      <c r="K704" t="inlineStr">
        <is>
          <t>23-APR-2026</t>
        </is>
      </c>
      <c r="M704" t="inlineStr">
        <is>
          <t>REF000000</t>
        </is>
      </c>
      <c r="N704" t="inlineStr">
        <is>
          <t>USNFK</t>
        </is>
      </c>
      <c r="O704" t="inlineStr">
        <is>
          <t>USNFK</t>
        </is>
      </c>
      <c r="P704" t="inlineStr">
        <is>
          <t>RULED</t>
        </is>
      </c>
      <c r="U704" t="inlineStr">
        <is>
          <t>RULED</t>
        </is>
      </c>
      <c r="V704" t="inlineStr">
        <is>
          <t>RULED</t>
        </is>
      </c>
      <c r="W704" t="inlineStr">
        <is>
          <t>UNITED STATES</t>
        </is>
      </c>
      <c r="X704" t="inlineStr">
        <is>
          <t>Latin America</t>
        </is>
      </c>
      <c r="Y704" t="inlineStr">
        <is>
          <t>RUSSIA</t>
        </is>
      </c>
      <c r="Z704" t="inlineStr">
        <is>
          <t>External Review</t>
        </is>
      </c>
      <c r="AA704" t="inlineStr">
        <is>
          <t>HUB SHIPPING LLC-LED</t>
        </is>
      </c>
      <c r="AB704" t="inlineStr">
        <is>
          <t>Collect</t>
        </is>
      </c>
      <c r="AC704" t="inlineStr">
        <is>
          <t>VENUS / VOYAGE 2</t>
        </is>
      </c>
      <c r="AE704" t="inlineStr">
        <is>
          <t>LADEN BOOKING</t>
        </is>
      </c>
      <c r="AF704" t="inlineStr">
        <is>
          <t>RenniSAM</t>
        </is>
      </c>
      <c r="AG704" t="inlineStr">
        <is>
          <t>DC20</t>
        </is>
      </c>
      <c r="AH704" t="inlineStr">
        <is>
          <t>NO</t>
        </is>
      </c>
      <c r="AI704" t="n">
        <v>20</v>
      </c>
      <c r="AJ704" t="n">
        <v>1</v>
      </c>
      <c r="AK704" t="n">
        <v>0</v>
      </c>
      <c r="AP704" t="inlineStr">
        <is>
          <t>Non Haz</t>
        </is>
      </c>
      <c r="AQ704" t="inlineStr">
        <is>
          <t>CY/CY</t>
        </is>
      </c>
      <c r="AU704" t="n">
        <v>21000</v>
      </c>
      <c r="AV704" t="inlineStr">
        <is>
          <t>GENERAL COMMODITY</t>
        </is>
      </c>
      <c r="AX704" t="inlineStr">
        <is>
          <t>RSSAM042600081</t>
        </is>
      </c>
      <c r="AZ704" t="n">
        <v>0</v>
      </c>
      <c r="BA704" t="n">
        <v>10</v>
      </c>
      <c r="BB704" t="n">
        <v>14</v>
      </c>
      <c r="BC704" t="n">
        <v>2800</v>
      </c>
      <c r="BD704" t="inlineStr">
        <is>
          <t>Yes</t>
        </is>
      </c>
      <c r="BG704" t="inlineStr">
        <is>
          <t>RULED</t>
        </is>
      </c>
      <c r="BH704" t="n">
        <v>0</v>
      </c>
      <c r="BI704" t="n">
        <v>0</v>
      </c>
      <c r="BJ704" t="inlineStr">
        <is>
          <t xml:space="preserve"> 0</t>
        </is>
      </c>
      <c r="BK704" t="inlineStr">
        <is>
          <t>LINE</t>
        </is>
      </c>
      <c r="BL704" t="inlineStr">
        <is>
          <t>FALCON DRY</t>
        </is>
      </c>
      <c r="BM704" t="inlineStr">
        <is>
          <t>FALCON DRY</t>
        </is>
      </c>
    </row>
    <row r="705">
      <c r="A705" t="n">
        <v>704</v>
      </c>
      <c r="B705" t="inlineStr">
        <is>
          <t>WHALE REEFER</t>
        </is>
      </c>
      <c r="C705" t="inlineStr">
        <is>
          <t>REF000000</t>
        </is>
      </c>
      <c r="D705" t="inlineStr">
        <is>
          <t>REF000000</t>
        </is>
      </c>
      <c r="E705" t="inlineStr">
        <is>
          <t>09-APR-2026</t>
        </is>
      </c>
      <c r="F705" t="inlineStr">
        <is>
          <t>WHALE REEFER</t>
        </is>
      </c>
      <c r="G705" t="inlineStr">
        <is>
          <t>prepaid abroad</t>
        </is>
      </c>
      <c r="H705" t="inlineStr">
        <is>
          <t>DiegoSAM</t>
        </is>
      </c>
      <c r="J705" t="inlineStr">
        <is>
          <t>02-MAY-2026</t>
        </is>
      </c>
      <c r="K705" t="inlineStr">
        <is>
          <t>01-MAY-2026</t>
        </is>
      </c>
      <c r="M705" t="inlineStr">
        <is>
          <t>REF000000</t>
        </is>
      </c>
      <c r="N705" t="inlineStr">
        <is>
          <t>USHOU</t>
        </is>
      </c>
      <c r="O705" t="inlineStr">
        <is>
          <t>USHOU</t>
        </is>
      </c>
      <c r="P705" t="inlineStr">
        <is>
          <t>RUBLT</t>
        </is>
      </c>
      <c r="U705" t="inlineStr">
        <is>
          <t>RUBLT</t>
        </is>
      </c>
      <c r="V705" t="inlineStr">
        <is>
          <t>RUBLT</t>
        </is>
      </c>
      <c r="W705" t="inlineStr">
        <is>
          <t>UNITED STATES</t>
        </is>
      </c>
      <c r="X705" t="inlineStr">
        <is>
          <t>Latin America</t>
        </is>
      </c>
      <c r="Y705" t="inlineStr">
        <is>
          <t>RUSSIA</t>
        </is>
      </c>
      <c r="Z705" t="inlineStr">
        <is>
          <t>External Review</t>
        </is>
      </c>
      <c r="AA705" t="inlineStr">
        <is>
          <t>HUB Shipping-Kaliningrad</t>
        </is>
      </c>
      <c r="AB705" t="inlineStr">
        <is>
          <t>Prepaid</t>
        </is>
      </c>
      <c r="AC705" t="inlineStr">
        <is>
          <t>LI DA XING/VOYAGE 1</t>
        </is>
      </c>
      <c r="AE705" t="inlineStr">
        <is>
          <t>LADEN BOOKING</t>
        </is>
      </c>
      <c r="AF705" t="inlineStr">
        <is>
          <t>Joao RibeiroSAM</t>
        </is>
      </c>
      <c r="AG705" t="inlineStr">
        <is>
          <t>RH40</t>
        </is>
      </c>
      <c r="AH705" t="inlineStr">
        <is>
          <t>NO</t>
        </is>
      </c>
      <c r="AI705" t="n">
        <v>40</v>
      </c>
      <c r="AJ705" t="n">
        <v>0</v>
      </c>
      <c r="AK705" t="n">
        <v>5</v>
      </c>
      <c r="AM705" t="n">
        <v>-22</v>
      </c>
      <c r="AP705" t="inlineStr">
        <is>
          <t>Non Haz</t>
        </is>
      </c>
      <c r="AQ705" t="inlineStr">
        <is>
          <t>CY/CY</t>
        </is>
      </c>
      <c r="AU705" t="n">
        <v>28000</v>
      </c>
      <c r="AV705" t="inlineStr">
        <is>
          <t>FROZEN MEAT</t>
        </is>
      </c>
      <c r="AX705" t="inlineStr">
        <is>
          <t>RSSAM042600041</t>
        </is>
      </c>
      <c r="AZ705" t="n">
        <v>4</v>
      </c>
      <c r="BA705" t="n">
        <v>30</v>
      </c>
      <c r="BB705" t="n">
        <v>10</v>
      </c>
      <c r="BC705" t="n">
        <v>9620</v>
      </c>
      <c r="BD705" t="inlineStr">
        <is>
          <t>No</t>
        </is>
      </c>
      <c r="BG705" t="inlineStr">
        <is>
          <t>USHOU</t>
        </is>
      </c>
      <c r="BH705" t="n">
        <v>0</v>
      </c>
      <c r="BI705" t="n">
        <v>0</v>
      </c>
      <c r="BJ705" t="inlineStr">
        <is>
          <t xml:space="preserve"> 0</t>
        </is>
      </c>
      <c r="BK705" t="inlineStr">
        <is>
          <t>LINE</t>
        </is>
      </c>
      <c r="BL705" t="inlineStr">
        <is>
          <t>WHALE REEFER</t>
        </is>
      </c>
      <c r="BM705" t="inlineStr">
        <is>
          <t>WHALE REEFER</t>
        </is>
      </c>
    </row>
    <row r="706">
      <c r="A706" t="n">
        <v>705</v>
      </c>
      <c r="B706" t="inlineStr">
        <is>
          <t>SEAL REEFER</t>
        </is>
      </c>
      <c r="C706" t="inlineStr">
        <is>
          <t>REF000000</t>
        </is>
      </c>
      <c r="D706" t="inlineStr">
        <is>
          <t>REF000000</t>
        </is>
      </c>
      <c r="E706" t="inlineStr">
        <is>
          <t>09-APR-2026</t>
        </is>
      </c>
      <c r="F706" t="inlineStr">
        <is>
          <t>SEAL REEFER</t>
        </is>
      </c>
      <c r="G706" t="inlineStr">
        <is>
          <t>prepaid abroad</t>
        </is>
      </c>
      <c r="H706" t="inlineStr">
        <is>
          <t>DiegoSAM</t>
        </is>
      </c>
      <c r="J706" t="inlineStr">
        <is>
          <t>20-APR-2026</t>
        </is>
      </c>
      <c r="K706" t="inlineStr">
        <is>
          <t>20-APR-2026</t>
        </is>
      </c>
      <c r="M706" t="inlineStr">
        <is>
          <t>REF000000</t>
        </is>
      </c>
      <c r="N706" t="inlineStr">
        <is>
          <t>USHOU</t>
        </is>
      </c>
      <c r="O706" t="inlineStr">
        <is>
          <t>USHOU</t>
        </is>
      </c>
      <c r="P706" t="inlineStr">
        <is>
          <t>RUBLT</t>
        </is>
      </c>
      <c r="U706" t="inlineStr">
        <is>
          <t>RUBLT</t>
        </is>
      </c>
      <c r="V706" t="inlineStr">
        <is>
          <t>RUBLT</t>
        </is>
      </c>
      <c r="W706" t="inlineStr">
        <is>
          <t>UNITED STATES</t>
        </is>
      </c>
      <c r="X706" t="inlineStr">
        <is>
          <t>Latin America</t>
        </is>
      </c>
      <c r="Y706" t="inlineStr">
        <is>
          <t>RUSSIA</t>
        </is>
      </c>
      <c r="Z706" t="inlineStr">
        <is>
          <t>External Review</t>
        </is>
      </c>
      <c r="AA706" t="inlineStr">
        <is>
          <t>HUB Shipping-Kaliningrad</t>
        </is>
      </c>
      <c r="AB706" t="inlineStr">
        <is>
          <t>Prepaid</t>
        </is>
      </c>
      <c r="AC706" t="inlineStr">
        <is>
          <t>VENUS / VOYAGE 2</t>
        </is>
      </c>
      <c r="AE706" t="inlineStr">
        <is>
          <t>LADEN BOOKING</t>
        </is>
      </c>
      <c r="AF706" t="inlineStr">
        <is>
          <t>Joao RibeiroSAM</t>
        </is>
      </c>
      <c r="AG706" t="inlineStr">
        <is>
          <t>RH40</t>
        </is>
      </c>
      <c r="AH706" t="inlineStr">
        <is>
          <t>NO</t>
        </is>
      </c>
      <c r="AI706" t="n">
        <v>40</v>
      </c>
      <c r="AJ706" t="n">
        <v>0</v>
      </c>
      <c r="AK706" t="n">
        <v>10</v>
      </c>
      <c r="AM706" t="n">
        <v>-22</v>
      </c>
      <c r="AP706" t="inlineStr">
        <is>
          <t>Non Haz</t>
        </is>
      </c>
      <c r="AQ706" t="inlineStr">
        <is>
          <t>CY/CY</t>
        </is>
      </c>
      <c r="AU706" t="n">
        <v>28000</v>
      </c>
      <c r="AV706" t="inlineStr">
        <is>
          <t>FROZEN MEAT</t>
        </is>
      </c>
      <c r="AX706" t="inlineStr">
        <is>
          <t>RSSAM042600041</t>
        </is>
      </c>
      <c r="AZ706" t="n">
        <v>4</v>
      </c>
      <c r="BA706" t="n">
        <v>30</v>
      </c>
      <c r="BB706" t="n">
        <v>10</v>
      </c>
      <c r="BC706" t="n">
        <v>9620</v>
      </c>
      <c r="BD706" t="inlineStr">
        <is>
          <t>No</t>
        </is>
      </c>
      <c r="BG706" t="inlineStr">
        <is>
          <t>USHOU</t>
        </is>
      </c>
      <c r="BH706" t="n">
        <v>0</v>
      </c>
      <c r="BI706" t="n">
        <v>0</v>
      </c>
      <c r="BJ706" t="inlineStr">
        <is>
          <t xml:space="preserve"> 0</t>
        </is>
      </c>
      <c r="BK706" t="inlineStr">
        <is>
          <t>LINE</t>
        </is>
      </c>
      <c r="BL706" t="inlineStr">
        <is>
          <t>SEAL REEFER</t>
        </is>
      </c>
      <c r="BM706" t="inlineStr">
        <is>
          <t>SEAL REEFER</t>
        </is>
      </c>
    </row>
    <row r="707">
      <c r="A707" t="n">
        <v>706</v>
      </c>
      <c r="B707" t="inlineStr">
        <is>
          <t>FOX DRY</t>
        </is>
      </c>
      <c r="C707" t="inlineStr">
        <is>
          <t>REF000000</t>
        </is>
      </c>
      <c r="D707" t="inlineStr">
        <is>
          <t>REF000000</t>
        </is>
      </c>
      <c r="E707" t="inlineStr">
        <is>
          <t>09-APR-2026</t>
        </is>
      </c>
      <c r="F707" t="inlineStr">
        <is>
          <t>FOX DRY</t>
        </is>
      </c>
      <c r="G707" t="inlineStr">
        <is>
          <t>PREPAID ABROAD</t>
        </is>
      </c>
      <c r="H707" t="inlineStr">
        <is>
          <t>DiegoSAM</t>
        </is>
      </c>
      <c r="J707" t="inlineStr">
        <is>
          <t>23-APR-2026</t>
        </is>
      </c>
      <c r="K707" t="inlineStr">
        <is>
          <t>23-APR-2026</t>
        </is>
      </c>
      <c r="M707" t="inlineStr">
        <is>
          <t>REF000000</t>
        </is>
      </c>
      <c r="N707" t="inlineStr">
        <is>
          <t>USNFK</t>
        </is>
      </c>
      <c r="O707" t="inlineStr">
        <is>
          <t>USNFK</t>
        </is>
      </c>
      <c r="P707" t="inlineStr">
        <is>
          <t>RULED</t>
        </is>
      </c>
      <c r="U707" t="inlineStr">
        <is>
          <t>RULED</t>
        </is>
      </c>
      <c r="V707" t="inlineStr">
        <is>
          <t>RULED</t>
        </is>
      </c>
      <c r="W707" t="inlineStr">
        <is>
          <t>UNITED STATES</t>
        </is>
      </c>
      <c r="X707" t="inlineStr">
        <is>
          <t>Latin America</t>
        </is>
      </c>
      <c r="Y707" t="inlineStr">
        <is>
          <t>RUSSIA</t>
        </is>
      </c>
      <c r="Z707" t="inlineStr">
        <is>
          <t>External Review</t>
        </is>
      </c>
      <c r="AA707" t="inlineStr">
        <is>
          <t>HUB SHIPPING LLC-LED</t>
        </is>
      </c>
      <c r="AB707" t="inlineStr">
        <is>
          <t>Prepaid</t>
        </is>
      </c>
      <c r="AC707" t="inlineStr">
        <is>
          <t>VENUS / VOYAGE 2</t>
        </is>
      </c>
      <c r="AE707" t="inlineStr">
        <is>
          <t>LADEN BOOKING</t>
        </is>
      </c>
      <c r="AF707" t="inlineStr">
        <is>
          <t>Maria JessicaSAM</t>
        </is>
      </c>
      <c r="AG707" t="inlineStr">
        <is>
          <t>DC20</t>
        </is>
      </c>
      <c r="AH707" t="inlineStr">
        <is>
          <t>NO</t>
        </is>
      </c>
      <c r="AI707" t="n">
        <v>20</v>
      </c>
      <c r="AJ707" t="n">
        <v>1</v>
      </c>
      <c r="AK707" t="n">
        <v>0</v>
      </c>
      <c r="AP707" t="inlineStr">
        <is>
          <t>Non Haz</t>
        </is>
      </c>
      <c r="AQ707" t="inlineStr">
        <is>
          <t>CY/CY</t>
        </is>
      </c>
      <c r="AU707" t="n">
        <v>22000</v>
      </c>
      <c r="AV707" t="inlineStr">
        <is>
          <t>COFFEE</t>
        </is>
      </c>
      <c r="AX707" t="inlineStr">
        <is>
          <t>RSSAM042600028</t>
        </is>
      </c>
      <c r="AZ707" t="n">
        <v>0</v>
      </c>
      <c r="BA707" t="n">
        <v>14</v>
      </c>
      <c r="BB707" t="n">
        <v>14</v>
      </c>
      <c r="BC707" t="n">
        <v>3200</v>
      </c>
      <c r="BD707" t="inlineStr">
        <is>
          <t>No</t>
        </is>
      </c>
      <c r="BG707" t="inlineStr">
        <is>
          <t>USNFK</t>
        </is>
      </c>
      <c r="BH707" t="n">
        <v>0</v>
      </c>
      <c r="BI707" t="n">
        <v>0</v>
      </c>
      <c r="BJ707" t="inlineStr">
        <is>
          <t xml:space="preserve"> 0</t>
        </is>
      </c>
      <c r="BK707" t="inlineStr">
        <is>
          <t>LINE</t>
        </is>
      </c>
      <c r="BL707" t="inlineStr">
        <is>
          <t>FOX DRY</t>
        </is>
      </c>
      <c r="BM707" t="inlineStr">
        <is>
          <t>FOX DRY</t>
        </is>
      </c>
    </row>
    <row r="708">
      <c r="A708" t="n">
        <v>707</v>
      </c>
      <c r="B708" t="inlineStr">
        <is>
          <t>DOLPHIN REEFER</t>
        </is>
      </c>
      <c r="C708" t="inlineStr">
        <is>
          <t>REF000000</t>
        </is>
      </c>
      <c r="D708" t="inlineStr">
        <is>
          <t>REF000000</t>
        </is>
      </c>
      <c r="E708" t="inlineStr">
        <is>
          <t>09-APR-2026</t>
        </is>
      </c>
      <c r="F708" t="inlineStr">
        <is>
          <t>DOLPHIN REEFER</t>
        </is>
      </c>
      <c r="G708" t="inlineStr">
        <is>
          <t>PREPAID ABROAD</t>
        </is>
      </c>
      <c r="H708" t="inlineStr">
        <is>
          <t>DiegoSAM</t>
        </is>
      </c>
      <c r="J708" t="inlineStr">
        <is>
          <t>20-APR-2026</t>
        </is>
      </c>
      <c r="K708" t="inlineStr">
        <is>
          <t>20-APR-2026</t>
        </is>
      </c>
      <c r="M708" t="inlineStr">
        <is>
          <t>REF000000</t>
        </is>
      </c>
      <c r="N708" t="inlineStr">
        <is>
          <t>USHOU</t>
        </is>
      </c>
      <c r="O708" t="inlineStr">
        <is>
          <t>USHOU</t>
        </is>
      </c>
      <c r="P708" t="inlineStr">
        <is>
          <t>RULED</t>
        </is>
      </c>
      <c r="U708" t="inlineStr">
        <is>
          <t>RULED</t>
        </is>
      </c>
      <c r="V708" t="inlineStr">
        <is>
          <t>RULED</t>
        </is>
      </c>
      <c r="W708" t="inlineStr">
        <is>
          <t>UNITED STATES</t>
        </is>
      </c>
      <c r="X708" t="inlineStr">
        <is>
          <t>Latin America</t>
        </is>
      </c>
      <c r="Y708" t="inlineStr">
        <is>
          <t>RUSSIA</t>
        </is>
      </c>
      <c r="Z708" t="inlineStr">
        <is>
          <t>External Review</t>
        </is>
      </c>
      <c r="AA708" t="inlineStr">
        <is>
          <t>HUB SHIPPING LLC-LED</t>
        </is>
      </c>
      <c r="AB708" t="inlineStr">
        <is>
          <t>Prepaid</t>
        </is>
      </c>
      <c r="AC708" t="inlineStr">
        <is>
          <t>VENUS / VOYAGE 2</t>
        </is>
      </c>
      <c r="AE708" t="inlineStr">
        <is>
          <t>LADEN BOOKING</t>
        </is>
      </c>
      <c r="AF708" t="inlineStr">
        <is>
          <t>Joao RibeiroSAM</t>
        </is>
      </c>
      <c r="AG708" t="inlineStr">
        <is>
          <t>RH40</t>
        </is>
      </c>
      <c r="AH708" t="inlineStr">
        <is>
          <t>NO</t>
        </is>
      </c>
      <c r="AI708" t="n">
        <v>40</v>
      </c>
      <c r="AJ708" t="n">
        <v>0</v>
      </c>
      <c r="AK708" t="n">
        <v>2</v>
      </c>
      <c r="AM708" t="n">
        <v>0</v>
      </c>
      <c r="AN708" t="n">
        <v>90</v>
      </c>
      <c r="AO708" t="n">
        <v>40</v>
      </c>
      <c r="AP708" t="inlineStr">
        <is>
          <t>Non Haz</t>
        </is>
      </c>
      <c r="AQ708" t="inlineStr">
        <is>
          <t>CY/CY</t>
        </is>
      </c>
      <c r="AU708" t="n">
        <v>23000</v>
      </c>
      <c r="AV708" t="inlineStr">
        <is>
          <t>APPLE FRUIT</t>
        </is>
      </c>
      <c r="AX708" t="inlineStr">
        <is>
          <t>RSSAM042600024</t>
        </is>
      </c>
      <c r="AZ708" t="n">
        <v>0</v>
      </c>
      <c r="BA708" t="n">
        <v>18</v>
      </c>
      <c r="BB708" t="n">
        <v>10</v>
      </c>
      <c r="BC708" t="n">
        <v>7200</v>
      </c>
      <c r="BD708" t="inlineStr">
        <is>
          <t>No</t>
        </is>
      </c>
      <c r="BG708" t="inlineStr">
        <is>
          <t>USHOU</t>
        </is>
      </c>
      <c r="BH708" t="n">
        <v>0</v>
      </c>
      <c r="BI708" t="n">
        <v>0</v>
      </c>
      <c r="BJ708" t="inlineStr">
        <is>
          <t xml:space="preserve"> 0</t>
        </is>
      </c>
      <c r="BK708" t="inlineStr">
        <is>
          <t>LINE</t>
        </is>
      </c>
      <c r="BL708" t="inlineStr">
        <is>
          <t>DOLPHIN REEFER</t>
        </is>
      </c>
      <c r="BM708" t="inlineStr">
        <is>
          <t>DOLPHIN REEFER</t>
        </is>
      </c>
    </row>
    <row r="709">
      <c r="A709" t="n">
        <v>708</v>
      </c>
      <c r="B709" t="inlineStr">
        <is>
          <t>MARLIN REEFER</t>
        </is>
      </c>
      <c r="C709" t="inlineStr">
        <is>
          <t>REF000000</t>
        </is>
      </c>
      <c r="D709" t="inlineStr">
        <is>
          <t>REF000000</t>
        </is>
      </c>
      <c r="E709" t="inlineStr">
        <is>
          <t>09-APR-2026</t>
        </is>
      </c>
      <c r="F709" t="inlineStr">
        <is>
          <t>MARLIN REEFER</t>
        </is>
      </c>
      <c r="G709" t="inlineStr">
        <is>
          <t>PREPAID ABROAD</t>
        </is>
      </c>
      <c r="H709" t="inlineStr">
        <is>
          <t>DiegoSAM</t>
        </is>
      </c>
      <c r="J709" t="inlineStr">
        <is>
          <t>05-MAY-2026</t>
        </is>
      </c>
      <c r="K709" t="inlineStr">
        <is>
          <t>03-MAY-2026</t>
        </is>
      </c>
      <c r="M709" t="inlineStr">
        <is>
          <t>REF000000</t>
        </is>
      </c>
      <c r="N709" t="inlineStr">
        <is>
          <t>USNFK</t>
        </is>
      </c>
      <c r="O709" t="inlineStr">
        <is>
          <t>USNFK</t>
        </is>
      </c>
      <c r="P709" t="inlineStr">
        <is>
          <t>RULED</t>
        </is>
      </c>
      <c r="U709" t="inlineStr">
        <is>
          <t>RULED</t>
        </is>
      </c>
      <c r="V709" t="inlineStr">
        <is>
          <t>RULED</t>
        </is>
      </c>
      <c r="W709" t="inlineStr">
        <is>
          <t>UNITED STATES</t>
        </is>
      </c>
      <c r="X709" t="inlineStr">
        <is>
          <t>Latin America</t>
        </is>
      </c>
      <c r="Y709" t="inlineStr">
        <is>
          <t>RUSSIA</t>
        </is>
      </c>
      <c r="Z709" t="inlineStr">
        <is>
          <t>External Review</t>
        </is>
      </c>
      <c r="AA709" t="inlineStr">
        <is>
          <t>HUB SHIPPING LLC-LED</t>
        </is>
      </c>
      <c r="AB709" t="inlineStr">
        <is>
          <t>Prepaid</t>
        </is>
      </c>
      <c r="AC709" t="inlineStr">
        <is>
          <t>LI DA XING/VOYAGE 1</t>
        </is>
      </c>
      <c r="AE709" t="inlineStr">
        <is>
          <t>LADEN BOOKING</t>
        </is>
      </c>
      <c r="AF709" t="inlineStr">
        <is>
          <t>Guilherme Souza</t>
        </is>
      </c>
      <c r="AG709" t="inlineStr">
        <is>
          <t>RH40</t>
        </is>
      </c>
      <c r="AH709" t="inlineStr">
        <is>
          <t>NO</t>
        </is>
      </c>
      <c r="AI709" t="n">
        <v>40</v>
      </c>
      <c r="AJ709" t="n">
        <v>0</v>
      </c>
      <c r="AK709" t="n">
        <v>1</v>
      </c>
      <c r="AM709" t="n">
        <v>-18</v>
      </c>
      <c r="AP709" t="inlineStr">
        <is>
          <t>Non Haz</t>
        </is>
      </c>
      <c r="AQ709" t="inlineStr">
        <is>
          <t>CY/CY</t>
        </is>
      </c>
      <c r="AU709" t="n">
        <v>28000</v>
      </c>
      <c r="AV709" t="inlineStr">
        <is>
          <t>FROZEN MEAT</t>
        </is>
      </c>
      <c r="AX709" t="inlineStr">
        <is>
          <t>RSSAM042600029</t>
        </is>
      </c>
      <c r="AZ709" t="n">
        <v>5</v>
      </c>
      <c r="BA709" t="n">
        <v>25</v>
      </c>
      <c r="BB709" t="n">
        <v>15</v>
      </c>
      <c r="BC709" t="n">
        <v>7000</v>
      </c>
      <c r="BD709" t="inlineStr">
        <is>
          <t>No</t>
        </is>
      </c>
      <c r="BG709" t="inlineStr">
        <is>
          <t>USNFK</t>
        </is>
      </c>
      <c r="BH709" t="n">
        <v>0</v>
      </c>
      <c r="BI709" t="n">
        <v>0</v>
      </c>
      <c r="BJ709" t="inlineStr">
        <is>
          <t xml:space="preserve"> 0</t>
        </is>
      </c>
      <c r="BK709" t="inlineStr">
        <is>
          <t>LINE</t>
        </is>
      </c>
      <c r="BL709" t="inlineStr">
        <is>
          <t>MARLIN REEFER</t>
        </is>
      </c>
      <c r="BM709" t="inlineStr">
        <is>
          <t>MARLIN REEFER</t>
        </is>
      </c>
    </row>
    <row r="710">
      <c r="A710" t="n">
        <v>709</v>
      </c>
      <c r="B710" t="inlineStr">
        <is>
          <t>TURTLE REEFER</t>
        </is>
      </c>
      <c r="C710" t="inlineStr">
        <is>
          <t>REF000000</t>
        </is>
      </c>
      <c r="D710" t="inlineStr">
        <is>
          <t>REF000000</t>
        </is>
      </c>
      <c r="E710" t="inlineStr">
        <is>
          <t>09-APR-2026</t>
        </is>
      </c>
      <c r="F710" t="inlineStr">
        <is>
          <t>TURTLE REEFER</t>
        </is>
      </c>
      <c r="G710" t="inlineStr">
        <is>
          <t>PREPAID ABROAD</t>
        </is>
      </c>
      <c r="H710" t="inlineStr">
        <is>
          <t>DiegoSAM</t>
        </is>
      </c>
      <c r="J710" t="inlineStr">
        <is>
          <t>05-MAY-2026</t>
        </is>
      </c>
      <c r="K710" t="inlineStr">
        <is>
          <t>03-MAY-2026</t>
        </is>
      </c>
      <c r="M710" t="inlineStr">
        <is>
          <t>REF000000</t>
        </is>
      </c>
      <c r="N710" t="inlineStr">
        <is>
          <t>USNFK</t>
        </is>
      </c>
      <c r="O710" t="inlineStr">
        <is>
          <t>USNFK</t>
        </is>
      </c>
      <c r="P710" t="inlineStr">
        <is>
          <t>RULED</t>
        </is>
      </c>
      <c r="U710" t="inlineStr">
        <is>
          <t>RULED</t>
        </is>
      </c>
      <c r="V710" t="inlineStr">
        <is>
          <t>RULED</t>
        </is>
      </c>
      <c r="W710" t="inlineStr">
        <is>
          <t>UNITED STATES</t>
        </is>
      </c>
      <c r="X710" t="inlineStr">
        <is>
          <t>Latin America</t>
        </is>
      </c>
      <c r="Y710" t="inlineStr">
        <is>
          <t>RUSSIA</t>
        </is>
      </c>
      <c r="Z710" t="inlineStr">
        <is>
          <t>External Review</t>
        </is>
      </c>
      <c r="AA710" t="inlineStr">
        <is>
          <t>HUB SHIPPING LLC-LED</t>
        </is>
      </c>
      <c r="AB710" t="inlineStr">
        <is>
          <t>Prepaid</t>
        </is>
      </c>
      <c r="AC710" t="inlineStr">
        <is>
          <t>LI DA XING/VOYAGE 1</t>
        </is>
      </c>
      <c r="AE710" t="inlineStr">
        <is>
          <t>LADEN BOOKING</t>
        </is>
      </c>
      <c r="AF710" t="inlineStr">
        <is>
          <t>Guilherme Souza</t>
        </is>
      </c>
      <c r="AG710" t="inlineStr">
        <is>
          <t>RH40</t>
        </is>
      </c>
      <c r="AH710" t="inlineStr">
        <is>
          <t>NO</t>
        </is>
      </c>
      <c r="AI710" t="n">
        <v>40</v>
      </c>
      <c r="AJ710" t="n">
        <v>0</v>
      </c>
      <c r="AK710" t="n">
        <v>1</v>
      </c>
      <c r="AM710" t="n">
        <v>-18</v>
      </c>
      <c r="AP710" t="inlineStr">
        <is>
          <t>Non Haz</t>
        </is>
      </c>
      <c r="AQ710" t="inlineStr">
        <is>
          <t>CY/CY</t>
        </is>
      </c>
      <c r="AU710" t="n">
        <v>28000</v>
      </c>
      <c r="AV710" t="inlineStr">
        <is>
          <t>FROZEN MEAT</t>
        </is>
      </c>
      <c r="AX710" t="inlineStr">
        <is>
          <t>RSSAM042600029</t>
        </is>
      </c>
      <c r="AZ710" t="n">
        <v>5</v>
      </c>
      <c r="BA710" t="n">
        <v>25</v>
      </c>
      <c r="BB710" t="n">
        <v>15</v>
      </c>
      <c r="BC710" t="n">
        <v>7000</v>
      </c>
      <c r="BD710" t="inlineStr">
        <is>
          <t>No</t>
        </is>
      </c>
      <c r="BG710" t="inlineStr">
        <is>
          <t>USNFK</t>
        </is>
      </c>
      <c r="BH710" t="n">
        <v>0</v>
      </c>
      <c r="BI710" t="n">
        <v>0</v>
      </c>
      <c r="BJ710" t="inlineStr">
        <is>
          <t xml:space="preserve"> 0</t>
        </is>
      </c>
      <c r="BK710" t="inlineStr">
        <is>
          <t>LINE</t>
        </is>
      </c>
      <c r="BL710" t="inlineStr">
        <is>
          <t>TURTLE REEFER</t>
        </is>
      </c>
      <c r="BM710" t="inlineStr">
        <is>
          <t>TURTLE REEFER</t>
        </is>
      </c>
    </row>
    <row r="711">
      <c r="A711" t="n">
        <v>710</v>
      </c>
      <c r="B711" t="inlineStr">
        <is>
          <t>ORCA REEFER</t>
        </is>
      </c>
      <c r="C711" t="inlineStr">
        <is>
          <t>REF000000</t>
        </is>
      </c>
      <c r="D711" t="inlineStr">
        <is>
          <t>REF000000</t>
        </is>
      </c>
      <c r="E711" t="inlineStr">
        <is>
          <t>09-APR-2026</t>
        </is>
      </c>
      <c r="F711" t="inlineStr">
        <is>
          <t>ORCA REEFER</t>
        </is>
      </c>
      <c r="G711" t="inlineStr">
        <is>
          <t>PREPAID</t>
        </is>
      </c>
      <c r="H711" t="inlineStr">
        <is>
          <t>DiegoSAM</t>
        </is>
      </c>
      <c r="J711" t="inlineStr">
        <is>
          <t>20-APR-2026</t>
        </is>
      </c>
      <c r="K711" t="inlineStr">
        <is>
          <t>20-APR-2026</t>
        </is>
      </c>
      <c r="M711" t="inlineStr">
        <is>
          <t>REF000000</t>
        </is>
      </c>
      <c r="N711" t="inlineStr">
        <is>
          <t>USHOU</t>
        </is>
      </c>
      <c r="O711" t="inlineStr">
        <is>
          <t>USHOU</t>
        </is>
      </c>
      <c r="P711" t="inlineStr">
        <is>
          <t>RULED</t>
        </is>
      </c>
      <c r="U711" t="inlineStr">
        <is>
          <t>RULED</t>
        </is>
      </c>
      <c r="V711" t="inlineStr">
        <is>
          <t>RULED</t>
        </is>
      </c>
      <c r="W711" t="inlineStr">
        <is>
          <t>UNITED STATES</t>
        </is>
      </c>
      <c r="X711" t="inlineStr">
        <is>
          <t>Latin America</t>
        </is>
      </c>
      <c r="Y711" t="inlineStr">
        <is>
          <t>RUSSIA</t>
        </is>
      </c>
      <c r="Z711" t="inlineStr">
        <is>
          <t>External Review</t>
        </is>
      </c>
      <c r="AA711" t="inlineStr">
        <is>
          <t>HUB SHIPPING LLC-LED</t>
        </is>
      </c>
      <c r="AB711" t="inlineStr">
        <is>
          <t>Prepaid</t>
        </is>
      </c>
      <c r="AC711" t="inlineStr">
        <is>
          <t>VENUS / VOYAGE 2</t>
        </is>
      </c>
      <c r="AE711" t="inlineStr">
        <is>
          <t>LADEN BOOKING</t>
        </is>
      </c>
      <c r="AF711" t="inlineStr">
        <is>
          <t>Guilherme Souza</t>
        </is>
      </c>
      <c r="AG711" t="inlineStr">
        <is>
          <t>RH40</t>
        </is>
      </c>
      <c r="AH711" t="inlineStr">
        <is>
          <t>NO</t>
        </is>
      </c>
      <c r="AI711" t="n">
        <v>40</v>
      </c>
      <c r="AJ711" t="n">
        <v>0</v>
      </c>
      <c r="AK711" t="n">
        <v>6</v>
      </c>
      <c r="AM711" t="n">
        <v>-6</v>
      </c>
      <c r="AP711" t="inlineStr">
        <is>
          <t>Non Haz</t>
        </is>
      </c>
      <c r="AQ711" t="inlineStr">
        <is>
          <t>CY/CY</t>
        </is>
      </c>
      <c r="AU711" t="n">
        <v>28000</v>
      </c>
      <c r="AV711" t="inlineStr">
        <is>
          <t>FROZEN MEAT</t>
        </is>
      </c>
      <c r="AX711" t="inlineStr">
        <is>
          <t>RSSAM042600075</t>
        </is>
      </c>
      <c r="AZ711" t="n">
        <v>0</v>
      </c>
      <c r="BA711" t="n">
        <v>20</v>
      </c>
      <c r="BB711" t="n">
        <v>5</v>
      </c>
      <c r="BC711" t="n">
        <v>7600</v>
      </c>
      <c r="BD711" t="inlineStr">
        <is>
          <t>No</t>
        </is>
      </c>
      <c r="BG711" t="inlineStr">
        <is>
          <t>USHOU</t>
        </is>
      </c>
      <c r="BH711" t="n">
        <v>0</v>
      </c>
      <c r="BI711" t="n">
        <v>0</v>
      </c>
      <c r="BJ711" t="inlineStr">
        <is>
          <t xml:space="preserve"> 0</t>
        </is>
      </c>
      <c r="BK711" t="inlineStr">
        <is>
          <t>LINE</t>
        </is>
      </c>
      <c r="BL711" t="inlineStr">
        <is>
          <t>ORCA REEFER</t>
        </is>
      </c>
      <c r="BM711" t="inlineStr">
        <is>
          <t>ORCA REEFER</t>
        </is>
      </c>
    </row>
    <row r="712">
      <c r="A712" t="n">
        <v>711</v>
      </c>
      <c r="B712" t="inlineStr">
        <is>
          <t>WHALE REEFER</t>
        </is>
      </c>
      <c r="C712" t="inlineStr">
        <is>
          <t>REF000000</t>
        </is>
      </c>
      <c r="D712" t="inlineStr">
        <is>
          <t>REF000000</t>
        </is>
      </c>
      <c r="E712" t="inlineStr">
        <is>
          <t>09-APR-2026</t>
        </is>
      </c>
      <c r="F712" t="inlineStr">
        <is>
          <t>WHALE REEFER</t>
        </is>
      </c>
      <c r="G712" t="inlineStr">
        <is>
          <t>PREPAID</t>
        </is>
      </c>
      <c r="H712" t="inlineStr">
        <is>
          <t>DiegoSAM</t>
        </is>
      </c>
      <c r="J712" t="inlineStr">
        <is>
          <t>19-APR-2026</t>
        </is>
      </c>
      <c r="K712" t="inlineStr">
        <is>
          <t>19-APR-2026</t>
        </is>
      </c>
      <c r="M712" t="inlineStr">
        <is>
          <t>REF000000</t>
        </is>
      </c>
      <c r="N712" t="inlineStr">
        <is>
          <t>USNYC</t>
        </is>
      </c>
      <c r="O712" t="inlineStr">
        <is>
          <t>USNYC</t>
        </is>
      </c>
      <c r="P712" t="inlineStr">
        <is>
          <t>RUBLT</t>
        </is>
      </c>
      <c r="U712" t="inlineStr">
        <is>
          <t>RUBLT</t>
        </is>
      </c>
      <c r="V712" t="inlineStr">
        <is>
          <t>RUBLT</t>
        </is>
      </c>
      <c r="W712" t="inlineStr">
        <is>
          <t>UNITED STATES</t>
        </is>
      </c>
      <c r="X712" t="inlineStr">
        <is>
          <t>Latin America</t>
        </is>
      </c>
      <c r="Y712" t="inlineStr">
        <is>
          <t>RUSSIA</t>
        </is>
      </c>
      <c r="Z712" t="inlineStr">
        <is>
          <t>External Review</t>
        </is>
      </c>
      <c r="AA712" t="inlineStr">
        <is>
          <t>HUB Shipping-Kaliningrad</t>
        </is>
      </c>
      <c r="AB712" t="inlineStr">
        <is>
          <t>Prepaid</t>
        </is>
      </c>
      <c r="AC712" t="inlineStr">
        <is>
          <t>VENUS / VOYAGE 2</t>
        </is>
      </c>
      <c r="AE712" t="inlineStr">
        <is>
          <t>LADEN BOOKING</t>
        </is>
      </c>
      <c r="AF712" t="inlineStr">
        <is>
          <t>Guilherme Souza</t>
        </is>
      </c>
      <c r="AG712" t="inlineStr">
        <is>
          <t>RH40</t>
        </is>
      </c>
      <c r="AH712" t="inlineStr">
        <is>
          <t>NO</t>
        </is>
      </c>
      <c r="AI712" t="n">
        <v>40</v>
      </c>
      <c r="AJ712" t="n">
        <v>0</v>
      </c>
      <c r="AK712" t="n">
        <v>1</v>
      </c>
      <c r="AM712" t="n">
        <v>-22</v>
      </c>
      <c r="AP712" t="inlineStr">
        <is>
          <t>Non Haz</t>
        </is>
      </c>
      <c r="AQ712" t="inlineStr">
        <is>
          <t>CY/CY</t>
        </is>
      </c>
      <c r="AU712" t="n">
        <v>28000</v>
      </c>
      <c r="AV712" t="inlineStr">
        <is>
          <t>FROZEN MEAT</t>
        </is>
      </c>
      <c r="AX712" t="inlineStr">
        <is>
          <t>RSSAM042600034</t>
        </is>
      </c>
      <c r="AZ712" t="n">
        <v>0</v>
      </c>
      <c r="BA712" t="n">
        <v>25</v>
      </c>
      <c r="BB712" t="n">
        <v>15</v>
      </c>
      <c r="BC712" t="n">
        <v>8600</v>
      </c>
      <c r="BD712" t="inlineStr">
        <is>
          <t>No</t>
        </is>
      </c>
      <c r="BG712" t="inlineStr">
        <is>
          <t>USNYC</t>
        </is>
      </c>
      <c r="BH712" t="n">
        <v>0</v>
      </c>
      <c r="BI712" t="n">
        <v>0</v>
      </c>
      <c r="BJ712" t="inlineStr">
        <is>
          <t xml:space="preserve"> 0</t>
        </is>
      </c>
      <c r="BK712" t="inlineStr">
        <is>
          <t>LINE</t>
        </is>
      </c>
      <c r="BL712" t="inlineStr">
        <is>
          <t>WHALE REEFER</t>
        </is>
      </c>
      <c r="BM712" t="inlineStr">
        <is>
          <t>WHALE REEFER</t>
        </is>
      </c>
    </row>
    <row r="713">
      <c r="A713" t="n">
        <v>712</v>
      </c>
      <c r="B713" t="inlineStr">
        <is>
          <t>SEAL REEFER</t>
        </is>
      </c>
      <c r="C713" t="inlineStr">
        <is>
          <t>REF000000</t>
        </is>
      </c>
      <c r="D713" t="inlineStr">
        <is>
          <t>REF000000</t>
        </is>
      </c>
      <c r="E713" t="inlineStr">
        <is>
          <t>09-APR-2026</t>
        </is>
      </c>
      <c r="F713" t="inlineStr">
        <is>
          <t>SEAL REEFER</t>
        </is>
      </c>
      <c r="G713" t="inlineStr">
        <is>
          <t>PREPAID</t>
        </is>
      </c>
      <c r="H713" t="inlineStr">
        <is>
          <t>DiegoSAM</t>
        </is>
      </c>
      <c r="J713" t="inlineStr">
        <is>
          <t>19-APR-2026</t>
        </is>
      </c>
      <c r="K713" t="inlineStr">
        <is>
          <t>19-APR-2026</t>
        </is>
      </c>
      <c r="M713" t="inlineStr">
        <is>
          <t>REF000000</t>
        </is>
      </c>
      <c r="N713" t="inlineStr">
        <is>
          <t>USNYC</t>
        </is>
      </c>
      <c r="O713" t="inlineStr">
        <is>
          <t>USNYC</t>
        </is>
      </c>
      <c r="P713" t="inlineStr">
        <is>
          <t>RUBLT</t>
        </is>
      </c>
      <c r="U713" t="inlineStr">
        <is>
          <t>RUBLT</t>
        </is>
      </c>
      <c r="V713" t="inlineStr">
        <is>
          <t>RUBLT</t>
        </is>
      </c>
      <c r="W713" t="inlineStr">
        <is>
          <t>UNITED STATES</t>
        </is>
      </c>
      <c r="X713" t="inlineStr">
        <is>
          <t>Latin America</t>
        </is>
      </c>
      <c r="Y713" t="inlineStr">
        <is>
          <t>RUSSIA</t>
        </is>
      </c>
      <c r="Z713" t="inlineStr">
        <is>
          <t>External Review</t>
        </is>
      </c>
      <c r="AA713" t="inlineStr">
        <is>
          <t>HUB Shipping-Kaliningrad</t>
        </is>
      </c>
      <c r="AB713" t="inlineStr">
        <is>
          <t>Prepaid</t>
        </is>
      </c>
      <c r="AC713" t="inlineStr">
        <is>
          <t>VENUS / VOYAGE 2</t>
        </is>
      </c>
      <c r="AE713" t="inlineStr">
        <is>
          <t>LADEN BOOKING</t>
        </is>
      </c>
      <c r="AF713" t="inlineStr">
        <is>
          <t>Guilherme Souza</t>
        </is>
      </c>
      <c r="AG713" t="inlineStr">
        <is>
          <t>RH40</t>
        </is>
      </c>
      <c r="AH713" t="inlineStr">
        <is>
          <t>NO</t>
        </is>
      </c>
      <c r="AI713" t="n">
        <v>40</v>
      </c>
      <c r="AJ713" t="n">
        <v>0</v>
      </c>
      <c r="AK713" t="n">
        <v>1</v>
      </c>
      <c r="AL713" t="inlineStr">
        <is>
          <t>ANON0000000</t>
        </is>
      </c>
      <c r="AM713" t="n">
        <v>-22</v>
      </c>
      <c r="AP713" t="inlineStr">
        <is>
          <t>Non Haz</t>
        </is>
      </c>
      <c r="AQ713" t="inlineStr">
        <is>
          <t>CY/CY</t>
        </is>
      </c>
      <c r="AT713" t="inlineStr">
        <is>
          <t>REF000000</t>
        </is>
      </c>
      <c r="AU713" t="n">
        <v>28000</v>
      </c>
      <c r="AV713" t="inlineStr">
        <is>
          <t>FROZEN MEAT</t>
        </is>
      </c>
      <c r="AX713" t="inlineStr">
        <is>
          <t>RSSAM042600034</t>
        </is>
      </c>
      <c r="AZ713" t="n">
        <v>0</v>
      </c>
      <c r="BA713" t="n">
        <v>25</v>
      </c>
      <c r="BB713" t="n">
        <v>15</v>
      </c>
      <c r="BC713" t="n">
        <v>8600</v>
      </c>
      <c r="BD713" t="inlineStr">
        <is>
          <t>No</t>
        </is>
      </c>
      <c r="BG713" t="inlineStr">
        <is>
          <t>USNYC</t>
        </is>
      </c>
      <c r="BH713" t="n">
        <v>0</v>
      </c>
      <c r="BI713" t="n">
        <v>1</v>
      </c>
      <c r="BJ713" t="n">
        <v>8600</v>
      </c>
      <c r="BK713" t="inlineStr">
        <is>
          <t>LINE</t>
        </is>
      </c>
      <c r="BL713" t="inlineStr">
        <is>
          <t>SEAL REEFER</t>
        </is>
      </c>
      <c r="BM713" t="inlineStr">
        <is>
          <t>SEAL REEFER</t>
        </is>
      </c>
    </row>
    <row r="714">
      <c r="A714" t="n">
        <v>713</v>
      </c>
      <c r="B714" t="inlineStr">
        <is>
          <t>SHARK REEFER</t>
        </is>
      </c>
      <c r="C714" t="inlineStr">
        <is>
          <t>REF000000</t>
        </is>
      </c>
      <c r="D714" t="inlineStr">
        <is>
          <t>REF000000</t>
        </is>
      </c>
      <c r="E714" t="inlineStr">
        <is>
          <t>09-APR-2026</t>
        </is>
      </c>
      <c r="F714" t="inlineStr">
        <is>
          <t>SHARK REEFER</t>
        </is>
      </c>
      <c r="G714" t="inlineStr">
        <is>
          <t>PREPAID</t>
        </is>
      </c>
      <c r="H714" t="inlineStr">
        <is>
          <t>DiegoSAM</t>
        </is>
      </c>
      <c r="J714" t="inlineStr">
        <is>
          <t>19-APR-2026</t>
        </is>
      </c>
      <c r="K714" t="inlineStr">
        <is>
          <t>19-APR-2026</t>
        </is>
      </c>
      <c r="M714" t="inlineStr">
        <is>
          <t>REF000000</t>
        </is>
      </c>
      <c r="N714" t="inlineStr">
        <is>
          <t>USNYC</t>
        </is>
      </c>
      <c r="O714" t="inlineStr">
        <is>
          <t>USNYC</t>
        </is>
      </c>
      <c r="P714" t="inlineStr">
        <is>
          <t>RUBLT</t>
        </is>
      </c>
      <c r="U714" t="inlineStr">
        <is>
          <t>RUBLT</t>
        </is>
      </c>
      <c r="V714" t="inlineStr">
        <is>
          <t>RUBLT</t>
        </is>
      </c>
      <c r="W714" t="inlineStr">
        <is>
          <t>UNITED STATES</t>
        </is>
      </c>
      <c r="X714" t="inlineStr">
        <is>
          <t>Latin America</t>
        </is>
      </c>
      <c r="Y714" t="inlineStr">
        <is>
          <t>RUSSIA</t>
        </is>
      </c>
      <c r="Z714" t="inlineStr">
        <is>
          <t>External Review</t>
        </is>
      </c>
      <c r="AA714" t="inlineStr">
        <is>
          <t>HUB Shipping-Kaliningrad</t>
        </is>
      </c>
      <c r="AB714" t="inlineStr">
        <is>
          <t>Prepaid</t>
        </is>
      </c>
      <c r="AC714" t="inlineStr">
        <is>
          <t>VENUS / VOYAGE 2</t>
        </is>
      </c>
      <c r="AE714" t="inlineStr">
        <is>
          <t>LADEN BOOKING</t>
        </is>
      </c>
      <c r="AF714" t="inlineStr">
        <is>
          <t>Guilherme Souza</t>
        </is>
      </c>
      <c r="AG714" t="inlineStr">
        <is>
          <t>RH40</t>
        </is>
      </c>
      <c r="AH714" t="inlineStr">
        <is>
          <t>NO</t>
        </is>
      </c>
      <c r="AI714" t="n">
        <v>40</v>
      </c>
      <c r="AJ714" t="n">
        <v>0</v>
      </c>
      <c r="AK714" t="n">
        <v>1</v>
      </c>
      <c r="AM714" t="n">
        <v>-22</v>
      </c>
      <c r="AP714" t="inlineStr">
        <is>
          <t>Non Haz</t>
        </is>
      </c>
      <c r="AQ714" t="inlineStr">
        <is>
          <t>CY/CY</t>
        </is>
      </c>
      <c r="AU714" t="n">
        <v>28000</v>
      </c>
      <c r="AV714" t="inlineStr">
        <is>
          <t>FROZEN MEAT</t>
        </is>
      </c>
      <c r="AX714" t="inlineStr">
        <is>
          <t>RSSAM042600034</t>
        </is>
      </c>
      <c r="AZ714" t="n">
        <v>0</v>
      </c>
      <c r="BA714" t="n">
        <v>25</v>
      </c>
      <c r="BB714" t="n">
        <v>15</v>
      </c>
      <c r="BC714" t="n">
        <v>8600</v>
      </c>
      <c r="BD714" t="inlineStr">
        <is>
          <t>No</t>
        </is>
      </c>
      <c r="BG714" t="inlineStr">
        <is>
          <t>USNYC</t>
        </is>
      </c>
      <c r="BH714" t="n">
        <v>0</v>
      </c>
      <c r="BI714" t="n">
        <v>0</v>
      </c>
      <c r="BJ714" t="inlineStr">
        <is>
          <t xml:space="preserve"> 0</t>
        </is>
      </c>
      <c r="BK714" t="inlineStr">
        <is>
          <t>LINE</t>
        </is>
      </c>
      <c r="BL714" t="inlineStr">
        <is>
          <t>SHARK REEFER</t>
        </is>
      </c>
      <c r="BM714" t="inlineStr">
        <is>
          <t>SHARK REEFER</t>
        </is>
      </c>
    </row>
    <row r="715">
      <c r="A715" t="n">
        <v>714</v>
      </c>
      <c r="B715" t="inlineStr">
        <is>
          <t>DOLPHIN REEFER</t>
        </is>
      </c>
      <c r="C715" t="inlineStr">
        <is>
          <t>REF000000</t>
        </is>
      </c>
      <c r="D715" t="inlineStr">
        <is>
          <t>REF000000</t>
        </is>
      </c>
      <c r="E715" t="inlineStr">
        <is>
          <t>09-APR-2026</t>
        </is>
      </c>
      <c r="F715" t="inlineStr">
        <is>
          <t>DOLPHIN REEFER</t>
        </is>
      </c>
      <c r="G715" t="inlineStr">
        <is>
          <t>PREPAID</t>
        </is>
      </c>
      <c r="H715" t="inlineStr">
        <is>
          <t>DiegoSAM</t>
        </is>
      </c>
      <c r="J715" t="inlineStr">
        <is>
          <t>19-APR-2026</t>
        </is>
      </c>
      <c r="K715" t="inlineStr">
        <is>
          <t>19-APR-2026</t>
        </is>
      </c>
      <c r="M715" t="inlineStr">
        <is>
          <t>REF000000</t>
        </is>
      </c>
      <c r="N715" t="inlineStr">
        <is>
          <t>USNYC</t>
        </is>
      </c>
      <c r="O715" t="inlineStr">
        <is>
          <t>USNYC</t>
        </is>
      </c>
      <c r="P715" t="inlineStr">
        <is>
          <t>RUBLT</t>
        </is>
      </c>
      <c r="U715" t="inlineStr">
        <is>
          <t>RUBLT</t>
        </is>
      </c>
      <c r="V715" t="inlineStr">
        <is>
          <t>RUBLT</t>
        </is>
      </c>
      <c r="W715" t="inlineStr">
        <is>
          <t>UNITED STATES</t>
        </is>
      </c>
      <c r="X715" t="inlineStr">
        <is>
          <t>Latin America</t>
        </is>
      </c>
      <c r="Y715" t="inlineStr">
        <is>
          <t>RUSSIA</t>
        </is>
      </c>
      <c r="Z715" t="inlineStr">
        <is>
          <t>External Review</t>
        </is>
      </c>
      <c r="AA715" t="inlineStr">
        <is>
          <t>HUB Shipping-Kaliningrad</t>
        </is>
      </c>
      <c r="AB715" t="inlineStr">
        <is>
          <t>Prepaid</t>
        </is>
      </c>
      <c r="AC715" t="inlineStr">
        <is>
          <t>VENUS / VOYAGE 2</t>
        </is>
      </c>
      <c r="AE715" t="inlineStr">
        <is>
          <t>LADEN BOOKING</t>
        </is>
      </c>
      <c r="AF715" t="inlineStr">
        <is>
          <t>Guilherme Souza</t>
        </is>
      </c>
      <c r="AG715" t="inlineStr">
        <is>
          <t>RH40</t>
        </is>
      </c>
      <c r="AH715" t="inlineStr">
        <is>
          <t>NO</t>
        </is>
      </c>
      <c r="AI715" t="n">
        <v>40</v>
      </c>
      <c r="AJ715" t="n">
        <v>0</v>
      </c>
      <c r="AK715" t="n">
        <v>1</v>
      </c>
      <c r="AL715" t="inlineStr">
        <is>
          <t>ANON0000000</t>
        </is>
      </c>
      <c r="AM715" t="n">
        <v>-22</v>
      </c>
      <c r="AP715" t="inlineStr">
        <is>
          <t>Non Haz</t>
        </is>
      </c>
      <c r="AQ715" t="inlineStr">
        <is>
          <t>CY/CY</t>
        </is>
      </c>
      <c r="AT715" t="inlineStr">
        <is>
          <t>REF000000</t>
        </is>
      </c>
      <c r="AU715" t="n">
        <v>28000</v>
      </c>
      <c r="AV715" t="inlineStr">
        <is>
          <t>FROZEN MEAT</t>
        </is>
      </c>
      <c r="AX715" t="inlineStr">
        <is>
          <t>RSSAM042600034</t>
        </is>
      </c>
      <c r="AZ715" t="n">
        <v>0</v>
      </c>
      <c r="BA715" t="n">
        <v>25</v>
      </c>
      <c r="BB715" t="n">
        <v>15</v>
      </c>
      <c r="BC715" t="n">
        <v>8600</v>
      </c>
      <c r="BD715" t="inlineStr">
        <is>
          <t>No</t>
        </is>
      </c>
      <c r="BG715" t="inlineStr">
        <is>
          <t>USNYC</t>
        </is>
      </c>
      <c r="BH715" t="n">
        <v>0</v>
      </c>
      <c r="BI715" t="n">
        <v>1</v>
      </c>
      <c r="BJ715" t="n">
        <v>8600</v>
      </c>
      <c r="BK715" t="inlineStr">
        <is>
          <t>LINE</t>
        </is>
      </c>
      <c r="BL715" t="inlineStr">
        <is>
          <t>DOLPHIN REEFER</t>
        </is>
      </c>
      <c r="BM715" t="inlineStr">
        <is>
          <t>DOLPHIN REEFER</t>
        </is>
      </c>
    </row>
    <row r="716">
      <c r="A716" t="n">
        <v>715</v>
      </c>
      <c r="B716" t="inlineStr">
        <is>
          <t>MARLIN REEFER</t>
        </is>
      </c>
      <c r="C716" t="inlineStr">
        <is>
          <t>REF000000</t>
        </is>
      </c>
      <c r="D716" t="inlineStr">
        <is>
          <t>REF000000</t>
        </is>
      </c>
      <c r="E716" t="inlineStr">
        <is>
          <t>09-APR-2026</t>
        </is>
      </c>
      <c r="F716" t="inlineStr">
        <is>
          <t>MARLIN REEFER</t>
        </is>
      </c>
      <c r="G716" t="inlineStr">
        <is>
          <t>PREPAID</t>
        </is>
      </c>
      <c r="H716" t="inlineStr">
        <is>
          <t>DiegoSAM</t>
        </is>
      </c>
      <c r="J716" t="inlineStr">
        <is>
          <t>19-APR-2026</t>
        </is>
      </c>
      <c r="K716" t="inlineStr">
        <is>
          <t>19-APR-2026</t>
        </is>
      </c>
      <c r="M716" t="inlineStr">
        <is>
          <t>REF000000</t>
        </is>
      </c>
      <c r="N716" t="inlineStr">
        <is>
          <t>USNYC</t>
        </is>
      </c>
      <c r="O716" t="inlineStr">
        <is>
          <t>USNYC</t>
        </is>
      </c>
      <c r="P716" t="inlineStr">
        <is>
          <t>RUBLT</t>
        </is>
      </c>
      <c r="U716" t="inlineStr">
        <is>
          <t>RUBLT</t>
        </is>
      </c>
      <c r="V716" t="inlineStr">
        <is>
          <t>RUBLT</t>
        </is>
      </c>
      <c r="W716" t="inlineStr">
        <is>
          <t>UNITED STATES</t>
        </is>
      </c>
      <c r="X716" t="inlineStr">
        <is>
          <t>Latin America</t>
        </is>
      </c>
      <c r="Y716" t="inlineStr">
        <is>
          <t>RUSSIA</t>
        </is>
      </c>
      <c r="Z716" t="inlineStr">
        <is>
          <t>External Review</t>
        </is>
      </c>
      <c r="AA716" t="inlineStr">
        <is>
          <t>HUB Shipping-Kaliningrad</t>
        </is>
      </c>
      <c r="AB716" t="inlineStr">
        <is>
          <t>Prepaid</t>
        </is>
      </c>
      <c r="AC716" t="inlineStr">
        <is>
          <t>VENUS / VOYAGE 2</t>
        </is>
      </c>
      <c r="AE716" t="inlineStr">
        <is>
          <t>LADEN BOOKING</t>
        </is>
      </c>
      <c r="AF716" t="inlineStr">
        <is>
          <t>Guilherme Souza</t>
        </is>
      </c>
      <c r="AG716" t="inlineStr">
        <is>
          <t>RH40</t>
        </is>
      </c>
      <c r="AH716" t="inlineStr">
        <is>
          <t>NO</t>
        </is>
      </c>
      <c r="AI716" t="n">
        <v>40</v>
      </c>
      <c r="AJ716" t="n">
        <v>0</v>
      </c>
      <c r="AK716" t="n">
        <v>1</v>
      </c>
      <c r="AL716" t="inlineStr">
        <is>
          <t>ANON0000000</t>
        </is>
      </c>
      <c r="AM716" t="n">
        <v>-22</v>
      </c>
      <c r="AP716" t="inlineStr">
        <is>
          <t>Non Haz</t>
        </is>
      </c>
      <c r="AQ716" t="inlineStr">
        <is>
          <t>CY/CY</t>
        </is>
      </c>
      <c r="AT716" t="inlineStr">
        <is>
          <t>REF000000</t>
        </is>
      </c>
      <c r="AU716" t="n">
        <v>28000</v>
      </c>
      <c r="AV716" t="inlineStr">
        <is>
          <t>FROZEN MEAT</t>
        </is>
      </c>
      <c r="AX716" t="inlineStr">
        <is>
          <t>RSSAM042600034</t>
        </is>
      </c>
      <c r="AZ716" t="n">
        <v>0</v>
      </c>
      <c r="BA716" t="n">
        <v>25</v>
      </c>
      <c r="BB716" t="n">
        <v>15</v>
      </c>
      <c r="BC716" t="n">
        <v>8600</v>
      </c>
      <c r="BD716" t="inlineStr">
        <is>
          <t>No</t>
        </is>
      </c>
      <c r="BG716" t="inlineStr">
        <is>
          <t>USNYC</t>
        </is>
      </c>
      <c r="BH716" t="n">
        <v>0</v>
      </c>
      <c r="BI716" t="n">
        <v>1</v>
      </c>
      <c r="BJ716" t="n">
        <v>8600</v>
      </c>
      <c r="BK716" t="inlineStr">
        <is>
          <t>LINE</t>
        </is>
      </c>
      <c r="BL716" t="inlineStr">
        <is>
          <t>MARLIN REEFER</t>
        </is>
      </c>
      <c r="BM716" t="inlineStr">
        <is>
          <t>MARLIN REEFER</t>
        </is>
      </c>
    </row>
    <row r="717">
      <c r="A717" t="n">
        <v>716</v>
      </c>
      <c r="B717" t="inlineStr">
        <is>
          <t>TURTLE REEFER</t>
        </is>
      </c>
      <c r="C717" t="inlineStr">
        <is>
          <t>REF000000</t>
        </is>
      </c>
      <c r="D717" t="inlineStr">
        <is>
          <t>REF000000</t>
        </is>
      </c>
      <c r="E717" t="inlineStr">
        <is>
          <t>09-APR-2026</t>
        </is>
      </c>
      <c r="F717" t="inlineStr">
        <is>
          <t>TURTLE REEFER</t>
        </is>
      </c>
      <c r="G717" t="inlineStr">
        <is>
          <t>PREPAID</t>
        </is>
      </c>
      <c r="H717" t="inlineStr">
        <is>
          <t>DiegoSAM</t>
        </is>
      </c>
      <c r="J717" t="inlineStr">
        <is>
          <t>01-MAY-2026</t>
        </is>
      </c>
      <c r="K717" t="inlineStr">
        <is>
          <t>30-APR-2026</t>
        </is>
      </c>
      <c r="M717" t="inlineStr">
        <is>
          <t>REF000000</t>
        </is>
      </c>
      <c r="N717" t="inlineStr">
        <is>
          <t>USNYC</t>
        </is>
      </c>
      <c r="O717" t="inlineStr">
        <is>
          <t>USNYC</t>
        </is>
      </c>
      <c r="P717" t="inlineStr">
        <is>
          <t>RUBLT</t>
        </is>
      </c>
      <c r="U717" t="inlineStr">
        <is>
          <t>RUBLT</t>
        </is>
      </c>
      <c r="V717" t="inlineStr">
        <is>
          <t>RUBLT</t>
        </is>
      </c>
      <c r="W717" t="inlineStr">
        <is>
          <t>UNITED STATES</t>
        </is>
      </c>
      <c r="X717" t="inlineStr">
        <is>
          <t>Latin America</t>
        </is>
      </c>
      <c r="Y717" t="inlineStr">
        <is>
          <t>RUSSIA</t>
        </is>
      </c>
      <c r="Z717" t="inlineStr">
        <is>
          <t>External Review</t>
        </is>
      </c>
      <c r="AA717" t="inlineStr">
        <is>
          <t>HUB Shipping-Kaliningrad</t>
        </is>
      </c>
      <c r="AB717" t="inlineStr">
        <is>
          <t>Prepaid</t>
        </is>
      </c>
      <c r="AC717" t="inlineStr">
        <is>
          <t>LI DA XING/VOYAGE 1</t>
        </is>
      </c>
      <c r="AE717" t="inlineStr">
        <is>
          <t>LADEN BOOKING</t>
        </is>
      </c>
      <c r="AF717" t="inlineStr">
        <is>
          <t>Guilherme Souza</t>
        </is>
      </c>
      <c r="AG717" t="inlineStr">
        <is>
          <t>RH40</t>
        </is>
      </c>
      <c r="AH717" t="inlineStr">
        <is>
          <t>NO</t>
        </is>
      </c>
      <c r="AI717" t="n">
        <v>40</v>
      </c>
      <c r="AJ717" t="n">
        <v>0</v>
      </c>
      <c r="AK717" t="n">
        <v>1</v>
      </c>
      <c r="AM717" t="n">
        <v>-24</v>
      </c>
      <c r="AP717" t="inlineStr">
        <is>
          <t>Non Haz</t>
        </is>
      </c>
      <c r="AQ717" t="inlineStr">
        <is>
          <t>CY/CY</t>
        </is>
      </c>
      <c r="AU717" t="n">
        <v>28000</v>
      </c>
      <c r="AV717" t="inlineStr">
        <is>
          <t>FROZEN MEAT</t>
        </is>
      </c>
      <c r="AX717" t="inlineStr">
        <is>
          <t>RSSAM042600034</t>
        </is>
      </c>
      <c r="AZ717" t="n">
        <v>0</v>
      </c>
      <c r="BA717" t="n">
        <v>25</v>
      </c>
      <c r="BB717" t="n">
        <v>15</v>
      </c>
      <c r="BC717" t="n">
        <v>8600</v>
      </c>
      <c r="BD717" t="inlineStr">
        <is>
          <t>No</t>
        </is>
      </c>
      <c r="BG717" t="inlineStr">
        <is>
          <t>USNYC</t>
        </is>
      </c>
      <c r="BH717" t="n">
        <v>0</v>
      </c>
      <c r="BI717" t="n">
        <v>0</v>
      </c>
      <c r="BJ717" t="inlineStr">
        <is>
          <t xml:space="preserve"> 0</t>
        </is>
      </c>
      <c r="BK717" t="inlineStr">
        <is>
          <t>LINE</t>
        </is>
      </c>
      <c r="BL717" t="inlineStr">
        <is>
          <t>TURTLE REEFER</t>
        </is>
      </c>
      <c r="BM717" t="inlineStr">
        <is>
          <t>TURTLE REEFER</t>
        </is>
      </c>
    </row>
    <row r="718">
      <c r="A718" t="n">
        <v>717</v>
      </c>
      <c r="B718" t="inlineStr">
        <is>
          <t>ORCA REEFER</t>
        </is>
      </c>
      <c r="C718" t="inlineStr">
        <is>
          <t>REF000000</t>
        </is>
      </c>
      <c r="D718" t="inlineStr">
        <is>
          <t>REF000000</t>
        </is>
      </c>
      <c r="E718" t="inlineStr">
        <is>
          <t>09-APR-2026</t>
        </is>
      </c>
      <c r="F718" t="inlineStr">
        <is>
          <t>ORCA REEFER</t>
        </is>
      </c>
      <c r="G718" t="inlineStr">
        <is>
          <t>PREPAID</t>
        </is>
      </c>
      <c r="H718" t="inlineStr">
        <is>
          <t>DiegoSAM</t>
        </is>
      </c>
      <c r="J718" t="inlineStr">
        <is>
          <t>19-APR-2026</t>
        </is>
      </c>
      <c r="K718" t="inlineStr">
        <is>
          <t>19-APR-2026</t>
        </is>
      </c>
      <c r="M718" t="inlineStr">
        <is>
          <t>REF000000</t>
        </is>
      </c>
      <c r="N718" t="inlineStr">
        <is>
          <t>USNYC</t>
        </is>
      </c>
      <c r="O718" t="inlineStr">
        <is>
          <t>USNYC</t>
        </is>
      </c>
      <c r="P718" t="inlineStr">
        <is>
          <t>RUBLT</t>
        </is>
      </c>
      <c r="U718" t="inlineStr">
        <is>
          <t>RUBLT</t>
        </is>
      </c>
      <c r="V718" t="inlineStr">
        <is>
          <t>RUBLT</t>
        </is>
      </c>
      <c r="W718" t="inlineStr">
        <is>
          <t>UNITED STATES</t>
        </is>
      </c>
      <c r="X718" t="inlineStr">
        <is>
          <t>Latin America</t>
        </is>
      </c>
      <c r="Y718" t="inlineStr">
        <is>
          <t>RUSSIA</t>
        </is>
      </c>
      <c r="Z718" t="inlineStr">
        <is>
          <t>External Review</t>
        </is>
      </c>
      <c r="AA718" t="inlineStr">
        <is>
          <t>HUB Shipping-Kaliningrad</t>
        </is>
      </c>
      <c r="AB718" t="inlineStr">
        <is>
          <t>Prepaid</t>
        </is>
      </c>
      <c r="AC718" t="inlineStr">
        <is>
          <t>VENUS / VOYAGE 2</t>
        </is>
      </c>
      <c r="AE718" t="inlineStr">
        <is>
          <t>LADEN BOOKING</t>
        </is>
      </c>
      <c r="AF718" t="inlineStr">
        <is>
          <t>Guilherme Souza</t>
        </is>
      </c>
      <c r="AG718" t="inlineStr">
        <is>
          <t>RH40</t>
        </is>
      </c>
      <c r="AH718" t="inlineStr">
        <is>
          <t>NO</t>
        </is>
      </c>
      <c r="AI718" t="n">
        <v>40</v>
      </c>
      <c r="AJ718" t="n">
        <v>0</v>
      </c>
      <c r="AK718" t="n">
        <v>1</v>
      </c>
      <c r="AM718" t="n">
        <v>-24</v>
      </c>
      <c r="AP718" t="inlineStr">
        <is>
          <t>Non Haz</t>
        </is>
      </c>
      <c r="AQ718" t="inlineStr">
        <is>
          <t>CY/CY</t>
        </is>
      </c>
      <c r="AU718" t="n">
        <v>28000</v>
      </c>
      <c r="AV718" t="inlineStr">
        <is>
          <t>FROZEN MEAT</t>
        </is>
      </c>
      <c r="AX718" t="inlineStr">
        <is>
          <t>RSSAM042600034</t>
        </is>
      </c>
      <c r="AZ718" t="n">
        <v>0</v>
      </c>
      <c r="BA718" t="n">
        <v>25</v>
      </c>
      <c r="BB718" t="n">
        <v>15</v>
      </c>
      <c r="BC718" t="n">
        <v>8600</v>
      </c>
      <c r="BD718" t="inlineStr">
        <is>
          <t>No</t>
        </is>
      </c>
      <c r="BG718" t="inlineStr">
        <is>
          <t>USNYC</t>
        </is>
      </c>
      <c r="BH718" t="n">
        <v>0</v>
      </c>
      <c r="BI718" t="n">
        <v>0</v>
      </c>
      <c r="BJ718" t="inlineStr">
        <is>
          <t xml:space="preserve"> 0</t>
        </is>
      </c>
      <c r="BK718" t="inlineStr">
        <is>
          <t>LINE</t>
        </is>
      </c>
      <c r="BL718" t="inlineStr">
        <is>
          <t>ORCA REEFER</t>
        </is>
      </c>
      <c r="BM718" t="inlineStr">
        <is>
          <t>ORCA REEFER</t>
        </is>
      </c>
    </row>
    <row r="719">
      <c r="A719" t="n">
        <v>718</v>
      </c>
      <c r="B719" t="inlineStr">
        <is>
          <t>WHALE REEFER</t>
        </is>
      </c>
      <c r="C719" t="inlineStr">
        <is>
          <t>REF000000</t>
        </is>
      </c>
      <c r="D719" t="inlineStr">
        <is>
          <t>REF000000</t>
        </is>
      </c>
      <c r="E719" t="inlineStr">
        <is>
          <t>09-APR-2026</t>
        </is>
      </c>
      <c r="F719" t="inlineStr">
        <is>
          <t>WHALE REEFER</t>
        </is>
      </c>
      <c r="G719" t="inlineStr">
        <is>
          <t>PREPAID ABROAD</t>
        </is>
      </c>
      <c r="H719" t="inlineStr">
        <is>
          <t>DiegoSAM</t>
        </is>
      </c>
      <c r="J719" t="inlineStr">
        <is>
          <t>20-APR-2026</t>
        </is>
      </c>
      <c r="K719" t="inlineStr">
        <is>
          <t>20-APR-2026</t>
        </is>
      </c>
      <c r="M719" t="inlineStr">
        <is>
          <t>REF000000</t>
        </is>
      </c>
      <c r="N719" t="inlineStr">
        <is>
          <t>USHOU</t>
        </is>
      </c>
      <c r="O719" t="inlineStr">
        <is>
          <t>USHOU</t>
        </is>
      </c>
      <c r="P719" t="inlineStr">
        <is>
          <t>RULED</t>
        </is>
      </c>
      <c r="U719" t="inlineStr">
        <is>
          <t>RULED</t>
        </is>
      </c>
      <c r="V719" t="inlineStr">
        <is>
          <t>RULED</t>
        </is>
      </c>
      <c r="W719" t="inlineStr">
        <is>
          <t>UNITED STATES</t>
        </is>
      </c>
      <c r="X719" t="inlineStr">
        <is>
          <t>Latin America</t>
        </is>
      </c>
      <c r="Y719" t="inlineStr">
        <is>
          <t>RUSSIA</t>
        </is>
      </c>
      <c r="Z719" t="inlineStr">
        <is>
          <t>External Review</t>
        </is>
      </c>
      <c r="AA719" t="inlineStr">
        <is>
          <t>HUB SHIPPING LLC-LED</t>
        </is>
      </c>
      <c r="AB719" t="inlineStr">
        <is>
          <t>Prepaid</t>
        </is>
      </c>
      <c r="AC719" t="inlineStr">
        <is>
          <t>VENUS / VOYAGE 2</t>
        </is>
      </c>
      <c r="AE719" t="inlineStr">
        <is>
          <t>LADEN BOOKING</t>
        </is>
      </c>
      <c r="AF719" t="inlineStr">
        <is>
          <t>Guilherme Souza</t>
        </is>
      </c>
      <c r="AG719" t="inlineStr">
        <is>
          <t>RH40</t>
        </is>
      </c>
      <c r="AH719" t="inlineStr">
        <is>
          <t>NO</t>
        </is>
      </c>
      <c r="AI719" t="n">
        <v>40</v>
      </c>
      <c r="AJ719" t="n">
        <v>0</v>
      </c>
      <c r="AK719" t="n">
        <v>1</v>
      </c>
      <c r="AM719" t="n">
        <v>-18</v>
      </c>
      <c r="AP719" t="inlineStr">
        <is>
          <t>Non Haz</t>
        </is>
      </c>
      <c r="AQ719" t="inlineStr">
        <is>
          <t>CY/CY</t>
        </is>
      </c>
      <c r="AU719" t="n">
        <v>28000</v>
      </c>
      <c r="AV719" t="inlineStr">
        <is>
          <t>FROZEN MEAT</t>
        </is>
      </c>
      <c r="AX719" t="inlineStr">
        <is>
          <t>RSSAM042600031</t>
        </is>
      </c>
      <c r="AZ719" t="n">
        <v>5</v>
      </c>
      <c r="BA719" t="n">
        <v>25</v>
      </c>
      <c r="BB719" t="n">
        <v>15</v>
      </c>
      <c r="BC719" t="n">
        <v>7000</v>
      </c>
      <c r="BD719" t="inlineStr">
        <is>
          <t>No</t>
        </is>
      </c>
      <c r="BG719" t="inlineStr">
        <is>
          <t>USHOU</t>
        </is>
      </c>
      <c r="BH719" t="n">
        <v>0</v>
      </c>
      <c r="BI719" t="n">
        <v>0</v>
      </c>
      <c r="BJ719" t="inlineStr">
        <is>
          <t xml:space="preserve"> 0</t>
        </is>
      </c>
      <c r="BK719" t="inlineStr">
        <is>
          <t>LINE</t>
        </is>
      </c>
      <c r="BL719" t="inlineStr">
        <is>
          <t>WHALE REEFER</t>
        </is>
      </c>
      <c r="BM719" t="inlineStr">
        <is>
          <t>WHALE REEFER</t>
        </is>
      </c>
    </row>
    <row r="720">
      <c r="A720" t="n">
        <v>719</v>
      </c>
      <c r="B720" t="inlineStr">
        <is>
          <t>SEAL REEFER</t>
        </is>
      </c>
      <c r="C720" t="inlineStr">
        <is>
          <t>REF000000</t>
        </is>
      </c>
      <c r="D720" t="inlineStr">
        <is>
          <t>REF000000</t>
        </is>
      </c>
      <c r="E720" t="inlineStr">
        <is>
          <t>09-APR-2026</t>
        </is>
      </c>
      <c r="F720" t="inlineStr">
        <is>
          <t>SEAL REEFER</t>
        </is>
      </c>
      <c r="G720" t="inlineStr">
        <is>
          <t>PREPAID ABROAD</t>
        </is>
      </c>
      <c r="H720" t="inlineStr">
        <is>
          <t>DiegoSAM</t>
        </is>
      </c>
      <c r="J720" t="inlineStr">
        <is>
          <t>20-APR-2026</t>
        </is>
      </c>
      <c r="K720" t="inlineStr">
        <is>
          <t>20-APR-2026</t>
        </is>
      </c>
      <c r="M720" t="inlineStr">
        <is>
          <t>REF000000</t>
        </is>
      </c>
      <c r="N720" t="inlineStr">
        <is>
          <t>USHOU</t>
        </is>
      </c>
      <c r="O720" t="inlineStr">
        <is>
          <t>USHOU</t>
        </is>
      </c>
      <c r="P720" t="inlineStr">
        <is>
          <t>RULED</t>
        </is>
      </c>
      <c r="U720" t="inlineStr">
        <is>
          <t>RULED</t>
        </is>
      </c>
      <c r="V720" t="inlineStr">
        <is>
          <t>RULED</t>
        </is>
      </c>
      <c r="W720" t="inlineStr">
        <is>
          <t>UNITED STATES</t>
        </is>
      </c>
      <c r="X720" t="inlineStr">
        <is>
          <t>Latin America</t>
        </is>
      </c>
      <c r="Y720" t="inlineStr">
        <is>
          <t>RUSSIA</t>
        </is>
      </c>
      <c r="Z720" t="inlineStr">
        <is>
          <t>External Review</t>
        </is>
      </c>
      <c r="AA720" t="inlineStr">
        <is>
          <t>HUB SHIPPING LLC-LED</t>
        </is>
      </c>
      <c r="AB720" t="inlineStr">
        <is>
          <t>Prepaid</t>
        </is>
      </c>
      <c r="AC720" t="inlineStr">
        <is>
          <t>VENUS / VOYAGE 2</t>
        </is>
      </c>
      <c r="AE720" t="inlineStr">
        <is>
          <t>LADEN BOOKING</t>
        </is>
      </c>
      <c r="AF720" t="inlineStr">
        <is>
          <t>Guilherme Souza</t>
        </is>
      </c>
      <c r="AG720" t="inlineStr">
        <is>
          <t>RH40</t>
        </is>
      </c>
      <c r="AH720" t="inlineStr">
        <is>
          <t>NO</t>
        </is>
      </c>
      <c r="AI720" t="n">
        <v>40</v>
      </c>
      <c r="AJ720" t="n">
        <v>0</v>
      </c>
      <c r="AK720" t="n">
        <v>1</v>
      </c>
      <c r="AM720" t="n">
        <v>-18</v>
      </c>
      <c r="AP720" t="inlineStr">
        <is>
          <t>Non Haz</t>
        </is>
      </c>
      <c r="AQ720" t="inlineStr">
        <is>
          <t>CY/CY</t>
        </is>
      </c>
      <c r="AU720" t="n">
        <v>28000</v>
      </c>
      <c r="AV720" t="inlineStr">
        <is>
          <t>FROZEN MEAT</t>
        </is>
      </c>
      <c r="AX720" t="inlineStr">
        <is>
          <t>RSSAM042600031</t>
        </is>
      </c>
      <c r="AZ720" t="n">
        <v>5</v>
      </c>
      <c r="BA720" t="n">
        <v>25</v>
      </c>
      <c r="BB720" t="n">
        <v>15</v>
      </c>
      <c r="BC720" t="n">
        <v>7000</v>
      </c>
      <c r="BD720" t="inlineStr">
        <is>
          <t>No</t>
        </is>
      </c>
      <c r="BG720" t="inlineStr">
        <is>
          <t>USHOU</t>
        </is>
      </c>
      <c r="BH720" t="n">
        <v>0</v>
      </c>
      <c r="BI720" t="n">
        <v>0</v>
      </c>
      <c r="BJ720" t="inlineStr">
        <is>
          <t xml:space="preserve"> 0</t>
        </is>
      </c>
      <c r="BK720" t="inlineStr">
        <is>
          <t>LINE</t>
        </is>
      </c>
      <c r="BL720" t="inlineStr">
        <is>
          <t>SEAL REEFER</t>
        </is>
      </c>
      <c r="BM720" t="inlineStr">
        <is>
          <t>SEAL REEFER</t>
        </is>
      </c>
    </row>
    <row r="721">
      <c r="A721" t="n">
        <v>720</v>
      </c>
      <c r="B721" t="inlineStr">
        <is>
          <t>SHARK REEFER</t>
        </is>
      </c>
      <c r="C721" t="inlineStr">
        <is>
          <t>REF000000</t>
        </is>
      </c>
      <c r="D721" t="inlineStr">
        <is>
          <t>REF000000</t>
        </is>
      </c>
      <c r="E721" t="inlineStr">
        <is>
          <t>10-APR-2026</t>
        </is>
      </c>
      <c r="F721" t="inlineStr">
        <is>
          <t>SHARK REEFER</t>
        </is>
      </c>
      <c r="G721" t="inlineStr">
        <is>
          <t>PREPAID</t>
        </is>
      </c>
      <c r="H721" t="inlineStr">
        <is>
          <t>DiegoSAM</t>
        </is>
      </c>
      <c r="J721" t="inlineStr">
        <is>
          <t>23-APR-2026</t>
        </is>
      </c>
      <c r="K721" t="inlineStr">
        <is>
          <t>23-APR-2026</t>
        </is>
      </c>
      <c r="M721" t="inlineStr">
        <is>
          <t>REF000000</t>
        </is>
      </c>
      <c r="N721" t="inlineStr">
        <is>
          <t>USNFK</t>
        </is>
      </c>
      <c r="O721" t="inlineStr">
        <is>
          <t>USNFK</t>
        </is>
      </c>
      <c r="P721" t="inlineStr">
        <is>
          <t>RULED</t>
        </is>
      </c>
      <c r="U721" t="inlineStr">
        <is>
          <t>RULED</t>
        </is>
      </c>
      <c r="V721" t="inlineStr">
        <is>
          <t>RULED</t>
        </is>
      </c>
      <c r="W721" t="inlineStr">
        <is>
          <t>UNITED STATES</t>
        </is>
      </c>
      <c r="X721" t="inlineStr">
        <is>
          <t>Latin America</t>
        </is>
      </c>
      <c r="Y721" t="inlineStr">
        <is>
          <t>RUSSIA</t>
        </is>
      </c>
      <c r="Z721" t="inlineStr">
        <is>
          <t>External Review</t>
        </is>
      </c>
      <c r="AA721" t="inlineStr">
        <is>
          <t>HUB SHIPPING LLC-LED</t>
        </is>
      </c>
      <c r="AB721" t="inlineStr">
        <is>
          <t>Prepaid</t>
        </is>
      </c>
      <c r="AC721" t="inlineStr">
        <is>
          <t>VENUS / VOYAGE 2</t>
        </is>
      </c>
      <c r="AE721" t="inlineStr">
        <is>
          <t>LADEN BOOKING</t>
        </is>
      </c>
      <c r="AF721" t="inlineStr">
        <is>
          <t>Guilherme Souza</t>
        </is>
      </c>
      <c r="AG721" t="inlineStr">
        <is>
          <t>RH40</t>
        </is>
      </c>
      <c r="AH721" t="inlineStr">
        <is>
          <t>NO</t>
        </is>
      </c>
      <c r="AI721" t="n">
        <v>40</v>
      </c>
      <c r="AJ721" t="n">
        <v>0</v>
      </c>
      <c r="AK721" t="n">
        <v>1</v>
      </c>
      <c r="AM721" t="n">
        <v>-18</v>
      </c>
      <c r="AP721" t="inlineStr">
        <is>
          <t>Non Haz</t>
        </is>
      </c>
      <c r="AQ721" t="inlineStr">
        <is>
          <t>CY/CY</t>
        </is>
      </c>
      <c r="AU721" t="n">
        <v>28000</v>
      </c>
      <c r="AV721" t="inlineStr">
        <is>
          <t>FROZEN MEAT</t>
        </is>
      </c>
      <c r="AX721" t="inlineStr">
        <is>
          <t>RSSAM042600029</t>
        </is>
      </c>
      <c r="AZ721" t="n">
        <v>5</v>
      </c>
      <c r="BA721" t="n">
        <v>25</v>
      </c>
      <c r="BB721" t="n">
        <v>15</v>
      </c>
      <c r="BC721" t="n">
        <v>7000</v>
      </c>
      <c r="BD721" t="inlineStr">
        <is>
          <t>No</t>
        </is>
      </c>
      <c r="BG721" t="inlineStr">
        <is>
          <t>USNFK</t>
        </is>
      </c>
      <c r="BH721" t="n">
        <v>0</v>
      </c>
      <c r="BI721" t="n">
        <v>0</v>
      </c>
      <c r="BJ721" t="inlineStr">
        <is>
          <t xml:space="preserve"> 0</t>
        </is>
      </c>
      <c r="BK721" t="inlineStr">
        <is>
          <t>LINE</t>
        </is>
      </c>
      <c r="BL721" t="inlineStr">
        <is>
          <t>SHARK REEFER</t>
        </is>
      </c>
      <c r="BM721" t="inlineStr">
        <is>
          <t>SHARK REEFER</t>
        </is>
      </c>
    </row>
    <row r="722">
      <c r="A722" t="n">
        <v>721</v>
      </c>
      <c r="B722" t="inlineStr">
        <is>
          <t>DOLPHIN REEFER</t>
        </is>
      </c>
      <c r="C722" t="inlineStr">
        <is>
          <t>REF000000</t>
        </is>
      </c>
      <c r="D722" t="inlineStr">
        <is>
          <t>REF000000</t>
        </is>
      </c>
      <c r="E722" t="inlineStr">
        <is>
          <t>10-APR-2026</t>
        </is>
      </c>
      <c r="F722" t="inlineStr">
        <is>
          <t>DOLPHIN REEFER</t>
        </is>
      </c>
      <c r="G722" t="inlineStr">
        <is>
          <t>PREPAID</t>
        </is>
      </c>
      <c r="H722" t="inlineStr">
        <is>
          <t>DiegoSAM</t>
        </is>
      </c>
      <c r="J722" t="inlineStr">
        <is>
          <t>05-MAY-2026</t>
        </is>
      </c>
      <c r="K722" t="inlineStr">
        <is>
          <t>03-MAY-2026</t>
        </is>
      </c>
      <c r="M722" t="inlineStr">
        <is>
          <t>REF000000</t>
        </is>
      </c>
      <c r="N722" t="inlineStr">
        <is>
          <t>USNFK</t>
        </is>
      </c>
      <c r="O722" t="inlineStr">
        <is>
          <t>USNFK</t>
        </is>
      </c>
      <c r="P722" t="inlineStr">
        <is>
          <t>RULED</t>
        </is>
      </c>
      <c r="U722" t="inlineStr">
        <is>
          <t>RULED</t>
        </is>
      </c>
      <c r="V722" t="inlineStr">
        <is>
          <t>RULED</t>
        </is>
      </c>
      <c r="W722" t="inlineStr">
        <is>
          <t>UNITED STATES</t>
        </is>
      </c>
      <c r="X722" t="inlineStr">
        <is>
          <t>Latin America</t>
        </is>
      </c>
      <c r="Y722" t="inlineStr">
        <is>
          <t>RUSSIA</t>
        </is>
      </c>
      <c r="Z722" t="inlineStr">
        <is>
          <t>External Review</t>
        </is>
      </c>
      <c r="AA722" t="inlineStr">
        <is>
          <t>HUB SHIPPING LLC-LED</t>
        </is>
      </c>
      <c r="AB722" t="inlineStr">
        <is>
          <t>Prepaid</t>
        </is>
      </c>
      <c r="AC722" t="inlineStr">
        <is>
          <t>LI DA XING/VOYAGE 1</t>
        </is>
      </c>
      <c r="AE722" t="inlineStr">
        <is>
          <t>LADEN BOOKING</t>
        </is>
      </c>
      <c r="AF722" t="inlineStr">
        <is>
          <t>Guilherme Souza</t>
        </is>
      </c>
      <c r="AG722" t="inlineStr">
        <is>
          <t>RH40</t>
        </is>
      </c>
      <c r="AH722" t="inlineStr">
        <is>
          <t>NO</t>
        </is>
      </c>
      <c r="AI722" t="n">
        <v>40</v>
      </c>
      <c r="AJ722" t="n">
        <v>0</v>
      </c>
      <c r="AK722" t="n">
        <v>1</v>
      </c>
      <c r="AM722" t="n">
        <v>-18</v>
      </c>
      <c r="AP722" t="inlineStr">
        <is>
          <t>Non Haz</t>
        </is>
      </c>
      <c r="AQ722" t="inlineStr">
        <is>
          <t>CY/CY</t>
        </is>
      </c>
      <c r="AU722" t="n">
        <v>28000</v>
      </c>
      <c r="AV722" t="inlineStr">
        <is>
          <t>FROZEN MEAT</t>
        </is>
      </c>
      <c r="AX722" t="inlineStr">
        <is>
          <t>RSSAM042600029</t>
        </is>
      </c>
      <c r="AZ722" t="n">
        <v>5</v>
      </c>
      <c r="BA722" t="n">
        <v>25</v>
      </c>
      <c r="BB722" t="n">
        <v>15</v>
      </c>
      <c r="BC722" t="n">
        <v>7000</v>
      </c>
      <c r="BD722" t="inlineStr">
        <is>
          <t>No</t>
        </is>
      </c>
      <c r="BG722" t="inlineStr">
        <is>
          <t>USNFK</t>
        </is>
      </c>
      <c r="BH722" t="n">
        <v>0</v>
      </c>
      <c r="BI722" t="n">
        <v>0</v>
      </c>
      <c r="BJ722" t="inlineStr">
        <is>
          <t xml:space="preserve"> 0</t>
        </is>
      </c>
      <c r="BK722" t="inlineStr">
        <is>
          <t>LINE</t>
        </is>
      </c>
      <c r="BL722" t="inlineStr">
        <is>
          <t>DOLPHIN REEFER</t>
        </is>
      </c>
      <c r="BM722" t="inlineStr">
        <is>
          <t>DOLPHIN REEFER</t>
        </is>
      </c>
    </row>
    <row r="723">
      <c r="A723" t="n">
        <v>722</v>
      </c>
      <c r="B723" t="inlineStr">
        <is>
          <t>EAGLE DRY</t>
        </is>
      </c>
      <c r="C723" t="inlineStr">
        <is>
          <t>REF000000</t>
        </is>
      </c>
      <c r="D723" t="inlineStr">
        <is>
          <t>REF000000</t>
        </is>
      </c>
      <c r="E723" t="inlineStr">
        <is>
          <t>10-APR-2026</t>
        </is>
      </c>
      <c r="F723" t="inlineStr">
        <is>
          <t>EAGLE DRY</t>
        </is>
      </c>
      <c r="H723" t="inlineStr">
        <is>
          <t>AdminSAM</t>
        </is>
      </c>
      <c r="J723" t="inlineStr">
        <is>
          <t>23-APR-2026</t>
        </is>
      </c>
      <c r="K723" t="inlineStr">
        <is>
          <t>23-APR-2026</t>
        </is>
      </c>
      <c r="M723" t="inlineStr">
        <is>
          <t>REF000000</t>
        </is>
      </c>
      <c r="N723" t="inlineStr">
        <is>
          <t>USNFK</t>
        </is>
      </c>
      <c r="O723" t="inlineStr">
        <is>
          <t>USNFK</t>
        </is>
      </c>
      <c r="P723" t="inlineStr">
        <is>
          <t>RULED</t>
        </is>
      </c>
      <c r="U723" t="inlineStr">
        <is>
          <t>RULED</t>
        </is>
      </c>
      <c r="V723" t="inlineStr">
        <is>
          <t>RULED</t>
        </is>
      </c>
      <c r="W723" t="inlineStr">
        <is>
          <t>UNITED STATES</t>
        </is>
      </c>
      <c r="X723" t="inlineStr">
        <is>
          <t>Latin America</t>
        </is>
      </c>
      <c r="Y723" t="inlineStr">
        <is>
          <t>RUSSIA</t>
        </is>
      </c>
      <c r="Z723" t="inlineStr">
        <is>
          <t>External Review</t>
        </is>
      </c>
      <c r="AA723" t="inlineStr">
        <is>
          <t>HUB SHIPPING LLC-LED</t>
        </is>
      </c>
      <c r="AB723" t="inlineStr">
        <is>
          <t>Collect</t>
        </is>
      </c>
      <c r="AC723" t="inlineStr">
        <is>
          <t>VENUS / VOYAGE 2</t>
        </is>
      </c>
      <c r="AE723" t="inlineStr">
        <is>
          <t>LADEN BOOKING</t>
        </is>
      </c>
      <c r="AF723" t="inlineStr">
        <is>
          <t>RenniSAM</t>
        </is>
      </c>
      <c r="AG723" t="inlineStr">
        <is>
          <t>DC20</t>
        </is>
      </c>
      <c r="AH723" t="inlineStr">
        <is>
          <t>NO</t>
        </is>
      </c>
      <c r="AI723" t="n">
        <v>20</v>
      </c>
      <c r="AJ723" t="n">
        <v>8</v>
      </c>
      <c r="AK723" t="n">
        <v>0</v>
      </c>
      <c r="AP723" t="inlineStr">
        <is>
          <t>Non Haz</t>
        </is>
      </c>
      <c r="AQ723" t="inlineStr">
        <is>
          <t>CY/CY</t>
        </is>
      </c>
      <c r="AU723" t="n">
        <v>25000</v>
      </c>
      <c r="AV723" t="inlineStr">
        <is>
          <t>GENERAL COMMODITY</t>
        </is>
      </c>
      <c r="AX723" t="inlineStr">
        <is>
          <t>RSSAM042600015</t>
        </is>
      </c>
      <c r="AZ723" t="n">
        <v>0</v>
      </c>
      <c r="BA723" t="n">
        <v>14</v>
      </c>
      <c r="BB723" t="n">
        <v>21</v>
      </c>
      <c r="BC723" t="n">
        <v>1750</v>
      </c>
      <c r="BD723" t="inlineStr">
        <is>
          <t>Yes</t>
        </is>
      </c>
      <c r="BG723" t="inlineStr">
        <is>
          <t>RULED</t>
        </is>
      </c>
      <c r="BH723" t="n">
        <v>0</v>
      </c>
      <c r="BI723" t="n">
        <v>0</v>
      </c>
      <c r="BJ723" t="inlineStr">
        <is>
          <t xml:space="preserve"> 0</t>
        </is>
      </c>
      <c r="BK723" t="inlineStr">
        <is>
          <t>LINE</t>
        </is>
      </c>
      <c r="BL723" t="inlineStr">
        <is>
          <t>EAGLE DRY</t>
        </is>
      </c>
      <c r="BM723" t="inlineStr">
        <is>
          <t>EAGLE DRY</t>
        </is>
      </c>
    </row>
    <row r="724">
      <c r="A724" t="n">
        <v>723</v>
      </c>
      <c r="B724" t="inlineStr">
        <is>
          <t>TURTLE REEFER</t>
        </is>
      </c>
      <c r="C724" t="inlineStr">
        <is>
          <t>REF000000</t>
        </is>
      </c>
      <c r="D724" t="inlineStr">
        <is>
          <t>REF000000</t>
        </is>
      </c>
      <c r="E724" t="inlineStr">
        <is>
          <t>10-APR-2026</t>
        </is>
      </c>
      <c r="F724" t="inlineStr">
        <is>
          <t>TURTLE REEFER</t>
        </is>
      </c>
      <c r="H724" t="inlineStr">
        <is>
          <t>AdminSAM</t>
        </is>
      </c>
      <c r="J724" t="inlineStr">
        <is>
          <t>19-APR-2026</t>
        </is>
      </c>
      <c r="K724" t="inlineStr">
        <is>
          <t>19-APR-2026</t>
        </is>
      </c>
      <c r="M724" t="inlineStr">
        <is>
          <t>REF000000</t>
        </is>
      </c>
      <c r="N724" t="inlineStr">
        <is>
          <t>USNYC</t>
        </is>
      </c>
      <c r="O724" t="inlineStr">
        <is>
          <t>USNYC</t>
        </is>
      </c>
      <c r="P724" t="inlineStr">
        <is>
          <t>RULED</t>
        </is>
      </c>
      <c r="U724" t="inlineStr">
        <is>
          <t>RULED</t>
        </is>
      </c>
      <c r="V724" t="inlineStr">
        <is>
          <t>RULED</t>
        </is>
      </c>
      <c r="W724" t="inlineStr">
        <is>
          <t>UNITED STATES</t>
        </is>
      </c>
      <c r="X724" t="inlineStr">
        <is>
          <t>Latin America</t>
        </is>
      </c>
      <c r="Y724" t="inlineStr">
        <is>
          <t>RUSSIA</t>
        </is>
      </c>
      <c r="Z724" t="inlineStr">
        <is>
          <t>External Review</t>
        </is>
      </c>
      <c r="AA724" t="inlineStr">
        <is>
          <t>HUB SHIPPING LLC-LED</t>
        </is>
      </c>
      <c r="AB724" t="inlineStr">
        <is>
          <t>Collect</t>
        </is>
      </c>
      <c r="AC724" t="inlineStr">
        <is>
          <t>VENUS / VOYAGE 2</t>
        </is>
      </c>
      <c r="AE724" t="inlineStr">
        <is>
          <t>LADEN BOOKING</t>
        </is>
      </c>
      <c r="AF724" t="inlineStr">
        <is>
          <t>RenniSAM</t>
        </is>
      </c>
      <c r="AG724" t="inlineStr">
        <is>
          <t>HC40</t>
        </is>
      </c>
      <c r="AH724" t="inlineStr">
        <is>
          <t>NO</t>
        </is>
      </c>
      <c r="AI724" t="n">
        <v>40</v>
      </c>
      <c r="AJ724" t="n">
        <v>0</v>
      </c>
      <c r="AK724" t="n">
        <v>8</v>
      </c>
      <c r="AP724" t="inlineStr">
        <is>
          <t>Non Haz</t>
        </is>
      </c>
      <c r="AQ724" t="inlineStr">
        <is>
          <t>CY/CY</t>
        </is>
      </c>
      <c r="AU724" t="n">
        <v>25000</v>
      </c>
      <c r="AV724" t="inlineStr">
        <is>
          <t>GENERAL COMMODITY</t>
        </is>
      </c>
      <c r="AX724" t="inlineStr">
        <is>
          <t>MRG422787</t>
        </is>
      </c>
      <c r="AY724" t="inlineStr">
        <is>
          <t>LINE</t>
        </is>
      </c>
      <c r="AZ724" t="n">
        <v>0</v>
      </c>
      <c r="BA724" t="n">
        <v>14</v>
      </c>
      <c r="BB724" t="n">
        <v>14</v>
      </c>
      <c r="BC724" t="n">
        <v>4800</v>
      </c>
      <c r="BD724" t="inlineStr">
        <is>
          <t>Yes</t>
        </is>
      </c>
      <c r="BG724" t="inlineStr">
        <is>
          <t>RULED</t>
        </is>
      </c>
      <c r="BH724" t="n">
        <v>0</v>
      </c>
      <c r="BI724" t="n">
        <v>0</v>
      </c>
      <c r="BJ724" t="inlineStr">
        <is>
          <t xml:space="preserve"> 0</t>
        </is>
      </c>
      <c r="BK724" t="inlineStr">
        <is>
          <t>LINE</t>
        </is>
      </c>
      <c r="BL724" t="inlineStr">
        <is>
          <t>TURTLE REEFER</t>
        </is>
      </c>
      <c r="BM724" t="inlineStr">
        <is>
          <t>TURTLE REEFER</t>
        </is>
      </c>
    </row>
    <row r="725">
      <c r="A725" t="n">
        <v>724</v>
      </c>
      <c r="B725" t="inlineStr">
        <is>
          <t>ORCA REEFER</t>
        </is>
      </c>
      <c r="C725" t="inlineStr">
        <is>
          <t>REF000000</t>
        </is>
      </c>
      <c r="D725" t="inlineStr">
        <is>
          <t>REF000000</t>
        </is>
      </c>
      <c r="E725" t="inlineStr">
        <is>
          <t>10-APR-2026</t>
        </is>
      </c>
      <c r="F725" t="inlineStr">
        <is>
          <t>ORCA REEFER</t>
        </is>
      </c>
      <c r="G725" t="inlineStr">
        <is>
          <t>PREPAID ABROAD</t>
        </is>
      </c>
      <c r="H725" t="inlineStr">
        <is>
          <t>DiegoSAM</t>
        </is>
      </c>
      <c r="J725" t="inlineStr">
        <is>
          <t>01-MAY-2026</t>
        </is>
      </c>
      <c r="K725" t="inlineStr">
        <is>
          <t>30-APR-2026</t>
        </is>
      </c>
      <c r="M725" t="inlineStr">
        <is>
          <t>REF000000</t>
        </is>
      </c>
      <c r="N725" t="inlineStr">
        <is>
          <t>USNYC</t>
        </is>
      </c>
      <c r="O725" t="inlineStr">
        <is>
          <t>USNYC</t>
        </is>
      </c>
      <c r="P725" t="inlineStr">
        <is>
          <t>RULED</t>
        </is>
      </c>
      <c r="U725" t="inlineStr">
        <is>
          <t>RULED</t>
        </is>
      </c>
      <c r="V725" t="inlineStr">
        <is>
          <t>RULED</t>
        </is>
      </c>
      <c r="W725" t="inlineStr">
        <is>
          <t>UNITED STATES</t>
        </is>
      </c>
      <c r="X725" t="inlineStr">
        <is>
          <t>Latin America</t>
        </is>
      </c>
      <c r="Y725" t="inlineStr">
        <is>
          <t>RUSSIA</t>
        </is>
      </c>
      <c r="Z725" t="inlineStr">
        <is>
          <t>External Review</t>
        </is>
      </c>
      <c r="AA725" t="inlineStr">
        <is>
          <t>HUB SHIPPING LLC-LED</t>
        </is>
      </c>
      <c r="AB725" t="inlineStr">
        <is>
          <t>Prepaid</t>
        </is>
      </c>
      <c r="AC725" t="inlineStr">
        <is>
          <t>LI DA XING/VOYAGE 1</t>
        </is>
      </c>
      <c r="AE725" t="inlineStr">
        <is>
          <t>LADEN BOOKING</t>
        </is>
      </c>
      <c r="AF725" t="inlineStr">
        <is>
          <t>Joao RibeiroSAM</t>
        </is>
      </c>
      <c r="AG725" t="inlineStr">
        <is>
          <t>RH40</t>
        </is>
      </c>
      <c r="AH725" t="inlineStr">
        <is>
          <t>NO</t>
        </is>
      </c>
      <c r="AI725" t="n">
        <v>40</v>
      </c>
      <c r="AJ725" t="n">
        <v>0</v>
      </c>
      <c r="AK725" t="n">
        <v>1</v>
      </c>
      <c r="AM725" t="n">
        <v>-18</v>
      </c>
      <c r="AP725" t="inlineStr">
        <is>
          <t>Non Haz</t>
        </is>
      </c>
      <c r="AQ725" t="inlineStr">
        <is>
          <t>CY/CY</t>
        </is>
      </c>
      <c r="AU725" t="n">
        <v>28000</v>
      </c>
      <c r="AV725" t="inlineStr">
        <is>
          <t>FROZEN MEAT</t>
        </is>
      </c>
      <c r="AX725" t="inlineStr">
        <is>
          <t>RSSAM042600068</t>
        </is>
      </c>
      <c r="AZ725" t="n">
        <v>5</v>
      </c>
      <c r="BA725" t="n">
        <v>30</v>
      </c>
      <c r="BB725" t="n">
        <v>15</v>
      </c>
      <c r="BC725" t="n">
        <v>7000</v>
      </c>
      <c r="BD725" t="inlineStr">
        <is>
          <t>No</t>
        </is>
      </c>
      <c r="BG725" t="inlineStr">
        <is>
          <t>USNYC</t>
        </is>
      </c>
      <c r="BH725" t="n">
        <v>0</v>
      </c>
      <c r="BI725" t="n">
        <v>0</v>
      </c>
      <c r="BJ725" t="inlineStr">
        <is>
          <t xml:space="preserve"> 0</t>
        </is>
      </c>
      <c r="BK725" t="inlineStr">
        <is>
          <t>LINE</t>
        </is>
      </c>
      <c r="BL725" t="inlineStr">
        <is>
          <t>ORCA REEFER</t>
        </is>
      </c>
      <c r="BM725" t="inlineStr">
        <is>
          <t>ORCA REEFER</t>
        </is>
      </c>
    </row>
    <row r="726">
      <c r="A726" t="n">
        <v>725</v>
      </c>
      <c r="B726" t="inlineStr">
        <is>
          <t>WHALE REEFER</t>
        </is>
      </c>
      <c r="C726" t="inlineStr">
        <is>
          <t>REF000000</t>
        </is>
      </c>
      <c r="D726" t="inlineStr">
        <is>
          <t>REF000000</t>
        </is>
      </c>
      <c r="E726" t="inlineStr">
        <is>
          <t>10-APR-2026</t>
        </is>
      </c>
      <c r="F726" t="inlineStr">
        <is>
          <t>WHALE REEFER</t>
        </is>
      </c>
      <c r="G726" t="inlineStr">
        <is>
          <t>PREPAID ABROAD</t>
        </is>
      </c>
      <c r="H726" t="inlineStr">
        <is>
          <t>DiegoSAM</t>
        </is>
      </c>
      <c r="J726" t="inlineStr">
        <is>
          <t>01-MAY-2026</t>
        </is>
      </c>
      <c r="K726" t="inlineStr">
        <is>
          <t>30-APR-2026</t>
        </is>
      </c>
      <c r="M726" t="inlineStr">
        <is>
          <t>REF000000</t>
        </is>
      </c>
      <c r="N726" t="inlineStr">
        <is>
          <t>USNYC</t>
        </is>
      </c>
      <c r="O726" t="inlineStr">
        <is>
          <t>USNYC</t>
        </is>
      </c>
      <c r="P726" t="inlineStr">
        <is>
          <t>RULED</t>
        </is>
      </c>
      <c r="U726" t="inlineStr">
        <is>
          <t>RULED</t>
        </is>
      </c>
      <c r="V726" t="inlineStr">
        <is>
          <t>RULED</t>
        </is>
      </c>
      <c r="W726" t="inlineStr">
        <is>
          <t>UNITED STATES</t>
        </is>
      </c>
      <c r="X726" t="inlineStr">
        <is>
          <t>Latin America</t>
        </is>
      </c>
      <c r="Y726" t="inlineStr">
        <is>
          <t>RUSSIA</t>
        </is>
      </c>
      <c r="Z726" t="inlineStr">
        <is>
          <t>External Review</t>
        </is>
      </c>
      <c r="AA726" t="inlineStr">
        <is>
          <t>HUB SHIPPING LLC-LED</t>
        </is>
      </c>
      <c r="AB726" t="inlineStr">
        <is>
          <t>Prepaid</t>
        </is>
      </c>
      <c r="AC726" t="inlineStr">
        <is>
          <t>LI DA XING/VOYAGE 1</t>
        </is>
      </c>
      <c r="AE726" t="inlineStr">
        <is>
          <t>LADEN BOOKING</t>
        </is>
      </c>
      <c r="AF726" t="inlineStr">
        <is>
          <t>Joao RibeiroSAM</t>
        </is>
      </c>
      <c r="AG726" t="inlineStr">
        <is>
          <t>RH40</t>
        </is>
      </c>
      <c r="AH726" t="inlineStr">
        <is>
          <t>NO</t>
        </is>
      </c>
      <c r="AI726" t="n">
        <v>40</v>
      </c>
      <c r="AJ726" t="n">
        <v>0</v>
      </c>
      <c r="AK726" t="n">
        <v>1</v>
      </c>
      <c r="AM726" t="n">
        <v>-18</v>
      </c>
      <c r="AP726" t="inlineStr">
        <is>
          <t>Non Haz</t>
        </is>
      </c>
      <c r="AQ726" t="inlineStr">
        <is>
          <t>CY/CY</t>
        </is>
      </c>
      <c r="AU726" t="n">
        <v>28000</v>
      </c>
      <c r="AV726" t="inlineStr">
        <is>
          <t>FROZEN MEAT</t>
        </is>
      </c>
      <c r="AX726" t="inlineStr">
        <is>
          <t>RSSAM042600068</t>
        </is>
      </c>
      <c r="AZ726" t="n">
        <v>5</v>
      </c>
      <c r="BA726" t="n">
        <v>30</v>
      </c>
      <c r="BB726" t="n">
        <v>15</v>
      </c>
      <c r="BC726" t="n">
        <v>7000</v>
      </c>
      <c r="BD726" t="inlineStr">
        <is>
          <t>No</t>
        </is>
      </c>
      <c r="BG726" t="inlineStr">
        <is>
          <t>USNYC</t>
        </is>
      </c>
      <c r="BH726" t="n">
        <v>0</v>
      </c>
      <c r="BI726" t="n">
        <v>0</v>
      </c>
      <c r="BJ726" t="inlineStr">
        <is>
          <t xml:space="preserve"> 0</t>
        </is>
      </c>
      <c r="BK726" t="inlineStr">
        <is>
          <t>LINE</t>
        </is>
      </c>
      <c r="BL726" t="inlineStr">
        <is>
          <t>WHALE REEFER</t>
        </is>
      </c>
      <c r="BM726" t="inlineStr">
        <is>
          <t>WHALE REEFER</t>
        </is>
      </c>
    </row>
    <row r="727">
      <c r="A727" t="n">
        <v>726</v>
      </c>
      <c r="B727" t="inlineStr">
        <is>
          <t>SEAL REEFER</t>
        </is>
      </c>
      <c r="C727" t="inlineStr">
        <is>
          <t>REF000000</t>
        </is>
      </c>
      <c r="D727" t="inlineStr">
        <is>
          <t>REF000000</t>
        </is>
      </c>
      <c r="E727" t="inlineStr">
        <is>
          <t>10-APR-2026</t>
        </is>
      </c>
      <c r="F727" t="inlineStr">
        <is>
          <t>SEAL REEFER</t>
        </is>
      </c>
      <c r="G727" t="inlineStr">
        <is>
          <t>PA</t>
        </is>
      </c>
      <c r="H727" t="inlineStr">
        <is>
          <t>DiegoSAM</t>
        </is>
      </c>
      <c r="J727" t="inlineStr">
        <is>
          <t>19-APR-2026</t>
        </is>
      </c>
      <c r="K727" t="inlineStr">
        <is>
          <t>19-APR-2026</t>
        </is>
      </c>
      <c r="M727" t="inlineStr">
        <is>
          <t>REF000000</t>
        </is>
      </c>
      <c r="N727" t="inlineStr">
        <is>
          <t>USNYC</t>
        </is>
      </c>
      <c r="O727" t="inlineStr">
        <is>
          <t>USNYC</t>
        </is>
      </c>
      <c r="P727" t="inlineStr">
        <is>
          <t>RUBLT</t>
        </is>
      </c>
      <c r="U727" t="inlineStr">
        <is>
          <t>RUBLT</t>
        </is>
      </c>
      <c r="V727" t="inlineStr">
        <is>
          <t>RUBLT</t>
        </is>
      </c>
      <c r="W727" t="inlineStr">
        <is>
          <t>UNITED STATES</t>
        </is>
      </c>
      <c r="X727" t="inlineStr">
        <is>
          <t>Latin America</t>
        </is>
      </c>
      <c r="Y727" t="inlineStr">
        <is>
          <t>RUSSIA</t>
        </is>
      </c>
      <c r="Z727" t="inlineStr">
        <is>
          <t>External Review</t>
        </is>
      </c>
      <c r="AA727" t="inlineStr">
        <is>
          <t>HUB Shipping-Kaliningrad</t>
        </is>
      </c>
      <c r="AB727" t="inlineStr">
        <is>
          <t>Prepaid</t>
        </is>
      </c>
      <c r="AC727" t="inlineStr">
        <is>
          <t>VENUS / VOYAGE 2</t>
        </is>
      </c>
      <c r="AE727" t="inlineStr">
        <is>
          <t>LADEN BOOKING</t>
        </is>
      </c>
      <c r="AF727" t="inlineStr">
        <is>
          <t>Joao RibeiroSAM</t>
        </is>
      </c>
      <c r="AG727" t="inlineStr">
        <is>
          <t>RH40</t>
        </is>
      </c>
      <c r="AH727" t="inlineStr">
        <is>
          <t>NO</t>
        </is>
      </c>
      <c r="AI727" t="n">
        <v>40</v>
      </c>
      <c r="AJ727" t="n">
        <v>0</v>
      </c>
      <c r="AK727" t="n">
        <v>1</v>
      </c>
      <c r="AM727" t="n">
        <v>-18</v>
      </c>
      <c r="AP727" t="inlineStr">
        <is>
          <t>Non Haz</t>
        </is>
      </c>
      <c r="AQ727" t="inlineStr">
        <is>
          <t>CY/CY</t>
        </is>
      </c>
      <c r="AU727" t="n">
        <v>28000</v>
      </c>
      <c r="AV727" t="inlineStr">
        <is>
          <t>FROZEN MEAT</t>
        </is>
      </c>
      <c r="AX727" t="inlineStr">
        <is>
          <t>RSSAM042600072</t>
        </is>
      </c>
      <c r="AZ727" t="n">
        <v>5</v>
      </c>
      <c r="BA727" t="n">
        <v>30</v>
      </c>
      <c r="BB727" t="n">
        <v>15</v>
      </c>
      <c r="BC727" t="n">
        <v>9100</v>
      </c>
      <c r="BD727" t="inlineStr">
        <is>
          <t>No</t>
        </is>
      </c>
      <c r="BG727" t="inlineStr">
        <is>
          <t>USNYC</t>
        </is>
      </c>
      <c r="BH727" t="n">
        <v>0</v>
      </c>
      <c r="BI727" t="n">
        <v>0</v>
      </c>
      <c r="BJ727" t="inlineStr">
        <is>
          <t xml:space="preserve"> 0</t>
        </is>
      </c>
      <c r="BK727" t="inlineStr">
        <is>
          <t>LINE</t>
        </is>
      </c>
      <c r="BL727" t="inlineStr">
        <is>
          <t>SEAL REEFER</t>
        </is>
      </c>
      <c r="BM727" t="inlineStr">
        <is>
          <t>SEAL REEFER</t>
        </is>
      </c>
    </row>
    <row r="728">
      <c r="A728" t="n">
        <v>727</v>
      </c>
      <c r="B728" t="inlineStr">
        <is>
          <t>SHARK REEFER</t>
        </is>
      </c>
      <c r="C728" t="inlineStr">
        <is>
          <t>REF000000</t>
        </is>
      </c>
      <c r="D728" t="inlineStr">
        <is>
          <t>REF000000</t>
        </is>
      </c>
      <c r="E728" t="inlineStr">
        <is>
          <t>10-APR-2026</t>
        </is>
      </c>
      <c r="F728" t="inlineStr">
        <is>
          <t>SHARK REEFER</t>
        </is>
      </c>
      <c r="G728" t="inlineStr">
        <is>
          <t>PA</t>
        </is>
      </c>
      <c r="H728" t="inlineStr">
        <is>
          <t>DiegoSAM</t>
        </is>
      </c>
      <c r="J728" t="inlineStr">
        <is>
          <t>19-APR-2026</t>
        </is>
      </c>
      <c r="K728" t="inlineStr">
        <is>
          <t>19-APR-2026</t>
        </is>
      </c>
      <c r="M728" t="inlineStr">
        <is>
          <t>REF000000</t>
        </is>
      </c>
      <c r="N728" t="inlineStr">
        <is>
          <t>USNYC</t>
        </is>
      </c>
      <c r="O728" t="inlineStr">
        <is>
          <t>USNYC</t>
        </is>
      </c>
      <c r="P728" t="inlineStr">
        <is>
          <t>RUBLT</t>
        </is>
      </c>
      <c r="U728" t="inlineStr">
        <is>
          <t>RUBLT</t>
        </is>
      </c>
      <c r="V728" t="inlineStr">
        <is>
          <t>RUBLT</t>
        </is>
      </c>
      <c r="W728" t="inlineStr">
        <is>
          <t>UNITED STATES</t>
        </is>
      </c>
      <c r="X728" t="inlineStr">
        <is>
          <t>Latin America</t>
        </is>
      </c>
      <c r="Y728" t="inlineStr">
        <is>
          <t>RUSSIA</t>
        </is>
      </c>
      <c r="Z728" t="inlineStr">
        <is>
          <t>External Review</t>
        </is>
      </c>
      <c r="AA728" t="inlineStr">
        <is>
          <t>HUB Shipping-Kaliningrad</t>
        </is>
      </c>
      <c r="AB728" t="inlineStr">
        <is>
          <t>Prepaid</t>
        </is>
      </c>
      <c r="AC728" t="inlineStr">
        <is>
          <t>VENUS / VOYAGE 2</t>
        </is>
      </c>
      <c r="AE728" t="inlineStr">
        <is>
          <t>LADEN BOOKING</t>
        </is>
      </c>
      <c r="AF728" t="inlineStr">
        <is>
          <t>Joao RibeiroSAM</t>
        </is>
      </c>
      <c r="AG728" t="inlineStr">
        <is>
          <t>RH40</t>
        </is>
      </c>
      <c r="AH728" t="inlineStr">
        <is>
          <t>NO</t>
        </is>
      </c>
      <c r="AI728" t="n">
        <v>40</v>
      </c>
      <c r="AJ728" t="n">
        <v>0</v>
      </c>
      <c r="AK728" t="n">
        <v>1</v>
      </c>
      <c r="AM728" t="n">
        <v>-18</v>
      </c>
      <c r="AP728" t="inlineStr">
        <is>
          <t>Non Haz</t>
        </is>
      </c>
      <c r="AQ728" t="inlineStr">
        <is>
          <t>CY/CY</t>
        </is>
      </c>
      <c r="AU728" t="n">
        <v>27000</v>
      </c>
      <c r="AV728" t="inlineStr">
        <is>
          <t>FROZEN MEAT</t>
        </is>
      </c>
      <c r="AX728" t="inlineStr">
        <is>
          <t>RSSAM042600072</t>
        </is>
      </c>
      <c r="AZ728" t="n">
        <v>5</v>
      </c>
      <c r="BA728" t="n">
        <v>30</v>
      </c>
      <c r="BB728" t="n">
        <v>15</v>
      </c>
      <c r="BC728" t="n">
        <v>9100</v>
      </c>
      <c r="BD728" t="inlineStr">
        <is>
          <t>No</t>
        </is>
      </c>
      <c r="BG728" t="inlineStr">
        <is>
          <t>USNYC</t>
        </is>
      </c>
      <c r="BH728" t="n">
        <v>0</v>
      </c>
      <c r="BI728" t="n">
        <v>0</v>
      </c>
      <c r="BJ728" t="inlineStr">
        <is>
          <t xml:space="preserve"> 0</t>
        </is>
      </c>
      <c r="BK728" t="inlineStr">
        <is>
          <t>LINE</t>
        </is>
      </c>
      <c r="BL728" t="inlineStr">
        <is>
          <t>SHARK REEFER</t>
        </is>
      </c>
      <c r="BM728" t="inlineStr">
        <is>
          <t>SHARK REEFER</t>
        </is>
      </c>
    </row>
    <row r="729">
      <c r="A729" t="n">
        <v>728</v>
      </c>
      <c r="B729" t="inlineStr">
        <is>
          <t>DOLPHIN REEFER</t>
        </is>
      </c>
      <c r="C729" t="inlineStr">
        <is>
          <t>REF000000</t>
        </is>
      </c>
      <c r="D729" t="inlineStr">
        <is>
          <t>REF000000</t>
        </is>
      </c>
      <c r="E729" t="inlineStr">
        <is>
          <t>10-APR-2026</t>
        </is>
      </c>
      <c r="F729" t="inlineStr">
        <is>
          <t>DOLPHIN REEFER</t>
        </is>
      </c>
      <c r="G729" t="inlineStr">
        <is>
          <t>PA</t>
        </is>
      </c>
      <c r="H729" t="inlineStr">
        <is>
          <t>DiegoSAM</t>
        </is>
      </c>
      <c r="J729" t="inlineStr">
        <is>
          <t>19-APR-2026</t>
        </is>
      </c>
      <c r="K729" t="inlineStr">
        <is>
          <t>19-APR-2026</t>
        </is>
      </c>
      <c r="M729" t="inlineStr">
        <is>
          <t>REF000000</t>
        </is>
      </c>
      <c r="N729" t="inlineStr">
        <is>
          <t>USNYC</t>
        </is>
      </c>
      <c r="O729" t="inlineStr">
        <is>
          <t>USNYC</t>
        </is>
      </c>
      <c r="P729" t="inlineStr">
        <is>
          <t>RUBLT</t>
        </is>
      </c>
      <c r="U729" t="inlineStr">
        <is>
          <t>RUBLT</t>
        </is>
      </c>
      <c r="V729" t="inlineStr">
        <is>
          <t>RUBLT</t>
        </is>
      </c>
      <c r="W729" t="inlineStr">
        <is>
          <t>UNITED STATES</t>
        </is>
      </c>
      <c r="X729" t="inlineStr">
        <is>
          <t>Latin America</t>
        </is>
      </c>
      <c r="Y729" t="inlineStr">
        <is>
          <t>RUSSIA</t>
        </is>
      </c>
      <c r="Z729" t="inlineStr">
        <is>
          <t>External Review</t>
        </is>
      </c>
      <c r="AA729" t="inlineStr">
        <is>
          <t>HUB Shipping-Kaliningrad</t>
        </is>
      </c>
      <c r="AB729" t="inlineStr">
        <is>
          <t>Prepaid</t>
        </is>
      </c>
      <c r="AC729" t="inlineStr">
        <is>
          <t>VENUS / VOYAGE 2</t>
        </is>
      </c>
      <c r="AE729" t="inlineStr">
        <is>
          <t>LADEN BOOKING</t>
        </is>
      </c>
      <c r="AF729" t="inlineStr">
        <is>
          <t>Joao RibeiroSAM</t>
        </is>
      </c>
      <c r="AG729" t="inlineStr">
        <is>
          <t>RH40</t>
        </is>
      </c>
      <c r="AH729" t="inlineStr">
        <is>
          <t>NO</t>
        </is>
      </c>
      <c r="AI729" t="n">
        <v>40</v>
      </c>
      <c r="AJ729" t="n">
        <v>0</v>
      </c>
      <c r="AK729" t="n">
        <v>1</v>
      </c>
      <c r="AM729" t="n">
        <v>-18</v>
      </c>
      <c r="AP729" t="inlineStr">
        <is>
          <t>Non Haz</t>
        </is>
      </c>
      <c r="AQ729" t="inlineStr">
        <is>
          <t>CY/CY</t>
        </is>
      </c>
      <c r="AU729" t="n">
        <v>27000</v>
      </c>
      <c r="AV729" t="inlineStr">
        <is>
          <t>FROZEN MEAT</t>
        </is>
      </c>
      <c r="AX729" t="inlineStr">
        <is>
          <t>RSSAM042600072</t>
        </is>
      </c>
      <c r="AZ729" t="n">
        <v>5</v>
      </c>
      <c r="BA729" t="n">
        <v>30</v>
      </c>
      <c r="BB729" t="n">
        <v>15</v>
      </c>
      <c r="BC729" t="n">
        <v>9100</v>
      </c>
      <c r="BD729" t="inlineStr">
        <is>
          <t>No</t>
        </is>
      </c>
      <c r="BG729" t="inlineStr">
        <is>
          <t>USNYC</t>
        </is>
      </c>
      <c r="BH729" t="n">
        <v>0</v>
      </c>
      <c r="BI729" t="n">
        <v>0</v>
      </c>
      <c r="BJ729" t="inlineStr">
        <is>
          <t xml:space="preserve"> 0</t>
        </is>
      </c>
      <c r="BK729" t="inlineStr">
        <is>
          <t>LINE</t>
        </is>
      </c>
      <c r="BL729" t="inlineStr">
        <is>
          <t>DOLPHIN REEFER</t>
        </is>
      </c>
      <c r="BM729" t="inlineStr">
        <is>
          <t>DOLPHIN REEFER</t>
        </is>
      </c>
    </row>
    <row r="730">
      <c r="A730" t="n">
        <v>729</v>
      </c>
      <c r="B730" t="inlineStr">
        <is>
          <t>MARLIN REEFER</t>
        </is>
      </c>
      <c r="C730" t="inlineStr">
        <is>
          <t>REF000000</t>
        </is>
      </c>
      <c r="D730" t="inlineStr">
        <is>
          <t>REF000000</t>
        </is>
      </c>
      <c r="E730" t="inlineStr">
        <is>
          <t>10-APR-2026</t>
        </is>
      </c>
      <c r="F730" t="inlineStr">
        <is>
          <t>MARLIN REEFER</t>
        </is>
      </c>
      <c r="G730" t="inlineStr">
        <is>
          <t>PA</t>
        </is>
      </c>
      <c r="H730" t="inlineStr">
        <is>
          <t>DiegoSAM</t>
        </is>
      </c>
      <c r="J730" t="inlineStr">
        <is>
          <t>19-APR-2026</t>
        </is>
      </c>
      <c r="K730" t="inlineStr">
        <is>
          <t>19-APR-2026</t>
        </is>
      </c>
      <c r="M730" t="inlineStr">
        <is>
          <t>REF000000</t>
        </is>
      </c>
      <c r="N730" t="inlineStr">
        <is>
          <t>USNYC</t>
        </is>
      </c>
      <c r="O730" t="inlineStr">
        <is>
          <t>USNYC</t>
        </is>
      </c>
      <c r="P730" t="inlineStr">
        <is>
          <t>RUBLT</t>
        </is>
      </c>
      <c r="U730" t="inlineStr">
        <is>
          <t>RUBLT</t>
        </is>
      </c>
      <c r="V730" t="inlineStr">
        <is>
          <t>RUBLT</t>
        </is>
      </c>
      <c r="W730" t="inlineStr">
        <is>
          <t>UNITED STATES</t>
        </is>
      </c>
      <c r="X730" t="inlineStr">
        <is>
          <t>Latin America</t>
        </is>
      </c>
      <c r="Y730" t="inlineStr">
        <is>
          <t>RUSSIA</t>
        </is>
      </c>
      <c r="Z730" t="inlineStr">
        <is>
          <t>External Review</t>
        </is>
      </c>
      <c r="AA730" t="inlineStr">
        <is>
          <t>HUB Shipping-Kaliningrad</t>
        </is>
      </c>
      <c r="AB730" t="inlineStr">
        <is>
          <t>Prepaid</t>
        </is>
      </c>
      <c r="AC730" t="inlineStr">
        <is>
          <t>VENUS / VOYAGE 2</t>
        </is>
      </c>
      <c r="AE730" t="inlineStr">
        <is>
          <t>LADEN BOOKING</t>
        </is>
      </c>
      <c r="AF730" t="inlineStr">
        <is>
          <t>Joao RibeiroSAM</t>
        </is>
      </c>
      <c r="AG730" t="inlineStr">
        <is>
          <t>RH40</t>
        </is>
      </c>
      <c r="AH730" t="inlineStr">
        <is>
          <t>NO</t>
        </is>
      </c>
      <c r="AI730" t="n">
        <v>40</v>
      </c>
      <c r="AJ730" t="n">
        <v>0</v>
      </c>
      <c r="AK730" t="n">
        <v>1</v>
      </c>
      <c r="AM730" t="n">
        <v>-18</v>
      </c>
      <c r="AP730" t="inlineStr">
        <is>
          <t>Non Haz</t>
        </is>
      </c>
      <c r="AQ730" t="inlineStr">
        <is>
          <t>CY/CY</t>
        </is>
      </c>
      <c r="AU730" t="n">
        <v>27000</v>
      </c>
      <c r="AV730" t="inlineStr">
        <is>
          <t>FROZEN MEAT</t>
        </is>
      </c>
      <c r="AX730" t="inlineStr">
        <is>
          <t>RSSAM042600072</t>
        </is>
      </c>
      <c r="AZ730" t="n">
        <v>5</v>
      </c>
      <c r="BA730" t="n">
        <v>30</v>
      </c>
      <c r="BB730" t="n">
        <v>15</v>
      </c>
      <c r="BC730" t="n">
        <v>9100</v>
      </c>
      <c r="BD730" t="inlineStr">
        <is>
          <t>No</t>
        </is>
      </c>
      <c r="BG730" t="inlineStr">
        <is>
          <t>USNYC</t>
        </is>
      </c>
      <c r="BH730" t="n">
        <v>0</v>
      </c>
      <c r="BI730" t="n">
        <v>0</v>
      </c>
      <c r="BJ730" t="inlineStr">
        <is>
          <t xml:space="preserve"> 0</t>
        </is>
      </c>
      <c r="BK730" t="inlineStr">
        <is>
          <t>LINE</t>
        </is>
      </c>
      <c r="BL730" t="inlineStr">
        <is>
          <t>MARLIN REEFER</t>
        </is>
      </c>
      <c r="BM730" t="inlineStr">
        <is>
          <t>MARLIN REEFER</t>
        </is>
      </c>
    </row>
    <row r="731">
      <c r="A731" t="n">
        <v>730</v>
      </c>
      <c r="B731" t="inlineStr">
        <is>
          <t>TURTLE REEFER</t>
        </is>
      </c>
      <c r="C731" t="inlineStr">
        <is>
          <t>REF000000</t>
        </is>
      </c>
      <c r="D731" t="inlineStr">
        <is>
          <t>REF000000</t>
        </is>
      </c>
      <c r="E731" t="inlineStr">
        <is>
          <t>10-APR-2026</t>
        </is>
      </c>
      <c r="F731" t="inlineStr">
        <is>
          <t>TURTLE REEFER</t>
        </is>
      </c>
      <c r="G731" t="inlineStr">
        <is>
          <t>PA</t>
        </is>
      </c>
      <c r="H731" t="inlineStr">
        <is>
          <t>DiegoSAM</t>
        </is>
      </c>
      <c r="J731" t="inlineStr">
        <is>
          <t>01-MAY-2026</t>
        </is>
      </c>
      <c r="K731" t="inlineStr">
        <is>
          <t>30-APR-2026</t>
        </is>
      </c>
      <c r="M731" t="inlineStr">
        <is>
          <t>REF000000</t>
        </is>
      </c>
      <c r="N731" t="inlineStr">
        <is>
          <t>USNYC</t>
        </is>
      </c>
      <c r="O731" t="inlineStr">
        <is>
          <t>USNYC</t>
        </is>
      </c>
      <c r="P731" t="inlineStr">
        <is>
          <t>RULED</t>
        </is>
      </c>
      <c r="U731" t="inlineStr">
        <is>
          <t>RULED</t>
        </is>
      </c>
      <c r="V731" t="inlineStr">
        <is>
          <t>RULED</t>
        </is>
      </c>
      <c r="W731" t="inlineStr">
        <is>
          <t>UNITED STATES</t>
        </is>
      </c>
      <c r="X731" t="inlineStr">
        <is>
          <t>Latin America</t>
        </is>
      </c>
      <c r="Y731" t="inlineStr">
        <is>
          <t>RUSSIA</t>
        </is>
      </c>
      <c r="Z731" t="inlineStr">
        <is>
          <t>External Review</t>
        </is>
      </c>
      <c r="AA731" t="inlineStr">
        <is>
          <t>HUB SHIPPING LLC-LED</t>
        </is>
      </c>
      <c r="AB731" t="inlineStr">
        <is>
          <t>Prepaid</t>
        </is>
      </c>
      <c r="AC731" t="inlineStr">
        <is>
          <t>LI DA XING/VOYAGE 1</t>
        </is>
      </c>
      <c r="AE731" t="inlineStr">
        <is>
          <t>LADEN BOOKING</t>
        </is>
      </c>
      <c r="AF731" t="inlineStr">
        <is>
          <t>Joao RibeiroSAM</t>
        </is>
      </c>
      <c r="AG731" t="inlineStr">
        <is>
          <t>RH40</t>
        </is>
      </c>
      <c r="AH731" t="inlineStr">
        <is>
          <t>NO</t>
        </is>
      </c>
      <c r="AI731" t="n">
        <v>40</v>
      </c>
      <c r="AJ731" t="n">
        <v>0</v>
      </c>
      <c r="AK731" t="n">
        <v>1</v>
      </c>
      <c r="AM731" t="n">
        <v>-18</v>
      </c>
      <c r="AP731" t="inlineStr">
        <is>
          <t>Non Haz</t>
        </is>
      </c>
      <c r="AQ731" t="inlineStr">
        <is>
          <t>CY/CY</t>
        </is>
      </c>
      <c r="AU731" t="n">
        <v>28000</v>
      </c>
      <c r="AV731" t="inlineStr">
        <is>
          <t>FROZEN MEAT</t>
        </is>
      </c>
      <c r="AX731" t="inlineStr">
        <is>
          <t>RSSAM042600068</t>
        </is>
      </c>
      <c r="AZ731" t="n">
        <v>5</v>
      </c>
      <c r="BA731" t="n">
        <v>30</v>
      </c>
      <c r="BB731" t="n">
        <v>15</v>
      </c>
      <c r="BC731" t="n">
        <v>7000</v>
      </c>
      <c r="BD731" t="inlineStr">
        <is>
          <t>No</t>
        </is>
      </c>
      <c r="BG731" t="inlineStr">
        <is>
          <t>USNYC</t>
        </is>
      </c>
      <c r="BH731" t="n">
        <v>0</v>
      </c>
      <c r="BI731" t="n">
        <v>0</v>
      </c>
      <c r="BJ731" t="inlineStr">
        <is>
          <t xml:space="preserve"> 0</t>
        </is>
      </c>
      <c r="BK731" t="inlineStr">
        <is>
          <t>LINE</t>
        </is>
      </c>
      <c r="BL731" t="inlineStr">
        <is>
          <t>TURTLE REEFER</t>
        </is>
      </c>
      <c r="BM731" t="inlineStr">
        <is>
          <t>TURTLE REEFER</t>
        </is>
      </c>
    </row>
    <row r="732">
      <c r="A732" t="n">
        <v>731</v>
      </c>
      <c r="B732" t="inlineStr">
        <is>
          <t>ORCA REEFER</t>
        </is>
      </c>
      <c r="C732" t="inlineStr">
        <is>
          <t>REF000000</t>
        </is>
      </c>
      <c r="D732" t="inlineStr">
        <is>
          <t>REF000000</t>
        </is>
      </c>
      <c r="E732" t="inlineStr">
        <is>
          <t>10-APR-2026</t>
        </is>
      </c>
      <c r="F732" t="inlineStr">
        <is>
          <t>ORCA REEFER</t>
        </is>
      </c>
      <c r="G732" t="inlineStr">
        <is>
          <t>PA</t>
        </is>
      </c>
      <c r="H732" t="inlineStr">
        <is>
          <t>DiegoSAM</t>
        </is>
      </c>
      <c r="J732" t="inlineStr">
        <is>
          <t>19-APR-2026</t>
        </is>
      </c>
      <c r="K732" t="inlineStr">
        <is>
          <t>19-APR-2026</t>
        </is>
      </c>
      <c r="M732" t="inlineStr">
        <is>
          <t>REF000000</t>
        </is>
      </c>
      <c r="N732" t="inlineStr">
        <is>
          <t>USNYC</t>
        </is>
      </c>
      <c r="O732" t="inlineStr">
        <is>
          <t>USNYC</t>
        </is>
      </c>
      <c r="P732" t="inlineStr">
        <is>
          <t>RULED</t>
        </is>
      </c>
      <c r="U732" t="inlineStr">
        <is>
          <t>RULED</t>
        </is>
      </c>
      <c r="V732" t="inlineStr">
        <is>
          <t>RULED</t>
        </is>
      </c>
      <c r="W732" t="inlineStr">
        <is>
          <t>UNITED STATES</t>
        </is>
      </c>
      <c r="X732" t="inlineStr">
        <is>
          <t>Latin America</t>
        </is>
      </c>
      <c r="Y732" t="inlineStr">
        <is>
          <t>RUSSIA</t>
        </is>
      </c>
      <c r="Z732" t="inlineStr">
        <is>
          <t>External Review</t>
        </is>
      </c>
      <c r="AA732" t="inlineStr">
        <is>
          <t>HUB SHIPPING LLC-LED</t>
        </is>
      </c>
      <c r="AB732" t="inlineStr">
        <is>
          <t>Prepaid</t>
        </is>
      </c>
      <c r="AC732" t="inlineStr">
        <is>
          <t>VENUS / VOYAGE 2</t>
        </is>
      </c>
      <c r="AE732" t="inlineStr">
        <is>
          <t>LADEN BOOKING</t>
        </is>
      </c>
      <c r="AF732" t="inlineStr">
        <is>
          <t>Joao RibeiroSAM</t>
        </is>
      </c>
      <c r="AG732" t="inlineStr">
        <is>
          <t>RH40</t>
        </is>
      </c>
      <c r="AH732" t="inlineStr">
        <is>
          <t>NO</t>
        </is>
      </c>
      <c r="AI732" t="n">
        <v>40</v>
      </c>
      <c r="AJ732" t="n">
        <v>0</v>
      </c>
      <c r="AK732" t="n">
        <v>1</v>
      </c>
      <c r="AM732" t="n">
        <v>-18</v>
      </c>
      <c r="AP732" t="inlineStr">
        <is>
          <t>Non Haz</t>
        </is>
      </c>
      <c r="AQ732" t="inlineStr">
        <is>
          <t>CY/CY</t>
        </is>
      </c>
      <c r="AU732" t="n">
        <v>28000</v>
      </c>
      <c r="AV732" t="inlineStr">
        <is>
          <t>FROZEN MEAT</t>
        </is>
      </c>
      <c r="AX732" t="inlineStr">
        <is>
          <t>RSSAM042600068</t>
        </is>
      </c>
      <c r="AZ732" t="n">
        <v>5</v>
      </c>
      <c r="BA732" t="n">
        <v>30</v>
      </c>
      <c r="BB732" t="n">
        <v>15</v>
      </c>
      <c r="BC732" t="n">
        <v>7000</v>
      </c>
      <c r="BD732" t="inlineStr">
        <is>
          <t>No</t>
        </is>
      </c>
      <c r="BG732" t="inlineStr">
        <is>
          <t>USNYC</t>
        </is>
      </c>
      <c r="BH732" t="n">
        <v>0</v>
      </c>
      <c r="BI732" t="n">
        <v>0</v>
      </c>
      <c r="BJ732" t="inlineStr">
        <is>
          <t xml:space="preserve"> 0</t>
        </is>
      </c>
      <c r="BK732" t="inlineStr">
        <is>
          <t>LINE</t>
        </is>
      </c>
      <c r="BL732" t="inlineStr">
        <is>
          <t>ORCA REEFER</t>
        </is>
      </c>
      <c r="BM732" t="inlineStr">
        <is>
          <t>ORCA REEFER</t>
        </is>
      </c>
    </row>
    <row r="733">
      <c r="A733" t="n">
        <v>732</v>
      </c>
      <c r="B733" t="inlineStr">
        <is>
          <t>WHALE REEFER</t>
        </is>
      </c>
      <c r="C733" t="inlineStr">
        <is>
          <t>REF000000</t>
        </is>
      </c>
      <c r="D733" t="inlineStr">
        <is>
          <t>REF000000</t>
        </is>
      </c>
      <c r="E733" t="inlineStr">
        <is>
          <t>10-APR-2026</t>
        </is>
      </c>
      <c r="F733" t="inlineStr">
        <is>
          <t>WHALE REEFER</t>
        </is>
      </c>
      <c r="G733" t="inlineStr">
        <is>
          <t>PA</t>
        </is>
      </c>
      <c r="H733" t="inlineStr">
        <is>
          <t>DiegoSAM</t>
        </is>
      </c>
      <c r="J733" t="inlineStr">
        <is>
          <t>19-APR-2026</t>
        </is>
      </c>
      <c r="K733" t="inlineStr">
        <is>
          <t>19-APR-2026</t>
        </is>
      </c>
      <c r="M733" t="inlineStr">
        <is>
          <t>REF000000</t>
        </is>
      </c>
      <c r="N733" t="inlineStr">
        <is>
          <t>USNYC</t>
        </is>
      </c>
      <c r="O733" t="inlineStr">
        <is>
          <t>USNYC</t>
        </is>
      </c>
      <c r="P733" t="inlineStr">
        <is>
          <t>RULED</t>
        </is>
      </c>
      <c r="U733" t="inlineStr">
        <is>
          <t>RULED</t>
        </is>
      </c>
      <c r="V733" t="inlineStr">
        <is>
          <t>RULED</t>
        </is>
      </c>
      <c r="W733" t="inlineStr">
        <is>
          <t>UNITED STATES</t>
        </is>
      </c>
      <c r="X733" t="inlineStr">
        <is>
          <t>Latin America</t>
        </is>
      </c>
      <c r="Y733" t="inlineStr">
        <is>
          <t>RUSSIA</t>
        </is>
      </c>
      <c r="Z733" t="inlineStr">
        <is>
          <t>External Review</t>
        </is>
      </c>
      <c r="AA733" t="inlineStr">
        <is>
          <t>HUB SHIPPING LLC-LED</t>
        </is>
      </c>
      <c r="AB733" t="inlineStr">
        <is>
          <t>Prepaid</t>
        </is>
      </c>
      <c r="AC733" t="inlineStr">
        <is>
          <t>VENUS / VOYAGE 2</t>
        </is>
      </c>
      <c r="AE733" t="inlineStr">
        <is>
          <t>LADEN BOOKING</t>
        </is>
      </c>
      <c r="AF733" t="inlineStr">
        <is>
          <t>Joao RibeiroSAM</t>
        </is>
      </c>
      <c r="AG733" t="inlineStr">
        <is>
          <t>RH40</t>
        </is>
      </c>
      <c r="AH733" t="inlineStr">
        <is>
          <t>NO</t>
        </is>
      </c>
      <c r="AI733" t="n">
        <v>40</v>
      </c>
      <c r="AJ733" t="n">
        <v>0</v>
      </c>
      <c r="AK733" t="n">
        <v>1</v>
      </c>
      <c r="AM733" t="n">
        <v>-18</v>
      </c>
      <c r="AP733" t="inlineStr">
        <is>
          <t>Non Haz</t>
        </is>
      </c>
      <c r="AQ733" t="inlineStr">
        <is>
          <t>CY/CY</t>
        </is>
      </c>
      <c r="AU733" t="n">
        <v>28000</v>
      </c>
      <c r="AV733" t="inlineStr">
        <is>
          <t>FROZEN MEAT</t>
        </is>
      </c>
      <c r="AX733" t="inlineStr">
        <is>
          <t>RSSAM042600068</t>
        </is>
      </c>
      <c r="AZ733" t="n">
        <v>5</v>
      </c>
      <c r="BA733" t="n">
        <v>30</v>
      </c>
      <c r="BB733" t="n">
        <v>15</v>
      </c>
      <c r="BC733" t="n">
        <v>7000</v>
      </c>
      <c r="BD733" t="inlineStr">
        <is>
          <t>No</t>
        </is>
      </c>
      <c r="BG733" t="inlineStr">
        <is>
          <t>USNYC</t>
        </is>
      </c>
      <c r="BH733" t="n">
        <v>0</v>
      </c>
      <c r="BI733" t="n">
        <v>0</v>
      </c>
      <c r="BJ733" t="inlineStr">
        <is>
          <t xml:space="preserve"> 0</t>
        </is>
      </c>
      <c r="BK733" t="inlineStr">
        <is>
          <t>LINE</t>
        </is>
      </c>
      <c r="BL733" t="inlineStr">
        <is>
          <t>WHALE REEFER</t>
        </is>
      </c>
      <c r="BM733" t="inlineStr">
        <is>
          <t>WHALE REEFER</t>
        </is>
      </c>
    </row>
    <row r="734">
      <c r="A734" t="n">
        <v>733</v>
      </c>
      <c r="B734" t="inlineStr">
        <is>
          <t>SEAL REEFER</t>
        </is>
      </c>
      <c r="C734" t="inlineStr">
        <is>
          <t>REF000000</t>
        </is>
      </c>
      <c r="D734" t="inlineStr">
        <is>
          <t>REF000000</t>
        </is>
      </c>
      <c r="E734" t="inlineStr">
        <is>
          <t>10-APR-2026</t>
        </is>
      </c>
      <c r="F734" t="inlineStr">
        <is>
          <t>SEAL REEFER</t>
        </is>
      </c>
      <c r="G734" t="inlineStr">
        <is>
          <t>PA</t>
        </is>
      </c>
      <c r="H734" t="inlineStr">
        <is>
          <t>DiegoSAM</t>
        </is>
      </c>
      <c r="J734" t="inlineStr">
        <is>
          <t>19-APR-2026</t>
        </is>
      </c>
      <c r="K734" t="inlineStr">
        <is>
          <t>19-APR-2026</t>
        </is>
      </c>
      <c r="M734" t="inlineStr">
        <is>
          <t>REF000000</t>
        </is>
      </c>
      <c r="N734" t="inlineStr">
        <is>
          <t>USNYC</t>
        </is>
      </c>
      <c r="O734" t="inlineStr">
        <is>
          <t>USNYC</t>
        </is>
      </c>
      <c r="P734" t="inlineStr">
        <is>
          <t>RULED</t>
        </is>
      </c>
      <c r="U734" t="inlineStr">
        <is>
          <t>RULED</t>
        </is>
      </c>
      <c r="V734" t="inlineStr">
        <is>
          <t>RULED</t>
        </is>
      </c>
      <c r="W734" t="inlineStr">
        <is>
          <t>UNITED STATES</t>
        </is>
      </c>
      <c r="X734" t="inlineStr">
        <is>
          <t>Latin America</t>
        </is>
      </c>
      <c r="Y734" t="inlineStr">
        <is>
          <t>RUSSIA</t>
        </is>
      </c>
      <c r="Z734" t="inlineStr">
        <is>
          <t>External Review</t>
        </is>
      </c>
      <c r="AA734" t="inlineStr">
        <is>
          <t>HUB SHIPPING LLC-LED</t>
        </is>
      </c>
      <c r="AB734" t="inlineStr">
        <is>
          <t>Prepaid</t>
        </is>
      </c>
      <c r="AC734" t="inlineStr">
        <is>
          <t>VENUS / VOYAGE 2</t>
        </is>
      </c>
      <c r="AE734" t="inlineStr">
        <is>
          <t>LADEN BOOKING</t>
        </is>
      </c>
      <c r="AF734" t="inlineStr">
        <is>
          <t>Joao RibeiroSAM</t>
        </is>
      </c>
      <c r="AG734" t="inlineStr">
        <is>
          <t>RH40</t>
        </is>
      </c>
      <c r="AH734" t="inlineStr">
        <is>
          <t>NO</t>
        </is>
      </c>
      <c r="AI734" t="n">
        <v>40</v>
      </c>
      <c r="AJ734" t="n">
        <v>0</v>
      </c>
      <c r="AK734" t="n">
        <v>1</v>
      </c>
      <c r="AM734" t="n">
        <v>-18</v>
      </c>
      <c r="AP734" t="inlineStr">
        <is>
          <t>Non Haz</t>
        </is>
      </c>
      <c r="AQ734" t="inlineStr">
        <is>
          <t>CY/CY</t>
        </is>
      </c>
      <c r="AU734" t="n">
        <v>28000</v>
      </c>
      <c r="AV734" t="inlineStr">
        <is>
          <t>FROZEN MEAT</t>
        </is>
      </c>
      <c r="AX734" t="inlineStr">
        <is>
          <t>RSSAM042600068</t>
        </is>
      </c>
      <c r="AZ734" t="n">
        <v>5</v>
      </c>
      <c r="BA734" t="n">
        <v>30</v>
      </c>
      <c r="BB734" t="n">
        <v>15</v>
      </c>
      <c r="BC734" t="n">
        <v>7000</v>
      </c>
      <c r="BD734" t="inlineStr">
        <is>
          <t>No</t>
        </is>
      </c>
      <c r="BG734" t="inlineStr">
        <is>
          <t>USNYC</t>
        </is>
      </c>
      <c r="BH734" t="n">
        <v>0</v>
      </c>
      <c r="BI734" t="n">
        <v>0</v>
      </c>
      <c r="BJ734" t="inlineStr">
        <is>
          <t xml:space="preserve"> 0</t>
        </is>
      </c>
      <c r="BK734" t="inlineStr">
        <is>
          <t>LINE</t>
        </is>
      </c>
      <c r="BL734" t="inlineStr">
        <is>
          <t>SEAL REEFER</t>
        </is>
      </c>
      <c r="BM734" t="inlineStr">
        <is>
          <t>SEAL REEFER</t>
        </is>
      </c>
    </row>
    <row r="735">
      <c r="A735" t="n">
        <v>734</v>
      </c>
      <c r="B735" t="inlineStr">
        <is>
          <t>SHARK REEFER</t>
        </is>
      </c>
      <c r="C735" t="inlineStr">
        <is>
          <t>REF000000</t>
        </is>
      </c>
      <c r="D735" t="inlineStr">
        <is>
          <t>REF000000</t>
        </is>
      </c>
      <c r="E735" t="inlineStr">
        <is>
          <t>10-APR-2026</t>
        </is>
      </c>
      <c r="F735" t="inlineStr">
        <is>
          <t>SHARK REEFER</t>
        </is>
      </c>
      <c r="G735" t="inlineStr">
        <is>
          <t>PA</t>
        </is>
      </c>
      <c r="H735" t="inlineStr">
        <is>
          <t>DiegoSAM</t>
        </is>
      </c>
      <c r="J735" t="inlineStr">
        <is>
          <t>23-APR-2026</t>
        </is>
      </c>
      <c r="K735" t="inlineStr">
        <is>
          <t>23-APR-2026</t>
        </is>
      </c>
      <c r="M735" t="inlineStr">
        <is>
          <t>REF000000</t>
        </is>
      </c>
      <c r="N735" t="inlineStr">
        <is>
          <t>USNFK</t>
        </is>
      </c>
      <c r="O735" t="inlineStr">
        <is>
          <t>USNFK</t>
        </is>
      </c>
      <c r="P735" t="inlineStr">
        <is>
          <t>RULED</t>
        </is>
      </c>
      <c r="U735" t="inlineStr">
        <is>
          <t>RULED</t>
        </is>
      </c>
      <c r="V735" t="inlineStr">
        <is>
          <t>RULED</t>
        </is>
      </c>
      <c r="W735" t="inlineStr">
        <is>
          <t>UNITED STATES</t>
        </is>
      </c>
      <c r="X735" t="inlineStr">
        <is>
          <t>Latin America</t>
        </is>
      </c>
      <c r="Y735" t="inlineStr">
        <is>
          <t>RUSSIA</t>
        </is>
      </c>
      <c r="Z735" t="inlineStr">
        <is>
          <t>External Review</t>
        </is>
      </c>
      <c r="AA735" t="inlineStr">
        <is>
          <t>HUB SHIPPING LLC-LED</t>
        </is>
      </c>
      <c r="AB735" t="inlineStr">
        <is>
          <t>Prepaid</t>
        </is>
      </c>
      <c r="AC735" t="inlineStr">
        <is>
          <t>VENUS / VOYAGE 2</t>
        </is>
      </c>
      <c r="AE735" t="inlineStr">
        <is>
          <t>LADEN BOOKING</t>
        </is>
      </c>
      <c r="AF735" t="inlineStr">
        <is>
          <t>Joao RibeiroSAM</t>
        </is>
      </c>
      <c r="AG735" t="inlineStr">
        <is>
          <t>RH40</t>
        </is>
      </c>
      <c r="AH735" t="inlineStr">
        <is>
          <t>NO</t>
        </is>
      </c>
      <c r="AI735" t="n">
        <v>40</v>
      </c>
      <c r="AJ735" t="n">
        <v>0</v>
      </c>
      <c r="AK735" t="n">
        <v>1</v>
      </c>
      <c r="AM735" t="n">
        <v>-18</v>
      </c>
      <c r="AP735" t="inlineStr">
        <is>
          <t>Non Haz</t>
        </is>
      </c>
      <c r="AQ735" t="inlineStr">
        <is>
          <t>CY/CY</t>
        </is>
      </c>
      <c r="AU735" t="n">
        <v>28000</v>
      </c>
      <c r="AV735" t="inlineStr">
        <is>
          <t>FROZEN MEAT</t>
        </is>
      </c>
      <c r="AX735" t="inlineStr">
        <is>
          <t>RSSAM042600067</t>
        </is>
      </c>
      <c r="AZ735" t="n">
        <v>5</v>
      </c>
      <c r="BA735" t="n">
        <v>30</v>
      </c>
      <c r="BB735" t="n">
        <v>15</v>
      </c>
      <c r="BC735" t="n">
        <v>7000</v>
      </c>
      <c r="BD735" t="inlineStr">
        <is>
          <t>No</t>
        </is>
      </c>
      <c r="BG735" t="inlineStr">
        <is>
          <t>USNFK</t>
        </is>
      </c>
      <c r="BH735" t="n">
        <v>0</v>
      </c>
      <c r="BI735" t="n">
        <v>0</v>
      </c>
      <c r="BJ735" t="inlineStr">
        <is>
          <t xml:space="preserve"> 0</t>
        </is>
      </c>
      <c r="BK735" t="inlineStr">
        <is>
          <t>LINE</t>
        </is>
      </c>
      <c r="BL735" t="inlineStr">
        <is>
          <t>SHARK REEFER</t>
        </is>
      </c>
      <c r="BM735" t="inlineStr">
        <is>
          <t>SHARK REEFER</t>
        </is>
      </c>
    </row>
    <row r="736">
      <c r="A736" t="n">
        <v>735</v>
      </c>
      <c r="B736" t="inlineStr">
        <is>
          <t>DOLPHIN REEFER</t>
        </is>
      </c>
      <c r="C736" t="inlineStr">
        <is>
          <t>REF000000</t>
        </is>
      </c>
      <c r="D736" t="inlineStr">
        <is>
          <t>REF000000</t>
        </is>
      </c>
      <c r="E736" t="inlineStr">
        <is>
          <t>10-APR-2026</t>
        </is>
      </c>
      <c r="F736" t="inlineStr">
        <is>
          <t>DOLPHIN REEFER</t>
        </is>
      </c>
      <c r="H736" t="inlineStr">
        <is>
          <t>AdminSAM</t>
        </is>
      </c>
      <c r="J736" t="inlineStr">
        <is>
          <t>01-MAY-2026</t>
        </is>
      </c>
      <c r="K736" t="inlineStr">
        <is>
          <t>30-APR-2026</t>
        </is>
      </c>
      <c r="M736" t="inlineStr">
        <is>
          <t>REF000000</t>
        </is>
      </c>
      <c r="N736" t="inlineStr">
        <is>
          <t>USNYC</t>
        </is>
      </c>
      <c r="O736" t="inlineStr">
        <is>
          <t>USNYC</t>
        </is>
      </c>
      <c r="P736" t="inlineStr">
        <is>
          <t>RULED</t>
        </is>
      </c>
      <c r="U736" t="inlineStr">
        <is>
          <t>RULED</t>
        </is>
      </c>
      <c r="V736" t="inlineStr">
        <is>
          <t>RULED</t>
        </is>
      </c>
      <c r="W736" t="inlineStr">
        <is>
          <t>UNITED STATES</t>
        </is>
      </c>
      <c r="X736" t="inlineStr">
        <is>
          <t>Latin America</t>
        </is>
      </c>
      <c r="Y736" t="inlineStr">
        <is>
          <t>RUSSIA</t>
        </is>
      </c>
      <c r="Z736" t="inlineStr">
        <is>
          <t>External Review</t>
        </is>
      </c>
      <c r="AA736" t="inlineStr">
        <is>
          <t>HUB SHIPPING LLC-LED</t>
        </is>
      </c>
      <c r="AB736" t="inlineStr">
        <is>
          <t>Collect</t>
        </is>
      </c>
      <c r="AC736" t="inlineStr">
        <is>
          <t>LI DA XING/VOYAGE 1</t>
        </is>
      </c>
      <c r="AE736" t="inlineStr">
        <is>
          <t>LADEN BOOKING</t>
        </is>
      </c>
      <c r="AF736" t="inlineStr">
        <is>
          <t>RenniSAM</t>
        </is>
      </c>
      <c r="AG736" t="inlineStr">
        <is>
          <t>DC20</t>
        </is>
      </c>
      <c r="AH736" t="inlineStr">
        <is>
          <t>NO</t>
        </is>
      </c>
      <c r="AI736" t="n">
        <v>20</v>
      </c>
      <c r="AJ736" t="n">
        <v>3</v>
      </c>
      <c r="AK736" t="n">
        <v>0</v>
      </c>
      <c r="AP736" t="inlineStr">
        <is>
          <t>Non Haz</t>
        </is>
      </c>
      <c r="AQ736" t="inlineStr">
        <is>
          <t>CY/CY</t>
        </is>
      </c>
      <c r="AU736" t="n">
        <v>23000</v>
      </c>
      <c r="AV736" t="inlineStr">
        <is>
          <t>GENERAL COMMODITY</t>
        </is>
      </c>
      <c r="AX736" t="inlineStr">
        <is>
          <t>RSSAM042600079</t>
        </is>
      </c>
      <c r="AZ736" t="n">
        <v>0</v>
      </c>
      <c r="BA736" t="n">
        <v>14</v>
      </c>
      <c r="BB736" t="n">
        <v>14</v>
      </c>
      <c r="BC736" t="n">
        <v>2475</v>
      </c>
      <c r="BD736" t="inlineStr">
        <is>
          <t>Yes</t>
        </is>
      </c>
      <c r="BG736" t="inlineStr">
        <is>
          <t>RULED</t>
        </is>
      </c>
      <c r="BH736" t="n">
        <v>0</v>
      </c>
      <c r="BI736" t="n">
        <v>0</v>
      </c>
      <c r="BJ736" t="inlineStr">
        <is>
          <t xml:space="preserve"> 0</t>
        </is>
      </c>
      <c r="BK736" t="inlineStr">
        <is>
          <t>LINE</t>
        </is>
      </c>
      <c r="BL736" t="inlineStr">
        <is>
          <t>DOLPHIN REEFER</t>
        </is>
      </c>
      <c r="BM736" t="inlineStr">
        <is>
          <t>DOLPHIN REEFER</t>
        </is>
      </c>
    </row>
    <row r="737">
      <c r="A737" t="n">
        <v>736</v>
      </c>
      <c r="B737" t="inlineStr">
        <is>
          <t>MARLIN REEFER</t>
        </is>
      </c>
      <c r="C737" t="inlineStr">
        <is>
          <t>REF000000</t>
        </is>
      </c>
      <c r="D737" t="inlineStr">
        <is>
          <t>REF000000</t>
        </is>
      </c>
      <c r="E737" t="inlineStr">
        <is>
          <t>10-APR-2026</t>
        </is>
      </c>
      <c r="F737" t="inlineStr">
        <is>
          <t>MARLIN REEFER</t>
        </is>
      </c>
      <c r="G737" t="inlineStr">
        <is>
          <t>PREPAID</t>
        </is>
      </c>
      <c r="H737" t="inlineStr">
        <is>
          <t>DiegoSAM</t>
        </is>
      </c>
      <c r="J737" t="inlineStr">
        <is>
          <t>23-APR-2026</t>
        </is>
      </c>
      <c r="K737" t="inlineStr">
        <is>
          <t>23-APR-2026</t>
        </is>
      </c>
      <c r="M737" t="inlineStr">
        <is>
          <t>REF000000</t>
        </is>
      </c>
      <c r="N737" t="inlineStr">
        <is>
          <t>USNFK</t>
        </is>
      </c>
      <c r="O737" t="inlineStr">
        <is>
          <t>USNFK</t>
        </is>
      </c>
      <c r="P737" t="inlineStr">
        <is>
          <t>RULED</t>
        </is>
      </c>
      <c r="U737" t="inlineStr">
        <is>
          <t>RULED</t>
        </is>
      </c>
      <c r="V737" t="inlineStr">
        <is>
          <t>RULED</t>
        </is>
      </c>
      <c r="W737" t="inlineStr">
        <is>
          <t>UNITED STATES</t>
        </is>
      </c>
      <c r="X737" t="inlineStr">
        <is>
          <t>Latin America</t>
        </is>
      </c>
      <c r="Y737" t="inlineStr">
        <is>
          <t>RUSSIA</t>
        </is>
      </c>
      <c r="Z737" t="inlineStr">
        <is>
          <t>External Review</t>
        </is>
      </c>
      <c r="AA737" t="inlineStr">
        <is>
          <t>HUB SHIPPING LLC-LED</t>
        </is>
      </c>
      <c r="AB737" t="inlineStr">
        <is>
          <t>Prepaid</t>
        </is>
      </c>
      <c r="AC737" t="inlineStr">
        <is>
          <t>VENUS / VOYAGE 2</t>
        </is>
      </c>
      <c r="AE737" t="inlineStr">
        <is>
          <t>LADEN BOOKING</t>
        </is>
      </c>
      <c r="AF737" t="inlineStr">
        <is>
          <t>Guilherme Souza</t>
        </is>
      </c>
      <c r="AG737" t="inlineStr">
        <is>
          <t>RH40</t>
        </is>
      </c>
      <c r="AH737" t="inlineStr">
        <is>
          <t>NO</t>
        </is>
      </c>
      <c r="AI737" t="n">
        <v>40</v>
      </c>
      <c r="AJ737" t="n">
        <v>0</v>
      </c>
      <c r="AK737" t="n">
        <v>1</v>
      </c>
      <c r="AM737" t="n">
        <v>-18</v>
      </c>
      <c r="AP737" t="inlineStr">
        <is>
          <t>Non Haz</t>
        </is>
      </c>
      <c r="AQ737" t="inlineStr">
        <is>
          <t>CY/CY</t>
        </is>
      </c>
      <c r="AU737" t="n">
        <v>28000</v>
      </c>
      <c r="AV737" t="inlineStr">
        <is>
          <t>FROZEN MEAT</t>
        </is>
      </c>
      <c r="AX737" t="inlineStr">
        <is>
          <t>RSSAM042600029</t>
        </is>
      </c>
      <c r="AZ737" t="n">
        <v>5</v>
      </c>
      <c r="BA737" t="n">
        <v>25</v>
      </c>
      <c r="BB737" t="n">
        <v>15</v>
      </c>
      <c r="BC737" t="n">
        <v>7000</v>
      </c>
      <c r="BD737" t="inlineStr">
        <is>
          <t>No</t>
        </is>
      </c>
      <c r="BG737" t="inlineStr">
        <is>
          <t>USNFK</t>
        </is>
      </c>
      <c r="BH737" t="n">
        <v>0</v>
      </c>
      <c r="BI737" t="n">
        <v>0</v>
      </c>
      <c r="BJ737" t="inlineStr">
        <is>
          <t xml:space="preserve"> 0</t>
        </is>
      </c>
      <c r="BK737" t="inlineStr">
        <is>
          <t>LINE</t>
        </is>
      </c>
      <c r="BL737" t="inlineStr">
        <is>
          <t>MARLIN REEFER</t>
        </is>
      </c>
      <c r="BM737" t="inlineStr">
        <is>
          <t>MARLIN REEFER</t>
        </is>
      </c>
    </row>
    <row r="738">
      <c r="A738" t="n">
        <v>737</v>
      </c>
      <c r="B738" t="inlineStr">
        <is>
          <t>COYOTE DRY</t>
        </is>
      </c>
      <c r="C738" t="inlineStr">
        <is>
          <t>REF000000</t>
        </is>
      </c>
      <c r="D738" t="inlineStr">
        <is>
          <t>REF000000</t>
        </is>
      </c>
      <c r="E738" t="inlineStr">
        <is>
          <t>10-APR-2026</t>
        </is>
      </c>
      <c r="F738" t="inlineStr">
        <is>
          <t>COYOTE DRY</t>
        </is>
      </c>
      <c r="G738" t="inlineStr">
        <is>
          <t>Food Grade</t>
        </is>
      </c>
      <c r="H738" t="inlineStr">
        <is>
          <t>AdminSAM</t>
        </is>
      </c>
      <c r="J738" t="inlineStr">
        <is>
          <t>12-MAY-2026</t>
        </is>
      </c>
      <c r="K738" t="inlineStr">
        <is>
          <t>07-MAY-2026</t>
        </is>
      </c>
      <c r="M738" t="inlineStr">
        <is>
          <t>REF000000</t>
        </is>
      </c>
      <c r="N738" t="inlineStr">
        <is>
          <t>USNFK</t>
        </is>
      </c>
      <c r="O738" t="inlineStr">
        <is>
          <t>USNFK</t>
        </is>
      </c>
      <c r="P738" t="inlineStr">
        <is>
          <t>RULED</t>
        </is>
      </c>
      <c r="U738" t="inlineStr">
        <is>
          <t>RULED</t>
        </is>
      </c>
      <c r="V738" t="inlineStr">
        <is>
          <t>RULED</t>
        </is>
      </c>
      <c r="W738" t="inlineStr">
        <is>
          <t>UNITED STATES</t>
        </is>
      </c>
      <c r="X738" t="inlineStr">
        <is>
          <t>Latin America</t>
        </is>
      </c>
      <c r="Y738" t="inlineStr">
        <is>
          <t>RUSSIA</t>
        </is>
      </c>
      <c r="Z738" t="inlineStr">
        <is>
          <t>External Review</t>
        </is>
      </c>
      <c r="AA738" t="inlineStr">
        <is>
          <t>HUB SHIPPING LLC-LED</t>
        </is>
      </c>
      <c r="AB738" t="inlineStr">
        <is>
          <t>Collect</t>
        </is>
      </c>
      <c r="AC738" t="inlineStr">
        <is>
          <t>LI DA XING/VOYAGE 1</t>
        </is>
      </c>
      <c r="AE738" t="inlineStr">
        <is>
          <t>LADEN BOOKING</t>
        </is>
      </c>
      <c r="AF738" t="inlineStr">
        <is>
          <t>RenniSAM</t>
        </is>
      </c>
      <c r="AG738" t="inlineStr">
        <is>
          <t>HC40</t>
        </is>
      </c>
      <c r="AH738" t="inlineStr">
        <is>
          <t>NO</t>
        </is>
      </c>
      <c r="AI738" t="n">
        <v>40</v>
      </c>
      <c r="AJ738" t="n">
        <v>0</v>
      </c>
      <c r="AK738" t="n">
        <v>6</v>
      </c>
      <c r="AP738" t="inlineStr">
        <is>
          <t>Non Haz</t>
        </is>
      </c>
      <c r="AQ738" t="inlineStr">
        <is>
          <t>CY/CY</t>
        </is>
      </c>
      <c r="AU738" t="n">
        <v>25000</v>
      </c>
      <c r="AV738" t="inlineStr">
        <is>
          <t>GENERAL COMMODITY</t>
        </is>
      </c>
      <c r="AX738" t="inlineStr">
        <is>
          <t>RSSAM042600082</t>
        </is>
      </c>
      <c r="AZ738" t="n">
        <v>0</v>
      </c>
      <c r="BA738" t="n">
        <v>10</v>
      </c>
      <c r="BB738" t="n">
        <v>14</v>
      </c>
      <c r="BC738" t="n">
        <v>3272</v>
      </c>
      <c r="BD738" t="inlineStr">
        <is>
          <t>Yes</t>
        </is>
      </c>
      <c r="BG738" t="inlineStr">
        <is>
          <t>RULED</t>
        </is>
      </c>
      <c r="BH738" t="n">
        <v>0</v>
      </c>
      <c r="BI738" t="n">
        <v>0</v>
      </c>
      <c r="BJ738" t="inlineStr">
        <is>
          <t xml:space="preserve"> 0</t>
        </is>
      </c>
      <c r="BK738" t="inlineStr">
        <is>
          <t>LINE</t>
        </is>
      </c>
      <c r="BL738" t="inlineStr">
        <is>
          <t>COYOTE DRY</t>
        </is>
      </c>
      <c r="BM738" t="inlineStr">
        <is>
          <t>COYOTE DRY</t>
        </is>
      </c>
    </row>
    <row r="739">
      <c r="A739" t="n">
        <v>738</v>
      </c>
      <c r="B739" t="inlineStr">
        <is>
          <t>ORCA REEFER</t>
        </is>
      </c>
      <c r="C739" t="inlineStr">
        <is>
          <t>REF000000</t>
        </is>
      </c>
      <c r="D739" t="inlineStr">
        <is>
          <t>REF000000</t>
        </is>
      </c>
      <c r="E739" t="inlineStr">
        <is>
          <t>10-APR-2026</t>
        </is>
      </c>
      <c r="F739" t="inlineStr">
        <is>
          <t>ORCA REEFER</t>
        </is>
      </c>
      <c r="G739" t="inlineStr">
        <is>
          <t>PREPAID ABROAD</t>
        </is>
      </c>
      <c r="H739" t="inlineStr">
        <is>
          <t>DiegoSAM</t>
        </is>
      </c>
      <c r="J739" t="inlineStr">
        <is>
          <t>01-MAY-2026</t>
        </is>
      </c>
      <c r="K739" t="inlineStr">
        <is>
          <t>30-APR-2026</t>
        </is>
      </c>
      <c r="M739" t="inlineStr">
        <is>
          <t>REF000000</t>
        </is>
      </c>
      <c r="N739" t="inlineStr">
        <is>
          <t>USNYC</t>
        </is>
      </c>
      <c r="O739" t="inlineStr">
        <is>
          <t>USNYC</t>
        </is>
      </c>
      <c r="P739" t="inlineStr">
        <is>
          <t>RULED</t>
        </is>
      </c>
      <c r="U739" t="inlineStr">
        <is>
          <t>RULED</t>
        </is>
      </c>
      <c r="V739" t="inlineStr">
        <is>
          <t>RULED</t>
        </is>
      </c>
      <c r="W739" t="inlineStr">
        <is>
          <t>UNITED STATES</t>
        </is>
      </c>
      <c r="X739" t="inlineStr">
        <is>
          <t>Latin America</t>
        </is>
      </c>
      <c r="Y739" t="inlineStr">
        <is>
          <t>RUSSIA</t>
        </is>
      </c>
      <c r="Z739" t="inlineStr">
        <is>
          <t>External Review</t>
        </is>
      </c>
      <c r="AA739" t="inlineStr">
        <is>
          <t>HUB SHIPPING LLC-LED</t>
        </is>
      </c>
      <c r="AB739" t="inlineStr">
        <is>
          <t>Prepaid</t>
        </is>
      </c>
      <c r="AC739" t="inlineStr">
        <is>
          <t>LI DA XING/VOYAGE 1</t>
        </is>
      </c>
      <c r="AE739" t="inlineStr">
        <is>
          <t>LADEN BOOKING</t>
        </is>
      </c>
      <c r="AF739" t="inlineStr">
        <is>
          <t>Guilherme Souza</t>
        </is>
      </c>
      <c r="AG739" t="inlineStr">
        <is>
          <t>RH40</t>
        </is>
      </c>
      <c r="AH739" t="inlineStr">
        <is>
          <t>NO</t>
        </is>
      </c>
      <c r="AI739" t="n">
        <v>40</v>
      </c>
      <c r="AJ739" t="n">
        <v>0</v>
      </c>
      <c r="AK739" t="n">
        <v>1</v>
      </c>
      <c r="AM739" t="n">
        <v>-18</v>
      </c>
      <c r="AP739" t="inlineStr">
        <is>
          <t>Non Haz</t>
        </is>
      </c>
      <c r="AQ739" t="inlineStr">
        <is>
          <t>CY/CY</t>
        </is>
      </c>
      <c r="AU739" t="n">
        <v>29000</v>
      </c>
      <c r="AV739" t="inlineStr">
        <is>
          <t>FROZEN MEAT</t>
        </is>
      </c>
      <c r="AX739" t="inlineStr">
        <is>
          <t>RSSAM042600068</t>
        </is>
      </c>
      <c r="AZ739" t="n">
        <v>5</v>
      </c>
      <c r="BA739" t="n">
        <v>30</v>
      </c>
      <c r="BB739" t="n">
        <v>15</v>
      </c>
      <c r="BC739" t="n">
        <v>7000</v>
      </c>
      <c r="BD739" t="inlineStr">
        <is>
          <t>No</t>
        </is>
      </c>
      <c r="BG739" t="inlineStr">
        <is>
          <t>USNYC</t>
        </is>
      </c>
      <c r="BH739" t="n">
        <v>0</v>
      </c>
      <c r="BI739" t="n">
        <v>0</v>
      </c>
      <c r="BJ739" t="inlineStr">
        <is>
          <t xml:space="preserve"> 0</t>
        </is>
      </c>
      <c r="BK739" t="inlineStr">
        <is>
          <t>LINE</t>
        </is>
      </c>
      <c r="BL739" t="inlineStr">
        <is>
          <t>ORCA REEFER</t>
        </is>
      </c>
      <c r="BM739" t="inlineStr">
        <is>
          <t>ORCA REEFER</t>
        </is>
      </c>
    </row>
    <row r="740">
      <c r="A740" t="n">
        <v>739</v>
      </c>
      <c r="B740" t="inlineStr">
        <is>
          <t>WHALE REEFER</t>
        </is>
      </c>
      <c r="C740" t="inlineStr">
        <is>
          <t>REF000000</t>
        </is>
      </c>
      <c r="D740" t="inlineStr">
        <is>
          <t>REF000000</t>
        </is>
      </c>
      <c r="E740" t="inlineStr">
        <is>
          <t>10-APR-2026</t>
        </is>
      </c>
      <c r="F740" t="inlineStr">
        <is>
          <t>WHALE REEFER</t>
        </is>
      </c>
      <c r="G740" t="inlineStr">
        <is>
          <t>PA</t>
        </is>
      </c>
      <c r="H740" t="inlineStr">
        <is>
          <t>DiegoSAM</t>
        </is>
      </c>
      <c r="J740" t="inlineStr">
        <is>
          <t>23-APR-2026</t>
        </is>
      </c>
      <c r="K740" t="inlineStr">
        <is>
          <t>23-APR-2026</t>
        </is>
      </c>
      <c r="M740" t="inlineStr">
        <is>
          <t>REF000000</t>
        </is>
      </c>
      <c r="N740" t="inlineStr">
        <is>
          <t>USNFK</t>
        </is>
      </c>
      <c r="O740" t="inlineStr">
        <is>
          <t>USNFK</t>
        </is>
      </c>
      <c r="P740" t="inlineStr">
        <is>
          <t>RULED</t>
        </is>
      </c>
      <c r="U740" t="inlineStr">
        <is>
          <t>RULED</t>
        </is>
      </c>
      <c r="V740" t="inlineStr">
        <is>
          <t>RULED</t>
        </is>
      </c>
      <c r="W740" t="inlineStr">
        <is>
          <t>UNITED STATES</t>
        </is>
      </c>
      <c r="X740" t="inlineStr">
        <is>
          <t>Latin America</t>
        </is>
      </c>
      <c r="Y740" t="inlineStr">
        <is>
          <t>RUSSIA</t>
        </is>
      </c>
      <c r="Z740" t="inlineStr">
        <is>
          <t>External Review</t>
        </is>
      </c>
      <c r="AA740" t="inlineStr">
        <is>
          <t>HUB SHIPPING LLC-LED</t>
        </is>
      </c>
      <c r="AB740" t="inlineStr">
        <is>
          <t>Prepaid</t>
        </is>
      </c>
      <c r="AC740" t="inlineStr">
        <is>
          <t>VENUS / VOYAGE 2</t>
        </is>
      </c>
      <c r="AE740" t="inlineStr">
        <is>
          <t>LADEN BOOKING</t>
        </is>
      </c>
      <c r="AF740" t="inlineStr">
        <is>
          <t>Joao RibeiroSAM</t>
        </is>
      </c>
      <c r="AG740" t="inlineStr">
        <is>
          <t>RH40</t>
        </is>
      </c>
      <c r="AH740" t="inlineStr">
        <is>
          <t>NO</t>
        </is>
      </c>
      <c r="AI740" t="n">
        <v>40</v>
      </c>
      <c r="AJ740" t="n">
        <v>0</v>
      </c>
      <c r="AK740" t="n">
        <v>1</v>
      </c>
      <c r="AM740" t="n">
        <v>-18</v>
      </c>
      <c r="AP740" t="inlineStr">
        <is>
          <t>Non Haz</t>
        </is>
      </c>
      <c r="AQ740" t="inlineStr">
        <is>
          <t>CY/CY</t>
        </is>
      </c>
      <c r="AU740" t="n">
        <v>28000</v>
      </c>
      <c r="AV740" t="inlineStr">
        <is>
          <t>JUICE</t>
        </is>
      </c>
      <c r="AX740" t="inlineStr">
        <is>
          <t>RSSAM042600083</t>
        </is>
      </c>
      <c r="AZ740" t="n">
        <v>0</v>
      </c>
      <c r="BA740" t="n">
        <v>14</v>
      </c>
      <c r="BB740" t="n">
        <v>10</v>
      </c>
      <c r="BC740" t="n">
        <v>8150</v>
      </c>
      <c r="BD740" t="inlineStr">
        <is>
          <t>No</t>
        </is>
      </c>
      <c r="BG740" t="inlineStr">
        <is>
          <t>USNFK</t>
        </is>
      </c>
      <c r="BH740" t="n">
        <v>0</v>
      </c>
      <c r="BI740" t="n">
        <v>0</v>
      </c>
      <c r="BJ740" t="inlineStr">
        <is>
          <t xml:space="preserve"> 0</t>
        </is>
      </c>
      <c r="BK740" t="inlineStr">
        <is>
          <t>LINE</t>
        </is>
      </c>
      <c r="BL740" t="inlineStr">
        <is>
          <t>WHALE REEFER</t>
        </is>
      </c>
      <c r="BM740" t="inlineStr">
        <is>
          <t>WHALE REEFER</t>
        </is>
      </c>
    </row>
    <row r="741">
      <c r="A741" t="n">
        <v>740</v>
      </c>
      <c r="B741" t="inlineStr">
        <is>
          <t>SEAL REEFER</t>
        </is>
      </c>
      <c r="C741" t="inlineStr">
        <is>
          <t>REF000000</t>
        </is>
      </c>
      <c r="D741" t="inlineStr">
        <is>
          <t>REF000000</t>
        </is>
      </c>
      <c r="E741" t="inlineStr">
        <is>
          <t>10-APR-2026</t>
        </is>
      </c>
      <c r="F741" t="inlineStr">
        <is>
          <t>SEAL REEFER</t>
        </is>
      </c>
      <c r="G741" t="inlineStr">
        <is>
          <t>PREPAID ABROAD</t>
        </is>
      </c>
      <c r="H741" t="inlineStr">
        <is>
          <t>DiegoSAM</t>
        </is>
      </c>
      <c r="J741" t="inlineStr">
        <is>
          <t>01-MAY-2026</t>
        </is>
      </c>
      <c r="K741" t="inlineStr">
        <is>
          <t>30-APR-2026</t>
        </is>
      </c>
      <c r="M741" t="inlineStr">
        <is>
          <t>REF000000</t>
        </is>
      </c>
      <c r="N741" t="inlineStr">
        <is>
          <t>USNYC</t>
        </is>
      </c>
      <c r="O741" t="inlineStr">
        <is>
          <t>USNYC</t>
        </is>
      </c>
      <c r="P741" t="inlineStr">
        <is>
          <t>RULED</t>
        </is>
      </c>
      <c r="U741" t="inlineStr">
        <is>
          <t>RULED</t>
        </is>
      </c>
      <c r="V741" t="inlineStr">
        <is>
          <t>RULED</t>
        </is>
      </c>
      <c r="W741" t="inlineStr">
        <is>
          <t>UNITED STATES</t>
        </is>
      </c>
      <c r="X741" t="inlineStr">
        <is>
          <t>Latin America</t>
        </is>
      </c>
      <c r="Y741" t="inlineStr">
        <is>
          <t>RUSSIA</t>
        </is>
      </c>
      <c r="Z741" t="inlineStr">
        <is>
          <t>External Review</t>
        </is>
      </c>
      <c r="AA741" t="inlineStr">
        <is>
          <t>HUB SHIPPING LLC-LED</t>
        </is>
      </c>
      <c r="AB741" t="inlineStr">
        <is>
          <t>Prepaid</t>
        </is>
      </c>
      <c r="AC741" t="inlineStr">
        <is>
          <t>LI DA XING/VOYAGE 1</t>
        </is>
      </c>
      <c r="AE741" t="inlineStr">
        <is>
          <t>LADEN BOOKING</t>
        </is>
      </c>
      <c r="AF741" t="inlineStr">
        <is>
          <t>Guilherme Souza</t>
        </is>
      </c>
      <c r="AG741" t="inlineStr">
        <is>
          <t>RH40</t>
        </is>
      </c>
      <c r="AH741" t="inlineStr">
        <is>
          <t>NO</t>
        </is>
      </c>
      <c r="AI741" t="n">
        <v>40</v>
      </c>
      <c r="AJ741" t="n">
        <v>0</v>
      </c>
      <c r="AK741" t="n">
        <v>1</v>
      </c>
      <c r="AM741" t="n">
        <v>-18</v>
      </c>
      <c r="AP741" t="inlineStr">
        <is>
          <t>Non Haz</t>
        </is>
      </c>
      <c r="AQ741" t="inlineStr">
        <is>
          <t>CY/CY</t>
        </is>
      </c>
      <c r="AU741" t="n">
        <v>29000</v>
      </c>
      <c r="AV741" t="inlineStr">
        <is>
          <t>FROZEN MEAT</t>
        </is>
      </c>
      <c r="AX741" t="inlineStr">
        <is>
          <t>RSSAM042600068</t>
        </is>
      </c>
      <c r="AZ741" t="n">
        <v>5</v>
      </c>
      <c r="BA741" t="n">
        <v>30</v>
      </c>
      <c r="BB741" t="n">
        <v>15</v>
      </c>
      <c r="BC741" t="n">
        <v>7000</v>
      </c>
      <c r="BD741" t="inlineStr">
        <is>
          <t>No</t>
        </is>
      </c>
      <c r="BG741" t="inlineStr">
        <is>
          <t>USNYC</t>
        </is>
      </c>
      <c r="BH741" t="n">
        <v>0</v>
      </c>
      <c r="BI741" t="n">
        <v>0</v>
      </c>
      <c r="BJ741" t="inlineStr">
        <is>
          <t xml:space="preserve"> 0</t>
        </is>
      </c>
      <c r="BK741" t="inlineStr">
        <is>
          <t>LINE</t>
        </is>
      </c>
      <c r="BL741" t="inlineStr">
        <is>
          <t>SEAL REEFER</t>
        </is>
      </c>
      <c r="BM741" t="inlineStr">
        <is>
          <t>SEAL REEFER</t>
        </is>
      </c>
    </row>
    <row r="742">
      <c r="A742" t="n">
        <v>741</v>
      </c>
      <c r="B742" t="inlineStr">
        <is>
          <t>SHARK REEFER</t>
        </is>
      </c>
      <c r="C742" t="inlineStr">
        <is>
          <t>REF000000</t>
        </is>
      </c>
      <c r="D742" t="inlineStr">
        <is>
          <t>REF000000</t>
        </is>
      </c>
      <c r="E742" t="inlineStr">
        <is>
          <t>10-APR-2026</t>
        </is>
      </c>
      <c r="F742" t="inlineStr">
        <is>
          <t>SHARK REEFER</t>
        </is>
      </c>
      <c r="G742" t="inlineStr">
        <is>
          <t>final reefer details should be collected and provided to carrier by agents of POL</t>
        </is>
      </c>
      <c r="H742" t="inlineStr">
        <is>
          <t>AdminSAM</t>
        </is>
      </c>
      <c r="J742" t="inlineStr">
        <is>
          <t>20-APR-2026</t>
        </is>
      </c>
      <c r="K742" t="inlineStr">
        <is>
          <t>20-APR-2026</t>
        </is>
      </c>
      <c r="M742" t="inlineStr">
        <is>
          <t>REF000000</t>
        </is>
      </c>
      <c r="N742" t="inlineStr">
        <is>
          <t>USHOU</t>
        </is>
      </c>
      <c r="O742" t="inlineStr">
        <is>
          <t>USHOU</t>
        </is>
      </c>
      <c r="P742" t="inlineStr">
        <is>
          <t>RULED</t>
        </is>
      </c>
      <c r="U742" t="inlineStr">
        <is>
          <t>RULED</t>
        </is>
      </c>
      <c r="V742" t="inlineStr">
        <is>
          <t>RULED</t>
        </is>
      </c>
      <c r="W742" t="inlineStr">
        <is>
          <t>UNITED STATES</t>
        </is>
      </c>
      <c r="X742" t="inlineStr">
        <is>
          <t>Latin America</t>
        </is>
      </c>
      <c r="Y742" t="inlineStr">
        <is>
          <t>RUSSIA</t>
        </is>
      </c>
      <c r="Z742" t="inlineStr">
        <is>
          <t>External Review</t>
        </is>
      </c>
      <c r="AA742" t="inlineStr">
        <is>
          <t>HUB SHIPPING LLC-LED</t>
        </is>
      </c>
      <c r="AB742" t="inlineStr">
        <is>
          <t>Collect</t>
        </is>
      </c>
      <c r="AC742" t="inlineStr">
        <is>
          <t>VENUS / VOYAGE 2</t>
        </is>
      </c>
      <c r="AE742" t="inlineStr">
        <is>
          <t>LADEN BOOKING</t>
        </is>
      </c>
      <c r="AF742" t="inlineStr">
        <is>
          <t>RenniSAM</t>
        </is>
      </c>
      <c r="AG742" t="inlineStr">
        <is>
          <t>RH40</t>
        </is>
      </c>
      <c r="AH742" t="inlineStr">
        <is>
          <t>NO</t>
        </is>
      </c>
      <c r="AI742" t="n">
        <v>40</v>
      </c>
      <c r="AJ742" t="n">
        <v>0</v>
      </c>
      <c r="AK742" t="n">
        <v>4</v>
      </c>
      <c r="AM742" t="n">
        <v>0</v>
      </c>
      <c r="AN742" t="n">
        <v>0.9</v>
      </c>
      <c r="AO742" t="inlineStr">
        <is>
          <t>40cbm/h</t>
        </is>
      </c>
      <c r="AP742" t="inlineStr">
        <is>
          <t>Non Haz</t>
        </is>
      </c>
      <c r="AQ742" t="inlineStr">
        <is>
          <t>CY/CY</t>
        </is>
      </c>
      <c r="AU742" t="n">
        <v>26000</v>
      </c>
      <c r="AV742" t="inlineStr">
        <is>
          <t>FRESH FRUITS AND VEGETABLES</t>
        </is>
      </c>
      <c r="AX742" t="inlineStr">
        <is>
          <t>RSSAM042600023</t>
        </is>
      </c>
      <c r="AZ742" t="n">
        <v>4</v>
      </c>
      <c r="BA742" t="n">
        <v>14</v>
      </c>
      <c r="BB742" t="n">
        <v>7</v>
      </c>
      <c r="BC742" t="n">
        <v>7350</v>
      </c>
      <c r="BD742" t="inlineStr">
        <is>
          <t>Yes</t>
        </is>
      </c>
      <c r="BG742" t="inlineStr">
        <is>
          <t>RULED</t>
        </is>
      </c>
      <c r="BH742" t="n">
        <v>0</v>
      </c>
      <c r="BI742" t="n">
        <v>0</v>
      </c>
      <c r="BJ742" t="inlineStr">
        <is>
          <t xml:space="preserve"> 0</t>
        </is>
      </c>
      <c r="BK742" t="inlineStr">
        <is>
          <t>LINE</t>
        </is>
      </c>
      <c r="BL742" t="inlineStr">
        <is>
          <t>SHARK REEFER</t>
        </is>
      </c>
      <c r="BM742" t="inlineStr">
        <is>
          <t>SHARK REEFER</t>
        </is>
      </c>
    </row>
    <row r="743">
      <c r="A743" t="n">
        <v>742</v>
      </c>
      <c r="B743" t="inlineStr">
        <is>
          <t>BISON DRY</t>
        </is>
      </c>
      <c r="C743" t="inlineStr">
        <is>
          <t>REF000000</t>
        </is>
      </c>
      <c r="D743" t="inlineStr">
        <is>
          <t>REF000000</t>
        </is>
      </c>
      <c r="E743" t="inlineStr">
        <is>
          <t>10-APR-2026</t>
        </is>
      </c>
      <c r="F743" t="inlineStr">
        <is>
          <t>BISON DRY</t>
        </is>
      </c>
      <c r="G743" t="inlineStr">
        <is>
          <t>Food Grade</t>
        </is>
      </c>
      <c r="H743" t="inlineStr">
        <is>
          <t>AdminSAM</t>
        </is>
      </c>
      <c r="J743" t="inlineStr">
        <is>
          <t>12-MAY-2026</t>
        </is>
      </c>
      <c r="K743" t="inlineStr">
        <is>
          <t>07-MAY-2026</t>
        </is>
      </c>
      <c r="M743" t="inlineStr">
        <is>
          <t>REF000000</t>
        </is>
      </c>
      <c r="N743" t="inlineStr">
        <is>
          <t>USNFK</t>
        </is>
      </c>
      <c r="O743" t="inlineStr">
        <is>
          <t>USNFK</t>
        </is>
      </c>
      <c r="P743" t="inlineStr">
        <is>
          <t>RULED</t>
        </is>
      </c>
      <c r="U743" t="inlineStr">
        <is>
          <t>RULED</t>
        </is>
      </c>
      <c r="V743" t="inlineStr">
        <is>
          <t>RULED</t>
        </is>
      </c>
      <c r="W743" t="inlineStr">
        <is>
          <t>UNITED STATES</t>
        </is>
      </c>
      <c r="X743" t="inlineStr">
        <is>
          <t>Latin America</t>
        </is>
      </c>
      <c r="Y743" t="inlineStr">
        <is>
          <t>RUSSIA</t>
        </is>
      </c>
      <c r="Z743" t="inlineStr">
        <is>
          <t>External Review</t>
        </is>
      </c>
      <c r="AA743" t="inlineStr">
        <is>
          <t>HUB SHIPPING LLC-LED</t>
        </is>
      </c>
      <c r="AB743" t="inlineStr">
        <is>
          <t>Collect</t>
        </is>
      </c>
      <c r="AC743" t="inlineStr">
        <is>
          <t>LI DA XING/VOYAGE 1</t>
        </is>
      </c>
      <c r="AE743" t="inlineStr">
        <is>
          <t>LADEN BOOKING</t>
        </is>
      </c>
      <c r="AF743" t="inlineStr">
        <is>
          <t>RenniSAM</t>
        </is>
      </c>
      <c r="AG743" t="inlineStr">
        <is>
          <t>DC20</t>
        </is>
      </c>
      <c r="AH743" t="inlineStr">
        <is>
          <t>NO</t>
        </is>
      </c>
      <c r="AI743" t="n">
        <v>20</v>
      </c>
      <c r="AJ743" t="n">
        <v>1</v>
      </c>
      <c r="AK743" t="n">
        <v>0</v>
      </c>
      <c r="AP743" t="inlineStr">
        <is>
          <t>Non Haz</t>
        </is>
      </c>
      <c r="AQ743" t="inlineStr">
        <is>
          <t>CY/CY</t>
        </is>
      </c>
      <c r="AU743" t="n">
        <v>25000</v>
      </c>
      <c r="AV743" t="inlineStr">
        <is>
          <t>GENERAL COMMODITY</t>
        </is>
      </c>
      <c r="AX743" t="inlineStr">
        <is>
          <t>RSSAM042600082</t>
        </is>
      </c>
      <c r="AZ743" t="n">
        <v>0</v>
      </c>
      <c r="BA743" t="n">
        <v>10</v>
      </c>
      <c r="BB743" t="n">
        <v>14</v>
      </c>
      <c r="BC743" t="n">
        <v>2600</v>
      </c>
      <c r="BD743" t="inlineStr">
        <is>
          <t>Yes</t>
        </is>
      </c>
      <c r="BG743" t="inlineStr">
        <is>
          <t>RULED</t>
        </is>
      </c>
      <c r="BH743" t="n">
        <v>0</v>
      </c>
      <c r="BI743" t="n">
        <v>0</v>
      </c>
      <c r="BJ743" t="inlineStr">
        <is>
          <t xml:space="preserve"> 0</t>
        </is>
      </c>
      <c r="BK743" t="inlineStr">
        <is>
          <t>LINE</t>
        </is>
      </c>
      <c r="BL743" t="inlineStr">
        <is>
          <t>BISON DRY</t>
        </is>
      </c>
      <c r="BM743" t="inlineStr">
        <is>
          <t>BISON DRY</t>
        </is>
      </c>
    </row>
    <row r="744">
      <c r="A744" t="n">
        <v>743</v>
      </c>
      <c r="B744" t="inlineStr">
        <is>
          <t>MARLIN REEFER</t>
        </is>
      </c>
      <c r="C744" t="inlineStr">
        <is>
          <t>REF000000</t>
        </is>
      </c>
      <c r="D744" t="inlineStr">
        <is>
          <t>REF000000</t>
        </is>
      </c>
      <c r="E744" t="inlineStr">
        <is>
          <t>10-APR-2026</t>
        </is>
      </c>
      <c r="F744" t="inlineStr">
        <is>
          <t>MARLIN REEFER</t>
        </is>
      </c>
      <c r="G744" t="inlineStr">
        <is>
          <t>PREPAID ABROAD</t>
        </is>
      </c>
      <c r="H744" t="inlineStr">
        <is>
          <t>DiegoSAM</t>
        </is>
      </c>
      <c r="J744" t="inlineStr">
        <is>
          <t>19-APR-2026</t>
        </is>
      </c>
      <c r="K744" t="inlineStr">
        <is>
          <t>19-APR-2026</t>
        </is>
      </c>
      <c r="M744" t="inlineStr">
        <is>
          <t>REF000000</t>
        </is>
      </c>
      <c r="N744" t="inlineStr">
        <is>
          <t>USNYC</t>
        </is>
      </c>
      <c r="O744" t="inlineStr">
        <is>
          <t>USNYC</t>
        </is>
      </c>
      <c r="P744" t="inlineStr">
        <is>
          <t>RUBLT</t>
        </is>
      </c>
      <c r="U744" t="inlineStr">
        <is>
          <t>RUBLT</t>
        </is>
      </c>
      <c r="V744" t="inlineStr">
        <is>
          <t>RUBLT</t>
        </is>
      </c>
      <c r="W744" t="inlineStr">
        <is>
          <t>UNITED STATES</t>
        </is>
      </c>
      <c r="X744" t="inlineStr">
        <is>
          <t>Latin America</t>
        </is>
      </c>
      <c r="Y744" t="inlineStr">
        <is>
          <t>RUSSIA</t>
        </is>
      </c>
      <c r="Z744" t="inlineStr">
        <is>
          <t>External Review</t>
        </is>
      </c>
      <c r="AA744" t="inlineStr">
        <is>
          <t>HUB Shipping-Kaliningrad</t>
        </is>
      </c>
      <c r="AB744" t="inlineStr">
        <is>
          <t>Prepaid</t>
        </is>
      </c>
      <c r="AC744" t="inlineStr">
        <is>
          <t>VENUS / VOYAGE 2</t>
        </is>
      </c>
      <c r="AE744" t="inlineStr">
        <is>
          <t>LADEN BOOKING</t>
        </is>
      </c>
      <c r="AF744" t="inlineStr">
        <is>
          <t>Guilherme Souza</t>
        </is>
      </c>
      <c r="AG744" t="inlineStr">
        <is>
          <t>RH40</t>
        </is>
      </c>
      <c r="AH744" t="inlineStr">
        <is>
          <t>NO</t>
        </is>
      </c>
      <c r="AI744" t="n">
        <v>40</v>
      </c>
      <c r="AJ744" t="n">
        <v>0</v>
      </c>
      <c r="AK744" t="n">
        <v>1</v>
      </c>
      <c r="AM744" t="n">
        <v>-18</v>
      </c>
      <c r="AP744" t="inlineStr">
        <is>
          <t>Non Haz</t>
        </is>
      </c>
      <c r="AQ744" t="inlineStr">
        <is>
          <t>CY/CY</t>
        </is>
      </c>
      <c r="AU744" t="n">
        <v>28000</v>
      </c>
      <c r="AV744" t="inlineStr">
        <is>
          <t>FROZEN MEAT</t>
        </is>
      </c>
      <c r="AX744" t="inlineStr">
        <is>
          <t>RSSAM042600056</t>
        </is>
      </c>
      <c r="AZ744" t="n">
        <v>5</v>
      </c>
      <c r="BA744" t="n">
        <v>25</v>
      </c>
      <c r="BB744" t="n">
        <v>10</v>
      </c>
      <c r="BC744" t="n">
        <v>8600</v>
      </c>
      <c r="BD744" t="inlineStr">
        <is>
          <t>No</t>
        </is>
      </c>
      <c r="BG744" t="inlineStr">
        <is>
          <t>USNYC</t>
        </is>
      </c>
      <c r="BH744" t="n">
        <v>0</v>
      </c>
      <c r="BI744" t="n">
        <v>0</v>
      </c>
      <c r="BJ744" t="inlineStr">
        <is>
          <t xml:space="preserve"> 0</t>
        </is>
      </c>
      <c r="BK744" t="inlineStr">
        <is>
          <t>LINE</t>
        </is>
      </c>
      <c r="BL744" t="inlineStr">
        <is>
          <t>MARLIN REEFER</t>
        </is>
      </c>
      <c r="BM744" t="inlineStr">
        <is>
          <t>MARLIN REEFER</t>
        </is>
      </c>
    </row>
    <row r="745">
      <c r="A745" t="n">
        <v>744</v>
      </c>
      <c r="B745" t="inlineStr">
        <is>
          <t>COYOTE DRY</t>
        </is>
      </c>
      <c r="C745" t="inlineStr">
        <is>
          <t>REF000000</t>
        </is>
      </c>
      <c r="D745" t="inlineStr">
        <is>
          <t>REF000000</t>
        </is>
      </c>
      <c r="E745" t="inlineStr">
        <is>
          <t>10-APR-2026</t>
        </is>
      </c>
      <c r="F745" t="inlineStr">
        <is>
          <t>COYOTE DRY</t>
        </is>
      </c>
      <c r="G745" t="inlineStr">
        <is>
          <t>PREPAID EM0600/26</t>
        </is>
      </c>
      <c r="H745" t="inlineStr">
        <is>
          <t>DiegoSAM</t>
        </is>
      </c>
      <c r="J745" t="inlineStr">
        <is>
          <t>23-APR-2026</t>
        </is>
      </c>
      <c r="K745" t="inlineStr">
        <is>
          <t>23-APR-2026</t>
        </is>
      </c>
      <c r="M745" t="inlineStr">
        <is>
          <t>REF000000</t>
        </is>
      </c>
      <c r="N745" t="inlineStr">
        <is>
          <t>USNFK</t>
        </is>
      </c>
      <c r="O745" t="inlineStr">
        <is>
          <t>USNFK</t>
        </is>
      </c>
      <c r="P745" t="inlineStr">
        <is>
          <t>RULED</t>
        </is>
      </c>
      <c r="U745" t="inlineStr">
        <is>
          <t>RULED</t>
        </is>
      </c>
      <c r="V745" t="inlineStr">
        <is>
          <t>RULED</t>
        </is>
      </c>
      <c r="W745" t="inlineStr">
        <is>
          <t>UNITED STATES</t>
        </is>
      </c>
      <c r="X745" t="inlineStr">
        <is>
          <t>Latin America</t>
        </is>
      </c>
      <c r="Y745" t="inlineStr">
        <is>
          <t>RUSSIA</t>
        </is>
      </c>
      <c r="Z745" t="inlineStr">
        <is>
          <t>External Review</t>
        </is>
      </c>
      <c r="AA745" t="inlineStr">
        <is>
          <t>HUB SHIPPING LLC-LED</t>
        </is>
      </c>
      <c r="AB745" t="inlineStr">
        <is>
          <t>Prepaid</t>
        </is>
      </c>
      <c r="AC745" t="inlineStr">
        <is>
          <t>VENUS / VOYAGE 2</t>
        </is>
      </c>
      <c r="AE745" t="inlineStr">
        <is>
          <t>LADEN BOOKING</t>
        </is>
      </c>
      <c r="AF745" t="inlineStr">
        <is>
          <t>Maria JessicaSAM</t>
        </is>
      </c>
      <c r="AG745" t="inlineStr">
        <is>
          <t>DC20</t>
        </is>
      </c>
      <c r="AH745" t="inlineStr">
        <is>
          <t>NO</t>
        </is>
      </c>
      <c r="AI745" t="n">
        <v>20</v>
      </c>
      <c r="AJ745" t="n">
        <v>1</v>
      </c>
      <c r="AK745" t="n">
        <v>0</v>
      </c>
      <c r="AL745" t="inlineStr">
        <is>
          <t>ANON0000000</t>
        </is>
      </c>
      <c r="AP745" t="inlineStr">
        <is>
          <t>Non Haz</t>
        </is>
      </c>
      <c r="AQ745" t="inlineStr">
        <is>
          <t>CY/CY</t>
        </is>
      </c>
      <c r="AT745" t="inlineStr">
        <is>
          <t>REF000000</t>
        </is>
      </c>
      <c r="AU745" t="n">
        <v>20000</v>
      </c>
      <c r="AV745" t="inlineStr">
        <is>
          <t>GENERAL COMMODITY</t>
        </is>
      </c>
      <c r="AX745" t="inlineStr">
        <is>
          <t>RSSAM042600077</t>
        </is>
      </c>
      <c r="AZ745" t="n">
        <v>0</v>
      </c>
      <c r="BA745" t="n">
        <v>14</v>
      </c>
      <c r="BB745" t="n">
        <v>14</v>
      </c>
      <c r="BC745" t="n">
        <v>3400</v>
      </c>
      <c r="BD745" t="inlineStr">
        <is>
          <t>No</t>
        </is>
      </c>
      <c r="BG745" t="inlineStr">
        <is>
          <t>USNFK</t>
        </is>
      </c>
      <c r="BH745" t="n">
        <v>1</v>
      </c>
      <c r="BI745" t="n">
        <v>0</v>
      </c>
      <c r="BJ745" t="n">
        <v>3400</v>
      </c>
      <c r="BK745" t="inlineStr">
        <is>
          <t>LINE</t>
        </is>
      </c>
      <c r="BL745" t="inlineStr">
        <is>
          <t>COYOTE DRY</t>
        </is>
      </c>
      <c r="BM745" t="inlineStr">
        <is>
          <t>COYOTE DRY</t>
        </is>
      </c>
    </row>
    <row r="746">
      <c r="A746" t="n">
        <v>745</v>
      </c>
      <c r="B746" t="inlineStr">
        <is>
          <t>ORCA REEFER</t>
        </is>
      </c>
      <c r="C746" t="inlineStr">
        <is>
          <t>REF000000</t>
        </is>
      </c>
      <c r="D746" t="inlineStr">
        <is>
          <t>REF000000</t>
        </is>
      </c>
      <c r="E746" t="inlineStr">
        <is>
          <t>11-APR-2026</t>
        </is>
      </c>
      <c r="F746" t="inlineStr">
        <is>
          <t>ORCA REEFER</t>
        </is>
      </c>
      <c r="G746" t="inlineStr">
        <is>
          <t>PREPAID ABROAD</t>
        </is>
      </c>
      <c r="H746" t="inlineStr">
        <is>
          <t>DiegoSAM</t>
        </is>
      </c>
      <c r="J746" t="inlineStr">
        <is>
          <t>23-APR-2026</t>
        </is>
      </c>
      <c r="K746" t="inlineStr">
        <is>
          <t>23-APR-2026</t>
        </is>
      </c>
      <c r="M746" t="inlineStr">
        <is>
          <t>REF000000</t>
        </is>
      </c>
      <c r="N746" t="inlineStr">
        <is>
          <t>USNFK</t>
        </is>
      </c>
      <c r="O746" t="inlineStr">
        <is>
          <t>USNFK</t>
        </is>
      </c>
      <c r="P746" t="inlineStr">
        <is>
          <t>RULED</t>
        </is>
      </c>
      <c r="U746" t="inlineStr">
        <is>
          <t>RULED</t>
        </is>
      </c>
      <c r="V746" t="inlineStr">
        <is>
          <t>RULED</t>
        </is>
      </c>
      <c r="W746" t="inlineStr">
        <is>
          <t>UNITED STATES</t>
        </is>
      </c>
      <c r="X746" t="inlineStr">
        <is>
          <t>Latin America</t>
        </is>
      </c>
      <c r="Y746" t="inlineStr">
        <is>
          <t>RUSSIA</t>
        </is>
      </c>
      <c r="Z746" t="inlineStr">
        <is>
          <t>External Review</t>
        </is>
      </c>
      <c r="AA746" t="inlineStr">
        <is>
          <t>HUB SHIPPING LLC-LED</t>
        </is>
      </c>
      <c r="AB746" t="inlineStr">
        <is>
          <t>Prepaid</t>
        </is>
      </c>
      <c r="AC746" t="inlineStr">
        <is>
          <t>VENUS / VOYAGE 2</t>
        </is>
      </c>
      <c r="AE746" t="inlineStr">
        <is>
          <t>LADEN BOOKING</t>
        </is>
      </c>
      <c r="AF746" t="inlineStr">
        <is>
          <t>Guilherme Souza</t>
        </is>
      </c>
      <c r="AG746" t="inlineStr">
        <is>
          <t>RH40</t>
        </is>
      </c>
      <c r="AH746" t="inlineStr">
        <is>
          <t>NO</t>
        </is>
      </c>
      <c r="AI746" t="n">
        <v>40</v>
      </c>
      <c r="AJ746" t="n">
        <v>0</v>
      </c>
      <c r="AK746" t="n">
        <v>1</v>
      </c>
      <c r="AM746" t="n">
        <v>-18</v>
      </c>
      <c r="AP746" t="inlineStr">
        <is>
          <t>Non Haz</t>
        </is>
      </c>
      <c r="AQ746" t="inlineStr">
        <is>
          <t>CY/CY</t>
        </is>
      </c>
      <c r="AU746" t="n">
        <v>29000</v>
      </c>
      <c r="AV746" t="inlineStr">
        <is>
          <t>FROZEN MEAT</t>
        </is>
      </c>
      <c r="AX746" t="inlineStr">
        <is>
          <t>RSSAM042600067</t>
        </is>
      </c>
      <c r="AZ746" t="n">
        <v>5</v>
      </c>
      <c r="BA746" t="n">
        <v>30</v>
      </c>
      <c r="BB746" t="n">
        <v>15</v>
      </c>
      <c r="BC746" t="n">
        <v>7000</v>
      </c>
      <c r="BD746" t="inlineStr">
        <is>
          <t>No</t>
        </is>
      </c>
      <c r="BG746" t="inlineStr">
        <is>
          <t>USNFK</t>
        </is>
      </c>
      <c r="BH746" t="n">
        <v>0</v>
      </c>
      <c r="BI746" t="n">
        <v>0</v>
      </c>
      <c r="BJ746" t="inlineStr">
        <is>
          <t xml:space="preserve"> 0</t>
        </is>
      </c>
      <c r="BK746" t="inlineStr">
        <is>
          <t>LINE</t>
        </is>
      </c>
      <c r="BL746" t="inlineStr">
        <is>
          <t>ORCA REEFER</t>
        </is>
      </c>
      <c r="BM746" t="inlineStr">
        <is>
          <t>ORCA REEFER</t>
        </is>
      </c>
    </row>
    <row r="747">
      <c r="A747" t="n">
        <v>746</v>
      </c>
      <c r="B747" t="inlineStr">
        <is>
          <t>WOLF DRY</t>
        </is>
      </c>
      <c r="C747" t="inlineStr">
        <is>
          <t>REF000000</t>
        </is>
      </c>
      <c r="D747" t="inlineStr">
        <is>
          <t>REF000000</t>
        </is>
      </c>
      <c r="E747" t="inlineStr">
        <is>
          <t>13-APR-2026</t>
        </is>
      </c>
      <c r="F747" t="inlineStr">
        <is>
          <t>WOLF DRY</t>
        </is>
      </c>
      <c r="H747" t="inlineStr">
        <is>
          <t>AdminSAM</t>
        </is>
      </c>
      <c r="J747" t="inlineStr">
        <is>
          <t>12-MAY-2026</t>
        </is>
      </c>
      <c r="K747" t="inlineStr">
        <is>
          <t>07-MAY-2026</t>
        </is>
      </c>
      <c r="M747" t="inlineStr">
        <is>
          <t>REF000000</t>
        </is>
      </c>
      <c r="N747" t="inlineStr">
        <is>
          <t>USNFK</t>
        </is>
      </c>
      <c r="O747" t="inlineStr">
        <is>
          <t>USNFK</t>
        </is>
      </c>
      <c r="P747" t="inlineStr">
        <is>
          <t>RULED</t>
        </is>
      </c>
      <c r="U747" t="inlineStr">
        <is>
          <t>RULED</t>
        </is>
      </c>
      <c r="V747" t="inlineStr">
        <is>
          <t>RULED</t>
        </is>
      </c>
      <c r="W747" t="inlineStr">
        <is>
          <t>UNITED STATES</t>
        </is>
      </c>
      <c r="X747" t="inlineStr">
        <is>
          <t>Latin America</t>
        </is>
      </c>
      <c r="Y747" t="inlineStr">
        <is>
          <t>RUSSIA</t>
        </is>
      </c>
      <c r="Z747" t="inlineStr">
        <is>
          <t>External Review</t>
        </is>
      </c>
      <c r="AA747" t="inlineStr">
        <is>
          <t>HUB SHIPPING LLC-LED</t>
        </is>
      </c>
      <c r="AB747" t="inlineStr">
        <is>
          <t>Collect</t>
        </is>
      </c>
      <c r="AC747" t="inlineStr">
        <is>
          <t>LI DA XING/VOYAGE 1</t>
        </is>
      </c>
      <c r="AE747" t="inlineStr">
        <is>
          <t>LADEN BOOKING</t>
        </is>
      </c>
      <c r="AF747" t="inlineStr">
        <is>
          <t>RenniSAM</t>
        </is>
      </c>
      <c r="AG747" t="inlineStr">
        <is>
          <t>HC40</t>
        </is>
      </c>
      <c r="AH747" t="inlineStr">
        <is>
          <t>NO</t>
        </is>
      </c>
      <c r="AI747" t="n">
        <v>40</v>
      </c>
      <c r="AJ747" t="n">
        <v>0</v>
      </c>
      <c r="AK747" t="n">
        <v>6</v>
      </c>
      <c r="AP747" t="inlineStr">
        <is>
          <t>Non Haz</t>
        </is>
      </c>
      <c r="AQ747" t="inlineStr">
        <is>
          <t>CY/CY</t>
        </is>
      </c>
      <c r="AU747" t="n">
        <v>25000</v>
      </c>
      <c r="AV747" t="inlineStr">
        <is>
          <t>GENERAL COMMODITY</t>
        </is>
      </c>
      <c r="AX747" t="inlineStr">
        <is>
          <t>MRG438326</t>
        </is>
      </c>
      <c r="AY747" t="inlineStr">
        <is>
          <t>LINE</t>
        </is>
      </c>
      <c r="AZ747" t="n">
        <v>0</v>
      </c>
      <c r="BA747" t="n">
        <v>14</v>
      </c>
      <c r="BB747" t="n">
        <v>14</v>
      </c>
      <c r="BC747" t="n">
        <v>4600</v>
      </c>
      <c r="BD747" t="inlineStr">
        <is>
          <t>Yes</t>
        </is>
      </c>
      <c r="BG747" t="inlineStr">
        <is>
          <t>RULED</t>
        </is>
      </c>
      <c r="BH747" t="n">
        <v>0</v>
      </c>
      <c r="BI747" t="n">
        <v>0</v>
      </c>
      <c r="BJ747" t="inlineStr">
        <is>
          <t xml:space="preserve"> 0</t>
        </is>
      </c>
      <c r="BK747" t="inlineStr">
        <is>
          <t>LINE</t>
        </is>
      </c>
      <c r="BL747" t="inlineStr">
        <is>
          <t>WOLF DRY</t>
        </is>
      </c>
      <c r="BM747" t="inlineStr">
        <is>
          <t>WOLF DRY</t>
        </is>
      </c>
    </row>
    <row r="748">
      <c r="A748" t="n">
        <v>747</v>
      </c>
      <c r="B748" t="inlineStr">
        <is>
          <t>SEAL REEFER</t>
        </is>
      </c>
      <c r="C748" t="inlineStr">
        <is>
          <t>REF000000</t>
        </is>
      </c>
      <c r="D748" t="inlineStr">
        <is>
          <t>REF000000</t>
        </is>
      </c>
      <c r="E748" t="inlineStr">
        <is>
          <t>13-APR-2026</t>
        </is>
      </c>
      <c r="F748" t="inlineStr">
        <is>
          <t>SEAL REEFER</t>
        </is>
      </c>
      <c r="G748" t="inlineStr">
        <is>
          <t>PA</t>
        </is>
      </c>
      <c r="H748" t="inlineStr">
        <is>
          <t>DiegoSAM</t>
        </is>
      </c>
      <c r="J748" t="inlineStr">
        <is>
          <t>23-APR-2026</t>
        </is>
      </c>
      <c r="K748" t="inlineStr">
        <is>
          <t>23-APR-2026</t>
        </is>
      </c>
      <c r="M748" t="inlineStr">
        <is>
          <t>REF000000</t>
        </is>
      </c>
      <c r="N748" t="inlineStr">
        <is>
          <t>USNFK</t>
        </is>
      </c>
      <c r="O748" t="inlineStr">
        <is>
          <t>USNFK</t>
        </is>
      </c>
      <c r="P748" t="inlineStr">
        <is>
          <t>RUBLT</t>
        </is>
      </c>
      <c r="U748" t="inlineStr">
        <is>
          <t>RUBLT</t>
        </is>
      </c>
      <c r="V748" t="inlineStr">
        <is>
          <t>RUBLT</t>
        </is>
      </c>
      <c r="W748" t="inlineStr">
        <is>
          <t>UNITED STATES</t>
        </is>
      </c>
      <c r="X748" t="inlineStr">
        <is>
          <t>Latin America</t>
        </is>
      </c>
      <c r="Y748" t="inlineStr">
        <is>
          <t>RUSSIA</t>
        </is>
      </c>
      <c r="Z748" t="inlineStr">
        <is>
          <t>External Review</t>
        </is>
      </c>
      <c r="AA748" t="inlineStr">
        <is>
          <t>HUB Shipping-Kaliningrad</t>
        </is>
      </c>
      <c r="AB748" t="inlineStr">
        <is>
          <t>Prepaid</t>
        </is>
      </c>
      <c r="AC748" t="inlineStr">
        <is>
          <t>VENUS / VOYAGE 2</t>
        </is>
      </c>
      <c r="AE748" t="inlineStr">
        <is>
          <t>LADEN BOOKING</t>
        </is>
      </c>
      <c r="AF748" t="inlineStr">
        <is>
          <t>Joao RibeiroSAM</t>
        </is>
      </c>
      <c r="AG748" t="inlineStr">
        <is>
          <t>RH40</t>
        </is>
      </c>
      <c r="AH748" t="inlineStr">
        <is>
          <t>NO</t>
        </is>
      </c>
      <c r="AI748" t="n">
        <v>40</v>
      </c>
      <c r="AJ748" t="n">
        <v>0</v>
      </c>
      <c r="AK748" t="n">
        <v>1</v>
      </c>
      <c r="AM748" t="n">
        <v>-18</v>
      </c>
      <c r="AP748" t="inlineStr">
        <is>
          <t>Non Haz</t>
        </is>
      </c>
      <c r="AQ748" t="inlineStr">
        <is>
          <t>CY/CY</t>
        </is>
      </c>
      <c r="AU748" t="n">
        <v>28000</v>
      </c>
      <c r="AV748" t="inlineStr">
        <is>
          <t>FROZEN MEAT</t>
        </is>
      </c>
      <c r="AX748" t="inlineStr">
        <is>
          <t>RSSAM042600071</t>
        </is>
      </c>
      <c r="AZ748" t="n">
        <v>5</v>
      </c>
      <c r="BA748" t="n">
        <v>30</v>
      </c>
      <c r="BB748" t="n">
        <v>15</v>
      </c>
      <c r="BC748" t="n">
        <v>9100</v>
      </c>
      <c r="BD748" t="inlineStr">
        <is>
          <t>No</t>
        </is>
      </c>
      <c r="BG748" t="inlineStr">
        <is>
          <t>USNFK</t>
        </is>
      </c>
      <c r="BH748" t="n">
        <v>0</v>
      </c>
      <c r="BI748" t="n">
        <v>0</v>
      </c>
      <c r="BJ748" t="inlineStr">
        <is>
          <t xml:space="preserve"> 0</t>
        </is>
      </c>
      <c r="BK748" t="inlineStr">
        <is>
          <t>LINE</t>
        </is>
      </c>
      <c r="BL748" t="inlineStr">
        <is>
          <t>SEAL REEFER</t>
        </is>
      </c>
      <c r="BM748" t="inlineStr">
        <is>
          <t>SEAL REEFER</t>
        </is>
      </c>
    </row>
    <row r="749">
      <c r="A749" t="n">
        <v>748</v>
      </c>
      <c r="B749" t="inlineStr">
        <is>
          <t>SHARK REEFER</t>
        </is>
      </c>
      <c r="C749" t="inlineStr">
        <is>
          <t>REF000000</t>
        </is>
      </c>
      <c r="D749" t="inlineStr">
        <is>
          <t>REF000000</t>
        </is>
      </c>
      <c r="E749" t="inlineStr">
        <is>
          <t>13-APR-2026</t>
        </is>
      </c>
      <c r="F749" t="inlineStr">
        <is>
          <t>SHARK REEFER</t>
        </is>
      </c>
      <c r="G749" t="inlineStr">
        <is>
          <t>PA</t>
        </is>
      </c>
      <c r="H749" t="inlineStr">
        <is>
          <t>DiegoSAM</t>
        </is>
      </c>
      <c r="J749" t="inlineStr">
        <is>
          <t>23-APR-2026</t>
        </is>
      </c>
      <c r="K749" t="inlineStr">
        <is>
          <t>23-APR-2026</t>
        </is>
      </c>
      <c r="M749" t="inlineStr">
        <is>
          <t>REF000000</t>
        </is>
      </c>
      <c r="N749" t="inlineStr">
        <is>
          <t>USNFK</t>
        </is>
      </c>
      <c r="O749" t="inlineStr">
        <is>
          <t>USNFK</t>
        </is>
      </c>
      <c r="P749" t="inlineStr">
        <is>
          <t>RUBLT</t>
        </is>
      </c>
      <c r="U749" t="inlineStr">
        <is>
          <t>RUBLT</t>
        </is>
      </c>
      <c r="V749" t="inlineStr">
        <is>
          <t>RUBLT</t>
        </is>
      </c>
      <c r="W749" t="inlineStr">
        <is>
          <t>UNITED STATES</t>
        </is>
      </c>
      <c r="X749" t="inlineStr">
        <is>
          <t>Latin America</t>
        </is>
      </c>
      <c r="Y749" t="inlineStr">
        <is>
          <t>RUSSIA</t>
        </is>
      </c>
      <c r="Z749" t="inlineStr">
        <is>
          <t>External Review</t>
        </is>
      </c>
      <c r="AA749" t="inlineStr">
        <is>
          <t>HUB Shipping-Kaliningrad</t>
        </is>
      </c>
      <c r="AB749" t="inlineStr">
        <is>
          <t>Prepaid</t>
        </is>
      </c>
      <c r="AC749" t="inlineStr">
        <is>
          <t>VENUS / VOYAGE 2</t>
        </is>
      </c>
      <c r="AE749" t="inlineStr">
        <is>
          <t>LADEN BOOKING</t>
        </is>
      </c>
      <c r="AF749" t="inlineStr">
        <is>
          <t>Joao RibeiroSAM</t>
        </is>
      </c>
      <c r="AG749" t="inlineStr">
        <is>
          <t>RH40</t>
        </is>
      </c>
      <c r="AH749" t="inlineStr">
        <is>
          <t>NO</t>
        </is>
      </c>
      <c r="AI749" t="n">
        <v>40</v>
      </c>
      <c r="AJ749" t="n">
        <v>0</v>
      </c>
      <c r="AK749" t="n">
        <v>1</v>
      </c>
      <c r="AM749" t="n">
        <v>-18</v>
      </c>
      <c r="AP749" t="inlineStr">
        <is>
          <t>Non Haz</t>
        </is>
      </c>
      <c r="AQ749" t="inlineStr">
        <is>
          <t>CY/CY</t>
        </is>
      </c>
      <c r="AU749" t="n">
        <v>28000</v>
      </c>
      <c r="AV749" t="inlineStr">
        <is>
          <t>FROZEN MEAT</t>
        </is>
      </c>
      <c r="AX749" t="inlineStr">
        <is>
          <t>RSSAM042600071</t>
        </is>
      </c>
      <c r="AZ749" t="n">
        <v>5</v>
      </c>
      <c r="BA749" t="n">
        <v>30</v>
      </c>
      <c r="BB749" t="n">
        <v>15</v>
      </c>
      <c r="BC749" t="n">
        <v>9100</v>
      </c>
      <c r="BD749" t="inlineStr">
        <is>
          <t>No</t>
        </is>
      </c>
      <c r="BG749" t="inlineStr">
        <is>
          <t>USNFK</t>
        </is>
      </c>
      <c r="BH749" t="n">
        <v>0</v>
      </c>
      <c r="BI749" t="n">
        <v>0</v>
      </c>
      <c r="BJ749" t="inlineStr">
        <is>
          <t xml:space="preserve"> 0</t>
        </is>
      </c>
      <c r="BK749" t="inlineStr">
        <is>
          <t>LINE</t>
        </is>
      </c>
      <c r="BL749" t="inlineStr">
        <is>
          <t>SHARK REEFER</t>
        </is>
      </c>
      <c r="BM749" t="inlineStr">
        <is>
          <t>SHARK REEFER</t>
        </is>
      </c>
    </row>
    <row r="750">
      <c r="A750" t="n">
        <v>749</v>
      </c>
      <c r="B750" t="inlineStr">
        <is>
          <t>DOLPHIN REEFER</t>
        </is>
      </c>
      <c r="C750" t="inlineStr">
        <is>
          <t>REF000000</t>
        </is>
      </c>
      <c r="D750" t="inlineStr">
        <is>
          <t>REF000000</t>
        </is>
      </c>
      <c r="E750" t="inlineStr">
        <is>
          <t>13-APR-2026</t>
        </is>
      </c>
      <c r="F750" t="inlineStr">
        <is>
          <t>DOLPHIN REEFER</t>
        </is>
      </c>
      <c r="G750" t="inlineStr">
        <is>
          <t>PA</t>
        </is>
      </c>
      <c r="H750" t="inlineStr">
        <is>
          <t>DiegoSAM</t>
        </is>
      </c>
      <c r="J750" t="inlineStr">
        <is>
          <t>23-APR-2026</t>
        </is>
      </c>
      <c r="K750" t="inlineStr">
        <is>
          <t>23-APR-2026</t>
        </is>
      </c>
      <c r="M750" t="inlineStr">
        <is>
          <t>REF000000</t>
        </is>
      </c>
      <c r="N750" t="inlineStr">
        <is>
          <t>USNFK</t>
        </is>
      </c>
      <c r="O750" t="inlineStr">
        <is>
          <t>USNFK</t>
        </is>
      </c>
      <c r="P750" t="inlineStr">
        <is>
          <t>RULED</t>
        </is>
      </c>
      <c r="U750" t="inlineStr">
        <is>
          <t>RULED</t>
        </is>
      </c>
      <c r="V750" t="inlineStr">
        <is>
          <t>RULED</t>
        </is>
      </c>
      <c r="W750" t="inlineStr">
        <is>
          <t>UNITED STATES</t>
        </is>
      </c>
      <c r="X750" t="inlineStr">
        <is>
          <t>Latin America</t>
        </is>
      </c>
      <c r="Y750" t="inlineStr">
        <is>
          <t>RUSSIA</t>
        </is>
      </c>
      <c r="Z750" t="inlineStr">
        <is>
          <t>External Review</t>
        </is>
      </c>
      <c r="AA750" t="inlineStr">
        <is>
          <t>HUB SHIPPING LLC-LED</t>
        </is>
      </c>
      <c r="AB750" t="inlineStr">
        <is>
          <t>Prepaid</t>
        </is>
      </c>
      <c r="AC750" t="inlineStr">
        <is>
          <t>VENUS / VOYAGE 2</t>
        </is>
      </c>
      <c r="AE750" t="inlineStr">
        <is>
          <t>LADEN BOOKING</t>
        </is>
      </c>
      <c r="AF750" t="inlineStr">
        <is>
          <t>Joao RibeiroSAM</t>
        </is>
      </c>
      <c r="AG750" t="inlineStr">
        <is>
          <t>RH40</t>
        </is>
      </c>
      <c r="AH750" t="inlineStr">
        <is>
          <t>NO</t>
        </is>
      </c>
      <c r="AI750" t="n">
        <v>40</v>
      </c>
      <c r="AJ750" t="n">
        <v>0</v>
      </c>
      <c r="AK750" t="n">
        <v>1</v>
      </c>
      <c r="AM750" t="n">
        <v>-18</v>
      </c>
      <c r="AP750" t="inlineStr">
        <is>
          <t>Non Haz</t>
        </is>
      </c>
      <c r="AQ750" t="inlineStr">
        <is>
          <t>CY/CY</t>
        </is>
      </c>
      <c r="AU750" t="n">
        <v>28000</v>
      </c>
      <c r="AV750" t="inlineStr">
        <is>
          <t>FROZEN MEAT</t>
        </is>
      </c>
      <c r="AX750" t="inlineStr">
        <is>
          <t>RSSAM042600029</t>
        </is>
      </c>
      <c r="AZ750" t="n">
        <v>5</v>
      </c>
      <c r="BA750" t="n">
        <v>25</v>
      </c>
      <c r="BB750" t="n">
        <v>15</v>
      </c>
      <c r="BC750" t="n">
        <v>7000</v>
      </c>
      <c r="BD750" t="inlineStr">
        <is>
          <t>No</t>
        </is>
      </c>
      <c r="BG750" t="inlineStr">
        <is>
          <t>USNFK</t>
        </is>
      </c>
      <c r="BH750" t="n">
        <v>0</v>
      </c>
      <c r="BI750" t="n">
        <v>0</v>
      </c>
      <c r="BJ750" t="inlineStr">
        <is>
          <t xml:space="preserve"> 0</t>
        </is>
      </c>
      <c r="BK750" t="inlineStr">
        <is>
          <t>LINE</t>
        </is>
      </c>
      <c r="BL750" t="inlineStr">
        <is>
          <t>DOLPHIN REEFER</t>
        </is>
      </c>
      <c r="BM750" t="inlineStr">
        <is>
          <t>DOLPHIN REEFER</t>
        </is>
      </c>
    </row>
    <row r="751">
      <c r="A751" t="n">
        <v>750</v>
      </c>
      <c r="B751" t="inlineStr">
        <is>
          <t>MARLIN REEFER</t>
        </is>
      </c>
      <c r="C751" t="inlineStr">
        <is>
          <t>REF000000</t>
        </is>
      </c>
      <c r="D751" t="inlineStr">
        <is>
          <t>REF000000</t>
        </is>
      </c>
      <c r="E751" t="inlineStr">
        <is>
          <t>13-APR-2026</t>
        </is>
      </c>
      <c r="F751" t="inlineStr">
        <is>
          <t>MARLIN REEFER</t>
        </is>
      </c>
      <c r="G751" t="inlineStr">
        <is>
          <t>PREPAID</t>
        </is>
      </c>
      <c r="H751" t="inlineStr">
        <is>
          <t>DiegoSAM</t>
        </is>
      </c>
      <c r="J751" t="inlineStr">
        <is>
          <t>23-APR-2026</t>
        </is>
      </c>
      <c r="K751" t="inlineStr">
        <is>
          <t>23-APR-2026</t>
        </is>
      </c>
      <c r="M751" t="inlineStr">
        <is>
          <t>REF000000</t>
        </is>
      </c>
      <c r="N751" t="inlineStr">
        <is>
          <t>USNFK</t>
        </is>
      </c>
      <c r="O751" t="inlineStr">
        <is>
          <t>USNFK</t>
        </is>
      </c>
      <c r="P751" t="inlineStr">
        <is>
          <t>RULED</t>
        </is>
      </c>
      <c r="U751" t="inlineStr">
        <is>
          <t>RULED</t>
        </is>
      </c>
      <c r="V751" t="inlineStr">
        <is>
          <t>RULED</t>
        </is>
      </c>
      <c r="W751" t="inlineStr">
        <is>
          <t>UNITED STATES</t>
        </is>
      </c>
      <c r="X751" t="inlineStr">
        <is>
          <t>Latin America</t>
        </is>
      </c>
      <c r="Y751" t="inlineStr">
        <is>
          <t>RUSSIA</t>
        </is>
      </c>
      <c r="Z751" t="inlineStr">
        <is>
          <t>External Review</t>
        </is>
      </c>
      <c r="AA751" t="inlineStr">
        <is>
          <t>HUB SHIPPING LLC-LED</t>
        </is>
      </c>
      <c r="AB751" t="inlineStr">
        <is>
          <t>Prepaid</t>
        </is>
      </c>
      <c r="AC751" t="inlineStr">
        <is>
          <t>VENUS / VOYAGE 2</t>
        </is>
      </c>
      <c r="AE751" t="inlineStr">
        <is>
          <t>LADEN BOOKING</t>
        </is>
      </c>
      <c r="AF751" t="inlineStr">
        <is>
          <t>Guilherme Souza</t>
        </is>
      </c>
      <c r="AG751" t="inlineStr">
        <is>
          <t>RH40</t>
        </is>
      </c>
      <c r="AH751" t="inlineStr">
        <is>
          <t>NO</t>
        </is>
      </c>
      <c r="AI751" t="n">
        <v>40</v>
      </c>
      <c r="AJ751" t="n">
        <v>0</v>
      </c>
      <c r="AK751" t="n">
        <v>1</v>
      </c>
      <c r="AM751" t="n">
        <v>-18</v>
      </c>
      <c r="AP751" t="inlineStr">
        <is>
          <t>Non Haz</t>
        </is>
      </c>
      <c r="AQ751" t="inlineStr">
        <is>
          <t>CY/CY</t>
        </is>
      </c>
      <c r="AU751" t="n">
        <v>29000</v>
      </c>
      <c r="AV751" t="inlineStr">
        <is>
          <t>FROZEN MEAT</t>
        </is>
      </c>
      <c r="AX751" t="inlineStr">
        <is>
          <t>RSSAM042600025</t>
        </is>
      </c>
      <c r="AZ751" t="n">
        <v>5</v>
      </c>
      <c r="BA751" t="n">
        <v>21</v>
      </c>
      <c r="BB751" t="n">
        <v>10</v>
      </c>
      <c r="BC751" t="n">
        <v>8150</v>
      </c>
      <c r="BD751" t="inlineStr">
        <is>
          <t>No</t>
        </is>
      </c>
      <c r="BG751" t="inlineStr">
        <is>
          <t>USNFK</t>
        </is>
      </c>
      <c r="BH751" t="n">
        <v>0</v>
      </c>
      <c r="BI751" t="n">
        <v>0</v>
      </c>
      <c r="BJ751" t="inlineStr">
        <is>
          <t xml:space="preserve"> 0</t>
        </is>
      </c>
      <c r="BK751" t="inlineStr">
        <is>
          <t>LINE</t>
        </is>
      </c>
      <c r="BL751" t="inlineStr">
        <is>
          <t>MARLIN REEFER</t>
        </is>
      </c>
      <c r="BM751" t="inlineStr">
        <is>
          <t>MARLIN REEFER</t>
        </is>
      </c>
    </row>
    <row r="752">
      <c r="A752" t="n">
        <v>751</v>
      </c>
      <c r="B752" t="inlineStr">
        <is>
          <t>TURTLE REEFER</t>
        </is>
      </c>
      <c r="C752" t="inlineStr">
        <is>
          <t>REF000000</t>
        </is>
      </c>
      <c r="D752" t="inlineStr">
        <is>
          <t>REF000000</t>
        </is>
      </c>
      <c r="E752" t="inlineStr">
        <is>
          <t>13-APR-2026</t>
        </is>
      </c>
      <c r="F752" t="inlineStr">
        <is>
          <t>TURTLE REEFER</t>
        </is>
      </c>
      <c r="G752" t="inlineStr">
        <is>
          <t>PREPAID</t>
        </is>
      </c>
      <c r="H752" t="inlineStr">
        <is>
          <t>DiegoSAM</t>
        </is>
      </c>
      <c r="J752" t="inlineStr">
        <is>
          <t>23-APR-2026</t>
        </is>
      </c>
      <c r="K752" t="inlineStr">
        <is>
          <t>23-APR-2026</t>
        </is>
      </c>
      <c r="M752" t="inlineStr">
        <is>
          <t>REF000000</t>
        </is>
      </c>
      <c r="N752" t="inlineStr">
        <is>
          <t>USNFK</t>
        </is>
      </c>
      <c r="O752" t="inlineStr">
        <is>
          <t>USNFK</t>
        </is>
      </c>
      <c r="P752" t="inlineStr">
        <is>
          <t>RULED</t>
        </is>
      </c>
      <c r="U752" t="inlineStr">
        <is>
          <t>RULED</t>
        </is>
      </c>
      <c r="V752" t="inlineStr">
        <is>
          <t>RULED</t>
        </is>
      </c>
      <c r="W752" t="inlineStr">
        <is>
          <t>UNITED STATES</t>
        </is>
      </c>
      <c r="X752" t="inlineStr">
        <is>
          <t>Latin America</t>
        </is>
      </c>
      <c r="Y752" t="inlineStr">
        <is>
          <t>RUSSIA</t>
        </is>
      </c>
      <c r="Z752" t="inlineStr">
        <is>
          <t>External Review</t>
        </is>
      </c>
      <c r="AA752" t="inlineStr">
        <is>
          <t>HUB SHIPPING LLC-LED</t>
        </is>
      </c>
      <c r="AB752" t="inlineStr">
        <is>
          <t>Prepaid</t>
        </is>
      </c>
      <c r="AC752" t="inlineStr">
        <is>
          <t>VENUS / VOYAGE 2</t>
        </is>
      </c>
      <c r="AE752" t="inlineStr">
        <is>
          <t>LADEN BOOKING</t>
        </is>
      </c>
      <c r="AF752" t="inlineStr">
        <is>
          <t>Guilherme Souza</t>
        </is>
      </c>
      <c r="AG752" t="inlineStr">
        <is>
          <t>RH40</t>
        </is>
      </c>
      <c r="AH752" t="inlineStr">
        <is>
          <t>NO</t>
        </is>
      </c>
      <c r="AI752" t="n">
        <v>40</v>
      </c>
      <c r="AJ752" t="n">
        <v>0</v>
      </c>
      <c r="AK752" t="n">
        <v>1</v>
      </c>
      <c r="AM752" t="n">
        <v>-18</v>
      </c>
      <c r="AP752" t="inlineStr">
        <is>
          <t>Non Haz</t>
        </is>
      </c>
      <c r="AQ752" t="inlineStr">
        <is>
          <t>CY/CY</t>
        </is>
      </c>
      <c r="AU752" t="n">
        <v>29000</v>
      </c>
      <c r="AV752" t="inlineStr">
        <is>
          <t>FROZEN MEAT</t>
        </is>
      </c>
      <c r="AX752" t="inlineStr">
        <is>
          <t>RSSAM042600025</t>
        </is>
      </c>
      <c r="AZ752" t="n">
        <v>5</v>
      </c>
      <c r="BA752" t="n">
        <v>21</v>
      </c>
      <c r="BB752" t="n">
        <v>10</v>
      </c>
      <c r="BC752" t="n">
        <v>8150</v>
      </c>
      <c r="BD752" t="inlineStr">
        <is>
          <t>No</t>
        </is>
      </c>
      <c r="BG752" t="inlineStr">
        <is>
          <t>USNFK</t>
        </is>
      </c>
      <c r="BH752" t="n">
        <v>0</v>
      </c>
      <c r="BI752" t="n">
        <v>0</v>
      </c>
      <c r="BJ752" t="inlineStr">
        <is>
          <t xml:space="preserve"> 0</t>
        </is>
      </c>
      <c r="BK752" t="inlineStr">
        <is>
          <t>LINE</t>
        </is>
      </c>
      <c r="BL752" t="inlineStr">
        <is>
          <t>TURTLE REEFER</t>
        </is>
      </c>
      <c r="BM752" t="inlineStr">
        <is>
          <t>TURTLE REEFER</t>
        </is>
      </c>
    </row>
    <row r="753">
      <c r="A753" t="n">
        <v>752</v>
      </c>
      <c r="B753" t="inlineStr">
        <is>
          <t>ORCA REEFER</t>
        </is>
      </c>
      <c r="C753" t="inlineStr">
        <is>
          <t>REF000000</t>
        </is>
      </c>
      <c r="D753" t="inlineStr">
        <is>
          <t>REF000000</t>
        </is>
      </c>
      <c r="E753" t="inlineStr">
        <is>
          <t>13-APR-2026</t>
        </is>
      </c>
      <c r="F753" t="inlineStr">
        <is>
          <t>ORCA REEFER</t>
        </is>
      </c>
      <c r="G753" t="inlineStr">
        <is>
          <t>PA</t>
        </is>
      </c>
      <c r="H753" t="inlineStr">
        <is>
          <t>DiegoSAM</t>
        </is>
      </c>
      <c r="J753" t="inlineStr">
        <is>
          <t>23-APR-2026</t>
        </is>
      </c>
      <c r="K753" t="inlineStr">
        <is>
          <t>23-APR-2026</t>
        </is>
      </c>
      <c r="M753" t="inlineStr">
        <is>
          <t>REF000000</t>
        </is>
      </c>
      <c r="N753" t="inlineStr">
        <is>
          <t>USNFK</t>
        </is>
      </c>
      <c r="O753" t="inlineStr">
        <is>
          <t>USNFK</t>
        </is>
      </c>
      <c r="P753" t="inlineStr">
        <is>
          <t>RULED</t>
        </is>
      </c>
      <c r="U753" t="inlineStr">
        <is>
          <t>RULED</t>
        </is>
      </c>
      <c r="V753" t="inlineStr">
        <is>
          <t>RULED</t>
        </is>
      </c>
      <c r="W753" t="inlineStr">
        <is>
          <t>UNITED STATES</t>
        </is>
      </c>
      <c r="X753" t="inlineStr">
        <is>
          <t>Latin America</t>
        </is>
      </c>
      <c r="Y753" t="inlineStr">
        <is>
          <t>RUSSIA</t>
        </is>
      </c>
      <c r="Z753" t="inlineStr">
        <is>
          <t>External Review</t>
        </is>
      </c>
      <c r="AA753" t="inlineStr">
        <is>
          <t>HUB SHIPPING LLC-LED</t>
        </is>
      </c>
      <c r="AB753" t="inlineStr">
        <is>
          <t>Prepaid</t>
        </is>
      </c>
      <c r="AC753" t="inlineStr">
        <is>
          <t>VENUS / VOYAGE 2</t>
        </is>
      </c>
      <c r="AE753" t="inlineStr">
        <is>
          <t>LADEN BOOKING</t>
        </is>
      </c>
      <c r="AF753" t="inlineStr">
        <is>
          <t>Joao RibeiroSAM</t>
        </is>
      </c>
      <c r="AG753" t="inlineStr">
        <is>
          <t>RH40</t>
        </is>
      </c>
      <c r="AH753" t="inlineStr">
        <is>
          <t>NO</t>
        </is>
      </c>
      <c r="AI753" t="n">
        <v>40</v>
      </c>
      <c r="AJ753" t="n">
        <v>0</v>
      </c>
      <c r="AK753" t="n">
        <v>1</v>
      </c>
      <c r="AM753" t="n">
        <v>-18</v>
      </c>
      <c r="AP753" t="inlineStr">
        <is>
          <t>Non Haz</t>
        </is>
      </c>
      <c r="AQ753" t="inlineStr">
        <is>
          <t>CY/CY</t>
        </is>
      </c>
      <c r="AU753" t="n">
        <v>28000</v>
      </c>
      <c r="AV753" t="inlineStr">
        <is>
          <t>FROZEN MEAT</t>
        </is>
      </c>
      <c r="AX753" t="inlineStr">
        <is>
          <t>RSSAM042600029</t>
        </is>
      </c>
      <c r="AZ753" t="n">
        <v>5</v>
      </c>
      <c r="BA753" t="n">
        <v>25</v>
      </c>
      <c r="BB753" t="n">
        <v>15</v>
      </c>
      <c r="BC753" t="n">
        <v>7000</v>
      </c>
      <c r="BD753" t="inlineStr">
        <is>
          <t>No</t>
        </is>
      </c>
      <c r="BG753" t="inlineStr">
        <is>
          <t>USNFK</t>
        </is>
      </c>
      <c r="BH753" t="n">
        <v>0</v>
      </c>
      <c r="BI753" t="n">
        <v>0</v>
      </c>
      <c r="BJ753" t="inlineStr">
        <is>
          <t xml:space="preserve"> 0</t>
        </is>
      </c>
      <c r="BK753" t="inlineStr">
        <is>
          <t>LINE</t>
        </is>
      </c>
      <c r="BL753" t="inlineStr">
        <is>
          <t>ORCA REEFER</t>
        </is>
      </c>
      <c r="BM753" t="inlineStr">
        <is>
          <t>ORCA REEFER</t>
        </is>
      </c>
    </row>
    <row r="754">
      <c r="A754" t="n">
        <v>753</v>
      </c>
      <c r="B754" t="inlineStr">
        <is>
          <t>WHALE REEFER</t>
        </is>
      </c>
      <c r="C754" t="inlineStr">
        <is>
          <t>REF000000</t>
        </is>
      </c>
      <c r="D754" t="inlineStr">
        <is>
          <t>REF000000</t>
        </is>
      </c>
      <c r="E754" t="inlineStr">
        <is>
          <t>13-APR-2026</t>
        </is>
      </c>
      <c r="F754" t="inlineStr">
        <is>
          <t>WHALE REEFER</t>
        </is>
      </c>
      <c r="G754" t="inlineStr">
        <is>
          <t>PA</t>
        </is>
      </c>
      <c r="H754" t="inlineStr">
        <is>
          <t>DiegoSAM</t>
        </is>
      </c>
      <c r="J754" t="inlineStr">
        <is>
          <t>23-APR-2026</t>
        </is>
      </c>
      <c r="K754" t="inlineStr">
        <is>
          <t>23-APR-2026</t>
        </is>
      </c>
      <c r="M754" t="inlineStr">
        <is>
          <t>REF000000</t>
        </is>
      </c>
      <c r="N754" t="inlineStr">
        <is>
          <t>USNFK</t>
        </is>
      </c>
      <c r="O754" t="inlineStr">
        <is>
          <t>USNFK</t>
        </is>
      </c>
      <c r="P754" t="inlineStr">
        <is>
          <t>RULED</t>
        </is>
      </c>
      <c r="U754" t="inlineStr">
        <is>
          <t>RULED</t>
        </is>
      </c>
      <c r="V754" t="inlineStr">
        <is>
          <t>RULED</t>
        </is>
      </c>
      <c r="W754" t="inlineStr">
        <is>
          <t>UNITED STATES</t>
        </is>
      </c>
      <c r="X754" t="inlineStr">
        <is>
          <t>Latin America</t>
        </is>
      </c>
      <c r="Y754" t="inlineStr">
        <is>
          <t>RUSSIA</t>
        </is>
      </c>
      <c r="Z754" t="inlineStr">
        <is>
          <t>External Review</t>
        </is>
      </c>
      <c r="AA754" t="inlineStr">
        <is>
          <t>HUB SHIPPING LLC-LED</t>
        </is>
      </c>
      <c r="AB754" t="inlineStr">
        <is>
          <t>Prepaid</t>
        </is>
      </c>
      <c r="AC754" t="inlineStr">
        <is>
          <t>VENUS / VOYAGE 2</t>
        </is>
      </c>
      <c r="AE754" t="inlineStr">
        <is>
          <t>LADEN BOOKING</t>
        </is>
      </c>
      <c r="AF754" t="inlineStr">
        <is>
          <t>Joao RibeiroSAM</t>
        </is>
      </c>
      <c r="AG754" t="inlineStr">
        <is>
          <t>RH40</t>
        </is>
      </c>
      <c r="AH754" t="inlineStr">
        <is>
          <t>NO</t>
        </is>
      </c>
      <c r="AI754" t="n">
        <v>40</v>
      </c>
      <c r="AJ754" t="n">
        <v>0</v>
      </c>
      <c r="AK754" t="n">
        <v>1</v>
      </c>
      <c r="AM754" t="n">
        <v>-18</v>
      </c>
      <c r="AP754" t="inlineStr">
        <is>
          <t>Non Haz</t>
        </is>
      </c>
      <c r="AQ754" t="inlineStr">
        <is>
          <t>CY/CY</t>
        </is>
      </c>
      <c r="AU754" t="n">
        <v>28000</v>
      </c>
      <c r="AV754" t="inlineStr">
        <is>
          <t>FROZEN MEAT</t>
        </is>
      </c>
      <c r="AX754" t="inlineStr">
        <is>
          <t>RSSAM042600029</t>
        </is>
      </c>
      <c r="AZ754" t="n">
        <v>5</v>
      </c>
      <c r="BA754" t="n">
        <v>25</v>
      </c>
      <c r="BB754" t="n">
        <v>15</v>
      </c>
      <c r="BC754" t="n">
        <v>7000</v>
      </c>
      <c r="BD754" t="inlineStr">
        <is>
          <t>No</t>
        </is>
      </c>
      <c r="BG754" t="inlineStr">
        <is>
          <t>USNFK</t>
        </is>
      </c>
      <c r="BH754" t="n">
        <v>0</v>
      </c>
      <c r="BI754" t="n">
        <v>0</v>
      </c>
      <c r="BJ754" t="inlineStr">
        <is>
          <t xml:space="preserve"> 0</t>
        </is>
      </c>
      <c r="BK754" t="inlineStr">
        <is>
          <t>LINE</t>
        </is>
      </c>
      <c r="BL754" t="inlineStr">
        <is>
          <t>WHALE REEFER</t>
        </is>
      </c>
      <c r="BM754" t="inlineStr">
        <is>
          <t>WHALE REEFER</t>
        </is>
      </c>
    </row>
    <row r="755">
      <c r="A755" t="n">
        <v>754</v>
      </c>
      <c r="B755" t="inlineStr">
        <is>
          <t>SEAL REEFER</t>
        </is>
      </c>
      <c r="C755" t="inlineStr">
        <is>
          <t>REF000000</t>
        </is>
      </c>
      <c r="D755" t="inlineStr">
        <is>
          <t>REF000000</t>
        </is>
      </c>
      <c r="E755" t="inlineStr">
        <is>
          <t>13-APR-2026</t>
        </is>
      </c>
      <c r="F755" t="inlineStr">
        <is>
          <t>SEAL REEFER</t>
        </is>
      </c>
      <c r="G755" t="inlineStr">
        <is>
          <t>PA</t>
        </is>
      </c>
      <c r="H755" t="inlineStr">
        <is>
          <t>DiegoSAM</t>
        </is>
      </c>
      <c r="J755" t="inlineStr">
        <is>
          <t>23-APR-2026</t>
        </is>
      </c>
      <c r="K755" t="inlineStr">
        <is>
          <t>23-APR-2026</t>
        </is>
      </c>
      <c r="M755" t="inlineStr">
        <is>
          <t>REF000000</t>
        </is>
      </c>
      <c r="N755" t="inlineStr">
        <is>
          <t>USNFK</t>
        </is>
      </c>
      <c r="O755" t="inlineStr">
        <is>
          <t>USNFK</t>
        </is>
      </c>
      <c r="P755" t="inlineStr">
        <is>
          <t>RULED</t>
        </is>
      </c>
      <c r="U755" t="inlineStr">
        <is>
          <t>RULED</t>
        </is>
      </c>
      <c r="V755" t="inlineStr">
        <is>
          <t>RULED</t>
        </is>
      </c>
      <c r="W755" t="inlineStr">
        <is>
          <t>UNITED STATES</t>
        </is>
      </c>
      <c r="X755" t="inlineStr">
        <is>
          <t>Latin America</t>
        </is>
      </c>
      <c r="Y755" t="inlineStr">
        <is>
          <t>RUSSIA</t>
        </is>
      </c>
      <c r="Z755" t="inlineStr">
        <is>
          <t>External Review</t>
        </is>
      </c>
      <c r="AA755" t="inlineStr">
        <is>
          <t>HUB SHIPPING LLC-LED</t>
        </is>
      </c>
      <c r="AB755" t="inlineStr">
        <is>
          <t>Prepaid</t>
        </is>
      </c>
      <c r="AC755" t="inlineStr">
        <is>
          <t>VENUS / VOYAGE 2</t>
        </is>
      </c>
      <c r="AE755" t="inlineStr">
        <is>
          <t>LADEN BOOKING</t>
        </is>
      </c>
      <c r="AF755" t="inlineStr">
        <is>
          <t>Joao RibeiroSAM</t>
        </is>
      </c>
      <c r="AG755" t="inlineStr">
        <is>
          <t>RH40</t>
        </is>
      </c>
      <c r="AH755" t="inlineStr">
        <is>
          <t>NO</t>
        </is>
      </c>
      <c r="AI755" t="n">
        <v>40</v>
      </c>
      <c r="AJ755" t="n">
        <v>0</v>
      </c>
      <c r="AK755" t="n">
        <v>1</v>
      </c>
      <c r="AM755" t="n">
        <v>-18</v>
      </c>
      <c r="AP755" t="inlineStr">
        <is>
          <t>Non Haz</t>
        </is>
      </c>
      <c r="AQ755" t="inlineStr">
        <is>
          <t>CY/CY</t>
        </is>
      </c>
      <c r="AU755" t="n">
        <v>28000</v>
      </c>
      <c r="AV755" t="inlineStr">
        <is>
          <t>FROZEN MEAT</t>
        </is>
      </c>
      <c r="AX755" t="inlineStr">
        <is>
          <t>RSSAM042600029</t>
        </is>
      </c>
      <c r="AZ755" t="n">
        <v>5</v>
      </c>
      <c r="BA755" t="n">
        <v>25</v>
      </c>
      <c r="BB755" t="n">
        <v>15</v>
      </c>
      <c r="BC755" t="n">
        <v>7000</v>
      </c>
      <c r="BD755" t="inlineStr">
        <is>
          <t>No</t>
        </is>
      </c>
      <c r="BG755" t="inlineStr">
        <is>
          <t>USNFK</t>
        </is>
      </c>
      <c r="BH755" t="n">
        <v>0</v>
      </c>
      <c r="BI755" t="n">
        <v>0</v>
      </c>
      <c r="BJ755" t="inlineStr">
        <is>
          <t xml:space="preserve"> 0</t>
        </is>
      </c>
      <c r="BK755" t="inlineStr">
        <is>
          <t>LINE</t>
        </is>
      </c>
      <c r="BL755" t="inlineStr">
        <is>
          <t>SEAL REEFER</t>
        </is>
      </c>
      <c r="BM755" t="inlineStr">
        <is>
          <t>SEAL REEFER</t>
        </is>
      </c>
    </row>
    <row r="756">
      <c r="A756" t="n">
        <v>755</v>
      </c>
      <c r="B756" t="inlineStr">
        <is>
          <t>SHARK REEFER</t>
        </is>
      </c>
      <c r="C756" t="inlineStr">
        <is>
          <t>REF000000</t>
        </is>
      </c>
      <c r="D756" t="inlineStr">
        <is>
          <t>REF000000</t>
        </is>
      </c>
      <c r="E756" t="inlineStr">
        <is>
          <t>13-APR-2026</t>
        </is>
      </c>
      <c r="F756" t="inlineStr">
        <is>
          <t>SHARK REEFER</t>
        </is>
      </c>
      <c r="G756" t="inlineStr">
        <is>
          <t>PA</t>
        </is>
      </c>
      <c r="H756" t="inlineStr">
        <is>
          <t>DiegoSAM</t>
        </is>
      </c>
      <c r="J756" t="inlineStr">
        <is>
          <t>23-APR-2026</t>
        </is>
      </c>
      <c r="K756" t="inlineStr">
        <is>
          <t>23-APR-2026</t>
        </is>
      </c>
      <c r="M756" t="inlineStr">
        <is>
          <t>REF000000</t>
        </is>
      </c>
      <c r="N756" t="inlineStr">
        <is>
          <t>USNFK</t>
        </is>
      </c>
      <c r="O756" t="inlineStr">
        <is>
          <t>USNFK</t>
        </is>
      </c>
      <c r="P756" t="inlineStr">
        <is>
          <t>RULED</t>
        </is>
      </c>
      <c r="U756" t="inlineStr">
        <is>
          <t>RULED</t>
        </is>
      </c>
      <c r="V756" t="inlineStr">
        <is>
          <t>RULED</t>
        </is>
      </c>
      <c r="W756" t="inlineStr">
        <is>
          <t>UNITED STATES</t>
        </is>
      </c>
      <c r="X756" t="inlineStr">
        <is>
          <t>Latin America</t>
        </is>
      </c>
      <c r="Y756" t="inlineStr">
        <is>
          <t>RUSSIA</t>
        </is>
      </c>
      <c r="Z756" t="inlineStr">
        <is>
          <t>External Review</t>
        </is>
      </c>
      <c r="AA756" t="inlineStr">
        <is>
          <t>HUB SHIPPING LLC-LED</t>
        </is>
      </c>
      <c r="AB756" t="inlineStr">
        <is>
          <t>Prepaid</t>
        </is>
      </c>
      <c r="AC756" t="inlineStr">
        <is>
          <t>VENUS / VOYAGE 2</t>
        </is>
      </c>
      <c r="AE756" t="inlineStr">
        <is>
          <t>LADEN BOOKING</t>
        </is>
      </c>
      <c r="AF756" t="inlineStr">
        <is>
          <t>Joao RibeiroSAM</t>
        </is>
      </c>
      <c r="AG756" t="inlineStr">
        <is>
          <t>RH40</t>
        </is>
      </c>
      <c r="AH756" t="inlineStr">
        <is>
          <t>NO</t>
        </is>
      </c>
      <c r="AI756" t="n">
        <v>40</v>
      </c>
      <c r="AJ756" t="n">
        <v>0</v>
      </c>
      <c r="AK756" t="n">
        <v>1</v>
      </c>
      <c r="AM756" t="n">
        <v>-18</v>
      </c>
      <c r="AP756" t="inlineStr">
        <is>
          <t>Non Haz</t>
        </is>
      </c>
      <c r="AQ756" t="inlineStr">
        <is>
          <t>CY/CY</t>
        </is>
      </c>
      <c r="AU756" t="n">
        <v>28000</v>
      </c>
      <c r="AV756" t="inlineStr">
        <is>
          <t>FROZEN MEAT</t>
        </is>
      </c>
      <c r="AX756" t="inlineStr">
        <is>
          <t>RSSAM042600029</t>
        </is>
      </c>
      <c r="AZ756" t="n">
        <v>5</v>
      </c>
      <c r="BA756" t="n">
        <v>25</v>
      </c>
      <c r="BB756" t="n">
        <v>15</v>
      </c>
      <c r="BC756" t="n">
        <v>7000</v>
      </c>
      <c r="BD756" t="inlineStr">
        <is>
          <t>No</t>
        </is>
      </c>
      <c r="BG756" t="inlineStr">
        <is>
          <t>USNFK</t>
        </is>
      </c>
      <c r="BH756" t="n">
        <v>0</v>
      </c>
      <c r="BI756" t="n">
        <v>0</v>
      </c>
      <c r="BJ756" t="inlineStr">
        <is>
          <t xml:space="preserve"> 0</t>
        </is>
      </c>
      <c r="BK756" t="inlineStr">
        <is>
          <t>LINE</t>
        </is>
      </c>
      <c r="BL756" t="inlineStr">
        <is>
          <t>SHARK REEFER</t>
        </is>
      </c>
      <c r="BM756" t="inlineStr">
        <is>
          <t>SHARK REEFER</t>
        </is>
      </c>
    </row>
    <row r="757">
      <c r="A757" t="n">
        <v>756</v>
      </c>
      <c r="B757" t="inlineStr">
        <is>
          <t>DOLPHIN REEFER</t>
        </is>
      </c>
      <c r="C757" t="inlineStr">
        <is>
          <t>REF000000</t>
        </is>
      </c>
      <c r="D757" t="inlineStr">
        <is>
          <t>REF000000</t>
        </is>
      </c>
      <c r="E757" t="inlineStr">
        <is>
          <t>13-APR-2026</t>
        </is>
      </c>
      <c r="F757" t="inlineStr">
        <is>
          <t>DOLPHIN REEFER</t>
        </is>
      </c>
      <c r="G757" t="inlineStr">
        <is>
          <t>PA</t>
        </is>
      </c>
      <c r="H757" t="inlineStr">
        <is>
          <t>DiegoSAM</t>
        </is>
      </c>
      <c r="J757" t="inlineStr">
        <is>
          <t>23-APR-2026</t>
        </is>
      </c>
      <c r="K757" t="inlineStr">
        <is>
          <t>23-APR-2026</t>
        </is>
      </c>
      <c r="M757" t="inlineStr">
        <is>
          <t>REF000000</t>
        </is>
      </c>
      <c r="N757" t="inlineStr">
        <is>
          <t>USNFK</t>
        </is>
      </c>
      <c r="O757" t="inlineStr">
        <is>
          <t>USNFK</t>
        </is>
      </c>
      <c r="P757" t="inlineStr">
        <is>
          <t>RULED</t>
        </is>
      </c>
      <c r="U757" t="inlineStr">
        <is>
          <t>RULED</t>
        </is>
      </c>
      <c r="V757" t="inlineStr">
        <is>
          <t>RULED</t>
        </is>
      </c>
      <c r="W757" t="inlineStr">
        <is>
          <t>UNITED STATES</t>
        </is>
      </c>
      <c r="X757" t="inlineStr">
        <is>
          <t>Latin America</t>
        </is>
      </c>
      <c r="Y757" t="inlineStr">
        <is>
          <t>RUSSIA</t>
        </is>
      </c>
      <c r="Z757" t="inlineStr">
        <is>
          <t>External Review</t>
        </is>
      </c>
      <c r="AA757" t="inlineStr">
        <is>
          <t>HUB SHIPPING LLC-LED</t>
        </is>
      </c>
      <c r="AB757" t="inlineStr">
        <is>
          <t>Prepaid</t>
        </is>
      </c>
      <c r="AC757" t="inlineStr">
        <is>
          <t>VENUS / VOYAGE 2</t>
        </is>
      </c>
      <c r="AE757" t="inlineStr">
        <is>
          <t>LADEN BOOKING</t>
        </is>
      </c>
      <c r="AF757" t="inlineStr">
        <is>
          <t>Joao RibeiroSAM</t>
        </is>
      </c>
      <c r="AG757" t="inlineStr">
        <is>
          <t>RH40</t>
        </is>
      </c>
      <c r="AH757" t="inlineStr">
        <is>
          <t>NO</t>
        </is>
      </c>
      <c r="AI757" t="n">
        <v>40</v>
      </c>
      <c r="AJ757" t="n">
        <v>0</v>
      </c>
      <c r="AK757" t="n">
        <v>1</v>
      </c>
      <c r="AM757" t="n">
        <v>-18</v>
      </c>
      <c r="AP757" t="inlineStr">
        <is>
          <t>Non Haz</t>
        </is>
      </c>
      <c r="AQ757" t="inlineStr">
        <is>
          <t>CY/CY</t>
        </is>
      </c>
      <c r="AU757" t="n">
        <v>28000</v>
      </c>
      <c r="AV757" t="inlineStr">
        <is>
          <t>FROZEN MEAT</t>
        </is>
      </c>
      <c r="AX757" t="inlineStr">
        <is>
          <t>RSSAM042600029</t>
        </is>
      </c>
      <c r="AZ757" t="n">
        <v>5</v>
      </c>
      <c r="BA757" t="n">
        <v>25</v>
      </c>
      <c r="BB757" t="n">
        <v>15</v>
      </c>
      <c r="BC757" t="n">
        <v>7000</v>
      </c>
      <c r="BD757" t="inlineStr">
        <is>
          <t>No</t>
        </is>
      </c>
      <c r="BG757" t="inlineStr">
        <is>
          <t>USNFK</t>
        </is>
      </c>
      <c r="BH757" t="n">
        <v>0</v>
      </c>
      <c r="BI757" t="n">
        <v>0</v>
      </c>
      <c r="BJ757" t="inlineStr">
        <is>
          <t xml:space="preserve"> 0</t>
        </is>
      </c>
      <c r="BK757" t="inlineStr">
        <is>
          <t>LINE</t>
        </is>
      </c>
      <c r="BL757" t="inlineStr">
        <is>
          <t>DOLPHIN REEFER</t>
        </is>
      </c>
      <c r="BM757" t="inlineStr">
        <is>
          <t>DOLPHIN REEFER</t>
        </is>
      </c>
    </row>
    <row r="758">
      <c r="A758" t="n">
        <v>757</v>
      </c>
      <c r="B758" t="inlineStr">
        <is>
          <t>MARLIN REEFER</t>
        </is>
      </c>
      <c r="C758" t="inlineStr">
        <is>
          <t>REF000000</t>
        </is>
      </c>
      <c r="D758" t="inlineStr">
        <is>
          <t>REF000000</t>
        </is>
      </c>
      <c r="E758" t="inlineStr">
        <is>
          <t>13-APR-2026</t>
        </is>
      </c>
      <c r="F758" t="inlineStr">
        <is>
          <t>MARLIN REEFER</t>
        </is>
      </c>
      <c r="G758" t="inlineStr">
        <is>
          <t>PA</t>
        </is>
      </c>
      <c r="H758" t="inlineStr">
        <is>
          <t>DiegoSAM</t>
        </is>
      </c>
      <c r="J758" t="inlineStr">
        <is>
          <t>23-APR-2026</t>
        </is>
      </c>
      <c r="K758" t="inlineStr">
        <is>
          <t>23-APR-2026</t>
        </is>
      </c>
      <c r="M758" t="inlineStr">
        <is>
          <t>REF000000</t>
        </is>
      </c>
      <c r="N758" t="inlineStr">
        <is>
          <t>USNFK</t>
        </is>
      </c>
      <c r="O758" t="inlineStr">
        <is>
          <t>USNFK</t>
        </is>
      </c>
      <c r="P758" t="inlineStr">
        <is>
          <t>RULED</t>
        </is>
      </c>
      <c r="U758" t="inlineStr">
        <is>
          <t>RULED</t>
        </is>
      </c>
      <c r="V758" t="inlineStr">
        <is>
          <t>RULED</t>
        </is>
      </c>
      <c r="W758" t="inlineStr">
        <is>
          <t>UNITED STATES</t>
        </is>
      </c>
      <c r="X758" t="inlineStr">
        <is>
          <t>Latin America</t>
        </is>
      </c>
      <c r="Y758" t="inlineStr">
        <is>
          <t>RUSSIA</t>
        </is>
      </c>
      <c r="Z758" t="inlineStr">
        <is>
          <t>External Review</t>
        </is>
      </c>
      <c r="AA758" t="inlineStr">
        <is>
          <t>HUB SHIPPING LLC-LED</t>
        </is>
      </c>
      <c r="AB758" t="inlineStr">
        <is>
          <t>Prepaid</t>
        </is>
      </c>
      <c r="AC758" t="inlineStr">
        <is>
          <t>VENUS / VOYAGE 2</t>
        </is>
      </c>
      <c r="AE758" t="inlineStr">
        <is>
          <t>LADEN BOOKING</t>
        </is>
      </c>
      <c r="AF758" t="inlineStr">
        <is>
          <t>Joao RibeiroSAM</t>
        </is>
      </c>
      <c r="AG758" t="inlineStr">
        <is>
          <t>RH40</t>
        </is>
      </c>
      <c r="AH758" t="inlineStr">
        <is>
          <t>NO</t>
        </is>
      </c>
      <c r="AI758" t="n">
        <v>40</v>
      </c>
      <c r="AJ758" t="n">
        <v>0</v>
      </c>
      <c r="AK758" t="n">
        <v>1</v>
      </c>
      <c r="AM758" t="n">
        <v>-18</v>
      </c>
      <c r="AP758" t="inlineStr">
        <is>
          <t>Non Haz</t>
        </is>
      </c>
      <c r="AQ758" t="inlineStr">
        <is>
          <t>CY/CY</t>
        </is>
      </c>
      <c r="AU758" t="n">
        <v>28000</v>
      </c>
      <c r="AV758" t="inlineStr">
        <is>
          <t>FROZEN MEAT</t>
        </is>
      </c>
      <c r="AX758" t="inlineStr">
        <is>
          <t>RSSAM042600029</t>
        </is>
      </c>
      <c r="AZ758" t="n">
        <v>5</v>
      </c>
      <c r="BA758" t="n">
        <v>25</v>
      </c>
      <c r="BB758" t="n">
        <v>15</v>
      </c>
      <c r="BC758" t="n">
        <v>7000</v>
      </c>
      <c r="BD758" t="inlineStr">
        <is>
          <t>No</t>
        </is>
      </c>
      <c r="BG758" t="inlineStr">
        <is>
          <t>USNFK</t>
        </is>
      </c>
      <c r="BH758" t="n">
        <v>0</v>
      </c>
      <c r="BI758" t="n">
        <v>0</v>
      </c>
      <c r="BJ758" t="inlineStr">
        <is>
          <t xml:space="preserve"> 0</t>
        </is>
      </c>
      <c r="BK758" t="inlineStr">
        <is>
          <t>LINE</t>
        </is>
      </c>
      <c r="BL758" t="inlineStr">
        <is>
          <t>MARLIN REEFER</t>
        </is>
      </c>
      <c r="BM758" t="inlineStr">
        <is>
          <t>MARLIN REEFER</t>
        </is>
      </c>
    </row>
    <row r="759">
      <c r="A759" t="n">
        <v>758</v>
      </c>
      <c r="B759" t="inlineStr">
        <is>
          <t>TURTLE REEFER</t>
        </is>
      </c>
      <c r="C759" t="inlineStr">
        <is>
          <t>REF000000</t>
        </is>
      </c>
      <c r="D759" t="inlineStr">
        <is>
          <t>REF000000</t>
        </is>
      </c>
      <c r="E759" t="inlineStr">
        <is>
          <t>13-APR-2026</t>
        </is>
      </c>
      <c r="F759" t="inlineStr">
        <is>
          <t>TURTLE REEFER</t>
        </is>
      </c>
      <c r="G759" t="inlineStr">
        <is>
          <t>PA</t>
        </is>
      </c>
      <c r="H759" t="inlineStr">
        <is>
          <t>DiegoSAM</t>
        </is>
      </c>
      <c r="J759" t="inlineStr">
        <is>
          <t>23-APR-2026</t>
        </is>
      </c>
      <c r="K759" t="inlineStr">
        <is>
          <t>23-APR-2026</t>
        </is>
      </c>
      <c r="M759" t="inlineStr">
        <is>
          <t>REF000000</t>
        </is>
      </c>
      <c r="N759" t="inlineStr">
        <is>
          <t>USNFK</t>
        </is>
      </c>
      <c r="O759" t="inlineStr">
        <is>
          <t>USNFK</t>
        </is>
      </c>
      <c r="P759" t="inlineStr">
        <is>
          <t>RULED</t>
        </is>
      </c>
      <c r="U759" t="inlineStr">
        <is>
          <t>RULED</t>
        </is>
      </c>
      <c r="V759" t="inlineStr">
        <is>
          <t>RULED</t>
        </is>
      </c>
      <c r="W759" t="inlineStr">
        <is>
          <t>UNITED STATES</t>
        </is>
      </c>
      <c r="X759" t="inlineStr">
        <is>
          <t>Latin America</t>
        </is>
      </c>
      <c r="Y759" t="inlineStr">
        <is>
          <t>RUSSIA</t>
        </is>
      </c>
      <c r="Z759" t="inlineStr">
        <is>
          <t>External Review</t>
        </is>
      </c>
      <c r="AA759" t="inlineStr">
        <is>
          <t>HUB SHIPPING LLC-LED</t>
        </is>
      </c>
      <c r="AB759" t="inlineStr">
        <is>
          <t>Prepaid</t>
        </is>
      </c>
      <c r="AC759" t="inlineStr">
        <is>
          <t>VENUS / VOYAGE 2</t>
        </is>
      </c>
      <c r="AE759" t="inlineStr">
        <is>
          <t>LADEN BOOKING</t>
        </is>
      </c>
      <c r="AF759" t="inlineStr">
        <is>
          <t>Joao RibeiroSAM</t>
        </is>
      </c>
      <c r="AG759" t="inlineStr">
        <is>
          <t>RH40</t>
        </is>
      </c>
      <c r="AH759" t="inlineStr">
        <is>
          <t>NO</t>
        </is>
      </c>
      <c r="AI759" t="n">
        <v>40</v>
      </c>
      <c r="AJ759" t="n">
        <v>0</v>
      </c>
      <c r="AK759" t="n">
        <v>1</v>
      </c>
      <c r="AM759" t="n">
        <v>-18</v>
      </c>
      <c r="AP759" t="inlineStr">
        <is>
          <t>Non Haz</t>
        </is>
      </c>
      <c r="AQ759" t="inlineStr">
        <is>
          <t>CY/CY</t>
        </is>
      </c>
      <c r="AU759" t="n">
        <v>28000</v>
      </c>
      <c r="AV759" t="inlineStr">
        <is>
          <t>FROZEN MEAT</t>
        </is>
      </c>
      <c r="AX759" t="inlineStr">
        <is>
          <t>RSSAM042600029</t>
        </is>
      </c>
      <c r="AZ759" t="n">
        <v>5</v>
      </c>
      <c r="BA759" t="n">
        <v>25</v>
      </c>
      <c r="BB759" t="n">
        <v>15</v>
      </c>
      <c r="BC759" t="n">
        <v>7000</v>
      </c>
      <c r="BD759" t="inlineStr">
        <is>
          <t>No</t>
        </is>
      </c>
      <c r="BG759" t="inlineStr">
        <is>
          <t>USNFK</t>
        </is>
      </c>
      <c r="BH759" t="n">
        <v>0</v>
      </c>
      <c r="BI759" t="n">
        <v>0</v>
      </c>
      <c r="BJ759" t="inlineStr">
        <is>
          <t xml:space="preserve"> 0</t>
        </is>
      </c>
      <c r="BK759" t="inlineStr">
        <is>
          <t>LINE</t>
        </is>
      </c>
      <c r="BL759" t="inlineStr">
        <is>
          <t>TURTLE REEFER</t>
        </is>
      </c>
      <c r="BM759" t="inlineStr">
        <is>
          <t>TURTLE REEFER</t>
        </is>
      </c>
    </row>
    <row r="760">
      <c r="A760" t="n">
        <v>759</v>
      </c>
      <c r="B760" t="inlineStr">
        <is>
          <t>ORCA REEFER</t>
        </is>
      </c>
      <c r="C760" t="inlineStr">
        <is>
          <t>REF000000</t>
        </is>
      </c>
      <c r="D760" t="inlineStr">
        <is>
          <t>REF000000</t>
        </is>
      </c>
      <c r="E760" t="inlineStr">
        <is>
          <t>13-APR-2026</t>
        </is>
      </c>
      <c r="F760" t="inlineStr">
        <is>
          <t>ORCA REEFER</t>
        </is>
      </c>
      <c r="G760" t="inlineStr">
        <is>
          <t>P</t>
        </is>
      </c>
      <c r="H760" t="inlineStr">
        <is>
          <t>DiegoSAM</t>
        </is>
      </c>
      <c r="J760" t="inlineStr">
        <is>
          <t>23-APR-2026</t>
        </is>
      </c>
      <c r="K760" t="inlineStr">
        <is>
          <t>23-APR-2026</t>
        </is>
      </c>
      <c r="M760" t="inlineStr">
        <is>
          <t>REF000000</t>
        </is>
      </c>
      <c r="N760" t="inlineStr">
        <is>
          <t>USNFK</t>
        </is>
      </c>
      <c r="O760" t="inlineStr">
        <is>
          <t>USNFK</t>
        </is>
      </c>
      <c r="P760" t="inlineStr">
        <is>
          <t>RULED</t>
        </is>
      </c>
      <c r="U760" t="inlineStr">
        <is>
          <t>RULED</t>
        </is>
      </c>
      <c r="V760" t="inlineStr">
        <is>
          <t>RULED</t>
        </is>
      </c>
      <c r="W760" t="inlineStr">
        <is>
          <t>UNITED STATES</t>
        </is>
      </c>
      <c r="X760" t="inlineStr">
        <is>
          <t>Latin America</t>
        </is>
      </c>
      <c r="Y760" t="inlineStr">
        <is>
          <t>RUSSIA</t>
        </is>
      </c>
      <c r="Z760" t="inlineStr">
        <is>
          <t>External Review</t>
        </is>
      </c>
      <c r="AA760" t="inlineStr">
        <is>
          <t>HUB SHIPPING LLC-LED</t>
        </is>
      </c>
      <c r="AB760" t="inlineStr">
        <is>
          <t>Prepaid</t>
        </is>
      </c>
      <c r="AC760" t="inlineStr">
        <is>
          <t>VENUS / VOYAGE 2</t>
        </is>
      </c>
      <c r="AE760" t="inlineStr">
        <is>
          <t>LADEN BOOKING</t>
        </is>
      </c>
      <c r="AF760" t="inlineStr">
        <is>
          <t>Joao RibeiroSAM</t>
        </is>
      </c>
      <c r="AG760" t="inlineStr">
        <is>
          <t>RH40</t>
        </is>
      </c>
      <c r="AH760" t="inlineStr">
        <is>
          <t>NO</t>
        </is>
      </c>
      <c r="AI760" t="n">
        <v>40</v>
      </c>
      <c r="AJ760" t="n">
        <v>0</v>
      </c>
      <c r="AK760" t="n">
        <v>1</v>
      </c>
      <c r="AM760" t="n">
        <v>-18</v>
      </c>
      <c r="AP760" t="inlineStr">
        <is>
          <t>Non Haz</t>
        </is>
      </c>
      <c r="AQ760" t="inlineStr">
        <is>
          <t>CY/CY</t>
        </is>
      </c>
      <c r="AU760" t="n">
        <v>28000</v>
      </c>
      <c r="AV760" t="inlineStr">
        <is>
          <t>FROZEN MEAT</t>
        </is>
      </c>
      <c r="AX760" t="inlineStr">
        <is>
          <t>RSSAM042600029</t>
        </is>
      </c>
      <c r="AZ760" t="n">
        <v>5</v>
      </c>
      <c r="BA760" t="n">
        <v>25</v>
      </c>
      <c r="BB760" t="n">
        <v>15</v>
      </c>
      <c r="BC760" t="n">
        <v>7000</v>
      </c>
      <c r="BD760" t="inlineStr">
        <is>
          <t>No</t>
        </is>
      </c>
      <c r="BG760" t="inlineStr">
        <is>
          <t>USNFK</t>
        </is>
      </c>
      <c r="BH760" t="n">
        <v>0</v>
      </c>
      <c r="BI760" t="n">
        <v>0</v>
      </c>
      <c r="BJ760" t="inlineStr">
        <is>
          <t xml:space="preserve"> 0</t>
        </is>
      </c>
      <c r="BK760" t="inlineStr">
        <is>
          <t>LINE</t>
        </is>
      </c>
      <c r="BL760" t="inlineStr">
        <is>
          <t>ORCA REEFER</t>
        </is>
      </c>
      <c r="BM760" t="inlineStr">
        <is>
          <t>ORCA REEFER</t>
        </is>
      </c>
    </row>
    <row r="761">
      <c r="A761" t="n">
        <v>760</v>
      </c>
      <c r="B761" t="inlineStr">
        <is>
          <t>WHALE REEFER</t>
        </is>
      </c>
      <c r="C761" t="inlineStr">
        <is>
          <t>REF000000</t>
        </is>
      </c>
      <c r="D761" t="inlineStr">
        <is>
          <t>REF000000</t>
        </is>
      </c>
      <c r="E761" t="inlineStr">
        <is>
          <t>13-APR-2026</t>
        </is>
      </c>
      <c r="F761" t="inlineStr">
        <is>
          <t>WHALE REEFER</t>
        </is>
      </c>
      <c r="G761" t="inlineStr">
        <is>
          <t>P</t>
        </is>
      </c>
      <c r="H761" t="inlineStr">
        <is>
          <t>DiegoSAM</t>
        </is>
      </c>
      <c r="J761" t="inlineStr">
        <is>
          <t>23-APR-2026</t>
        </is>
      </c>
      <c r="K761" t="inlineStr">
        <is>
          <t>23-APR-2026</t>
        </is>
      </c>
      <c r="M761" t="inlineStr">
        <is>
          <t>REF000000</t>
        </is>
      </c>
      <c r="N761" t="inlineStr">
        <is>
          <t>USNFK</t>
        </is>
      </c>
      <c r="O761" t="inlineStr">
        <is>
          <t>USNFK</t>
        </is>
      </c>
      <c r="P761" t="inlineStr">
        <is>
          <t>RULED</t>
        </is>
      </c>
      <c r="U761" t="inlineStr">
        <is>
          <t>RULED</t>
        </is>
      </c>
      <c r="V761" t="inlineStr">
        <is>
          <t>RULED</t>
        </is>
      </c>
      <c r="W761" t="inlineStr">
        <is>
          <t>UNITED STATES</t>
        </is>
      </c>
      <c r="X761" t="inlineStr">
        <is>
          <t>Latin America</t>
        </is>
      </c>
      <c r="Y761" t="inlineStr">
        <is>
          <t>RUSSIA</t>
        </is>
      </c>
      <c r="Z761" t="inlineStr">
        <is>
          <t>External Review</t>
        </is>
      </c>
      <c r="AA761" t="inlineStr">
        <is>
          <t>HUB SHIPPING LLC-LED</t>
        </is>
      </c>
      <c r="AB761" t="inlineStr">
        <is>
          <t>Prepaid</t>
        </is>
      </c>
      <c r="AC761" t="inlineStr">
        <is>
          <t>VENUS / VOYAGE 2</t>
        </is>
      </c>
      <c r="AE761" t="inlineStr">
        <is>
          <t>LADEN BOOKING</t>
        </is>
      </c>
      <c r="AF761" t="inlineStr">
        <is>
          <t>Joao RibeiroSAM</t>
        </is>
      </c>
      <c r="AG761" t="inlineStr">
        <is>
          <t>RH40</t>
        </is>
      </c>
      <c r="AH761" t="inlineStr">
        <is>
          <t>NO</t>
        </is>
      </c>
      <c r="AI761" t="n">
        <v>40</v>
      </c>
      <c r="AJ761" t="n">
        <v>0</v>
      </c>
      <c r="AK761" t="n">
        <v>1</v>
      </c>
      <c r="AM761" t="n">
        <v>-18</v>
      </c>
      <c r="AP761" t="inlineStr">
        <is>
          <t>Non Haz</t>
        </is>
      </c>
      <c r="AQ761" t="inlineStr">
        <is>
          <t>CY/CY</t>
        </is>
      </c>
      <c r="AU761" t="n">
        <v>28000</v>
      </c>
      <c r="AV761" t="inlineStr">
        <is>
          <t>FROZEN MEAT</t>
        </is>
      </c>
      <c r="AX761" t="inlineStr">
        <is>
          <t>RSSAM042600029</t>
        </is>
      </c>
      <c r="AZ761" t="n">
        <v>5</v>
      </c>
      <c r="BA761" t="n">
        <v>25</v>
      </c>
      <c r="BB761" t="n">
        <v>15</v>
      </c>
      <c r="BC761" t="n">
        <v>7000</v>
      </c>
      <c r="BD761" t="inlineStr">
        <is>
          <t>No</t>
        </is>
      </c>
      <c r="BG761" t="inlineStr">
        <is>
          <t>USNFK</t>
        </is>
      </c>
      <c r="BH761" t="n">
        <v>0</v>
      </c>
      <c r="BI761" t="n">
        <v>0</v>
      </c>
      <c r="BJ761" t="inlineStr">
        <is>
          <t xml:space="preserve"> 0</t>
        </is>
      </c>
      <c r="BK761" t="inlineStr">
        <is>
          <t>LINE</t>
        </is>
      </c>
      <c r="BL761" t="inlineStr">
        <is>
          <t>WHALE REEFER</t>
        </is>
      </c>
      <c r="BM761" t="inlineStr">
        <is>
          <t>WHALE REEFER</t>
        </is>
      </c>
    </row>
    <row r="762">
      <c r="A762" t="n">
        <v>761</v>
      </c>
      <c r="B762" t="inlineStr">
        <is>
          <t>SEAL REEFER</t>
        </is>
      </c>
      <c r="C762" t="inlineStr">
        <is>
          <t>REF000000</t>
        </is>
      </c>
      <c r="D762" t="inlineStr">
        <is>
          <t>REF000000</t>
        </is>
      </c>
      <c r="E762" t="inlineStr">
        <is>
          <t>13-APR-2026</t>
        </is>
      </c>
      <c r="F762" t="inlineStr">
        <is>
          <t>SEAL REEFER</t>
        </is>
      </c>
      <c r="G762" t="inlineStr">
        <is>
          <t>P</t>
        </is>
      </c>
      <c r="H762" t="inlineStr">
        <is>
          <t>DiegoSAM</t>
        </is>
      </c>
      <c r="J762" t="inlineStr">
        <is>
          <t>23-APR-2026</t>
        </is>
      </c>
      <c r="K762" t="inlineStr">
        <is>
          <t>23-APR-2026</t>
        </is>
      </c>
      <c r="M762" t="inlineStr">
        <is>
          <t>REF000000</t>
        </is>
      </c>
      <c r="N762" t="inlineStr">
        <is>
          <t>USNFK</t>
        </is>
      </c>
      <c r="O762" t="inlineStr">
        <is>
          <t>USNFK</t>
        </is>
      </c>
      <c r="P762" t="inlineStr">
        <is>
          <t>RULED</t>
        </is>
      </c>
      <c r="U762" t="inlineStr">
        <is>
          <t>RULED</t>
        </is>
      </c>
      <c r="V762" t="inlineStr">
        <is>
          <t>RULED</t>
        </is>
      </c>
      <c r="W762" t="inlineStr">
        <is>
          <t>UNITED STATES</t>
        </is>
      </c>
      <c r="X762" t="inlineStr">
        <is>
          <t>Latin America</t>
        </is>
      </c>
      <c r="Y762" t="inlineStr">
        <is>
          <t>RUSSIA</t>
        </is>
      </c>
      <c r="Z762" t="inlineStr">
        <is>
          <t>External Review</t>
        </is>
      </c>
      <c r="AA762" t="inlineStr">
        <is>
          <t>HUB SHIPPING LLC-LED</t>
        </is>
      </c>
      <c r="AB762" t="inlineStr">
        <is>
          <t>Prepaid</t>
        </is>
      </c>
      <c r="AC762" t="inlineStr">
        <is>
          <t>VENUS / VOYAGE 2</t>
        </is>
      </c>
      <c r="AE762" t="inlineStr">
        <is>
          <t>LADEN BOOKING</t>
        </is>
      </c>
      <c r="AF762" t="inlineStr">
        <is>
          <t>Joao RibeiroSAM</t>
        </is>
      </c>
      <c r="AG762" t="inlineStr">
        <is>
          <t>RH40</t>
        </is>
      </c>
      <c r="AH762" t="inlineStr">
        <is>
          <t>NO</t>
        </is>
      </c>
      <c r="AI762" t="n">
        <v>40</v>
      </c>
      <c r="AJ762" t="n">
        <v>0</v>
      </c>
      <c r="AK762" t="n">
        <v>1</v>
      </c>
      <c r="AM762" t="n">
        <v>-18</v>
      </c>
      <c r="AP762" t="inlineStr">
        <is>
          <t>Non Haz</t>
        </is>
      </c>
      <c r="AQ762" t="inlineStr">
        <is>
          <t>CY/CY</t>
        </is>
      </c>
      <c r="AU762" t="n">
        <v>28000</v>
      </c>
      <c r="AV762" t="inlineStr">
        <is>
          <t>FROZEN MEAT</t>
        </is>
      </c>
      <c r="AX762" t="inlineStr">
        <is>
          <t>RSSAM042600029</t>
        </is>
      </c>
      <c r="AZ762" t="n">
        <v>5</v>
      </c>
      <c r="BA762" t="n">
        <v>25</v>
      </c>
      <c r="BB762" t="n">
        <v>15</v>
      </c>
      <c r="BC762" t="n">
        <v>7000</v>
      </c>
      <c r="BD762" t="inlineStr">
        <is>
          <t>No</t>
        </is>
      </c>
      <c r="BG762" t="inlineStr">
        <is>
          <t>USNFK</t>
        </is>
      </c>
      <c r="BH762" t="n">
        <v>0</v>
      </c>
      <c r="BI762" t="n">
        <v>0</v>
      </c>
      <c r="BJ762" t="inlineStr">
        <is>
          <t xml:space="preserve"> 0</t>
        </is>
      </c>
      <c r="BK762" t="inlineStr">
        <is>
          <t>LINE</t>
        </is>
      </c>
      <c r="BL762" t="inlineStr">
        <is>
          <t>SEAL REEFER</t>
        </is>
      </c>
      <c r="BM762" t="inlineStr">
        <is>
          <t>SEAL REEFER</t>
        </is>
      </c>
    </row>
    <row r="763">
      <c r="A763" t="n">
        <v>762</v>
      </c>
      <c r="B763" t="inlineStr">
        <is>
          <t>FOX DRY</t>
        </is>
      </c>
      <c r="C763" t="inlineStr">
        <is>
          <t>REF000000</t>
        </is>
      </c>
      <c r="D763" t="inlineStr">
        <is>
          <t>REF000000</t>
        </is>
      </c>
      <c r="E763" t="inlineStr">
        <is>
          <t>13-APR-2026</t>
        </is>
      </c>
      <c r="F763" t="inlineStr">
        <is>
          <t>FOX DRY</t>
        </is>
      </c>
      <c r="G763" t="inlineStr">
        <is>
          <t>Food Grade</t>
        </is>
      </c>
      <c r="H763" t="inlineStr">
        <is>
          <t>AdminSAM</t>
        </is>
      </c>
      <c r="J763" t="inlineStr">
        <is>
          <t>29-APR-2026</t>
        </is>
      </c>
      <c r="K763" t="inlineStr">
        <is>
          <t>29-APR-2026</t>
        </is>
      </c>
      <c r="M763" t="inlineStr">
        <is>
          <t>REF000000</t>
        </is>
      </c>
      <c r="N763" t="inlineStr">
        <is>
          <t>USNFK</t>
        </is>
      </c>
      <c r="O763" t="inlineStr">
        <is>
          <t>USNFK</t>
        </is>
      </c>
      <c r="P763" t="inlineStr">
        <is>
          <t>RULED</t>
        </is>
      </c>
      <c r="U763" t="inlineStr">
        <is>
          <t>RULED</t>
        </is>
      </c>
      <c r="V763" t="inlineStr">
        <is>
          <t>RULED</t>
        </is>
      </c>
      <c r="W763" t="inlineStr">
        <is>
          <t>UNITED STATES</t>
        </is>
      </c>
      <c r="X763" t="inlineStr">
        <is>
          <t>Latin America</t>
        </is>
      </c>
      <c r="Y763" t="inlineStr">
        <is>
          <t>RUSSIA</t>
        </is>
      </c>
      <c r="Z763" t="inlineStr">
        <is>
          <t>External Review</t>
        </is>
      </c>
      <c r="AA763" t="inlineStr">
        <is>
          <t>HUB SHIPPING LLC-LED</t>
        </is>
      </c>
      <c r="AB763" t="inlineStr">
        <is>
          <t>Collect</t>
        </is>
      </c>
      <c r="AC763" t="inlineStr">
        <is>
          <t>LI DA XING/VOYAGE 1</t>
        </is>
      </c>
      <c r="AE763" t="inlineStr">
        <is>
          <t>LADEN BOOKING</t>
        </is>
      </c>
      <c r="AF763" t="inlineStr">
        <is>
          <t>RenniSAM</t>
        </is>
      </c>
      <c r="AG763" t="inlineStr">
        <is>
          <t>DC20</t>
        </is>
      </c>
      <c r="AH763" t="inlineStr">
        <is>
          <t>NO</t>
        </is>
      </c>
      <c r="AI763" t="n">
        <v>20</v>
      </c>
      <c r="AJ763" t="n">
        <v>1</v>
      </c>
      <c r="AK763" t="n">
        <v>0</v>
      </c>
      <c r="AP763" t="inlineStr">
        <is>
          <t>Non Haz</t>
        </is>
      </c>
      <c r="AQ763" t="inlineStr">
        <is>
          <t>CY/CY</t>
        </is>
      </c>
      <c r="AU763" t="n">
        <v>25000</v>
      </c>
      <c r="AV763" t="inlineStr">
        <is>
          <t>GENERAL COMMODITY</t>
        </is>
      </c>
      <c r="AX763" t="inlineStr">
        <is>
          <t>RSSAM042600018</t>
        </is>
      </c>
      <c r="AZ763" t="n">
        <v>0</v>
      </c>
      <c r="BA763" t="n">
        <v>10</v>
      </c>
      <c r="BB763" t="n">
        <v>14</v>
      </c>
      <c r="BC763" t="n">
        <v>2950</v>
      </c>
      <c r="BD763" t="inlineStr">
        <is>
          <t>Yes</t>
        </is>
      </c>
      <c r="BG763" t="inlineStr">
        <is>
          <t>RULED</t>
        </is>
      </c>
      <c r="BH763" t="n">
        <v>0</v>
      </c>
      <c r="BI763" t="n">
        <v>0</v>
      </c>
      <c r="BJ763" t="inlineStr">
        <is>
          <t xml:space="preserve"> 0</t>
        </is>
      </c>
      <c r="BK763" t="inlineStr">
        <is>
          <t>LINE</t>
        </is>
      </c>
      <c r="BL763" t="inlineStr">
        <is>
          <t>FOX DRY</t>
        </is>
      </c>
      <c r="BM763" t="inlineStr">
        <is>
          <t>FOX DRY</t>
        </is>
      </c>
    </row>
    <row r="764">
      <c r="A764" t="n">
        <v>763</v>
      </c>
      <c r="B764" t="inlineStr">
        <is>
          <t>DOLPHIN REEFER</t>
        </is>
      </c>
      <c r="C764" t="inlineStr">
        <is>
          <t>REF000000</t>
        </is>
      </c>
      <c r="D764" t="inlineStr">
        <is>
          <t>REF000000</t>
        </is>
      </c>
      <c r="E764" t="inlineStr">
        <is>
          <t>13-APR-2026</t>
        </is>
      </c>
      <c r="F764" t="inlineStr">
        <is>
          <t>DOLPHIN REEFER</t>
        </is>
      </c>
      <c r="G764" t="inlineStr">
        <is>
          <t>PREPAID ABROAD</t>
        </is>
      </c>
      <c r="H764" t="inlineStr">
        <is>
          <t>DiegoSAM</t>
        </is>
      </c>
      <c r="J764" t="inlineStr">
        <is>
          <t>05-MAY-2026</t>
        </is>
      </c>
      <c r="K764" t="inlineStr">
        <is>
          <t>03-MAY-2026</t>
        </is>
      </c>
      <c r="M764" t="inlineStr">
        <is>
          <t>REF000000</t>
        </is>
      </c>
      <c r="N764" t="inlineStr">
        <is>
          <t>USNFK</t>
        </is>
      </c>
      <c r="O764" t="inlineStr">
        <is>
          <t>USNFK</t>
        </is>
      </c>
      <c r="P764" t="inlineStr">
        <is>
          <t>RULED</t>
        </is>
      </c>
      <c r="U764" t="inlineStr">
        <is>
          <t>RULED</t>
        </is>
      </c>
      <c r="V764" t="inlineStr">
        <is>
          <t>RULED</t>
        </is>
      </c>
      <c r="W764" t="inlineStr">
        <is>
          <t>UNITED STATES</t>
        </is>
      </c>
      <c r="X764" t="inlineStr">
        <is>
          <t>Latin America</t>
        </is>
      </c>
      <c r="Y764" t="inlineStr">
        <is>
          <t>RUSSIA</t>
        </is>
      </c>
      <c r="Z764" t="inlineStr">
        <is>
          <t>External Review</t>
        </is>
      </c>
      <c r="AA764" t="inlineStr">
        <is>
          <t>HUB SHIPPING LLC-LED</t>
        </is>
      </c>
      <c r="AB764" t="inlineStr">
        <is>
          <t>Prepaid</t>
        </is>
      </c>
      <c r="AC764" t="inlineStr">
        <is>
          <t>LI DA XING/VOYAGE 1</t>
        </is>
      </c>
      <c r="AE764" t="inlineStr">
        <is>
          <t>LADEN BOOKING</t>
        </is>
      </c>
      <c r="AF764" t="inlineStr">
        <is>
          <t>Guilherme Souza</t>
        </is>
      </c>
      <c r="AG764" t="inlineStr">
        <is>
          <t>RH40</t>
        </is>
      </c>
      <c r="AH764" t="inlineStr">
        <is>
          <t>NO</t>
        </is>
      </c>
      <c r="AI764" t="n">
        <v>40</v>
      </c>
      <c r="AJ764" t="n">
        <v>0</v>
      </c>
      <c r="AK764" t="n">
        <v>1</v>
      </c>
      <c r="AM764" t="n">
        <v>-18</v>
      </c>
      <c r="AP764" t="inlineStr">
        <is>
          <t>Non Haz</t>
        </is>
      </c>
      <c r="AQ764" t="inlineStr">
        <is>
          <t>CY/CY</t>
        </is>
      </c>
      <c r="AU764" t="n">
        <v>29000</v>
      </c>
      <c r="AV764" t="inlineStr">
        <is>
          <t>FROZEN MEAT</t>
        </is>
      </c>
      <c r="AX764" t="inlineStr">
        <is>
          <t>RSSAM042600067</t>
        </is>
      </c>
      <c r="AZ764" t="n">
        <v>5</v>
      </c>
      <c r="BA764" t="n">
        <v>30</v>
      </c>
      <c r="BB764" t="n">
        <v>15</v>
      </c>
      <c r="BC764" t="n">
        <v>7000</v>
      </c>
      <c r="BD764" t="inlineStr">
        <is>
          <t>No</t>
        </is>
      </c>
      <c r="BG764" t="inlineStr">
        <is>
          <t>USNFK</t>
        </is>
      </c>
      <c r="BH764" t="n">
        <v>0</v>
      </c>
      <c r="BI764" t="n">
        <v>0</v>
      </c>
      <c r="BJ764" t="inlineStr">
        <is>
          <t xml:space="preserve"> 0</t>
        </is>
      </c>
      <c r="BK764" t="inlineStr">
        <is>
          <t>LINE</t>
        </is>
      </c>
      <c r="BL764" t="inlineStr">
        <is>
          <t>DOLPHIN REEFER</t>
        </is>
      </c>
      <c r="BM764" t="inlineStr">
        <is>
          <t>DOLPHIN REEFER</t>
        </is>
      </c>
    </row>
    <row r="765">
      <c r="A765" t="n">
        <v>764</v>
      </c>
      <c r="B765" t="inlineStr">
        <is>
          <t>MARLIN REEFER</t>
        </is>
      </c>
      <c r="C765" t="inlineStr">
        <is>
          <t>REF000000</t>
        </is>
      </c>
      <c r="D765" t="inlineStr">
        <is>
          <t>REF000000</t>
        </is>
      </c>
      <c r="E765" t="inlineStr">
        <is>
          <t>13-APR-2026</t>
        </is>
      </c>
      <c r="F765" t="inlineStr">
        <is>
          <t>MARLIN REEFER</t>
        </is>
      </c>
      <c r="G765" t="inlineStr">
        <is>
          <t>PREPAID ABROAD</t>
        </is>
      </c>
      <c r="H765" t="inlineStr">
        <is>
          <t>DiegoSAM</t>
        </is>
      </c>
      <c r="J765" t="inlineStr">
        <is>
          <t>05-MAY-2026</t>
        </is>
      </c>
      <c r="K765" t="inlineStr">
        <is>
          <t>03-MAY-2026</t>
        </is>
      </c>
      <c r="M765" t="inlineStr">
        <is>
          <t>REF000000</t>
        </is>
      </c>
      <c r="N765" t="inlineStr">
        <is>
          <t>USNFK</t>
        </is>
      </c>
      <c r="O765" t="inlineStr">
        <is>
          <t>USNFK</t>
        </is>
      </c>
      <c r="P765" t="inlineStr">
        <is>
          <t>RUBLT</t>
        </is>
      </c>
      <c r="U765" t="inlineStr">
        <is>
          <t>RUBLT</t>
        </is>
      </c>
      <c r="V765" t="inlineStr">
        <is>
          <t>RUBLT</t>
        </is>
      </c>
      <c r="W765" t="inlineStr">
        <is>
          <t>UNITED STATES</t>
        </is>
      </c>
      <c r="X765" t="inlineStr">
        <is>
          <t>Latin America</t>
        </is>
      </c>
      <c r="Y765" t="inlineStr">
        <is>
          <t>RUSSIA</t>
        </is>
      </c>
      <c r="Z765" t="inlineStr">
        <is>
          <t>External Review</t>
        </is>
      </c>
      <c r="AA765" t="inlineStr">
        <is>
          <t>HUB Shipping-Kaliningrad</t>
        </is>
      </c>
      <c r="AB765" t="inlineStr">
        <is>
          <t>Prepaid</t>
        </is>
      </c>
      <c r="AC765" t="inlineStr">
        <is>
          <t>LI DA XING/VOYAGE 1</t>
        </is>
      </c>
      <c r="AE765" t="inlineStr">
        <is>
          <t>LADEN BOOKING</t>
        </is>
      </c>
      <c r="AF765" t="inlineStr">
        <is>
          <t>Guilherme Souza</t>
        </is>
      </c>
      <c r="AG765" t="inlineStr">
        <is>
          <t>RH40</t>
        </is>
      </c>
      <c r="AH765" t="inlineStr">
        <is>
          <t>NO</t>
        </is>
      </c>
      <c r="AI765" t="n">
        <v>40</v>
      </c>
      <c r="AJ765" t="n">
        <v>0</v>
      </c>
      <c r="AK765" t="n">
        <v>1</v>
      </c>
      <c r="AM765" t="n">
        <v>-18</v>
      </c>
      <c r="AP765" t="inlineStr">
        <is>
          <t>Non Haz</t>
        </is>
      </c>
      <c r="AQ765" t="inlineStr">
        <is>
          <t>CY/CY</t>
        </is>
      </c>
      <c r="AU765" t="n">
        <v>29000</v>
      </c>
      <c r="AV765" t="inlineStr">
        <is>
          <t>FROZEN MEAT</t>
        </is>
      </c>
      <c r="AX765" t="inlineStr">
        <is>
          <t>RSSAM042600071</t>
        </is>
      </c>
      <c r="AZ765" t="n">
        <v>5</v>
      </c>
      <c r="BA765" t="n">
        <v>30</v>
      </c>
      <c r="BB765" t="n">
        <v>15</v>
      </c>
      <c r="BC765" t="n">
        <v>9100</v>
      </c>
      <c r="BD765" t="inlineStr">
        <is>
          <t>No</t>
        </is>
      </c>
      <c r="BG765" t="inlineStr">
        <is>
          <t>USNFK</t>
        </is>
      </c>
      <c r="BH765" t="n">
        <v>0</v>
      </c>
      <c r="BI765" t="n">
        <v>0</v>
      </c>
      <c r="BJ765" t="inlineStr">
        <is>
          <t xml:space="preserve"> 0</t>
        </is>
      </c>
      <c r="BK765" t="inlineStr">
        <is>
          <t>LINE</t>
        </is>
      </c>
      <c r="BL765" t="inlineStr">
        <is>
          <t>MARLIN REEFER</t>
        </is>
      </c>
      <c r="BM765" t="inlineStr">
        <is>
          <t>MARLIN REEFER</t>
        </is>
      </c>
    </row>
    <row r="766">
      <c r="A766" t="n">
        <v>765</v>
      </c>
      <c r="B766" t="inlineStr">
        <is>
          <t>COYOTE DRY</t>
        </is>
      </c>
      <c r="C766" t="inlineStr">
        <is>
          <t>REF000000</t>
        </is>
      </c>
      <c r="D766" t="inlineStr">
        <is>
          <t>REF000000</t>
        </is>
      </c>
      <c r="E766" t="inlineStr">
        <is>
          <t>13-APR-2026</t>
        </is>
      </c>
      <c r="F766" t="inlineStr">
        <is>
          <t>COYOTE DRY</t>
        </is>
      </c>
      <c r="G766" t="inlineStr">
        <is>
          <t>Food Grade</t>
        </is>
      </c>
      <c r="H766" t="inlineStr">
        <is>
          <t>AdminSAM</t>
        </is>
      </c>
      <c r="J766" t="inlineStr">
        <is>
          <t>05-MAY-2026</t>
        </is>
      </c>
      <c r="K766" t="inlineStr">
        <is>
          <t>03-MAY-2026</t>
        </is>
      </c>
      <c r="M766" t="inlineStr">
        <is>
          <t>REF000000</t>
        </is>
      </c>
      <c r="N766" t="inlineStr">
        <is>
          <t>USNFK</t>
        </is>
      </c>
      <c r="O766" t="inlineStr">
        <is>
          <t>USNFK</t>
        </is>
      </c>
      <c r="P766" t="inlineStr">
        <is>
          <t>RULED</t>
        </is>
      </c>
      <c r="U766" t="inlineStr">
        <is>
          <t>RULED</t>
        </is>
      </c>
      <c r="V766" t="inlineStr">
        <is>
          <t>RULED</t>
        </is>
      </c>
      <c r="W766" t="inlineStr">
        <is>
          <t>UNITED STATES</t>
        </is>
      </c>
      <c r="X766" t="inlineStr">
        <is>
          <t>Latin America</t>
        </is>
      </c>
      <c r="Y766" t="inlineStr">
        <is>
          <t>RUSSIA</t>
        </is>
      </c>
      <c r="Z766" t="inlineStr">
        <is>
          <t>External Review</t>
        </is>
      </c>
      <c r="AA766" t="inlineStr">
        <is>
          <t>HUB SHIPPING LLC-LED</t>
        </is>
      </c>
      <c r="AB766" t="inlineStr">
        <is>
          <t>Collect</t>
        </is>
      </c>
      <c r="AC766" t="inlineStr">
        <is>
          <t>LI DA XING/VOYAGE 1</t>
        </is>
      </c>
      <c r="AE766" t="inlineStr">
        <is>
          <t>LADEN BOOKING</t>
        </is>
      </c>
      <c r="AF766" t="inlineStr">
        <is>
          <t>RenniSAM</t>
        </is>
      </c>
      <c r="AG766" t="inlineStr">
        <is>
          <t>DC20</t>
        </is>
      </c>
      <c r="AH766" t="inlineStr">
        <is>
          <t>NO</t>
        </is>
      </c>
      <c r="AI766" t="n">
        <v>20</v>
      </c>
      <c r="AJ766" t="n">
        <v>1</v>
      </c>
      <c r="AK766" t="n">
        <v>0</v>
      </c>
      <c r="AP766" t="inlineStr">
        <is>
          <t>Non Haz</t>
        </is>
      </c>
      <c r="AQ766" t="inlineStr">
        <is>
          <t>CY/CY</t>
        </is>
      </c>
      <c r="AU766" t="n">
        <v>25000</v>
      </c>
      <c r="AV766" t="inlineStr">
        <is>
          <t>GENERAL COMMODITY</t>
        </is>
      </c>
      <c r="AX766" t="inlineStr">
        <is>
          <t>RSSAM042600011</t>
        </is>
      </c>
      <c r="AZ766" t="n">
        <v>0</v>
      </c>
      <c r="BA766" t="n">
        <v>10</v>
      </c>
      <c r="BB766" t="n">
        <v>14</v>
      </c>
      <c r="BC766" t="n">
        <v>2350</v>
      </c>
      <c r="BD766" t="inlineStr">
        <is>
          <t>Yes</t>
        </is>
      </c>
      <c r="BG766" t="inlineStr">
        <is>
          <t>RULED</t>
        </is>
      </c>
      <c r="BH766" t="n">
        <v>0</v>
      </c>
      <c r="BI766" t="n">
        <v>0</v>
      </c>
      <c r="BJ766" t="inlineStr">
        <is>
          <t xml:space="preserve"> 0</t>
        </is>
      </c>
      <c r="BK766" t="inlineStr">
        <is>
          <t>LINE</t>
        </is>
      </c>
      <c r="BL766" t="inlineStr">
        <is>
          <t>COYOTE DRY</t>
        </is>
      </c>
      <c r="BM766" t="inlineStr">
        <is>
          <t>COYOTE DRY</t>
        </is>
      </c>
    </row>
    <row r="767">
      <c r="A767" t="n">
        <v>766</v>
      </c>
      <c r="B767" t="inlineStr">
        <is>
          <t>ORCA REEFER</t>
        </is>
      </c>
      <c r="C767" t="inlineStr">
        <is>
          <t>REF000000</t>
        </is>
      </c>
      <c r="D767" t="inlineStr">
        <is>
          <t>REF000000</t>
        </is>
      </c>
      <c r="E767" t="inlineStr">
        <is>
          <t>13-APR-2026</t>
        </is>
      </c>
      <c r="F767" t="inlineStr">
        <is>
          <t>ORCA REEFER</t>
        </is>
      </c>
      <c r="G767" t="inlineStr">
        <is>
          <t>PREPAID ABROAD</t>
        </is>
      </c>
      <c r="H767" t="inlineStr">
        <is>
          <t>DiegoSAM</t>
        </is>
      </c>
      <c r="J767" t="inlineStr">
        <is>
          <t>01-MAY-2026</t>
        </is>
      </c>
      <c r="K767" t="inlineStr">
        <is>
          <t>30-APR-2026</t>
        </is>
      </c>
      <c r="M767" t="inlineStr">
        <is>
          <t>REF000000</t>
        </is>
      </c>
      <c r="N767" t="inlineStr">
        <is>
          <t>USNYC</t>
        </is>
      </c>
      <c r="O767" t="inlineStr">
        <is>
          <t>USNYC</t>
        </is>
      </c>
      <c r="P767" t="inlineStr">
        <is>
          <t>RULED</t>
        </is>
      </c>
      <c r="U767" t="inlineStr">
        <is>
          <t>RULED</t>
        </is>
      </c>
      <c r="V767" t="inlineStr">
        <is>
          <t>RULED</t>
        </is>
      </c>
      <c r="W767" t="inlineStr">
        <is>
          <t>UNITED STATES</t>
        </is>
      </c>
      <c r="X767" t="inlineStr">
        <is>
          <t>Latin America</t>
        </is>
      </c>
      <c r="Y767" t="inlineStr">
        <is>
          <t>RUSSIA</t>
        </is>
      </c>
      <c r="Z767" t="inlineStr">
        <is>
          <t>External Review</t>
        </is>
      </c>
      <c r="AA767" t="inlineStr">
        <is>
          <t>HUB SHIPPING LLC-LED</t>
        </is>
      </c>
      <c r="AB767" t="inlineStr">
        <is>
          <t>Prepaid</t>
        </is>
      </c>
      <c r="AC767" t="inlineStr">
        <is>
          <t>LI DA XING/VOYAGE 1</t>
        </is>
      </c>
      <c r="AE767" t="inlineStr">
        <is>
          <t>LADEN BOOKING</t>
        </is>
      </c>
      <c r="AF767" t="inlineStr">
        <is>
          <t>Guilherme Souza</t>
        </is>
      </c>
      <c r="AG767" t="inlineStr">
        <is>
          <t>RH40</t>
        </is>
      </c>
      <c r="AH767" t="inlineStr">
        <is>
          <t>NO</t>
        </is>
      </c>
      <c r="AI767" t="n">
        <v>40</v>
      </c>
      <c r="AJ767" t="n">
        <v>0</v>
      </c>
      <c r="AK767" t="n">
        <v>1</v>
      </c>
      <c r="AM767" t="n">
        <v>-18</v>
      </c>
      <c r="AP767" t="inlineStr">
        <is>
          <t>Non Haz</t>
        </is>
      </c>
      <c r="AQ767" t="inlineStr">
        <is>
          <t>CY/CY</t>
        </is>
      </c>
      <c r="AU767" t="n">
        <v>29000</v>
      </c>
      <c r="AV767" t="inlineStr">
        <is>
          <t>FROZEN MEAT</t>
        </is>
      </c>
      <c r="AX767" t="inlineStr">
        <is>
          <t>RSSAM042600068</t>
        </is>
      </c>
      <c r="AZ767" t="n">
        <v>5</v>
      </c>
      <c r="BA767" t="n">
        <v>30</v>
      </c>
      <c r="BB767" t="n">
        <v>15</v>
      </c>
      <c r="BC767" t="n">
        <v>7000</v>
      </c>
      <c r="BD767" t="inlineStr">
        <is>
          <t>No</t>
        </is>
      </c>
      <c r="BG767" t="inlineStr">
        <is>
          <t>USNYC</t>
        </is>
      </c>
      <c r="BH767" t="n">
        <v>0</v>
      </c>
      <c r="BI767" t="n">
        <v>0</v>
      </c>
      <c r="BJ767" t="inlineStr">
        <is>
          <t xml:space="preserve"> 0</t>
        </is>
      </c>
      <c r="BK767" t="inlineStr">
        <is>
          <t>LINE</t>
        </is>
      </c>
      <c r="BL767" t="inlineStr">
        <is>
          <t>ORCA REEFER</t>
        </is>
      </c>
      <c r="BM767" t="inlineStr">
        <is>
          <t>ORCA REEFER</t>
        </is>
      </c>
    </row>
    <row r="768">
      <c r="A768" t="n">
        <v>767</v>
      </c>
      <c r="B768" t="inlineStr">
        <is>
          <t>WHALE REEFER</t>
        </is>
      </c>
      <c r="C768" t="inlineStr">
        <is>
          <t>REF000000</t>
        </is>
      </c>
      <c r="D768" t="inlineStr">
        <is>
          <t>REF000000</t>
        </is>
      </c>
      <c r="E768" t="inlineStr">
        <is>
          <t>13-APR-2026</t>
        </is>
      </c>
      <c r="F768" t="inlineStr">
        <is>
          <t>WHALE REEFER</t>
        </is>
      </c>
      <c r="G768" t="inlineStr">
        <is>
          <t>PREPAID ABROAD</t>
        </is>
      </c>
      <c r="H768" t="inlineStr">
        <is>
          <t>DiegoSAM</t>
        </is>
      </c>
      <c r="J768" t="inlineStr">
        <is>
          <t>01-MAY-2026</t>
        </is>
      </c>
      <c r="K768" t="inlineStr">
        <is>
          <t>30-APR-2026</t>
        </is>
      </c>
      <c r="M768" t="inlineStr">
        <is>
          <t>REF000000</t>
        </is>
      </c>
      <c r="N768" t="inlineStr">
        <is>
          <t>USNYC</t>
        </is>
      </c>
      <c r="O768" t="inlineStr">
        <is>
          <t>USNYC</t>
        </is>
      </c>
      <c r="P768" t="inlineStr">
        <is>
          <t>RULED</t>
        </is>
      </c>
      <c r="U768" t="inlineStr">
        <is>
          <t>RULED</t>
        </is>
      </c>
      <c r="V768" t="inlineStr">
        <is>
          <t>RULED</t>
        </is>
      </c>
      <c r="W768" t="inlineStr">
        <is>
          <t>UNITED STATES</t>
        </is>
      </c>
      <c r="X768" t="inlineStr">
        <is>
          <t>Latin America</t>
        </is>
      </c>
      <c r="Y768" t="inlineStr">
        <is>
          <t>RUSSIA</t>
        </is>
      </c>
      <c r="Z768" t="inlineStr">
        <is>
          <t>External Review</t>
        </is>
      </c>
      <c r="AA768" t="inlineStr">
        <is>
          <t>HUB SHIPPING LLC-LED</t>
        </is>
      </c>
      <c r="AB768" t="inlineStr">
        <is>
          <t>Prepaid</t>
        </is>
      </c>
      <c r="AC768" t="inlineStr">
        <is>
          <t>LI DA XING/VOYAGE 1</t>
        </is>
      </c>
      <c r="AE768" t="inlineStr">
        <is>
          <t>LADEN BOOKING</t>
        </is>
      </c>
      <c r="AF768" t="inlineStr">
        <is>
          <t>Guilherme Souza</t>
        </is>
      </c>
      <c r="AG768" t="inlineStr">
        <is>
          <t>RH40</t>
        </is>
      </c>
      <c r="AH768" t="inlineStr">
        <is>
          <t>NO</t>
        </is>
      </c>
      <c r="AI768" t="n">
        <v>40</v>
      </c>
      <c r="AJ768" t="n">
        <v>0</v>
      </c>
      <c r="AK768" t="n">
        <v>1</v>
      </c>
      <c r="AM768" t="n">
        <v>-18</v>
      </c>
      <c r="AP768" t="inlineStr">
        <is>
          <t>Non Haz</t>
        </is>
      </c>
      <c r="AQ768" t="inlineStr">
        <is>
          <t>CY/CY</t>
        </is>
      </c>
      <c r="AU768" t="n">
        <v>29000</v>
      </c>
      <c r="AV768" t="inlineStr">
        <is>
          <t>FROZEN MEAT</t>
        </is>
      </c>
      <c r="AX768" t="inlineStr">
        <is>
          <t>RSSAM042600068</t>
        </is>
      </c>
      <c r="AZ768" t="n">
        <v>5</v>
      </c>
      <c r="BA768" t="n">
        <v>30</v>
      </c>
      <c r="BB768" t="n">
        <v>15</v>
      </c>
      <c r="BC768" t="n">
        <v>7000</v>
      </c>
      <c r="BD768" t="inlineStr">
        <is>
          <t>No</t>
        </is>
      </c>
      <c r="BG768" t="inlineStr">
        <is>
          <t>USNYC</t>
        </is>
      </c>
      <c r="BH768" t="n">
        <v>0</v>
      </c>
      <c r="BI768" t="n">
        <v>0</v>
      </c>
      <c r="BJ768" t="inlineStr">
        <is>
          <t xml:space="preserve"> 0</t>
        </is>
      </c>
      <c r="BK768" t="inlineStr">
        <is>
          <t>LINE</t>
        </is>
      </c>
      <c r="BL768" t="inlineStr">
        <is>
          <t>WHALE REEFER</t>
        </is>
      </c>
      <c r="BM768" t="inlineStr">
        <is>
          <t>WHALE REEFER</t>
        </is>
      </c>
    </row>
    <row r="769">
      <c r="A769" t="n">
        <v>768</v>
      </c>
      <c r="B769" t="inlineStr">
        <is>
          <t>SEAL REEFER</t>
        </is>
      </c>
      <c r="C769" t="inlineStr">
        <is>
          <t>REF000000</t>
        </is>
      </c>
      <c r="D769" t="inlineStr">
        <is>
          <t>REF000000</t>
        </is>
      </c>
      <c r="E769" t="inlineStr">
        <is>
          <t>13-APR-2026</t>
        </is>
      </c>
      <c r="F769" t="inlineStr">
        <is>
          <t>SEAL REEFER</t>
        </is>
      </c>
      <c r="G769" t="inlineStr">
        <is>
          <t>PA</t>
        </is>
      </c>
      <c r="H769" t="inlineStr">
        <is>
          <t>DiegoSAM</t>
        </is>
      </c>
      <c r="J769" t="inlineStr">
        <is>
          <t>02-MAY-2026</t>
        </is>
      </c>
      <c r="K769" t="inlineStr">
        <is>
          <t>01-MAY-2026</t>
        </is>
      </c>
      <c r="M769" t="inlineStr">
        <is>
          <t>REF000000</t>
        </is>
      </c>
      <c r="N769" t="inlineStr">
        <is>
          <t>USHOU</t>
        </is>
      </c>
      <c r="O769" t="inlineStr">
        <is>
          <t>USHOU</t>
        </is>
      </c>
      <c r="P769" t="inlineStr">
        <is>
          <t>RUBLT</t>
        </is>
      </c>
      <c r="U769" t="inlineStr">
        <is>
          <t>RUBLT</t>
        </is>
      </c>
      <c r="V769" t="inlineStr">
        <is>
          <t>RUBLT</t>
        </is>
      </c>
      <c r="W769" t="inlineStr">
        <is>
          <t>UNITED STATES</t>
        </is>
      </c>
      <c r="X769" t="inlineStr">
        <is>
          <t>Latin America</t>
        </is>
      </c>
      <c r="Y769" t="inlineStr">
        <is>
          <t>RUSSIA</t>
        </is>
      </c>
      <c r="Z769" t="inlineStr">
        <is>
          <t>External Review</t>
        </is>
      </c>
      <c r="AA769" t="inlineStr">
        <is>
          <t>HUB Shipping-Kaliningrad</t>
        </is>
      </c>
      <c r="AB769" t="inlineStr">
        <is>
          <t>Prepaid</t>
        </is>
      </c>
      <c r="AC769" t="inlineStr">
        <is>
          <t>LI DA XING/VOYAGE 1</t>
        </is>
      </c>
      <c r="AE769" t="inlineStr">
        <is>
          <t>LADEN BOOKING</t>
        </is>
      </c>
      <c r="AF769" t="inlineStr">
        <is>
          <t>Joao RibeiroSAM</t>
        </is>
      </c>
      <c r="AG769" t="inlineStr">
        <is>
          <t>RH40</t>
        </is>
      </c>
      <c r="AH769" t="inlineStr">
        <is>
          <t>NO</t>
        </is>
      </c>
      <c r="AI769" t="n">
        <v>40</v>
      </c>
      <c r="AJ769" t="n">
        <v>0</v>
      </c>
      <c r="AK769" t="n">
        <v>1</v>
      </c>
      <c r="AM769" t="n">
        <v>-22</v>
      </c>
      <c r="AP769" t="inlineStr">
        <is>
          <t>Non Haz</t>
        </is>
      </c>
      <c r="AQ769" t="inlineStr">
        <is>
          <t>CY/CY</t>
        </is>
      </c>
      <c r="AU769" t="n">
        <v>28000</v>
      </c>
      <c r="AV769" t="inlineStr">
        <is>
          <t>FROZEN MEAT</t>
        </is>
      </c>
      <c r="AX769" t="inlineStr">
        <is>
          <t>RSSAM042600049</t>
        </is>
      </c>
      <c r="AZ769" t="n">
        <v>0</v>
      </c>
      <c r="BA769" t="n">
        <v>21</v>
      </c>
      <c r="BB769" t="n">
        <v>14</v>
      </c>
      <c r="BC769" t="n">
        <v>9350</v>
      </c>
      <c r="BD769" t="inlineStr">
        <is>
          <t>No</t>
        </is>
      </c>
      <c r="BG769" t="inlineStr">
        <is>
          <t>USHOU</t>
        </is>
      </c>
      <c r="BH769" t="n">
        <v>0</v>
      </c>
      <c r="BI769" t="n">
        <v>0</v>
      </c>
      <c r="BJ769" t="inlineStr">
        <is>
          <t xml:space="preserve"> 0</t>
        </is>
      </c>
      <c r="BK769" t="inlineStr">
        <is>
          <t>LINE</t>
        </is>
      </c>
      <c r="BL769" t="inlineStr">
        <is>
          <t>SEAL REEFER</t>
        </is>
      </c>
      <c r="BM769" t="inlineStr">
        <is>
          <t>SEAL REEFER</t>
        </is>
      </c>
    </row>
    <row r="770">
      <c r="A770" t="n">
        <v>769</v>
      </c>
      <c r="B770" t="inlineStr">
        <is>
          <t>SHARK REEFER</t>
        </is>
      </c>
      <c r="C770" t="inlineStr">
        <is>
          <t>REF000000</t>
        </is>
      </c>
      <c r="D770" t="inlineStr">
        <is>
          <t>REF000000</t>
        </is>
      </c>
      <c r="E770" t="inlineStr">
        <is>
          <t>13-APR-2026</t>
        </is>
      </c>
      <c r="F770" t="inlineStr">
        <is>
          <t>SHARK REEFER</t>
        </is>
      </c>
      <c r="G770" t="inlineStr">
        <is>
          <t>PREPAID ABROAD</t>
        </is>
      </c>
      <c r="H770" t="inlineStr">
        <is>
          <t>DiegoSAM</t>
        </is>
      </c>
      <c r="J770" t="inlineStr">
        <is>
          <t>01-MAY-2026</t>
        </is>
      </c>
      <c r="K770" t="inlineStr">
        <is>
          <t>30-APR-2026</t>
        </is>
      </c>
      <c r="M770" t="inlineStr">
        <is>
          <t>REF000000</t>
        </is>
      </c>
      <c r="N770" t="inlineStr">
        <is>
          <t>USNYC</t>
        </is>
      </c>
      <c r="O770" t="inlineStr">
        <is>
          <t>USNYC</t>
        </is>
      </c>
      <c r="P770" t="inlineStr">
        <is>
          <t>RULED</t>
        </is>
      </c>
      <c r="U770" t="inlineStr">
        <is>
          <t>RULED</t>
        </is>
      </c>
      <c r="V770" t="inlineStr">
        <is>
          <t>RULED</t>
        </is>
      </c>
      <c r="W770" t="inlineStr">
        <is>
          <t>UNITED STATES</t>
        </is>
      </c>
      <c r="X770" t="inlineStr">
        <is>
          <t>Latin America</t>
        </is>
      </c>
      <c r="Y770" t="inlineStr">
        <is>
          <t>RUSSIA</t>
        </is>
      </c>
      <c r="Z770" t="inlineStr">
        <is>
          <t>External Review</t>
        </is>
      </c>
      <c r="AA770" t="inlineStr">
        <is>
          <t>HUB SHIPPING LLC-LED</t>
        </is>
      </c>
      <c r="AB770" t="inlineStr">
        <is>
          <t>Prepaid</t>
        </is>
      </c>
      <c r="AC770" t="inlineStr">
        <is>
          <t>LI DA XING/VOYAGE 1</t>
        </is>
      </c>
      <c r="AE770" t="inlineStr">
        <is>
          <t>LADEN BOOKING</t>
        </is>
      </c>
      <c r="AF770" t="inlineStr">
        <is>
          <t>Guilherme Souza</t>
        </is>
      </c>
      <c r="AG770" t="inlineStr">
        <is>
          <t>RH40</t>
        </is>
      </c>
      <c r="AH770" t="inlineStr">
        <is>
          <t>NO</t>
        </is>
      </c>
      <c r="AI770" t="n">
        <v>40</v>
      </c>
      <c r="AJ770" t="n">
        <v>0</v>
      </c>
      <c r="AK770" t="n">
        <v>1</v>
      </c>
      <c r="AM770" t="n">
        <v>-18</v>
      </c>
      <c r="AP770" t="inlineStr">
        <is>
          <t>Non Haz</t>
        </is>
      </c>
      <c r="AQ770" t="inlineStr">
        <is>
          <t>CY/CY</t>
        </is>
      </c>
      <c r="AU770" t="n">
        <v>29000</v>
      </c>
      <c r="AV770" t="inlineStr">
        <is>
          <t>FROZEN MEAT</t>
        </is>
      </c>
      <c r="AX770" t="inlineStr">
        <is>
          <t>RSSAM042600068</t>
        </is>
      </c>
      <c r="AZ770" t="n">
        <v>5</v>
      </c>
      <c r="BA770" t="n">
        <v>30</v>
      </c>
      <c r="BB770" t="n">
        <v>15</v>
      </c>
      <c r="BC770" t="n">
        <v>7000</v>
      </c>
      <c r="BD770" t="inlineStr">
        <is>
          <t>No</t>
        </is>
      </c>
      <c r="BG770" t="inlineStr">
        <is>
          <t>USNYC</t>
        </is>
      </c>
      <c r="BH770" t="n">
        <v>0</v>
      </c>
      <c r="BI770" t="n">
        <v>0</v>
      </c>
      <c r="BJ770" t="inlineStr">
        <is>
          <t xml:space="preserve"> 0</t>
        </is>
      </c>
      <c r="BK770" t="inlineStr">
        <is>
          <t>LINE</t>
        </is>
      </c>
      <c r="BL770" t="inlineStr">
        <is>
          <t>SHARK REEFER</t>
        </is>
      </c>
      <c r="BM770" t="inlineStr">
        <is>
          <t>SHARK REEFER</t>
        </is>
      </c>
    </row>
    <row r="771">
      <c r="A771" t="n">
        <v>770</v>
      </c>
      <c r="B771" t="inlineStr">
        <is>
          <t>DOLPHIN REEFER</t>
        </is>
      </c>
      <c r="C771" t="inlineStr">
        <is>
          <t>REF000000</t>
        </is>
      </c>
      <c r="D771" t="inlineStr">
        <is>
          <t>REF000000</t>
        </is>
      </c>
      <c r="E771" t="inlineStr">
        <is>
          <t>13-APR-2026</t>
        </is>
      </c>
      <c r="F771" t="inlineStr">
        <is>
          <t>DOLPHIN REEFER</t>
        </is>
      </c>
      <c r="G771" t="inlineStr">
        <is>
          <t>PREPAID ABROAD</t>
        </is>
      </c>
      <c r="H771" t="inlineStr">
        <is>
          <t>DiegoSAM</t>
        </is>
      </c>
      <c r="J771" t="inlineStr">
        <is>
          <t>01-MAY-2026</t>
        </is>
      </c>
      <c r="K771" t="inlineStr">
        <is>
          <t>30-APR-2026</t>
        </is>
      </c>
      <c r="M771" t="inlineStr">
        <is>
          <t>REF000000</t>
        </is>
      </c>
      <c r="N771" t="inlineStr">
        <is>
          <t>USNYC</t>
        </is>
      </c>
      <c r="O771" t="inlineStr">
        <is>
          <t>USNYC</t>
        </is>
      </c>
      <c r="P771" t="inlineStr">
        <is>
          <t>RULED</t>
        </is>
      </c>
      <c r="U771" t="inlineStr">
        <is>
          <t>RULED</t>
        </is>
      </c>
      <c r="V771" t="inlineStr">
        <is>
          <t>RULED</t>
        </is>
      </c>
      <c r="W771" t="inlineStr">
        <is>
          <t>UNITED STATES</t>
        </is>
      </c>
      <c r="X771" t="inlineStr">
        <is>
          <t>Latin America</t>
        </is>
      </c>
      <c r="Y771" t="inlineStr">
        <is>
          <t>RUSSIA</t>
        </is>
      </c>
      <c r="Z771" t="inlineStr">
        <is>
          <t>External Review</t>
        </is>
      </c>
      <c r="AA771" t="inlineStr">
        <is>
          <t>HUB SHIPPING LLC-LED</t>
        </is>
      </c>
      <c r="AB771" t="inlineStr">
        <is>
          <t>Prepaid</t>
        </is>
      </c>
      <c r="AC771" t="inlineStr">
        <is>
          <t>LI DA XING/VOYAGE 1</t>
        </is>
      </c>
      <c r="AE771" t="inlineStr">
        <is>
          <t>LADEN BOOKING</t>
        </is>
      </c>
      <c r="AF771" t="inlineStr">
        <is>
          <t>Guilherme Souza</t>
        </is>
      </c>
      <c r="AG771" t="inlineStr">
        <is>
          <t>RH40</t>
        </is>
      </c>
      <c r="AH771" t="inlineStr">
        <is>
          <t>NO</t>
        </is>
      </c>
      <c r="AI771" t="n">
        <v>40</v>
      </c>
      <c r="AJ771" t="n">
        <v>0</v>
      </c>
      <c r="AK771" t="n">
        <v>1</v>
      </c>
      <c r="AM771" t="n">
        <v>-18</v>
      </c>
      <c r="AP771" t="inlineStr">
        <is>
          <t>Non Haz</t>
        </is>
      </c>
      <c r="AQ771" t="inlineStr">
        <is>
          <t>CY/CY</t>
        </is>
      </c>
      <c r="AU771" t="n">
        <v>29000</v>
      </c>
      <c r="AV771" t="inlineStr">
        <is>
          <t>FROZEN MEAT</t>
        </is>
      </c>
      <c r="AX771" t="inlineStr">
        <is>
          <t>RSSAM042600068</t>
        </is>
      </c>
      <c r="AZ771" t="n">
        <v>5</v>
      </c>
      <c r="BA771" t="n">
        <v>30</v>
      </c>
      <c r="BB771" t="n">
        <v>15</v>
      </c>
      <c r="BC771" t="n">
        <v>7000</v>
      </c>
      <c r="BD771" t="inlineStr">
        <is>
          <t>No</t>
        </is>
      </c>
      <c r="BG771" t="inlineStr">
        <is>
          <t>USNYC</t>
        </is>
      </c>
      <c r="BH771" t="n">
        <v>0</v>
      </c>
      <c r="BI771" t="n">
        <v>0</v>
      </c>
      <c r="BJ771" t="inlineStr">
        <is>
          <t xml:space="preserve"> 0</t>
        </is>
      </c>
      <c r="BK771" t="inlineStr">
        <is>
          <t>LINE</t>
        </is>
      </c>
      <c r="BL771" t="inlineStr">
        <is>
          <t>DOLPHIN REEFER</t>
        </is>
      </c>
      <c r="BM771" t="inlineStr">
        <is>
          <t>DOLPHIN REEFER</t>
        </is>
      </c>
    </row>
    <row r="772">
      <c r="A772" t="n">
        <v>771</v>
      </c>
      <c r="B772" t="inlineStr">
        <is>
          <t>MARLIN REEFER</t>
        </is>
      </c>
      <c r="C772" t="inlineStr">
        <is>
          <t>REF000000</t>
        </is>
      </c>
      <c r="D772" t="inlineStr">
        <is>
          <t>REF000000</t>
        </is>
      </c>
      <c r="E772" t="inlineStr">
        <is>
          <t>13-APR-2026</t>
        </is>
      </c>
      <c r="F772" t="inlineStr">
        <is>
          <t>MARLIN REEFER</t>
        </is>
      </c>
      <c r="G772" t="inlineStr">
        <is>
          <t>PREPAID ABROAD</t>
        </is>
      </c>
      <c r="H772" t="inlineStr">
        <is>
          <t>DiegoSAM</t>
        </is>
      </c>
      <c r="J772" t="inlineStr">
        <is>
          <t>01-MAY-2026</t>
        </is>
      </c>
      <c r="K772" t="inlineStr">
        <is>
          <t>30-APR-2026</t>
        </is>
      </c>
      <c r="M772" t="inlineStr">
        <is>
          <t>REF000000</t>
        </is>
      </c>
      <c r="N772" t="inlineStr">
        <is>
          <t>USNYC</t>
        </is>
      </c>
      <c r="O772" t="inlineStr">
        <is>
          <t>USNYC</t>
        </is>
      </c>
      <c r="P772" t="inlineStr">
        <is>
          <t>RULED</t>
        </is>
      </c>
      <c r="U772" t="inlineStr">
        <is>
          <t>RULED</t>
        </is>
      </c>
      <c r="V772" t="inlineStr">
        <is>
          <t>RULED</t>
        </is>
      </c>
      <c r="W772" t="inlineStr">
        <is>
          <t>UNITED STATES</t>
        </is>
      </c>
      <c r="X772" t="inlineStr">
        <is>
          <t>Latin America</t>
        </is>
      </c>
      <c r="Y772" t="inlineStr">
        <is>
          <t>RUSSIA</t>
        </is>
      </c>
      <c r="Z772" t="inlineStr">
        <is>
          <t>External Review</t>
        </is>
      </c>
      <c r="AA772" t="inlineStr">
        <is>
          <t>HUB SHIPPING LLC-LED</t>
        </is>
      </c>
      <c r="AB772" t="inlineStr">
        <is>
          <t>Prepaid</t>
        </is>
      </c>
      <c r="AC772" t="inlineStr">
        <is>
          <t>LI DA XING/VOYAGE 1</t>
        </is>
      </c>
      <c r="AE772" t="inlineStr">
        <is>
          <t>LADEN BOOKING</t>
        </is>
      </c>
      <c r="AF772" t="inlineStr">
        <is>
          <t>Guilherme Souza</t>
        </is>
      </c>
      <c r="AG772" t="inlineStr">
        <is>
          <t>RH40</t>
        </is>
      </c>
      <c r="AH772" t="inlineStr">
        <is>
          <t>NO</t>
        </is>
      </c>
      <c r="AI772" t="n">
        <v>40</v>
      </c>
      <c r="AJ772" t="n">
        <v>0</v>
      </c>
      <c r="AK772" t="n">
        <v>1</v>
      </c>
      <c r="AM772" t="n">
        <v>-18</v>
      </c>
      <c r="AP772" t="inlineStr">
        <is>
          <t>Non Haz</t>
        </is>
      </c>
      <c r="AQ772" t="inlineStr">
        <is>
          <t>CY/CY</t>
        </is>
      </c>
      <c r="AU772" t="n">
        <v>29000</v>
      </c>
      <c r="AV772" t="inlineStr">
        <is>
          <t>FROZEN MEAT</t>
        </is>
      </c>
      <c r="AX772" t="inlineStr">
        <is>
          <t>RSSAM042600068</t>
        </is>
      </c>
      <c r="AZ772" t="n">
        <v>5</v>
      </c>
      <c r="BA772" t="n">
        <v>30</v>
      </c>
      <c r="BB772" t="n">
        <v>15</v>
      </c>
      <c r="BC772" t="n">
        <v>7000</v>
      </c>
      <c r="BD772" t="inlineStr">
        <is>
          <t>No</t>
        </is>
      </c>
      <c r="BG772" t="inlineStr">
        <is>
          <t>USNYC</t>
        </is>
      </c>
      <c r="BH772" t="n">
        <v>0</v>
      </c>
      <c r="BI772" t="n">
        <v>0</v>
      </c>
      <c r="BJ772" t="inlineStr">
        <is>
          <t xml:space="preserve"> 0</t>
        </is>
      </c>
      <c r="BK772" t="inlineStr">
        <is>
          <t>LINE</t>
        </is>
      </c>
      <c r="BL772" t="inlineStr">
        <is>
          <t>MARLIN REEFER</t>
        </is>
      </c>
      <c r="BM772" t="inlineStr">
        <is>
          <t>MARLIN REEFER</t>
        </is>
      </c>
    </row>
    <row r="773">
      <c r="A773" t="n">
        <v>772</v>
      </c>
      <c r="B773" t="inlineStr">
        <is>
          <t>TURTLE REEFER</t>
        </is>
      </c>
      <c r="C773" t="inlineStr">
        <is>
          <t>REF000000</t>
        </is>
      </c>
      <c r="D773" t="inlineStr">
        <is>
          <t>REF000000</t>
        </is>
      </c>
      <c r="E773" t="inlineStr">
        <is>
          <t>13-APR-2026</t>
        </is>
      </c>
      <c r="F773" t="inlineStr">
        <is>
          <t>TURTLE REEFER</t>
        </is>
      </c>
      <c r="H773" t="inlineStr">
        <is>
          <t>DiegoSAM</t>
        </is>
      </c>
      <c r="J773" t="inlineStr">
        <is>
          <t>01-MAY-2026</t>
        </is>
      </c>
      <c r="K773" t="inlineStr">
        <is>
          <t>30-APR-2026</t>
        </is>
      </c>
      <c r="M773" t="inlineStr">
        <is>
          <t>REF000000</t>
        </is>
      </c>
      <c r="N773" t="inlineStr">
        <is>
          <t>USNYC</t>
        </is>
      </c>
      <c r="O773" t="inlineStr">
        <is>
          <t>USNYC</t>
        </is>
      </c>
      <c r="P773" t="inlineStr">
        <is>
          <t>RULED</t>
        </is>
      </c>
      <c r="U773" t="inlineStr">
        <is>
          <t>RULED</t>
        </is>
      </c>
      <c r="V773" t="inlineStr">
        <is>
          <t>RULED</t>
        </is>
      </c>
      <c r="W773" t="inlineStr">
        <is>
          <t>UNITED STATES</t>
        </is>
      </c>
      <c r="X773" t="inlineStr">
        <is>
          <t>Latin America</t>
        </is>
      </c>
      <c r="Y773" t="inlineStr">
        <is>
          <t>RUSSIA</t>
        </is>
      </c>
      <c r="Z773" t="inlineStr">
        <is>
          <t>External Review</t>
        </is>
      </c>
      <c r="AA773" t="inlineStr">
        <is>
          <t>HUB SHIPPING LLC-LED</t>
        </is>
      </c>
      <c r="AB773" t="inlineStr">
        <is>
          <t>Prepaid</t>
        </is>
      </c>
      <c r="AC773" t="inlineStr">
        <is>
          <t>LI DA XING/VOYAGE 1</t>
        </is>
      </c>
      <c r="AE773" t="inlineStr">
        <is>
          <t>LADEN BOOKING</t>
        </is>
      </c>
      <c r="AF773" t="inlineStr">
        <is>
          <t>Maria JessicaSAM</t>
        </is>
      </c>
      <c r="AG773" t="inlineStr">
        <is>
          <t>HC40</t>
        </is>
      </c>
      <c r="AH773" t="inlineStr">
        <is>
          <t>NO</t>
        </is>
      </c>
      <c r="AI773" t="n">
        <v>40</v>
      </c>
      <c r="AJ773" t="n">
        <v>0</v>
      </c>
      <c r="AK773" t="n">
        <v>1</v>
      </c>
      <c r="AP773" t="inlineStr">
        <is>
          <t>Non Haz</t>
        </is>
      </c>
      <c r="AQ773" t="inlineStr">
        <is>
          <t>CY/CY</t>
        </is>
      </c>
      <c r="AU773" t="n">
        <v>25000</v>
      </c>
      <c r="AV773" t="inlineStr">
        <is>
          <t>PEANUTS</t>
        </is>
      </c>
      <c r="AX773" t="inlineStr">
        <is>
          <t>MRG438325</t>
        </is>
      </c>
      <c r="AY773" t="inlineStr">
        <is>
          <t>LINE</t>
        </is>
      </c>
      <c r="AZ773" t="n">
        <v>0</v>
      </c>
      <c r="BA773" t="n">
        <v>14</v>
      </c>
      <c r="BB773" t="n">
        <v>14</v>
      </c>
      <c r="BC773" t="n">
        <v>4400</v>
      </c>
      <c r="BD773" t="inlineStr">
        <is>
          <t>No</t>
        </is>
      </c>
      <c r="BG773" t="inlineStr">
        <is>
          <t>USNFK</t>
        </is>
      </c>
      <c r="BH773" t="n">
        <v>0</v>
      </c>
      <c r="BI773" t="n">
        <v>0</v>
      </c>
      <c r="BJ773" t="inlineStr">
        <is>
          <t xml:space="preserve"> 0</t>
        </is>
      </c>
      <c r="BK773" t="inlineStr">
        <is>
          <t>LINE</t>
        </is>
      </c>
      <c r="BL773" t="inlineStr">
        <is>
          <t>TURTLE REEFER</t>
        </is>
      </c>
      <c r="BM773" t="inlineStr">
        <is>
          <t>TURTLE REEFER</t>
        </is>
      </c>
    </row>
    <row r="774">
      <c r="A774" t="n">
        <v>773</v>
      </c>
      <c r="B774" t="inlineStr">
        <is>
          <t>ORCA REEFER</t>
        </is>
      </c>
      <c r="C774" t="inlineStr">
        <is>
          <t>REF000000</t>
        </is>
      </c>
      <c r="D774" t="inlineStr">
        <is>
          <t>REF000000</t>
        </is>
      </c>
      <c r="E774" t="inlineStr">
        <is>
          <t>13-APR-2026</t>
        </is>
      </c>
      <c r="F774" t="inlineStr">
        <is>
          <t>ORCA REEFER</t>
        </is>
      </c>
      <c r="G774" t="inlineStr">
        <is>
          <t>PREPAID</t>
        </is>
      </c>
      <c r="H774" t="inlineStr">
        <is>
          <t>DiegoSAM</t>
        </is>
      </c>
      <c r="J774" t="inlineStr">
        <is>
          <t>23-APR-2026</t>
        </is>
      </c>
      <c r="K774" t="inlineStr">
        <is>
          <t>23-APR-2026</t>
        </is>
      </c>
      <c r="M774" t="inlineStr">
        <is>
          <t>REF000000</t>
        </is>
      </c>
      <c r="N774" t="inlineStr">
        <is>
          <t>USNFK</t>
        </is>
      </c>
      <c r="O774" t="inlineStr">
        <is>
          <t>USNFK</t>
        </is>
      </c>
      <c r="P774" t="inlineStr">
        <is>
          <t>RULED</t>
        </is>
      </c>
      <c r="U774" t="inlineStr">
        <is>
          <t>RULED</t>
        </is>
      </c>
      <c r="V774" t="inlineStr">
        <is>
          <t>RULED</t>
        </is>
      </c>
      <c r="W774" t="inlineStr">
        <is>
          <t>UNITED STATES</t>
        </is>
      </c>
      <c r="X774" t="inlineStr">
        <is>
          <t>Latin America</t>
        </is>
      </c>
      <c r="Y774" t="inlineStr">
        <is>
          <t>RUSSIA</t>
        </is>
      </c>
      <c r="Z774" t="inlineStr">
        <is>
          <t>External Review</t>
        </is>
      </c>
      <c r="AA774" t="inlineStr">
        <is>
          <t>HUB SHIPPING LLC-LED</t>
        </is>
      </c>
      <c r="AB774" t="inlineStr">
        <is>
          <t>Prepaid</t>
        </is>
      </c>
      <c r="AC774" t="inlineStr">
        <is>
          <t>VENUS / VOYAGE 2</t>
        </is>
      </c>
      <c r="AE774" t="inlineStr">
        <is>
          <t>LADEN BOOKING</t>
        </is>
      </c>
      <c r="AF774" t="inlineStr">
        <is>
          <t>Guilherme Souza</t>
        </is>
      </c>
      <c r="AG774" t="inlineStr">
        <is>
          <t>RH40</t>
        </is>
      </c>
      <c r="AH774" t="inlineStr">
        <is>
          <t>NO</t>
        </is>
      </c>
      <c r="AI774" t="n">
        <v>40</v>
      </c>
      <c r="AJ774" t="n">
        <v>0</v>
      </c>
      <c r="AK774" t="n">
        <v>1</v>
      </c>
      <c r="AM774" t="n">
        <v>-18</v>
      </c>
      <c r="AP774" t="inlineStr">
        <is>
          <t>Non Haz</t>
        </is>
      </c>
      <c r="AQ774" t="inlineStr">
        <is>
          <t>CY/CY</t>
        </is>
      </c>
      <c r="AU774" t="n">
        <v>29000</v>
      </c>
      <c r="AV774" t="inlineStr">
        <is>
          <t>FROZEN MEAT</t>
        </is>
      </c>
      <c r="AX774" t="inlineStr">
        <is>
          <t>RSSAM042600025</t>
        </is>
      </c>
      <c r="AZ774" t="n">
        <v>5</v>
      </c>
      <c r="BA774" t="n">
        <v>21</v>
      </c>
      <c r="BB774" t="n">
        <v>10</v>
      </c>
      <c r="BC774" t="n">
        <v>8150</v>
      </c>
      <c r="BD774" t="inlineStr">
        <is>
          <t>No</t>
        </is>
      </c>
      <c r="BG774" t="inlineStr">
        <is>
          <t>USNFK</t>
        </is>
      </c>
      <c r="BH774" t="n">
        <v>0</v>
      </c>
      <c r="BI774" t="n">
        <v>0</v>
      </c>
      <c r="BJ774" t="inlineStr">
        <is>
          <t xml:space="preserve"> 0</t>
        </is>
      </c>
      <c r="BK774" t="inlineStr">
        <is>
          <t>LINE</t>
        </is>
      </c>
      <c r="BL774" t="inlineStr">
        <is>
          <t>ORCA REEFER</t>
        </is>
      </c>
      <c r="BM774" t="inlineStr">
        <is>
          <t>ORCA REEFER</t>
        </is>
      </c>
    </row>
    <row r="775">
      <c r="A775" t="n">
        <v>774</v>
      </c>
      <c r="B775" t="inlineStr">
        <is>
          <t>WHALE REEFER</t>
        </is>
      </c>
      <c r="C775" t="inlineStr">
        <is>
          <t>REF000000</t>
        </is>
      </c>
      <c r="D775" t="inlineStr">
        <is>
          <t>REF000000</t>
        </is>
      </c>
      <c r="E775" t="inlineStr">
        <is>
          <t>13-APR-2026</t>
        </is>
      </c>
      <c r="F775" t="inlineStr">
        <is>
          <t>WHALE REEFER</t>
        </is>
      </c>
      <c r="G775" t="inlineStr">
        <is>
          <t>PP</t>
        </is>
      </c>
      <c r="H775" t="inlineStr">
        <is>
          <t>DiegoSAM</t>
        </is>
      </c>
      <c r="J775" t="inlineStr">
        <is>
          <t>23-APR-2026</t>
        </is>
      </c>
      <c r="K775" t="inlineStr">
        <is>
          <t>23-APR-2026</t>
        </is>
      </c>
      <c r="M775" t="inlineStr">
        <is>
          <t>REF000000</t>
        </is>
      </c>
      <c r="N775" t="inlineStr">
        <is>
          <t>USNFK</t>
        </is>
      </c>
      <c r="O775" t="inlineStr">
        <is>
          <t>USNFK</t>
        </is>
      </c>
      <c r="P775" t="inlineStr">
        <is>
          <t>RULED</t>
        </is>
      </c>
      <c r="U775" t="inlineStr">
        <is>
          <t>RULED</t>
        </is>
      </c>
      <c r="V775" t="inlineStr">
        <is>
          <t>RULED</t>
        </is>
      </c>
      <c r="W775" t="inlineStr">
        <is>
          <t>UNITED STATES</t>
        </is>
      </c>
      <c r="X775" t="inlineStr">
        <is>
          <t>Latin America</t>
        </is>
      </c>
      <c r="Y775" t="inlineStr">
        <is>
          <t>RUSSIA</t>
        </is>
      </c>
      <c r="Z775" t="inlineStr">
        <is>
          <t>External Review</t>
        </is>
      </c>
      <c r="AA775" t="inlineStr">
        <is>
          <t>HUB SHIPPING LLC-LED</t>
        </is>
      </c>
      <c r="AB775" t="inlineStr">
        <is>
          <t>Prepaid</t>
        </is>
      </c>
      <c r="AC775" t="inlineStr">
        <is>
          <t>VENUS / VOYAGE 2</t>
        </is>
      </c>
      <c r="AE775" t="inlineStr">
        <is>
          <t>LADEN BOOKING</t>
        </is>
      </c>
      <c r="AF775" t="inlineStr">
        <is>
          <t>Joao RibeiroSAM</t>
        </is>
      </c>
      <c r="AG775" t="inlineStr">
        <is>
          <t>RH40</t>
        </is>
      </c>
      <c r="AH775" t="inlineStr">
        <is>
          <t>NO</t>
        </is>
      </c>
      <c r="AI775" t="n">
        <v>40</v>
      </c>
      <c r="AJ775" t="n">
        <v>0</v>
      </c>
      <c r="AK775" t="n">
        <v>1</v>
      </c>
      <c r="AM775" t="n">
        <v>-18</v>
      </c>
      <c r="AP775" t="inlineStr">
        <is>
          <t>Non Haz</t>
        </is>
      </c>
      <c r="AQ775" t="inlineStr">
        <is>
          <t>CY/CY</t>
        </is>
      </c>
      <c r="AU775" t="n">
        <v>28000</v>
      </c>
      <c r="AV775" t="inlineStr">
        <is>
          <t>FROZEN MEAT</t>
        </is>
      </c>
      <c r="AX775" t="inlineStr">
        <is>
          <t>RSSAM042600029</t>
        </is>
      </c>
      <c r="AZ775" t="n">
        <v>5</v>
      </c>
      <c r="BA775" t="n">
        <v>25</v>
      </c>
      <c r="BB775" t="n">
        <v>15</v>
      </c>
      <c r="BC775" t="n">
        <v>7000</v>
      </c>
      <c r="BD775" t="inlineStr">
        <is>
          <t>No</t>
        </is>
      </c>
      <c r="BG775" t="inlineStr">
        <is>
          <t>USNFK</t>
        </is>
      </c>
      <c r="BH775" t="n">
        <v>0</v>
      </c>
      <c r="BI775" t="n">
        <v>0</v>
      </c>
      <c r="BJ775" t="inlineStr">
        <is>
          <t xml:space="preserve"> 0</t>
        </is>
      </c>
      <c r="BK775" t="inlineStr">
        <is>
          <t>LINE</t>
        </is>
      </c>
      <c r="BL775" t="inlineStr">
        <is>
          <t>WHALE REEFER</t>
        </is>
      </c>
      <c r="BM775" t="inlineStr">
        <is>
          <t>WHALE REEFER</t>
        </is>
      </c>
    </row>
    <row r="776">
      <c r="A776" t="n">
        <v>775</v>
      </c>
      <c r="B776" t="inlineStr">
        <is>
          <t>SEAL REEFER</t>
        </is>
      </c>
      <c r="C776" t="inlineStr">
        <is>
          <t>REF000000</t>
        </is>
      </c>
      <c r="D776" t="inlineStr">
        <is>
          <t>REF000000</t>
        </is>
      </c>
      <c r="E776" t="inlineStr">
        <is>
          <t>13-APR-2026</t>
        </is>
      </c>
      <c r="F776" t="inlineStr">
        <is>
          <t>SEAL REEFER</t>
        </is>
      </c>
      <c r="G776" t="inlineStr">
        <is>
          <t>PREPAID</t>
        </is>
      </c>
      <c r="H776" t="inlineStr">
        <is>
          <t>DiegoSAM</t>
        </is>
      </c>
      <c r="J776" t="inlineStr">
        <is>
          <t>23-APR-2026</t>
        </is>
      </c>
      <c r="K776" t="inlineStr">
        <is>
          <t>23-APR-2026</t>
        </is>
      </c>
      <c r="M776" t="inlineStr">
        <is>
          <t>REF000000</t>
        </is>
      </c>
      <c r="N776" t="inlineStr">
        <is>
          <t>USNFK</t>
        </is>
      </c>
      <c r="O776" t="inlineStr">
        <is>
          <t>USNFK</t>
        </is>
      </c>
      <c r="P776" t="inlineStr">
        <is>
          <t>RULED</t>
        </is>
      </c>
      <c r="U776" t="inlineStr">
        <is>
          <t>RULED</t>
        </is>
      </c>
      <c r="V776" t="inlineStr">
        <is>
          <t>RULED</t>
        </is>
      </c>
      <c r="W776" t="inlineStr">
        <is>
          <t>UNITED STATES</t>
        </is>
      </c>
      <c r="X776" t="inlineStr">
        <is>
          <t>Latin America</t>
        </is>
      </c>
      <c r="Y776" t="inlineStr">
        <is>
          <t>RUSSIA</t>
        </is>
      </c>
      <c r="Z776" t="inlineStr">
        <is>
          <t>External Review</t>
        </is>
      </c>
      <c r="AA776" t="inlineStr">
        <is>
          <t>HUB SHIPPING LLC-LED</t>
        </is>
      </c>
      <c r="AB776" t="inlineStr">
        <is>
          <t>Prepaid</t>
        </is>
      </c>
      <c r="AC776" t="inlineStr">
        <is>
          <t>VENUS / VOYAGE 2</t>
        </is>
      </c>
      <c r="AE776" t="inlineStr">
        <is>
          <t>LADEN BOOKING</t>
        </is>
      </c>
      <c r="AF776" t="inlineStr">
        <is>
          <t>Guilherme Souza</t>
        </is>
      </c>
      <c r="AG776" t="inlineStr">
        <is>
          <t>RH40</t>
        </is>
      </c>
      <c r="AH776" t="inlineStr">
        <is>
          <t>NO</t>
        </is>
      </c>
      <c r="AI776" t="n">
        <v>40</v>
      </c>
      <c r="AJ776" t="n">
        <v>0</v>
      </c>
      <c r="AK776" t="n">
        <v>1</v>
      </c>
      <c r="AM776" t="n">
        <v>-18</v>
      </c>
      <c r="AP776" t="inlineStr">
        <is>
          <t>Non Haz</t>
        </is>
      </c>
      <c r="AQ776" t="inlineStr">
        <is>
          <t>CY/CY</t>
        </is>
      </c>
      <c r="AU776" t="n">
        <v>29000</v>
      </c>
      <c r="AV776" t="inlineStr">
        <is>
          <t>FROZEN MEAT</t>
        </is>
      </c>
      <c r="AX776" t="inlineStr">
        <is>
          <t>RSSAM042600025</t>
        </is>
      </c>
      <c r="AZ776" t="n">
        <v>5</v>
      </c>
      <c r="BA776" t="n">
        <v>21</v>
      </c>
      <c r="BB776" t="n">
        <v>10</v>
      </c>
      <c r="BC776" t="n">
        <v>8150</v>
      </c>
      <c r="BD776" t="inlineStr">
        <is>
          <t>No</t>
        </is>
      </c>
      <c r="BG776" t="inlineStr">
        <is>
          <t>USNFK</t>
        </is>
      </c>
      <c r="BH776" t="n">
        <v>0</v>
      </c>
      <c r="BI776" t="n">
        <v>0</v>
      </c>
      <c r="BJ776" t="inlineStr">
        <is>
          <t xml:space="preserve"> 0</t>
        </is>
      </c>
      <c r="BK776" t="inlineStr">
        <is>
          <t>LINE</t>
        </is>
      </c>
      <c r="BL776" t="inlineStr">
        <is>
          <t>SEAL REEFER</t>
        </is>
      </c>
      <c r="BM776" t="inlineStr">
        <is>
          <t>SEAL REEFER</t>
        </is>
      </c>
    </row>
    <row r="777">
      <c r="A777" t="n">
        <v>776</v>
      </c>
      <c r="B777" t="inlineStr">
        <is>
          <t>SHARK REEFER</t>
        </is>
      </c>
      <c r="C777" t="inlineStr">
        <is>
          <t>REF000000</t>
        </is>
      </c>
      <c r="D777" t="inlineStr">
        <is>
          <t>REF000000</t>
        </is>
      </c>
      <c r="E777" t="inlineStr">
        <is>
          <t>13-APR-2026</t>
        </is>
      </c>
      <c r="F777" t="inlineStr">
        <is>
          <t>SHARK REEFER</t>
        </is>
      </c>
      <c r="G777" t="inlineStr">
        <is>
          <t>PREPAID</t>
        </is>
      </c>
      <c r="H777" t="inlineStr">
        <is>
          <t>DiegoSAM</t>
        </is>
      </c>
      <c r="J777" t="inlineStr">
        <is>
          <t>23-APR-2026</t>
        </is>
      </c>
      <c r="K777" t="inlineStr">
        <is>
          <t>23-APR-2026</t>
        </is>
      </c>
      <c r="M777" t="inlineStr">
        <is>
          <t>REF000000</t>
        </is>
      </c>
      <c r="N777" t="inlineStr">
        <is>
          <t>USNFK</t>
        </is>
      </c>
      <c r="O777" t="inlineStr">
        <is>
          <t>USNFK</t>
        </is>
      </c>
      <c r="P777" t="inlineStr">
        <is>
          <t>RULED</t>
        </is>
      </c>
      <c r="U777" t="inlineStr">
        <is>
          <t>RULED</t>
        </is>
      </c>
      <c r="V777" t="inlineStr">
        <is>
          <t>RULED</t>
        </is>
      </c>
      <c r="W777" t="inlineStr">
        <is>
          <t>UNITED STATES</t>
        </is>
      </c>
      <c r="X777" t="inlineStr">
        <is>
          <t>Latin America</t>
        </is>
      </c>
      <c r="Y777" t="inlineStr">
        <is>
          <t>RUSSIA</t>
        </is>
      </c>
      <c r="Z777" t="inlineStr">
        <is>
          <t>External Review</t>
        </is>
      </c>
      <c r="AA777" t="inlineStr">
        <is>
          <t>HUB SHIPPING LLC-LED</t>
        </is>
      </c>
      <c r="AB777" t="inlineStr">
        <is>
          <t>Prepaid</t>
        </is>
      </c>
      <c r="AC777" t="inlineStr">
        <is>
          <t>VENUS / VOYAGE 2</t>
        </is>
      </c>
      <c r="AE777" t="inlineStr">
        <is>
          <t>LADEN BOOKING</t>
        </is>
      </c>
      <c r="AF777" t="inlineStr">
        <is>
          <t>Guilherme Souza</t>
        </is>
      </c>
      <c r="AG777" t="inlineStr">
        <is>
          <t>RH40</t>
        </is>
      </c>
      <c r="AH777" t="inlineStr">
        <is>
          <t>NO</t>
        </is>
      </c>
      <c r="AI777" t="n">
        <v>40</v>
      </c>
      <c r="AJ777" t="n">
        <v>0</v>
      </c>
      <c r="AK777" t="n">
        <v>1</v>
      </c>
      <c r="AM777" t="n">
        <v>-18</v>
      </c>
      <c r="AP777" t="inlineStr">
        <is>
          <t>Non Haz</t>
        </is>
      </c>
      <c r="AQ777" t="inlineStr">
        <is>
          <t>CY/CY</t>
        </is>
      </c>
      <c r="AU777" t="n">
        <v>29000</v>
      </c>
      <c r="AV777" t="inlineStr">
        <is>
          <t>FROZEN MEAT</t>
        </is>
      </c>
      <c r="AX777" t="inlineStr">
        <is>
          <t>RSSAM042600025</t>
        </is>
      </c>
      <c r="AZ777" t="n">
        <v>5</v>
      </c>
      <c r="BA777" t="n">
        <v>21</v>
      </c>
      <c r="BB777" t="n">
        <v>10</v>
      </c>
      <c r="BC777" t="n">
        <v>8150</v>
      </c>
      <c r="BD777" t="inlineStr">
        <is>
          <t>No</t>
        </is>
      </c>
      <c r="BG777" t="inlineStr">
        <is>
          <t>USNFK</t>
        </is>
      </c>
      <c r="BH777" t="n">
        <v>0</v>
      </c>
      <c r="BI777" t="n">
        <v>0</v>
      </c>
      <c r="BJ777" t="inlineStr">
        <is>
          <t xml:space="preserve"> 0</t>
        </is>
      </c>
      <c r="BK777" t="inlineStr">
        <is>
          <t>LINE</t>
        </is>
      </c>
      <c r="BL777" t="inlineStr">
        <is>
          <t>SHARK REEFER</t>
        </is>
      </c>
      <c r="BM777" t="inlineStr">
        <is>
          <t>SHARK REEFER</t>
        </is>
      </c>
    </row>
    <row r="778">
      <c r="A778" t="n">
        <v>777</v>
      </c>
      <c r="B778" t="inlineStr">
        <is>
          <t>DOLPHIN REEFER</t>
        </is>
      </c>
      <c r="C778" t="inlineStr">
        <is>
          <t>REF000000</t>
        </is>
      </c>
      <c r="D778" t="inlineStr">
        <is>
          <t>REF000000</t>
        </is>
      </c>
      <c r="E778" t="inlineStr">
        <is>
          <t>13-APR-2026</t>
        </is>
      </c>
      <c r="F778" t="inlineStr">
        <is>
          <t>DOLPHIN REEFER</t>
        </is>
      </c>
      <c r="G778" t="inlineStr">
        <is>
          <t>PREPAID ABROAD</t>
        </is>
      </c>
      <c r="H778" t="inlineStr">
        <is>
          <t>DiegoSAM</t>
        </is>
      </c>
      <c r="J778" t="inlineStr">
        <is>
          <t>23-APR-2026</t>
        </is>
      </c>
      <c r="K778" t="inlineStr">
        <is>
          <t>23-APR-2026</t>
        </is>
      </c>
      <c r="M778" t="inlineStr">
        <is>
          <t>REF000000</t>
        </is>
      </c>
      <c r="N778" t="inlineStr">
        <is>
          <t>USNFK</t>
        </is>
      </c>
      <c r="O778" t="inlineStr">
        <is>
          <t>USNFK</t>
        </is>
      </c>
      <c r="P778" t="inlineStr">
        <is>
          <t>RULED</t>
        </is>
      </c>
      <c r="U778" t="inlineStr">
        <is>
          <t>RULED</t>
        </is>
      </c>
      <c r="V778" t="inlineStr">
        <is>
          <t>RULED</t>
        </is>
      </c>
      <c r="W778" t="inlineStr">
        <is>
          <t>UNITED STATES</t>
        </is>
      </c>
      <c r="X778" t="inlineStr">
        <is>
          <t>Latin America</t>
        </is>
      </c>
      <c r="Y778" t="inlineStr">
        <is>
          <t>RUSSIA</t>
        </is>
      </c>
      <c r="Z778" t="inlineStr">
        <is>
          <t>External Review</t>
        </is>
      </c>
      <c r="AA778" t="inlineStr">
        <is>
          <t>HUB SHIPPING LLC-LED</t>
        </is>
      </c>
      <c r="AB778" t="inlineStr">
        <is>
          <t>Prepaid</t>
        </is>
      </c>
      <c r="AC778" t="inlineStr">
        <is>
          <t>VENUS / VOYAGE 2</t>
        </is>
      </c>
      <c r="AE778" t="inlineStr">
        <is>
          <t>LADEN BOOKING</t>
        </is>
      </c>
      <c r="AF778" t="inlineStr">
        <is>
          <t>Guilherme Souza</t>
        </is>
      </c>
      <c r="AG778" t="inlineStr">
        <is>
          <t>RH40</t>
        </is>
      </c>
      <c r="AH778" t="inlineStr">
        <is>
          <t>NO</t>
        </is>
      </c>
      <c r="AI778" t="n">
        <v>40</v>
      </c>
      <c r="AJ778" t="n">
        <v>0</v>
      </c>
      <c r="AK778" t="n">
        <v>1</v>
      </c>
      <c r="AM778" t="n">
        <v>-18</v>
      </c>
      <c r="AP778" t="inlineStr">
        <is>
          <t>Non Haz</t>
        </is>
      </c>
      <c r="AQ778" t="inlineStr">
        <is>
          <t>CY/CY</t>
        </is>
      </c>
      <c r="AU778" t="n">
        <v>29000</v>
      </c>
      <c r="AV778" t="inlineStr">
        <is>
          <t>FROZEN MEAT</t>
        </is>
      </c>
      <c r="AX778" t="inlineStr">
        <is>
          <t>RSSAM042600067</t>
        </is>
      </c>
      <c r="AZ778" t="n">
        <v>5</v>
      </c>
      <c r="BA778" t="n">
        <v>30</v>
      </c>
      <c r="BB778" t="n">
        <v>15</v>
      </c>
      <c r="BC778" t="n">
        <v>7000</v>
      </c>
      <c r="BD778" t="inlineStr">
        <is>
          <t>No</t>
        </is>
      </c>
      <c r="BG778" t="inlineStr">
        <is>
          <t>USNFK</t>
        </is>
      </c>
      <c r="BH778" t="n">
        <v>0</v>
      </c>
      <c r="BI778" t="n">
        <v>0</v>
      </c>
      <c r="BJ778" t="inlineStr">
        <is>
          <t xml:space="preserve"> 0</t>
        </is>
      </c>
      <c r="BK778" t="inlineStr">
        <is>
          <t>LINE</t>
        </is>
      </c>
      <c r="BL778" t="inlineStr">
        <is>
          <t>DOLPHIN REEFER</t>
        </is>
      </c>
      <c r="BM778" t="inlineStr">
        <is>
          <t>DOLPHIN REEFER</t>
        </is>
      </c>
    </row>
    <row r="779">
      <c r="A779" t="n">
        <v>778</v>
      </c>
      <c r="B779" t="inlineStr">
        <is>
          <t>MARLIN REEFER</t>
        </is>
      </c>
      <c r="C779" t="inlineStr">
        <is>
          <t>REF000000</t>
        </is>
      </c>
      <c r="D779" t="inlineStr">
        <is>
          <t>REF000000</t>
        </is>
      </c>
      <c r="E779" t="inlineStr">
        <is>
          <t>14-APR-2026</t>
        </is>
      </c>
      <c r="F779" t="inlineStr">
        <is>
          <t>MARLIN REEFER</t>
        </is>
      </c>
      <c r="G779" t="inlineStr">
        <is>
          <t>PA</t>
        </is>
      </c>
      <c r="H779" t="inlineStr">
        <is>
          <t>DiegoSAM</t>
        </is>
      </c>
      <c r="J779" t="inlineStr">
        <is>
          <t>01-MAY-2026</t>
        </is>
      </c>
      <c r="K779" t="inlineStr">
        <is>
          <t>30-APR-2026</t>
        </is>
      </c>
      <c r="M779" t="inlineStr">
        <is>
          <t>REF000000</t>
        </is>
      </c>
      <c r="N779" t="inlineStr">
        <is>
          <t>USNYC</t>
        </is>
      </c>
      <c r="O779" t="inlineStr">
        <is>
          <t>USNYC</t>
        </is>
      </c>
      <c r="P779" t="inlineStr">
        <is>
          <t>RULED</t>
        </is>
      </c>
      <c r="U779" t="inlineStr">
        <is>
          <t>RULED</t>
        </is>
      </c>
      <c r="V779" t="inlineStr">
        <is>
          <t>RULED</t>
        </is>
      </c>
      <c r="W779" t="inlineStr">
        <is>
          <t>UNITED STATES</t>
        </is>
      </c>
      <c r="X779" t="inlineStr">
        <is>
          <t>Latin America</t>
        </is>
      </c>
      <c r="Y779" t="inlineStr">
        <is>
          <t>RUSSIA</t>
        </is>
      </c>
      <c r="Z779" t="inlineStr">
        <is>
          <t>External Review</t>
        </is>
      </c>
      <c r="AA779" t="inlineStr">
        <is>
          <t>HUB SHIPPING LLC-LED</t>
        </is>
      </c>
      <c r="AB779" t="inlineStr">
        <is>
          <t>Prepaid</t>
        </is>
      </c>
      <c r="AC779" t="inlineStr">
        <is>
          <t>LI DA XING/VOYAGE 1</t>
        </is>
      </c>
      <c r="AE779" t="inlineStr">
        <is>
          <t>LADEN BOOKING</t>
        </is>
      </c>
      <c r="AF779" t="inlineStr">
        <is>
          <t>Joao RibeiroSAM</t>
        </is>
      </c>
      <c r="AG779" t="inlineStr">
        <is>
          <t>RH40</t>
        </is>
      </c>
      <c r="AH779" t="inlineStr">
        <is>
          <t>NO</t>
        </is>
      </c>
      <c r="AI779" t="n">
        <v>40</v>
      </c>
      <c r="AJ779" t="n">
        <v>0</v>
      </c>
      <c r="AK779" t="n">
        <v>1</v>
      </c>
      <c r="AM779" t="n">
        <v>-18</v>
      </c>
      <c r="AP779" t="inlineStr">
        <is>
          <t>Non Haz</t>
        </is>
      </c>
      <c r="AQ779" t="inlineStr">
        <is>
          <t>CY/CY</t>
        </is>
      </c>
      <c r="AU779" t="n">
        <v>28000</v>
      </c>
      <c r="AV779" t="inlineStr">
        <is>
          <t>FROZEN MEAT</t>
        </is>
      </c>
      <c r="AX779" t="inlineStr">
        <is>
          <t>RSSAM042600068</t>
        </is>
      </c>
      <c r="AZ779" t="n">
        <v>5</v>
      </c>
      <c r="BA779" t="n">
        <v>30</v>
      </c>
      <c r="BB779" t="n">
        <v>15</v>
      </c>
      <c r="BC779" t="n">
        <v>7000</v>
      </c>
      <c r="BD779" t="inlineStr">
        <is>
          <t>No</t>
        </is>
      </c>
      <c r="BG779" t="inlineStr">
        <is>
          <t>USNYC</t>
        </is>
      </c>
      <c r="BH779" t="n">
        <v>0</v>
      </c>
      <c r="BI779" t="n">
        <v>0</v>
      </c>
      <c r="BJ779" t="inlineStr">
        <is>
          <t xml:space="preserve"> 0</t>
        </is>
      </c>
      <c r="BK779" t="inlineStr">
        <is>
          <t>LINE</t>
        </is>
      </c>
      <c r="BL779" t="inlineStr">
        <is>
          <t>MARLIN REEFER</t>
        </is>
      </c>
      <c r="BM779" t="inlineStr">
        <is>
          <t>MARLIN REEFER</t>
        </is>
      </c>
    </row>
    <row r="780">
      <c r="A780" t="n">
        <v>779</v>
      </c>
      <c r="B780" t="inlineStr">
        <is>
          <t>TURTLE REEFER</t>
        </is>
      </c>
      <c r="C780" t="inlineStr">
        <is>
          <t>REF000000</t>
        </is>
      </c>
      <c r="D780" t="inlineStr">
        <is>
          <t>REF000000</t>
        </is>
      </c>
      <c r="E780" t="inlineStr">
        <is>
          <t>14-APR-2026</t>
        </is>
      </c>
      <c r="F780" t="inlineStr">
        <is>
          <t>TURTLE REEFER</t>
        </is>
      </c>
      <c r="G780" t="inlineStr">
        <is>
          <t>PA</t>
        </is>
      </c>
      <c r="H780" t="inlineStr">
        <is>
          <t>DiegoSAM</t>
        </is>
      </c>
      <c r="J780" t="inlineStr">
        <is>
          <t>01-MAY-2026</t>
        </is>
      </c>
      <c r="K780" t="inlineStr">
        <is>
          <t>30-APR-2026</t>
        </is>
      </c>
      <c r="M780" t="inlineStr">
        <is>
          <t>REF000000</t>
        </is>
      </c>
      <c r="N780" t="inlineStr">
        <is>
          <t>USNYC</t>
        </is>
      </c>
      <c r="O780" t="inlineStr">
        <is>
          <t>USNYC</t>
        </is>
      </c>
      <c r="P780" t="inlineStr">
        <is>
          <t>RULED</t>
        </is>
      </c>
      <c r="U780" t="inlineStr">
        <is>
          <t>RULED</t>
        </is>
      </c>
      <c r="V780" t="inlineStr">
        <is>
          <t>RULED</t>
        </is>
      </c>
      <c r="W780" t="inlineStr">
        <is>
          <t>UNITED STATES</t>
        </is>
      </c>
      <c r="X780" t="inlineStr">
        <is>
          <t>Latin America</t>
        </is>
      </c>
      <c r="Y780" t="inlineStr">
        <is>
          <t>RUSSIA</t>
        </is>
      </c>
      <c r="Z780" t="inlineStr">
        <is>
          <t>External Review</t>
        </is>
      </c>
      <c r="AA780" t="inlineStr">
        <is>
          <t>HUB SHIPPING LLC-LED</t>
        </is>
      </c>
      <c r="AB780" t="inlineStr">
        <is>
          <t>Prepaid</t>
        </is>
      </c>
      <c r="AC780" t="inlineStr">
        <is>
          <t>LI DA XING/VOYAGE 1</t>
        </is>
      </c>
      <c r="AE780" t="inlineStr">
        <is>
          <t>LADEN BOOKING</t>
        </is>
      </c>
      <c r="AF780" t="inlineStr">
        <is>
          <t>Joao RibeiroSAM</t>
        </is>
      </c>
      <c r="AG780" t="inlineStr">
        <is>
          <t>RH40</t>
        </is>
      </c>
      <c r="AH780" t="inlineStr">
        <is>
          <t>NO</t>
        </is>
      </c>
      <c r="AI780" t="n">
        <v>40</v>
      </c>
      <c r="AJ780" t="n">
        <v>0</v>
      </c>
      <c r="AK780" t="n">
        <v>1</v>
      </c>
      <c r="AM780" t="n">
        <v>-18</v>
      </c>
      <c r="AP780" t="inlineStr">
        <is>
          <t>Non Haz</t>
        </is>
      </c>
      <c r="AQ780" t="inlineStr">
        <is>
          <t>CY/CY</t>
        </is>
      </c>
      <c r="AU780" t="n">
        <v>28000</v>
      </c>
      <c r="AV780" t="inlineStr">
        <is>
          <t>FROZEN MEAT</t>
        </is>
      </c>
      <c r="AX780" t="inlineStr">
        <is>
          <t>RSSAM042600068</t>
        </is>
      </c>
      <c r="AZ780" t="n">
        <v>5</v>
      </c>
      <c r="BA780" t="n">
        <v>30</v>
      </c>
      <c r="BB780" t="n">
        <v>15</v>
      </c>
      <c r="BC780" t="n">
        <v>7000</v>
      </c>
      <c r="BD780" t="inlineStr">
        <is>
          <t>No</t>
        </is>
      </c>
      <c r="BG780" t="inlineStr">
        <is>
          <t>USNYC</t>
        </is>
      </c>
      <c r="BH780" t="n">
        <v>0</v>
      </c>
      <c r="BI780" t="n">
        <v>0</v>
      </c>
      <c r="BJ780" t="inlineStr">
        <is>
          <t xml:space="preserve"> 0</t>
        </is>
      </c>
      <c r="BK780" t="inlineStr">
        <is>
          <t>LINE</t>
        </is>
      </c>
      <c r="BL780" t="inlineStr">
        <is>
          <t>TURTLE REEFER</t>
        </is>
      </c>
      <c r="BM780" t="inlineStr">
        <is>
          <t>TURTLE REEFER</t>
        </is>
      </c>
    </row>
    <row r="781">
      <c r="A781" t="n">
        <v>780</v>
      </c>
      <c r="B781" t="inlineStr">
        <is>
          <t>ORCA REEFER</t>
        </is>
      </c>
      <c r="C781" t="inlineStr">
        <is>
          <t>REF000000</t>
        </is>
      </c>
      <c r="D781" t="inlineStr">
        <is>
          <t>REF000000</t>
        </is>
      </c>
      <c r="E781" t="inlineStr">
        <is>
          <t>14-APR-2026</t>
        </is>
      </c>
      <c r="F781" t="inlineStr">
        <is>
          <t>ORCA REEFER</t>
        </is>
      </c>
      <c r="G781" t="inlineStr">
        <is>
          <t>pa</t>
        </is>
      </c>
      <c r="H781" t="inlineStr">
        <is>
          <t>DiegoSAM</t>
        </is>
      </c>
      <c r="J781" t="inlineStr">
        <is>
          <t>01-MAY-2026</t>
        </is>
      </c>
      <c r="K781" t="inlineStr">
        <is>
          <t>30-APR-2026</t>
        </is>
      </c>
      <c r="M781" t="inlineStr">
        <is>
          <t>REF000000</t>
        </is>
      </c>
      <c r="N781" t="inlineStr">
        <is>
          <t>USNYC</t>
        </is>
      </c>
      <c r="O781" t="inlineStr">
        <is>
          <t>USNYC</t>
        </is>
      </c>
      <c r="P781" t="inlineStr">
        <is>
          <t>RULED</t>
        </is>
      </c>
      <c r="U781" t="inlineStr">
        <is>
          <t>RULED</t>
        </is>
      </c>
      <c r="V781" t="inlineStr">
        <is>
          <t>RULED</t>
        </is>
      </c>
      <c r="W781" t="inlineStr">
        <is>
          <t>UNITED STATES</t>
        </is>
      </c>
      <c r="X781" t="inlineStr">
        <is>
          <t>Latin America</t>
        </is>
      </c>
      <c r="Y781" t="inlineStr">
        <is>
          <t>RUSSIA</t>
        </is>
      </c>
      <c r="Z781" t="inlineStr">
        <is>
          <t>External Review</t>
        </is>
      </c>
      <c r="AA781" t="inlineStr">
        <is>
          <t>HUB SHIPPING LLC-LED</t>
        </is>
      </c>
      <c r="AB781" t="inlineStr">
        <is>
          <t>Prepaid</t>
        </is>
      </c>
      <c r="AC781" t="inlineStr">
        <is>
          <t>LI DA XING/VOYAGE 1</t>
        </is>
      </c>
      <c r="AE781" t="inlineStr">
        <is>
          <t>LADEN BOOKING</t>
        </is>
      </c>
      <c r="AF781" t="inlineStr">
        <is>
          <t>Joao RibeiroSAM</t>
        </is>
      </c>
      <c r="AG781" t="inlineStr">
        <is>
          <t>RH40</t>
        </is>
      </c>
      <c r="AH781" t="inlineStr">
        <is>
          <t>NO</t>
        </is>
      </c>
      <c r="AI781" t="n">
        <v>40</v>
      </c>
      <c r="AJ781" t="n">
        <v>0</v>
      </c>
      <c r="AK781" t="n">
        <v>1</v>
      </c>
      <c r="AM781" t="n">
        <v>-18</v>
      </c>
      <c r="AP781" t="inlineStr">
        <is>
          <t>Non Haz</t>
        </is>
      </c>
      <c r="AQ781" t="inlineStr">
        <is>
          <t>CY/CY</t>
        </is>
      </c>
      <c r="AU781" t="n">
        <v>28000</v>
      </c>
      <c r="AV781" t="inlineStr">
        <is>
          <t>FROZEN MEAT</t>
        </is>
      </c>
      <c r="AX781" t="inlineStr">
        <is>
          <t>RSSAM042600068</t>
        </is>
      </c>
      <c r="AZ781" t="n">
        <v>5</v>
      </c>
      <c r="BA781" t="n">
        <v>30</v>
      </c>
      <c r="BB781" t="n">
        <v>15</v>
      </c>
      <c r="BC781" t="n">
        <v>7000</v>
      </c>
      <c r="BD781" t="inlineStr">
        <is>
          <t>No</t>
        </is>
      </c>
      <c r="BG781" t="inlineStr">
        <is>
          <t>USNYC</t>
        </is>
      </c>
      <c r="BH781" t="n">
        <v>0</v>
      </c>
      <c r="BI781" t="n">
        <v>0</v>
      </c>
      <c r="BJ781" t="inlineStr">
        <is>
          <t xml:space="preserve"> 0</t>
        </is>
      </c>
      <c r="BK781" t="inlineStr">
        <is>
          <t>LINE</t>
        </is>
      </c>
      <c r="BL781" t="inlineStr">
        <is>
          <t>ORCA REEFER</t>
        </is>
      </c>
      <c r="BM781" t="inlineStr">
        <is>
          <t>ORCA REEFER</t>
        </is>
      </c>
    </row>
    <row r="782">
      <c r="A782" t="n">
        <v>781</v>
      </c>
      <c r="B782" t="inlineStr">
        <is>
          <t>WOLF DRY</t>
        </is>
      </c>
      <c r="C782" t="inlineStr">
        <is>
          <t>REF000000</t>
        </is>
      </c>
      <c r="D782" t="inlineStr">
        <is>
          <t>REF000000</t>
        </is>
      </c>
      <c r="E782" t="inlineStr">
        <is>
          <t>14-APR-2026</t>
        </is>
      </c>
      <c r="F782" t="inlineStr">
        <is>
          <t>WOLF DRY</t>
        </is>
      </c>
      <c r="G782" t="inlineStr">
        <is>
          <t>PREPAID</t>
        </is>
      </c>
      <c r="H782" t="inlineStr">
        <is>
          <t>DiegoSAM</t>
        </is>
      </c>
      <c r="J782" t="inlineStr">
        <is>
          <t>05-MAY-2026</t>
        </is>
      </c>
      <c r="K782" t="inlineStr">
        <is>
          <t>03-MAY-2026</t>
        </is>
      </c>
      <c r="M782" t="inlineStr">
        <is>
          <t>REF000000</t>
        </is>
      </c>
      <c r="N782" t="inlineStr">
        <is>
          <t>USNFK</t>
        </is>
      </c>
      <c r="O782" t="inlineStr">
        <is>
          <t>USNFK</t>
        </is>
      </c>
      <c r="P782" t="inlineStr">
        <is>
          <t>RULED</t>
        </is>
      </c>
      <c r="U782" t="inlineStr">
        <is>
          <t>RULED</t>
        </is>
      </c>
      <c r="V782" t="inlineStr">
        <is>
          <t>RULED</t>
        </is>
      </c>
      <c r="W782" t="inlineStr">
        <is>
          <t>UNITED STATES</t>
        </is>
      </c>
      <c r="X782" t="inlineStr">
        <is>
          <t>Latin America</t>
        </is>
      </c>
      <c r="Y782" t="inlineStr">
        <is>
          <t>RUSSIA</t>
        </is>
      </c>
      <c r="Z782" t="inlineStr">
        <is>
          <t>External Review</t>
        </is>
      </c>
      <c r="AA782" t="inlineStr">
        <is>
          <t>HUB SHIPPING LLC-LED</t>
        </is>
      </c>
      <c r="AB782" t="inlineStr">
        <is>
          <t>Prepaid</t>
        </is>
      </c>
      <c r="AC782" t="inlineStr">
        <is>
          <t>LI DA XING/VOYAGE 1</t>
        </is>
      </c>
      <c r="AE782" t="inlineStr">
        <is>
          <t>LADEN BOOKING</t>
        </is>
      </c>
      <c r="AF782" t="inlineStr">
        <is>
          <t>Maria JessicaSAM</t>
        </is>
      </c>
      <c r="AG782" t="inlineStr">
        <is>
          <t>DC20</t>
        </is>
      </c>
      <c r="AH782" t="inlineStr">
        <is>
          <t>NO</t>
        </is>
      </c>
      <c r="AI782" t="n">
        <v>20</v>
      </c>
      <c r="AJ782" t="n">
        <v>1</v>
      </c>
      <c r="AK782" t="n">
        <v>0</v>
      </c>
      <c r="AP782" t="inlineStr">
        <is>
          <t>Non Haz</t>
        </is>
      </c>
      <c r="AQ782" t="inlineStr">
        <is>
          <t>CY/CY</t>
        </is>
      </c>
      <c r="AU782" t="n">
        <v>20000</v>
      </c>
      <c r="AV782" t="inlineStr">
        <is>
          <t>GENERAL COMMODITY</t>
        </is>
      </c>
      <c r="AX782" t="inlineStr">
        <is>
          <t>RSSAM042600077</t>
        </is>
      </c>
      <c r="AZ782" t="n">
        <v>0</v>
      </c>
      <c r="BA782" t="n">
        <v>14</v>
      </c>
      <c r="BB782" t="n">
        <v>14</v>
      </c>
      <c r="BC782" t="n">
        <v>3400</v>
      </c>
      <c r="BD782" t="inlineStr">
        <is>
          <t>No</t>
        </is>
      </c>
      <c r="BG782" t="inlineStr">
        <is>
          <t>USNFK</t>
        </is>
      </c>
      <c r="BH782" t="n">
        <v>0</v>
      </c>
      <c r="BI782" t="n">
        <v>0</v>
      </c>
      <c r="BJ782" t="inlineStr">
        <is>
          <t xml:space="preserve"> 0</t>
        </is>
      </c>
      <c r="BK782" t="inlineStr">
        <is>
          <t>LINE</t>
        </is>
      </c>
      <c r="BL782" t="inlineStr">
        <is>
          <t>WOLF DRY</t>
        </is>
      </c>
      <c r="BM782" t="inlineStr">
        <is>
          <t>WOLF DRY</t>
        </is>
      </c>
    </row>
    <row r="783">
      <c r="A783" t="n">
        <v>782</v>
      </c>
      <c r="B783" t="inlineStr">
        <is>
          <t>DEER DRY</t>
        </is>
      </c>
      <c r="C783" t="inlineStr">
        <is>
          <t>REF000000</t>
        </is>
      </c>
      <c r="D783" t="inlineStr">
        <is>
          <t>REF000000</t>
        </is>
      </c>
      <c r="E783" t="inlineStr">
        <is>
          <t>14-APR-2026</t>
        </is>
      </c>
      <c r="F783" t="inlineStr">
        <is>
          <t>DEER DRY</t>
        </is>
      </c>
      <c r="G783" t="inlineStr">
        <is>
          <t>PREPAID</t>
        </is>
      </c>
      <c r="H783" t="inlineStr">
        <is>
          <t>DiegoSAM</t>
        </is>
      </c>
      <c r="J783" t="inlineStr">
        <is>
          <t>05-MAY-2026</t>
        </is>
      </c>
      <c r="K783" t="inlineStr">
        <is>
          <t>03-MAY-2026</t>
        </is>
      </c>
      <c r="M783" t="inlineStr">
        <is>
          <t>REF000000</t>
        </is>
      </c>
      <c r="N783" t="inlineStr">
        <is>
          <t>USNFK</t>
        </is>
      </c>
      <c r="O783" t="inlineStr">
        <is>
          <t>USNFK</t>
        </is>
      </c>
      <c r="P783" t="inlineStr">
        <is>
          <t>RULED</t>
        </is>
      </c>
      <c r="U783" t="inlineStr">
        <is>
          <t>RULED</t>
        </is>
      </c>
      <c r="V783" t="inlineStr">
        <is>
          <t>RULED</t>
        </is>
      </c>
      <c r="W783" t="inlineStr">
        <is>
          <t>UNITED STATES</t>
        </is>
      </c>
      <c r="X783" t="inlineStr">
        <is>
          <t>Latin America</t>
        </is>
      </c>
      <c r="Y783" t="inlineStr">
        <is>
          <t>RUSSIA</t>
        </is>
      </c>
      <c r="Z783" t="inlineStr">
        <is>
          <t>External Review</t>
        </is>
      </c>
      <c r="AA783" t="inlineStr">
        <is>
          <t>HUB SHIPPING LLC-LED</t>
        </is>
      </c>
      <c r="AB783" t="inlineStr">
        <is>
          <t>Prepaid</t>
        </is>
      </c>
      <c r="AC783" t="inlineStr">
        <is>
          <t>LI DA XING/VOYAGE 1</t>
        </is>
      </c>
      <c r="AE783" t="inlineStr">
        <is>
          <t>LADEN BOOKING</t>
        </is>
      </c>
      <c r="AF783" t="inlineStr">
        <is>
          <t>Maria JessicaSAM</t>
        </is>
      </c>
      <c r="AG783" t="inlineStr">
        <is>
          <t>DC20</t>
        </is>
      </c>
      <c r="AH783" t="inlineStr">
        <is>
          <t>NO</t>
        </is>
      </c>
      <c r="AI783" t="n">
        <v>20</v>
      </c>
      <c r="AJ783" t="n">
        <v>1</v>
      </c>
      <c r="AK783" t="n">
        <v>0</v>
      </c>
      <c r="AP783" t="inlineStr">
        <is>
          <t>Non Haz</t>
        </is>
      </c>
      <c r="AQ783" t="inlineStr">
        <is>
          <t>CY/CY</t>
        </is>
      </c>
      <c r="AU783" t="n">
        <v>20000</v>
      </c>
      <c r="AV783" t="inlineStr">
        <is>
          <t>GENERAL COMMODITY</t>
        </is>
      </c>
      <c r="AX783" t="inlineStr">
        <is>
          <t>RSSAM042600077</t>
        </is>
      </c>
      <c r="AZ783" t="n">
        <v>0</v>
      </c>
      <c r="BA783" t="n">
        <v>14</v>
      </c>
      <c r="BB783" t="n">
        <v>14</v>
      </c>
      <c r="BC783" t="n">
        <v>3400</v>
      </c>
      <c r="BD783" t="inlineStr">
        <is>
          <t>No</t>
        </is>
      </c>
      <c r="BG783" t="inlineStr">
        <is>
          <t>USNFK</t>
        </is>
      </c>
      <c r="BH783" t="n">
        <v>0</v>
      </c>
      <c r="BI783" t="n">
        <v>0</v>
      </c>
      <c r="BJ783" t="inlineStr">
        <is>
          <t xml:space="preserve"> 0</t>
        </is>
      </c>
      <c r="BK783" t="inlineStr">
        <is>
          <t>LINE</t>
        </is>
      </c>
      <c r="BL783" t="inlineStr">
        <is>
          <t>DEER DRY</t>
        </is>
      </c>
      <c r="BM783" t="inlineStr">
        <is>
          <t>DEER DRY</t>
        </is>
      </c>
    </row>
    <row r="784">
      <c r="A784" t="n">
        <v>783</v>
      </c>
      <c r="B784" t="inlineStr">
        <is>
          <t>SHARK REEFER</t>
        </is>
      </c>
      <c r="C784" t="inlineStr">
        <is>
          <t>REF000000</t>
        </is>
      </c>
      <c r="D784" t="inlineStr">
        <is>
          <t>REF000000</t>
        </is>
      </c>
      <c r="E784" t="inlineStr">
        <is>
          <t>15-APR-2026</t>
        </is>
      </c>
      <c r="F784" t="inlineStr">
        <is>
          <t>SHARK REEFER</t>
        </is>
      </c>
      <c r="G784" t="inlineStr">
        <is>
          <t>EVI150401 / Food Grade</t>
        </is>
      </c>
      <c r="H784" t="inlineStr">
        <is>
          <t>AdminSAM</t>
        </is>
      </c>
      <c r="J784" t="inlineStr">
        <is>
          <t>01-MAY-2026</t>
        </is>
      </c>
      <c r="K784" t="inlineStr">
        <is>
          <t>30-APR-2026</t>
        </is>
      </c>
      <c r="M784" t="inlineStr">
        <is>
          <t>REF000000</t>
        </is>
      </c>
      <c r="N784" t="inlineStr">
        <is>
          <t>USNYC</t>
        </is>
      </c>
      <c r="O784" t="inlineStr">
        <is>
          <t>USNYC</t>
        </is>
      </c>
      <c r="P784" t="inlineStr">
        <is>
          <t>RULED</t>
        </is>
      </c>
      <c r="U784" t="inlineStr">
        <is>
          <t>RULED</t>
        </is>
      </c>
      <c r="V784" t="inlineStr">
        <is>
          <t>RULED</t>
        </is>
      </c>
      <c r="W784" t="inlineStr">
        <is>
          <t>UNITED STATES</t>
        </is>
      </c>
      <c r="X784" t="inlineStr">
        <is>
          <t>Latin America</t>
        </is>
      </c>
      <c r="Y784" t="inlineStr">
        <is>
          <t>RUSSIA</t>
        </is>
      </c>
      <c r="Z784" t="inlineStr">
        <is>
          <t>External Review</t>
        </is>
      </c>
      <c r="AA784" t="inlineStr">
        <is>
          <t>HUB SHIPPING LLC-LED</t>
        </is>
      </c>
      <c r="AB784" t="inlineStr">
        <is>
          <t>Collect</t>
        </is>
      </c>
      <c r="AC784" t="inlineStr">
        <is>
          <t>LI DA XING/VOYAGE 1</t>
        </is>
      </c>
      <c r="AE784" t="inlineStr">
        <is>
          <t>LADEN BOOKING</t>
        </is>
      </c>
      <c r="AF784" t="inlineStr">
        <is>
          <t>RenniSAM</t>
        </is>
      </c>
      <c r="AG784" t="inlineStr">
        <is>
          <t>DC20</t>
        </is>
      </c>
      <c r="AH784" t="inlineStr">
        <is>
          <t>NO</t>
        </is>
      </c>
      <c r="AI784" t="n">
        <v>20</v>
      </c>
      <c r="AJ784" t="n">
        <v>6</v>
      </c>
      <c r="AK784" t="n">
        <v>0</v>
      </c>
      <c r="AP784" t="inlineStr">
        <is>
          <t>Non Haz</t>
        </is>
      </c>
      <c r="AQ784" t="inlineStr">
        <is>
          <t>CY/CY</t>
        </is>
      </c>
      <c r="AU784" t="n">
        <v>23000</v>
      </c>
      <c r="AV784" t="inlineStr">
        <is>
          <t>GENERAL COMMODITY</t>
        </is>
      </c>
      <c r="AX784" t="inlineStr">
        <is>
          <t>RSSAM042600079</t>
        </is>
      </c>
      <c r="AZ784" t="n">
        <v>0</v>
      </c>
      <c r="BA784" t="n">
        <v>14</v>
      </c>
      <c r="BB784" t="n">
        <v>14</v>
      </c>
      <c r="BC784" t="n">
        <v>2475</v>
      </c>
      <c r="BD784" t="inlineStr">
        <is>
          <t>Yes</t>
        </is>
      </c>
      <c r="BG784" t="inlineStr">
        <is>
          <t>RULED</t>
        </is>
      </c>
      <c r="BH784" t="n">
        <v>0</v>
      </c>
      <c r="BI784" t="n">
        <v>0</v>
      </c>
      <c r="BJ784" t="inlineStr">
        <is>
          <t xml:space="preserve"> 0</t>
        </is>
      </c>
      <c r="BK784" t="inlineStr">
        <is>
          <t>LINE</t>
        </is>
      </c>
      <c r="BL784" t="inlineStr">
        <is>
          <t>SHARK REEFER</t>
        </is>
      </c>
      <c r="BM784" t="inlineStr">
        <is>
          <t>SHARK REEFER</t>
        </is>
      </c>
    </row>
    <row r="785">
      <c r="A785" t="n">
        <v>784</v>
      </c>
      <c r="B785" t="inlineStr">
        <is>
          <t>BISON DRY</t>
        </is>
      </c>
      <c r="C785" t="inlineStr">
        <is>
          <t>REF000000</t>
        </is>
      </c>
      <c r="D785" t="inlineStr">
        <is>
          <t>REF000000</t>
        </is>
      </c>
      <c r="E785" t="inlineStr">
        <is>
          <t>15-APR-2026</t>
        </is>
      </c>
      <c r="F785" t="inlineStr">
        <is>
          <t>BISON DRY</t>
        </is>
      </c>
      <c r="G785" t="inlineStr">
        <is>
          <t>EVI140402 / Food Grade</t>
        </is>
      </c>
      <c r="H785" t="inlineStr">
        <is>
          <t>AdminSAM</t>
        </is>
      </c>
      <c r="J785" t="inlineStr">
        <is>
          <t>05-MAY-2026</t>
        </is>
      </c>
      <c r="K785" t="inlineStr">
        <is>
          <t>03-MAY-2026</t>
        </is>
      </c>
      <c r="M785" t="inlineStr">
        <is>
          <t>REF000000</t>
        </is>
      </c>
      <c r="N785" t="inlineStr">
        <is>
          <t>USNFK</t>
        </is>
      </c>
      <c r="O785" t="inlineStr">
        <is>
          <t>USNFK</t>
        </is>
      </c>
      <c r="P785" t="inlineStr">
        <is>
          <t>RULED</t>
        </is>
      </c>
      <c r="U785" t="inlineStr">
        <is>
          <t>RULED</t>
        </is>
      </c>
      <c r="V785" t="inlineStr">
        <is>
          <t>RULED</t>
        </is>
      </c>
      <c r="W785" t="inlineStr">
        <is>
          <t>UNITED STATES</t>
        </is>
      </c>
      <c r="X785" t="inlineStr">
        <is>
          <t>Latin America</t>
        </is>
      </c>
      <c r="Y785" t="inlineStr">
        <is>
          <t>RUSSIA</t>
        </is>
      </c>
      <c r="Z785" t="inlineStr">
        <is>
          <t>External Review</t>
        </is>
      </c>
      <c r="AA785" t="inlineStr">
        <is>
          <t>HUB SHIPPING LLC-LED</t>
        </is>
      </c>
      <c r="AB785" t="inlineStr">
        <is>
          <t>Collect</t>
        </is>
      </c>
      <c r="AC785" t="inlineStr">
        <is>
          <t>LI DA XING/VOYAGE 1</t>
        </is>
      </c>
      <c r="AE785" t="inlineStr">
        <is>
          <t>LADEN BOOKING</t>
        </is>
      </c>
      <c r="AF785" t="inlineStr">
        <is>
          <t>RenniSAM</t>
        </is>
      </c>
      <c r="AG785" t="inlineStr">
        <is>
          <t>HC40</t>
        </is>
      </c>
      <c r="AH785" t="inlineStr">
        <is>
          <t>NO</t>
        </is>
      </c>
      <c r="AI785" t="n">
        <v>40</v>
      </c>
      <c r="AJ785" t="n">
        <v>0</v>
      </c>
      <c r="AK785" t="n">
        <v>2</v>
      </c>
      <c r="AP785" t="inlineStr">
        <is>
          <t>Non Haz</t>
        </is>
      </c>
      <c r="AQ785" t="inlineStr">
        <is>
          <t>CY/CY</t>
        </is>
      </c>
      <c r="AU785" t="n">
        <v>23000</v>
      </c>
      <c r="AV785" t="inlineStr">
        <is>
          <t>GENERAL COMMODITY</t>
        </is>
      </c>
      <c r="AX785" t="inlineStr">
        <is>
          <t>RSSAM042600013</t>
        </is>
      </c>
      <c r="AZ785" t="n">
        <v>0</v>
      </c>
      <c r="BA785" t="n">
        <v>14</v>
      </c>
      <c r="BB785" t="n">
        <v>14</v>
      </c>
      <c r="BC785" t="n">
        <v>3100</v>
      </c>
      <c r="BD785" t="inlineStr">
        <is>
          <t>Yes</t>
        </is>
      </c>
      <c r="BG785" t="inlineStr">
        <is>
          <t>RULED</t>
        </is>
      </c>
      <c r="BH785" t="n">
        <v>0</v>
      </c>
      <c r="BI785" t="n">
        <v>0</v>
      </c>
      <c r="BJ785" t="inlineStr">
        <is>
          <t xml:space="preserve"> 0</t>
        </is>
      </c>
      <c r="BK785" t="inlineStr">
        <is>
          <t>LINE</t>
        </is>
      </c>
      <c r="BL785" t="inlineStr">
        <is>
          <t>BISON DRY</t>
        </is>
      </c>
      <c r="BM785" t="inlineStr">
        <is>
          <t>BISON DRY</t>
        </is>
      </c>
    </row>
    <row r="786">
      <c r="A786" t="n">
        <v>785</v>
      </c>
      <c r="B786" t="inlineStr">
        <is>
          <t>MARLIN REEFER</t>
        </is>
      </c>
      <c r="C786" t="inlineStr">
        <is>
          <t>REF000000</t>
        </is>
      </c>
      <c r="D786" t="inlineStr">
        <is>
          <t>REF000000</t>
        </is>
      </c>
      <c r="E786" t="inlineStr">
        <is>
          <t>15-APR-2026</t>
        </is>
      </c>
      <c r="F786" t="inlineStr">
        <is>
          <t>MARLIN REEFER</t>
        </is>
      </c>
      <c r="G786" t="inlineStr">
        <is>
          <t>EVI150402 / Food Grade</t>
        </is>
      </c>
      <c r="H786" t="inlineStr">
        <is>
          <t>AdminSAM</t>
        </is>
      </c>
      <c r="J786" t="inlineStr">
        <is>
          <t>01-MAY-2026</t>
        </is>
      </c>
      <c r="K786" t="inlineStr">
        <is>
          <t>30-APR-2026</t>
        </is>
      </c>
      <c r="M786" t="inlineStr">
        <is>
          <t>REF000000</t>
        </is>
      </c>
      <c r="N786" t="inlineStr">
        <is>
          <t>USNYC</t>
        </is>
      </c>
      <c r="O786" t="inlineStr">
        <is>
          <t>USNYC</t>
        </is>
      </c>
      <c r="P786" t="inlineStr">
        <is>
          <t>RULED</t>
        </is>
      </c>
      <c r="U786" t="inlineStr">
        <is>
          <t>RULED</t>
        </is>
      </c>
      <c r="V786" t="inlineStr">
        <is>
          <t>RULED</t>
        </is>
      </c>
      <c r="W786" t="inlineStr">
        <is>
          <t>UNITED STATES</t>
        </is>
      </c>
      <c r="X786" t="inlineStr">
        <is>
          <t>Latin America</t>
        </is>
      </c>
      <c r="Y786" t="inlineStr">
        <is>
          <t>RUSSIA</t>
        </is>
      </c>
      <c r="Z786" t="inlineStr">
        <is>
          <t>External Review</t>
        </is>
      </c>
      <c r="AA786" t="inlineStr">
        <is>
          <t>HUB SHIPPING LLC-LED</t>
        </is>
      </c>
      <c r="AB786" t="inlineStr">
        <is>
          <t>Collect</t>
        </is>
      </c>
      <c r="AC786" t="inlineStr">
        <is>
          <t>LI DA XING/VOYAGE 1</t>
        </is>
      </c>
      <c r="AE786" t="inlineStr">
        <is>
          <t>LADEN BOOKING</t>
        </is>
      </c>
      <c r="AF786" t="inlineStr">
        <is>
          <t>RenniSAM</t>
        </is>
      </c>
      <c r="AG786" t="inlineStr">
        <is>
          <t>DC20</t>
        </is>
      </c>
      <c r="AH786" t="inlineStr">
        <is>
          <t>NO</t>
        </is>
      </c>
      <c r="AI786" t="n">
        <v>20</v>
      </c>
      <c r="AJ786" t="n">
        <v>4</v>
      </c>
      <c r="AK786" t="n">
        <v>0</v>
      </c>
      <c r="AP786" t="inlineStr">
        <is>
          <t>Non Haz</t>
        </is>
      </c>
      <c r="AQ786" t="inlineStr">
        <is>
          <t>CY/CY</t>
        </is>
      </c>
      <c r="AU786" t="n">
        <v>23000</v>
      </c>
      <c r="AV786" t="inlineStr">
        <is>
          <t>GENERAL COMMODITY</t>
        </is>
      </c>
      <c r="AX786" t="inlineStr">
        <is>
          <t>RSSAM042600079</t>
        </is>
      </c>
      <c r="AZ786" t="n">
        <v>0</v>
      </c>
      <c r="BA786" t="n">
        <v>14</v>
      </c>
      <c r="BB786" t="n">
        <v>14</v>
      </c>
      <c r="BC786" t="n">
        <v>2475</v>
      </c>
      <c r="BD786" t="inlineStr">
        <is>
          <t>Yes</t>
        </is>
      </c>
      <c r="BG786" t="inlineStr">
        <is>
          <t>RULED</t>
        </is>
      </c>
      <c r="BH786" t="n">
        <v>0</v>
      </c>
      <c r="BI786" t="n">
        <v>0</v>
      </c>
      <c r="BJ786" t="inlineStr">
        <is>
          <t xml:space="preserve"> 0</t>
        </is>
      </c>
      <c r="BK786" t="inlineStr">
        <is>
          <t>LINE</t>
        </is>
      </c>
      <c r="BL786" t="inlineStr">
        <is>
          <t>MARLIN REEFER</t>
        </is>
      </c>
      <c r="BM786" t="inlineStr">
        <is>
          <t>MARLIN REEFER</t>
        </is>
      </c>
    </row>
    <row r="787">
      <c r="A787" t="n">
        <v>786</v>
      </c>
      <c r="B787" t="inlineStr">
        <is>
          <t>COYOTE DRY</t>
        </is>
      </c>
      <c r="C787" t="inlineStr">
        <is>
          <t>REF000000</t>
        </is>
      </c>
      <c r="D787" t="inlineStr">
        <is>
          <t>REF000000</t>
        </is>
      </c>
      <c r="E787" t="inlineStr">
        <is>
          <t>15-APR-2026</t>
        </is>
      </c>
      <c r="F787" t="inlineStr">
        <is>
          <t>COYOTE DRY</t>
        </is>
      </c>
      <c r="G787" t="inlineStr">
        <is>
          <t>EVI150403 / Food Grade</t>
        </is>
      </c>
      <c r="H787" t="inlineStr">
        <is>
          <t>AdminSAM</t>
        </is>
      </c>
      <c r="J787" t="inlineStr">
        <is>
          <t>05-MAY-2026</t>
        </is>
      </c>
      <c r="K787" t="inlineStr">
        <is>
          <t>03-MAY-2026</t>
        </is>
      </c>
      <c r="M787" t="inlineStr">
        <is>
          <t>REF000000</t>
        </is>
      </c>
      <c r="N787" t="inlineStr">
        <is>
          <t>USNFK</t>
        </is>
      </c>
      <c r="O787" t="inlineStr">
        <is>
          <t>USNFK</t>
        </is>
      </c>
      <c r="P787" t="inlineStr">
        <is>
          <t>RULED</t>
        </is>
      </c>
      <c r="U787" t="inlineStr">
        <is>
          <t>RULED</t>
        </is>
      </c>
      <c r="V787" t="inlineStr">
        <is>
          <t>RULED</t>
        </is>
      </c>
      <c r="W787" t="inlineStr">
        <is>
          <t>UNITED STATES</t>
        </is>
      </c>
      <c r="X787" t="inlineStr">
        <is>
          <t>Latin America</t>
        </is>
      </c>
      <c r="Y787" t="inlineStr">
        <is>
          <t>RUSSIA</t>
        </is>
      </c>
      <c r="Z787" t="inlineStr">
        <is>
          <t>External Review</t>
        </is>
      </c>
      <c r="AA787" t="inlineStr">
        <is>
          <t>HUB SHIPPING LLC-LED</t>
        </is>
      </c>
      <c r="AB787" t="inlineStr">
        <is>
          <t>Collect</t>
        </is>
      </c>
      <c r="AC787" t="inlineStr">
        <is>
          <t>LI DA XING/VOYAGE 1</t>
        </is>
      </c>
      <c r="AE787" t="inlineStr">
        <is>
          <t>LADEN BOOKING</t>
        </is>
      </c>
      <c r="AF787" t="inlineStr">
        <is>
          <t>RenniSAM</t>
        </is>
      </c>
      <c r="AG787" t="inlineStr">
        <is>
          <t>HC40</t>
        </is>
      </c>
      <c r="AH787" t="inlineStr">
        <is>
          <t>NO</t>
        </is>
      </c>
      <c r="AI787" t="n">
        <v>40</v>
      </c>
      <c r="AJ787" t="n">
        <v>0</v>
      </c>
      <c r="AK787" t="n">
        <v>8</v>
      </c>
      <c r="AP787" t="inlineStr">
        <is>
          <t>Non Haz</t>
        </is>
      </c>
      <c r="AQ787" t="inlineStr">
        <is>
          <t>CY/CY</t>
        </is>
      </c>
      <c r="AU787" t="n">
        <v>23000</v>
      </c>
      <c r="AV787" t="inlineStr">
        <is>
          <t>GENERAL COMMODITY</t>
        </is>
      </c>
      <c r="AX787" t="inlineStr">
        <is>
          <t>RSSAM042600013</t>
        </is>
      </c>
      <c r="AZ787" t="n">
        <v>0</v>
      </c>
      <c r="BA787" t="n">
        <v>14</v>
      </c>
      <c r="BB787" t="n">
        <v>14</v>
      </c>
      <c r="BC787" t="n">
        <v>3100</v>
      </c>
      <c r="BD787" t="inlineStr">
        <is>
          <t>Yes</t>
        </is>
      </c>
      <c r="BG787" t="inlineStr">
        <is>
          <t>RULED</t>
        </is>
      </c>
      <c r="BH787" t="n">
        <v>0</v>
      </c>
      <c r="BI787" t="n">
        <v>0</v>
      </c>
      <c r="BJ787" t="inlineStr">
        <is>
          <t xml:space="preserve"> 0</t>
        </is>
      </c>
      <c r="BK787" t="inlineStr">
        <is>
          <t>LINE</t>
        </is>
      </c>
      <c r="BL787" t="inlineStr">
        <is>
          <t>COYOTE DRY</t>
        </is>
      </c>
      <c r="BM787" t="inlineStr">
        <is>
          <t>COYOTE DRY</t>
        </is>
      </c>
    </row>
    <row r="788">
      <c r="A788" t="n">
        <v>787</v>
      </c>
      <c r="B788" t="inlineStr">
        <is>
          <t>FALCON DRY</t>
        </is>
      </c>
      <c r="C788" t="inlineStr">
        <is>
          <t>REF000000</t>
        </is>
      </c>
      <c r="D788" t="inlineStr">
        <is>
          <t>REF000000</t>
        </is>
      </c>
      <c r="E788" t="inlineStr">
        <is>
          <t>15-APR-2026</t>
        </is>
      </c>
      <c r="F788" t="inlineStr">
        <is>
          <t>FALCON DRY</t>
        </is>
      </c>
      <c r="G788" t="inlineStr">
        <is>
          <t>EVI150404 / Food Grade</t>
        </is>
      </c>
      <c r="H788" t="inlineStr">
        <is>
          <t>AdminSAM</t>
        </is>
      </c>
      <c r="J788" t="inlineStr">
        <is>
          <t>05-MAY-2026</t>
        </is>
      </c>
      <c r="K788" t="inlineStr">
        <is>
          <t>03-MAY-2026</t>
        </is>
      </c>
      <c r="M788" t="inlineStr">
        <is>
          <t>REF000000</t>
        </is>
      </c>
      <c r="N788" t="inlineStr">
        <is>
          <t>USNFK</t>
        </is>
      </c>
      <c r="O788" t="inlineStr">
        <is>
          <t>USNFK</t>
        </is>
      </c>
      <c r="P788" t="inlineStr">
        <is>
          <t>RULED</t>
        </is>
      </c>
      <c r="U788" t="inlineStr">
        <is>
          <t>RULED</t>
        </is>
      </c>
      <c r="V788" t="inlineStr">
        <is>
          <t>RULED</t>
        </is>
      </c>
      <c r="W788" t="inlineStr">
        <is>
          <t>UNITED STATES</t>
        </is>
      </c>
      <c r="X788" t="inlineStr">
        <is>
          <t>Latin America</t>
        </is>
      </c>
      <c r="Y788" t="inlineStr">
        <is>
          <t>RUSSIA</t>
        </is>
      </c>
      <c r="Z788" t="inlineStr">
        <is>
          <t>External Review</t>
        </is>
      </c>
      <c r="AA788" t="inlineStr">
        <is>
          <t>HUB SHIPPING LLC-LED</t>
        </is>
      </c>
      <c r="AB788" t="inlineStr">
        <is>
          <t>Collect</t>
        </is>
      </c>
      <c r="AC788" t="inlineStr">
        <is>
          <t>LI DA XING/VOYAGE 1</t>
        </is>
      </c>
      <c r="AE788" t="inlineStr">
        <is>
          <t>LADEN BOOKING</t>
        </is>
      </c>
      <c r="AF788" t="inlineStr">
        <is>
          <t>RenniSAM</t>
        </is>
      </c>
      <c r="AG788" t="inlineStr">
        <is>
          <t>HC40</t>
        </is>
      </c>
      <c r="AH788" t="inlineStr">
        <is>
          <t>NO</t>
        </is>
      </c>
      <c r="AI788" t="n">
        <v>40</v>
      </c>
      <c r="AJ788" t="n">
        <v>0</v>
      </c>
      <c r="AK788" t="n">
        <v>2</v>
      </c>
      <c r="AP788" t="inlineStr">
        <is>
          <t>Non Haz</t>
        </is>
      </c>
      <c r="AQ788" t="inlineStr">
        <is>
          <t>CY/CY</t>
        </is>
      </c>
      <c r="AU788" t="n">
        <v>23000</v>
      </c>
      <c r="AV788" t="inlineStr">
        <is>
          <t>GENERAL COMMODITY</t>
        </is>
      </c>
      <c r="AX788" t="inlineStr">
        <is>
          <t>RSSAM042600013</t>
        </is>
      </c>
      <c r="AZ788" t="n">
        <v>0</v>
      </c>
      <c r="BA788" t="n">
        <v>14</v>
      </c>
      <c r="BB788" t="n">
        <v>14</v>
      </c>
      <c r="BC788" t="n">
        <v>3100</v>
      </c>
      <c r="BD788" t="inlineStr">
        <is>
          <t>Yes</t>
        </is>
      </c>
      <c r="BG788" t="inlineStr">
        <is>
          <t>RULED</t>
        </is>
      </c>
      <c r="BH788" t="n">
        <v>0</v>
      </c>
      <c r="BI788" t="n">
        <v>0</v>
      </c>
      <c r="BJ788" t="inlineStr">
        <is>
          <t xml:space="preserve"> 0</t>
        </is>
      </c>
      <c r="BK788" t="inlineStr">
        <is>
          <t>LINE</t>
        </is>
      </c>
      <c r="BL788" t="inlineStr">
        <is>
          <t>FALCON DRY</t>
        </is>
      </c>
      <c r="BM788" t="inlineStr">
        <is>
          <t>FALCON DRY</t>
        </is>
      </c>
    </row>
    <row r="789">
      <c r="A789" t="n">
        <v>788</v>
      </c>
      <c r="B789" t="inlineStr">
        <is>
          <t>WOLF DRY</t>
        </is>
      </c>
      <c r="C789" t="inlineStr">
        <is>
          <t>REF000000</t>
        </is>
      </c>
      <c r="D789" t="inlineStr">
        <is>
          <t>REF000000</t>
        </is>
      </c>
      <c r="E789" t="inlineStr">
        <is>
          <t>15-APR-2026</t>
        </is>
      </c>
      <c r="F789" t="inlineStr">
        <is>
          <t>WOLF DRY</t>
        </is>
      </c>
      <c r="G789" t="inlineStr">
        <is>
          <t>EVI150405 / Food Grade</t>
        </is>
      </c>
      <c r="H789" t="inlineStr">
        <is>
          <t>AdminSAM</t>
        </is>
      </c>
      <c r="J789" t="inlineStr">
        <is>
          <t>27-MAY-2026</t>
        </is>
      </c>
      <c r="K789" t="inlineStr">
        <is>
          <t>27-MAY-2026</t>
        </is>
      </c>
      <c r="M789" t="inlineStr">
        <is>
          <t>REF000000</t>
        </is>
      </c>
      <c r="N789" t="inlineStr">
        <is>
          <t>USNFK</t>
        </is>
      </c>
      <c r="O789" t="inlineStr">
        <is>
          <t>USNFK</t>
        </is>
      </c>
      <c r="P789" t="inlineStr">
        <is>
          <t>RULED</t>
        </is>
      </c>
      <c r="U789" t="inlineStr">
        <is>
          <t>RULED</t>
        </is>
      </c>
      <c r="V789" t="inlineStr">
        <is>
          <t>RULED</t>
        </is>
      </c>
      <c r="W789" t="inlineStr">
        <is>
          <t>UNITED STATES</t>
        </is>
      </c>
      <c r="X789" t="inlineStr">
        <is>
          <t>Latin America</t>
        </is>
      </c>
      <c r="Y789" t="inlineStr">
        <is>
          <t>RUSSIA</t>
        </is>
      </c>
      <c r="Z789" t="inlineStr">
        <is>
          <t>External Review</t>
        </is>
      </c>
      <c r="AA789" t="inlineStr">
        <is>
          <t>HUB SHIPPING LLC-LED</t>
        </is>
      </c>
      <c r="AB789" t="inlineStr">
        <is>
          <t>Collect</t>
        </is>
      </c>
      <c r="AC789" t="inlineStr">
        <is>
          <t>MYD FUZHOU/30BRASTPE</t>
        </is>
      </c>
      <c r="AE789" t="inlineStr">
        <is>
          <t>LADEN BOOKING</t>
        </is>
      </c>
      <c r="AF789" t="inlineStr">
        <is>
          <t>RenniSAM</t>
        </is>
      </c>
      <c r="AG789" t="inlineStr">
        <is>
          <t>HC40</t>
        </is>
      </c>
      <c r="AH789" t="inlineStr">
        <is>
          <t>NO</t>
        </is>
      </c>
      <c r="AI789" t="n">
        <v>40</v>
      </c>
      <c r="AJ789" t="n">
        <v>0</v>
      </c>
      <c r="AK789" t="n">
        <v>4</v>
      </c>
      <c r="AP789" t="inlineStr">
        <is>
          <t>Non Haz</t>
        </is>
      </c>
      <c r="AQ789" t="inlineStr">
        <is>
          <t>CY/CY</t>
        </is>
      </c>
      <c r="AU789" t="n">
        <v>23000</v>
      </c>
      <c r="AV789" t="inlineStr">
        <is>
          <t>GENERAL COMMODITY</t>
        </is>
      </c>
      <c r="AX789" t="inlineStr">
        <is>
          <t>RSSAM042600013</t>
        </is>
      </c>
      <c r="AZ789" t="n">
        <v>0</v>
      </c>
      <c r="BA789" t="n">
        <v>14</v>
      </c>
      <c r="BB789" t="n">
        <v>14</v>
      </c>
      <c r="BC789" t="n">
        <v>3100</v>
      </c>
      <c r="BD789" t="inlineStr">
        <is>
          <t>Yes</t>
        </is>
      </c>
      <c r="BG789" t="inlineStr">
        <is>
          <t>RULED</t>
        </is>
      </c>
      <c r="BH789" t="n">
        <v>0</v>
      </c>
      <c r="BI789" t="n">
        <v>0</v>
      </c>
      <c r="BJ789" t="inlineStr">
        <is>
          <t xml:space="preserve"> 0</t>
        </is>
      </c>
      <c r="BK789" t="inlineStr">
        <is>
          <t>LINE</t>
        </is>
      </c>
      <c r="BL789" t="inlineStr">
        <is>
          <t>WOLF DRY</t>
        </is>
      </c>
      <c r="BM789" t="inlineStr">
        <is>
          <t>WOLF DRY</t>
        </is>
      </c>
    </row>
    <row r="790">
      <c r="A790" t="n">
        <v>789</v>
      </c>
      <c r="B790" t="inlineStr">
        <is>
          <t>DEER DRY</t>
        </is>
      </c>
      <c r="C790" t="inlineStr">
        <is>
          <t>REF000000</t>
        </is>
      </c>
      <c r="D790" t="inlineStr">
        <is>
          <t>REF000000</t>
        </is>
      </c>
      <c r="E790" t="inlineStr">
        <is>
          <t>15-APR-2026</t>
        </is>
      </c>
      <c r="F790" t="inlineStr">
        <is>
          <t>DEER DRY</t>
        </is>
      </c>
      <c r="G790" t="inlineStr">
        <is>
          <t>EVI040304- Food Grade</t>
        </is>
      </c>
      <c r="H790" t="inlineStr">
        <is>
          <t>AdminSAM</t>
        </is>
      </c>
      <c r="J790" t="inlineStr">
        <is>
          <t>27-APR-2026</t>
        </is>
      </c>
      <c r="K790" t="inlineStr">
        <is>
          <t>27-APR-2026</t>
        </is>
      </c>
      <c r="M790" t="inlineStr">
        <is>
          <t>REF000000</t>
        </is>
      </c>
      <c r="N790" t="inlineStr">
        <is>
          <t>USNFK</t>
        </is>
      </c>
      <c r="O790" t="inlineStr">
        <is>
          <t>USNFK</t>
        </is>
      </c>
      <c r="P790" t="inlineStr">
        <is>
          <t>RULED</t>
        </is>
      </c>
      <c r="U790" t="inlineStr">
        <is>
          <t>RULED</t>
        </is>
      </c>
      <c r="V790" t="inlineStr">
        <is>
          <t>RULED</t>
        </is>
      </c>
      <c r="W790" t="inlineStr">
        <is>
          <t>UNITED STATES</t>
        </is>
      </c>
      <c r="X790" t="inlineStr">
        <is>
          <t>Latin America</t>
        </is>
      </c>
      <c r="Y790" t="inlineStr">
        <is>
          <t>RUSSIA</t>
        </is>
      </c>
      <c r="Z790" t="inlineStr">
        <is>
          <t>External Review</t>
        </is>
      </c>
      <c r="AA790" t="inlineStr">
        <is>
          <t>HUB SHIPPING LLC-LED</t>
        </is>
      </c>
      <c r="AB790" t="inlineStr">
        <is>
          <t>Collect</t>
        </is>
      </c>
      <c r="AC790" t="inlineStr">
        <is>
          <t>MYD TIANJIN/29BRASTPE</t>
        </is>
      </c>
      <c r="AE790" t="inlineStr">
        <is>
          <t>LADEN BOOKING</t>
        </is>
      </c>
      <c r="AF790" t="inlineStr">
        <is>
          <t>RenniSAM</t>
        </is>
      </c>
      <c r="AG790" t="inlineStr">
        <is>
          <t>HC40</t>
        </is>
      </c>
      <c r="AH790" t="inlineStr">
        <is>
          <t>NO</t>
        </is>
      </c>
      <c r="AI790" t="n">
        <v>40</v>
      </c>
      <c r="AJ790" t="n">
        <v>0</v>
      </c>
      <c r="AK790" t="n">
        <v>6</v>
      </c>
      <c r="AP790" t="inlineStr">
        <is>
          <t>Non Haz</t>
        </is>
      </c>
      <c r="AQ790" t="inlineStr">
        <is>
          <t>CY/CY</t>
        </is>
      </c>
      <c r="AU790" t="n">
        <v>25000</v>
      </c>
      <c r="AV790" t="inlineStr">
        <is>
          <t>GENERAL COMMODITY</t>
        </is>
      </c>
      <c r="AX790" t="inlineStr">
        <is>
          <t>RSSAM042600084</t>
        </is>
      </c>
      <c r="AZ790" t="n">
        <v>0</v>
      </c>
      <c r="BA790" t="n">
        <v>14</v>
      </c>
      <c r="BB790" t="n">
        <v>14</v>
      </c>
      <c r="BC790" t="n">
        <v>3350</v>
      </c>
      <c r="BD790" t="inlineStr">
        <is>
          <t>Yes</t>
        </is>
      </c>
      <c r="BG790" t="inlineStr">
        <is>
          <t>RULED</t>
        </is>
      </c>
      <c r="BH790" t="n">
        <v>0</v>
      </c>
      <c r="BI790" t="n">
        <v>0</v>
      </c>
      <c r="BJ790" t="inlineStr">
        <is>
          <t xml:space="preserve"> 0</t>
        </is>
      </c>
      <c r="BK790" t="inlineStr">
        <is>
          <t>LINE</t>
        </is>
      </c>
      <c r="BL790" t="inlineStr">
        <is>
          <t>DEER DRY</t>
        </is>
      </c>
      <c r="BM790" t="inlineStr">
        <is>
          <t>DEER DRY</t>
        </is>
      </c>
    </row>
    <row r="791">
      <c r="A791" t="n">
        <v>790</v>
      </c>
      <c r="B791" t="inlineStr">
        <is>
          <t>FOX DRY</t>
        </is>
      </c>
      <c r="C791" t="inlineStr">
        <is>
          <t>REF000000</t>
        </is>
      </c>
      <c r="D791" t="inlineStr">
        <is>
          <t>REF000000</t>
        </is>
      </c>
      <c r="E791" t="inlineStr">
        <is>
          <t>15-APR-2026</t>
        </is>
      </c>
      <c r="F791" t="inlineStr">
        <is>
          <t>FOX DRY</t>
        </is>
      </c>
      <c r="G791" t="inlineStr">
        <is>
          <t>Food Grade</t>
        </is>
      </c>
      <c r="H791" t="inlineStr">
        <is>
          <t>AdminSAM</t>
        </is>
      </c>
      <c r="J791" t="inlineStr">
        <is>
          <t>12-MAY-2026</t>
        </is>
      </c>
      <c r="K791" t="inlineStr">
        <is>
          <t>07-MAY-2026</t>
        </is>
      </c>
      <c r="M791" t="inlineStr">
        <is>
          <t>REF000000</t>
        </is>
      </c>
      <c r="N791" t="inlineStr">
        <is>
          <t>USNFK</t>
        </is>
      </c>
      <c r="O791" t="inlineStr">
        <is>
          <t>USNFK</t>
        </is>
      </c>
      <c r="P791" t="inlineStr">
        <is>
          <t>RULED</t>
        </is>
      </c>
      <c r="U791" t="inlineStr">
        <is>
          <t>RULED</t>
        </is>
      </c>
      <c r="V791" t="inlineStr">
        <is>
          <t>RULED</t>
        </is>
      </c>
      <c r="W791" t="inlineStr">
        <is>
          <t>UNITED STATES</t>
        </is>
      </c>
      <c r="X791" t="inlineStr">
        <is>
          <t>Latin America</t>
        </is>
      </c>
      <c r="Y791" t="inlineStr">
        <is>
          <t>RUSSIA</t>
        </is>
      </c>
      <c r="Z791" t="inlineStr">
        <is>
          <t>External Review</t>
        </is>
      </c>
      <c r="AA791" t="inlineStr">
        <is>
          <t>HUB SHIPPING LLC-LED</t>
        </is>
      </c>
      <c r="AB791" t="inlineStr">
        <is>
          <t>Collect</t>
        </is>
      </c>
      <c r="AC791" t="inlineStr">
        <is>
          <t>LI DA XING/VOYAGE 1</t>
        </is>
      </c>
      <c r="AE791" t="inlineStr">
        <is>
          <t>LADEN BOOKING</t>
        </is>
      </c>
      <c r="AF791" t="inlineStr">
        <is>
          <t>RenniSAM</t>
        </is>
      </c>
      <c r="AG791" t="inlineStr">
        <is>
          <t>HC40</t>
        </is>
      </c>
      <c r="AH791" t="inlineStr">
        <is>
          <t>NO</t>
        </is>
      </c>
      <c r="AI791" t="n">
        <v>40</v>
      </c>
      <c r="AJ791" t="n">
        <v>0</v>
      </c>
      <c r="AK791" t="n">
        <v>2</v>
      </c>
      <c r="AP791" t="inlineStr">
        <is>
          <t>Non Haz</t>
        </is>
      </c>
      <c r="AQ791" t="inlineStr">
        <is>
          <t>CY/CY</t>
        </is>
      </c>
      <c r="AU791" t="n">
        <v>21000</v>
      </c>
      <c r="AV791" t="inlineStr">
        <is>
          <t>GENERAL COMMODITY</t>
        </is>
      </c>
      <c r="AX791" t="inlineStr">
        <is>
          <t>RSSAM042600022</t>
        </is>
      </c>
      <c r="AZ791" t="n">
        <v>0</v>
      </c>
      <c r="BA791" t="n">
        <v>14</v>
      </c>
      <c r="BB791" t="n">
        <v>14</v>
      </c>
      <c r="BC791" t="n">
        <v>3550</v>
      </c>
      <c r="BD791" t="inlineStr">
        <is>
          <t>Yes</t>
        </is>
      </c>
      <c r="BG791" t="inlineStr">
        <is>
          <t>RULED</t>
        </is>
      </c>
      <c r="BH791" t="n">
        <v>0</v>
      </c>
      <c r="BI791" t="n">
        <v>0</v>
      </c>
      <c r="BJ791" t="inlineStr">
        <is>
          <t xml:space="preserve"> 0</t>
        </is>
      </c>
      <c r="BK791" t="inlineStr">
        <is>
          <t>LINE</t>
        </is>
      </c>
      <c r="BL791" t="inlineStr">
        <is>
          <t>FOX DRY</t>
        </is>
      </c>
      <c r="BM791" t="inlineStr">
        <is>
          <t>FOX DRY</t>
        </is>
      </c>
    </row>
    <row r="792">
      <c r="A792" t="n">
        <v>791</v>
      </c>
      <c r="B792" t="inlineStr">
        <is>
          <t>DOLPHIN REEFER</t>
        </is>
      </c>
      <c r="C792" t="inlineStr">
        <is>
          <t>REF000000</t>
        </is>
      </c>
      <c r="D792" t="inlineStr">
        <is>
          <t>REF000000</t>
        </is>
      </c>
      <c r="E792" t="inlineStr">
        <is>
          <t>15-APR-2026</t>
        </is>
      </c>
      <c r="F792" t="inlineStr">
        <is>
          <t>DOLPHIN REEFER</t>
        </is>
      </c>
      <c r="G792" t="inlineStr">
        <is>
          <t>PA</t>
        </is>
      </c>
      <c r="H792" t="inlineStr">
        <is>
          <t>DiegoSAM</t>
        </is>
      </c>
      <c r="J792" t="inlineStr">
        <is>
          <t>01-MAY-2026</t>
        </is>
      </c>
      <c r="K792" t="inlineStr">
        <is>
          <t>30-APR-2026</t>
        </is>
      </c>
      <c r="M792" t="inlineStr">
        <is>
          <t>REF000000</t>
        </is>
      </c>
      <c r="N792" t="inlineStr">
        <is>
          <t>USNYC</t>
        </is>
      </c>
      <c r="O792" t="inlineStr">
        <is>
          <t>USNYC</t>
        </is>
      </c>
      <c r="P792" t="inlineStr">
        <is>
          <t>RULED</t>
        </is>
      </c>
      <c r="U792" t="inlineStr">
        <is>
          <t>RULED</t>
        </is>
      </c>
      <c r="V792" t="inlineStr">
        <is>
          <t>RULED</t>
        </is>
      </c>
      <c r="W792" t="inlineStr">
        <is>
          <t>UNITED STATES</t>
        </is>
      </c>
      <c r="X792" t="inlineStr">
        <is>
          <t>Latin America</t>
        </is>
      </c>
      <c r="Y792" t="inlineStr">
        <is>
          <t>RUSSIA</t>
        </is>
      </c>
      <c r="Z792" t="inlineStr">
        <is>
          <t>External Review</t>
        </is>
      </c>
      <c r="AA792" t="inlineStr">
        <is>
          <t>HUB SHIPPING LLC-LED</t>
        </is>
      </c>
      <c r="AB792" t="inlineStr">
        <is>
          <t>Prepaid</t>
        </is>
      </c>
      <c r="AC792" t="inlineStr">
        <is>
          <t>LI DA XING/VOYAGE 1</t>
        </is>
      </c>
      <c r="AE792" t="inlineStr">
        <is>
          <t>LADEN BOOKING</t>
        </is>
      </c>
      <c r="AF792" t="inlineStr">
        <is>
          <t>Joao RibeiroSAM</t>
        </is>
      </c>
      <c r="AG792" t="inlineStr">
        <is>
          <t>RH40</t>
        </is>
      </c>
      <c r="AH792" t="inlineStr">
        <is>
          <t>NO</t>
        </is>
      </c>
      <c r="AI792" t="n">
        <v>40</v>
      </c>
      <c r="AJ792" t="n">
        <v>0</v>
      </c>
      <c r="AK792" t="n">
        <v>1</v>
      </c>
      <c r="AM792" t="n">
        <v>-18</v>
      </c>
      <c r="AP792" t="inlineStr">
        <is>
          <t>Non Haz</t>
        </is>
      </c>
      <c r="AQ792" t="inlineStr">
        <is>
          <t>CY/CY</t>
        </is>
      </c>
      <c r="AU792" t="n">
        <v>28000</v>
      </c>
      <c r="AV792" t="inlineStr">
        <is>
          <t>FROZEN MEAT</t>
        </is>
      </c>
      <c r="AX792" t="inlineStr">
        <is>
          <t>RSSAM042600068</t>
        </is>
      </c>
      <c r="AZ792" t="n">
        <v>5</v>
      </c>
      <c r="BA792" t="n">
        <v>30</v>
      </c>
      <c r="BB792" t="n">
        <v>15</v>
      </c>
      <c r="BC792" t="n">
        <v>7000</v>
      </c>
      <c r="BD792" t="inlineStr">
        <is>
          <t>No</t>
        </is>
      </c>
      <c r="BG792" t="inlineStr">
        <is>
          <t>USNYC</t>
        </is>
      </c>
      <c r="BH792" t="n">
        <v>0</v>
      </c>
      <c r="BI792" t="n">
        <v>0</v>
      </c>
      <c r="BJ792" t="inlineStr">
        <is>
          <t xml:space="preserve"> 0</t>
        </is>
      </c>
      <c r="BK792" t="inlineStr">
        <is>
          <t>LINE</t>
        </is>
      </c>
      <c r="BL792" t="inlineStr">
        <is>
          <t>DOLPHIN REEFER</t>
        </is>
      </c>
      <c r="BM792" t="inlineStr">
        <is>
          <t>DOLPHIN REEFER</t>
        </is>
      </c>
    </row>
    <row r="793">
      <c r="A793" t="n">
        <v>792</v>
      </c>
      <c r="B793" t="inlineStr">
        <is>
          <t>MARLIN REEFER</t>
        </is>
      </c>
      <c r="C793" t="inlineStr">
        <is>
          <t>REF000000</t>
        </is>
      </c>
      <c r="D793" t="inlineStr">
        <is>
          <t>REF000000</t>
        </is>
      </c>
      <c r="E793" t="inlineStr">
        <is>
          <t>15-APR-2026</t>
        </is>
      </c>
      <c r="F793" t="inlineStr">
        <is>
          <t>MARLIN REEFER</t>
        </is>
      </c>
      <c r="G793" t="inlineStr">
        <is>
          <t>PA</t>
        </is>
      </c>
      <c r="H793" t="inlineStr">
        <is>
          <t>DiegoSAM</t>
        </is>
      </c>
      <c r="J793" t="inlineStr">
        <is>
          <t>01-MAY-2026</t>
        </is>
      </c>
      <c r="K793" t="inlineStr">
        <is>
          <t>30-APR-2026</t>
        </is>
      </c>
      <c r="M793" t="inlineStr">
        <is>
          <t>REF000000</t>
        </is>
      </c>
      <c r="N793" t="inlineStr">
        <is>
          <t>USNYC</t>
        </is>
      </c>
      <c r="O793" t="inlineStr">
        <is>
          <t>USNYC</t>
        </is>
      </c>
      <c r="P793" t="inlineStr">
        <is>
          <t>RULED</t>
        </is>
      </c>
      <c r="U793" t="inlineStr">
        <is>
          <t>RULED</t>
        </is>
      </c>
      <c r="V793" t="inlineStr">
        <is>
          <t>RULED</t>
        </is>
      </c>
      <c r="W793" t="inlineStr">
        <is>
          <t>UNITED STATES</t>
        </is>
      </c>
      <c r="X793" t="inlineStr">
        <is>
          <t>Latin America</t>
        </is>
      </c>
      <c r="Y793" t="inlineStr">
        <is>
          <t>RUSSIA</t>
        </is>
      </c>
      <c r="Z793" t="inlineStr">
        <is>
          <t>External Review</t>
        </is>
      </c>
      <c r="AA793" t="inlineStr">
        <is>
          <t>HUB SHIPPING LLC-LED</t>
        </is>
      </c>
      <c r="AB793" t="inlineStr">
        <is>
          <t>Prepaid</t>
        </is>
      </c>
      <c r="AC793" t="inlineStr">
        <is>
          <t>LI DA XING/VOYAGE 1</t>
        </is>
      </c>
      <c r="AE793" t="inlineStr">
        <is>
          <t>LADEN BOOKING</t>
        </is>
      </c>
      <c r="AF793" t="inlineStr">
        <is>
          <t>Joao RibeiroSAM</t>
        </is>
      </c>
      <c r="AG793" t="inlineStr">
        <is>
          <t>RH40</t>
        </is>
      </c>
      <c r="AH793" t="inlineStr">
        <is>
          <t>NO</t>
        </is>
      </c>
      <c r="AI793" t="n">
        <v>40</v>
      </c>
      <c r="AJ793" t="n">
        <v>0</v>
      </c>
      <c r="AK793" t="n">
        <v>1</v>
      </c>
      <c r="AM793" t="n">
        <v>-18</v>
      </c>
      <c r="AP793" t="inlineStr">
        <is>
          <t>Non Haz</t>
        </is>
      </c>
      <c r="AQ793" t="inlineStr">
        <is>
          <t>CY/CY</t>
        </is>
      </c>
      <c r="AU793" t="n">
        <v>28000</v>
      </c>
      <c r="AV793" t="inlineStr">
        <is>
          <t>FROZEN MEAT</t>
        </is>
      </c>
      <c r="AX793" t="inlineStr">
        <is>
          <t>RSSAM042600068</t>
        </is>
      </c>
      <c r="AZ793" t="n">
        <v>5</v>
      </c>
      <c r="BA793" t="n">
        <v>30</v>
      </c>
      <c r="BB793" t="n">
        <v>15</v>
      </c>
      <c r="BC793" t="n">
        <v>7000</v>
      </c>
      <c r="BD793" t="inlineStr">
        <is>
          <t>No</t>
        </is>
      </c>
      <c r="BG793" t="inlineStr">
        <is>
          <t>USNYC</t>
        </is>
      </c>
      <c r="BH793" t="n">
        <v>0</v>
      </c>
      <c r="BI793" t="n">
        <v>0</v>
      </c>
      <c r="BJ793" t="inlineStr">
        <is>
          <t xml:space="preserve"> 0</t>
        </is>
      </c>
      <c r="BK793" t="inlineStr">
        <is>
          <t>LINE</t>
        </is>
      </c>
      <c r="BL793" t="inlineStr">
        <is>
          <t>MARLIN REEFER</t>
        </is>
      </c>
      <c r="BM793" t="inlineStr">
        <is>
          <t>MARLIN REEFER</t>
        </is>
      </c>
    </row>
    <row r="794">
      <c r="A794" t="n">
        <v>793</v>
      </c>
      <c r="B794" t="inlineStr">
        <is>
          <t>TURTLE REEFER</t>
        </is>
      </c>
      <c r="C794" t="inlineStr">
        <is>
          <t>REF000000</t>
        </is>
      </c>
      <c r="D794" t="inlineStr">
        <is>
          <t>REF000000</t>
        </is>
      </c>
      <c r="E794" t="inlineStr">
        <is>
          <t>15-APR-2026</t>
        </is>
      </c>
      <c r="F794" t="inlineStr">
        <is>
          <t>TURTLE REEFER</t>
        </is>
      </c>
      <c r="G794" t="inlineStr">
        <is>
          <t>PA</t>
        </is>
      </c>
      <c r="H794" t="inlineStr">
        <is>
          <t>DiegoSAM</t>
        </is>
      </c>
      <c r="J794" t="inlineStr">
        <is>
          <t>01-MAY-2026</t>
        </is>
      </c>
      <c r="K794" t="inlineStr">
        <is>
          <t>30-APR-2026</t>
        </is>
      </c>
      <c r="M794" t="inlineStr">
        <is>
          <t>REF000000</t>
        </is>
      </c>
      <c r="N794" t="inlineStr">
        <is>
          <t>USNYC</t>
        </is>
      </c>
      <c r="O794" t="inlineStr">
        <is>
          <t>USNYC</t>
        </is>
      </c>
      <c r="P794" t="inlineStr">
        <is>
          <t>RULED</t>
        </is>
      </c>
      <c r="U794" t="inlineStr">
        <is>
          <t>RULED</t>
        </is>
      </c>
      <c r="V794" t="inlineStr">
        <is>
          <t>RULED</t>
        </is>
      </c>
      <c r="W794" t="inlineStr">
        <is>
          <t>UNITED STATES</t>
        </is>
      </c>
      <c r="X794" t="inlineStr">
        <is>
          <t>Latin America</t>
        </is>
      </c>
      <c r="Y794" t="inlineStr">
        <is>
          <t>RUSSIA</t>
        </is>
      </c>
      <c r="Z794" t="inlineStr">
        <is>
          <t>External Review</t>
        </is>
      </c>
      <c r="AA794" t="inlineStr">
        <is>
          <t>HUB SHIPPING LLC-LED</t>
        </is>
      </c>
      <c r="AB794" t="inlineStr">
        <is>
          <t>Prepaid</t>
        </is>
      </c>
      <c r="AC794" t="inlineStr">
        <is>
          <t>LI DA XING/VOYAGE 1</t>
        </is>
      </c>
      <c r="AE794" t="inlineStr">
        <is>
          <t>LADEN BOOKING</t>
        </is>
      </c>
      <c r="AF794" t="inlineStr">
        <is>
          <t>Joao RibeiroSAM</t>
        </is>
      </c>
      <c r="AG794" t="inlineStr">
        <is>
          <t>RH40</t>
        </is>
      </c>
      <c r="AH794" t="inlineStr">
        <is>
          <t>NO</t>
        </is>
      </c>
      <c r="AI794" t="n">
        <v>40</v>
      </c>
      <c r="AJ794" t="n">
        <v>0</v>
      </c>
      <c r="AK794" t="n">
        <v>1</v>
      </c>
      <c r="AM794" t="n">
        <v>-18</v>
      </c>
      <c r="AP794" t="inlineStr">
        <is>
          <t>Non Haz</t>
        </is>
      </c>
      <c r="AQ794" t="inlineStr">
        <is>
          <t>CY/CY</t>
        </is>
      </c>
      <c r="AU794" t="n">
        <v>28000</v>
      </c>
      <c r="AV794" t="inlineStr">
        <is>
          <t>FROZEN MEAT</t>
        </is>
      </c>
      <c r="AX794" t="inlineStr">
        <is>
          <t>RSSAM042600068</t>
        </is>
      </c>
      <c r="AZ794" t="n">
        <v>5</v>
      </c>
      <c r="BA794" t="n">
        <v>30</v>
      </c>
      <c r="BB794" t="n">
        <v>15</v>
      </c>
      <c r="BC794" t="n">
        <v>7000</v>
      </c>
      <c r="BD794" t="inlineStr">
        <is>
          <t>No</t>
        </is>
      </c>
      <c r="BG794" t="inlineStr">
        <is>
          <t>USNYC</t>
        </is>
      </c>
      <c r="BH794" t="n">
        <v>0</v>
      </c>
      <c r="BI794" t="n">
        <v>0</v>
      </c>
      <c r="BJ794" t="inlineStr">
        <is>
          <t xml:space="preserve"> 0</t>
        </is>
      </c>
      <c r="BK794" t="inlineStr">
        <is>
          <t>LINE</t>
        </is>
      </c>
      <c r="BL794" t="inlineStr">
        <is>
          <t>TURTLE REEFER</t>
        </is>
      </c>
      <c r="BM794" t="inlineStr">
        <is>
          <t>TURTLE REEFER</t>
        </is>
      </c>
    </row>
    <row r="795">
      <c r="A795" t="n">
        <v>794</v>
      </c>
      <c r="B795" t="inlineStr">
        <is>
          <t>ORCA REEFER</t>
        </is>
      </c>
      <c r="C795" t="inlineStr">
        <is>
          <t>REF000000</t>
        </is>
      </c>
      <c r="D795" t="inlineStr">
        <is>
          <t>REF000000</t>
        </is>
      </c>
      <c r="E795" t="inlineStr">
        <is>
          <t>15-APR-2026</t>
        </is>
      </c>
      <c r="F795" t="inlineStr">
        <is>
          <t>ORCA REEFER</t>
        </is>
      </c>
      <c r="G795" t="inlineStr">
        <is>
          <t>PA</t>
        </is>
      </c>
      <c r="H795" t="inlineStr">
        <is>
          <t>DiegoSAM</t>
        </is>
      </c>
      <c r="J795" t="inlineStr">
        <is>
          <t>01-MAY-2026</t>
        </is>
      </c>
      <c r="K795" t="inlineStr">
        <is>
          <t>30-APR-2026</t>
        </is>
      </c>
      <c r="M795" t="inlineStr">
        <is>
          <t>REF000000</t>
        </is>
      </c>
      <c r="N795" t="inlineStr">
        <is>
          <t>USNYC</t>
        </is>
      </c>
      <c r="O795" t="inlineStr">
        <is>
          <t>USNYC</t>
        </is>
      </c>
      <c r="P795" t="inlineStr">
        <is>
          <t>RULED</t>
        </is>
      </c>
      <c r="U795" t="inlineStr">
        <is>
          <t>RULED</t>
        </is>
      </c>
      <c r="V795" t="inlineStr">
        <is>
          <t>RULED</t>
        </is>
      </c>
      <c r="W795" t="inlineStr">
        <is>
          <t>UNITED STATES</t>
        </is>
      </c>
      <c r="X795" t="inlineStr">
        <is>
          <t>Latin America</t>
        </is>
      </c>
      <c r="Y795" t="inlineStr">
        <is>
          <t>RUSSIA</t>
        </is>
      </c>
      <c r="Z795" t="inlineStr">
        <is>
          <t>External Review</t>
        </is>
      </c>
      <c r="AA795" t="inlineStr">
        <is>
          <t>HUB SHIPPING LLC-LED</t>
        </is>
      </c>
      <c r="AB795" t="inlineStr">
        <is>
          <t>Prepaid</t>
        </is>
      </c>
      <c r="AC795" t="inlineStr">
        <is>
          <t>LI DA XING/VOYAGE 1</t>
        </is>
      </c>
      <c r="AE795" t="inlineStr">
        <is>
          <t>LADEN BOOKING</t>
        </is>
      </c>
      <c r="AF795" t="inlineStr">
        <is>
          <t>Joao RibeiroSAM</t>
        </is>
      </c>
      <c r="AG795" t="inlineStr">
        <is>
          <t>RH40</t>
        </is>
      </c>
      <c r="AH795" t="inlineStr">
        <is>
          <t>NO</t>
        </is>
      </c>
      <c r="AI795" t="n">
        <v>40</v>
      </c>
      <c r="AJ795" t="n">
        <v>0</v>
      </c>
      <c r="AK795" t="n">
        <v>1</v>
      </c>
      <c r="AM795" t="n">
        <v>-18</v>
      </c>
      <c r="AP795" t="inlineStr">
        <is>
          <t>Non Haz</t>
        </is>
      </c>
      <c r="AQ795" t="inlineStr">
        <is>
          <t>CY/CY</t>
        </is>
      </c>
      <c r="AU795" t="n">
        <v>28000</v>
      </c>
      <c r="AV795" t="inlineStr">
        <is>
          <t>FROZEN MEAT</t>
        </is>
      </c>
      <c r="AX795" t="inlineStr">
        <is>
          <t>RSSAM042600068</t>
        </is>
      </c>
      <c r="AZ795" t="n">
        <v>5</v>
      </c>
      <c r="BA795" t="n">
        <v>30</v>
      </c>
      <c r="BB795" t="n">
        <v>15</v>
      </c>
      <c r="BC795" t="n">
        <v>7000</v>
      </c>
      <c r="BD795" t="inlineStr">
        <is>
          <t>No</t>
        </is>
      </c>
      <c r="BG795" t="inlineStr">
        <is>
          <t>USNYC</t>
        </is>
      </c>
      <c r="BH795" t="n">
        <v>0</v>
      </c>
      <c r="BI795" t="n">
        <v>0</v>
      </c>
      <c r="BJ795" t="inlineStr">
        <is>
          <t xml:space="preserve"> 0</t>
        </is>
      </c>
      <c r="BK795" t="inlineStr">
        <is>
          <t>LINE</t>
        </is>
      </c>
      <c r="BL795" t="inlineStr">
        <is>
          <t>ORCA REEFER</t>
        </is>
      </c>
      <c r="BM795" t="inlineStr">
        <is>
          <t>ORCA REEFER</t>
        </is>
      </c>
    </row>
    <row r="796">
      <c r="A796" t="n">
        <v>795</v>
      </c>
      <c r="B796" t="inlineStr">
        <is>
          <t>WHALE REEFER</t>
        </is>
      </c>
      <c r="C796" t="inlineStr">
        <is>
          <t>REF000000</t>
        </is>
      </c>
      <c r="D796" t="inlineStr">
        <is>
          <t>REF000000</t>
        </is>
      </c>
      <c r="E796" t="inlineStr">
        <is>
          <t>15-APR-2026</t>
        </is>
      </c>
      <c r="F796" t="inlineStr">
        <is>
          <t>WHALE REEFER</t>
        </is>
      </c>
      <c r="G796" t="inlineStr">
        <is>
          <t>PA</t>
        </is>
      </c>
      <c r="H796" t="inlineStr">
        <is>
          <t>DiegoSAM</t>
        </is>
      </c>
      <c r="J796" t="inlineStr">
        <is>
          <t>01-MAY-2026</t>
        </is>
      </c>
      <c r="K796" t="inlineStr">
        <is>
          <t>30-APR-2026</t>
        </is>
      </c>
      <c r="M796" t="inlineStr">
        <is>
          <t>REF000000</t>
        </is>
      </c>
      <c r="N796" t="inlineStr">
        <is>
          <t>USNYC</t>
        </is>
      </c>
      <c r="O796" t="inlineStr">
        <is>
          <t>USNYC</t>
        </is>
      </c>
      <c r="P796" t="inlineStr">
        <is>
          <t>RULED</t>
        </is>
      </c>
      <c r="U796" t="inlineStr">
        <is>
          <t>RULED</t>
        </is>
      </c>
      <c r="V796" t="inlineStr">
        <is>
          <t>RULED</t>
        </is>
      </c>
      <c r="W796" t="inlineStr">
        <is>
          <t>UNITED STATES</t>
        </is>
      </c>
      <c r="X796" t="inlineStr">
        <is>
          <t>Latin America</t>
        </is>
      </c>
      <c r="Y796" t="inlineStr">
        <is>
          <t>RUSSIA</t>
        </is>
      </c>
      <c r="Z796" t="inlineStr">
        <is>
          <t>External Review</t>
        </is>
      </c>
      <c r="AA796" t="inlineStr">
        <is>
          <t>HUB SHIPPING LLC-LED</t>
        </is>
      </c>
      <c r="AB796" t="inlineStr">
        <is>
          <t>Prepaid</t>
        </is>
      </c>
      <c r="AC796" t="inlineStr">
        <is>
          <t>LI DA XING/VOYAGE 1</t>
        </is>
      </c>
      <c r="AE796" t="inlineStr">
        <is>
          <t>LADEN BOOKING</t>
        </is>
      </c>
      <c r="AF796" t="inlineStr">
        <is>
          <t>Joao RibeiroSAM</t>
        </is>
      </c>
      <c r="AG796" t="inlineStr">
        <is>
          <t>RH40</t>
        </is>
      </c>
      <c r="AH796" t="inlineStr">
        <is>
          <t>NO</t>
        </is>
      </c>
      <c r="AI796" t="n">
        <v>40</v>
      </c>
      <c r="AJ796" t="n">
        <v>0</v>
      </c>
      <c r="AK796" t="n">
        <v>1</v>
      </c>
      <c r="AM796" t="n">
        <v>-18</v>
      </c>
      <c r="AP796" t="inlineStr">
        <is>
          <t>Non Haz</t>
        </is>
      </c>
      <c r="AQ796" t="inlineStr">
        <is>
          <t>CY/CY</t>
        </is>
      </c>
      <c r="AU796" t="n">
        <v>28000</v>
      </c>
      <c r="AV796" t="inlineStr">
        <is>
          <t>FROZEN MEAT</t>
        </is>
      </c>
      <c r="AX796" t="inlineStr">
        <is>
          <t>RSSAM042600068</t>
        </is>
      </c>
      <c r="AZ796" t="n">
        <v>5</v>
      </c>
      <c r="BA796" t="n">
        <v>30</v>
      </c>
      <c r="BB796" t="n">
        <v>15</v>
      </c>
      <c r="BC796" t="n">
        <v>7000</v>
      </c>
      <c r="BD796" t="inlineStr">
        <is>
          <t>No</t>
        </is>
      </c>
      <c r="BG796" t="inlineStr">
        <is>
          <t>USNYC</t>
        </is>
      </c>
      <c r="BH796" t="n">
        <v>0</v>
      </c>
      <c r="BI796" t="n">
        <v>0</v>
      </c>
      <c r="BJ796" t="inlineStr">
        <is>
          <t xml:space="preserve"> 0</t>
        </is>
      </c>
      <c r="BK796" t="inlineStr">
        <is>
          <t>LINE</t>
        </is>
      </c>
      <c r="BL796" t="inlineStr">
        <is>
          <t>WHALE REEFER</t>
        </is>
      </c>
      <c r="BM796" t="inlineStr">
        <is>
          <t>WHALE REEFER</t>
        </is>
      </c>
    </row>
    <row r="797">
      <c r="A797" t="n">
        <v>796</v>
      </c>
      <c r="B797" t="inlineStr">
        <is>
          <t>SEAL REEFER</t>
        </is>
      </c>
      <c r="C797" t="inlineStr">
        <is>
          <t>REF000000</t>
        </is>
      </c>
      <c r="D797" t="inlineStr">
        <is>
          <t>REF000000</t>
        </is>
      </c>
      <c r="E797" t="inlineStr">
        <is>
          <t>15-APR-2026</t>
        </is>
      </c>
      <c r="F797" t="inlineStr">
        <is>
          <t>SEAL REEFER</t>
        </is>
      </c>
      <c r="G797" t="inlineStr">
        <is>
          <t>PA</t>
        </is>
      </c>
      <c r="H797" t="inlineStr">
        <is>
          <t>DiegoSAM</t>
        </is>
      </c>
      <c r="J797" t="inlineStr">
        <is>
          <t>01-MAY-2026</t>
        </is>
      </c>
      <c r="K797" t="inlineStr">
        <is>
          <t>30-APR-2026</t>
        </is>
      </c>
      <c r="M797" t="inlineStr">
        <is>
          <t>REF000000</t>
        </is>
      </c>
      <c r="N797" t="inlineStr">
        <is>
          <t>USNYC</t>
        </is>
      </c>
      <c r="O797" t="inlineStr">
        <is>
          <t>USNYC</t>
        </is>
      </c>
      <c r="P797" t="inlineStr">
        <is>
          <t>RULED</t>
        </is>
      </c>
      <c r="U797" t="inlineStr">
        <is>
          <t>RULED</t>
        </is>
      </c>
      <c r="V797" t="inlineStr">
        <is>
          <t>RULED</t>
        </is>
      </c>
      <c r="W797" t="inlineStr">
        <is>
          <t>UNITED STATES</t>
        </is>
      </c>
      <c r="X797" t="inlineStr">
        <is>
          <t>Latin America</t>
        </is>
      </c>
      <c r="Y797" t="inlineStr">
        <is>
          <t>RUSSIA</t>
        </is>
      </c>
      <c r="Z797" t="inlineStr">
        <is>
          <t>External Review</t>
        </is>
      </c>
      <c r="AA797" t="inlineStr">
        <is>
          <t>HUB SHIPPING LLC-LED</t>
        </is>
      </c>
      <c r="AB797" t="inlineStr">
        <is>
          <t>Prepaid</t>
        </is>
      </c>
      <c r="AC797" t="inlineStr">
        <is>
          <t>LI DA XING/VOYAGE 1</t>
        </is>
      </c>
      <c r="AE797" t="inlineStr">
        <is>
          <t>LADEN BOOKING</t>
        </is>
      </c>
      <c r="AF797" t="inlineStr">
        <is>
          <t>Joao RibeiroSAM</t>
        </is>
      </c>
      <c r="AG797" t="inlineStr">
        <is>
          <t>RH40</t>
        </is>
      </c>
      <c r="AH797" t="inlineStr">
        <is>
          <t>NO</t>
        </is>
      </c>
      <c r="AI797" t="n">
        <v>40</v>
      </c>
      <c r="AJ797" t="n">
        <v>0</v>
      </c>
      <c r="AK797" t="n">
        <v>1</v>
      </c>
      <c r="AM797" t="n">
        <v>-18</v>
      </c>
      <c r="AP797" t="inlineStr">
        <is>
          <t>Non Haz</t>
        </is>
      </c>
      <c r="AQ797" t="inlineStr">
        <is>
          <t>CY/CY</t>
        </is>
      </c>
      <c r="AU797" t="n">
        <v>28000</v>
      </c>
      <c r="AV797" t="inlineStr">
        <is>
          <t>FROZEN MEAT</t>
        </is>
      </c>
      <c r="AX797" t="inlineStr">
        <is>
          <t>RSSAM042600068</t>
        </is>
      </c>
      <c r="AZ797" t="n">
        <v>5</v>
      </c>
      <c r="BA797" t="n">
        <v>30</v>
      </c>
      <c r="BB797" t="n">
        <v>15</v>
      </c>
      <c r="BC797" t="n">
        <v>7000</v>
      </c>
      <c r="BD797" t="inlineStr">
        <is>
          <t>No</t>
        </is>
      </c>
      <c r="BG797" t="inlineStr">
        <is>
          <t>USNYC</t>
        </is>
      </c>
      <c r="BH797" t="n">
        <v>0</v>
      </c>
      <c r="BI797" t="n">
        <v>0</v>
      </c>
      <c r="BJ797" t="inlineStr">
        <is>
          <t xml:space="preserve"> 0</t>
        </is>
      </c>
      <c r="BK797" t="inlineStr">
        <is>
          <t>LINE</t>
        </is>
      </c>
      <c r="BL797" t="inlineStr">
        <is>
          <t>SEAL REEFER</t>
        </is>
      </c>
      <c r="BM797" t="inlineStr">
        <is>
          <t>SEAL REEFER</t>
        </is>
      </c>
    </row>
    <row r="798">
      <c r="A798" t="n">
        <v>797</v>
      </c>
      <c r="B798" t="inlineStr">
        <is>
          <t>SHARK REEFER</t>
        </is>
      </c>
      <c r="C798" t="inlineStr">
        <is>
          <t>REF000000</t>
        </is>
      </c>
      <c r="D798" t="inlineStr">
        <is>
          <t>REF000000</t>
        </is>
      </c>
      <c r="E798" t="inlineStr">
        <is>
          <t>15-APR-2026</t>
        </is>
      </c>
      <c r="F798" t="inlineStr">
        <is>
          <t>SHARK REEFER</t>
        </is>
      </c>
      <c r="G798" t="inlineStr">
        <is>
          <t>PA</t>
        </is>
      </c>
      <c r="H798" t="inlineStr">
        <is>
          <t>DiegoSAM</t>
        </is>
      </c>
      <c r="J798" t="inlineStr">
        <is>
          <t>01-MAY-2026</t>
        </is>
      </c>
      <c r="K798" t="inlineStr">
        <is>
          <t>30-APR-2026</t>
        </is>
      </c>
      <c r="M798" t="inlineStr">
        <is>
          <t>REF000000</t>
        </is>
      </c>
      <c r="N798" t="inlineStr">
        <is>
          <t>USNYC</t>
        </is>
      </c>
      <c r="O798" t="inlineStr">
        <is>
          <t>USNYC</t>
        </is>
      </c>
      <c r="P798" t="inlineStr">
        <is>
          <t>RULED</t>
        </is>
      </c>
      <c r="U798" t="inlineStr">
        <is>
          <t>RULED</t>
        </is>
      </c>
      <c r="V798" t="inlineStr">
        <is>
          <t>RULED</t>
        </is>
      </c>
      <c r="W798" t="inlineStr">
        <is>
          <t>UNITED STATES</t>
        </is>
      </c>
      <c r="X798" t="inlineStr">
        <is>
          <t>Latin America</t>
        </is>
      </c>
      <c r="Y798" t="inlineStr">
        <is>
          <t>RUSSIA</t>
        </is>
      </c>
      <c r="Z798" t="inlineStr">
        <is>
          <t>External Review</t>
        </is>
      </c>
      <c r="AA798" t="inlineStr">
        <is>
          <t>HUB SHIPPING LLC-LED</t>
        </is>
      </c>
      <c r="AB798" t="inlineStr">
        <is>
          <t>Prepaid</t>
        </is>
      </c>
      <c r="AC798" t="inlineStr">
        <is>
          <t>LI DA XING/VOYAGE 1</t>
        </is>
      </c>
      <c r="AE798" t="inlineStr">
        <is>
          <t>LADEN BOOKING</t>
        </is>
      </c>
      <c r="AF798" t="inlineStr">
        <is>
          <t>Joao RibeiroSAM</t>
        </is>
      </c>
      <c r="AG798" t="inlineStr">
        <is>
          <t>RH40</t>
        </is>
      </c>
      <c r="AH798" t="inlineStr">
        <is>
          <t>NO</t>
        </is>
      </c>
      <c r="AI798" t="n">
        <v>40</v>
      </c>
      <c r="AJ798" t="n">
        <v>0</v>
      </c>
      <c r="AK798" t="n">
        <v>1</v>
      </c>
      <c r="AM798" t="n">
        <v>-18</v>
      </c>
      <c r="AP798" t="inlineStr">
        <is>
          <t>Non Haz</t>
        </is>
      </c>
      <c r="AQ798" t="inlineStr">
        <is>
          <t>CY/CY</t>
        </is>
      </c>
      <c r="AU798" t="n">
        <v>28000</v>
      </c>
      <c r="AV798" t="inlineStr">
        <is>
          <t>FROZEN MEAT</t>
        </is>
      </c>
      <c r="AX798" t="inlineStr">
        <is>
          <t>RSSAM042600068</t>
        </is>
      </c>
      <c r="AZ798" t="n">
        <v>5</v>
      </c>
      <c r="BA798" t="n">
        <v>30</v>
      </c>
      <c r="BB798" t="n">
        <v>15</v>
      </c>
      <c r="BC798" t="n">
        <v>7000</v>
      </c>
      <c r="BD798" t="inlineStr">
        <is>
          <t>No</t>
        </is>
      </c>
      <c r="BG798" t="inlineStr">
        <is>
          <t>USNYC</t>
        </is>
      </c>
      <c r="BH798" t="n">
        <v>0</v>
      </c>
      <c r="BI798" t="n">
        <v>0</v>
      </c>
      <c r="BJ798" t="inlineStr">
        <is>
          <t xml:space="preserve"> 0</t>
        </is>
      </c>
      <c r="BK798" t="inlineStr">
        <is>
          <t>LINE</t>
        </is>
      </c>
      <c r="BL798" t="inlineStr">
        <is>
          <t>SHARK REEFER</t>
        </is>
      </c>
      <c r="BM798" t="inlineStr">
        <is>
          <t>SHARK REEFER</t>
        </is>
      </c>
    </row>
    <row r="799">
      <c r="A799" t="n">
        <v>798</v>
      </c>
      <c r="B799" t="inlineStr">
        <is>
          <t>DOLPHIN REEFER</t>
        </is>
      </c>
      <c r="C799" t="inlineStr">
        <is>
          <t>REF000000</t>
        </is>
      </c>
      <c r="D799" t="inlineStr">
        <is>
          <t>REF000000</t>
        </is>
      </c>
      <c r="E799" t="inlineStr">
        <is>
          <t>15-APR-2026</t>
        </is>
      </c>
      <c r="F799" t="inlineStr">
        <is>
          <t>DOLPHIN REEFER</t>
        </is>
      </c>
      <c r="G799" t="inlineStr">
        <is>
          <t>PA</t>
        </is>
      </c>
      <c r="H799" t="inlineStr">
        <is>
          <t>DiegoSAM</t>
        </is>
      </c>
      <c r="J799" t="inlineStr">
        <is>
          <t>01-MAY-2026</t>
        </is>
      </c>
      <c r="K799" t="inlineStr">
        <is>
          <t>30-APR-2026</t>
        </is>
      </c>
      <c r="M799" t="inlineStr">
        <is>
          <t>REF000000</t>
        </is>
      </c>
      <c r="N799" t="inlineStr">
        <is>
          <t>USNYC</t>
        </is>
      </c>
      <c r="O799" t="inlineStr">
        <is>
          <t>USNYC</t>
        </is>
      </c>
      <c r="P799" t="inlineStr">
        <is>
          <t>RULED</t>
        </is>
      </c>
      <c r="U799" t="inlineStr">
        <is>
          <t>RULED</t>
        </is>
      </c>
      <c r="V799" t="inlineStr">
        <is>
          <t>RULED</t>
        </is>
      </c>
      <c r="W799" t="inlineStr">
        <is>
          <t>UNITED STATES</t>
        </is>
      </c>
      <c r="X799" t="inlineStr">
        <is>
          <t>Latin America</t>
        </is>
      </c>
      <c r="Y799" t="inlineStr">
        <is>
          <t>RUSSIA</t>
        </is>
      </c>
      <c r="Z799" t="inlineStr">
        <is>
          <t>External Review</t>
        </is>
      </c>
      <c r="AA799" t="inlineStr">
        <is>
          <t>HUB SHIPPING LLC-LED</t>
        </is>
      </c>
      <c r="AB799" t="inlineStr">
        <is>
          <t>Prepaid</t>
        </is>
      </c>
      <c r="AC799" t="inlineStr">
        <is>
          <t>LI DA XING/VOYAGE 1</t>
        </is>
      </c>
      <c r="AE799" t="inlineStr">
        <is>
          <t>LADEN BOOKING</t>
        </is>
      </c>
      <c r="AF799" t="inlineStr">
        <is>
          <t>Joao RibeiroSAM</t>
        </is>
      </c>
      <c r="AG799" t="inlineStr">
        <is>
          <t>RH40</t>
        </is>
      </c>
      <c r="AH799" t="inlineStr">
        <is>
          <t>NO</t>
        </is>
      </c>
      <c r="AI799" t="n">
        <v>40</v>
      </c>
      <c r="AJ799" t="n">
        <v>0</v>
      </c>
      <c r="AK799" t="n">
        <v>1</v>
      </c>
      <c r="AM799" t="n">
        <v>-18</v>
      </c>
      <c r="AP799" t="inlineStr">
        <is>
          <t>Non Haz</t>
        </is>
      </c>
      <c r="AQ799" t="inlineStr">
        <is>
          <t>CY/CY</t>
        </is>
      </c>
      <c r="AU799" t="n">
        <v>28000</v>
      </c>
      <c r="AV799" t="inlineStr">
        <is>
          <t>FROZEN MEAT</t>
        </is>
      </c>
      <c r="AX799" t="inlineStr">
        <is>
          <t>RSSAM042600068</t>
        </is>
      </c>
      <c r="AZ799" t="n">
        <v>5</v>
      </c>
      <c r="BA799" t="n">
        <v>30</v>
      </c>
      <c r="BB799" t="n">
        <v>15</v>
      </c>
      <c r="BC799" t="n">
        <v>7000</v>
      </c>
      <c r="BD799" t="inlineStr">
        <is>
          <t>No</t>
        </is>
      </c>
      <c r="BG799" t="inlineStr">
        <is>
          <t>USNYC</t>
        </is>
      </c>
      <c r="BH799" t="n">
        <v>0</v>
      </c>
      <c r="BI799" t="n">
        <v>0</v>
      </c>
      <c r="BJ799" t="inlineStr">
        <is>
          <t xml:space="preserve"> 0</t>
        </is>
      </c>
      <c r="BK799" t="inlineStr">
        <is>
          <t>LINE</t>
        </is>
      </c>
      <c r="BL799" t="inlineStr">
        <is>
          <t>DOLPHIN REEFER</t>
        </is>
      </c>
      <c r="BM799" t="inlineStr">
        <is>
          <t>DOLPHIN REEFER</t>
        </is>
      </c>
    </row>
    <row r="800">
      <c r="A800" t="n">
        <v>799</v>
      </c>
      <c r="B800" t="inlineStr">
        <is>
          <t>MARLIN REEFER</t>
        </is>
      </c>
      <c r="C800" t="inlineStr">
        <is>
          <t>REF000000</t>
        </is>
      </c>
      <c r="D800" t="inlineStr">
        <is>
          <t>REF000000</t>
        </is>
      </c>
      <c r="E800" t="inlineStr">
        <is>
          <t>15-APR-2026</t>
        </is>
      </c>
      <c r="F800" t="inlineStr">
        <is>
          <t>MARLIN REEFER</t>
        </is>
      </c>
      <c r="G800" t="inlineStr">
        <is>
          <t>PA</t>
        </is>
      </c>
      <c r="H800" t="inlineStr">
        <is>
          <t>DiegoSAM</t>
        </is>
      </c>
      <c r="J800" t="inlineStr">
        <is>
          <t>01-MAY-2026</t>
        </is>
      </c>
      <c r="K800" t="inlineStr">
        <is>
          <t>30-APR-2026</t>
        </is>
      </c>
      <c r="M800" t="inlineStr">
        <is>
          <t>REF000000</t>
        </is>
      </c>
      <c r="N800" t="inlineStr">
        <is>
          <t>USNYC</t>
        </is>
      </c>
      <c r="O800" t="inlineStr">
        <is>
          <t>USNYC</t>
        </is>
      </c>
      <c r="P800" t="inlineStr">
        <is>
          <t>RULED</t>
        </is>
      </c>
      <c r="U800" t="inlineStr">
        <is>
          <t>RULED</t>
        </is>
      </c>
      <c r="V800" t="inlineStr">
        <is>
          <t>RULED</t>
        </is>
      </c>
      <c r="W800" t="inlineStr">
        <is>
          <t>UNITED STATES</t>
        </is>
      </c>
      <c r="X800" t="inlineStr">
        <is>
          <t>Latin America</t>
        </is>
      </c>
      <c r="Y800" t="inlineStr">
        <is>
          <t>RUSSIA</t>
        </is>
      </c>
      <c r="Z800" t="inlineStr">
        <is>
          <t>External Review</t>
        </is>
      </c>
      <c r="AA800" t="inlineStr">
        <is>
          <t>HUB SHIPPING LLC-LED</t>
        </is>
      </c>
      <c r="AB800" t="inlineStr">
        <is>
          <t>Prepaid</t>
        </is>
      </c>
      <c r="AC800" t="inlineStr">
        <is>
          <t>LI DA XING/VOYAGE 1</t>
        </is>
      </c>
      <c r="AE800" t="inlineStr">
        <is>
          <t>LADEN BOOKING</t>
        </is>
      </c>
      <c r="AF800" t="inlineStr">
        <is>
          <t>Joao RibeiroSAM</t>
        </is>
      </c>
      <c r="AG800" t="inlineStr">
        <is>
          <t>RH40</t>
        </is>
      </c>
      <c r="AH800" t="inlineStr">
        <is>
          <t>NO</t>
        </is>
      </c>
      <c r="AI800" t="n">
        <v>40</v>
      </c>
      <c r="AJ800" t="n">
        <v>0</v>
      </c>
      <c r="AK800" t="n">
        <v>1</v>
      </c>
      <c r="AM800" t="n">
        <v>-18</v>
      </c>
      <c r="AP800" t="inlineStr">
        <is>
          <t>Non Haz</t>
        </is>
      </c>
      <c r="AQ800" t="inlineStr">
        <is>
          <t>CY/CY</t>
        </is>
      </c>
      <c r="AU800" t="n">
        <v>28000</v>
      </c>
      <c r="AV800" t="inlineStr">
        <is>
          <t>FROZEN MEAT</t>
        </is>
      </c>
      <c r="AX800" t="inlineStr">
        <is>
          <t>RSSAM042600068</t>
        </is>
      </c>
      <c r="AZ800" t="n">
        <v>5</v>
      </c>
      <c r="BA800" t="n">
        <v>30</v>
      </c>
      <c r="BB800" t="n">
        <v>15</v>
      </c>
      <c r="BC800" t="n">
        <v>7000</v>
      </c>
      <c r="BD800" t="inlineStr">
        <is>
          <t>No</t>
        </is>
      </c>
      <c r="BG800" t="inlineStr">
        <is>
          <t>USNYC</t>
        </is>
      </c>
      <c r="BH800" t="n">
        <v>0</v>
      </c>
      <c r="BI800" t="n">
        <v>0</v>
      </c>
      <c r="BJ800" t="inlineStr">
        <is>
          <t xml:space="preserve"> 0</t>
        </is>
      </c>
      <c r="BK800" t="inlineStr">
        <is>
          <t>LINE</t>
        </is>
      </c>
      <c r="BL800" t="inlineStr">
        <is>
          <t>MARLIN REEFER</t>
        </is>
      </c>
      <c r="BM800" t="inlineStr">
        <is>
          <t>MARLIN REEFER</t>
        </is>
      </c>
    </row>
    <row r="801">
      <c r="A801" t="n">
        <v>800</v>
      </c>
      <c r="B801" t="inlineStr">
        <is>
          <t>TURTLE REEFER</t>
        </is>
      </c>
      <c r="C801" t="inlineStr">
        <is>
          <t>REF000000</t>
        </is>
      </c>
      <c r="D801" t="inlineStr">
        <is>
          <t>REF000000</t>
        </is>
      </c>
      <c r="E801" t="inlineStr">
        <is>
          <t>15-APR-2026</t>
        </is>
      </c>
      <c r="F801" t="inlineStr">
        <is>
          <t>TURTLE REEFER</t>
        </is>
      </c>
      <c r="G801" t="inlineStr">
        <is>
          <t>PA</t>
        </is>
      </c>
      <c r="H801" t="inlineStr">
        <is>
          <t>DiegoSAM</t>
        </is>
      </c>
      <c r="J801" t="inlineStr">
        <is>
          <t>01-MAY-2026</t>
        </is>
      </c>
      <c r="K801" t="inlineStr">
        <is>
          <t>30-APR-2026</t>
        </is>
      </c>
      <c r="M801" t="inlineStr">
        <is>
          <t>REF000000</t>
        </is>
      </c>
      <c r="N801" t="inlineStr">
        <is>
          <t>USNYC</t>
        </is>
      </c>
      <c r="O801" t="inlineStr">
        <is>
          <t>USNYC</t>
        </is>
      </c>
      <c r="P801" t="inlineStr">
        <is>
          <t>RULED</t>
        </is>
      </c>
      <c r="U801" t="inlineStr">
        <is>
          <t>RULED</t>
        </is>
      </c>
      <c r="V801" t="inlineStr">
        <is>
          <t>RULED</t>
        </is>
      </c>
      <c r="W801" t="inlineStr">
        <is>
          <t>UNITED STATES</t>
        </is>
      </c>
      <c r="X801" t="inlineStr">
        <is>
          <t>Latin America</t>
        </is>
      </c>
      <c r="Y801" t="inlineStr">
        <is>
          <t>RUSSIA</t>
        </is>
      </c>
      <c r="Z801" t="inlineStr">
        <is>
          <t>External Review</t>
        </is>
      </c>
      <c r="AA801" t="inlineStr">
        <is>
          <t>HUB SHIPPING LLC-LED</t>
        </is>
      </c>
      <c r="AB801" t="inlineStr">
        <is>
          <t>Prepaid</t>
        </is>
      </c>
      <c r="AC801" t="inlineStr">
        <is>
          <t>LI DA XING/VOYAGE 1</t>
        </is>
      </c>
      <c r="AE801" t="inlineStr">
        <is>
          <t>LADEN BOOKING</t>
        </is>
      </c>
      <c r="AF801" t="inlineStr">
        <is>
          <t>Joao RibeiroSAM</t>
        </is>
      </c>
      <c r="AG801" t="inlineStr">
        <is>
          <t>RH40</t>
        </is>
      </c>
      <c r="AH801" t="inlineStr">
        <is>
          <t>NO</t>
        </is>
      </c>
      <c r="AI801" t="n">
        <v>40</v>
      </c>
      <c r="AJ801" t="n">
        <v>0</v>
      </c>
      <c r="AK801" t="n">
        <v>1</v>
      </c>
      <c r="AM801" t="n">
        <v>-18</v>
      </c>
      <c r="AP801" t="inlineStr">
        <is>
          <t>Non Haz</t>
        </is>
      </c>
      <c r="AQ801" t="inlineStr">
        <is>
          <t>CY/CY</t>
        </is>
      </c>
      <c r="AU801" t="n">
        <v>28000</v>
      </c>
      <c r="AV801" t="inlineStr">
        <is>
          <t>FROZEN MEAT</t>
        </is>
      </c>
      <c r="AX801" t="inlineStr">
        <is>
          <t>RSSAM042600068</t>
        </is>
      </c>
      <c r="AZ801" t="n">
        <v>5</v>
      </c>
      <c r="BA801" t="n">
        <v>30</v>
      </c>
      <c r="BB801" t="n">
        <v>15</v>
      </c>
      <c r="BC801" t="n">
        <v>7000</v>
      </c>
      <c r="BD801" t="inlineStr">
        <is>
          <t>No</t>
        </is>
      </c>
      <c r="BG801" t="inlineStr">
        <is>
          <t>USNYC</t>
        </is>
      </c>
      <c r="BH801" t="n">
        <v>0</v>
      </c>
      <c r="BI801" t="n">
        <v>0</v>
      </c>
      <c r="BJ801" t="inlineStr">
        <is>
          <t xml:space="preserve"> 0</t>
        </is>
      </c>
      <c r="BK801" t="inlineStr">
        <is>
          <t>LINE</t>
        </is>
      </c>
      <c r="BL801" t="inlineStr">
        <is>
          <t>TURTLE REEFER</t>
        </is>
      </c>
      <c r="BM801" t="inlineStr">
        <is>
          <t>TURTLE REEFER</t>
        </is>
      </c>
    </row>
    <row r="802">
      <c r="A802" t="n">
        <v>801</v>
      </c>
      <c r="B802" t="inlineStr">
        <is>
          <t>ORCA REEFER</t>
        </is>
      </c>
      <c r="C802" t="inlineStr">
        <is>
          <t>REF000000</t>
        </is>
      </c>
      <c r="D802" t="inlineStr">
        <is>
          <t>REF000000</t>
        </is>
      </c>
      <c r="E802" t="inlineStr">
        <is>
          <t>16-APR-2026</t>
        </is>
      </c>
      <c r="F802" t="inlineStr">
        <is>
          <t>ORCA REEFER</t>
        </is>
      </c>
      <c r="G802" t="inlineStr">
        <is>
          <t>PREPAID</t>
        </is>
      </c>
      <c r="H802" t="inlineStr">
        <is>
          <t>DiegoSAM</t>
        </is>
      </c>
      <c r="J802" t="inlineStr">
        <is>
          <t>01-MAY-2026</t>
        </is>
      </c>
      <c r="K802" t="inlineStr">
        <is>
          <t>30-APR-2026</t>
        </is>
      </c>
      <c r="M802" t="inlineStr">
        <is>
          <t>REF000000</t>
        </is>
      </c>
      <c r="N802" t="inlineStr">
        <is>
          <t>USNYC</t>
        </is>
      </c>
      <c r="O802" t="inlineStr">
        <is>
          <t>USNYC</t>
        </is>
      </c>
      <c r="P802" t="inlineStr">
        <is>
          <t>RUBLT</t>
        </is>
      </c>
      <c r="U802" t="inlineStr">
        <is>
          <t>RUBLT</t>
        </is>
      </c>
      <c r="V802" t="inlineStr">
        <is>
          <t>RUBLT</t>
        </is>
      </c>
      <c r="W802" t="inlineStr">
        <is>
          <t>UNITED STATES</t>
        </is>
      </c>
      <c r="X802" t="inlineStr">
        <is>
          <t>Latin America</t>
        </is>
      </c>
      <c r="Y802" t="inlineStr">
        <is>
          <t>RUSSIA</t>
        </is>
      </c>
      <c r="Z802" t="inlineStr">
        <is>
          <t>External Review</t>
        </is>
      </c>
      <c r="AA802" t="inlineStr">
        <is>
          <t>HUB Shipping-Kaliningrad</t>
        </is>
      </c>
      <c r="AB802" t="inlineStr">
        <is>
          <t>Prepaid</t>
        </is>
      </c>
      <c r="AC802" t="inlineStr">
        <is>
          <t>LI DA XING/VOYAGE 1</t>
        </is>
      </c>
      <c r="AE802" t="inlineStr">
        <is>
          <t>LADEN BOOKING</t>
        </is>
      </c>
      <c r="AF802" t="inlineStr">
        <is>
          <t>Guilherme Souza</t>
        </is>
      </c>
      <c r="AG802" t="inlineStr">
        <is>
          <t>RH40</t>
        </is>
      </c>
      <c r="AH802" t="inlineStr">
        <is>
          <t>NO</t>
        </is>
      </c>
      <c r="AI802" t="n">
        <v>40</v>
      </c>
      <c r="AJ802" t="n">
        <v>0</v>
      </c>
      <c r="AK802" t="n">
        <v>1</v>
      </c>
      <c r="AM802" t="n">
        <v>-22</v>
      </c>
      <c r="AP802" t="inlineStr">
        <is>
          <t>Non Haz</t>
        </is>
      </c>
      <c r="AQ802" t="inlineStr">
        <is>
          <t>CY/CY</t>
        </is>
      </c>
      <c r="AU802" t="n">
        <v>28000</v>
      </c>
      <c r="AV802" t="inlineStr">
        <is>
          <t>FROZEN MEAT</t>
        </is>
      </c>
      <c r="AX802" t="inlineStr">
        <is>
          <t>RSSAM042600034</t>
        </is>
      </c>
      <c r="AZ802" t="n">
        <v>0</v>
      </c>
      <c r="BA802" t="n">
        <v>25</v>
      </c>
      <c r="BB802" t="n">
        <v>15</v>
      </c>
      <c r="BC802" t="n">
        <v>8600</v>
      </c>
      <c r="BD802" t="inlineStr">
        <is>
          <t>No</t>
        </is>
      </c>
      <c r="BG802" t="inlineStr">
        <is>
          <t>USNYC</t>
        </is>
      </c>
      <c r="BH802" t="n">
        <v>0</v>
      </c>
      <c r="BI802" t="n">
        <v>0</v>
      </c>
      <c r="BJ802" t="inlineStr">
        <is>
          <t xml:space="preserve"> 0</t>
        </is>
      </c>
      <c r="BK802" t="inlineStr">
        <is>
          <t>LINE</t>
        </is>
      </c>
      <c r="BL802" t="inlineStr">
        <is>
          <t>ORCA REEFER</t>
        </is>
      </c>
      <c r="BM802" t="inlineStr">
        <is>
          <t>ORCA REEFER</t>
        </is>
      </c>
    </row>
    <row r="803">
      <c r="A803" t="n">
        <v>802</v>
      </c>
      <c r="B803" t="inlineStr">
        <is>
          <t>WHALE REEFER</t>
        </is>
      </c>
      <c r="C803" t="inlineStr">
        <is>
          <t>REF000000</t>
        </is>
      </c>
      <c r="D803" t="inlineStr">
        <is>
          <t>REF000000</t>
        </is>
      </c>
      <c r="E803" t="inlineStr">
        <is>
          <t>16-APR-2026</t>
        </is>
      </c>
      <c r="F803" t="inlineStr">
        <is>
          <t>WHALE REEFER</t>
        </is>
      </c>
      <c r="G803" t="inlineStr">
        <is>
          <t>PREPAID</t>
        </is>
      </c>
      <c r="H803" t="inlineStr">
        <is>
          <t>DiegoSAM</t>
        </is>
      </c>
      <c r="J803" t="inlineStr">
        <is>
          <t>01-MAY-2026</t>
        </is>
      </c>
      <c r="K803" t="inlineStr">
        <is>
          <t>30-APR-2026</t>
        </is>
      </c>
      <c r="M803" t="inlineStr">
        <is>
          <t>REF000000</t>
        </is>
      </c>
      <c r="N803" t="inlineStr">
        <is>
          <t>USNYC</t>
        </is>
      </c>
      <c r="O803" t="inlineStr">
        <is>
          <t>USNYC</t>
        </is>
      </c>
      <c r="P803" t="inlineStr">
        <is>
          <t>RUBLT</t>
        </is>
      </c>
      <c r="U803" t="inlineStr">
        <is>
          <t>RUBLT</t>
        </is>
      </c>
      <c r="V803" t="inlineStr">
        <is>
          <t>RUBLT</t>
        </is>
      </c>
      <c r="W803" t="inlineStr">
        <is>
          <t>UNITED STATES</t>
        </is>
      </c>
      <c r="X803" t="inlineStr">
        <is>
          <t>Latin America</t>
        </is>
      </c>
      <c r="Y803" t="inlineStr">
        <is>
          <t>RUSSIA</t>
        </is>
      </c>
      <c r="Z803" t="inlineStr">
        <is>
          <t>External Review</t>
        </is>
      </c>
      <c r="AA803" t="inlineStr">
        <is>
          <t>HUB Shipping-Kaliningrad</t>
        </is>
      </c>
      <c r="AB803" t="inlineStr">
        <is>
          <t>Prepaid</t>
        </is>
      </c>
      <c r="AC803" t="inlineStr">
        <is>
          <t>LI DA XING/VOYAGE 1</t>
        </is>
      </c>
      <c r="AE803" t="inlineStr">
        <is>
          <t>LADEN BOOKING</t>
        </is>
      </c>
      <c r="AF803" t="inlineStr">
        <is>
          <t>Guilherme Souza</t>
        </is>
      </c>
      <c r="AG803" t="inlineStr">
        <is>
          <t>RH40</t>
        </is>
      </c>
      <c r="AH803" t="inlineStr">
        <is>
          <t>NO</t>
        </is>
      </c>
      <c r="AI803" t="n">
        <v>40</v>
      </c>
      <c r="AJ803" t="n">
        <v>0</v>
      </c>
      <c r="AK803" t="n">
        <v>1</v>
      </c>
      <c r="AM803" t="n">
        <v>-22</v>
      </c>
      <c r="AP803" t="inlineStr">
        <is>
          <t>Non Haz</t>
        </is>
      </c>
      <c r="AQ803" t="inlineStr">
        <is>
          <t>CY/CY</t>
        </is>
      </c>
      <c r="AU803" t="n">
        <v>28000</v>
      </c>
      <c r="AV803" t="inlineStr">
        <is>
          <t>FROZEN MEAT</t>
        </is>
      </c>
      <c r="AX803" t="inlineStr">
        <is>
          <t>RSSAM042600034</t>
        </is>
      </c>
      <c r="AZ803" t="n">
        <v>0</v>
      </c>
      <c r="BA803" t="n">
        <v>25</v>
      </c>
      <c r="BB803" t="n">
        <v>15</v>
      </c>
      <c r="BC803" t="n">
        <v>8600</v>
      </c>
      <c r="BD803" t="inlineStr">
        <is>
          <t>No</t>
        </is>
      </c>
      <c r="BG803" t="inlineStr">
        <is>
          <t>USNYC</t>
        </is>
      </c>
      <c r="BH803" t="n">
        <v>0</v>
      </c>
      <c r="BI803" t="n">
        <v>0</v>
      </c>
      <c r="BJ803" t="inlineStr">
        <is>
          <t xml:space="preserve"> 0</t>
        </is>
      </c>
      <c r="BK803" t="inlineStr">
        <is>
          <t>LINE</t>
        </is>
      </c>
      <c r="BL803" t="inlineStr">
        <is>
          <t>WHALE REEFER</t>
        </is>
      </c>
      <c r="BM803" t="inlineStr">
        <is>
          <t>WHALE REEFER</t>
        </is>
      </c>
    </row>
    <row r="804">
      <c r="A804" t="n">
        <v>803</v>
      </c>
      <c r="B804" t="inlineStr">
        <is>
          <t>SEAL REEFER</t>
        </is>
      </c>
      <c r="C804" t="inlineStr">
        <is>
          <t>REF000000</t>
        </is>
      </c>
      <c r="D804" t="inlineStr">
        <is>
          <t>REF000000</t>
        </is>
      </c>
      <c r="E804" t="inlineStr">
        <is>
          <t>16-APR-2026</t>
        </is>
      </c>
      <c r="F804" t="inlineStr">
        <is>
          <t>SEAL REEFER</t>
        </is>
      </c>
      <c r="G804" t="inlineStr">
        <is>
          <t>PREPAID ABROAD</t>
        </is>
      </c>
      <c r="H804" t="inlineStr">
        <is>
          <t>DiegoSAM</t>
        </is>
      </c>
      <c r="J804" t="inlineStr">
        <is>
          <t>01-MAY-2026</t>
        </is>
      </c>
      <c r="K804" t="inlineStr">
        <is>
          <t>30-APR-2026</t>
        </is>
      </c>
      <c r="M804" t="inlineStr">
        <is>
          <t>REF000000</t>
        </is>
      </c>
      <c r="N804" t="inlineStr">
        <is>
          <t>USNYC</t>
        </is>
      </c>
      <c r="O804" t="inlineStr">
        <is>
          <t>USNYC</t>
        </is>
      </c>
      <c r="P804" t="inlineStr">
        <is>
          <t>RUBLT</t>
        </is>
      </c>
      <c r="U804" t="inlineStr">
        <is>
          <t>RUBLT</t>
        </is>
      </c>
      <c r="V804" t="inlineStr">
        <is>
          <t>RUBLT</t>
        </is>
      </c>
      <c r="W804" t="inlineStr">
        <is>
          <t>UNITED STATES</t>
        </is>
      </c>
      <c r="X804" t="inlineStr">
        <is>
          <t>Latin America</t>
        </is>
      </c>
      <c r="Y804" t="inlineStr">
        <is>
          <t>RUSSIA</t>
        </is>
      </c>
      <c r="Z804" t="inlineStr">
        <is>
          <t>External Review</t>
        </is>
      </c>
      <c r="AA804" t="inlineStr">
        <is>
          <t>HUB Shipping-Kaliningrad</t>
        </is>
      </c>
      <c r="AB804" t="inlineStr">
        <is>
          <t>Prepaid</t>
        </is>
      </c>
      <c r="AC804" t="inlineStr">
        <is>
          <t>LI DA XING/VOYAGE 1</t>
        </is>
      </c>
      <c r="AE804" t="inlineStr">
        <is>
          <t>LADEN BOOKING</t>
        </is>
      </c>
      <c r="AF804" t="inlineStr">
        <is>
          <t>Guilherme Souza</t>
        </is>
      </c>
      <c r="AG804" t="inlineStr">
        <is>
          <t>RH40</t>
        </is>
      </c>
      <c r="AH804" t="inlineStr">
        <is>
          <t>NO</t>
        </is>
      </c>
      <c r="AI804" t="n">
        <v>40</v>
      </c>
      <c r="AJ804" t="n">
        <v>0</v>
      </c>
      <c r="AK804" t="n">
        <v>1</v>
      </c>
      <c r="AM804" t="n">
        <v>-18</v>
      </c>
      <c r="AP804" t="inlineStr">
        <is>
          <t>Non Haz</t>
        </is>
      </c>
      <c r="AQ804" t="inlineStr">
        <is>
          <t>CY/CY</t>
        </is>
      </c>
      <c r="AU804" t="n">
        <v>28000</v>
      </c>
      <c r="AV804" t="inlineStr">
        <is>
          <t>FROZEN MEAT</t>
        </is>
      </c>
      <c r="AX804" t="inlineStr">
        <is>
          <t>RSSAM042600056</t>
        </is>
      </c>
      <c r="AZ804" t="n">
        <v>5</v>
      </c>
      <c r="BA804" t="n">
        <v>25</v>
      </c>
      <c r="BB804" t="n">
        <v>10</v>
      </c>
      <c r="BC804" t="n">
        <v>8600</v>
      </c>
      <c r="BD804" t="inlineStr">
        <is>
          <t>No</t>
        </is>
      </c>
      <c r="BG804" t="inlineStr">
        <is>
          <t>USNYC</t>
        </is>
      </c>
      <c r="BH804" t="n">
        <v>0</v>
      </c>
      <c r="BI804" t="n">
        <v>0</v>
      </c>
      <c r="BJ804" t="inlineStr">
        <is>
          <t xml:space="preserve"> 0</t>
        </is>
      </c>
      <c r="BK804" t="inlineStr">
        <is>
          <t>LINE</t>
        </is>
      </c>
      <c r="BL804" t="inlineStr">
        <is>
          <t>SEAL REEFER</t>
        </is>
      </c>
      <c r="BM804" t="inlineStr">
        <is>
          <t>SEAL REEFER</t>
        </is>
      </c>
    </row>
    <row r="805">
      <c r="A805" t="n">
        <v>804</v>
      </c>
      <c r="B805" t="inlineStr">
        <is>
          <t>FOX DRY</t>
        </is>
      </c>
      <c r="C805" t="inlineStr">
        <is>
          <t>REF000000</t>
        </is>
      </c>
      <c r="D805" t="inlineStr">
        <is>
          <t>REF000000</t>
        </is>
      </c>
      <c r="E805" t="inlineStr">
        <is>
          <t>17-APR-2026</t>
        </is>
      </c>
      <c r="F805" t="inlineStr">
        <is>
          <t>FOX DRY</t>
        </is>
      </c>
      <c r="G805" t="inlineStr">
        <is>
          <t>Food Grade</t>
        </is>
      </c>
      <c r="H805" t="inlineStr">
        <is>
          <t>AdminSAM</t>
        </is>
      </c>
      <c r="J805" t="inlineStr">
        <is>
          <t>02-MAY-2026</t>
        </is>
      </c>
      <c r="K805" t="inlineStr">
        <is>
          <t>01-MAY-2026</t>
        </is>
      </c>
      <c r="M805" t="inlineStr">
        <is>
          <t>REF000000</t>
        </is>
      </c>
      <c r="N805" t="inlineStr">
        <is>
          <t>USHOU</t>
        </is>
      </c>
      <c r="O805" t="inlineStr">
        <is>
          <t>USHOU</t>
        </is>
      </c>
      <c r="P805" t="inlineStr">
        <is>
          <t>RULED</t>
        </is>
      </c>
      <c r="U805" t="inlineStr">
        <is>
          <t>RULED</t>
        </is>
      </c>
      <c r="V805" t="inlineStr">
        <is>
          <t>RULED</t>
        </is>
      </c>
      <c r="W805" t="inlineStr">
        <is>
          <t>UNITED STATES</t>
        </is>
      </c>
      <c r="X805" t="inlineStr">
        <is>
          <t>Latin America</t>
        </is>
      </c>
      <c r="Y805" t="inlineStr">
        <is>
          <t>RUSSIA</t>
        </is>
      </c>
      <c r="Z805" t="inlineStr">
        <is>
          <t>External Review</t>
        </is>
      </c>
      <c r="AA805" t="inlineStr">
        <is>
          <t>HUB SHIPPING LLC-LED</t>
        </is>
      </c>
      <c r="AB805" t="inlineStr">
        <is>
          <t>Collect</t>
        </is>
      </c>
      <c r="AC805" t="inlineStr">
        <is>
          <t>LI DA XING/VOYAGE 1</t>
        </is>
      </c>
      <c r="AE805" t="inlineStr">
        <is>
          <t>LADEN BOOKING</t>
        </is>
      </c>
      <c r="AF805" t="inlineStr">
        <is>
          <t>RenniSAM</t>
        </is>
      </c>
      <c r="AG805" t="inlineStr">
        <is>
          <t>HC40</t>
        </is>
      </c>
      <c r="AH805" t="inlineStr">
        <is>
          <t>NO</t>
        </is>
      </c>
      <c r="AI805" t="n">
        <v>40</v>
      </c>
      <c r="AJ805" t="n">
        <v>0</v>
      </c>
      <c r="AK805" t="n">
        <v>4</v>
      </c>
      <c r="AP805" t="inlineStr">
        <is>
          <t>Non Haz</t>
        </is>
      </c>
      <c r="AQ805" t="inlineStr">
        <is>
          <t>CY/CY</t>
        </is>
      </c>
      <c r="AU805" t="n">
        <v>23000</v>
      </c>
      <c r="AV805" t="inlineStr">
        <is>
          <t>GENERAL COMMODITY</t>
        </is>
      </c>
      <c r="AX805" t="inlineStr">
        <is>
          <t>RSSAM042600089</t>
        </is>
      </c>
      <c r="AZ805" t="n">
        <v>0</v>
      </c>
      <c r="BA805" t="n">
        <v>14</v>
      </c>
      <c r="BB805" t="n">
        <v>14</v>
      </c>
      <c r="BC805" t="n">
        <v>2750</v>
      </c>
      <c r="BD805" t="inlineStr">
        <is>
          <t>Yes</t>
        </is>
      </c>
      <c r="BG805" t="inlineStr">
        <is>
          <t>RULED</t>
        </is>
      </c>
      <c r="BH805" t="n">
        <v>0</v>
      </c>
      <c r="BI805" t="n">
        <v>0</v>
      </c>
      <c r="BJ805" t="inlineStr">
        <is>
          <t xml:space="preserve"> 0</t>
        </is>
      </c>
      <c r="BK805" t="inlineStr">
        <is>
          <t>LINE</t>
        </is>
      </c>
      <c r="BL805" t="inlineStr">
        <is>
          <t>FOX DRY</t>
        </is>
      </c>
      <c r="BM805" t="inlineStr">
        <is>
          <t>FOX DRY</t>
        </is>
      </c>
    </row>
    <row r="806">
      <c r="A806" t="n">
        <v>805</v>
      </c>
      <c r="B806" t="inlineStr">
        <is>
          <t>BISON DRY</t>
        </is>
      </c>
      <c r="C806" t="inlineStr">
        <is>
          <t>REF000000</t>
        </is>
      </c>
      <c r="D806" t="inlineStr">
        <is>
          <t>REF000000</t>
        </is>
      </c>
      <c r="E806" t="inlineStr">
        <is>
          <t>17-APR-2026</t>
        </is>
      </c>
      <c r="F806" t="inlineStr">
        <is>
          <t>BISON DRY</t>
        </is>
      </c>
      <c r="G806" t="inlineStr">
        <is>
          <t>Food Grade</t>
        </is>
      </c>
      <c r="H806" t="inlineStr">
        <is>
          <t>AdminSAM</t>
        </is>
      </c>
      <c r="J806" t="inlineStr">
        <is>
          <t>05-MAY-2026</t>
        </is>
      </c>
      <c r="K806" t="inlineStr">
        <is>
          <t>03-MAY-2026</t>
        </is>
      </c>
      <c r="M806" t="inlineStr">
        <is>
          <t>REF000000</t>
        </is>
      </c>
      <c r="N806" t="inlineStr">
        <is>
          <t>USNFK</t>
        </is>
      </c>
      <c r="O806" t="inlineStr">
        <is>
          <t>USNFK</t>
        </is>
      </c>
      <c r="P806" t="inlineStr">
        <is>
          <t>RULED</t>
        </is>
      </c>
      <c r="U806" t="inlineStr">
        <is>
          <t>RULED</t>
        </is>
      </c>
      <c r="V806" t="inlineStr">
        <is>
          <t>RULED</t>
        </is>
      </c>
      <c r="W806" t="inlineStr">
        <is>
          <t>UNITED STATES</t>
        </is>
      </c>
      <c r="X806" t="inlineStr">
        <is>
          <t>Latin America</t>
        </is>
      </c>
      <c r="Y806" t="inlineStr">
        <is>
          <t>RUSSIA</t>
        </is>
      </c>
      <c r="Z806" t="inlineStr">
        <is>
          <t>External Review</t>
        </is>
      </c>
      <c r="AA806" t="inlineStr">
        <is>
          <t>HUB SHIPPING LLC-LED</t>
        </is>
      </c>
      <c r="AB806" t="inlineStr">
        <is>
          <t>Collect</t>
        </is>
      </c>
      <c r="AC806" t="inlineStr">
        <is>
          <t>LI DA XING/VOYAGE 1</t>
        </is>
      </c>
      <c r="AE806" t="inlineStr">
        <is>
          <t>LADEN BOOKING</t>
        </is>
      </c>
      <c r="AF806" t="inlineStr">
        <is>
          <t>RenniSAM</t>
        </is>
      </c>
      <c r="AG806" t="inlineStr">
        <is>
          <t>DC20</t>
        </is>
      </c>
      <c r="AH806" t="inlineStr">
        <is>
          <t>NO</t>
        </is>
      </c>
      <c r="AI806" t="n">
        <v>20</v>
      </c>
      <c r="AJ806" t="n">
        <v>3</v>
      </c>
      <c r="AK806" t="n">
        <v>0</v>
      </c>
      <c r="AP806" t="inlineStr">
        <is>
          <t>Non Haz</t>
        </is>
      </c>
      <c r="AQ806" t="inlineStr">
        <is>
          <t>CY/CY</t>
        </is>
      </c>
      <c r="AU806" t="n">
        <v>23000</v>
      </c>
      <c r="AV806" t="inlineStr">
        <is>
          <t>COFFEE</t>
        </is>
      </c>
      <c r="AX806" t="inlineStr">
        <is>
          <t>RSSAM042600092</t>
        </is>
      </c>
      <c r="AZ806" t="n">
        <v>0</v>
      </c>
      <c r="BA806" t="n">
        <v>10</v>
      </c>
      <c r="BB806" t="n">
        <v>14</v>
      </c>
      <c r="BC806" t="n">
        <v>2450</v>
      </c>
      <c r="BD806" t="inlineStr">
        <is>
          <t>Yes</t>
        </is>
      </c>
      <c r="BG806" t="inlineStr">
        <is>
          <t>RULED</t>
        </is>
      </c>
      <c r="BH806" t="n">
        <v>0</v>
      </c>
      <c r="BI806" t="n">
        <v>0</v>
      </c>
      <c r="BJ806" t="inlineStr">
        <is>
          <t xml:space="preserve"> 0</t>
        </is>
      </c>
      <c r="BK806" t="inlineStr">
        <is>
          <t>LINE</t>
        </is>
      </c>
      <c r="BL806" t="inlineStr">
        <is>
          <t>BISON DRY</t>
        </is>
      </c>
      <c r="BM806" t="inlineStr">
        <is>
          <t>BISON DRY</t>
        </is>
      </c>
    </row>
    <row r="807">
      <c r="A807" t="n">
        <v>806</v>
      </c>
      <c r="B807" t="inlineStr">
        <is>
          <t>EAGLE DRY</t>
        </is>
      </c>
      <c r="C807" t="inlineStr">
        <is>
          <t>REF000000</t>
        </is>
      </c>
      <c r="D807" t="inlineStr">
        <is>
          <t>REF000000</t>
        </is>
      </c>
      <c r="E807" t="inlineStr">
        <is>
          <t>17-APR-2026</t>
        </is>
      </c>
      <c r="F807" t="inlineStr">
        <is>
          <t>EAGLE DRY</t>
        </is>
      </c>
      <c r="G807" t="inlineStr">
        <is>
          <t>EVI170401 / Food Grade</t>
        </is>
      </c>
      <c r="H807" t="inlineStr">
        <is>
          <t>AdminSAM</t>
        </is>
      </c>
      <c r="J807" t="inlineStr">
        <is>
          <t>05-MAY-2026</t>
        </is>
      </c>
      <c r="K807" t="inlineStr">
        <is>
          <t>03-MAY-2026</t>
        </is>
      </c>
      <c r="M807" t="inlineStr">
        <is>
          <t>REF000000</t>
        </is>
      </c>
      <c r="N807" t="inlineStr">
        <is>
          <t>USNFK</t>
        </is>
      </c>
      <c r="O807" t="inlineStr">
        <is>
          <t>USNFK</t>
        </is>
      </c>
      <c r="P807" t="inlineStr">
        <is>
          <t>RULED</t>
        </is>
      </c>
      <c r="U807" t="inlineStr">
        <is>
          <t>RULED</t>
        </is>
      </c>
      <c r="V807" t="inlineStr">
        <is>
          <t>RULED</t>
        </is>
      </c>
      <c r="W807" t="inlineStr">
        <is>
          <t>UNITED STATES</t>
        </is>
      </c>
      <c r="X807" t="inlineStr">
        <is>
          <t>Latin America</t>
        </is>
      </c>
      <c r="Y807" t="inlineStr">
        <is>
          <t>RUSSIA</t>
        </is>
      </c>
      <c r="Z807" t="inlineStr">
        <is>
          <t>External Review</t>
        </is>
      </c>
      <c r="AA807" t="inlineStr">
        <is>
          <t>HUB SHIPPING LLC-LED</t>
        </is>
      </c>
      <c r="AB807" t="inlineStr">
        <is>
          <t>Collect</t>
        </is>
      </c>
      <c r="AC807" t="inlineStr">
        <is>
          <t>LI DA XING/VOYAGE 1</t>
        </is>
      </c>
      <c r="AE807" t="inlineStr">
        <is>
          <t>LADEN BOOKING</t>
        </is>
      </c>
      <c r="AF807" t="inlineStr">
        <is>
          <t>RenniSAM</t>
        </is>
      </c>
      <c r="AG807" t="inlineStr">
        <is>
          <t>DC20</t>
        </is>
      </c>
      <c r="AH807" t="inlineStr">
        <is>
          <t>NO</t>
        </is>
      </c>
      <c r="AI807" t="n">
        <v>20</v>
      </c>
      <c r="AJ807" t="n">
        <v>1</v>
      </c>
      <c r="AK807" t="n">
        <v>0</v>
      </c>
      <c r="AP807" t="inlineStr">
        <is>
          <t>Non Haz</t>
        </is>
      </c>
      <c r="AQ807" t="inlineStr">
        <is>
          <t>CY/CY</t>
        </is>
      </c>
      <c r="AU807" t="n">
        <v>23000</v>
      </c>
      <c r="AV807" t="inlineStr">
        <is>
          <t>GENERAL COMMODITY</t>
        </is>
      </c>
      <c r="AX807" t="inlineStr">
        <is>
          <t>RSSAM042600087</t>
        </is>
      </c>
      <c r="AZ807" t="n">
        <v>0</v>
      </c>
      <c r="BA807" t="n">
        <v>14</v>
      </c>
      <c r="BB807" t="n">
        <v>14</v>
      </c>
      <c r="BC807" t="n">
        <v>2550</v>
      </c>
      <c r="BD807" t="inlineStr">
        <is>
          <t>Yes</t>
        </is>
      </c>
      <c r="BG807" t="inlineStr">
        <is>
          <t>RULED</t>
        </is>
      </c>
      <c r="BH807" t="n">
        <v>0</v>
      </c>
      <c r="BI807" t="n">
        <v>0</v>
      </c>
      <c r="BJ807" t="inlineStr">
        <is>
          <t xml:space="preserve"> 0</t>
        </is>
      </c>
      <c r="BK807" t="inlineStr">
        <is>
          <t>LINE</t>
        </is>
      </c>
      <c r="BL807" t="inlineStr">
        <is>
          <t>EAGLE DRY</t>
        </is>
      </c>
      <c r="BM807" t="inlineStr">
        <is>
          <t>EAGLE DRY</t>
        </is>
      </c>
    </row>
    <row r="808">
      <c r="A808" t="n">
        <v>807</v>
      </c>
      <c r="B808" t="inlineStr">
        <is>
          <t>TURTLE REEFER</t>
        </is>
      </c>
      <c r="C808" t="inlineStr">
        <is>
          <t>REF000000</t>
        </is>
      </c>
      <c r="D808" t="inlineStr">
        <is>
          <t>REF000000</t>
        </is>
      </c>
      <c r="E808" t="inlineStr">
        <is>
          <t>17-APR-2026</t>
        </is>
      </c>
      <c r="F808" t="inlineStr">
        <is>
          <t>TURTLE REEFER</t>
        </is>
      </c>
      <c r="G808" t="inlineStr">
        <is>
          <t>PREPAID ABROAD</t>
        </is>
      </c>
      <c r="H808" t="inlineStr">
        <is>
          <t>DiegoSAM</t>
        </is>
      </c>
      <c r="J808" t="inlineStr">
        <is>
          <t>20-APR-2026</t>
        </is>
      </c>
      <c r="K808" t="inlineStr">
        <is>
          <t>20-APR-2026</t>
        </is>
      </c>
      <c r="M808" t="inlineStr">
        <is>
          <t>REF000000</t>
        </is>
      </c>
      <c r="N808" t="inlineStr">
        <is>
          <t>USHOU</t>
        </is>
      </c>
      <c r="O808" t="inlineStr">
        <is>
          <t>USHOU</t>
        </is>
      </c>
      <c r="P808" t="inlineStr">
        <is>
          <t>RUBLT</t>
        </is>
      </c>
      <c r="U808" t="inlineStr">
        <is>
          <t>RUBLT</t>
        </is>
      </c>
      <c r="V808" t="inlineStr">
        <is>
          <t>RUBLT</t>
        </is>
      </c>
      <c r="W808" t="inlineStr">
        <is>
          <t>UNITED STATES</t>
        </is>
      </c>
      <c r="X808" t="inlineStr">
        <is>
          <t>Latin America</t>
        </is>
      </c>
      <c r="Y808" t="inlineStr">
        <is>
          <t>RUSSIA</t>
        </is>
      </c>
      <c r="Z808" t="inlineStr">
        <is>
          <t>External Review</t>
        </is>
      </c>
      <c r="AA808" t="inlineStr">
        <is>
          <t>HUB Shipping-Kaliningrad</t>
        </is>
      </c>
      <c r="AB808" t="inlineStr">
        <is>
          <t>Prepaid</t>
        </is>
      </c>
      <c r="AC808" t="inlineStr">
        <is>
          <t>VENUS / VOYAGE 2</t>
        </is>
      </c>
      <c r="AE808" t="inlineStr">
        <is>
          <t>LADEN BOOKING</t>
        </is>
      </c>
      <c r="AF808" t="inlineStr">
        <is>
          <t>Guilherme Souza</t>
        </is>
      </c>
      <c r="AG808" t="inlineStr">
        <is>
          <t>RH40</t>
        </is>
      </c>
      <c r="AH808" t="inlineStr">
        <is>
          <t>NO</t>
        </is>
      </c>
      <c r="AI808" t="n">
        <v>40</v>
      </c>
      <c r="AJ808" t="n">
        <v>0</v>
      </c>
      <c r="AK808" t="n">
        <v>1</v>
      </c>
      <c r="AM808" t="n">
        <v>-22</v>
      </c>
      <c r="AP808" t="inlineStr">
        <is>
          <t>Non Haz</t>
        </is>
      </c>
      <c r="AQ808" t="inlineStr">
        <is>
          <t>CY/CY</t>
        </is>
      </c>
      <c r="AU808" t="n">
        <v>27000</v>
      </c>
      <c r="AV808" t="inlineStr">
        <is>
          <t>FROZEN MEAT</t>
        </is>
      </c>
      <c r="AX808" t="inlineStr">
        <is>
          <t>RSSAM042600065</t>
        </is>
      </c>
      <c r="AZ808" t="n">
        <v>5</v>
      </c>
      <c r="BA808" t="n">
        <v>25</v>
      </c>
      <c r="BB808" t="n">
        <v>10</v>
      </c>
      <c r="BC808" t="n">
        <v>8600</v>
      </c>
      <c r="BD808" t="inlineStr">
        <is>
          <t>No</t>
        </is>
      </c>
      <c r="BG808" t="inlineStr">
        <is>
          <t>USHOU</t>
        </is>
      </c>
      <c r="BH808" t="n">
        <v>0</v>
      </c>
      <c r="BI808" t="n">
        <v>0</v>
      </c>
      <c r="BJ808" t="inlineStr">
        <is>
          <t xml:space="preserve"> 0</t>
        </is>
      </c>
      <c r="BK808" t="inlineStr">
        <is>
          <t>LINE</t>
        </is>
      </c>
      <c r="BL808" t="inlineStr">
        <is>
          <t>TURTLE REEFER</t>
        </is>
      </c>
      <c r="BM808" t="inlineStr">
        <is>
          <t>TURTLE REEFER</t>
        </is>
      </c>
    </row>
    <row r="809">
      <c r="A809" t="n">
        <v>808</v>
      </c>
      <c r="B809" t="inlineStr">
        <is>
          <t>ORCA REEFER</t>
        </is>
      </c>
      <c r="C809" t="inlineStr">
        <is>
          <t>REF000000</t>
        </is>
      </c>
      <c r="D809" t="inlineStr">
        <is>
          <t>REF000000</t>
        </is>
      </c>
      <c r="E809" t="inlineStr">
        <is>
          <t>17-APR-2026</t>
        </is>
      </c>
      <c r="F809" t="inlineStr">
        <is>
          <t>ORCA REEFER</t>
        </is>
      </c>
      <c r="G809" t="inlineStr">
        <is>
          <t>PREPAID ABROAD</t>
        </is>
      </c>
      <c r="H809" t="inlineStr">
        <is>
          <t>DiegoSAM</t>
        </is>
      </c>
      <c r="J809" t="inlineStr">
        <is>
          <t>20-APR-2026</t>
        </is>
      </c>
      <c r="K809" t="inlineStr">
        <is>
          <t>20-APR-2026</t>
        </is>
      </c>
      <c r="M809" t="inlineStr">
        <is>
          <t>REF000000</t>
        </is>
      </c>
      <c r="N809" t="inlineStr">
        <is>
          <t>USHOU</t>
        </is>
      </c>
      <c r="O809" t="inlineStr">
        <is>
          <t>USHOU</t>
        </is>
      </c>
      <c r="P809" t="inlineStr">
        <is>
          <t>RUBLT</t>
        </is>
      </c>
      <c r="U809" t="inlineStr">
        <is>
          <t>RUBLT</t>
        </is>
      </c>
      <c r="V809" t="inlineStr">
        <is>
          <t>RUBLT</t>
        </is>
      </c>
      <c r="W809" t="inlineStr">
        <is>
          <t>UNITED STATES</t>
        </is>
      </c>
      <c r="X809" t="inlineStr">
        <is>
          <t>Latin America</t>
        </is>
      </c>
      <c r="Y809" t="inlineStr">
        <is>
          <t>RUSSIA</t>
        </is>
      </c>
      <c r="Z809" t="inlineStr">
        <is>
          <t>External Review</t>
        </is>
      </c>
      <c r="AA809" t="inlineStr">
        <is>
          <t>HUB Shipping-Kaliningrad</t>
        </is>
      </c>
      <c r="AB809" t="inlineStr">
        <is>
          <t>Prepaid</t>
        </is>
      </c>
      <c r="AC809" t="inlineStr">
        <is>
          <t>VENUS / VOYAGE 2</t>
        </is>
      </c>
      <c r="AE809" t="inlineStr">
        <is>
          <t>LADEN BOOKING</t>
        </is>
      </c>
      <c r="AF809" t="inlineStr">
        <is>
          <t>Guilherme Souza</t>
        </is>
      </c>
      <c r="AG809" t="inlineStr">
        <is>
          <t>RH40</t>
        </is>
      </c>
      <c r="AH809" t="inlineStr">
        <is>
          <t>NO</t>
        </is>
      </c>
      <c r="AI809" t="n">
        <v>40</v>
      </c>
      <c r="AJ809" t="n">
        <v>0</v>
      </c>
      <c r="AK809" t="n">
        <v>1</v>
      </c>
      <c r="AM809" t="n">
        <v>-22</v>
      </c>
      <c r="AP809" t="inlineStr">
        <is>
          <t>Non Haz</t>
        </is>
      </c>
      <c r="AQ809" t="inlineStr">
        <is>
          <t>CY/CY</t>
        </is>
      </c>
      <c r="AU809" t="n">
        <v>27000</v>
      </c>
      <c r="AV809" t="inlineStr">
        <is>
          <t>FROZEN MEAT</t>
        </is>
      </c>
      <c r="AX809" t="inlineStr">
        <is>
          <t>RSSAM042600065</t>
        </is>
      </c>
      <c r="AZ809" t="n">
        <v>5</v>
      </c>
      <c r="BA809" t="n">
        <v>25</v>
      </c>
      <c r="BB809" t="n">
        <v>10</v>
      </c>
      <c r="BC809" t="n">
        <v>8600</v>
      </c>
      <c r="BD809" t="inlineStr">
        <is>
          <t>No</t>
        </is>
      </c>
      <c r="BG809" t="inlineStr">
        <is>
          <t>USHOU</t>
        </is>
      </c>
      <c r="BH809" t="n">
        <v>0</v>
      </c>
      <c r="BI809" t="n">
        <v>0</v>
      </c>
      <c r="BJ809" t="inlineStr">
        <is>
          <t xml:space="preserve"> 0</t>
        </is>
      </c>
      <c r="BK809" t="inlineStr">
        <is>
          <t>LINE</t>
        </is>
      </c>
      <c r="BL809" t="inlineStr">
        <is>
          <t>ORCA REEFER</t>
        </is>
      </c>
      <c r="BM809" t="inlineStr">
        <is>
          <t>ORCA REEFER</t>
        </is>
      </c>
    </row>
    <row r="810">
      <c r="A810" t="n">
        <v>809</v>
      </c>
      <c r="B810" t="inlineStr">
        <is>
          <t>WOLF DRY</t>
        </is>
      </c>
      <c r="C810" t="inlineStr">
        <is>
          <t>REF000000</t>
        </is>
      </c>
      <c r="D810" t="inlineStr">
        <is>
          <t>REF000000</t>
        </is>
      </c>
      <c r="E810" t="inlineStr">
        <is>
          <t>17-APR-2026</t>
        </is>
      </c>
      <c r="F810" t="inlineStr">
        <is>
          <t>WOLF DRY</t>
        </is>
      </c>
      <c r="G810" t="inlineStr">
        <is>
          <t>PREPAID ABROAD</t>
        </is>
      </c>
      <c r="H810" t="inlineStr">
        <is>
          <t>DiegoSAM</t>
        </is>
      </c>
      <c r="J810" t="inlineStr">
        <is>
          <t>05-MAY-2026</t>
        </is>
      </c>
      <c r="K810" t="inlineStr">
        <is>
          <t>03-MAY-2026</t>
        </is>
      </c>
      <c r="M810" t="inlineStr">
        <is>
          <t>REF000000</t>
        </is>
      </c>
      <c r="N810" t="inlineStr">
        <is>
          <t>USNFK</t>
        </is>
      </c>
      <c r="O810" t="inlineStr">
        <is>
          <t>USNFK</t>
        </is>
      </c>
      <c r="P810" t="inlineStr">
        <is>
          <t>RULED</t>
        </is>
      </c>
      <c r="U810" t="inlineStr">
        <is>
          <t>RULED</t>
        </is>
      </c>
      <c r="V810" t="inlineStr">
        <is>
          <t>RULED</t>
        </is>
      </c>
      <c r="W810" t="inlineStr">
        <is>
          <t>UNITED STATES</t>
        </is>
      </c>
      <c r="X810" t="inlineStr">
        <is>
          <t>Latin America</t>
        </is>
      </c>
      <c r="Y810" t="inlineStr">
        <is>
          <t>RUSSIA</t>
        </is>
      </c>
      <c r="Z810" t="inlineStr">
        <is>
          <t>External Review</t>
        </is>
      </c>
      <c r="AA810" t="inlineStr">
        <is>
          <t>HUB SHIPPING LLC-LED</t>
        </is>
      </c>
      <c r="AB810" t="inlineStr">
        <is>
          <t>Prepaid</t>
        </is>
      </c>
      <c r="AC810" t="inlineStr">
        <is>
          <t>LI DA XING/VOYAGE 1</t>
        </is>
      </c>
      <c r="AE810" t="inlineStr">
        <is>
          <t>LADEN BOOKING</t>
        </is>
      </c>
      <c r="AF810" t="inlineStr">
        <is>
          <t>Maria JessicaSAM</t>
        </is>
      </c>
      <c r="AG810" t="inlineStr">
        <is>
          <t>DC20</t>
        </is>
      </c>
      <c r="AH810" t="inlineStr">
        <is>
          <t>NO</t>
        </is>
      </c>
      <c r="AI810" t="n">
        <v>20</v>
      </c>
      <c r="AJ810" t="n">
        <v>1</v>
      </c>
      <c r="AK810" t="n">
        <v>0</v>
      </c>
      <c r="AP810" t="inlineStr">
        <is>
          <t>Non Haz</t>
        </is>
      </c>
      <c r="AQ810" t="inlineStr">
        <is>
          <t>CY/CY</t>
        </is>
      </c>
      <c r="AU810" t="n">
        <v>20000</v>
      </c>
      <c r="AV810" t="inlineStr">
        <is>
          <t>COFFEE</t>
        </is>
      </c>
      <c r="AX810" t="inlineStr">
        <is>
          <t>RSSAM042600028</t>
        </is>
      </c>
      <c r="AZ810" t="n">
        <v>0</v>
      </c>
      <c r="BA810" t="n">
        <v>14</v>
      </c>
      <c r="BB810" t="n">
        <v>14</v>
      </c>
      <c r="BC810" t="n">
        <v>3200</v>
      </c>
      <c r="BD810" t="inlineStr">
        <is>
          <t>No</t>
        </is>
      </c>
      <c r="BG810" t="inlineStr">
        <is>
          <t>USNFK</t>
        </is>
      </c>
      <c r="BH810" t="n">
        <v>0</v>
      </c>
      <c r="BI810" t="n">
        <v>0</v>
      </c>
      <c r="BJ810" t="inlineStr">
        <is>
          <t xml:space="preserve"> 0</t>
        </is>
      </c>
      <c r="BK810" t="inlineStr">
        <is>
          <t>LINE</t>
        </is>
      </c>
      <c r="BL810" t="inlineStr">
        <is>
          <t>WOLF DRY</t>
        </is>
      </c>
      <c r="BM810" t="inlineStr">
        <is>
          <t>WOLF DRY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9"/>
  <sheetViews>
    <sheetView tabSelected="1" workbookViewId="0">
      <selection activeCell="J493" sqref="J493"/>
    </sheetView>
  </sheetViews>
  <sheetFormatPr baseColWidth="8" defaultRowHeight="14.5"/>
  <cols>
    <col width="8.7265625" customWidth="1" style="35" min="1" max="1"/>
    <col width="8.6328125" bestFit="1" customWidth="1" style="35" min="2" max="2"/>
    <col width="15.6328125" bestFit="1" customWidth="1" style="35" min="3" max="3"/>
    <col width="8.7265625" customWidth="1" style="35" min="4" max="6"/>
    <col width="9" customWidth="1" style="35" min="7" max="7"/>
    <col width="8.90625" customWidth="1" style="35" min="8" max="8"/>
    <col width="8.7265625" customWidth="1" style="35" min="9" max="10"/>
    <col width="9" customWidth="1" style="35" min="11" max="11"/>
    <col width="8.7265625" customWidth="1" style="35" min="12" max="13"/>
    <col width="10.08984375" customWidth="1" style="35" min="14" max="14"/>
    <col width="10" customWidth="1" style="35" min="15" max="15"/>
    <col width="17.81640625" bestFit="1" customWidth="1" min="16" max="16"/>
    <col width="17.08984375" customWidth="1" min="17" max="17"/>
    <col width="7.453125" bestFit="1" customWidth="1" min="18" max="18"/>
    <col width="7.453125" customWidth="1" min="19" max="19"/>
    <col width="43" bestFit="1" customWidth="1" min="20" max="20"/>
    <col width="9.26953125" bestFit="1" customWidth="1" min="21" max="21"/>
    <col width="10.54296875" customWidth="1" min="22" max="22"/>
  </cols>
  <sheetData>
    <row r="1">
      <c r="A1" s="1" t="inlineStr">
        <is>
          <t>Bay</t>
        </is>
      </c>
      <c r="B1" s="1" t="inlineStr">
        <is>
          <t>Slot</t>
        </is>
      </c>
      <c r="C1" s="1" t="inlineStr">
        <is>
          <t>Container Id</t>
        </is>
      </c>
      <c r="D1" s="1" t="inlineStr">
        <is>
          <t>Size</t>
        </is>
      </c>
      <c r="E1" s="1" t="inlineStr">
        <is>
          <t>POL</t>
        </is>
      </c>
      <c r="F1" s="1" t="inlineStr">
        <is>
          <t>POD</t>
        </is>
      </c>
      <c r="G1" s="1" t="inlineStr">
        <is>
          <t>Weight</t>
        </is>
      </c>
      <c r="H1" s="1" t="inlineStr">
        <is>
          <t>Carrier</t>
        </is>
      </c>
      <c r="I1" s="1" t="inlineStr">
        <is>
          <t>Type</t>
        </is>
      </c>
      <c r="J1" s="1" t="inlineStr">
        <is>
          <t>Class</t>
        </is>
      </c>
      <c r="K1" s="1" t="inlineStr">
        <is>
          <t>Setting</t>
        </is>
      </c>
      <c r="L1" s="1" t="inlineStr">
        <is>
          <t>Height</t>
        </is>
      </c>
      <c r="M1" s="1" t="inlineStr">
        <is>
          <t>Full</t>
        </is>
      </c>
      <c r="N1" s="1" t="inlineStr">
        <is>
          <t>Delivery</t>
        </is>
      </c>
      <c r="O1" s="1" t="inlineStr">
        <is>
          <t>Opt Port</t>
        </is>
      </c>
      <c r="P1" s="24" t="inlineStr">
        <is>
          <t>Vessel Origem</t>
        </is>
      </c>
      <c r="Q1" s="24" t="inlineStr">
        <is>
          <t>Booking Number</t>
        </is>
      </c>
      <c r="R1" s="24" t="inlineStr">
        <is>
          <t>Type2</t>
        </is>
      </c>
      <c r="S1" s="24" t="inlineStr">
        <is>
          <t>Weight2</t>
        </is>
      </c>
      <c r="T1" s="24" t="inlineStr">
        <is>
          <t>Booking party</t>
        </is>
      </c>
      <c r="U1" s="25" t="inlineStr">
        <is>
          <t>FPOD</t>
        </is>
      </c>
      <c r="V1" s="43" t="inlineStr">
        <is>
          <t>Revenue</t>
        </is>
      </c>
    </row>
    <row r="2">
      <c r="A2" t="n">
        <v>1</v>
      </c>
      <c r="B2" t="n">
        <v>10110</v>
      </c>
      <c r="C2" t="inlineStr">
        <is>
          <t xml:space="preserve">     ANON0000000</t>
        </is>
      </c>
      <c r="D2" t="n">
        <v>20</v>
      </c>
      <c r="E2" t="inlineStr">
        <is>
          <t>RULED</t>
        </is>
      </c>
      <c r="F2" t="inlineStr">
        <is>
          <t>USNYC</t>
        </is>
      </c>
      <c r="G2" t="n">
        <v>23100</v>
      </c>
      <c r="H2" t="inlineStr">
        <is>
          <t>ART</t>
        </is>
      </c>
      <c r="I2" t="inlineStr">
        <is>
          <t>22G1</t>
        </is>
      </c>
      <c r="L2" t="inlineStr">
        <is>
          <t>8'6</t>
        </is>
      </c>
      <c r="M2" t="inlineStr">
        <is>
          <t>Full</t>
        </is>
      </c>
      <c r="P2">
        <f t="array" ref="P2">IFERROR(INDEX(Disch_Booking_Report!B:B, MATCH(TRUE, ISNUMBER(FIND(SUBSTITUTE(C2," ",""), Disch_Booking_Report!AC:AC)), 0)), "Not Found")</f>
        <v/>
      </c>
      <c r="Q2">
        <f t="array" ref="Q2">IFERROR(INDEX(Disch_Booking_Report!C:C, MATCH(TRUE, ISNUMBER(FIND(SUBSTITUTE(C2," ",""), Disch_Booking_Report!AC:AC)), 0)), "Not Found")</f>
        <v/>
      </c>
      <c r="R2">
        <f t="array" ref="R2">IFERROR(INDEX(Disch_Booking_Report!AD:AD, MATCH(TRUE, ISNUMBER(FIND(SUBSTITUTE(C2," ",""), Disch_Booking_Report!AC:AC)), 0)), "Not Found")</f>
        <v/>
      </c>
      <c r="S2">
        <f>Tabela2[[#This Row],[Weight]]</f>
        <v/>
      </c>
      <c r="T2">
        <f t="array" ref="T2">IFERROR(INDEX(Disch_Booking_Report!L:L, MATCH(TRUE, ISNUMBER(FIND(SUBSTITUTE(C2," ",""), Disch_Booking_Report!AC:AC)), 0)), "Not Found")</f>
        <v/>
      </c>
      <c r="U2">
        <f t="array" ref="U2">IFERROR(INDEX(Disch_Booking_Report!I:I, MATCH(TRUE, ISNUMBER(FIND(SUBSTITUTE(C2," ",""), Disch_Booking_Report!AC:AC)), 0)), "Not Found")</f>
        <v/>
      </c>
    </row>
    <row r="3">
      <c r="A3" t="n">
        <v>1</v>
      </c>
      <c r="B3" t="n">
        <v>10210</v>
      </c>
      <c r="C3" t="inlineStr">
        <is>
          <t xml:space="preserve">     ANON0000000</t>
        </is>
      </c>
      <c r="D3" t="n">
        <v>20</v>
      </c>
      <c r="E3" t="inlineStr">
        <is>
          <t>RULED</t>
        </is>
      </c>
      <c r="F3" t="inlineStr">
        <is>
          <t>USNYC</t>
        </is>
      </c>
      <c r="G3" t="n">
        <v>23100</v>
      </c>
      <c r="H3" t="inlineStr">
        <is>
          <t>ART</t>
        </is>
      </c>
      <c r="I3" t="inlineStr">
        <is>
          <t>22G1</t>
        </is>
      </c>
      <c r="L3" t="inlineStr">
        <is>
          <t>8'6</t>
        </is>
      </c>
      <c r="M3" t="inlineStr">
        <is>
          <t>Full</t>
        </is>
      </c>
      <c r="P3">
        <f t="array" ref="P3">IFERROR(INDEX(Disch_Booking_Report!B:B, MATCH(TRUE, ISNUMBER(FIND(SUBSTITUTE(C3," ",""), Disch_Booking_Report!AC:AC)), 0)), "Not Found")</f>
        <v/>
      </c>
      <c r="Q3">
        <f t="array" ref="Q3">IFERROR(INDEX(Disch_Booking_Report!C:C, MATCH(TRUE, ISNUMBER(FIND(SUBSTITUTE(C3," ",""), Disch_Booking_Report!AC:AC)), 0)), "Not Found")</f>
        <v/>
      </c>
      <c r="R3">
        <f t="array" ref="R3">IFERROR(INDEX(Disch_Booking_Report!AD:AD, MATCH(TRUE, ISNUMBER(FIND(SUBSTITUTE(C3," ",""), Disch_Booking_Report!AC:AC)), 0)), "Not Found")</f>
        <v/>
      </c>
      <c r="S3">
        <f>Tabela2[[#This Row],[Weight]]</f>
        <v/>
      </c>
      <c r="T3">
        <f t="array" ref="T3">IFERROR(INDEX(Disch_Booking_Report!L:L, MATCH(TRUE, ISNUMBER(FIND(SUBSTITUTE(C3," ",""), Disch_Booking_Report!AC:AC)), 0)), "Not Found")</f>
        <v/>
      </c>
      <c r="U3">
        <f t="array" ref="U3">IFERROR(INDEX(Disch_Booking_Report!I:I, MATCH(TRUE, ISNUMBER(FIND(SUBSTITUTE(C3," ",""), Disch_Booking_Report!AC:AC)), 0)), "Not Found")</f>
        <v/>
      </c>
    </row>
    <row r="4">
      <c r="A4" t="n">
        <v>1</v>
      </c>
      <c r="B4" t="n">
        <v>10004</v>
      </c>
      <c r="C4" t="inlineStr">
        <is>
          <t xml:space="preserve">     ANON0000000</t>
        </is>
      </c>
      <c r="D4" t="n">
        <v>20</v>
      </c>
      <c r="E4" t="inlineStr">
        <is>
          <t>RULED</t>
        </is>
      </c>
      <c r="F4" t="inlineStr">
        <is>
          <t>USNYC</t>
        </is>
      </c>
      <c r="G4" t="n">
        <v>23100</v>
      </c>
      <c r="H4" t="inlineStr">
        <is>
          <t>ART</t>
        </is>
      </c>
      <c r="I4" t="inlineStr">
        <is>
          <t>22G1</t>
        </is>
      </c>
      <c r="L4" t="inlineStr">
        <is>
          <t>8'6</t>
        </is>
      </c>
      <c r="M4" t="inlineStr">
        <is>
          <t>Full</t>
        </is>
      </c>
      <c r="P4">
        <f t="array" ref="P4">IFERROR(INDEX(Disch_Booking_Report!B:B, MATCH(TRUE, ISNUMBER(FIND(SUBSTITUTE(C4," ",""), Disch_Booking_Report!AC:AC)), 0)), "Not Found")</f>
        <v/>
      </c>
      <c r="Q4">
        <f t="array" ref="Q4">IFERROR(INDEX(Disch_Booking_Report!C:C, MATCH(TRUE, ISNUMBER(FIND(SUBSTITUTE(C4," ",""), Disch_Booking_Report!AC:AC)), 0)), "Not Found")</f>
        <v/>
      </c>
      <c r="R4">
        <f t="array" ref="R4">IFERROR(INDEX(Disch_Booking_Report!AD:AD, MATCH(TRUE, ISNUMBER(FIND(SUBSTITUTE(C4," ",""), Disch_Booking_Report!AC:AC)), 0)), "Not Found")</f>
        <v/>
      </c>
      <c r="S4">
        <f>Tabela2[[#This Row],[Weight]]</f>
        <v/>
      </c>
      <c r="T4">
        <f t="array" ref="T4">IFERROR(INDEX(Disch_Booking_Report!L:L, MATCH(TRUE, ISNUMBER(FIND(SUBSTITUTE(C4," ",""), Disch_Booking_Report!AC:AC)), 0)), "Not Found")</f>
        <v/>
      </c>
      <c r="U4">
        <f t="array" ref="U4">IFERROR(INDEX(Disch_Booking_Report!I:I, MATCH(TRUE, ISNUMBER(FIND(SUBSTITUTE(C4," ",""), Disch_Booking_Report!AC:AC)), 0)), "Not Found")</f>
        <v/>
      </c>
    </row>
    <row r="5">
      <c r="A5" t="n">
        <v>1</v>
      </c>
      <c r="B5" t="n">
        <v>10006</v>
      </c>
      <c r="C5" t="inlineStr">
        <is>
          <t xml:space="preserve">     ANON0000000</t>
        </is>
      </c>
      <c r="D5" t="n">
        <v>20</v>
      </c>
      <c r="E5" t="inlineStr">
        <is>
          <t>RULED</t>
        </is>
      </c>
      <c r="F5" t="inlineStr">
        <is>
          <t>USNYC</t>
        </is>
      </c>
      <c r="G5" t="n">
        <v>23100</v>
      </c>
      <c r="H5" t="inlineStr">
        <is>
          <t>ART</t>
        </is>
      </c>
      <c r="I5" t="inlineStr">
        <is>
          <t>22G1</t>
        </is>
      </c>
      <c r="L5" t="inlineStr">
        <is>
          <t>8'6</t>
        </is>
      </c>
      <c r="M5" t="inlineStr">
        <is>
          <t>Full</t>
        </is>
      </c>
      <c r="P5">
        <f t="array" ref="P5">IFERROR(INDEX(Disch_Booking_Report!B:B, MATCH(TRUE, ISNUMBER(FIND(SUBSTITUTE(C5," ",""), Disch_Booking_Report!AC:AC)), 0)), "Not Found")</f>
        <v/>
      </c>
      <c r="Q5">
        <f t="array" ref="Q5">IFERROR(INDEX(Disch_Booking_Report!C:C, MATCH(TRUE, ISNUMBER(FIND(SUBSTITUTE(C5," ",""), Disch_Booking_Report!AC:AC)), 0)), "Not Found")</f>
        <v/>
      </c>
      <c r="R5">
        <f t="array" ref="R5">IFERROR(INDEX(Disch_Booking_Report!AD:AD, MATCH(TRUE, ISNUMBER(FIND(SUBSTITUTE(C5," ",""), Disch_Booking_Report!AC:AC)), 0)), "Not Found")</f>
        <v/>
      </c>
      <c r="S5">
        <f>Tabela2[[#This Row],[Weight]]</f>
        <v/>
      </c>
      <c r="T5">
        <f t="array" ref="T5">IFERROR(INDEX(Disch_Booking_Report!L:L, MATCH(TRUE, ISNUMBER(FIND(SUBSTITUTE(C5," ",""), Disch_Booking_Report!AC:AC)), 0)), "Not Found")</f>
        <v/>
      </c>
      <c r="U5">
        <f t="array" ref="U5">IFERROR(INDEX(Disch_Booking_Report!I:I, MATCH(TRUE, ISNUMBER(FIND(SUBSTITUTE(C5," ",""), Disch_Booking_Report!AC:AC)), 0)), "Not Found")</f>
        <v/>
      </c>
    </row>
    <row r="6">
      <c r="A6" t="n">
        <v>2</v>
      </c>
      <c r="B6" t="n">
        <v>20282</v>
      </c>
      <c r="C6" t="inlineStr">
        <is>
          <t xml:space="preserve">     ANON0000000</t>
        </is>
      </c>
      <c r="D6" t="n">
        <v>40</v>
      </c>
      <c r="E6" t="inlineStr">
        <is>
          <t>RULED</t>
        </is>
      </c>
      <c r="F6" t="inlineStr">
        <is>
          <t>USNYC</t>
        </is>
      </c>
      <c r="G6" t="n">
        <v>32460</v>
      </c>
      <c r="H6" t="inlineStr">
        <is>
          <t>ART</t>
        </is>
      </c>
      <c r="I6" t="inlineStr">
        <is>
          <t>45G1</t>
        </is>
      </c>
      <c r="L6" t="inlineStr">
        <is>
          <t>9'6</t>
        </is>
      </c>
      <c r="M6" t="inlineStr">
        <is>
          <t>Full</t>
        </is>
      </c>
      <c r="P6">
        <f t="array" ref="P6">IFERROR(INDEX(Disch_Booking_Report!B:B, MATCH(TRUE, ISNUMBER(FIND(SUBSTITUTE(C6," ",""), Disch_Booking_Report!AC:AC)), 0)), "Not Found")</f>
        <v/>
      </c>
      <c r="Q6">
        <f t="array" ref="Q6">IFERROR(INDEX(Disch_Booking_Report!C:C, MATCH(TRUE, ISNUMBER(FIND(SUBSTITUTE(C6," ",""), Disch_Booking_Report!AC:AC)), 0)), "Not Found")</f>
        <v/>
      </c>
      <c r="R6">
        <f t="array" ref="R6">IFERROR(INDEX(Disch_Booking_Report!AD:AD, MATCH(TRUE, ISNUMBER(FIND(SUBSTITUTE(C6," ",""), Disch_Booking_Report!AC:AC)), 0)), "Not Found")</f>
        <v/>
      </c>
      <c r="S6">
        <f>Tabela2[[#This Row],[Weight]]</f>
        <v/>
      </c>
      <c r="T6">
        <f t="array" ref="T6">IFERROR(INDEX(Disch_Booking_Report!L:L, MATCH(TRUE, ISNUMBER(FIND(SUBSTITUTE(C6," ",""), Disch_Booking_Report!AC:AC)), 0)), "Not Found")</f>
        <v/>
      </c>
      <c r="U6">
        <f t="array" ref="U6">IFERROR(INDEX(Disch_Booking_Report!I:I, MATCH(TRUE, ISNUMBER(FIND(SUBSTITUTE(C6," ",""), Disch_Booking_Report!AC:AC)), 0)), "Not Found")</f>
        <v/>
      </c>
    </row>
    <row r="7">
      <c r="A7" t="n">
        <v>2</v>
      </c>
      <c r="B7" t="n">
        <v>20682</v>
      </c>
      <c r="C7" t="inlineStr">
        <is>
          <t xml:space="preserve">     ANON0000000</t>
        </is>
      </c>
      <c r="D7" t="n">
        <v>40</v>
      </c>
      <c r="E7" t="inlineStr">
        <is>
          <t>RULED</t>
        </is>
      </c>
      <c r="F7" t="inlineStr">
        <is>
          <t>USNYC</t>
        </is>
      </c>
      <c r="G7" t="n">
        <v>32320</v>
      </c>
      <c r="H7" t="inlineStr">
        <is>
          <t>ART</t>
        </is>
      </c>
      <c r="I7" t="inlineStr">
        <is>
          <t>45G1</t>
        </is>
      </c>
      <c r="L7" t="inlineStr">
        <is>
          <t>9'6</t>
        </is>
      </c>
      <c r="M7" t="inlineStr">
        <is>
          <t>Full</t>
        </is>
      </c>
      <c r="P7">
        <f t="array" ref="P7">IFERROR(INDEX(Disch_Booking_Report!B:B, MATCH(TRUE, ISNUMBER(FIND(SUBSTITUTE(C7," ",""), Disch_Booking_Report!AC:AC)), 0)), "Not Found")</f>
        <v/>
      </c>
      <c r="Q7">
        <f t="array" ref="Q7">IFERROR(INDEX(Disch_Booking_Report!C:C, MATCH(TRUE, ISNUMBER(FIND(SUBSTITUTE(C7," ",""), Disch_Booking_Report!AC:AC)), 0)), "Not Found")</f>
        <v/>
      </c>
      <c r="R7">
        <f t="array" ref="R7">IFERROR(INDEX(Disch_Booking_Report!AD:AD, MATCH(TRUE, ISNUMBER(FIND(SUBSTITUTE(C7," ",""), Disch_Booking_Report!AC:AC)), 0)), "Not Found")</f>
        <v/>
      </c>
      <c r="S7">
        <f>Tabela2[[#This Row],[Weight]]</f>
        <v/>
      </c>
      <c r="T7">
        <f t="array" ref="T7">IFERROR(INDEX(Disch_Booking_Report!L:L, MATCH(TRUE, ISNUMBER(FIND(SUBSTITUTE(C7," ",""), Disch_Booking_Report!AC:AC)), 0)), "Not Found")</f>
        <v/>
      </c>
      <c r="U7">
        <f t="array" ref="U7">IFERROR(INDEX(Disch_Booking_Report!I:I, MATCH(TRUE, ISNUMBER(FIND(SUBSTITUTE(C7," ",""), Disch_Booking_Report!AC:AC)), 0)), "Not Found")</f>
        <v/>
      </c>
    </row>
    <row r="8">
      <c r="A8" t="n">
        <v>2</v>
      </c>
      <c r="B8" t="n">
        <v>20684</v>
      </c>
      <c r="C8" t="inlineStr">
        <is>
          <t xml:space="preserve">     ANON0000000</t>
        </is>
      </c>
      <c r="D8" t="n">
        <v>40</v>
      </c>
      <c r="E8" t="inlineStr">
        <is>
          <t>RULED</t>
        </is>
      </c>
      <c r="F8" t="inlineStr">
        <is>
          <t>USNYC</t>
        </is>
      </c>
      <c r="G8" t="n">
        <v>32320</v>
      </c>
      <c r="H8" t="inlineStr">
        <is>
          <t>ART</t>
        </is>
      </c>
      <c r="I8" t="inlineStr">
        <is>
          <t>45G1</t>
        </is>
      </c>
      <c r="L8" t="inlineStr">
        <is>
          <t>9'6</t>
        </is>
      </c>
      <c r="M8" t="inlineStr">
        <is>
          <t>Full</t>
        </is>
      </c>
      <c r="P8">
        <f t="array" ref="P8">IFERROR(INDEX(Disch_Booking_Report!B:B, MATCH(TRUE, ISNUMBER(FIND(SUBSTITUTE(C8," ",""), Disch_Booking_Report!AC:AC)), 0)), "Not Found")</f>
        <v/>
      </c>
      <c r="Q8">
        <f t="array" ref="Q8">IFERROR(INDEX(Disch_Booking_Report!C:C, MATCH(TRUE, ISNUMBER(FIND(SUBSTITUTE(C8," ",""), Disch_Booking_Report!AC:AC)), 0)), "Not Found")</f>
        <v/>
      </c>
      <c r="R8">
        <f t="array" ref="R8">IFERROR(INDEX(Disch_Booking_Report!AD:AD, MATCH(TRUE, ISNUMBER(FIND(SUBSTITUTE(C8," ",""), Disch_Booking_Report!AC:AC)), 0)), "Not Found")</f>
        <v/>
      </c>
      <c r="S8">
        <f>Tabela2[[#This Row],[Weight]]</f>
        <v/>
      </c>
      <c r="T8">
        <f t="array" ref="T8">IFERROR(INDEX(Disch_Booking_Report!L:L, MATCH(TRUE, ISNUMBER(FIND(SUBSTITUTE(C8," ",""), Disch_Booking_Report!AC:AC)), 0)), "Not Found")</f>
        <v/>
      </c>
      <c r="U8">
        <f t="array" ref="U8">IFERROR(INDEX(Disch_Booking_Report!I:I, MATCH(TRUE, ISNUMBER(FIND(SUBSTITUTE(C8," ",""), Disch_Booking_Report!AC:AC)), 0)), "Not Found")</f>
        <v/>
      </c>
    </row>
    <row r="9">
      <c r="A9" t="n">
        <v>2</v>
      </c>
      <c r="B9" t="n">
        <v>20582</v>
      </c>
      <c r="C9" t="inlineStr">
        <is>
          <t xml:space="preserve">     ANON0000000</t>
        </is>
      </c>
      <c r="D9" t="n">
        <v>40</v>
      </c>
      <c r="E9" t="inlineStr">
        <is>
          <t>RULED</t>
        </is>
      </c>
      <c r="F9" t="inlineStr">
        <is>
          <t>USNYC</t>
        </is>
      </c>
      <c r="G9" t="n">
        <v>32320</v>
      </c>
      <c r="H9" t="inlineStr">
        <is>
          <t>ART</t>
        </is>
      </c>
      <c r="I9" t="inlineStr">
        <is>
          <t>45G1</t>
        </is>
      </c>
      <c r="L9" t="inlineStr">
        <is>
          <t>9'6</t>
        </is>
      </c>
      <c r="M9" t="inlineStr">
        <is>
          <t>Full</t>
        </is>
      </c>
      <c r="P9">
        <f t="array" ref="P9">IFERROR(INDEX(Disch_Booking_Report!B:B, MATCH(TRUE, ISNUMBER(FIND(SUBSTITUTE(C9," ",""), Disch_Booking_Report!AC:AC)), 0)), "Not Found")</f>
        <v/>
      </c>
      <c r="Q9">
        <f t="array" ref="Q9">IFERROR(INDEX(Disch_Booking_Report!C:C, MATCH(TRUE, ISNUMBER(FIND(SUBSTITUTE(C9," ",""), Disch_Booking_Report!AC:AC)), 0)), "Not Found")</f>
        <v/>
      </c>
      <c r="R9">
        <f t="array" ref="R9">IFERROR(INDEX(Disch_Booking_Report!AD:AD, MATCH(TRUE, ISNUMBER(FIND(SUBSTITUTE(C9," ",""), Disch_Booking_Report!AC:AC)), 0)), "Not Found")</f>
        <v/>
      </c>
      <c r="S9">
        <f>Tabela2[[#This Row],[Weight]]</f>
        <v/>
      </c>
      <c r="T9">
        <f t="array" ref="T9">IFERROR(INDEX(Disch_Booking_Report!L:L, MATCH(TRUE, ISNUMBER(FIND(SUBSTITUTE(C9," ",""), Disch_Booking_Report!AC:AC)), 0)), "Not Found")</f>
        <v/>
      </c>
      <c r="U9">
        <f t="array" ref="U9">IFERROR(INDEX(Disch_Booking_Report!I:I, MATCH(TRUE, ISNUMBER(FIND(SUBSTITUTE(C9," ",""), Disch_Booking_Report!AC:AC)), 0)), "Not Found")</f>
        <v/>
      </c>
    </row>
    <row r="10">
      <c r="A10" t="n">
        <v>2</v>
      </c>
      <c r="B10" t="n">
        <v>20184</v>
      </c>
      <c r="C10" t="inlineStr">
        <is>
          <t xml:space="preserve">     ANON0000000</t>
        </is>
      </c>
      <c r="D10" t="n">
        <v>40</v>
      </c>
      <c r="E10" t="inlineStr">
        <is>
          <t>RULED</t>
        </is>
      </c>
      <c r="F10" t="inlineStr">
        <is>
          <t>USNYC</t>
        </is>
      </c>
      <c r="G10" t="n">
        <v>32320</v>
      </c>
      <c r="H10" t="inlineStr">
        <is>
          <t>ART</t>
        </is>
      </c>
      <c r="I10" t="inlineStr">
        <is>
          <t>45G1</t>
        </is>
      </c>
      <c r="L10" t="inlineStr">
        <is>
          <t>9'6</t>
        </is>
      </c>
      <c r="M10" t="inlineStr">
        <is>
          <t>Full</t>
        </is>
      </c>
      <c r="P10">
        <f t="array" ref="P10">IFERROR(INDEX(Disch_Booking_Report!B:B, MATCH(TRUE, ISNUMBER(FIND(SUBSTITUTE(C10," ",""), Disch_Booking_Report!AC:AC)), 0)), "Not Found")</f>
        <v/>
      </c>
      <c r="Q10">
        <f t="array" ref="Q10">IFERROR(INDEX(Disch_Booking_Report!C:C, MATCH(TRUE, ISNUMBER(FIND(SUBSTITUTE(C10," ",""), Disch_Booking_Report!AC:AC)), 0)), "Not Found")</f>
        <v/>
      </c>
      <c r="R10">
        <f t="array" ref="R10">IFERROR(INDEX(Disch_Booking_Report!AD:AD, MATCH(TRUE, ISNUMBER(FIND(SUBSTITUTE(C10," ",""), Disch_Booking_Report!AC:AC)), 0)), "Not Found")</f>
        <v/>
      </c>
      <c r="S10">
        <f>Tabela2[[#This Row],[Weight]]</f>
        <v/>
      </c>
      <c r="T10">
        <f t="array" ref="T10">IFERROR(INDEX(Disch_Booking_Report!L:L, MATCH(TRUE, ISNUMBER(FIND(SUBSTITUTE(C10," ",""), Disch_Booking_Report!AC:AC)), 0)), "Not Found")</f>
        <v/>
      </c>
      <c r="U10">
        <f t="array" ref="U10">IFERROR(INDEX(Disch_Booking_Report!I:I, MATCH(TRUE, ISNUMBER(FIND(SUBSTITUTE(C10," ",""), Disch_Booking_Report!AC:AC)), 0)), "Not Found")</f>
        <v/>
      </c>
    </row>
    <row r="11">
      <c r="A11" t="n">
        <v>2</v>
      </c>
      <c r="B11" t="n">
        <v>20384</v>
      </c>
      <c r="C11" t="inlineStr">
        <is>
          <t xml:space="preserve">     ANON0000000</t>
        </is>
      </c>
      <c r="D11" t="n">
        <v>40</v>
      </c>
      <c r="E11" t="inlineStr">
        <is>
          <t>RULED</t>
        </is>
      </c>
      <c r="F11" t="inlineStr">
        <is>
          <t>USNYC</t>
        </is>
      </c>
      <c r="G11" t="n">
        <v>32320</v>
      </c>
      <c r="H11" t="inlineStr">
        <is>
          <t>ART</t>
        </is>
      </c>
      <c r="I11" t="inlineStr">
        <is>
          <t>45G1</t>
        </is>
      </c>
      <c r="L11" t="inlineStr">
        <is>
          <t>9'6</t>
        </is>
      </c>
      <c r="M11" t="inlineStr">
        <is>
          <t>Full</t>
        </is>
      </c>
      <c r="P11">
        <f t="array" ref="P11">IFERROR(INDEX(Disch_Booking_Report!B:B, MATCH(TRUE, ISNUMBER(FIND(SUBSTITUTE(C11," ",""), Disch_Booking_Report!AC:AC)), 0)), "Not Found")</f>
        <v/>
      </c>
      <c r="Q11">
        <f t="array" ref="Q11">IFERROR(INDEX(Disch_Booking_Report!C:C, MATCH(TRUE, ISNUMBER(FIND(SUBSTITUTE(C11," ",""), Disch_Booking_Report!AC:AC)), 0)), "Not Found")</f>
        <v/>
      </c>
      <c r="R11">
        <f t="array" ref="R11">IFERROR(INDEX(Disch_Booking_Report!AD:AD, MATCH(TRUE, ISNUMBER(FIND(SUBSTITUTE(C11," ",""), Disch_Booking_Report!AC:AC)), 0)), "Not Found")</f>
        <v/>
      </c>
      <c r="S11">
        <f>Tabela2[[#This Row],[Weight]]</f>
        <v/>
      </c>
      <c r="T11">
        <f t="array" ref="T11">IFERROR(INDEX(Disch_Booking_Report!L:L, MATCH(TRUE, ISNUMBER(FIND(SUBSTITUTE(C11," ",""), Disch_Booking_Report!AC:AC)), 0)), "Not Found")</f>
        <v/>
      </c>
      <c r="U11">
        <f t="array" ref="U11">IFERROR(INDEX(Disch_Booking_Report!I:I, MATCH(TRUE, ISNUMBER(FIND(SUBSTITUTE(C11," ",""), Disch_Booking_Report!AC:AC)), 0)), "Not Found")</f>
        <v/>
      </c>
    </row>
    <row r="12">
      <c r="A12" t="n">
        <v>2</v>
      </c>
      <c r="B12" t="n">
        <v>20082</v>
      </c>
      <c r="C12" t="inlineStr">
        <is>
          <t xml:space="preserve">     ANON0000000</t>
        </is>
      </c>
      <c r="D12" t="n">
        <v>40</v>
      </c>
      <c r="E12" t="inlineStr">
        <is>
          <t>RULED</t>
        </is>
      </c>
      <c r="F12" t="inlineStr">
        <is>
          <t>USNYC</t>
        </is>
      </c>
      <c r="G12" t="n">
        <v>32320</v>
      </c>
      <c r="H12" t="inlineStr">
        <is>
          <t>ART</t>
        </is>
      </c>
      <c r="I12" t="inlineStr">
        <is>
          <t>45G1</t>
        </is>
      </c>
      <c r="L12" t="inlineStr">
        <is>
          <t>9'6</t>
        </is>
      </c>
      <c r="M12" t="inlineStr">
        <is>
          <t>Full</t>
        </is>
      </c>
      <c r="P12">
        <f t="array" ref="P12">IFERROR(INDEX(Disch_Booking_Report!B:B, MATCH(TRUE, ISNUMBER(FIND(SUBSTITUTE(C12," ",""), Disch_Booking_Report!AC:AC)), 0)), "Not Found")</f>
        <v/>
      </c>
      <c r="Q12">
        <f t="array" ref="Q12">IFERROR(INDEX(Disch_Booking_Report!C:C, MATCH(TRUE, ISNUMBER(FIND(SUBSTITUTE(C12," ",""), Disch_Booking_Report!AC:AC)), 0)), "Not Found")</f>
        <v/>
      </c>
      <c r="R12">
        <f t="array" ref="R12">IFERROR(INDEX(Disch_Booking_Report!AD:AD, MATCH(TRUE, ISNUMBER(FIND(SUBSTITUTE(C12," ",""), Disch_Booking_Report!AC:AC)), 0)), "Not Found")</f>
        <v/>
      </c>
      <c r="S12">
        <f>Tabela2[[#This Row],[Weight]]</f>
        <v/>
      </c>
      <c r="T12">
        <f t="array" ref="T12">IFERROR(INDEX(Disch_Booking_Report!L:L, MATCH(TRUE, ISNUMBER(FIND(SUBSTITUTE(C12," ",""), Disch_Booking_Report!AC:AC)), 0)), "Not Found")</f>
        <v/>
      </c>
      <c r="U12">
        <f t="array" ref="U12">IFERROR(INDEX(Disch_Booking_Report!I:I, MATCH(TRUE, ISNUMBER(FIND(SUBSTITUTE(C12," ",""), Disch_Booking_Report!AC:AC)), 0)), "Not Found")</f>
        <v/>
      </c>
    </row>
    <row r="13">
      <c r="A13" t="n">
        <v>2</v>
      </c>
      <c r="B13" t="n">
        <v>20382</v>
      </c>
      <c r="C13" t="inlineStr">
        <is>
          <t xml:space="preserve">     ANON0000000</t>
        </is>
      </c>
      <c r="D13" t="n">
        <v>40</v>
      </c>
      <c r="E13" t="inlineStr">
        <is>
          <t>RULED</t>
        </is>
      </c>
      <c r="F13" t="inlineStr">
        <is>
          <t>USNYC</t>
        </is>
      </c>
      <c r="G13" t="n">
        <v>32320</v>
      </c>
      <c r="H13" t="inlineStr">
        <is>
          <t>ART</t>
        </is>
      </c>
      <c r="I13" t="inlineStr">
        <is>
          <t>45G1</t>
        </is>
      </c>
      <c r="L13" t="inlineStr">
        <is>
          <t>9'6</t>
        </is>
      </c>
      <c r="M13" t="inlineStr">
        <is>
          <t>Full</t>
        </is>
      </c>
      <c r="P13">
        <f t="array" ref="P13">IFERROR(INDEX(Disch_Booking_Report!B:B, MATCH(TRUE, ISNUMBER(FIND(SUBSTITUTE(C13," ",""), Disch_Booking_Report!AC:AC)), 0)), "Not Found")</f>
        <v/>
      </c>
      <c r="Q13">
        <f t="array" ref="Q13">IFERROR(INDEX(Disch_Booking_Report!C:C, MATCH(TRUE, ISNUMBER(FIND(SUBSTITUTE(C13," ",""), Disch_Booking_Report!AC:AC)), 0)), "Not Found")</f>
        <v/>
      </c>
      <c r="R13">
        <f t="array" ref="R13">IFERROR(INDEX(Disch_Booking_Report!AD:AD, MATCH(TRUE, ISNUMBER(FIND(SUBSTITUTE(C13," ",""), Disch_Booking_Report!AC:AC)), 0)), "Not Found")</f>
        <v/>
      </c>
      <c r="S13">
        <f>Tabela2[[#This Row],[Weight]]</f>
        <v/>
      </c>
      <c r="T13">
        <f t="array" ref="T13">IFERROR(INDEX(Disch_Booking_Report!L:L, MATCH(TRUE, ISNUMBER(FIND(SUBSTITUTE(C13," ",""), Disch_Booking_Report!AC:AC)), 0)), "Not Found")</f>
        <v/>
      </c>
      <c r="U13">
        <f t="array" ref="U13">IFERROR(INDEX(Disch_Booking_Report!I:I, MATCH(TRUE, ISNUMBER(FIND(SUBSTITUTE(C13," ",""), Disch_Booking_Report!AC:AC)), 0)), "Not Found")</f>
        <v/>
      </c>
    </row>
    <row r="14">
      <c r="A14" t="n">
        <v>2</v>
      </c>
      <c r="B14" t="n">
        <v>20186</v>
      </c>
      <c r="C14" t="inlineStr">
        <is>
          <t xml:space="preserve">     ANON0000000</t>
        </is>
      </c>
      <c r="D14" t="n">
        <v>40</v>
      </c>
      <c r="E14" t="inlineStr">
        <is>
          <t>RULED</t>
        </is>
      </c>
      <c r="F14" t="inlineStr">
        <is>
          <t>USNYC</t>
        </is>
      </c>
      <c r="G14" t="n">
        <v>32420</v>
      </c>
      <c r="H14" t="inlineStr">
        <is>
          <t>ART</t>
        </is>
      </c>
      <c r="I14" t="inlineStr">
        <is>
          <t>45G1</t>
        </is>
      </c>
      <c r="L14" t="inlineStr">
        <is>
          <t>9'6</t>
        </is>
      </c>
      <c r="M14" t="inlineStr">
        <is>
          <t>Full</t>
        </is>
      </c>
      <c r="P14">
        <f t="array" ref="P14">IFERROR(INDEX(Disch_Booking_Report!B:B, MATCH(TRUE, ISNUMBER(FIND(SUBSTITUTE(C14," ",""), Disch_Booking_Report!AC:AC)), 0)), "Not Found")</f>
        <v/>
      </c>
      <c r="Q14">
        <f t="array" ref="Q14">IFERROR(INDEX(Disch_Booking_Report!C:C, MATCH(TRUE, ISNUMBER(FIND(SUBSTITUTE(C14," ",""), Disch_Booking_Report!AC:AC)), 0)), "Not Found")</f>
        <v/>
      </c>
      <c r="R14">
        <f t="array" ref="R14">IFERROR(INDEX(Disch_Booking_Report!AD:AD, MATCH(TRUE, ISNUMBER(FIND(SUBSTITUTE(C14," ",""), Disch_Booking_Report!AC:AC)), 0)), "Not Found")</f>
        <v/>
      </c>
      <c r="S14">
        <f>Tabela2[[#This Row],[Weight]]</f>
        <v/>
      </c>
      <c r="T14">
        <f t="array" ref="T14">IFERROR(INDEX(Disch_Booking_Report!L:L, MATCH(TRUE, ISNUMBER(FIND(SUBSTITUTE(C14," ",""), Disch_Booking_Report!AC:AC)), 0)), "Not Found")</f>
        <v/>
      </c>
      <c r="U14">
        <f t="array" ref="U14">IFERROR(INDEX(Disch_Booking_Report!I:I, MATCH(TRUE, ISNUMBER(FIND(SUBSTITUTE(C14," ",""), Disch_Booking_Report!AC:AC)), 0)), "Not Found")</f>
        <v/>
      </c>
    </row>
    <row r="15">
      <c r="A15" t="n">
        <v>2</v>
      </c>
      <c r="B15" t="n">
        <v>20008</v>
      </c>
      <c r="C15" t="inlineStr">
        <is>
          <t xml:space="preserve">     ANON0000000</t>
        </is>
      </c>
      <c r="D15" t="n">
        <v>40</v>
      </c>
      <c r="E15" t="inlineStr">
        <is>
          <t>RULED</t>
        </is>
      </c>
      <c r="F15" t="inlineStr">
        <is>
          <t>USNYC</t>
        </is>
      </c>
      <c r="G15" t="n">
        <v>34940</v>
      </c>
      <c r="H15" t="inlineStr">
        <is>
          <t>ART</t>
        </is>
      </c>
      <c r="I15" t="inlineStr">
        <is>
          <t>45R1</t>
        </is>
      </c>
      <c r="K15" t="inlineStr">
        <is>
          <t>Dry reefer</t>
        </is>
      </c>
      <c r="L15" t="inlineStr">
        <is>
          <t>9'6</t>
        </is>
      </c>
      <c r="M15" t="inlineStr">
        <is>
          <t>Full</t>
        </is>
      </c>
      <c r="P15">
        <f t="array" ref="P15">IFERROR(INDEX(Disch_Booking_Report!B:B, MATCH(TRUE, ISNUMBER(FIND(SUBSTITUTE(C15," ",""), Disch_Booking_Report!AC:AC)), 0)), "Not Found")</f>
        <v/>
      </c>
      <c r="Q15">
        <f t="array" ref="Q15">IFERROR(INDEX(Disch_Booking_Report!C:C, MATCH(TRUE, ISNUMBER(FIND(SUBSTITUTE(C15," ",""), Disch_Booking_Report!AC:AC)), 0)), "Not Found")</f>
        <v/>
      </c>
      <c r="R15">
        <f t="array" ref="R15">IFERROR(INDEX(Disch_Booking_Report!AD:AD, MATCH(TRUE, ISNUMBER(FIND(SUBSTITUTE(C15," ",""), Disch_Booking_Report!AC:AC)), 0)), "Not Found")</f>
        <v/>
      </c>
      <c r="S15">
        <f>Tabela2[[#This Row],[Weight]]</f>
        <v/>
      </c>
      <c r="T15">
        <f t="array" ref="T15">IFERROR(INDEX(Disch_Booking_Report!L:L, MATCH(TRUE, ISNUMBER(FIND(SUBSTITUTE(C15," ",""), Disch_Booking_Report!AC:AC)), 0)), "Not Found")</f>
        <v/>
      </c>
      <c r="U15">
        <f t="array" ref="U15">IFERROR(INDEX(Disch_Booking_Report!I:I, MATCH(TRUE, ISNUMBER(FIND(SUBSTITUTE(C15," ",""), Disch_Booking_Report!AC:AC)), 0)), "Not Found")</f>
        <v/>
      </c>
    </row>
    <row r="16">
      <c r="A16" t="n">
        <v>2</v>
      </c>
      <c r="B16" t="n">
        <v>20686</v>
      </c>
      <c r="C16" t="inlineStr">
        <is>
          <t xml:space="preserve">     ANON0000000</t>
        </is>
      </c>
      <c r="D16" t="n">
        <v>40</v>
      </c>
      <c r="E16" t="inlineStr">
        <is>
          <t>RULED</t>
        </is>
      </c>
      <c r="F16" t="inlineStr">
        <is>
          <t>USNYC</t>
        </is>
      </c>
      <c r="G16" t="n">
        <v>32320</v>
      </c>
      <c r="H16" t="inlineStr">
        <is>
          <t>ART</t>
        </is>
      </c>
      <c r="I16" t="inlineStr">
        <is>
          <t>45G1</t>
        </is>
      </c>
      <c r="L16" t="inlineStr">
        <is>
          <t>9'6</t>
        </is>
      </c>
      <c r="M16" t="inlineStr">
        <is>
          <t>Full</t>
        </is>
      </c>
      <c r="P16">
        <f t="array" ref="P16">IFERROR(INDEX(Disch_Booking_Report!B:B, MATCH(TRUE, ISNUMBER(FIND(SUBSTITUTE(C16," ",""), Disch_Booking_Report!AC:AC)), 0)), "Not Found")</f>
        <v/>
      </c>
      <c r="Q16">
        <f t="array" ref="Q16">IFERROR(INDEX(Disch_Booking_Report!C:C, MATCH(TRUE, ISNUMBER(FIND(SUBSTITUTE(C16," ",""), Disch_Booking_Report!AC:AC)), 0)), "Not Found")</f>
        <v/>
      </c>
      <c r="R16">
        <f t="array" ref="R16">IFERROR(INDEX(Disch_Booking_Report!AD:AD, MATCH(TRUE, ISNUMBER(FIND(SUBSTITUTE(C16," ",""), Disch_Booking_Report!AC:AC)), 0)), "Not Found")</f>
        <v/>
      </c>
      <c r="S16">
        <f>Tabela2[[#This Row],[Weight]]</f>
        <v/>
      </c>
      <c r="T16">
        <f t="array" ref="T16">IFERROR(INDEX(Disch_Booking_Report!L:L, MATCH(TRUE, ISNUMBER(FIND(SUBSTITUTE(C16," ",""), Disch_Booking_Report!AC:AC)), 0)), "Not Found")</f>
        <v/>
      </c>
      <c r="U16">
        <f t="array" ref="U16">IFERROR(INDEX(Disch_Booking_Report!I:I, MATCH(TRUE, ISNUMBER(FIND(SUBSTITUTE(C16," ",""), Disch_Booking_Report!AC:AC)), 0)), "Not Found")</f>
        <v/>
      </c>
    </row>
    <row r="17">
      <c r="A17" t="n">
        <v>2</v>
      </c>
      <c r="B17" t="n">
        <v>20484</v>
      </c>
      <c r="C17" t="inlineStr">
        <is>
          <t xml:space="preserve">     ANON0000000</t>
        </is>
      </c>
      <c r="D17" t="n">
        <v>40</v>
      </c>
      <c r="E17" t="inlineStr">
        <is>
          <t>RULED</t>
        </is>
      </c>
      <c r="F17" t="inlineStr">
        <is>
          <t>USNYC</t>
        </is>
      </c>
      <c r="G17" t="n">
        <v>32320</v>
      </c>
      <c r="H17" t="inlineStr">
        <is>
          <t>ART</t>
        </is>
      </c>
      <c r="I17" t="inlineStr">
        <is>
          <t>45G1</t>
        </is>
      </c>
      <c r="L17" t="inlineStr">
        <is>
          <t>9'6</t>
        </is>
      </c>
      <c r="M17" t="inlineStr">
        <is>
          <t>Full</t>
        </is>
      </c>
      <c r="P17">
        <f t="array" ref="P17">IFERROR(INDEX(Disch_Booking_Report!B:B, MATCH(TRUE, ISNUMBER(FIND(SUBSTITUTE(C17," ",""), Disch_Booking_Report!AC:AC)), 0)), "Not Found")</f>
        <v/>
      </c>
      <c r="Q17">
        <f t="array" ref="Q17">IFERROR(INDEX(Disch_Booking_Report!C:C, MATCH(TRUE, ISNUMBER(FIND(SUBSTITUTE(C17," ",""), Disch_Booking_Report!AC:AC)), 0)), "Not Found")</f>
        <v/>
      </c>
      <c r="R17">
        <f t="array" ref="R17">IFERROR(INDEX(Disch_Booking_Report!AD:AD, MATCH(TRUE, ISNUMBER(FIND(SUBSTITUTE(C17," ",""), Disch_Booking_Report!AC:AC)), 0)), "Not Found")</f>
        <v/>
      </c>
      <c r="S17">
        <f>Tabela2[[#This Row],[Weight]]</f>
        <v/>
      </c>
      <c r="T17">
        <f t="array" ref="T17">IFERROR(INDEX(Disch_Booking_Report!L:L, MATCH(TRUE, ISNUMBER(FIND(SUBSTITUTE(C17," ",""), Disch_Booking_Report!AC:AC)), 0)), "Not Found")</f>
        <v/>
      </c>
      <c r="U17">
        <f t="array" ref="U17">IFERROR(INDEX(Disch_Booking_Report!I:I, MATCH(TRUE, ISNUMBER(FIND(SUBSTITUTE(C17," ",""), Disch_Booking_Report!AC:AC)), 0)), "Not Found")</f>
        <v/>
      </c>
    </row>
    <row r="18">
      <c r="A18" t="n">
        <v>2</v>
      </c>
      <c r="B18" t="n">
        <v>20486</v>
      </c>
      <c r="C18" t="inlineStr">
        <is>
          <t xml:space="preserve">     ANON0000000</t>
        </is>
      </c>
      <c r="D18" t="n">
        <v>40</v>
      </c>
      <c r="E18" t="inlineStr">
        <is>
          <t>RULED</t>
        </is>
      </c>
      <c r="F18" t="inlineStr">
        <is>
          <t>USNYC</t>
        </is>
      </c>
      <c r="G18" t="n">
        <v>32320</v>
      </c>
      <c r="H18" t="inlineStr">
        <is>
          <t>ART</t>
        </is>
      </c>
      <c r="I18" t="inlineStr">
        <is>
          <t>45G1</t>
        </is>
      </c>
      <c r="L18" t="inlineStr">
        <is>
          <t>9'6</t>
        </is>
      </c>
      <c r="M18" t="inlineStr">
        <is>
          <t>Full</t>
        </is>
      </c>
      <c r="P18">
        <f t="array" ref="P18">IFERROR(INDEX(Disch_Booking_Report!B:B, MATCH(TRUE, ISNUMBER(FIND(SUBSTITUTE(C18," ",""), Disch_Booking_Report!AC:AC)), 0)), "Not Found")</f>
        <v/>
      </c>
      <c r="Q18">
        <f t="array" ref="Q18">IFERROR(INDEX(Disch_Booking_Report!C:C, MATCH(TRUE, ISNUMBER(FIND(SUBSTITUTE(C18," ",""), Disch_Booking_Report!AC:AC)), 0)), "Not Found")</f>
        <v/>
      </c>
      <c r="R18">
        <f t="array" ref="R18">IFERROR(INDEX(Disch_Booking_Report!AD:AD, MATCH(TRUE, ISNUMBER(FIND(SUBSTITUTE(C18," ",""), Disch_Booking_Report!AC:AC)), 0)), "Not Found")</f>
        <v/>
      </c>
      <c r="S18">
        <f>Tabela2[[#This Row],[Weight]]</f>
        <v/>
      </c>
      <c r="T18">
        <f t="array" ref="T18">IFERROR(INDEX(Disch_Booking_Report!L:L, MATCH(TRUE, ISNUMBER(FIND(SUBSTITUTE(C18," ",""), Disch_Booking_Report!AC:AC)), 0)), "Not Found")</f>
        <v/>
      </c>
      <c r="U18">
        <f t="array" ref="U18">IFERROR(INDEX(Disch_Booking_Report!I:I, MATCH(TRUE, ISNUMBER(FIND(SUBSTITUTE(C18," ",""), Disch_Booking_Report!AC:AC)), 0)), "Not Found")</f>
        <v/>
      </c>
    </row>
    <row r="19">
      <c r="A19" t="n">
        <v>2</v>
      </c>
      <c r="B19" t="n">
        <v>20386</v>
      </c>
      <c r="C19" t="inlineStr">
        <is>
          <t xml:space="preserve">     ANON0000000</t>
        </is>
      </c>
      <c r="D19" t="n">
        <v>40</v>
      </c>
      <c r="E19" t="inlineStr">
        <is>
          <t>RULED</t>
        </is>
      </c>
      <c r="F19" t="inlineStr">
        <is>
          <t>USNYC</t>
        </is>
      </c>
      <c r="G19" t="n">
        <v>32320</v>
      </c>
      <c r="H19" t="inlineStr">
        <is>
          <t>ART</t>
        </is>
      </c>
      <c r="I19" t="inlineStr">
        <is>
          <t>45G1</t>
        </is>
      </c>
      <c r="L19" t="inlineStr">
        <is>
          <t>9'6</t>
        </is>
      </c>
      <c r="M19" t="inlineStr">
        <is>
          <t>Full</t>
        </is>
      </c>
      <c r="P19">
        <f t="array" ref="P19">IFERROR(INDEX(Disch_Booking_Report!B:B, MATCH(TRUE, ISNUMBER(FIND(SUBSTITUTE(C19," ",""), Disch_Booking_Report!AC:AC)), 0)), "Not Found")</f>
        <v/>
      </c>
      <c r="Q19">
        <f t="array" ref="Q19">IFERROR(INDEX(Disch_Booking_Report!C:C, MATCH(TRUE, ISNUMBER(FIND(SUBSTITUTE(C19," ",""), Disch_Booking_Report!AC:AC)), 0)), "Not Found")</f>
        <v/>
      </c>
      <c r="R19">
        <f t="array" ref="R19">IFERROR(INDEX(Disch_Booking_Report!AD:AD, MATCH(TRUE, ISNUMBER(FIND(SUBSTITUTE(C19," ",""), Disch_Booking_Report!AC:AC)), 0)), "Not Found")</f>
        <v/>
      </c>
      <c r="S19">
        <f>Tabela2[[#This Row],[Weight]]</f>
        <v/>
      </c>
      <c r="T19">
        <f t="array" ref="T19">IFERROR(INDEX(Disch_Booking_Report!L:L, MATCH(TRUE, ISNUMBER(FIND(SUBSTITUTE(C19," ",""), Disch_Booking_Report!AC:AC)), 0)), "Not Found")</f>
        <v/>
      </c>
      <c r="U19">
        <f t="array" ref="U19">IFERROR(INDEX(Disch_Booking_Report!I:I, MATCH(TRUE, ISNUMBER(FIND(SUBSTITUTE(C19," ",""), Disch_Booking_Report!AC:AC)), 0)), "Not Found")</f>
        <v/>
      </c>
    </row>
    <row r="20">
      <c r="A20" t="n">
        <v>2</v>
      </c>
      <c r="B20" t="n">
        <v>20286</v>
      </c>
      <c r="C20" t="inlineStr">
        <is>
          <t xml:space="preserve">     ANON0000000</t>
        </is>
      </c>
      <c r="D20" t="n">
        <v>40</v>
      </c>
      <c r="E20" t="inlineStr">
        <is>
          <t>RULED</t>
        </is>
      </c>
      <c r="F20" t="inlineStr">
        <is>
          <t>USNYC</t>
        </is>
      </c>
      <c r="G20" t="n">
        <v>32320</v>
      </c>
      <c r="H20" t="inlineStr">
        <is>
          <t>ART</t>
        </is>
      </c>
      <c r="I20" t="inlineStr">
        <is>
          <t>45G1</t>
        </is>
      </c>
      <c r="L20" t="inlineStr">
        <is>
          <t>9'6</t>
        </is>
      </c>
      <c r="M20" t="inlineStr">
        <is>
          <t>Full</t>
        </is>
      </c>
      <c r="P20">
        <f t="array" ref="P20">IFERROR(INDEX(Disch_Booking_Report!B:B, MATCH(TRUE, ISNUMBER(FIND(SUBSTITUTE(C20," ",""), Disch_Booking_Report!AC:AC)), 0)), "Not Found")</f>
        <v/>
      </c>
      <c r="Q20">
        <f t="array" ref="Q20">IFERROR(INDEX(Disch_Booking_Report!C:C, MATCH(TRUE, ISNUMBER(FIND(SUBSTITUTE(C20," ",""), Disch_Booking_Report!AC:AC)), 0)), "Not Found")</f>
        <v/>
      </c>
      <c r="R20">
        <f t="array" ref="R20">IFERROR(INDEX(Disch_Booking_Report!AD:AD, MATCH(TRUE, ISNUMBER(FIND(SUBSTITUTE(C20," ",""), Disch_Booking_Report!AC:AC)), 0)), "Not Found")</f>
        <v/>
      </c>
      <c r="S20">
        <f>Tabela2[[#This Row],[Weight]]</f>
        <v/>
      </c>
      <c r="T20">
        <f t="array" ref="T20">IFERROR(INDEX(Disch_Booking_Report!L:L, MATCH(TRUE, ISNUMBER(FIND(SUBSTITUTE(C20," ",""), Disch_Booking_Report!AC:AC)), 0)), "Not Found")</f>
        <v/>
      </c>
      <c r="U20">
        <f t="array" ref="U20">IFERROR(INDEX(Disch_Booking_Report!I:I, MATCH(TRUE, ISNUMBER(FIND(SUBSTITUTE(C20," ",""), Disch_Booking_Report!AC:AC)), 0)), "Not Found")</f>
        <v/>
      </c>
    </row>
    <row r="21">
      <c r="A21" t="n">
        <v>2</v>
      </c>
      <c r="B21" t="n">
        <v>20084</v>
      </c>
      <c r="C21" t="inlineStr">
        <is>
          <t xml:space="preserve">     ANON0000000</t>
        </is>
      </c>
      <c r="D21" t="n">
        <v>40</v>
      </c>
      <c r="E21" t="inlineStr">
        <is>
          <t>RULED</t>
        </is>
      </c>
      <c r="F21" t="inlineStr">
        <is>
          <t>USNYC</t>
        </is>
      </c>
      <c r="G21" t="n">
        <v>32320</v>
      </c>
      <c r="H21" t="inlineStr">
        <is>
          <t>ART</t>
        </is>
      </c>
      <c r="I21" t="inlineStr">
        <is>
          <t>45G1</t>
        </is>
      </c>
      <c r="L21" t="inlineStr">
        <is>
          <t>9'6</t>
        </is>
      </c>
      <c r="M21" t="inlineStr">
        <is>
          <t>Full</t>
        </is>
      </c>
      <c r="P21">
        <f t="array" ref="P21">IFERROR(INDEX(Disch_Booking_Report!B:B, MATCH(TRUE, ISNUMBER(FIND(SUBSTITUTE(C21," ",""), Disch_Booking_Report!AC:AC)), 0)), "Not Found")</f>
        <v/>
      </c>
      <c r="Q21">
        <f t="array" ref="Q21">IFERROR(INDEX(Disch_Booking_Report!C:C, MATCH(TRUE, ISNUMBER(FIND(SUBSTITUTE(C21," ",""), Disch_Booking_Report!AC:AC)), 0)), "Not Found")</f>
        <v/>
      </c>
      <c r="R21">
        <f t="array" ref="R21">IFERROR(INDEX(Disch_Booking_Report!AD:AD, MATCH(TRUE, ISNUMBER(FIND(SUBSTITUTE(C21," ",""), Disch_Booking_Report!AC:AC)), 0)), "Not Found")</f>
        <v/>
      </c>
      <c r="S21">
        <f>Tabela2[[#This Row],[Weight]]</f>
        <v/>
      </c>
      <c r="T21">
        <f t="array" ref="T21">IFERROR(INDEX(Disch_Booking_Report!L:L, MATCH(TRUE, ISNUMBER(FIND(SUBSTITUTE(C21," ",""), Disch_Booking_Report!AC:AC)), 0)), "Not Found")</f>
        <v/>
      </c>
      <c r="U21">
        <f t="array" ref="U21">IFERROR(INDEX(Disch_Booking_Report!I:I, MATCH(TRUE, ISNUMBER(FIND(SUBSTITUTE(C21," ",""), Disch_Booking_Report!AC:AC)), 0)), "Not Found")</f>
        <v/>
      </c>
    </row>
    <row r="22">
      <c r="A22" t="n">
        <v>2</v>
      </c>
      <c r="B22" t="n">
        <v>20482</v>
      </c>
      <c r="C22" t="inlineStr">
        <is>
          <t xml:space="preserve">     ANON0000000</t>
        </is>
      </c>
      <c r="D22" t="n">
        <v>40</v>
      </c>
      <c r="E22" t="inlineStr">
        <is>
          <t>RULED</t>
        </is>
      </c>
      <c r="F22" t="inlineStr">
        <is>
          <t>USNYC</t>
        </is>
      </c>
      <c r="G22" t="n">
        <v>32320</v>
      </c>
      <c r="H22" t="inlineStr">
        <is>
          <t>ART</t>
        </is>
      </c>
      <c r="I22" t="inlineStr">
        <is>
          <t>45G1</t>
        </is>
      </c>
      <c r="L22" t="inlineStr">
        <is>
          <t>9'6</t>
        </is>
      </c>
      <c r="M22" t="inlineStr">
        <is>
          <t>Full</t>
        </is>
      </c>
      <c r="P22">
        <f t="array" ref="P22">IFERROR(INDEX(Disch_Booking_Report!B:B, MATCH(TRUE, ISNUMBER(FIND(SUBSTITUTE(C22," ",""), Disch_Booking_Report!AC:AC)), 0)), "Not Found")</f>
        <v/>
      </c>
      <c r="Q22">
        <f t="array" ref="Q22">IFERROR(INDEX(Disch_Booking_Report!C:C, MATCH(TRUE, ISNUMBER(FIND(SUBSTITUTE(C22," ",""), Disch_Booking_Report!AC:AC)), 0)), "Not Found")</f>
        <v/>
      </c>
      <c r="R22">
        <f t="array" ref="R22">IFERROR(INDEX(Disch_Booking_Report!AD:AD, MATCH(TRUE, ISNUMBER(FIND(SUBSTITUTE(C22," ",""), Disch_Booking_Report!AC:AC)), 0)), "Not Found")</f>
        <v/>
      </c>
      <c r="S22">
        <f>Tabela2[[#This Row],[Weight]]</f>
        <v/>
      </c>
      <c r="T22">
        <f t="array" ref="T22">IFERROR(INDEX(Disch_Booking_Report!L:L, MATCH(TRUE, ISNUMBER(FIND(SUBSTITUTE(C22," ",""), Disch_Booking_Report!AC:AC)), 0)), "Not Found")</f>
        <v/>
      </c>
      <c r="U22">
        <f t="array" ref="U22">IFERROR(INDEX(Disch_Booking_Report!I:I, MATCH(TRUE, ISNUMBER(FIND(SUBSTITUTE(C22," ",""), Disch_Booking_Report!AC:AC)), 0)), "Not Found")</f>
        <v/>
      </c>
    </row>
    <row r="23">
      <c r="A23" t="n">
        <v>2</v>
      </c>
      <c r="B23" t="n">
        <v>20086</v>
      </c>
      <c r="C23" t="inlineStr">
        <is>
          <t xml:space="preserve">     ANON0000000</t>
        </is>
      </c>
      <c r="D23" t="n">
        <v>40</v>
      </c>
      <c r="E23" t="inlineStr">
        <is>
          <t>RULED</t>
        </is>
      </c>
      <c r="F23" t="inlineStr">
        <is>
          <t>USNYC</t>
        </is>
      </c>
      <c r="G23" t="n">
        <v>32450</v>
      </c>
      <c r="H23" t="inlineStr">
        <is>
          <t>ART</t>
        </is>
      </c>
      <c r="I23" t="inlineStr">
        <is>
          <t>45G1</t>
        </is>
      </c>
      <c r="L23" t="inlineStr">
        <is>
          <t>9'6</t>
        </is>
      </c>
      <c r="M23" t="inlineStr">
        <is>
          <t>Full</t>
        </is>
      </c>
      <c r="P23">
        <f t="array" ref="P23">IFERROR(INDEX(Disch_Booking_Report!B:B, MATCH(TRUE, ISNUMBER(FIND(SUBSTITUTE(C23," ",""), Disch_Booking_Report!AC:AC)), 0)), "Not Found")</f>
        <v/>
      </c>
      <c r="Q23">
        <f t="array" ref="Q23">IFERROR(INDEX(Disch_Booking_Report!C:C, MATCH(TRUE, ISNUMBER(FIND(SUBSTITUTE(C23," ",""), Disch_Booking_Report!AC:AC)), 0)), "Not Found")</f>
        <v/>
      </c>
      <c r="R23">
        <f t="array" ref="R23">IFERROR(INDEX(Disch_Booking_Report!AD:AD, MATCH(TRUE, ISNUMBER(FIND(SUBSTITUTE(C23," ",""), Disch_Booking_Report!AC:AC)), 0)), "Not Found")</f>
        <v/>
      </c>
      <c r="S23">
        <f>Tabela2[[#This Row],[Weight]]</f>
        <v/>
      </c>
      <c r="T23">
        <f t="array" ref="T23">IFERROR(INDEX(Disch_Booking_Report!L:L, MATCH(TRUE, ISNUMBER(FIND(SUBSTITUTE(C23," ",""), Disch_Booking_Report!AC:AC)), 0)), "Not Found")</f>
        <v/>
      </c>
      <c r="U23">
        <f t="array" ref="U23">IFERROR(INDEX(Disch_Booking_Report!I:I, MATCH(TRUE, ISNUMBER(FIND(SUBSTITUTE(C23," ",""), Disch_Booking_Report!AC:AC)), 0)), "Not Found")</f>
        <v/>
      </c>
    </row>
    <row r="24">
      <c r="A24" t="n">
        <v>2</v>
      </c>
      <c r="B24" t="n">
        <v>20182</v>
      </c>
      <c r="C24" t="inlineStr">
        <is>
          <t xml:space="preserve">     ANON0000000</t>
        </is>
      </c>
      <c r="D24" t="n">
        <v>40</v>
      </c>
      <c r="E24" t="inlineStr">
        <is>
          <t>RULED</t>
        </is>
      </c>
      <c r="F24" t="inlineStr">
        <is>
          <t>USNYC</t>
        </is>
      </c>
      <c r="G24" t="n">
        <v>32320</v>
      </c>
      <c r="H24" t="inlineStr">
        <is>
          <t>ART</t>
        </is>
      </c>
      <c r="I24" t="inlineStr">
        <is>
          <t>45G1</t>
        </is>
      </c>
      <c r="L24" t="inlineStr">
        <is>
          <t>9'6</t>
        </is>
      </c>
      <c r="M24" t="inlineStr">
        <is>
          <t>Full</t>
        </is>
      </c>
      <c r="P24">
        <f t="array" ref="P24">IFERROR(INDEX(Disch_Booking_Report!B:B, MATCH(TRUE, ISNUMBER(FIND(SUBSTITUTE(C24," ",""), Disch_Booking_Report!AC:AC)), 0)), "Not Found")</f>
        <v/>
      </c>
      <c r="Q24">
        <f t="array" ref="Q24">IFERROR(INDEX(Disch_Booking_Report!C:C, MATCH(TRUE, ISNUMBER(FIND(SUBSTITUTE(C24," ",""), Disch_Booking_Report!AC:AC)), 0)), "Not Found")</f>
        <v/>
      </c>
      <c r="R24">
        <f t="array" ref="R24">IFERROR(INDEX(Disch_Booking_Report!AD:AD, MATCH(TRUE, ISNUMBER(FIND(SUBSTITUTE(C24," ",""), Disch_Booking_Report!AC:AC)), 0)), "Not Found")</f>
        <v/>
      </c>
      <c r="S24">
        <f>Tabela2[[#This Row],[Weight]]</f>
        <v/>
      </c>
      <c r="T24">
        <f t="array" ref="T24">IFERROR(INDEX(Disch_Booking_Report!L:L, MATCH(TRUE, ISNUMBER(FIND(SUBSTITUTE(C24," ",""), Disch_Booking_Report!AC:AC)), 0)), "Not Found")</f>
        <v/>
      </c>
      <c r="U24">
        <f t="array" ref="U24">IFERROR(INDEX(Disch_Booking_Report!I:I, MATCH(TRUE, ISNUMBER(FIND(SUBSTITUTE(C24," ",""), Disch_Booking_Report!AC:AC)), 0)), "Not Found")</f>
        <v/>
      </c>
    </row>
    <row r="25">
      <c r="A25" t="n">
        <v>2</v>
      </c>
      <c r="B25" t="n">
        <v>20586</v>
      </c>
      <c r="C25" t="inlineStr">
        <is>
          <t xml:space="preserve">     ANON0000000</t>
        </is>
      </c>
      <c r="D25" t="n">
        <v>40</v>
      </c>
      <c r="E25" t="inlineStr">
        <is>
          <t>RULED</t>
        </is>
      </c>
      <c r="F25" t="inlineStr">
        <is>
          <t>USNYC</t>
        </is>
      </c>
      <c r="G25" t="n">
        <v>32320</v>
      </c>
      <c r="H25" t="inlineStr">
        <is>
          <t>ART</t>
        </is>
      </c>
      <c r="I25" t="inlineStr">
        <is>
          <t>45G1</t>
        </is>
      </c>
      <c r="L25" t="inlineStr">
        <is>
          <t>9'6</t>
        </is>
      </c>
      <c r="M25" t="inlineStr">
        <is>
          <t>Full</t>
        </is>
      </c>
      <c r="P25">
        <f t="array" ref="P25">IFERROR(INDEX(Disch_Booking_Report!B:B, MATCH(TRUE, ISNUMBER(FIND(SUBSTITUTE(C25," ",""), Disch_Booking_Report!AC:AC)), 0)), "Not Found")</f>
        <v/>
      </c>
      <c r="Q25">
        <f t="array" ref="Q25">IFERROR(INDEX(Disch_Booking_Report!C:C, MATCH(TRUE, ISNUMBER(FIND(SUBSTITUTE(C25," ",""), Disch_Booking_Report!AC:AC)), 0)), "Not Found")</f>
        <v/>
      </c>
      <c r="R25">
        <f t="array" ref="R25">IFERROR(INDEX(Disch_Booking_Report!AD:AD, MATCH(TRUE, ISNUMBER(FIND(SUBSTITUTE(C25," ",""), Disch_Booking_Report!AC:AC)), 0)), "Not Found")</f>
        <v/>
      </c>
      <c r="S25">
        <f>Tabela2[[#This Row],[Weight]]</f>
        <v/>
      </c>
      <c r="T25">
        <f t="array" ref="T25">IFERROR(INDEX(Disch_Booking_Report!L:L, MATCH(TRUE, ISNUMBER(FIND(SUBSTITUTE(C25," ",""), Disch_Booking_Report!AC:AC)), 0)), "Not Found")</f>
        <v/>
      </c>
      <c r="U25">
        <f t="array" ref="U25">IFERROR(INDEX(Disch_Booking_Report!I:I, MATCH(TRUE, ISNUMBER(FIND(SUBSTITUTE(C25," ",""), Disch_Booking_Report!AC:AC)), 0)), "Not Found")</f>
        <v/>
      </c>
    </row>
    <row r="26">
      <c r="A26" t="n">
        <v>2</v>
      </c>
      <c r="B26" t="n">
        <v>20284</v>
      </c>
      <c r="C26" t="inlineStr">
        <is>
          <t xml:space="preserve">     ANON0000000</t>
        </is>
      </c>
      <c r="D26" t="n">
        <v>40</v>
      </c>
      <c r="E26" t="inlineStr">
        <is>
          <t>RULED</t>
        </is>
      </c>
      <c r="F26" t="inlineStr">
        <is>
          <t>USNYC</t>
        </is>
      </c>
      <c r="G26" t="n">
        <v>32460</v>
      </c>
      <c r="H26" t="inlineStr">
        <is>
          <t>ART</t>
        </is>
      </c>
      <c r="I26" t="inlineStr">
        <is>
          <t>45G1</t>
        </is>
      </c>
      <c r="L26" t="inlineStr">
        <is>
          <t>9'6</t>
        </is>
      </c>
      <c r="M26" t="inlineStr">
        <is>
          <t>Full</t>
        </is>
      </c>
      <c r="P26">
        <f t="array" ref="P26">IFERROR(INDEX(Disch_Booking_Report!B:B, MATCH(TRUE, ISNUMBER(FIND(SUBSTITUTE(C26," ",""), Disch_Booking_Report!AC:AC)), 0)), "Not Found")</f>
        <v/>
      </c>
      <c r="Q26">
        <f t="array" ref="Q26">IFERROR(INDEX(Disch_Booking_Report!C:C, MATCH(TRUE, ISNUMBER(FIND(SUBSTITUTE(C26," ",""), Disch_Booking_Report!AC:AC)), 0)), "Not Found")</f>
        <v/>
      </c>
      <c r="R26">
        <f t="array" ref="R26">IFERROR(INDEX(Disch_Booking_Report!AD:AD, MATCH(TRUE, ISNUMBER(FIND(SUBSTITUTE(C26," ",""), Disch_Booking_Report!AC:AC)), 0)), "Not Found")</f>
        <v/>
      </c>
      <c r="S26">
        <f>Tabela2[[#This Row],[Weight]]</f>
        <v/>
      </c>
      <c r="T26">
        <f t="array" ref="T26">IFERROR(INDEX(Disch_Booking_Report!L:L, MATCH(TRUE, ISNUMBER(FIND(SUBSTITUTE(C26," ",""), Disch_Booking_Report!AC:AC)), 0)), "Not Found")</f>
        <v/>
      </c>
      <c r="U26">
        <f t="array" ref="U26">IFERROR(INDEX(Disch_Booking_Report!I:I, MATCH(TRUE, ISNUMBER(FIND(SUBSTITUTE(C26," ",""), Disch_Booking_Report!AC:AC)), 0)), "Not Found")</f>
        <v/>
      </c>
    </row>
    <row r="27">
      <c r="A27" t="n">
        <v>2</v>
      </c>
      <c r="B27" t="n">
        <v>20584</v>
      </c>
      <c r="C27" t="inlineStr">
        <is>
          <t xml:space="preserve">     ANON0000000</t>
        </is>
      </c>
      <c r="D27" t="n">
        <v>40</v>
      </c>
      <c r="E27" t="inlineStr">
        <is>
          <t>RULED</t>
        </is>
      </c>
      <c r="F27" t="inlineStr">
        <is>
          <t>USNYC</t>
        </is>
      </c>
      <c r="G27" t="n">
        <v>32320</v>
      </c>
      <c r="H27" t="inlineStr">
        <is>
          <t>ART</t>
        </is>
      </c>
      <c r="I27" t="inlineStr">
        <is>
          <t>45G1</t>
        </is>
      </c>
      <c r="L27" t="inlineStr">
        <is>
          <t>9'6</t>
        </is>
      </c>
      <c r="M27" t="inlineStr">
        <is>
          <t>Full</t>
        </is>
      </c>
      <c r="P27">
        <f t="array" ref="P27">IFERROR(INDEX(Disch_Booking_Report!B:B, MATCH(TRUE, ISNUMBER(FIND(SUBSTITUTE(C27," ",""), Disch_Booking_Report!AC:AC)), 0)), "Not Found")</f>
        <v/>
      </c>
      <c r="Q27">
        <f t="array" ref="Q27">IFERROR(INDEX(Disch_Booking_Report!C:C, MATCH(TRUE, ISNUMBER(FIND(SUBSTITUTE(C27," ",""), Disch_Booking_Report!AC:AC)), 0)), "Not Found")</f>
        <v/>
      </c>
      <c r="R27">
        <f t="array" ref="R27">IFERROR(INDEX(Disch_Booking_Report!AD:AD, MATCH(TRUE, ISNUMBER(FIND(SUBSTITUTE(C27," ",""), Disch_Booking_Report!AC:AC)), 0)), "Not Found")</f>
        <v/>
      </c>
      <c r="S27">
        <f>Tabela2[[#This Row],[Weight]]</f>
        <v/>
      </c>
      <c r="T27">
        <f t="array" ref="T27">IFERROR(INDEX(Disch_Booking_Report!L:L, MATCH(TRUE, ISNUMBER(FIND(SUBSTITUTE(C27," ",""), Disch_Booking_Report!AC:AC)), 0)), "Not Found")</f>
        <v/>
      </c>
      <c r="U27">
        <f t="array" ref="U27">IFERROR(INDEX(Disch_Booking_Report!I:I, MATCH(TRUE, ISNUMBER(FIND(SUBSTITUTE(C27," ",""), Disch_Booking_Report!AC:AC)), 0)), "Not Found")</f>
        <v/>
      </c>
    </row>
    <row r="28">
      <c r="A28" t="n">
        <v>3</v>
      </c>
      <c r="B28" t="n">
        <v>30208</v>
      </c>
      <c r="C28" t="inlineStr">
        <is>
          <t xml:space="preserve">     ANON0000000</t>
        </is>
      </c>
      <c r="D28" t="n">
        <v>20</v>
      </c>
      <c r="E28" t="inlineStr">
        <is>
          <t>RULED</t>
        </is>
      </c>
      <c r="F28" t="inlineStr">
        <is>
          <t>USNYC</t>
        </is>
      </c>
      <c r="G28" t="n">
        <v>23100</v>
      </c>
      <c r="H28" t="inlineStr">
        <is>
          <t>ART</t>
        </is>
      </c>
      <c r="I28" t="inlineStr">
        <is>
          <t>22G1</t>
        </is>
      </c>
      <c r="L28" t="inlineStr">
        <is>
          <t>8'6</t>
        </is>
      </c>
      <c r="M28" t="inlineStr">
        <is>
          <t>Full</t>
        </is>
      </c>
      <c r="P28">
        <f t="array" ref="P28">IFERROR(INDEX(Disch_Booking_Report!B:B, MATCH(TRUE, ISNUMBER(FIND(SUBSTITUTE(C28," ",""), Disch_Booking_Report!AC:AC)), 0)), "Not Found")</f>
        <v/>
      </c>
      <c r="Q28">
        <f t="array" ref="Q28">IFERROR(INDEX(Disch_Booking_Report!C:C, MATCH(TRUE, ISNUMBER(FIND(SUBSTITUTE(C28," ",""), Disch_Booking_Report!AC:AC)), 0)), "Not Found")</f>
        <v/>
      </c>
      <c r="R28">
        <f t="array" ref="R28">IFERROR(INDEX(Disch_Booking_Report!AD:AD, MATCH(TRUE, ISNUMBER(FIND(SUBSTITUTE(C28," ",""), Disch_Booking_Report!AC:AC)), 0)), "Not Found")</f>
        <v/>
      </c>
      <c r="S28">
        <f>Tabela2[[#This Row],[Weight]]</f>
        <v/>
      </c>
      <c r="T28">
        <f t="array" ref="T28">IFERROR(INDEX(Disch_Booking_Report!L:L, MATCH(TRUE, ISNUMBER(FIND(SUBSTITUTE(C28," ",""), Disch_Booking_Report!AC:AC)), 0)), "Not Found")</f>
        <v/>
      </c>
      <c r="U28">
        <f t="array" ref="U28">IFERROR(INDEX(Disch_Booking_Report!I:I, MATCH(TRUE, ISNUMBER(FIND(SUBSTITUTE(C28," ",""), Disch_Booking_Report!AC:AC)), 0)), "Not Found")</f>
        <v/>
      </c>
    </row>
    <row r="29">
      <c r="A29" t="n">
        <v>3</v>
      </c>
      <c r="B29" t="n">
        <v>30110</v>
      </c>
      <c r="C29" t="inlineStr">
        <is>
          <t xml:space="preserve">     ANON0000000</t>
        </is>
      </c>
      <c r="D29" t="n">
        <v>20</v>
      </c>
      <c r="E29" t="inlineStr">
        <is>
          <t>RULED</t>
        </is>
      </c>
      <c r="F29" t="inlineStr">
        <is>
          <t>USNYC</t>
        </is>
      </c>
      <c r="G29" t="n">
        <v>23230</v>
      </c>
      <c r="H29" t="inlineStr">
        <is>
          <t>ART</t>
        </is>
      </c>
      <c r="I29" t="inlineStr">
        <is>
          <t>22G1</t>
        </is>
      </c>
      <c r="L29" t="inlineStr">
        <is>
          <t>8'6</t>
        </is>
      </c>
      <c r="M29" t="inlineStr">
        <is>
          <t>Full</t>
        </is>
      </c>
      <c r="P29">
        <f t="array" ref="P29">IFERROR(INDEX(Disch_Booking_Report!B:B, MATCH(TRUE, ISNUMBER(FIND(SUBSTITUTE(C29," ",""), Disch_Booking_Report!AC:AC)), 0)), "Not Found")</f>
        <v/>
      </c>
      <c r="Q29">
        <f t="array" ref="Q29">IFERROR(INDEX(Disch_Booking_Report!C:C, MATCH(TRUE, ISNUMBER(FIND(SUBSTITUTE(C29," ",""), Disch_Booking_Report!AC:AC)), 0)), "Not Found")</f>
        <v/>
      </c>
      <c r="R29">
        <f t="array" ref="R29">IFERROR(INDEX(Disch_Booking_Report!AD:AD, MATCH(TRUE, ISNUMBER(FIND(SUBSTITUTE(C29," ",""), Disch_Booking_Report!AC:AC)), 0)), "Not Found")</f>
        <v/>
      </c>
      <c r="S29">
        <f>Tabela2[[#This Row],[Weight]]</f>
        <v/>
      </c>
      <c r="T29">
        <f t="array" ref="T29">IFERROR(INDEX(Disch_Booking_Report!L:L, MATCH(TRUE, ISNUMBER(FIND(SUBSTITUTE(C29," ",""), Disch_Booking_Report!AC:AC)), 0)), "Not Found")</f>
        <v/>
      </c>
      <c r="U29">
        <f t="array" ref="U29">IFERROR(INDEX(Disch_Booking_Report!I:I, MATCH(TRUE, ISNUMBER(FIND(SUBSTITUTE(C29," ",""), Disch_Booking_Report!AC:AC)), 0)), "Not Found")</f>
        <v/>
      </c>
    </row>
    <row r="30">
      <c r="A30" t="n">
        <v>3</v>
      </c>
      <c r="B30" t="n">
        <v>30004</v>
      </c>
      <c r="C30" t="inlineStr">
        <is>
          <t xml:space="preserve">     ANON0000000</t>
        </is>
      </c>
      <c r="D30" t="n">
        <v>20</v>
      </c>
      <c r="E30" t="inlineStr">
        <is>
          <t>RULED</t>
        </is>
      </c>
      <c r="F30" t="inlineStr">
        <is>
          <t>USNYC</t>
        </is>
      </c>
      <c r="G30" t="n">
        <v>23100</v>
      </c>
      <c r="H30" t="inlineStr">
        <is>
          <t>ART</t>
        </is>
      </c>
      <c r="I30" t="inlineStr">
        <is>
          <t>22G1</t>
        </is>
      </c>
      <c r="L30" t="inlineStr">
        <is>
          <t>8'6</t>
        </is>
      </c>
      <c r="M30" t="inlineStr">
        <is>
          <t>Full</t>
        </is>
      </c>
      <c r="P30">
        <f t="array" ref="P30">IFERROR(INDEX(Disch_Booking_Report!B:B, MATCH(TRUE, ISNUMBER(FIND(SUBSTITUTE(C30," ",""), Disch_Booking_Report!AC:AC)), 0)), "Not Found")</f>
        <v/>
      </c>
      <c r="Q30">
        <f t="array" ref="Q30">IFERROR(INDEX(Disch_Booking_Report!C:C, MATCH(TRUE, ISNUMBER(FIND(SUBSTITUTE(C30," ",""), Disch_Booking_Report!AC:AC)), 0)), "Not Found")</f>
        <v/>
      </c>
      <c r="R30">
        <f t="array" ref="R30">IFERROR(INDEX(Disch_Booking_Report!AD:AD, MATCH(TRUE, ISNUMBER(FIND(SUBSTITUTE(C30," ",""), Disch_Booking_Report!AC:AC)), 0)), "Not Found")</f>
        <v/>
      </c>
      <c r="S30">
        <f>Tabela2[[#This Row],[Weight]]</f>
        <v/>
      </c>
      <c r="T30">
        <f t="array" ref="T30">IFERROR(INDEX(Disch_Booking_Report!L:L, MATCH(TRUE, ISNUMBER(FIND(SUBSTITUTE(C30," ",""), Disch_Booking_Report!AC:AC)), 0)), "Not Found")</f>
        <v/>
      </c>
      <c r="U30">
        <f t="array" ref="U30">IFERROR(INDEX(Disch_Booking_Report!I:I, MATCH(TRUE, ISNUMBER(FIND(SUBSTITUTE(C30," ",""), Disch_Booking_Report!AC:AC)), 0)), "Not Found")</f>
        <v/>
      </c>
    </row>
    <row r="31">
      <c r="A31" t="n">
        <v>3</v>
      </c>
      <c r="B31" t="n">
        <v>30006</v>
      </c>
      <c r="C31" t="inlineStr">
        <is>
          <t xml:space="preserve">     ANON0000000</t>
        </is>
      </c>
      <c r="D31" t="n">
        <v>20</v>
      </c>
      <c r="E31" t="inlineStr">
        <is>
          <t>RULED</t>
        </is>
      </c>
      <c r="F31" t="inlineStr">
        <is>
          <t>USNYC</t>
        </is>
      </c>
      <c r="G31" t="n">
        <v>23100</v>
      </c>
      <c r="H31" t="inlineStr">
        <is>
          <t>ART</t>
        </is>
      </c>
      <c r="I31" t="inlineStr">
        <is>
          <t>22G1</t>
        </is>
      </c>
      <c r="L31" t="inlineStr">
        <is>
          <t>8'6</t>
        </is>
      </c>
      <c r="M31" t="inlineStr">
        <is>
          <t>Full</t>
        </is>
      </c>
      <c r="P31">
        <f t="array" ref="P31">IFERROR(INDEX(Disch_Booking_Report!B:B, MATCH(TRUE, ISNUMBER(FIND(SUBSTITUTE(C31," ",""), Disch_Booking_Report!AC:AC)), 0)), "Not Found")</f>
        <v/>
      </c>
      <c r="Q31">
        <f t="array" ref="Q31">IFERROR(INDEX(Disch_Booking_Report!C:C, MATCH(TRUE, ISNUMBER(FIND(SUBSTITUTE(C31," ",""), Disch_Booking_Report!AC:AC)), 0)), "Not Found")</f>
        <v/>
      </c>
      <c r="R31">
        <f t="array" ref="R31">IFERROR(INDEX(Disch_Booking_Report!AD:AD, MATCH(TRUE, ISNUMBER(FIND(SUBSTITUTE(C31," ",""), Disch_Booking_Report!AC:AC)), 0)), "Not Found")</f>
        <v/>
      </c>
      <c r="S31">
        <f>Tabela2[[#This Row],[Weight]]</f>
        <v/>
      </c>
      <c r="T31">
        <f t="array" ref="T31">IFERROR(INDEX(Disch_Booking_Report!L:L, MATCH(TRUE, ISNUMBER(FIND(SUBSTITUTE(C31," ",""), Disch_Booking_Report!AC:AC)), 0)), "Not Found")</f>
        <v/>
      </c>
      <c r="U31">
        <f t="array" ref="U31">IFERROR(INDEX(Disch_Booking_Report!I:I, MATCH(TRUE, ISNUMBER(FIND(SUBSTITUTE(C31," ",""), Disch_Booking_Report!AC:AC)), 0)), "Not Found")</f>
        <v/>
      </c>
    </row>
    <row r="32">
      <c r="A32" t="n">
        <v>3</v>
      </c>
      <c r="B32" t="n">
        <v>30108</v>
      </c>
      <c r="C32" t="inlineStr">
        <is>
          <t xml:space="preserve">     ANON0000000</t>
        </is>
      </c>
      <c r="D32" t="n">
        <v>20</v>
      </c>
      <c r="E32" t="inlineStr">
        <is>
          <t>RULED</t>
        </is>
      </c>
      <c r="F32" t="inlineStr">
        <is>
          <t>USNYC</t>
        </is>
      </c>
      <c r="G32" t="n">
        <v>23160</v>
      </c>
      <c r="H32" t="inlineStr">
        <is>
          <t>ART</t>
        </is>
      </c>
      <c r="I32" t="inlineStr">
        <is>
          <t>22G1</t>
        </is>
      </c>
      <c r="L32" t="inlineStr">
        <is>
          <t>8'6</t>
        </is>
      </c>
      <c r="M32" t="inlineStr">
        <is>
          <t>Full</t>
        </is>
      </c>
      <c r="P32">
        <f t="array" ref="P32">IFERROR(INDEX(Disch_Booking_Report!B:B, MATCH(TRUE, ISNUMBER(FIND(SUBSTITUTE(C32," ",""), Disch_Booking_Report!AC:AC)), 0)), "Not Found")</f>
        <v/>
      </c>
      <c r="Q32">
        <f t="array" ref="Q32">IFERROR(INDEX(Disch_Booking_Report!C:C, MATCH(TRUE, ISNUMBER(FIND(SUBSTITUTE(C32," ",""), Disch_Booking_Report!AC:AC)), 0)), "Not Found")</f>
        <v/>
      </c>
      <c r="R32">
        <f t="array" ref="R32">IFERROR(INDEX(Disch_Booking_Report!AD:AD, MATCH(TRUE, ISNUMBER(FIND(SUBSTITUTE(C32," ",""), Disch_Booking_Report!AC:AC)), 0)), "Not Found")</f>
        <v/>
      </c>
      <c r="S32">
        <f>Tabela2[[#This Row],[Weight]]</f>
        <v/>
      </c>
      <c r="T32">
        <f t="array" ref="T32">IFERROR(INDEX(Disch_Booking_Report!L:L, MATCH(TRUE, ISNUMBER(FIND(SUBSTITUTE(C32," ",""), Disch_Booking_Report!AC:AC)), 0)), "Not Found")</f>
        <v/>
      </c>
      <c r="U32">
        <f t="array" ref="U32">IFERROR(INDEX(Disch_Booking_Report!I:I, MATCH(TRUE, ISNUMBER(FIND(SUBSTITUTE(C32," ",""), Disch_Booking_Report!AC:AC)), 0)), "Not Found")</f>
        <v/>
      </c>
    </row>
    <row r="33">
      <c r="A33" t="n">
        <v>3</v>
      </c>
      <c r="B33" t="n">
        <v>30210</v>
      </c>
      <c r="C33" t="inlineStr">
        <is>
          <t xml:space="preserve">     ANON0000000</t>
        </is>
      </c>
      <c r="D33" t="n">
        <v>20</v>
      </c>
      <c r="E33" t="inlineStr">
        <is>
          <t>RULED</t>
        </is>
      </c>
      <c r="F33" t="inlineStr">
        <is>
          <t>USNYC</t>
        </is>
      </c>
      <c r="G33" t="n">
        <v>23260</v>
      </c>
      <c r="H33" t="inlineStr">
        <is>
          <t>ART</t>
        </is>
      </c>
      <c r="I33" t="inlineStr">
        <is>
          <t>22G1</t>
        </is>
      </c>
      <c r="L33" t="inlineStr">
        <is>
          <t>8'6</t>
        </is>
      </c>
      <c r="M33" t="inlineStr">
        <is>
          <t>Full</t>
        </is>
      </c>
      <c r="P33">
        <f t="array" ref="P33">IFERROR(INDEX(Disch_Booking_Report!B:B, MATCH(TRUE, ISNUMBER(FIND(SUBSTITUTE(C33," ",""), Disch_Booking_Report!AC:AC)), 0)), "Not Found")</f>
        <v/>
      </c>
      <c r="Q33">
        <f t="array" ref="Q33">IFERROR(INDEX(Disch_Booking_Report!C:C, MATCH(TRUE, ISNUMBER(FIND(SUBSTITUTE(C33," ",""), Disch_Booking_Report!AC:AC)), 0)), "Not Found")</f>
        <v/>
      </c>
      <c r="R33">
        <f t="array" ref="R33">IFERROR(INDEX(Disch_Booking_Report!AD:AD, MATCH(TRUE, ISNUMBER(FIND(SUBSTITUTE(C33," ",""), Disch_Booking_Report!AC:AC)), 0)), "Not Found")</f>
        <v/>
      </c>
      <c r="S33">
        <f>Tabela2[[#This Row],[Weight]]</f>
        <v/>
      </c>
      <c r="T33">
        <f t="array" ref="T33">IFERROR(INDEX(Disch_Booking_Report!L:L, MATCH(TRUE, ISNUMBER(FIND(SUBSTITUTE(C33," ",""), Disch_Booking_Report!AC:AC)), 0)), "Not Found")</f>
        <v/>
      </c>
      <c r="U33">
        <f t="array" ref="U33">IFERROR(INDEX(Disch_Booking_Report!I:I, MATCH(TRUE, ISNUMBER(FIND(SUBSTITUTE(C33," ",""), Disch_Booking_Report!AC:AC)), 0)), "Not Found")</f>
        <v/>
      </c>
    </row>
    <row r="34">
      <c r="A34" t="n">
        <v>6</v>
      </c>
      <c r="B34" t="n">
        <v>60208</v>
      </c>
      <c r="C34" t="inlineStr">
        <is>
          <t xml:space="preserve">     ANON0000000</t>
        </is>
      </c>
      <c r="D34" t="n">
        <v>40</v>
      </c>
      <c r="E34" t="inlineStr">
        <is>
          <t>RULED</t>
        </is>
      </c>
      <c r="F34" t="inlineStr">
        <is>
          <t>USNFK</t>
        </is>
      </c>
      <c r="G34" t="n">
        <v>26230</v>
      </c>
      <c r="H34" t="inlineStr">
        <is>
          <t>MLINE</t>
        </is>
      </c>
      <c r="I34" t="inlineStr">
        <is>
          <t>45G1</t>
        </is>
      </c>
      <c r="L34" t="inlineStr">
        <is>
          <t>9'6</t>
        </is>
      </c>
      <c r="M34" t="inlineStr">
        <is>
          <t>Full</t>
        </is>
      </c>
      <c r="P34">
        <f t="array" ref="P34">IFERROR(INDEX(Disch_Booking_Report!B:B, MATCH(TRUE, ISNUMBER(FIND(SUBSTITUTE(C34," ",""), Disch_Booking_Report!AC:AC)), 0)), "Not Found")</f>
        <v/>
      </c>
      <c r="Q34">
        <f t="array" ref="Q34">IFERROR(INDEX(Disch_Booking_Report!C:C, MATCH(TRUE, ISNUMBER(FIND(SUBSTITUTE(C34," ",""), Disch_Booking_Report!AC:AC)), 0)), "Not Found")</f>
        <v/>
      </c>
      <c r="R34">
        <f t="array" ref="R34">IFERROR(INDEX(Disch_Booking_Report!AD:AD, MATCH(TRUE, ISNUMBER(FIND(SUBSTITUTE(C34," ",""), Disch_Booking_Report!AC:AC)), 0)), "Not Found")</f>
        <v/>
      </c>
      <c r="S34">
        <f>Tabela2[[#This Row],[Weight]]</f>
        <v/>
      </c>
      <c r="T34">
        <f t="array" ref="T34">IFERROR(INDEX(Disch_Booking_Report!L:L, MATCH(TRUE, ISNUMBER(FIND(SUBSTITUTE(C34," ",""), Disch_Booking_Report!AC:AC)), 0)), "Not Found")</f>
        <v/>
      </c>
      <c r="U34">
        <f t="array" ref="U34">IFERROR(INDEX(Disch_Booking_Report!I:I, MATCH(TRUE, ISNUMBER(FIND(SUBSTITUTE(C34," ",""), Disch_Booking_Report!AC:AC)), 0)), "Not Found")</f>
        <v/>
      </c>
    </row>
    <row r="35">
      <c r="A35" t="n">
        <v>6</v>
      </c>
      <c r="B35" t="n">
        <v>60586</v>
      </c>
      <c r="C35" t="inlineStr">
        <is>
          <t xml:space="preserve">     ANON0000000</t>
        </is>
      </c>
      <c r="D35" t="n">
        <v>40</v>
      </c>
      <c r="E35" t="inlineStr">
        <is>
          <t>RULED</t>
        </is>
      </c>
      <c r="F35" t="inlineStr">
        <is>
          <t>USNYC</t>
        </is>
      </c>
      <c r="G35" t="n">
        <v>32320</v>
      </c>
      <c r="H35" t="inlineStr">
        <is>
          <t>ART</t>
        </is>
      </c>
      <c r="I35" t="inlineStr">
        <is>
          <t>45G1</t>
        </is>
      </c>
      <c r="L35" t="inlineStr">
        <is>
          <t>9'6</t>
        </is>
      </c>
      <c r="M35" t="inlineStr">
        <is>
          <t>Full</t>
        </is>
      </c>
      <c r="P35">
        <f t="array" ref="P35">IFERROR(INDEX(Disch_Booking_Report!B:B, MATCH(TRUE, ISNUMBER(FIND(SUBSTITUTE(C35," ",""), Disch_Booking_Report!AC:AC)), 0)), "Not Found")</f>
        <v/>
      </c>
      <c r="Q35">
        <f t="array" ref="Q35">IFERROR(INDEX(Disch_Booking_Report!C:C, MATCH(TRUE, ISNUMBER(FIND(SUBSTITUTE(C35," ",""), Disch_Booking_Report!AC:AC)), 0)), "Not Found")</f>
        <v/>
      </c>
      <c r="R35">
        <f t="array" ref="R35">IFERROR(INDEX(Disch_Booking_Report!AD:AD, MATCH(TRUE, ISNUMBER(FIND(SUBSTITUTE(C35," ",""), Disch_Booking_Report!AC:AC)), 0)), "Not Found")</f>
        <v/>
      </c>
      <c r="S35">
        <f>Tabela2[[#This Row],[Weight]]</f>
        <v/>
      </c>
      <c r="T35">
        <f t="array" ref="T35">IFERROR(INDEX(Disch_Booking_Report!L:L, MATCH(TRUE, ISNUMBER(FIND(SUBSTITUTE(C35," ",""), Disch_Booking_Report!AC:AC)), 0)), "Not Found")</f>
        <v/>
      </c>
      <c r="U35">
        <f t="array" ref="U35">IFERROR(INDEX(Disch_Booking_Report!I:I, MATCH(TRUE, ISNUMBER(FIND(SUBSTITUTE(C35," ",""), Disch_Booking_Report!AC:AC)), 0)), "Not Found")</f>
        <v/>
      </c>
    </row>
    <row r="36">
      <c r="A36" t="n">
        <v>6</v>
      </c>
      <c r="B36" t="n">
        <v>60184</v>
      </c>
      <c r="C36" t="inlineStr">
        <is>
          <t xml:space="preserve">     ANON0000000</t>
        </is>
      </c>
      <c r="D36" t="n">
        <v>40</v>
      </c>
      <c r="E36" t="inlineStr">
        <is>
          <t>RULED</t>
        </is>
      </c>
      <c r="F36" t="inlineStr">
        <is>
          <t>USNFK</t>
        </is>
      </c>
      <c r="G36" t="n">
        <v>25970</v>
      </c>
      <c r="H36" t="inlineStr">
        <is>
          <t>MLINE</t>
        </is>
      </c>
      <c r="I36" t="inlineStr">
        <is>
          <t>45G1</t>
        </is>
      </c>
      <c r="L36" t="inlineStr">
        <is>
          <t>9'6</t>
        </is>
      </c>
      <c r="M36" t="inlineStr">
        <is>
          <t>Full</t>
        </is>
      </c>
      <c r="P36">
        <f t="array" ref="P36">IFERROR(INDEX(Disch_Booking_Report!B:B, MATCH(TRUE, ISNUMBER(FIND(SUBSTITUTE(C36," ",""), Disch_Booking_Report!AC:AC)), 0)), "Not Found")</f>
        <v/>
      </c>
      <c r="Q36">
        <f t="array" ref="Q36">IFERROR(INDEX(Disch_Booking_Report!C:C, MATCH(TRUE, ISNUMBER(FIND(SUBSTITUTE(C36," ",""), Disch_Booking_Report!AC:AC)), 0)), "Not Found")</f>
        <v/>
      </c>
      <c r="R36">
        <f t="array" ref="R36">IFERROR(INDEX(Disch_Booking_Report!AD:AD, MATCH(TRUE, ISNUMBER(FIND(SUBSTITUTE(C36," ",""), Disch_Booking_Report!AC:AC)), 0)), "Not Found")</f>
        <v/>
      </c>
      <c r="S36">
        <f>Tabela2[[#This Row],[Weight]]</f>
        <v/>
      </c>
      <c r="T36">
        <f t="array" ref="T36">IFERROR(INDEX(Disch_Booking_Report!L:L, MATCH(TRUE, ISNUMBER(FIND(SUBSTITUTE(C36," ",""), Disch_Booking_Report!AC:AC)), 0)), "Not Found")</f>
        <v/>
      </c>
      <c r="U36">
        <f t="array" ref="U36">IFERROR(INDEX(Disch_Booking_Report!I:I, MATCH(TRUE, ISNUMBER(FIND(SUBSTITUTE(C36," ",""), Disch_Booking_Report!AC:AC)), 0)), "Not Found")</f>
        <v/>
      </c>
    </row>
    <row r="37">
      <c r="A37" t="n">
        <v>6</v>
      </c>
      <c r="B37" t="n">
        <v>60308</v>
      </c>
      <c r="C37" t="inlineStr">
        <is>
          <t xml:space="preserve">     ANON0000000</t>
        </is>
      </c>
      <c r="D37" t="n">
        <v>40</v>
      </c>
      <c r="E37" t="inlineStr">
        <is>
          <t>RULED</t>
        </is>
      </c>
      <c r="F37" t="inlineStr">
        <is>
          <t>USNFK</t>
        </is>
      </c>
      <c r="G37" t="n">
        <v>26130</v>
      </c>
      <c r="H37" t="inlineStr">
        <is>
          <t>MLINE</t>
        </is>
      </c>
      <c r="I37" t="inlineStr">
        <is>
          <t>45G1</t>
        </is>
      </c>
      <c r="L37" t="inlineStr">
        <is>
          <t>9'6</t>
        </is>
      </c>
      <c r="M37" t="inlineStr">
        <is>
          <t>Full</t>
        </is>
      </c>
      <c r="P37">
        <f t="array" ref="P37">IFERROR(INDEX(Disch_Booking_Report!B:B, MATCH(TRUE, ISNUMBER(FIND(SUBSTITUTE(C37," ",""), Disch_Booking_Report!AC:AC)), 0)), "Not Found")</f>
        <v/>
      </c>
      <c r="Q37">
        <f t="array" ref="Q37">IFERROR(INDEX(Disch_Booking_Report!C:C, MATCH(TRUE, ISNUMBER(FIND(SUBSTITUTE(C37," ",""), Disch_Booking_Report!AC:AC)), 0)), "Not Found")</f>
        <v/>
      </c>
      <c r="R37">
        <f t="array" ref="R37">IFERROR(INDEX(Disch_Booking_Report!AD:AD, MATCH(TRUE, ISNUMBER(FIND(SUBSTITUTE(C37," ",""), Disch_Booking_Report!AC:AC)), 0)), "Not Found")</f>
        <v/>
      </c>
      <c r="S37">
        <f>Tabela2[[#This Row],[Weight]]</f>
        <v/>
      </c>
      <c r="T37">
        <f t="array" ref="T37">IFERROR(INDEX(Disch_Booking_Report!L:L, MATCH(TRUE, ISNUMBER(FIND(SUBSTITUTE(C37," ",""), Disch_Booking_Report!AC:AC)), 0)), "Not Found")</f>
        <v/>
      </c>
      <c r="U37">
        <f t="array" ref="U37">IFERROR(INDEX(Disch_Booking_Report!I:I, MATCH(TRUE, ISNUMBER(FIND(SUBSTITUTE(C37," ",""), Disch_Booking_Report!AC:AC)), 0)), "Not Found")</f>
        <v/>
      </c>
    </row>
    <row r="38">
      <c r="A38" t="n">
        <v>6</v>
      </c>
      <c r="B38" t="n">
        <v>60584</v>
      </c>
      <c r="C38" t="inlineStr">
        <is>
          <t xml:space="preserve">     ANON0000000</t>
        </is>
      </c>
      <c r="D38" t="n">
        <v>40</v>
      </c>
      <c r="E38" t="inlineStr">
        <is>
          <t>RULED</t>
        </is>
      </c>
      <c r="F38" t="inlineStr">
        <is>
          <t>USNFK</t>
        </is>
      </c>
      <c r="G38" t="n">
        <v>25960</v>
      </c>
      <c r="H38" t="inlineStr">
        <is>
          <t>MLINE</t>
        </is>
      </c>
      <c r="I38" t="inlineStr">
        <is>
          <t>45G1</t>
        </is>
      </c>
      <c r="L38" t="inlineStr">
        <is>
          <t>9'6</t>
        </is>
      </c>
      <c r="M38" t="inlineStr">
        <is>
          <t>Full</t>
        </is>
      </c>
      <c r="P38">
        <f t="array" ref="P38">IFERROR(INDEX(Disch_Booking_Report!B:B, MATCH(TRUE, ISNUMBER(FIND(SUBSTITUTE(C38," ",""), Disch_Booking_Report!AC:AC)), 0)), "Not Found")</f>
        <v/>
      </c>
      <c r="Q38">
        <f t="array" ref="Q38">IFERROR(INDEX(Disch_Booking_Report!C:C, MATCH(TRUE, ISNUMBER(FIND(SUBSTITUTE(C38," ",""), Disch_Booking_Report!AC:AC)), 0)), "Not Found")</f>
        <v/>
      </c>
      <c r="R38">
        <f t="array" ref="R38">IFERROR(INDEX(Disch_Booking_Report!AD:AD, MATCH(TRUE, ISNUMBER(FIND(SUBSTITUTE(C38," ",""), Disch_Booking_Report!AC:AC)), 0)), "Not Found")</f>
        <v/>
      </c>
      <c r="S38">
        <f>Tabela2[[#This Row],[Weight]]</f>
        <v/>
      </c>
      <c r="T38">
        <f t="array" ref="T38">IFERROR(INDEX(Disch_Booking_Report!L:L, MATCH(TRUE, ISNUMBER(FIND(SUBSTITUTE(C38," ",""), Disch_Booking_Report!AC:AC)), 0)), "Not Found")</f>
        <v/>
      </c>
      <c r="U38">
        <f t="array" ref="U38">IFERROR(INDEX(Disch_Booking_Report!I:I, MATCH(TRUE, ISNUMBER(FIND(SUBSTITUTE(C38," ",""), Disch_Booking_Report!AC:AC)), 0)), "Not Found")</f>
        <v/>
      </c>
    </row>
    <row r="39">
      <c r="A39" t="n">
        <v>6</v>
      </c>
      <c r="B39" t="n">
        <v>60686</v>
      </c>
      <c r="C39" t="inlineStr">
        <is>
          <t xml:space="preserve">     ANON0000000</t>
        </is>
      </c>
      <c r="D39" t="n">
        <v>40</v>
      </c>
      <c r="E39" t="inlineStr">
        <is>
          <t>RULED</t>
        </is>
      </c>
      <c r="F39" t="inlineStr">
        <is>
          <t>USNYC</t>
        </is>
      </c>
      <c r="G39" t="n">
        <v>32320</v>
      </c>
      <c r="H39" t="inlineStr">
        <is>
          <t>ART</t>
        </is>
      </c>
      <c r="I39" t="inlineStr">
        <is>
          <t>45G1</t>
        </is>
      </c>
      <c r="L39" t="inlineStr">
        <is>
          <t>9'6</t>
        </is>
      </c>
      <c r="M39" t="inlineStr">
        <is>
          <t>Full</t>
        </is>
      </c>
      <c r="P39">
        <f t="array" ref="P39">IFERROR(INDEX(Disch_Booking_Report!B:B, MATCH(TRUE, ISNUMBER(FIND(SUBSTITUTE(C39," ",""), Disch_Booking_Report!AC:AC)), 0)), "Not Found")</f>
        <v/>
      </c>
      <c r="Q39">
        <f t="array" ref="Q39">IFERROR(INDEX(Disch_Booking_Report!C:C, MATCH(TRUE, ISNUMBER(FIND(SUBSTITUTE(C39," ",""), Disch_Booking_Report!AC:AC)), 0)), "Not Found")</f>
        <v/>
      </c>
      <c r="R39">
        <f t="array" ref="R39">IFERROR(INDEX(Disch_Booking_Report!AD:AD, MATCH(TRUE, ISNUMBER(FIND(SUBSTITUTE(C39," ",""), Disch_Booking_Report!AC:AC)), 0)), "Not Found")</f>
        <v/>
      </c>
      <c r="S39">
        <f>Tabela2[[#This Row],[Weight]]</f>
        <v/>
      </c>
      <c r="T39">
        <f t="array" ref="T39">IFERROR(INDEX(Disch_Booking_Report!L:L, MATCH(TRUE, ISNUMBER(FIND(SUBSTITUTE(C39," ",""), Disch_Booking_Report!AC:AC)), 0)), "Not Found")</f>
        <v/>
      </c>
      <c r="U39">
        <f t="array" ref="U39">IFERROR(INDEX(Disch_Booking_Report!I:I, MATCH(TRUE, ISNUMBER(FIND(SUBSTITUTE(C39," ",""), Disch_Booking_Report!AC:AC)), 0)), "Not Found")</f>
        <v/>
      </c>
    </row>
    <row r="40">
      <c r="A40" t="n">
        <v>6</v>
      </c>
      <c r="B40" t="n">
        <v>60204</v>
      </c>
      <c r="C40" t="inlineStr">
        <is>
          <t xml:space="preserve">     ANON0000000</t>
        </is>
      </c>
      <c r="D40" t="n">
        <v>40</v>
      </c>
      <c r="E40" t="inlineStr">
        <is>
          <t>RULED</t>
        </is>
      </c>
      <c r="F40" t="inlineStr">
        <is>
          <t>USNFK</t>
        </is>
      </c>
      <c r="G40" t="n">
        <v>26220</v>
      </c>
      <c r="H40" t="inlineStr">
        <is>
          <t>ART</t>
        </is>
      </c>
      <c r="I40" t="inlineStr">
        <is>
          <t>45G1</t>
        </is>
      </c>
      <c r="L40" t="inlineStr">
        <is>
          <t>9'6</t>
        </is>
      </c>
      <c r="M40" t="inlineStr">
        <is>
          <t>Full</t>
        </is>
      </c>
      <c r="P40">
        <f t="array" ref="P40">IFERROR(INDEX(Disch_Booking_Report!B:B, MATCH(TRUE, ISNUMBER(FIND(SUBSTITUTE(C40," ",""), Disch_Booking_Report!AC:AC)), 0)), "Not Found")</f>
        <v/>
      </c>
      <c r="Q40">
        <f t="array" ref="Q40">IFERROR(INDEX(Disch_Booking_Report!C:C, MATCH(TRUE, ISNUMBER(FIND(SUBSTITUTE(C40," ",""), Disch_Booking_Report!AC:AC)), 0)), "Not Found")</f>
        <v/>
      </c>
      <c r="R40">
        <f t="array" ref="R40">IFERROR(INDEX(Disch_Booking_Report!AD:AD, MATCH(TRUE, ISNUMBER(FIND(SUBSTITUTE(C40," ",""), Disch_Booking_Report!AC:AC)), 0)), "Not Found")</f>
        <v/>
      </c>
      <c r="S40">
        <f>Tabela2[[#This Row],[Weight]]</f>
        <v/>
      </c>
      <c r="T40">
        <f t="array" ref="T40">IFERROR(INDEX(Disch_Booking_Report!L:L, MATCH(TRUE, ISNUMBER(FIND(SUBSTITUTE(C40," ",""), Disch_Booking_Report!AC:AC)), 0)), "Not Found")</f>
        <v/>
      </c>
      <c r="U40">
        <f t="array" ref="U40">IFERROR(INDEX(Disch_Booking_Report!I:I, MATCH(TRUE, ISNUMBER(FIND(SUBSTITUTE(C40," ",""), Disch_Booking_Report!AC:AC)), 0)), "Not Found")</f>
        <v/>
      </c>
    </row>
    <row r="41">
      <c r="A41" t="n">
        <v>6</v>
      </c>
      <c r="B41" t="n">
        <v>60886</v>
      </c>
      <c r="C41" t="inlineStr">
        <is>
          <t xml:space="preserve">     ANON0000000</t>
        </is>
      </c>
      <c r="D41" t="n">
        <v>40</v>
      </c>
      <c r="E41" t="inlineStr">
        <is>
          <t>RULED</t>
        </is>
      </c>
      <c r="F41" t="inlineStr">
        <is>
          <t>USNYC</t>
        </is>
      </c>
      <c r="G41" t="n">
        <v>32320</v>
      </c>
      <c r="H41" t="inlineStr">
        <is>
          <t>ART</t>
        </is>
      </c>
      <c r="I41" t="inlineStr">
        <is>
          <t>45G1</t>
        </is>
      </c>
      <c r="L41" t="inlineStr">
        <is>
          <t>9'6</t>
        </is>
      </c>
      <c r="M41" t="inlineStr">
        <is>
          <t>Full</t>
        </is>
      </c>
      <c r="P41">
        <f t="array" ref="P41">IFERROR(INDEX(Disch_Booking_Report!B:B, MATCH(TRUE, ISNUMBER(FIND(SUBSTITUTE(C41," ",""), Disch_Booking_Report!AC:AC)), 0)), "Not Found")</f>
        <v/>
      </c>
      <c r="Q41">
        <f t="array" ref="Q41">IFERROR(INDEX(Disch_Booking_Report!C:C, MATCH(TRUE, ISNUMBER(FIND(SUBSTITUTE(C41," ",""), Disch_Booking_Report!AC:AC)), 0)), "Not Found")</f>
        <v/>
      </c>
      <c r="R41">
        <f t="array" ref="R41">IFERROR(INDEX(Disch_Booking_Report!AD:AD, MATCH(TRUE, ISNUMBER(FIND(SUBSTITUTE(C41," ",""), Disch_Booking_Report!AC:AC)), 0)), "Not Found")</f>
        <v/>
      </c>
      <c r="S41">
        <f>Tabela2[[#This Row],[Weight]]</f>
        <v/>
      </c>
      <c r="T41">
        <f t="array" ref="T41">IFERROR(INDEX(Disch_Booking_Report!L:L, MATCH(TRUE, ISNUMBER(FIND(SUBSTITUTE(C41," ",""), Disch_Booking_Report!AC:AC)), 0)), "Not Found")</f>
        <v/>
      </c>
      <c r="U41">
        <f t="array" ref="U41">IFERROR(INDEX(Disch_Booking_Report!I:I, MATCH(TRUE, ISNUMBER(FIND(SUBSTITUTE(C41," ",""), Disch_Booking_Report!AC:AC)), 0)), "Not Found")</f>
        <v/>
      </c>
    </row>
    <row r="42">
      <c r="A42" t="n">
        <v>6</v>
      </c>
      <c r="B42" t="n">
        <v>60782</v>
      </c>
      <c r="C42" t="inlineStr">
        <is>
          <t xml:space="preserve">     ANON0000000</t>
        </is>
      </c>
      <c r="D42" t="n">
        <v>40</v>
      </c>
      <c r="E42" t="inlineStr">
        <is>
          <t>RULED</t>
        </is>
      </c>
      <c r="F42" t="inlineStr">
        <is>
          <t>USNFK</t>
        </is>
      </c>
      <c r="G42" t="n">
        <v>25930</v>
      </c>
      <c r="H42" t="inlineStr">
        <is>
          <t>MLINE</t>
        </is>
      </c>
      <c r="I42" t="inlineStr">
        <is>
          <t>45G1</t>
        </is>
      </c>
      <c r="L42" t="inlineStr">
        <is>
          <t>9'6</t>
        </is>
      </c>
      <c r="M42" t="inlineStr">
        <is>
          <t>Full</t>
        </is>
      </c>
      <c r="P42">
        <f t="array" ref="P42">IFERROR(INDEX(Disch_Booking_Report!B:B, MATCH(TRUE, ISNUMBER(FIND(SUBSTITUTE(C42," ",""), Disch_Booking_Report!AC:AC)), 0)), "Not Found")</f>
        <v/>
      </c>
      <c r="Q42">
        <f t="array" ref="Q42">IFERROR(INDEX(Disch_Booking_Report!C:C, MATCH(TRUE, ISNUMBER(FIND(SUBSTITUTE(C42," ",""), Disch_Booking_Report!AC:AC)), 0)), "Not Found")</f>
        <v/>
      </c>
      <c r="R42">
        <f t="array" ref="R42">IFERROR(INDEX(Disch_Booking_Report!AD:AD, MATCH(TRUE, ISNUMBER(FIND(SUBSTITUTE(C42," ",""), Disch_Booking_Report!AC:AC)), 0)), "Not Found")</f>
        <v/>
      </c>
      <c r="S42">
        <f>Tabela2[[#This Row],[Weight]]</f>
        <v/>
      </c>
      <c r="T42">
        <f t="array" ref="T42">IFERROR(INDEX(Disch_Booking_Report!L:L, MATCH(TRUE, ISNUMBER(FIND(SUBSTITUTE(C42," ",""), Disch_Booking_Report!AC:AC)), 0)), "Not Found")</f>
        <v/>
      </c>
      <c r="U42">
        <f t="array" ref="U42">IFERROR(INDEX(Disch_Booking_Report!I:I, MATCH(TRUE, ISNUMBER(FIND(SUBSTITUTE(C42," ",""), Disch_Booking_Report!AC:AC)), 0)), "Not Found")</f>
        <v/>
      </c>
    </row>
    <row r="43">
      <c r="A43" t="n">
        <v>6</v>
      </c>
      <c r="B43" t="n">
        <v>60182</v>
      </c>
      <c r="C43" t="inlineStr">
        <is>
          <t xml:space="preserve">     ANON0000000</t>
        </is>
      </c>
      <c r="D43" t="n">
        <v>40</v>
      </c>
      <c r="E43" t="inlineStr">
        <is>
          <t>RULED</t>
        </is>
      </c>
      <c r="F43" t="inlineStr">
        <is>
          <t>USNFK</t>
        </is>
      </c>
      <c r="G43" t="n">
        <v>26050</v>
      </c>
      <c r="H43" t="inlineStr">
        <is>
          <t>MLINE</t>
        </is>
      </c>
      <c r="I43" t="inlineStr">
        <is>
          <t>45G1</t>
        </is>
      </c>
      <c r="L43" t="inlineStr">
        <is>
          <t>9'6</t>
        </is>
      </c>
      <c r="M43" t="inlineStr">
        <is>
          <t>Full</t>
        </is>
      </c>
      <c r="P43">
        <f t="array" ref="P43">IFERROR(INDEX(Disch_Booking_Report!B:B, MATCH(TRUE, ISNUMBER(FIND(SUBSTITUTE(C43," ",""), Disch_Booking_Report!AC:AC)), 0)), "Not Found")</f>
        <v/>
      </c>
      <c r="Q43">
        <f t="array" ref="Q43">IFERROR(INDEX(Disch_Booking_Report!C:C, MATCH(TRUE, ISNUMBER(FIND(SUBSTITUTE(C43," ",""), Disch_Booking_Report!AC:AC)), 0)), "Not Found")</f>
        <v/>
      </c>
      <c r="R43">
        <f t="array" ref="R43">IFERROR(INDEX(Disch_Booking_Report!AD:AD, MATCH(TRUE, ISNUMBER(FIND(SUBSTITUTE(C43," ",""), Disch_Booking_Report!AC:AC)), 0)), "Not Found")</f>
        <v/>
      </c>
      <c r="S43">
        <f>Tabela2[[#This Row],[Weight]]</f>
        <v/>
      </c>
      <c r="T43">
        <f t="array" ref="T43">IFERROR(INDEX(Disch_Booking_Report!L:L, MATCH(TRUE, ISNUMBER(FIND(SUBSTITUTE(C43," ",""), Disch_Booking_Report!AC:AC)), 0)), "Not Found")</f>
        <v/>
      </c>
      <c r="U43">
        <f t="array" ref="U43">IFERROR(INDEX(Disch_Booking_Report!I:I, MATCH(TRUE, ISNUMBER(FIND(SUBSTITUTE(C43," ",""), Disch_Booking_Report!AC:AC)), 0)), "Not Found")</f>
        <v/>
      </c>
    </row>
    <row r="44">
      <c r="A44" t="n">
        <v>6</v>
      </c>
      <c r="B44" t="n">
        <v>60382</v>
      </c>
      <c r="C44" t="inlineStr">
        <is>
          <t xml:space="preserve">     ANON0000000</t>
        </is>
      </c>
      <c r="D44" t="n">
        <v>40</v>
      </c>
      <c r="E44" t="inlineStr">
        <is>
          <t>RULED</t>
        </is>
      </c>
      <c r="F44" t="inlineStr">
        <is>
          <t>USNFK</t>
        </is>
      </c>
      <c r="G44" t="n">
        <v>25940</v>
      </c>
      <c r="H44" t="inlineStr">
        <is>
          <t>MLINE</t>
        </is>
      </c>
      <c r="I44" t="inlineStr">
        <is>
          <t>45G1</t>
        </is>
      </c>
      <c r="L44" t="inlineStr">
        <is>
          <t>9'6</t>
        </is>
      </c>
      <c r="M44" t="inlineStr">
        <is>
          <t>Full</t>
        </is>
      </c>
      <c r="P44">
        <f t="array" ref="P44">IFERROR(INDEX(Disch_Booking_Report!B:B, MATCH(TRUE, ISNUMBER(FIND(SUBSTITUTE(C44," ",""), Disch_Booking_Report!AC:AC)), 0)), "Not Found")</f>
        <v/>
      </c>
      <c r="Q44">
        <f t="array" ref="Q44">IFERROR(INDEX(Disch_Booking_Report!C:C, MATCH(TRUE, ISNUMBER(FIND(SUBSTITUTE(C44," ",""), Disch_Booking_Report!AC:AC)), 0)), "Not Found")</f>
        <v/>
      </c>
      <c r="R44">
        <f t="array" ref="R44">IFERROR(INDEX(Disch_Booking_Report!AD:AD, MATCH(TRUE, ISNUMBER(FIND(SUBSTITUTE(C44," ",""), Disch_Booking_Report!AC:AC)), 0)), "Not Found")</f>
        <v/>
      </c>
      <c r="S44">
        <f>Tabela2[[#This Row],[Weight]]</f>
        <v/>
      </c>
      <c r="T44">
        <f t="array" ref="T44">IFERROR(INDEX(Disch_Booking_Report!L:L, MATCH(TRUE, ISNUMBER(FIND(SUBSTITUTE(C44," ",""), Disch_Booking_Report!AC:AC)), 0)), "Not Found")</f>
        <v/>
      </c>
      <c r="U44">
        <f t="array" ref="U44">IFERROR(INDEX(Disch_Booking_Report!I:I, MATCH(TRUE, ISNUMBER(FIND(SUBSTITUTE(C44," ",""), Disch_Booking_Report!AC:AC)), 0)), "Not Found")</f>
        <v/>
      </c>
    </row>
    <row r="45">
      <c r="A45" t="n">
        <v>6</v>
      </c>
      <c r="B45" t="n">
        <v>60104</v>
      </c>
      <c r="C45" t="inlineStr">
        <is>
          <t xml:space="preserve">     ANON0000000</t>
        </is>
      </c>
      <c r="D45" t="n">
        <v>40</v>
      </c>
      <c r="E45" t="inlineStr">
        <is>
          <t>RULED</t>
        </is>
      </c>
      <c r="F45" t="inlineStr">
        <is>
          <t>USNFK</t>
        </is>
      </c>
      <c r="G45" t="n">
        <v>26230</v>
      </c>
      <c r="H45" t="inlineStr">
        <is>
          <t>ART</t>
        </is>
      </c>
      <c r="I45" t="inlineStr">
        <is>
          <t>45G1</t>
        </is>
      </c>
      <c r="L45" t="inlineStr">
        <is>
          <t>9'6</t>
        </is>
      </c>
      <c r="M45" t="inlineStr">
        <is>
          <t>Full</t>
        </is>
      </c>
      <c r="P45">
        <f t="array" ref="P45">IFERROR(INDEX(Disch_Booking_Report!B:B, MATCH(TRUE, ISNUMBER(FIND(SUBSTITUTE(C45," ",""), Disch_Booking_Report!AC:AC)), 0)), "Not Found")</f>
        <v/>
      </c>
      <c r="Q45">
        <f t="array" ref="Q45">IFERROR(INDEX(Disch_Booking_Report!C:C, MATCH(TRUE, ISNUMBER(FIND(SUBSTITUTE(C45," ",""), Disch_Booking_Report!AC:AC)), 0)), "Not Found")</f>
        <v/>
      </c>
      <c r="R45">
        <f t="array" ref="R45">IFERROR(INDEX(Disch_Booking_Report!AD:AD, MATCH(TRUE, ISNUMBER(FIND(SUBSTITUTE(C45," ",""), Disch_Booking_Report!AC:AC)), 0)), "Not Found")</f>
        <v/>
      </c>
      <c r="S45">
        <f>Tabela2[[#This Row],[Weight]]</f>
        <v/>
      </c>
      <c r="T45">
        <f t="array" ref="T45">IFERROR(INDEX(Disch_Booking_Report!L:L, MATCH(TRUE, ISNUMBER(FIND(SUBSTITUTE(C45," ",""), Disch_Booking_Report!AC:AC)), 0)), "Not Found")</f>
        <v/>
      </c>
      <c r="U45">
        <f t="array" ref="U45">IFERROR(INDEX(Disch_Booking_Report!I:I, MATCH(TRUE, ISNUMBER(FIND(SUBSTITUTE(C45," ",""), Disch_Booking_Report!AC:AC)), 0)), "Not Found")</f>
        <v/>
      </c>
    </row>
    <row r="46">
      <c r="A46" t="n">
        <v>6</v>
      </c>
      <c r="B46" t="n">
        <v>60286</v>
      </c>
      <c r="C46" t="inlineStr">
        <is>
          <t xml:space="preserve">     ANON0000000</t>
        </is>
      </c>
      <c r="D46" t="n">
        <v>40</v>
      </c>
      <c r="E46" t="inlineStr">
        <is>
          <t>RULED</t>
        </is>
      </c>
      <c r="F46" t="inlineStr">
        <is>
          <t>USNFK</t>
        </is>
      </c>
      <c r="G46" t="n">
        <v>26010</v>
      </c>
      <c r="H46" t="inlineStr">
        <is>
          <t>MLINE</t>
        </is>
      </c>
      <c r="I46" t="inlineStr">
        <is>
          <t>45G1</t>
        </is>
      </c>
      <c r="L46" t="inlineStr">
        <is>
          <t>9'6</t>
        </is>
      </c>
      <c r="M46" t="inlineStr">
        <is>
          <t>Full</t>
        </is>
      </c>
      <c r="P46">
        <f t="array" ref="P46">IFERROR(INDEX(Disch_Booking_Report!B:B, MATCH(TRUE, ISNUMBER(FIND(SUBSTITUTE(C46," ",""), Disch_Booking_Report!AC:AC)), 0)), "Not Found")</f>
        <v/>
      </c>
      <c r="Q46">
        <f t="array" ref="Q46">IFERROR(INDEX(Disch_Booking_Report!C:C, MATCH(TRUE, ISNUMBER(FIND(SUBSTITUTE(C46," ",""), Disch_Booking_Report!AC:AC)), 0)), "Not Found")</f>
        <v/>
      </c>
      <c r="R46">
        <f t="array" ref="R46">IFERROR(INDEX(Disch_Booking_Report!AD:AD, MATCH(TRUE, ISNUMBER(FIND(SUBSTITUTE(C46," ",""), Disch_Booking_Report!AC:AC)), 0)), "Not Found")</f>
        <v/>
      </c>
      <c r="S46">
        <f>Tabela2[[#This Row],[Weight]]</f>
        <v/>
      </c>
      <c r="T46">
        <f t="array" ref="T46">IFERROR(INDEX(Disch_Booking_Report!L:L, MATCH(TRUE, ISNUMBER(FIND(SUBSTITUTE(C46," ",""), Disch_Booking_Report!AC:AC)), 0)), "Not Found")</f>
        <v/>
      </c>
      <c r="U46">
        <f t="array" ref="U46">IFERROR(INDEX(Disch_Booking_Report!I:I, MATCH(TRUE, ISNUMBER(FIND(SUBSTITUTE(C46," ",""), Disch_Booking_Report!AC:AC)), 0)), "Not Found")</f>
        <v/>
      </c>
    </row>
    <row r="47">
      <c r="A47" t="n">
        <v>6</v>
      </c>
      <c r="B47" t="n">
        <v>60282</v>
      </c>
      <c r="C47" t="inlineStr">
        <is>
          <t xml:space="preserve">     ANON0000000</t>
        </is>
      </c>
      <c r="D47" t="n">
        <v>40</v>
      </c>
      <c r="E47" t="inlineStr">
        <is>
          <t>RULED</t>
        </is>
      </c>
      <c r="F47" t="inlineStr">
        <is>
          <t>USNFK</t>
        </is>
      </c>
      <c r="G47" t="n">
        <v>25910</v>
      </c>
      <c r="H47" t="inlineStr">
        <is>
          <t>MLINE</t>
        </is>
      </c>
      <c r="I47" t="inlineStr">
        <is>
          <t>45G1</t>
        </is>
      </c>
      <c r="L47" t="inlineStr">
        <is>
          <t>9'6</t>
        </is>
      </c>
      <c r="M47" t="inlineStr">
        <is>
          <t>Full</t>
        </is>
      </c>
      <c r="P47">
        <f t="array" ref="P47">IFERROR(INDEX(Disch_Booking_Report!B:B, MATCH(TRUE, ISNUMBER(FIND(SUBSTITUTE(C47," ",""), Disch_Booking_Report!AC:AC)), 0)), "Not Found")</f>
        <v/>
      </c>
      <c r="Q47">
        <f t="array" ref="Q47">IFERROR(INDEX(Disch_Booking_Report!C:C, MATCH(TRUE, ISNUMBER(FIND(SUBSTITUTE(C47," ",""), Disch_Booking_Report!AC:AC)), 0)), "Not Found")</f>
        <v/>
      </c>
      <c r="R47">
        <f t="array" ref="R47">IFERROR(INDEX(Disch_Booking_Report!AD:AD, MATCH(TRUE, ISNUMBER(FIND(SUBSTITUTE(C47," ",""), Disch_Booking_Report!AC:AC)), 0)), "Not Found")</f>
        <v/>
      </c>
      <c r="S47">
        <f>Tabela2[[#This Row],[Weight]]</f>
        <v/>
      </c>
      <c r="T47">
        <f t="array" ref="T47">IFERROR(INDEX(Disch_Booking_Report!L:L, MATCH(TRUE, ISNUMBER(FIND(SUBSTITUTE(C47," ",""), Disch_Booking_Report!AC:AC)), 0)), "Not Found")</f>
        <v/>
      </c>
      <c r="U47">
        <f t="array" ref="U47">IFERROR(INDEX(Disch_Booking_Report!I:I, MATCH(TRUE, ISNUMBER(FIND(SUBSTITUTE(C47," ",""), Disch_Booking_Report!AC:AC)), 0)), "Not Found")</f>
        <v/>
      </c>
    </row>
    <row r="48">
      <c r="A48" t="n">
        <v>6</v>
      </c>
      <c r="B48" t="n">
        <v>60384</v>
      </c>
      <c r="C48" t="inlineStr">
        <is>
          <t xml:space="preserve">     ANON0000000</t>
        </is>
      </c>
      <c r="D48" t="n">
        <v>40</v>
      </c>
      <c r="E48" t="inlineStr">
        <is>
          <t>RULED</t>
        </is>
      </c>
      <c r="F48" t="inlineStr">
        <is>
          <t>USNFK</t>
        </is>
      </c>
      <c r="G48" t="n">
        <v>23830</v>
      </c>
      <c r="H48" t="inlineStr">
        <is>
          <t>MLINE</t>
        </is>
      </c>
      <c r="I48" t="inlineStr">
        <is>
          <t>45G1</t>
        </is>
      </c>
      <c r="L48" t="inlineStr">
        <is>
          <t>9'6</t>
        </is>
      </c>
      <c r="M48" t="inlineStr">
        <is>
          <t>Full</t>
        </is>
      </c>
      <c r="P48">
        <f t="array" ref="P48">IFERROR(INDEX(Disch_Booking_Report!B:B, MATCH(TRUE, ISNUMBER(FIND(SUBSTITUTE(C48," ",""), Disch_Booking_Report!AC:AC)), 0)), "Not Found")</f>
        <v/>
      </c>
      <c r="Q48">
        <f t="array" ref="Q48">IFERROR(INDEX(Disch_Booking_Report!C:C, MATCH(TRUE, ISNUMBER(FIND(SUBSTITUTE(C48," ",""), Disch_Booking_Report!AC:AC)), 0)), "Not Found")</f>
        <v/>
      </c>
      <c r="R48">
        <f t="array" ref="R48">IFERROR(INDEX(Disch_Booking_Report!AD:AD, MATCH(TRUE, ISNUMBER(FIND(SUBSTITUTE(C48," ",""), Disch_Booking_Report!AC:AC)), 0)), "Not Found")</f>
        <v/>
      </c>
      <c r="S48">
        <f>Tabela2[[#This Row],[Weight]]</f>
        <v/>
      </c>
      <c r="T48">
        <f t="array" ref="T48">IFERROR(INDEX(Disch_Booking_Report!L:L, MATCH(TRUE, ISNUMBER(FIND(SUBSTITUTE(C48," ",""), Disch_Booking_Report!AC:AC)), 0)), "Not Found")</f>
        <v/>
      </c>
      <c r="U48">
        <f t="array" ref="U48">IFERROR(INDEX(Disch_Booking_Report!I:I, MATCH(TRUE, ISNUMBER(FIND(SUBSTITUTE(C48," ",""), Disch_Booking_Report!AC:AC)), 0)), "Not Found")</f>
        <v/>
      </c>
    </row>
    <row r="49">
      <c r="A49" t="n">
        <v>6</v>
      </c>
      <c r="B49" t="n">
        <v>60786</v>
      </c>
      <c r="C49" t="inlineStr">
        <is>
          <t xml:space="preserve">     ANON0000000</t>
        </is>
      </c>
      <c r="D49" t="n">
        <v>40</v>
      </c>
      <c r="E49" t="inlineStr">
        <is>
          <t>RULED</t>
        </is>
      </c>
      <c r="F49" t="inlineStr">
        <is>
          <t>USNYC</t>
        </is>
      </c>
      <c r="G49" t="n">
        <v>32390</v>
      </c>
      <c r="H49" t="inlineStr">
        <is>
          <t>ART</t>
        </is>
      </c>
      <c r="I49" t="inlineStr">
        <is>
          <t>45G1</t>
        </is>
      </c>
      <c r="L49" t="inlineStr">
        <is>
          <t>9'6</t>
        </is>
      </c>
      <c r="M49" t="inlineStr">
        <is>
          <t>Full</t>
        </is>
      </c>
      <c r="P49">
        <f t="array" ref="P49">IFERROR(INDEX(Disch_Booking_Report!B:B, MATCH(TRUE, ISNUMBER(FIND(SUBSTITUTE(C49," ",""), Disch_Booking_Report!AC:AC)), 0)), "Not Found")</f>
        <v/>
      </c>
      <c r="Q49">
        <f t="array" ref="Q49">IFERROR(INDEX(Disch_Booking_Report!C:C, MATCH(TRUE, ISNUMBER(FIND(SUBSTITUTE(C49," ",""), Disch_Booking_Report!AC:AC)), 0)), "Not Found")</f>
        <v/>
      </c>
      <c r="R49">
        <f t="array" ref="R49">IFERROR(INDEX(Disch_Booking_Report!AD:AD, MATCH(TRUE, ISNUMBER(FIND(SUBSTITUTE(C49," ",""), Disch_Booking_Report!AC:AC)), 0)), "Not Found")</f>
        <v/>
      </c>
      <c r="S49">
        <f>Tabela2[[#This Row],[Weight]]</f>
        <v/>
      </c>
      <c r="T49">
        <f t="array" ref="T49">IFERROR(INDEX(Disch_Booking_Report!L:L, MATCH(TRUE, ISNUMBER(FIND(SUBSTITUTE(C49," ",""), Disch_Booking_Report!AC:AC)), 0)), "Not Found")</f>
        <v/>
      </c>
      <c r="U49">
        <f t="array" ref="U49">IFERROR(INDEX(Disch_Booking_Report!I:I, MATCH(TRUE, ISNUMBER(FIND(SUBSTITUTE(C49," ",""), Disch_Booking_Report!AC:AC)), 0)), "Not Found")</f>
        <v/>
      </c>
    </row>
    <row r="50">
      <c r="A50" t="n">
        <v>6</v>
      </c>
      <c r="B50" t="n">
        <v>60484</v>
      </c>
      <c r="C50" t="inlineStr">
        <is>
          <t xml:space="preserve">     ANON0000000</t>
        </is>
      </c>
      <c r="D50" t="n">
        <v>40</v>
      </c>
      <c r="E50" t="inlineStr">
        <is>
          <t>RULED</t>
        </is>
      </c>
      <c r="F50" t="inlineStr">
        <is>
          <t>USNFK</t>
        </is>
      </c>
      <c r="G50" t="n">
        <v>26390</v>
      </c>
      <c r="H50" t="inlineStr">
        <is>
          <t>MLINE</t>
        </is>
      </c>
      <c r="I50" t="inlineStr">
        <is>
          <t>45G1</t>
        </is>
      </c>
      <c r="L50" t="inlineStr">
        <is>
          <t>9'6</t>
        </is>
      </c>
      <c r="M50" t="inlineStr">
        <is>
          <t>Full</t>
        </is>
      </c>
      <c r="P50">
        <f t="array" ref="P50">IFERROR(INDEX(Disch_Booking_Report!B:B, MATCH(TRUE, ISNUMBER(FIND(SUBSTITUTE(C50," ",""), Disch_Booking_Report!AC:AC)), 0)), "Not Found")</f>
        <v/>
      </c>
      <c r="Q50">
        <f t="array" ref="Q50">IFERROR(INDEX(Disch_Booking_Report!C:C, MATCH(TRUE, ISNUMBER(FIND(SUBSTITUTE(C50," ",""), Disch_Booking_Report!AC:AC)), 0)), "Not Found")</f>
        <v/>
      </c>
      <c r="R50">
        <f t="array" ref="R50">IFERROR(INDEX(Disch_Booking_Report!AD:AD, MATCH(TRUE, ISNUMBER(FIND(SUBSTITUTE(C50," ",""), Disch_Booking_Report!AC:AC)), 0)), "Not Found")</f>
        <v/>
      </c>
      <c r="S50">
        <f>Tabela2[[#This Row],[Weight]]</f>
        <v/>
      </c>
      <c r="T50">
        <f t="array" ref="T50">IFERROR(INDEX(Disch_Booking_Report!L:L, MATCH(TRUE, ISNUMBER(FIND(SUBSTITUTE(C50," ",""), Disch_Booking_Report!AC:AC)), 0)), "Not Found")</f>
        <v/>
      </c>
      <c r="U50">
        <f t="array" ref="U50">IFERROR(INDEX(Disch_Booking_Report!I:I, MATCH(TRUE, ISNUMBER(FIND(SUBSTITUTE(C50," ",""), Disch_Booking_Report!AC:AC)), 0)), "Not Found")</f>
        <v/>
      </c>
    </row>
    <row r="51">
      <c r="A51" t="n">
        <v>6</v>
      </c>
      <c r="B51" t="n">
        <v>60106</v>
      </c>
      <c r="C51" t="inlineStr">
        <is>
          <t xml:space="preserve">     ANON0000000</t>
        </is>
      </c>
      <c r="D51" t="n">
        <v>40</v>
      </c>
      <c r="E51" t="inlineStr">
        <is>
          <t>RULED</t>
        </is>
      </c>
      <c r="F51" t="inlineStr">
        <is>
          <t>USNFK</t>
        </is>
      </c>
      <c r="G51" t="n">
        <v>25990</v>
      </c>
      <c r="H51" t="inlineStr">
        <is>
          <t>MLINE</t>
        </is>
      </c>
      <c r="I51" t="inlineStr">
        <is>
          <t>45G1</t>
        </is>
      </c>
      <c r="L51" t="inlineStr">
        <is>
          <t>9'6</t>
        </is>
      </c>
      <c r="M51" t="inlineStr">
        <is>
          <t>Full</t>
        </is>
      </c>
      <c r="P51">
        <f t="array" ref="P51">IFERROR(INDEX(Disch_Booking_Report!B:B, MATCH(TRUE, ISNUMBER(FIND(SUBSTITUTE(C51," ",""), Disch_Booking_Report!AC:AC)), 0)), "Not Found")</f>
        <v/>
      </c>
      <c r="Q51">
        <f t="array" ref="Q51">IFERROR(INDEX(Disch_Booking_Report!C:C, MATCH(TRUE, ISNUMBER(FIND(SUBSTITUTE(C51," ",""), Disch_Booking_Report!AC:AC)), 0)), "Not Found")</f>
        <v/>
      </c>
      <c r="R51">
        <f t="array" ref="R51">IFERROR(INDEX(Disch_Booking_Report!AD:AD, MATCH(TRUE, ISNUMBER(FIND(SUBSTITUTE(C51," ",""), Disch_Booking_Report!AC:AC)), 0)), "Not Found")</f>
        <v/>
      </c>
      <c r="S51">
        <f>Tabela2[[#This Row],[Weight]]</f>
        <v/>
      </c>
      <c r="T51">
        <f t="array" ref="T51">IFERROR(INDEX(Disch_Booking_Report!L:L, MATCH(TRUE, ISNUMBER(FIND(SUBSTITUTE(C51," ",""), Disch_Booking_Report!AC:AC)), 0)), "Not Found")</f>
        <v/>
      </c>
      <c r="U51">
        <f t="array" ref="U51">IFERROR(INDEX(Disch_Booking_Report!I:I, MATCH(TRUE, ISNUMBER(FIND(SUBSTITUTE(C51," ",""), Disch_Booking_Report!AC:AC)), 0)), "Not Found")</f>
        <v/>
      </c>
    </row>
    <row r="52">
      <c r="A52" t="n">
        <v>6</v>
      </c>
      <c r="B52" t="n">
        <v>60108</v>
      </c>
      <c r="C52" t="inlineStr">
        <is>
          <t xml:space="preserve">     ANON0000000</t>
        </is>
      </c>
      <c r="D52" t="n">
        <v>40</v>
      </c>
      <c r="E52" t="inlineStr">
        <is>
          <t>RULED</t>
        </is>
      </c>
      <c r="F52" t="inlineStr">
        <is>
          <t>USNFK</t>
        </is>
      </c>
      <c r="G52" t="n">
        <v>24840</v>
      </c>
      <c r="H52" t="inlineStr">
        <is>
          <t>MLINE</t>
        </is>
      </c>
      <c r="I52" t="inlineStr">
        <is>
          <t>45G1</t>
        </is>
      </c>
      <c r="L52" t="inlineStr">
        <is>
          <t>9'6</t>
        </is>
      </c>
      <c r="M52" t="inlineStr">
        <is>
          <t>Full</t>
        </is>
      </c>
      <c r="P52">
        <f t="array" ref="P52">IFERROR(INDEX(Disch_Booking_Report!B:B, MATCH(TRUE, ISNUMBER(FIND(SUBSTITUTE(C52," ",""), Disch_Booking_Report!AC:AC)), 0)), "Not Found")</f>
        <v/>
      </c>
      <c r="Q52">
        <f t="array" ref="Q52">IFERROR(INDEX(Disch_Booking_Report!C:C, MATCH(TRUE, ISNUMBER(FIND(SUBSTITUTE(C52," ",""), Disch_Booking_Report!AC:AC)), 0)), "Not Found")</f>
        <v/>
      </c>
      <c r="R52">
        <f t="array" ref="R52">IFERROR(INDEX(Disch_Booking_Report!AD:AD, MATCH(TRUE, ISNUMBER(FIND(SUBSTITUTE(C52," ",""), Disch_Booking_Report!AC:AC)), 0)), "Not Found")</f>
        <v/>
      </c>
      <c r="S52">
        <f>Tabela2[[#This Row],[Weight]]</f>
        <v/>
      </c>
      <c r="T52">
        <f t="array" ref="T52">IFERROR(INDEX(Disch_Booking_Report!L:L, MATCH(TRUE, ISNUMBER(FIND(SUBSTITUTE(C52," ",""), Disch_Booking_Report!AC:AC)), 0)), "Not Found")</f>
        <v/>
      </c>
      <c r="U52">
        <f t="array" ref="U52">IFERROR(INDEX(Disch_Booking_Report!I:I, MATCH(TRUE, ISNUMBER(FIND(SUBSTITUTE(C52," ",""), Disch_Booking_Report!AC:AC)), 0)), "Not Found")</f>
        <v/>
      </c>
    </row>
    <row r="53">
      <c r="A53" t="n">
        <v>6</v>
      </c>
      <c r="B53" t="n">
        <v>60882</v>
      </c>
      <c r="C53" t="inlineStr">
        <is>
          <t xml:space="preserve">     ANON0000000</t>
        </is>
      </c>
      <c r="D53" t="n">
        <v>40</v>
      </c>
      <c r="E53" t="inlineStr">
        <is>
          <t>RULED</t>
        </is>
      </c>
      <c r="F53" t="inlineStr">
        <is>
          <t>USNFK</t>
        </is>
      </c>
      <c r="G53" t="n">
        <v>25990</v>
      </c>
      <c r="H53" t="inlineStr">
        <is>
          <t>MLINE</t>
        </is>
      </c>
      <c r="I53" t="inlineStr">
        <is>
          <t>45G1</t>
        </is>
      </c>
      <c r="L53" t="inlineStr">
        <is>
          <t>9'6</t>
        </is>
      </c>
      <c r="M53" t="inlineStr">
        <is>
          <t>Full</t>
        </is>
      </c>
      <c r="P53">
        <f t="array" ref="P53">IFERROR(INDEX(Disch_Booking_Report!B:B, MATCH(TRUE, ISNUMBER(FIND(SUBSTITUTE(C53," ",""), Disch_Booking_Report!AC:AC)), 0)), "Not Found")</f>
        <v/>
      </c>
      <c r="Q53">
        <f t="array" ref="Q53">IFERROR(INDEX(Disch_Booking_Report!C:C, MATCH(TRUE, ISNUMBER(FIND(SUBSTITUTE(C53," ",""), Disch_Booking_Report!AC:AC)), 0)), "Not Found")</f>
        <v/>
      </c>
      <c r="R53">
        <f t="array" ref="R53">IFERROR(INDEX(Disch_Booking_Report!AD:AD, MATCH(TRUE, ISNUMBER(FIND(SUBSTITUTE(C53," ",""), Disch_Booking_Report!AC:AC)), 0)), "Not Found")</f>
        <v/>
      </c>
      <c r="S53">
        <f>Tabela2[[#This Row],[Weight]]</f>
        <v/>
      </c>
      <c r="T53">
        <f t="array" ref="T53">IFERROR(INDEX(Disch_Booking_Report!L:L, MATCH(TRUE, ISNUMBER(FIND(SUBSTITUTE(C53," ",""), Disch_Booking_Report!AC:AC)), 0)), "Not Found")</f>
        <v/>
      </c>
      <c r="U53">
        <f t="array" ref="U53">IFERROR(INDEX(Disch_Booking_Report!I:I, MATCH(TRUE, ISNUMBER(FIND(SUBSTITUTE(C53," ",""), Disch_Booking_Report!AC:AC)), 0)), "Not Found")</f>
        <v/>
      </c>
    </row>
    <row r="54">
      <c r="A54" t="n">
        <v>6</v>
      </c>
      <c r="B54" t="n">
        <v>60406</v>
      </c>
      <c r="C54" t="inlineStr">
        <is>
          <t xml:space="preserve">     ANON0000000</t>
        </is>
      </c>
      <c r="D54" t="n">
        <v>40</v>
      </c>
      <c r="E54" t="inlineStr">
        <is>
          <t>RULED</t>
        </is>
      </c>
      <c r="F54" t="inlineStr">
        <is>
          <t>USNFK</t>
        </is>
      </c>
      <c r="G54" t="n">
        <v>24890</v>
      </c>
      <c r="H54" t="inlineStr">
        <is>
          <t>MLINE</t>
        </is>
      </c>
      <c r="I54" t="inlineStr">
        <is>
          <t>45G1</t>
        </is>
      </c>
      <c r="L54" t="inlineStr">
        <is>
          <t>9'6</t>
        </is>
      </c>
      <c r="M54" t="inlineStr">
        <is>
          <t>Full</t>
        </is>
      </c>
      <c r="P54">
        <f t="array" ref="P54">IFERROR(INDEX(Disch_Booking_Report!B:B, MATCH(TRUE, ISNUMBER(FIND(SUBSTITUTE(C54," ",""), Disch_Booking_Report!AC:AC)), 0)), "Not Found")</f>
        <v/>
      </c>
      <c r="Q54">
        <f t="array" ref="Q54">IFERROR(INDEX(Disch_Booking_Report!C:C, MATCH(TRUE, ISNUMBER(FIND(SUBSTITUTE(C54," ",""), Disch_Booking_Report!AC:AC)), 0)), "Not Found")</f>
        <v/>
      </c>
      <c r="R54">
        <f t="array" ref="R54">IFERROR(INDEX(Disch_Booking_Report!AD:AD, MATCH(TRUE, ISNUMBER(FIND(SUBSTITUTE(C54," ",""), Disch_Booking_Report!AC:AC)), 0)), "Not Found")</f>
        <v/>
      </c>
      <c r="S54">
        <f>Tabela2[[#This Row],[Weight]]</f>
        <v/>
      </c>
      <c r="T54">
        <f t="array" ref="T54">IFERROR(INDEX(Disch_Booking_Report!L:L, MATCH(TRUE, ISNUMBER(FIND(SUBSTITUTE(C54," ",""), Disch_Booking_Report!AC:AC)), 0)), "Not Found")</f>
        <v/>
      </c>
      <c r="U54">
        <f t="array" ref="U54">IFERROR(INDEX(Disch_Booking_Report!I:I, MATCH(TRUE, ISNUMBER(FIND(SUBSTITUTE(C54," ",""), Disch_Booking_Report!AC:AC)), 0)), "Not Found")</f>
        <v/>
      </c>
    </row>
    <row r="55">
      <c r="A55" t="n">
        <v>6</v>
      </c>
      <c r="B55" t="n">
        <v>60684</v>
      </c>
      <c r="C55" t="inlineStr">
        <is>
          <t xml:space="preserve">     ANON0000000</t>
        </is>
      </c>
      <c r="D55" t="n">
        <v>40</v>
      </c>
      <c r="E55" t="inlineStr">
        <is>
          <t>RULED</t>
        </is>
      </c>
      <c r="F55" t="inlineStr">
        <is>
          <t>USNFK</t>
        </is>
      </c>
      <c r="G55" t="n">
        <v>26230</v>
      </c>
      <c r="H55" t="inlineStr">
        <is>
          <t>MLINE</t>
        </is>
      </c>
      <c r="I55" t="inlineStr">
        <is>
          <t>45G1</t>
        </is>
      </c>
      <c r="L55" t="inlineStr">
        <is>
          <t>9'6</t>
        </is>
      </c>
      <c r="M55" t="inlineStr">
        <is>
          <t>Full</t>
        </is>
      </c>
      <c r="P55">
        <f t="array" ref="P55">IFERROR(INDEX(Disch_Booking_Report!B:B, MATCH(TRUE, ISNUMBER(FIND(SUBSTITUTE(C55," ",""), Disch_Booking_Report!AC:AC)), 0)), "Not Found")</f>
        <v/>
      </c>
      <c r="Q55">
        <f t="array" ref="Q55">IFERROR(INDEX(Disch_Booking_Report!C:C, MATCH(TRUE, ISNUMBER(FIND(SUBSTITUTE(C55," ",""), Disch_Booking_Report!AC:AC)), 0)), "Not Found")</f>
        <v/>
      </c>
      <c r="R55">
        <f t="array" ref="R55">IFERROR(INDEX(Disch_Booking_Report!AD:AD, MATCH(TRUE, ISNUMBER(FIND(SUBSTITUTE(C55," ",""), Disch_Booking_Report!AC:AC)), 0)), "Not Found")</f>
        <v/>
      </c>
      <c r="S55">
        <f>Tabela2[[#This Row],[Weight]]</f>
        <v/>
      </c>
      <c r="T55">
        <f t="array" ref="T55">IFERROR(INDEX(Disch_Booking_Report!L:L, MATCH(TRUE, ISNUMBER(FIND(SUBSTITUTE(C55," ",""), Disch_Booking_Report!AC:AC)), 0)), "Not Found")</f>
        <v/>
      </c>
      <c r="U55">
        <f t="array" ref="U55">IFERROR(INDEX(Disch_Booking_Report!I:I, MATCH(TRUE, ISNUMBER(FIND(SUBSTITUTE(C55," ",""), Disch_Booking_Report!AC:AC)), 0)), "Not Found")</f>
        <v/>
      </c>
    </row>
    <row r="56">
      <c r="A56" t="n">
        <v>6</v>
      </c>
      <c r="B56" t="n">
        <v>60682</v>
      </c>
      <c r="C56" t="inlineStr">
        <is>
          <t xml:space="preserve">     ANON0000000</t>
        </is>
      </c>
      <c r="D56" t="n">
        <v>40</v>
      </c>
      <c r="E56" t="inlineStr">
        <is>
          <t>RULED</t>
        </is>
      </c>
      <c r="F56" t="inlineStr">
        <is>
          <t>USNFK</t>
        </is>
      </c>
      <c r="G56" t="n">
        <v>25950</v>
      </c>
      <c r="H56" t="inlineStr">
        <is>
          <t>MLINE</t>
        </is>
      </c>
      <c r="I56" t="inlineStr">
        <is>
          <t>45G1</t>
        </is>
      </c>
      <c r="L56" t="inlineStr">
        <is>
          <t>9'6</t>
        </is>
      </c>
      <c r="M56" t="inlineStr">
        <is>
          <t>Full</t>
        </is>
      </c>
      <c r="P56">
        <f t="array" ref="P56">IFERROR(INDEX(Disch_Booking_Report!B:B, MATCH(TRUE, ISNUMBER(FIND(SUBSTITUTE(C56," ",""), Disch_Booking_Report!AC:AC)), 0)), "Not Found")</f>
        <v/>
      </c>
      <c r="Q56">
        <f t="array" ref="Q56">IFERROR(INDEX(Disch_Booking_Report!C:C, MATCH(TRUE, ISNUMBER(FIND(SUBSTITUTE(C56," ",""), Disch_Booking_Report!AC:AC)), 0)), "Not Found")</f>
        <v/>
      </c>
      <c r="R56">
        <f t="array" ref="R56">IFERROR(INDEX(Disch_Booking_Report!AD:AD, MATCH(TRUE, ISNUMBER(FIND(SUBSTITUTE(C56," ",""), Disch_Booking_Report!AC:AC)), 0)), "Not Found")</f>
        <v/>
      </c>
      <c r="S56">
        <f>Tabela2[[#This Row],[Weight]]</f>
        <v/>
      </c>
      <c r="T56">
        <f t="array" ref="T56">IFERROR(INDEX(Disch_Booking_Report!L:L, MATCH(TRUE, ISNUMBER(FIND(SUBSTITUTE(C56," ",""), Disch_Booking_Report!AC:AC)), 0)), "Not Found")</f>
        <v/>
      </c>
      <c r="U56">
        <f t="array" ref="U56">IFERROR(INDEX(Disch_Booking_Report!I:I, MATCH(TRUE, ISNUMBER(FIND(SUBSTITUTE(C56," ",""), Disch_Booking_Report!AC:AC)), 0)), "Not Found")</f>
        <v/>
      </c>
    </row>
    <row r="57">
      <c r="A57" t="n">
        <v>6</v>
      </c>
      <c r="B57" t="n">
        <v>60306</v>
      </c>
      <c r="C57" t="inlineStr">
        <is>
          <t xml:space="preserve">     ANON0000000</t>
        </is>
      </c>
      <c r="D57" t="n">
        <v>40</v>
      </c>
      <c r="E57" t="inlineStr">
        <is>
          <t>RULED</t>
        </is>
      </c>
      <c r="F57" t="inlineStr">
        <is>
          <t>USNFK</t>
        </is>
      </c>
      <c r="G57" t="n">
        <v>26140</v>
      </c>
      <c r="H57" t="inlineStr">
        <is>
          <t>MLINE</t>
        </is>
      </c>
      <c r="I57" t="inlineStr">
        <is>
          <t>45G1</t>
        </is>
      </c>
      <c r="L57" t="inlineStr">
        <is>
          <t>9'6</t>
        </is>
      </c>
      <c r="M57" t="inlineStr">
        <is>
          <t>Full</t>
        </is>
      </c>
      <c r="P57">
        <f t="array" ref="P57">IFERROR(INDEX(Disch_Booking_Report!B:B, MATCH(TRUE, ISNUMBER(FIND(SUBSTITUTE(C57," ",""), Disch_Booking_Report!AC:AC)), 0)), "Not Found")</f>
        <v/>
      </c>
      <c r="Q57">
        <f t="array" ref="Q57">IFERROR(INDEX(Disch_Booking_Report!C:C, MATCH(TRUE, ISNUMBER(FIND(SUBSTITUTE(C57," ",""), Disch_Booking_Report!AC:AC)), 0)), "Not Found")</f>
        <v/>
      </c>
      <c r="R57">
        <f t="array" ref="R57">IFERROR(INDEX(Disch_Booking_Report!AD:AD, MATCH(TRUE, ISNUMBER(FIND(SUBSTITUTE(C57," ",""), Disch_Booking_Report!AC:AC)), 0)), "Not Found")</f>
        <v/>
      </c>
      <c r="S57">
        <f>Tabela2[[#This Row],[Weight]]</f>
        <v/>
      </c>
      <c r="T57">
        <f t="array" ref="T57">IFERROR(INDEX(Disch_Booking_Report!L:L, MATCH(TRUE, ISNUMBER(FIND(SUBSTITUTE(C57," ",""), Disch_Booking_Report!AC:AC)), 0)), "Not Found")</f>
        <v/>
      </c>
      <c r="U57">
        <f t="array" ref="U57">IFERROR(INDEX(Disch_Booking_Report!I:I, MATCH(TRUE, ISNUMBER(FIND(SUBSTITUTE(C57," ",""), Disch_Booking_Report!AC:AC)), 0)), "Not Found")</f>
        <v/>
      </c>
    </row>
    <row r="58">
      <c r="A58" t="n">
        <v>6</v>
      </c>
      <c r="B58" t="n">
        <v>60086</v>
      </c>
      <c r="C58" t="inlineStr">
        <is>
          <t xml:space="preserve">     ANON0000000</t>
        </is>
      </c>
      <c r="D58" t="n">
        <v>40</v>
      </c>
      <c r="E58" t="inlineStr">
        <is>
          <t>RULED</t>
        </is>
      </c>
      <c r="F58" t="inlineStr">
        <is>
          <t>USNYC</t>
        </is>
      </c>
      <c r="G58" t="n">
        <v>32320</v>
      </c>
      <c r="H58" t="inlineStr">
        <is>
          <t>ART</t>
        </is>
      </c>
      <c r="I58" t="inlineStr">
        <is>
          <t>45G1</t>
        </is>
      </c>
      <c r="L58" t="inlineStr">
        <is>
          <t>9'6</t>
        </is>
      </c>
      <c r="M58" t="inlineStr">
        <is>
          <t>Full</t>
        </is>
      </c>
      <c r="P58">
        <f t="array" ref="P58">IFERROR(INDEX(Disch_Booking_Report!B:B, MATCH(TRUE, ISNUMBER(FIND(SUBSTITUTE(C58," ",""), Disch_Booking_Report!AC:AC)), 0)), "Not Found")</f>
        <v/>
      </c>
      <c r="Q58">
        <f t="array" ref="Q58">IFERROR(INDEX(Disch_Booking_Report!C:C, MATCH(TRUE, ISNUMBER(FIND(SUBSTITUTE(C58," ",""), Disch_Booking_Report!AC:AC)), 0)), "Not Found")</f>
        <v/>
      </c>
      <c r="R58">
        <f t="array" ref="R58">IFERROR(INDEX(Disch_Booking_Report!AD:AD, MATCH(TRUE, ISNUMBER(FIND(SUBSTITUTE(C58," ",""), Disch_Booking_Report!AC:AC)), 0)), "Not Found")</f>
        <v/>
      </c>
      <c r="S58">
        <f>Tabela2[[#This Row],[Weight]]</f>
        <v/>
      </c>
      <c r="T58">
        <f t="array" ref="T58">IFERROR(INDEX(Disch_Booking_Report!L:L, MATCH(TRUE, ISNUMBER(FIND(SUBSTITUTE(C58," ",""), Disch_Booking_Report!AC:AC)), 0)), "Not Found")</f>
        <v/>
      </c>
      <c r="U58">
        <f t="array" ref="U58">IFERROR(INDEX(Disch_Booking_Report!I:I, MATCH(TRUE, ISNUMBER(FIND(SUBSTITUTE(C58," ",""), Disch_Booking_Report!AC:AC)), 0)), "Not Found")</f>
        <v/>
      </c>
    </row>
    <row r="59">
      <c r="A59" t="n">
        <v>6</v>
      </c>
      <c r="B59" t="n">
        <v>60408</v>
      </c>
      <c r="C59" t="inlineStr">
        <is>
          <t xml:space="preserve">     ANON0000000</t>
        </is>
      </c>
      <c r="D59" t="n">
        <v>40</v>
      </c>
      <c r="E59" t="inlineStr">
        <is>
          <t>RULED</t>
        </is>
      </c>
      <c r="F59" t="inlineStr">
        <is>
          <t>USNFK</t>
        </is>
      </c>
      <c r="G59" t="n">
        <v>26090</v>
      </c>
      <c r="H59" t="inlineStr">
        <is>
          <t>MLINE</t>
        </is>
      </c>
      <c r="I59" t="inlineStr">
        <is>
          <t>45G1</t>
        </is>
      </c>
      <c r="L59" t="inlineStr">
        <is>
          <t>9'6</t>
        </is>
      </c>
      <c r="M59" t="inlineStr">
        <is>
          <t>Full</t>
        </is>
      </c>
      <c r="P59">
        <f t="array" ref="P59">IFERROR(INDEX(Disch_Booking_Report!B:B, MATCH(TRUE, ISNUMBER(FIND(SUBSTITUTE(C59," ",""), Disch_Booking_Report!AC:AC)), 0)), "Not Found")</f>
        <v/>
      </c>
      <c r="Q59">
        <f t="array" ref="Q59">IFERROR(INDEX(Disch_Booking_Report!C:C, MATCH(TRUE, ISNUMBER(FIND(SUBSTITUTE(C59," ",""), Disch_Booking_Report!AC:AC)), 0)), "Not Found")</f>
        <v/>
      </c>
      <c r="R59">
        <f t="array" ref="R59">IFERROR(INDEX(Disch_Booking_Report!AD:AD, MATCH(TRUE, ISNUMBER(FIND(SUBSTITUTE(C59," ",""), Disch_Booking_Report!AC:AC)), 0)), "Not Found")</f>
        <v/>
      </c>
      <c r="S59">
        <f>Tabela2[[#This Row],[Weight]]</f>
        <v/>
      </c>
      <c r="T59">
        <f t="array" ref="T59">IFERROR(INDEX(Disch_Booking_Report!L:L, MATCH(TRUE, ISNUMBER(FIND(SUBSTITUTE(C59," ",""), Disch_Booking_Report!AC:AC)), 0)), "Not Found")</f>
        <v/>
      </c>
      <c r="U59">
        <f t="array" ref="U59">IFERROR(INDEX(Disch_Booking_Report!I:I, MATCH(TRUE, ISNUMBER(FIND(SUBSTITUTE(C59," ",""), Disch_Booking_Report!AC:AC)), 0)), "Not Found")</f>
        <v/>
      </c>
    </row>
    <row r="60">
      <c r="A60" t="n">
        <v>6</v>
      </c>
      <c r="B60" t="n">
        <v>60386</v>
      </c>
      <c r="C60" t="inlineStr">
        <is>
          <t xml:space="preserve">     ANON0000000</t>
        </is>
      </c>
      <c r="D60" t="n">
        <v>40</v>
      </c>
      <c r="E60" t="inlineStr">
        <is>
          <t>RULED</t>
        </is>
      </c>
      <c r="F60" t="inlineStr">
        <is>
          <t>USNYC</t>
        </is>
      </c>
      <c r="G60" t="n">
        <v>32470</v>
      </c>
      <c r="H60" t="inlineStr">
        <is>
          <t>ART</t>
        </is>
      </c>
      <c r="I60" t="inlineStr">
        <is>
          <t>45G1</t>
        </is>
      </c>
      <c r="L60" t="inlineStr">
        <is>
          <t>9'6</t>
        </is>
      </c>
      <c r="M60" t="inlineStr">
        <is>
          <t>Full</t>
        </is>
      </c>
      <c r="P60">
        <f t="array" ref="P60">IFERROR(INDEX(Disch_Booking_Report!B:B, MATCH(TRUE, ISNUMBER(FIND(SUBSTITUTE(C60," ",""), Disch_Booking_Report!AC:AC)), 0)), "Not Found")</f>
        <v/>
      </c>
      <c r="Q60">
        <f t="array" ref="Q60">IFERROR(INDEX(Disch_Booking_Report!C:C, MATCH(TRUE, ISNUMBER(FIND(SUBSTITUTE(C60," ",""), Disch_Booking_Report!AC:AC)), 0)), "Not Found")</f>
        <v/>
      </c>
      <c r="R60">
        <f t="array" ref="R60">IFERROR(INDEX(Disch_Booking_Report!AD:AD, MATCH(TRUE, ISNUMBER(FIND(SUBSTITUTE(C60," ",""), Disch_Booking_Report!AC:AC)), 0)), "Not Found")</f>
        <v/>
      </c>
      <c r="S60">
        <f>Tabela2[[#This Row],[Weight]]</f>
        <v/>
      </c>
      <c r="T60">
        <f t="array" ref="T60">IFERROR(INDEX(Disch_Booking_Report!L:L, MATCH(TRUE, ISNUMBER(FIND(SUBSTITUTE(C60," ",""), Disch_Booking_Report!AC:AC)), 0)), "Not Found")</f>
        <v/>
      </c>
      <c r="U60">
        <f t="array" ref="U60">IFERROR(INDEX(Disch_Booking_Report!I:I, MATCH(TRUE, ISNUMBER(FIND(SUBSTITUTE(C60," ",""), Disch_Booking_Report!AC:AC)), 0)), "Not Found")</f>
        <v/>
      </c>
    </row>
    <row r="61">
      <c r="A61" t="n">
        <v>6</v>
      </c>
      <c r="B61" t="n">
        <v>60206</v>
      </c>
      <c r="C61" t="inlineStr">
        <is>
          <t xml:space="preserve">     ANON0000000</t>
        </is>
      </c>
      <c r="D61" t="n">
        <v>40</v>
      </c>
      <c r="E61" t="inlineStr">
        <is>
          <t>RULED</t>
        </is>
      </c>
      <c r="F61" t="inlineStr">
        <is>
          <t>USNFK</t>
        </is>
      </c>
      <c r="G61" t="n">
        <v>25980</v>
      </c>
      <c r="H61" t="inlineStr">
        <is>
          <t>MLINE</t>
        </is>
      </c>
      <c r="I61" t="inlineStr">
        <is>
          <t>45G1</t>
        </is>
      </c>
      <c r="L61" t="inlineStr">
        <is>
          <t>9'6</t>
        </is>
      </c>
      <c r="M61" t="inlineStr">
        <is>
          <t>Full</t>
        </is>
      </c>
      <c r="P61">
        <f t="array" ref="P61">IFERROR(INDEX(Disch_Booking_Report!B:B, MATCH(TRUE, ISNUMBER(FIND(SUBSTITUTE(C61," ",""), Disch_Booking_Report!AC:AC)), 0)), "Not Found")</f>
        <v/>
      </c>
      <c r="Q61">
        <f t="array" ref="Q61">IFERROR(INDEX(Disch_Booking_Report!C:C, MATCH(TRUE, ISNUMBER(FIND(SUBSTITUTE(C61," ",""), Disch_Booking_Report!AC:AC)), 0)), "Not Found")</f>
        <v/>
      </c>
      <c r="R61">
        <f t="array" ref="R61">IFERROR(INDEX(Disch_Booking_Report!AD:AD, MATCH(TRUE, ISNUMBER(FIND(SUBSTITUTE(C61," ",""), Disch_Booking_Report!AC:AC)), 0)), "Not Found")</f>
        <v/>
      </c>
      <c r="S61">
        <f>Tabela2[[#This Row],[Weight]]</f>
        <v/>
      </c>
      <c r="T61">
        <f t="array" ref="T61">IFERROR(INDEX(Disch_Booking_Report!L:L, MATCH(TRUE, ISNUMBER(FIND(SUBSTITUTE(C61," ",""), Disch_Booking_Report!AC:AC)), 0)), "Not Found")</f>
        <v/>
      </c>
      <c r="U61">
        <f t="array" ref="U61">IFERROR(INDEX(Disch_Booking_Report!I:I, MATCH(TRUE, ISNUMBER(FIND(SUBSTITUTE(C61," ",""), Disch_Booking_Report!AC:AC)), 0)), "Not Found")</f>
        <v/>
      </c>
    </row>
    <row r="62">
      <c r="A62" t="n">
        <v>6</v>
      </c>
      <c r="B62" t="n">
        <v>60082</v>
      </c>
      <c r="C62" t="inlineStr">
        <is>
          <t xml:space="preserve">     ANON0000000</t>
        </is>
      </c>
      <c r="D62" t="n">
        <v>40</v>
      </c>
      <c r="E62" t="inlineStr">
        <is>
          <t>RULED</t>
        </is>
      </c>
      <c r="F62" t="inlineStr">
        <is>
          <t>USNFK</t>
        </is>
      </c>
      <c r="G62" t="n">
        <v>30340</v>
      </c>
      <c r="H62" t="inlineStr">
        <is>
          <t>ART</t>
        </is>
      </c>
      <c r="I62" t="inlineStr">
        <is>
          <t>45R1</t>
        </is>
      </c>
      <c r="K62" t="inlineStr">
        <is>
          <t>0:CEL</t>
        </is>
      </c>
      <c r="L62" t="inlineStr">
        <is>
          <t>9'6</t>
        </is>
      </c>
      <c r="M62" t="inlineStr">
        <is>
          <t>Full</t>
        </is>
      </c>
      <c r="P62">
        <f t="array" ref="P62">IFERROR(INDEX(Disch_Booking_Report!B:B, MATCH(TRUE, ISNUMBER(FIND(SUBSTITUTE(C62," ",""), Disch_Booking_Report!AC:AC)), 0)), "Not Found")</f>
        <v/>
      </c>
      <c r="Q62">
        <f t="array" ref="Q62">IFERROR(INDEX(Disch_Booking_Report!C:C, MATCH(TRUE, ISNUMBER(FIND(SUBSTITUTE(C62," ",""), Disch_Booking_Report!AC:AC)), 0)), "Not Found")</f>
        <v/>
      </c>
      <c r="R62">
        <f t="array" ref="R62">IFERROR(INDEX(Disch_Booking_Report!AD:AD, MATCH(TRUE, ISNUMBER(FIND(SUBSTITUTE(C62," ",""), Disch_Booking_Report!AC:AC)), 0)), "Not Found")</f>
        <v/>
      </c>
      <c r="S62">
        <f>Tabela2[[#This Row],[Weight]]</f>
        <v/>
      </c>
      <c r="T62">
        <f t="array" ref="T62">IFERROR(INDEX(Disch_Booking_Report!L:L, MATCH(TRUE, ISNUMBER(FIND(SUBSTITUTE(C62," ",""), Disch_Booking_Report!AC:AC)), 0)), "Not Found")</f>
        <v/>
      </c>
      <c r="U62">
        <f t="array" ref="U62">IFERROR(INDEX(Disch_Booking_Report!I:I, MATCH(TRUE, ISNUMBER(FIND(SUBSTITUTE(C62," ",""), Disch_Booking_Report!AC:AC)), 0)), "Not Found")</f>
        <v/>
      </c>
    </row>
    <row r="63">
      <c r="A63" t="n">
        <v>6</v>
      </c>
      <c r="B63" t="n">
        <v>60284</v>
      </c>
      <c r="C63" t="inlineStr">
        <is>
          <t xml:space="preserve">     ANON0000000</t>
        </is>
      </c>
      <c r="D63" t="n">
        <v>40</v>
      </c>
      <c r="E63" t="inlineStr">
        <is>
          <t>RULED</t>
        </is>
      </c>
      <c r="F63" t="inlineStr">
        <is>
          <t>USNFK</t>
        </is>
      </c>
      <c r="G63" t="n">
        <v>25910</v>
      </c>
      <c r="H63" t="inlineStr">
        <is>
          <t>MLINE</t>
        </is>
      </c>
      <c r="I63" t="inlineStr">
        <is>
          <t>45G1</t>
        </is>
      </c>
      <c r="L63" t="inlineStr">
        <is>
          <t>9'6</t>
        </is>
      </c>
      <c r="M63" t="inlineStr">
        <is>
          <t>Full</t>
        </is>
      </c>
      <c r="P63">
        <f t="array" ref="P63">IFERROR(INDEX(Disch_Booking_Report!B:B, MATCH(TRUE, ISNUMBER(FIND(SUBSTITUTE(C63," ",""), Disch_Booking_Report!AC:AC)), 0)), "Not Found")</f>
        <v/>
      </c>
      <c r="Q63">
        <f t="array" ref="Q63">IFERROR(INDEX(Disch_Booking_Report!C:C, MATCH(TRUE, ISNUMBER(FIND(SUBSTITUTE(C63," ",""), Disch_Booking_Report!AC:AC)), 0)), "Not Found")</f>
        <v/>
      </c>
      <c r="R63">
        <f t="array" ref="R63">IFERROR(INDEX(Disch_Booking_Report!AD:AD, MATCH(TRUE, ISNUMBER(FIND(SUBSTITUTE(C63," ",""), Disch_Booking_Report!AC:AC)), 0)), "Not Found")</f>
        <v/>
      </c>
      <c r="S63">
        <f>Tabela2[[#This Row],[Weight]]</f>
        <v/>
      </c>
      <c r="T63">
        <f t="array" ref="T63">IFERROR(INDEX(Disch_Booking_Report!L:L, MATCH(TRUE, ISNUMBER(FIND(SUBSTITUTE(C63," ",""), Disch_Booking_Report!AC:AC)), 0)), "Not Found")</f>
        <v/>
      </c>
      <c r="U63">
        <f t="array" ref="U63">IFERROR(INDEX(Disch_Booking_Report!I:I, MATCH(TRUE, ISNUMBER(FIND(SUBSTITUTE(C63," ",""), Disch_Booking_Report!AC:AC)), 0)), "Not Found")</f>
        <v/>
      </c>
    </row>
    <row r="64">
      <c r="A64" t="n">
        <v>6</v>
      </c>
      <c r="B64" t="n">
        <v>60486</v>
      </c>
      <c r="C64" t="inlineStr">
        <is>
          <t xml:space="preserve">     ANON0000000</t>
        </is>
      </c>
      <c r="D64" t="n">
        <v>40</v>
      </c>
      <c r="E64" t="inlineStr">
        <is>
          <t>RULED</t>
        </is>
      </c>
      <c r="F64" t="inlineStr">
        <is>
          <t>USNYC</t>
        </is>
      </c>
      <c r="G64" t="n">
        <v>32320</v>
      </c>
      <c r="H64" t="inlineStr">
        <is>
          <t>ART</t>
        </is>
      </c>
      <c r="I64" t="inlineStr">
        <is>
          <t>45G1</t>
        </is>
      </c>
      <c r="L64" t="inlineStr">
        <is>
          <t>9'6</t>
        </is>
      </c>
      <c r="M64" t="inlineStr">
        <is>
          <t>Full</t>
        </is>
      </c>
      <c r="P64">
        <f t="array" ref="P64">IFERROR(INDEX(Disch_Booking_Report!B:B, MATCH(TRUE, ISNUMBER(FIND(SUBSTITUTE(C64," ",""), Disch_Booking_Report!AC:AC)), 0)), "Not Found")</f>
        <v/>
      </c>
      <c r="Q64">
        <f t="array" ref="Q64">IFERROR(INDEX(Disch_Booking_Report!C:C, MATCH(TRUE, ISNUMBER(FIND(SUBSTITUTE(C64," ",""), Disch_Booking_Report!AC:AC)), 0)), "Not Found")</f>
        <v/>
      </c>
      <c r="R64">
        <f t="array" ref="R64">IFERROR(INDEX(Disch_Booking_Report!AD:AD, MATCH(TRUE, ISNUMBER(FIND(SUBSTITUTE(C64," ",""), Disch_Booking_Report!AC:AC)), 0)), "Not Found")</f>
        <v/>
      </c>
      <c r="S64">
        <f>Tabela2[[#This Row],[Weight]]</f>
        <v/>
      </c>
      <c r="T64">
        <f t="array" ref="T64">IFERROR(INDEX(Disch_Booking_Report!L:L, MATCH(TRUE, ISNUMBER(FIND(SUBSTITUTE(C64," ",""), Disch_Booking_Report!AC:AC)), 0)), "Not Found")</f>
        <v/>
      </c>
      <c r="U64">
        <f t="array" ref="U64">IFERROR(INDEX(Disch_Booking_Report!I:I, MATCH(TRUE, ISNUMBER(FIND(SUBSTITUTE(C64," ",""), Disch_Booking_Report!AC:AC)), 0)), "Not Found")</f>
        <v/>
      </c>
    </row>
    <row r="65">
      <c r="A65" t="n">
        <v>6</v>
      </c>
      <c r="B65" t="n">
        <v>60482</v>
      </c>
      <c r="C65" t="inlineStr">
        <is>
          <t xml:space="preserve">     ANON0000000</t>
        </is>
      </c>
      <c r="D65" t="n">
        <v>40</v>
      </c>
      <c r="E65" t="inlineStr">
        <is>
          <t>RULED</t>
        </is>
      </c>
      <c r="F65" t="inlineStr">
        <is>
          <t>USNFK</t>
        </is>
      </c>
      <c r="G65" t="n">
        <v>25920</v>
      </c>
      <c r="H65" t="inlineStr">
        <is>
          <t>MLINE</t>
        </is>
      </c>
      <c r="I65" t="inlineStr">
        <is>
          <t>45G1</t>
        </is>
      </c>
      <c r="L65" t="inlineStr">
        <is>
          <t>9'6</t>
        </is>
      </c>
      <c r="M65" t="inlineStr">
        <is>
          <t>Full</t>
        </is>
      </c>
      <c r="P65">
        <f t="array" ref="P65">IFERROR(INDEX(Disch_Booking_Report!B:B, MATCH(TRUE, ISNUMBER(FIND(SUBSTITUTE(C65," ",""), Disch_Booking_Report!AC:AC)), 0)), "Not Found")</f>
        <v/>
      </c>
      <c r="Q65">
        <f t="array" ref="Q65">IFERROR(INDEX(Disch_Booking_Report!C:C, MATCH(TRUE, ISNUMBER(FIND(SUBSTITUTE(C65," ",""), Disch_Booking_Report!AC:AC)), 0)), "Not Found")</f>
        <v/>
      </c>
      <c r="R65">
        <f t="array" ref="R65">IFERROR(INDEX(Disch_Booking_Report!AD:AD, MATCH(TRUE, ISNUMBER(FIND(SUBSTITUTE(C65," ",""), Disch_Booking_Report!AC:AC)), 0)), "Not Found")</f>
        <v/>
      </c>
      <c r="S65">
        <f>Tabela2[[#This Row],[Weight]]</f>
        <v/>
      </c>
      <c r="T65">
        <f t="array" ref="T65">IFERROR(INDEX(Disch_Booking_Report!L:L, MATCH(TRUE, ISNUMBER(FIND(SUBSTITUTE(C65," ",""), Disch_Booking_Report!AC:AC)), 0)), "Not Found")</f>
        <v/>
      </c>
      <c r="U65">
        <f t="array" ref="U65">IFERROR(INDEX(Disch_Booking_Report!I:I, MATCH(TRUE, ISNUMBER(FIND(SUBSTITUTE(C65," ",""), Disch_Booking_Report!AC:AC)), 0)), "Not Found")</f>
        <v/>
      </c>
    </row>
    <row r="66">
      <c r="A66" t="n">
        <v>6</v>
      </c>
      <c r="B66" t="n">
        <v>60884</v>
      </c>
      <c r="C66" t="inlineStr">
        <is>
          <t xml:space="preserve">     ANON0000000</t>
        </is>
      </c>
      <c r="D66" t="n">
        <v>40</v>
      </c>
      <c r="E66" t="inlineStr">
        <is>
          <t>RULED</t>
        </is>
      </c>
      <c r="F66" t="inlineStr">
        <is>
          <t>USNFK</t>
        </is>
      </c>
      <c r="G66" t="n">
        <v>23830</v>
      </c>
      <c r="H66" t="inlineStr">
        <is>
          <t>ART</t>
        </is>
      </c>
      <c r="I66" t="inlineStr">
        <is>
          <t>45G1</t>
        </is>
      </c>
      <c r="L66" t="inlineStr">
        <is>
          <t>9'6</t>
        </is>
      </c>
      <c r="M66" t="inlineStr">
        <is>
          <t>Full</t>
        </is>
      </c>
      <c r="P66">
        <f t="array" ref="P66">IFERROR(INDEX(Disch_Booking_Report!B:B, MATCH(TRUE, ISNUMBER(FIND(SUBSTITUTE(C66," ",""), Disch_Booking_Report!AC:AC)), 0)), "Not Found")</f>
        <v/>
      </c>
      <c r="Q66">
        <f t="array" ref="Q66">IFERROR(INDEX(Disch_Booking_Report!C:C, MATCH(TRUE, ISNUMBER(FIND(SUBSTITUTE(C66," ",""), Disch_Booking_Report!AC:AC)), 0)), "Not Found")</f>
        <v/>
      </c>
      <c r="R66">
        <f t="array" ref="R66">IFERROR(INDEX(Disch_Booking_Report!AD:AD, MATCH(TRUE, ISNUMBER(FIND(SUBSTITUTE(C66," ",""), Disch_Booking_Report!AC:AC)), 0)), "Not Found")</f>
        <v/>
      </c>
      <c r="S66">
        <f>Tabela2[[#This Row],[Weight]]</f>
        <v/>
      </c>
      <c r="T66">
        <f t="array" ref="T66">IFERROR(INDEX(Disch_Booking_Report!L:L, MATCH(TRUE, ISNUMBER(FIND(SUBSTITUTE(C66," ",""), Disch_Booking_Report!AC:AC)), 0)), "Not Found")</f>
        <v/>
      </c>
      <c r="U66">
        <f t="array" ref="U66">IFERROR(INDEX(Disch_Booking_Report!I:I, MATCH(TRUE, ISNUMBER(FIND(SUBSTITUTE(C66," ",""), Disch_Booking_Report!AC:AC)), 0)), "Not Found")</f>
        <v/>
      </c>
    </row>
    <row r="67">
      <c r="A67" t="n">
        <v>6</v>
      </c>
      <c r="B67" t="n">
        <v>60186</v>
      </c>
      <c r="C67" t="inlineStr">
        <is>
          <t xml:space="preserve">     ANON0000000</t>
        </is>
      </c>
      <c r="D67" t="n">
        <v>40</v>
      </c>
      <c r="E67" t="inlineStr">
        <is>
          <t>RULED</t>
        </is>
      </c>
      <c r="F67" t="inlineStr">
        <is>
          <t>USNYC</t>
        </is>
      </c>
      <c r="G67" t="n">
        <v>32320</v>
      </c>
      <c r="H67" t="inlineStr">
        <is>
          <t>ART</t>
        </is>
      </c>
      <c r="I67" t="inlineStr">
        <is>
          <t>45G1</t>
        </is>
      </c>
      <c r="L67" t="inlineStr">
        <is>
          <t>9'6</t>
        </is>
      </c>
      <c r="M67" t="inlineStr">
        <is>
          <t>Full</t>
        </is>
      </c>
      <c r="P67">
        <f t="array" ref="P67">IFERROR(INDEX(Disch_Booking_Report!B:B, MATCH(TRUE, ISNUMBER(FIND(SUBSTITUTE(C67," ",""), Disch_Booking_Report!AC:AC)), 0)), "Not Found")</f>
        <v/>
      </c>
      <c r="Q67">
        <f t="array" ref="Q67">IFERROR(INDEX(Disch_Booking_Report!C:C, MATCH(TRUE, ISNUMBER(FIND(SUBSTITUTE(C67," ",""), Disch_Booking_Report!AC:AC)), 0)), "Not Found")</f>
        <v/>
      </c>
      <c r="R67">
        <f t="array" ref="R67">IFERROR(INDEX(Disch_Booking_Report!AD:AD, MATCH(TRUE, ISNUMBER(FIND(SUBSTITUTE(C67," ",""), Disch_Booking_Report!AC:AC)), 0)), "Not Found")</f>
        <v/>
      </c>
      <c r="S67">
        <f>Tabela2[[#This Row],[Weight]]</f>
        <v/>
      </c>
      <c r="T67">
        <f t="array" ref="T67">IFERROR(INDEX(Disch_Booking_Report!L:L, MATCH(TRUE, ISNUMBER(FIND(SUBSTITUTE(C67," ",""), Disch_Booking_Report!AC:AC)), 0)), "Not Found")</f>
        <v/>
      </c>
      <c r="U67">
        <f t="array" ref="U67">IFERROR(INDEX(Disch_Booking_Report!I:I, MATCH(TRUE, ISNUMBER(FIND(SUBSTITUTE(C67," ",""), Disch_Booking_Report!AC:AC)), 0)), "Not Found")</f>
        <v/>
      </c>
    </row>
    <row r="68">
      <c r="A68" t="n">
        <v>6</v>
      </c>
      <c r="B68" t="n">
        <v>60582</v>
      </c>
      <c r="C68" t="inlineStr">
        <is>
          <t xml:space="preserve">     ANON0000000</t>
        </is>
      </c>
      <c r="D68" t="n">
        <v>40</v>
      </c>
      <c r="E68" t="inlineStr">
        <is>
          <t>RULED</t>
        </is>
      </c>
      <c r="F68" t="inlineStr">
        <is>
          <t>USNFK</t>
        </is>
      </c>
      <c r="G68" t="n">
        <v>25920</v>
      </c>
      <c r="H68" t="inlineStr">
        <is>
          <t>MLINE</t>
        </is>
      </c>
      <c r="I68" t="inlineStr">
        <is>
          <t>45G1</t>
        </is>
      </c>
      <c r="L68" t="inlineStr">
        <is>
          <t>9'6</t>
        </is>
      </c>
      <c r="M68" t="inlineStr">
        <is>
          <t>Full</t>
        </is>
      </c>
      <c r="P68">
        <f t="array" ref="P68">IFERROR(INDEX(Disch_Booking_Report!B:B, MATCH(TRUE, ISNUMBER(FIND(SUBSTITUTE(C68," ",""), Disch_Booking_Report!AC:AC)), 0)), "Not Found")</f>
        <v/>
      </c>
      <c r="Q68">
        <f t="array" ref="Q68">IFERROR(INDEX(Disch_Booking_Report!C:C, MATCH(TRUE, ISNUMBER(FIND(SUBSTITUTE(C68," ",""), Disch_Booking_Report!AC:AC)), 0)), "Not Found")</f>
        <v/>
      </c>
      <c r="R68">
        <f t="array" ref="R68">IFERROR(INDEX(Disch_Booking_Report!AD:AD, MATCH(TRUE, ISNUMBER(FIND(SUBSTITUTE(C68," ",""), Disch_Booking_Report!AC:AC)), 0)), "Not Found")</f>
        <v/>
      </c>
      <c r="S68">
        <f>Tabela2[[#This Row],[Weight]]</f>
        <v/>
      </c>
      <c r="T68">
        <f t="array" ref="T68">IFERROR(INDEX(Disch_Booking_Report!L:L, MATCH(TRUE, ISNUMBER(FIND(SUBSTITUTE(C68," ",""), Disch_Booking_Report!AC:AC)), 0)), "Not Found")</f>
        <v/>
      </c>
      <c r="U68">
        <f t="array" ref="U68">IFERROR(INDEX(Disch_Booking_Report!I:I, MATCH(TRUE, ISNUMBER(FIND(SUBSTITUTE(C68," ",""), Disch_Booking_Report!AC:AC)), 0)), "Not Found")</f>
        <v/>
      </c>
    </row>
    <row r="69">
      <c r="A69" t="n">
        <v>6</v>
      </c>
      <c r="B69" t="n">
        <v>60084</v>
      </c>
      <c r="C69" t="inlineStr">
        <is>
          <t xml:space="preserve">     ANON0000000</t>
        </is>
      </c>
      <c r="D69" t="n">
        <v>40</v>
      </c>
      <c r="E69" t="inlineStr">
        <is>
          <t>RULED</t>
        </is>
      </c>
      <c r="F69" t="inlineStr">
        <is>
          <t>USNFK</t>
        </is>
      </c>
      <c r="G69" t="n">
        <v>26580</v>
      </c>
      <c r="H69" t="inlineStr">
        <is>
          <t>ART</t>
        </is>
      </c>
      <c r="I69" t="inlineStr">
        <is>
          <t>45R1</t>
        </is>
      </c>
      <c r="K69" t="inlineStr">
        <is>
          <t>-24:CEL</t>
        </is>
      </c>
      <c r="L69" t="inlineStr">
        <is>
          <t>9'6</t>
        </is>
      </c>
      <c r="M69" t="inlineStr">
        <is>
          <t>Full</t>
        </is>
      </c>
      <c r="P69">
        <f t="array" ref="P69">IFERROR(INDEX(Disch_Booking_Report!B:B, MATCH(TRUE, ISNUMBER(FIND(SUBSTITUTE(C69," ",""), Disch_Booking_Report!AC:AC)), 0)), "Not Found")</f>
        <v/>
      </c>
      <c r="Q69">
        <f t="array" ref="Q69">IFERROR(INDEX(Disch_Booking_Report!C:C, MATCH(TRUE, ISNUMBER(FIND(SUBSTITUTE(C69," ",""), Disch_Booking_Report!AC:AC)), 0)), "Not Found")</f>
        <v/>
      </c>
      <c r="R69">
        <f t="array" ref="R69">IFERROR(INDEX(Disch_Booking_Report!AD:AD, MATCH(TRUE, ISNUMBER(FIND(SUBSTITUTE(C69," ",""), Disch_Booking_Report!AC:AC)), 0)), "Not Found")</f>
        <v/>
      </c>
      <c r="S69">
        <f>Tabela2[[#This Row],[Weight]]</f>
        <v/>
      </c>
      <c r="T69">
        <f t="array" ref="T69">IFERROR(INDEX(Disch_Booking_Report!L:L, MATCH(TRUE, ISNUMBER(FIND(SUBSTITUTE(C69," ",""), Disch_Booking_Report!AC:AC)), 0)), "Not Found")</f>
        <v/>
      </c>
      <c r="U69">
        <f t="array" ref="U69">IFERROR(INDEX(Disch_Booking_Report!I:I, MATCH(TRUE, ISNUMBER(FIND(SUBSTITUTE(C69," ",""), Disch_Booking_Report!AC:AC)), 0)), "Not Found")</f>
        <v/>
      </c>
    </row>
    <row r="70">
      <c r="A70" t="n">
        <v>6</v>
      </c>
      <c r="B70" t="n">
        <v>60784</v>
      </c>
      <c r="C70" t="inlineStr">
        <is>
          <t xml:space="preserve">     ANON0000000</t>
        </is>
      </c>
      <c r="D70" t="n">
        <v>40</v>
      </c>
      <c r="E70" t="inlineStr">
        <is>
          <t>RULED</t>
        </is>
      </c>
      <c r="F70" t="inlineStr">
        <is>
          <t>USNFK</t>
        </is>
      </c>
      <c r="G70" t="n">
        <v>24760</v>
      </c>
      <c r="H70" t="inlineStr">
        <is>
          <t>MLINE</t>
        </is>
      </c>
      <c r="I70" t="inlineStr">
        <is>
          <t>45G1</t>
        </is>
      </c>
      <c r="L70" t="inlineStr">
        <is>
          <t>9'6</t>
        </is>
      </c>
      <c r="M70" t="inlineStr">
        <is>
          <t>Full</t>
        </is>
      </c>
      <c r="P70">
        <f t="array" ref="P70">IFERROR(INDEX(Disch_Booking_Report!B:B, MATCH(TRUE, ISNUMBER(FIND(SUBSTITUTE(C70," ",""), Disch_Booking_Report!AC:AC)), 0)), "Not Found")</f>
        <v/>
      </c>
      <c r="Q70">
        <f t="array" ref="Q70">IFERROR(INDEX(Disch_Booking_Report!C:C, MATCH(TRUE, ISNUMBER(FIND(SUBSTITUTE(C70," ",""), Disch_Booking_Report!AC:AC)), 0)), "Not Found")</f>
        <v/>
      </c>
      <c r="R70">
        <f t="array" ref="R70">IFERROR(INDEX(Disch_Booking_Report!AD:AD, MATCH(TRUE, ISNUMBER(FIND(SUBSTITUTE(C70," ",""), Disch_Booking_Report!AC:AC)), 0)), "Not Found")</f>
        <v/>
      </c>
      <c r="S70">
        <f>Tabela2[[#This Row],[Weight]]</f>
        <v/>
      </c>
      <c r="T70">
        <f t="array" ref="T70">IFERROR(INDEX(Disch_Booking_Report!L:L, MATCH(TRUE, ISNUMBER(FIND(SUBSTITUTE(C70," ",""), Disch_Booking_Report!AC:AC)), 0)), "Not Found")</f>
        <v/>
      </c>
      <c r="U70">
        <f t="array" ref="U70">IFERROR(INDEX(Disch_Booking_Report!I:I, MATCH(TRUE, ISNUMBER(FIND(SUBSTITUTE(C70," ",""), Disch_Booking_Report!AC:AC)), 0)), "Not Found")</f>
        <v/>
      </c>
    </row>
    <row r="71">
      <c r="A71" t="n">
        <v>7</v>
      </c>
      <c r="B71" t="n">
        <v>70404</v>
      </c>
      <c r="C71" t="inlineStr">
        <is>
          <t xml:space="preserve">     ANON0000000</t>
        </is>
      </c>
      <c r="D71" t="n">
        <v>20</v>
      </c>
      <c r="E71" t="inlineStr">
        <is>
          <t>RULED</t>
        </is>
      </c>
      <c r="F71" t="inlineStr">
        <is>
          <t>USNFK</t>
        </is>
      </c>
      <c r="G71" t="n">
        <v>13560</v>
      </c>
      <c r="H71" t="inlineStr">
        <is>
          <t>ART</t>
        </is>
      </c>
      <c r="I71" t="inlineStr">
        <is>
          <t>22G1</t>
        </is>
      </c>
      <c r="L71" t="inlineStr">
        <is>
          <t>8'6</t>
        </is>
      </c>
      <c r="M71" t="inlineStr">
        <is>
          <t>Full</t>
        </is>
      </c>
      <c r="P71">
        <f t="array" ref="P71">IFERROR(INDEX(Disch_Booking_Report!B:B, MATCH(TRUE, ISNUMBER(FIND(SUBSTITUTE(C71," ",""), Disch_Booking_Report!AC:AC)), 0)), "Not Found")</f>
        <v/>
      </c>
      <c r="Q71">
        <f t="array" ref="Q71">IFERROR(INDEX(Disch_Booking_Report!C:C, MATCH(TRUE, ISNUMBER(FIND(SUBSTITUTE(C71," ",""), Disch_Booking_Report!AC:AC)), 0)), "Not Found")</f>
        <v/>
      </c>
      <c r="R71">
        <f t="array" ref="R71">IFERROR(INDEX(Disch_Booking_Report!AD:AD, MATCH(TRUE, ISNUMBER(FIND(SUBSTITUTE(C71," ",""), Disch_Booking_Report!AC:AC)), 0)), "Not Found")</f>
        <v/>
      </c>
      <c r="S71">
        <f>Tabela2[[#This Row],[Weight]]</f>
        <v/>
      </c>
      <c r="T71">
        <f t="array" ref="T71">IFERROR(INDEX(Disch_Booking_Report!L:L, MATCH(TRUE, ISNUMBER(FIND(SUBSTITUTE(C71," ",""), Disch_Booking_Report!AC:AC)), 0)), "Not Found")</f>
        <v/>
      </c>
      <c r="U71">
        <f t="array" ref="U71">IFERROR(INDEX(Disch_Booking_Report!I:I, MATCH(TRUE, ISNUMBER(FIND(SUBSTITUTE(C71," ",""), Disch_Booking_Report!AC:AC)), 0)), "Not Found")</f>
        <v/>
      </c>
    </row>
    <row r="72">
      <c r="A72" t="n">
        <v>7</v>
      </c>
      <c r="B72" t="n">
        <v>70304</v>
      </c>
      <c r="C72" t="inlineStr">
        <is>
          <t xml:space="preserve">     ANON0000000</t>
        </is>
      </c>
      <c r="D72" t="n">
        <v>20</v>
      </c>
      <c r="E72" t="inlineStr">
        <is>
          <t>RULED</t>
        </is>
      </c>
      <c r="F72" t="inlineStr">
        <is>
          <t>USNFK</t>
        </is>
      </c>
      <c r="G72" t="n">
        <v>19560</v>
      </c>
      <c r="H72" t="inlineStr">
        <is>
          <t>ART</t>
        </is>
      </c>
      <c r="I72" t="inlineStr">
        <is>
          <t>22G1</t>
        </is>
      </c>
      <c r="L72" t="inlineStr">
        <is>
          <t>8'6</t>
        </is>
      </c>
      <c r="M72" t="inlineStr">
        <is>
          <t>Full</t>
        </is>
      </c>
      <c r="P72">
        <f t="array" ref="P72">IFERROR(INDEX(Disch_Booking_Report!B:B, MATCH(TRUE, ISNUMBER(FIND(SUBSTITUTE(C72," ",""), Disch_Booking_Report!AC:AC)), 0)), "Not Found")</f>
        <v/>
      </c>
      <c r="Q72">
        <f t="array" ref="Q72">IFERROR(INDEX(Disch_Booking_Report!C:C, MATCH(TRUE, ISNUMBER(FIND(SUBSTITUTE(C72," ",""), Disch_Booking_Report!AC:AC)), 0)), "Not Found")</f>
        <v/>
      </c>
      <c r="R72">
        <f t="array" ref="R72">IFERROR(INDEX(Disch_Booking_Report!AD:AD, MATCH(TRUE, ISNUMBER(FIND(SUBSTITUTE(C72," ",""), Disch_Booking_Report!AC:AC)), 0)), "Not Found")</f>
        <v/>
      </c>
      <c r="S72">
        <f>Tabela2[[#This Row],[Weight]]</f>
        <v/>
      </c>
      <c r="T72">
        <f t="array" ref="T72">IFERROR(INDEX(Disch_Booking_Report!L:L, MATCH(TRUE, ISNUMBER(FIND(SUBSTITUTE(C72," ",""), Disch_Booking_Report!AC:AC)), 0)), "Not Found")</f>
        <v/>
      </c>
      <c r="U72">
        <f t="array" ref="U72">IFERROR(INDEX(Disch_Booking_Report!I:I, MATCH(TRUE, ISNUMBER(FIND(SUBSTITUTE(C72," ",""), Disch_Booking_Report!AC:AC)), 0)), "Not Found")</f>
        <v/>
      </c>
    </row>
    <row r="73">
      <c r="A73" t="n">
        <v>7</v>
      </c>
      <c r="B73" t="n">
        <v>70608</v>
      </c>
      <c r="C73" t="inlineStr">
        <is>
          <t xml:space="preserve">     ANON0000000</t>
        </is>
      </c>
      <c r="D73" t="n">
        <v>20</v>
      </c>
      <c r="E73" t="inlineStr">
        <is>
          <t>USNFK</t>
        </is>
      </c>
      <c r="F73" t="inlineStr">
        <is>
          <t>USNFK</t>
        </is>
      </c>
      <c r="G73" t="n">
        <v>23690</v>
      </c>
      <c r="H73" t="inlineStr">
        <is>
          <t>ART</t>
        </is>
      </c>
      <c r="I73" t="inlineStr">
        <is>
          <t>22G1</t>
        </is>
      </c>
      <c r="L73" t="inlineStr">
        <is>
          <t>8'6</t>
        </is>
      </c>
      <c r="M73" t="inlineStr">
        <is>
          <t>Full</t>
        </is>
      </c>
      <c r="N73" t="inlineStr">
        <is>
          <t>RULED</t>
        </is>
      </c>
      <c r="P73">
        <f t="array" ref="P73">IFERROR(INDEX(Disch_Booking_Report!B:B, MATCH(TRUE, ISNUMBER(FIND(SUBSTITUTE(C73," ",""), Disch_Booking_Report!AC:AC)), 0)), "Not Found")</f>
        <v/>
      </c>
      <c r="Q73">
        <f t="array" ref="Q73">IFERROR(INDEX(Disch_Booking_Report!C:C, MATCH(TRUE, ISNUMBER(FIND(SUBSTITUTE(C73," ",""), Disch_Booking_Report!AC:AC)), 0)), "Not Found")</f>
        <v/>
      </c>
      <c r="R73">
        <f t="array" ref="R73">IFERROR(INDEX(Disch_Booking_Report!AD:AD, MATCH(TRUE, ISNUMBER(FIND(SUBSTITUTE(C73," ",""), Disch_Booking_Report!AC:AC)), 0)), "Not Found")</f>
        <v/>
      </c>
      <c r="S73">
        <f>Tabela2[[#This Row],[Weight]]</f>
        <v/>
      </c>
      <c r="T73">
        <f t="array" ref="T73">IFERROR(INDEX(Disch_Booking_Report!L:L, MATCH(TRUE, ISNUMBER(FIND(SUBSTITUTE(C73," ",""), Disch_Booking_Report!AC:AC)), 0)), "Not Found")</f>
        <v/>
      </c>
      <c r="U73">
        <f t="array" ref="U73">IFERROR(INDEX(Disch_Booking_Report!I:I, MATCH(TRUE, ISNUMBER(FIND(SUBSTITUTE(C73," ",""), Disch_Booking_Report!AC:AC)), 0)), "Not Found")</f>
        <v/>
      </c>
    </row>
    <row r="74">
      <c r="A74" t="n">
        <v>9</v>
      </c>
      <c r="B74" t="n">
        <v>90202</v>
      </c>
      <c r="C74" t="inlineStr">
        <is>
          <t xml:space="preserve">     ANON0000000</t>
        </is>
      </c>
      <c r="D74" t="n">
        <v>20</v>
      </c>
      <c r="E74" t="inlineStr">
        <is>
          <t>RULED</t>
        </is>
      </c>
      <c r="F74" t="inlineStr">
        <is>
          <t>USNYC</t>
        </is>
      </c>
      <c r="G74" t="n">
        <v>23220</v>
      </c>
      <c r="H74" t="inlineStr">
        <is>
          <t>ART</t>
        </is>
      </c>
      <c r="I74" t="inlineStr">
        <is>
          <t>22G1</t>
        </is>
      </c>
      <c r="L74" t="inlineStr">
        <is>
          <t>8'6</t>
        </is>
      </c>
      <c r="M74" t="inlineStr">
        <is>
          <t>Full</t>
        </is>
      </c>
      <c r="P74">
        <f t="array" ref="P74">IFERROR(INDEX(Disch_Booking_Report!B:B, MATCH(TRUE, ISNUMBER(FIND(SUBSTITUTE(C74," ",""), Disch_Booking_Report!AC:AC)), 0)), "Not Found")</f>
        <v/>
      </c>
      <c r="Q74">
        <f t="array" ref="Q74">IFERROR(INDEX(Disch_Booking_Report!C:C, MATCH(TRUE, ISNUMBER(FIND(SUBSTITUTE(C74," ",""), Disch_Booking_Report!AC:AC)), 0)), "Not Found")</f>
        <v/>
      </c>
      <c r="R74">
        <f t="array" ref="R74">IFERROR(INDEX(Disch_Booking_Report!AD:AD, MATCH(TRUE, ISNUMBER(FIND(SUBSTITUTE(C74," ",""), Disch_Booking_Report!AC:AC)), 0)), "Not Found")</f>
        <v/>
      </c>
      <c r="S74">
        <f>Tabela2[[#This Row],[Weight]]</f>
        <v/>
      </c>
      <c r="T74">
        <f t="array" ref="T74">IFERROR(INDEX(Disch_Booking_Report!L:L, MATCH(TRUE, ISNUMBER(FIND(SUBSTITUTE(C74," ",""), Disch_Booking_Report!AC:AC)), 0)), "Not Found")</f>
        <v/>
      </c>
      <c r="U74">
        <f t="array" ref="U74">IFERROR(INDEX(Disch_Booking_Report!I:I, MATCH(TRUE, ISNUMBER(FIND(SUBSTITUTE(C74," ",""), Disch_Booking_Report!AC:AC)), 0)), "Not Found")</f>
        <v/>
      </c>
    </row>
    <row r="75">
      <c r="A75" t="n">
        <v>9</v>
      </c>
      <c r="B75" t="n">
        <v>90204</v>
      </c>
      <c r="C75" t="inlineStr">
        <is>
          <t xml:space="preserve">     ANON0000000</t>
        </is>
      </c>
      <c r="D75" t="n">
        <v>20</v>
      </c>
      <c r="E75" t="inlineStr">
        <is>
          <t>RULED</t>
        </is>
      </c>
      <c r="F75" t="inlineStr">
        <is>
          <t>USNYC</t>
        </is>
      </c>
      <c r="G75" t="n">
        <v>19620</v>
      </c>
      <c r="H75" t="inlineStr">
        <is>
          <t>ART</t>
        </is>
      </c>
      <c r="I75" t="inlineStr">
        <is>
          <t>22G1</t>
        </is>
      </c>
      <c r="L75" t="inlineStr">
        <is>
          <t>8'6</t>
        </is>
      </c>
      <c r="M75" t="inlineStr">
        <is>
          <t>Full</t>
        </is>
      </c>
      <c r="P75">
        <f t="array" ref="P75">IFERROR(INDEX(Disch_Booking_Report!B:B, MATCH(TRUE, ISNUMBER(FIND(SUBSTITUTE(C75," ",""), Disch_Booking_Report!AC:AC)), 0)), "Not Found")</f>
        <v/>
      </c>
      <c r="Q75">
        <f t="array" ref="Q75">IFERROR(INDEX(Disch_Booking_Report!C:C, MATCH(TRUE, ISNUMBER(FIND(SUBSTITUTE(C75," ",""), Disch_Booking_Report!AC:AC)), 0)), "Not Found")</f>
        <v/>
      </c>
      <c r="R75">
        <f t="array" ref="R75">IFERROR(INDEX(Disch_Booking_Report!AD:AD, MATCH(TRUE, ISNUMBER(FIND(SUBSTITUTE(C75," ",""), Disch_Booking_Report!AC:AC)), 0)), "Not Found")</f>
        <v/>
      </c>
      <c r="S75">
        <f>Tabela2[[#This Row],[Weight]]</f>
        <v/>
      </c>
      <c r="T75">
        <f t="array" ref="T75">IFERROR(INDEX(Disch_Booking_Report!L:L, MATCH(TRUE, ISNUMBER(FIND(SUBSTITUTE(C75," ",""), Disch_Booking_Report!AC:AC)), 0)), "Not Found")</f>
        <v/>
      </c>
      <c r="U75">
        <f t="array" ref="U75">IFERROR(INDEX(Disch_Booking_Report!I:I, MATCH(TRUE, ISNUMBER(FIND(SUBSTITUTE(C75," ",""), Disch_Booking_Report!AC:AC)), 0)), "Not Found")</f>
        <v/>
      </c>
    </row>
    <row r="76">
      <c r="A76" t="n">
        <v>9</v>
      </c>
      <c r="B76" t="n">
        <v>90104</v>
      </c>
      <c r="C76" t="inlineStr">
        <is>
          <t xml:space="preserve">     ANON0000000</t>
        </is>
      </c>
      <c r="D76" t="n">
        <v>20</v>
      </c>
      <c r="E76" t="inlineStr">
        <is>
          <t>RULED</t>
        </is>
      </c>
      <c r="F76" t="inlineStr">
        <is>
          <t>USNYC</t>
        </is>
      </c>
      <c r="G76" t="n">
        <v>24640</v>
      </c>
      <c r="H76" t="inlineStr">
        <is>
          <t>ART</t>
        </is>
      </c>
      <c r="I76" t="inlineStr">
        <is>
          <t>20G1</t>
        </is>
      </c>
      <c r="L76" t="inlineStr">
        <is>
          <t>8'</t>
        </is>
      </c>
      <c r="M76" t="inlineStr">
        <is>
          <t>Full</t>
        </is>
      </c>
      <c r="P76">
        <f t="array" ref="P76">IFERROR(INDEX(Disch_Booking_Report!B:B, MATCH(TRUE, ISNUMBER(FIND(SUBSTITUTE(C76," ",""), Disch_Booking_Report!AC:AC)), 0)), "Not Found")</f>
        <v/>
      </c>
      <c r="Q76">
        <f t="array" ref="Q76">IFERROR(INDEX(Disch_Booking_Report!C:C, MATCH(TRUE, ISNUMBER(FIND(SUBSTITUTE(C76," ",""), Disch_Booking_Report!AC:AC)), 0)), "Not Found")</f>
        <v/>
      </c>
      <c r="R76">
        <f t="array" ref="R76">IFERROR(INDEX(Disch_Booking_Report!AD:AD, MATCH(TRUE, ISNUMBER(FIND(SUBSTITUTE(C76," ",""), Disch_Booking_Report!AC:AC)), 0)), "Not Found")</f>
        <v/>
      </c>
      <c r="S76">
        <f>Tabela2[[#This Row],[Weight]]</f>
        <v/>
      </c>
      <c r="T76">
        <f t="array" ref="T76">IFERROR(INDEX(Disch_Booking_Report!L:L, MATCH(TRUE, ISNUMBER(FIND(SUBSTITUTE(C76," ",""), Disch_Booking_Report!AC:AC)), 0)), "Not Found")</f>
        <v/>
      </c>
      <c r="U76">
        <f t="array" ref="U76">IFERROR(INDEX(Disch_Booking_Report!I:I, MATCH(TRUE, ISNUMBER(FIND(SUBSTITUTE(C76," ",""), Disch_Booking_Report!AC:AC)), 0)), "Not Found")</f>
        <v/>
      </c>
    </row>
    <row r="77">
      <c r="A77" t="n">
        <v>9</v>
      </c>
      <c r="B77" t="n">
        <v>90810</v>
      </c>
      <c r="C77" t="inlineStr">
        <is>
          <t xml:space="preserve">     ANON0000000</t>
        </is>
      </c>
      <c r="D77" t="n">
        <v>20</v>
      </c>
      <c r="E77" t="inlineStr">
        <is>
          <t>RULED</t>
        </is>
      </c>
      <c r="F77" t="inlineStr">
        <is>
          <t>USNYC</t>
        </is>
      </c>
      <c r="G77" t="n">
        <v>23120</v>
      </c>
      <c r="H77" t="inlineStr">
        <is>
          <t>ART</t>
        </is>
      </c>
      <c r="I77" t="inlineStr">
        <is>
          <t>22G1</t>
        </is>
      </c>
      <c r="L77" t="inlineStr">
        <is>
          <t>8'6</t>
        </is>
      </c>
      <c r="M77" t="inlineStr">
        <is>
          <t>Full</t>
        </is>
      </c>
      <c r="P77">
        <f t="array" ref="P77">IFERROR(INDEX(Disch_Booking_Report!B:B, MATCH(TRUE, ISNUMBER(FIND(SUBSTITUTE(C77," ",""), Disch_Booking_Report!AC:AC)), 0)), "Not Found")</f>
        <v/>
      </c>
      <c r="Q77">
        <f t="array" ref="Q77">IFERROR(INDEX(Disch_Booking_Report!C:C, MATCH(TRUE, ISNUMBER(FIND(SUBSTITUTE(C77," ",""), Disch_Booking_Report!AC:AC)), 0)), "Not Found")</f>
        <v/>
      </c>
      <c r="R77">
        <f t="array" ref="R77">IFERROR(INDEX(Disch_Booking_Report!AD:AD, MATCH(TRUE, ISNUMBER(FIND(SUBSTITUTE(C77," ",""), Disch_Booking_Report!AC:AC)), 0)), "Not Found")</f>
        <v/>
      </c>
      <c r="S77">
        <f>Tabela2[[#This Row],[Weight]]</f>
        <v/>
      </c>
      <c r="T77">
        <f t="array" ref="T77">IFERROR(INDEX(Disch_Booking_Report!L:L, MATCH(TRUE, ISNUMBER(FIND(SUBSTITUTE(C77," ",""), Disch_Booking_Report!AC:AC)), 0)), "Not Found")</f>
        <v/>
      </c>
      <c r="U77">
        <f t="array" ref="U77">IFERROR(INDEX(Disch_Booking_Report!I:I, MATCH(TRUE, ISNUMBER(FIND(SUBSTITUTE(C77," ",""), Disch_Booking_Report!AC:AC)), 0)), "Not Found")</f>
        <v/>
      </c>
    </row>
    <row r="78">
      <c r="A78" t="n">
        <v>9</v>
      </c>
      <c r="B78" t="n">
        <v>90710</v>
      </c>
      <c r="C78" t="inlineStr">
        <is>
          <t xml:space="preserve">     ANON0000000</t>
        </is>
      </c>
      <c r="D78" t="n">
        <v>20</v>
      </c>
      <c r="E78" t="inlineStr">
        <is>
          <t>RULED</t>
        </is>
      </c>
      <c r="F78" t="inlineStr">
        <is>
          <t>USNYC</t>
        </is>
      </c>
      <c r="G78" t="n">
        <v>23180</v>
      </c>
      <c r="H78" t="inlineStr">
        <is>
          <t>ART</t>
        </is>
      </c>
      <c r="I78" t="inlineStr">
        <is>
          <t>22G1</t>
        </is>
      </c>
      <c r="L78" t="inlineStr">
        <is>
          <t>8'6</t>
        </is>
      </c>
      <c r="M78" t="inlineStr">
        <is>
          <t>Full</t>
        </is>
      </c>
      <c r="P78">
        <f t="array" ref="P78">IFERROR(INDEX(Disch_Booking_Report!B:B, MATCH(TRUE, ISNUMBER(FIND(SUBSTITUTE(C78," ",""), Disch_Booking_Report!AC:AC)), 0)), "Not Found")</f>
        <v/>
      </c>
      <c r="Q78">
        <f t="array" ref="Q78">IFERROR(INDEX(Disch_Booking_Report!C:C, MATCH(TRUE, ISNUMBER(FIND(SUBSTITUTE(C78," ",""), Disch_Booking_Report!AC:AC)), 0)), "Not Found")</f>
        <v/>
      </c>
      <c r="R78">
        <f t="array" ref="R78">IFERROR(INDEX(Disch_Booking_Report!AD:AD, MATCH(TRUE, ISNUMBER(FIND(SUBSTITUTE(C78," ",""), Disch_Booking_Report!AC:AC)), 0)), "Not Found")</f>
        <v/>
      </c>
      <c r="S78">
        <f>Tabela2[[#This Row],[Weight]]</f>
        <v/>
      </c>
      <c r="T78">
        <f t="array" ref="T78">IFERROR(INDEX(Disch_Booking_Report!L:L, MATCH(TRUE, ISNUMBER(FIND(SUBSTITUTE(C78," ",""), Disch_Booking_Report!AC:AC)), 0)), "Not Found")</f>
        <v/>
      </c>
      <c r="U78">
        <f t="array" ref="U78">IFERROR(INDEX(Disch_Booking_Report!I:I, MATCH(TRUE, ISNUMBER(FIND(SUBSTITUTE(C78," ",""), Disch_Booking_Report!AC:AC)), 0)), "Not Found")</f>
        <v/>
      </c>
    </row>
    <row r="79">
      <c r="A79" t="n">
        <v>9</v>
      </c>
      <c r="B79" t="n">
        <v>90404</v>
      </c>
      <c r="C79" t="inlineStr">
        <is>
          <t xml:space="preserve">     ANON0000000</t>
        </is>
      </c>
      <c r="D79" t="n">
        <v>20</v>
      </c>
      <c r="E79" t="inlineStr">
        <is>
          <t>RULED</t>
        </is>
      </c>
      <c r="F79" t="inlineStr">
        <is>
          <t>USNYC</t>
        </is>
      </c>
      <c r="G79" t="n">
        <v>24620</v>
      </c>
      <c r="H79" t="inlineStr">
        <is>
          <t>ART</t>
        </is>
      </c>
      <c r="I79" t="inlineStr">
        <is>
          <t>22G1</t>
        </is>
      </c>
      <c r="L79" t="inlineStr">
        <is>
          <t>8'6</t>
        </is>
      </c>
      <c r="M79" t="inlineStr">
        <is>
          <t>Full</t>
        </is>
      </c>
      <c r="P79">
        <f t="array" ref="P79">IFERROR(INDEX(Disch_Booking_Report!B:B, MATCH(TRUE, ISNUMBER(FIND(SUBSTITUTE(C79," ",""), Disch_Booking_Report!AC:AC)), 0)), "Not Found")</f>
        <v/>
      </c>
      <c r="Q79">
        <f t="array" ref="Q79">IFERROR(INDEX(Disch_Booking_Report!C:C, MATCH(TRUE, ISNUMBER(FIND(SUBSTITUTE(C79," ",""), Disch_Booking_Report!AC:AC)), 0)), "Not Found")</f>
        <v/>
      </c>
      <c r="R79">
        <f t="array" ref="R79">IFERROR(INDEX(Disch_Booking_Report!AD:AD, MATCH(TRUE, ISNUMBER(FIND(SUBSTITUTE(C79," ",""), Disch_Booking_Report!AC:AC)), 0)), "Not Found")</f>
        <v/>
      </c>
      <c r="S79">
        <f>Tabela2[[#This Row],[Weight]]</f>
        <v/>
      </c>
      <c r="T79">
        <f t="array" ref="T79">IFERROR(INDEX(Disch_Booking_Report!L:L, MATCH(TRUE, ISNUMBER(FIND(SUBSTITUTE(C79," ",""), Disch_Booking_Report!AC:AC)), 0)), "Not Found")</f>
        <v/>
      </c>
      <c r="U79">
        <f t="array" ref="U79">IFERROR(INDEX(Disch_Booking_Report!I:I, MATCH(TRUE, ISNUMBER(FIND(SUBSTITUTE(C79," ",""), Disch_Booking_Report!AC:AC)), 0)), "Not Found")</f>
        <v/>
      </c>
    </row>
    <row r="80">
      <c r="A80" t="n">
        <v>9</v>
      </c>
      <c r="B80" t="n">
        <v>90102</v>
      </c>
      <c r="C80" t="inlineStr">
        <is>
          <t xml:space="preserve">     ANON0000000</t>
        </is>
      </c>
      <c r="D80" t="n">
        <v>20</v>
      </c>
      <c r="E80" t="inlineStr">
        <is>
          <t>RULED</t>
        </is>
      </c>
      <c r="F80" t="inlineStr">
        <is>
          <t>USNYC</t>
        </is>
      </c>
      <c r="G80" t="n">
        <v>23230</v>
      </c>
      <c r="H80" t="inlineStr">
        <is>
          <t>ART</t>
        </is>
      </c>
      <c r="I80" t="inlineStr">
        <is>
          <t>22G1</t>
        </is>
      </c>
      <c r="L80" t="inlineStr">
        <is>
          <t>8'6</t>
        </is>
      </c>
      <c r="M80" t="inlineStr">
        <is>
          <t>Full</t>
        </is>
      </c>
      <c r="P80">
        <f t="array" ref="P80">IFERROR(INDEX(Disch_Booking_Report!B:B, MATCH(TRUE, ISNUMBER(FIND(SUBSTITUTE(C80," ",""), Disch_Booking_Report!AC:AC)), 0)), "Not Found")</f>
        <v/>
      </c>
      <c r="Q80">
        <f t="array" ref="Q80">IFERROR(INDEX(Disch_Booking_Report!C:C, MATCH(TRUE, ISNUMBER(FIND(SUBSTITUTE(C80," ",""), Disch_Booking_Report!AC:AC)), 0)), "Not Found")</f>
        <v/>
      </c>
      <c r="R80">
        <f t="array" ref="R80">IFERROR(INDEX(Disch_Booking_Report!AD:AD, MATCH(TRUE, ISNUMBER(FIND(SUBSTITUTE(C80," ",""), Disch_Booking_Report!AC:AC)), 0)), "Not Found")</f>
        <v/>
      </c>
      <c r="S80">
        <f>Tabela2[[#This Row],[Weight]]</f>
        <v/>
      </c>
      <c r="T80">
        <f t="array" ref="T80">IFERROR(INDEX(Disch_Booking_Report!L:L, MATCH(TRUE, ISNUMBER(FIND(SUBSTITUTE(C80," ",""), Disch_Booking_Report!AC:AC)), 0)), "Not Found")</f>
        <v/>
      </c>
      <c r="U80">
        <f t="array" ref="U80">IFERROR(INDEX(Disch_Booking_Report!I:I, MATCH(TRUE, ISNUMBER(FIND(SUBSTITUTE(C80," ",""), Disch_Booking_Report!AC:AC)), 0)), "Not Found")</f>
        <v/>
      </c>
    </row>
    <row r="81">
      <c r="A81" t="n">
        <v>9</v>
      </c>
      <c r="B81" t="n">
        <v>90304</v>
      </c>
      <c r="C81" t="inlineStr">
        <is>
          <t xml:space="preserve">     ANON0000000</t>
        </is>
      </c>
      <c r="D81" t="n">
        <v>20</v>
      </c>
      <c r="E81" t="inlineStr">
        <is>
          <t>RULED</t>
        </is>
      </c>
      <c r="F81" t="inlineStr">
        <is>
          <t>USNYC</t>
        </is>
      </c>
      <c r="G81" t="n">
        <v>24620</v>
      </c>
      <c r="H81" t="inlineStr">
        <is>
          <t>ART</t>
        </is>
      </c>
      <c r="I81" t="inlineStr">
        <is>
          <t>22G1</t>
        </is>
      </c>
      <c r="L81" t="inlineStr">
        <is>
          <t>8'6</t>
        </is>
      </c>
      <c r="M81" t="inlineStr">
        <is>
          <t>Full</t>
        </is>
      </c>
      <c r="P81">
        <f t="array" ref="P81">IFERROR(INDEX(Disch_Booking_Report!B:B, MATCH(TRUE, ISNUMBER(FIND(SUBSTITUTE(C81," ",""), Disch_Booking_Report!AC:AC)), 0)), "Not Found")</f>
        <v/>
      </c>
      <c r="Q81">
        <f t="array" ref="Q81">IFERROR(INDEX(Disch_Booking_Report!C:C, MATCH(TRUE, ISNUMBER(FIND(SUBSTITUTE(C81," ",""), Disch_Booking_Report!AC:AC)), 0)), "Not Found")</f>
        <v/>
      </c>
      <c r="R81">
        <f t="array" ref="R81">IFERROR(INDEX(Disch_Booking_Report!AD:AD, MATCH(TRUE, ISNUMBER(FIND(SUBSTITUTE(C81," ",""), Disch_Booking_Report!AC:AC)), 0)), "Not Found")</f>
        <v/>
      </c>
      <c r="S81">
        <f>Tabela2[[#This Row],[Weight]]</f>
        <v/>
      </c>
      <c r="T81">
        <f t="array" ref="T81">IFERROR(INDEX(Disch_Booking_Report!L:L, MATCH(TRUE, ISNUMBER(FIND(SUBSTITUTE(C81," ",""), Disch_Booking_Report!AC:AC)), 0)), "Not Found")</f>
        <v/>
      </c>
      <c r="U81">
        <f t="array" ref="U81">IFERROR(INDEX(Disch_Booking_Report!I:I, MATCH(TRUE, ISNUMBER(FIND(SUBSTITUTE(C81," ",""), Disch_Booking_Report!AC:AC)), 0)), "Not Found")</f>
        <v/>
      </c>
    </row>
    <row r="82">
      <c r="A82" t="n">
        <v>10</v>
      </c>
      <c r="B82" t="n">
        <v>100208</v>
      </c>
      <c r="C82" t="inlineStr">
        <is>
          <t xml:space="preserve">     ANON0000000</t>
        </is>
      </c>
      <c r="D82" t="n">
        <v>40</v>
      </c>
      <c r="E82" t="inlineStr">
        <is>
          <t>RULED</t>
        </is>
      </c>
      <c r="F82" t="inlineStr">
        <is>
          <t>USNYC</t>
        </is>
      </c>
      <c r="G82" t="n">
        <v>32479</v>
      </c>
      <c r="H82" t="inlineStr">
        <is>
          <t>ART</t>
        </is>
      </c>
      <c r="I82" t="inlineStr">
        <is>
          <t>45G1</t>
        </is>
      </c>
      <c r="L82" t="inlineStr">
        <is>
          <t>9'6</t>
        </is>
      </c>
      <c r="M82" t="inlineStr">
        <is>
          <t>Full</t>
        </is>
      </c>
      <c r="P82">
        <f t="array" ref="P82">IFERROR(INDEX(Disch_Booking_Report!B:B, MATCH(TRUE, ISNUMBER(FIND(SUBSTITUTE(C82," ",""), Disch_Booking_Report!AC:AC)), 0)), "Not Found")</f>
        <v/>
      </c>
      <c r="Q82">
        <f t="array" ref="Q82">IFERROR(INDEX(Disch_Booking_Report!C:C, MATCH(TRUE, ISNUMBER(FIND(SUBSTITUTE(C82," ",""), Disch_Booking_Report!AC:AC)), 0)), "Not Found")</f>
        <v/>
      </c>
      <c r="R82">
        <f t="array" ref="R82">IFERROR(INDEX(Disch_Booking_Report!AD:AD, MATCH(TRUE, ISNUMBER(FIND(SUBSTITUTE(C82," ",""), Disch_Booking_Report!AC:AC)), 0)), "Not Found")</f>
        <v/>
      </c>
      <c r="S82">
        <f>Tabela2[[#This Row],[Weight]]</f>
        <v/>
      </c>
      <c r="T82">
        <f t="array" ref="T82">IFERROR(INDEX(Disch_Booking_Report!L:L, MATCH(TRUE, ISNUMBER(FIND(SUBSTITUTE(C82," ",""), Disch_Booking_Report!AC:AC)), 0)), "Not Found")</f>
        <v/>
      </c>
      <c r="U82">
        <f t="array" ref="U82">IFERROR(INDEX(Disch_Booking_Report!I:I, MATCH(TRUE, ISNUMBER(FIND(SUBSTITUTE(C82," ",""), Disch_Booking_Report!AC:AC)), 0)), "Not Found")</f>
        <v/>
      </c>
    </row>
    <row r="83">
      <c r="A83" t="n">
        <v>10</v>
      </c>
      <c r="B83" t="n">
        <v>100406</v>
      </c>
      <c r="C83" t="inlineStr">
        <is>
          <t xml:space="preserve">     ANON0000000</t>
        </is>
      </c>
      <c r="D83" t="n">
        <v>40</v>
      </c>
      <c r="E83" t="inlineStr">
        <is>
          <t>RULED</t>
        </is>
      </c>
      <c r="F83" t="inlineStr">
        <is>
          <t>USNYC</t>
        </is>
      </c>
      <c r="G83" t="n">
        <v>32369</v>
      </c>
      <c r="H83" t="inlineStr">
        <is>
          <t>ART</t>
        </is>
      </c>
      <c r="I83" t="inlineStr">
        <is>
          <t>45G1</t>
        </is>
      </c>
      <c r="L83" t="inlineStr">
        <is>
          <t>9'6</t>
        </is>
      </c>
      <c r="M83" t="inlineStr">
        <is>
          <t>Full</t>
        </is>
      </c>
      <c r="P83">
        <f t="array" ref="P83">IFERROR(INDEX(Disch_Booking_Report!B:B, MATCH(TRUE, ISNUMBER(FIND(SUBSTITUTE(C83," ",""), Disch_Booking_Report!AC:AC)), 0)), "Not Found")</f>
        <v/>
      </c>
      <c r="Q83">
        <f t="array" ref="Q83">IFERROR(INDEX(Disch_Booking_Report!C:C, MATCH(TRUE, ISNUMBER(FIND(SUBSTITUTE(C83," ",""), Disch_Booking_Report!AC:AC)), 0)), "Not Found")</f>
        <v/>
      </c>
      <c r="R83">
        <f t="array" ref="R83">IFERROR(INDEX(Disch_Booking_Report!AD:AD, MATCH(TRUE, ISNUMBER(FIND(SUBSTITUTE(C83," ",""), Disch_Booking_Report!AC:AC)), 0)), "Not Found")</f>
        <v/>
      </c>
      <c r="S83">
        <f>Tabela2[[#This Row],[Weight]]</f>
        <v/>
      </c>
      <c r="T83">
        <f t="array" ref="T83">IFERROR(INDEX(Disch_Booking_Report!L:L, MATCH(TRUE, ISNUMBER(FIND(SUBSTITUTE(C83," ",""), Disch_Booking_Report!AC:AC)), 0)), "Not Found")</f>
        <v/>
      </c>
      <c r="U83">
        <f t="array" ref="U83">IFERROR(INDEX(Disch_Booking_Report!I:I, MATCH(TRUE, ISNUMBER(FIND(SUBSTITUTE(C83," ",""), Disch_Booking_Report!AC:AC)), 0)), "Not Found")</f>
        <v/>
      </c>
    </row>
    <row r="84">
      <c r="A84" t="n">
        <v>10</v>
      </c>
      <c r="B84" t="n">
        <v>100582</v>
      </c>
      <c r="C84" t="inlineStr">
        <is>
          <t xml:space="preserve">     ANON0000000</t>
        </is>
      </c>
      <c r="D84" t="n">
        <v>40</v>
      </c>
      <c r="E84" t="inlineStr">
        <is>
          <t>RULED</t>
        </is>
      </c>
      <c r="F84" t="inlineStr">
        <is>
          <t>USNYC</t>
        </is>
      </c>
      <c r="G84" t="n">
        <v>32970</v>
      </c>
      <c r="H84" t="inlineStr">
        <is>
          <t>ART</t>
        </is>
      </c>
      <c r="I84" t="inlineStr">
        <is>
          <t>45R1</t>
        </is>
      </c>
      <c r="K84" t="inlineStr">
        <is>
          <t>Dry reefer</t>
        </is>
      </c>
      <c r="L84" t="inlineStr">
        <is>
          <t>9'6</t>
        </is>
      </c>
      <c r="M84" t="inlineStr">
        <is>
          <t>Full</t>
        </is>
      </c>
      <c r="P84">
        <f t="array" ref="P84">IFERROR(INDEX(Disch_Booking_Report!B:B, MATCH(TRUE, ISNUMBER(FIND(SUBSTITUTE(C84," ",""), Disch_Booking_Report!AC:AC)), 0)), "Not Found")</f>
        <v/>
      </c>
      <c r="Q84">
        <f t="array" ref="Q84">IFERROR(INDEX(Disch_Booking_Report!C:C, MATCH(TRUE, ISNUMBER(FIND(SUBSTITUTE(C84," ",""), Disch_Booking_Report!AC:AC)), 0)), "Not Found")</f>
        <v/>
      </c>
      <c r="R84">
        <f t="array" ref="R84">IFERROR(INDEX(Disch_Booking_Report!AD:AD, MATCH(TRUE, ISNUMBER(FIND(SUBSTITUTE(C84," ",""), Disch_Booking_Report!AC:AC)), 0)), "Not Found")</f>
        <v/>
      </c>
      <c r="S84">
        <f>Tabela2[[#This Row],[Weight]]</f>
        <v/>
      </c>
      <c r="T84">
        <f t="array" ref="T84">IFERROR(INDEX(Disch_Booking_Report!L:L, MATCH(TRUE, ISNUMBER(FIND(SUBSTITUTE(C84," ",""), Disch_Booking_Report!AC:AC)), 0)), "Not Found")</f>
        <v/>
      </c>
      <c r="U84">
        <f t="array" ref="U84">IFERROR(INDEX(Disch_Booking_Report!I:I, MATCH(TRUE, ISNUMBER(FIND(SUBSTITUTE(C84," ",""), Disch_Booking_Report!AC:AC)), 0)), "Not Found")</f>
        <v/>
      </c>
    </row>
    <row r="85">
      <c r="A85" t="n">
        <v>10</v>
      </c>
      <c r="B85" t="n">
        <v>100282</v>
      </c>
      <c r="C85" t="inlineStr">
        <is>
          <t xml:space="preserve">     ANON0000000</t>
        </is>
      </c>
      <c r="D85" t="n">
        <v>40</v>
      </c>
      <c r="E85" t="inlineStr">
        <is>
          <t>RULED</t>
        </is>
      </c>
      <c r="F85" t="inlineStr">
        <is>
          <t>USNYC</t>
        </is>
      </c>
      <c r="G85" t="n">
        <v>33520</v>
      </c>
      <c r="H85" t="inlineStr">
        <is>
          <t>ART</t>
        </is>
      </c>
      <c r="I85" t="inlineStr">
        <is>
          <t>45R1</t>
        </is>
      </c>
      <c r="K85" t="inlineStr">
        <is>
          <t>Dry reefer</t>
        </is>
      </c>
      <c r="L85" t="inlineStr">
        <is>
          <t>9'6</t>
        </is>
      </c>
      <c r="M85" t="inlineStr">
        <is>
          <t>Full</t>
        </is>
      </c>
      <c r="P85">
        <f t="array" ref="P85">IFERROR(INDEX(Disch_Booking_Report!B:B, MATCH(TRUE, ISNUMBER(FIND(SUBSTITUTE(C85," ",""), Disch_Booking_Report!AC:AC)), 0)), "Not Found")</f>
        <v/>
      </c>
      <c r="Q85">
        <f t="array" ref="Q85">IFERROR(INDEX(Disch_Booking_Report!C:C, MATCH(TRUE, ISNUMBER(FIND(SUBSTITUTE(C85," ",""), Disch_Booking_Report!AC:AC)), 0)), "Not Found")</f>
        <v/>
      </c>
      <c r="R85">
        <f t="array" ref="R85">IFERROR(INDEX(Disch_Booking_Report!AD:AD, MATCH(TRUE, ISNUMBER(FIND(SUBSTITUTE(C85," ",""), Disch_Booking_Report!AC:AC)), 0)), "Not Found")</f>
        <v/>
      </c>
      <c r="S85">
        <f>Tabela2[[#This Row],[Weight]]</f>
        <v/>
      </c>
      <c r="T85">
        <f t="array" ref="T85">IFERROR(INDEX(Disch_Booking_Report!L:L, MATCH(TRUE, ISNUMBER(FIND(SUBSTITUTE(C85," ",""), Disch_Booking_Report!AC:AC)), 0)), "Not Found")</f>
        <v/>
      </c>
      <c r="U85">
        <f t="array" ref="U85">IFERROR(INDEX(Disch_Booking_Report!I:I, MATCH(TRUE, ISNUMBER(FIND(SUBSTITUTE(C85," ",""), Disch_Booking_Report!AC:AC)), 0)), "Not Found")</f>
        <v/>
      </c>
    </row>
    <row r="86">
      <c r="A86" t="n">
        <v>10</v>
      </c>
      <c r="B86" t="n">
        <v>100086</v>
      </c>
      <c r="C86" t="inlineStr">
        <is>
          <t xml:space="preserve">     ANON0000000</t>
        </is>
      </c>
      <c r="D86" t="n">
        <v>40</v>
      </c>
      <c r="E86" t="inlineStr">
        <is>
          <t>RULED</t>
        </is>
      </c>
      <c r="F86" t="inlineStr">
        <is>
          <t>USNYC</t>
        </is>
      </c>
      <c r="G86" t="n">
        <v>32980</v>
      </c>
      <c r="H86" t="inlineStr">
        <is>
          <t>ART</t>
        </is>
      </c>
      <c r="I86" t="inlineStr">
        <is>
          <t>40R1</t>
        </is>
      </c>
      <c r="K86" t="inlineStr">
        <is>
          <t>Dry reefer</t>
        </is>
      </c>
      <c r="L86" t="inlineStr">
        <is>
          <t>8'</t>
        </is>
      </c>
      <c r="M86" t="inlineStr">
        <is>
          <t>Full</t>
        </is>
      </c>
      <c r="P86">
        <f t="array" ref="P86">IFERROR(INDEX(Disch_Booking_Report!B:B, MATCH(TRUE, ISNUMBER(FIND(SUBSTITUTE(C86," ",""), Disch_Booking_Report!AC:AC)), 0)), "Not Found")</f>
        <v/>
      </c>
      <c r="Q86">
        <f t="array" ref="Q86">IFERROR(INDEX(Disch_Booking_Report!C:C, MATCH(TRUE, ISNUMBER(FIND(SUBSTITUTE(C86," ",""), Disch_Booking_Report!AC:AC)), 0)), "Not Found")</f>
        <v/>
      </c>
      <c r="R86">
        <f t="array" ref="R86">IFERROR(INDEX(Disch_Booking_Report!AD:AD, MATCH(TRUE, ISNUMBER(FIND(SUBSTITUTE(C86," ",""), Disch_Booking_Report!AC:AC)), 0)), "Not Found")</f>
        <v/>
      </c>
      <c r="S86">
        <f>Tabela2[[#This Row],[Weight]]</f>
        <v/>
      </c>
      <c r="T86">
        <f t="array" ref="T86">IFERROR(INDEX(Disch_Booking_Report!L:L, MATCH(TRUE, ISNUMBER(FIND(SUBSTITUTE(C86," ",""), Disch_Booking_Report!AC:AC)), 0)), "Not Found")</f>
        <v/>
      </c>
      <c r="U86">
        <f t="array" ref="U86">IFERROR(INDEX(Disch_Booking_Report!I:I, MATCH(TRUE, ISNUMBER(FIND(SUBSTITUTE(C86," ",""), Disch_Booking_Report!AC:AC)), 0)), "Not Found")</f>
        <v/>
      </c>
    </row>
    <row r="87">
      <c r="A87" t="n">
        <v>10</v>
      </c>
      <c r="B87" t="n">
        <v>100784</v>
      </c>
      <c r="C87" t="inlineStr">
        <is>
          <t xml:space="preserve">     ANON0000000</t>
        </is>
      </c>
      <c r="D87" t="n">
        <v>40</v>
      </c>
      <c r="E87" t="inlineStr">
        <is>
          <t>RULED</t>
        </is>
      </c>
      <c r="F87" t="inlineStr">
        <is>
          <t>USNYC</t>
        </is>
      </c>
      <c r="G87" t="n">
        <v>31150</v>
      </c>
      <c r="H87" t="inlineStr">
        <is>
          <t>ART</t>
        </is>
      </c>
      <c r="I87" t="inlineStr">
        <is>
          <t>45R1</t>
        </is>
      </c>
      <c r="K87" t="inlineStr">
        <is>
          <t>Dry reefer</t>
        </is>
      </c>
      <c r="L87" t="inlineStr">
        <is>
          <t>9'6</t>
        </is>
      </c>
      <c r="M87" t="inlineStr">
        <is>
          <t>Full</t>
        </is>
      </c>
      <c r="P87">
        <f t="array" ref="P87">IFERROR(INDEX(Disch_Booking_Report!B:B, MATCH(TRUE, ISNUMBER(FIND(SUBSTITUTE(C87," ",""), Disch_Booking_Report!AC:AC)), 0)), "Not Found")</f>
        <v/>
      </c>
      <c r="Q87">
        <f t="array" ref="Q87">IFERROR(INDEX(Disch_Booking_Report!C:C, MATCH(TRUE, ISNUMBER(FIND(SUBSTITUTE(C87," ",""), Disch_Booking_Report!AC:AC)), 0)), "Not Found")</f>
        <v/>
      </c>
      <c r="R87">
        <f t="array" ref="R87">IFERROR(INDEX(Disch_Booking_Report!AD:AD, MATCH(TRUE, ISNUMBER(FIND(SUBSTITUTE(C87," ",""), Disch_Booking_Report!AC:AC)), 0)), "Not Found")</f>
        <v/>
      </c>
      <c r="S87">
        <f>Tabela2[[#This Row],[Weight]]</f>
        <v/>
      </c>
      <c r="T87">
        <f t="array" ref="T87">IFERROR(INDEX(Disch_Booking_Report!L:L, MATCH(TRUE, ISNUMBER(FIND(SUBSTITUTE(C87," ",""), Disch_Booking_Report!AC:AC)), 0)), "Not Found")</f>
        <v/>
      </c>
      <c r="U87">
        <f t="array" ref="U87">IFERROR(INDEX(Disch_Booking_Report!I:I, MATCH(TRUE, ISNUMBER(FIND(SUBSTITUTE(C87," ",""), Disch_Booking_Report!AC:AC)), 0)), "Not Found")</f>
        <v/>
      </c>
    </row>
    <row r="88">
      <c r="A88" t="n">
        <v>10</v>
      </c>
      <c r="B88" t="n">
        <v>100084</v>
      </c>
      <c r="C88" t="inlineStr">
        <is>
          <t xml:space="preserve">     ANON0000000</t>
        </is>
      </c>
      <c r="D88" t="n">
        <v>40</v>
      </c>
      <c r="E88" t="inlineStr">
        <is>
          <t>RULED</t>
        </is>
      </c>
      <c r="F88" t="inlineStr">
        <is>
          <t>USNYC</t>
        </is>
      </c>
      <c r="G88" t="n">
        <v>33970</v>
      </c>
      <c r="H88" t="inlineStr">
        <is>
          <t>ART</t>
        </is>
      </c>
      <c r="I88" t="inlineStr">
        <is>
          <t>40R1</t>
        </is>
      </c>
      <c r="K88" t="inlineStr">
        <is>
          <t>Dry reefer</t>
        </is>
      </c>
      <c r="L88" t="inlineStr">
        <is>
          <t>8'</t>
        </is>
      </c>
      <c r="M88" t="inlineStr">
        <is>
          <t>Full</t>
        </is>
      </c>
      <c r="P88">
        <f t="array" ref="P88">IFERROR(INDEX(Disch_Booking_Report!B:B, MATCH(TRUE, ISNUMBER(FIND(SUBSTITUTE(C88," ",""), Disch_Booking_Report!AC:AC)), 0)), "Not Found")</f>
        <v/>
      </c>
      <c r="Q88">
        <f t="array" ref="Q88">IFERROR(INDEX(Disch_Booking_Report!C:C, MATCH(TRUE, ISNUMBER(FIND(SUBSTITUTE(C88," ",""), Disch_Booking_Report!AC:AC)), 0)), "Not Found")</f>
        <v/>
      </c>
      <c r="R88">
        <f t="array" ref="R88">IFERROR(INDEX(Disch_Booking_Report!AD:AD, MATCH(TRUE, ISNUMBER(FIND(SUBSTITUTE(C88," ",""), Disch_Booking_Report!AC:AC)), 0)), "Not Found")</f>
        <v/>
      </c>
      <c r="S88">
        <f>Tabela2[[#This Row],[Weight]]</f>
        <v/>
      </c>
      <c r="T88">
        <f t="array" ref="T88">IFERROR(INDEX(Disch_Booking_Report!L:L, MATCH(TRUE, ISNUMBER(FIND(SUBSTITUTE(C88," ",""), Disch_Booking_Report!AC:AC)), 0)), "Not Found")</f>
        <v/>
      </c>
      <c r="U88">
        <f t="array" ref="U88">IFERROR(INDEX(Disch_Booking_Report!I:I, MATCH(TRUE, ISNUMBER(FIND(SUBSTITUTE(C88," ",""), Disch_Booking_Report!AC:AC)), 0)), "Not Found")</f>
        <v/>
      </c>
    </row>
    <row r="89">
      <c r="A89" t="n">
        <v>10</v>
      </c>
      <c r="B89" t="n">
        <v>100308</v>
      </c>
      <c r="C89" t="inlineStr">
        <is>
          <t xml:space="preserve">     ANON0000000</t>
        </is>
      </c>
      <c r="D89" t="n">
        <v>40</v>
      </c>
      <c r="E89" t="inlineStr">
        <is>
          <t>RULED</t>
        </is>
      </c>
      <c r="F89" t="inlineStr">
        <is>
          <t>USNYC</t>
        </is>
      </c>
      <c r="G89" t="n">
        <v>32369</v>
      </c>
      <c r="H89" t="inlineStr">
        <is>
          <t>ART</t>
        </is>
      </c>
      <c r="I89" t="inlineStr">
        <is>
          <t>45G1</t>
        </is>
      </c>
      <c r="L89" t="inlineStr">
        <is>
          <t>9'6</t>
        </is>
      </c>
      <c r="M89" t="inlineStr">
        <is>
          <t>Full</t>
        </is>
      </c>
      <c r="P89">
        <f t="array" ref="P89">IFERROR(INDEX(Disch_Booking_Report!B:B, MATCH(TRUE, ISNUMBER(FIND(SUBSTITUTE(C89," ",""), Disch_Booking_Report!AC:AC)), 0)), "Not Found")</f>
        <v/>
      </c>
      <c r="Q89">
        <f t="array" ref="Q89">IFERROR(INDEX(Disch_Booking_Report!C:C, MATCH(TRUE, ISNUMBER(FIND(SUBSTITUTE(C89," ",""), Disch_Booking_Report!AC:AC)), 0)), "Not Found")</f>
        <v/>
      </c>
      <c r="R89">
        <f t="array" ref="R89">IFERROR(INDEX(Disch_Booking_Report!AD:AD, MATCH(TRUE, ISNUMBER(FIND(SUBSTITUTE(C89," ",""), Disch_Booking_Report!AC:AC)), 0)), "Not Found")</f>
        <v/>
      </c>
      <c r="S89">
        <f>Tabela2[[#This Row],[Weight]]</f>
        <v/>
      </c>
      <c r="T89">
        <f t="array" ref="T89">IFERROR(INDEX(Disch_Booking_Report!L:L, MATCH(TRUE, ISNUMBER(FIND(SUBSTITUTE(C89," ",""), Disch_Booking_Report!AC:AC)), 0)), "Not Found")</f>
        <v/>
      </c>
      <c r="U89">
        <f t="array" ref="U89">IFERROR(INDEX(Disch_Booking_Report!I:I, MATCH(TRUE, ISNUMBER(FIND(SUBSTITUTE(C89," ",""), Disch_Booking_Report!AC:AC)), 0)), "Not Found")</f>
        <v/>
      </c>
    </row>
    <row r="90">
      <c r="A90" t="n">
        <v>10</v>
      </c>
      <c r="B90" t="n">
        <v>100484</v>
      </c>
      <c r="C90" t="inlineStr">
        <is>
          <t xml:space="preserve">     ANON0000000</t>
        </is>
      </c>
      <c r="D90" t="n">
        <v>40</v>
      </c>
      <c r="E90" t="inlineStr">
        <is>
          <t>RULED</t>
        </is>
      </c>
      <c r="F90" t="inlineStr">
        <is>
          <t>USNYC</t>
        </is>
      </c>
      <c r="G90" t="n">
        <v>33960</v>
      </c>
      <c r="H90" t="inlineStr">
        <is>
          <t>ART</t>
        </is>
      </c>
      <c r="I90" t="inlineStr">
        <is>
          <t>45R1</t>
        </is>
      </c>
      <c r="K90" t="inlineStr">
        <is>
          <t>Dry reefer</t>
        </is>
      </c>
      <c r="L90" t="inlineStr">
        <is>
          <t>9'6</t>
        </is>
      </c>
      <c r="M90" t="inlineStr">
        <is>
          <t>Full</t>
        </is>
      </c>
      <c r="P90">
        <f t="array" ref="P90">IFERROR(INDEX(Disch_Booking_Report!B:B, MATCH(TRUE, ISNUMBER(FIND(SUBSTITUTE(C90," ",""), Disch_Booking_Report!AC:AC)), 0)), "Not Found")</f>
        <v/>
      </c>
      <c r="Q90">
        <f t="array" ref="Q90">IFERROR(INDEX(Disch_Booking_Report!C:C, MATCH(TRUE, ISNUMBER(FIND(SUBSTITUTE(C90," ",""), Disch_Booking_Report!AC:AC)), 0)), "Not Found")</f>
        <v/>
      </c>
      <c r="R90">
        <f t="array" ref="R90">IFERROR(INDEX(Disch_Booking_Report!AD:AD, MATCH(TRUE, ISNUMBER(FIND(SUBSTITUTE(C90," ",""), Disch_Booking_Report!AC:AC)), 0)), "Not Found")</f>
        <v/>
      </c>
      <c r="S90">
        <f>Tabela2[[#This Row],[Weight]]</f>
        <v/>
      </c>
      <c r="T90">
        <f t="array" ref="T90">IFERROR(INDEX(Disch_Booking_Report!L:L, MATCH(TRUE, ISNUMBER(FIND(SUBSTITUTE(C90," ",""), Disch_Booking_Report!AC:AC)), 0)), "Not Found")</f>
        <v/>
      </c>
      <c r="U90">
        <f t="array" ref="U90">IFERROR(INDEX(Disch_Booking_Report!I:I, MATCH(TRUE, ISNUMBER(FIND(SUBSTITUTE(C90," ",""), Disch_Booking_Report!AC:AC)), 0)), "Not Found")</f>
        <v/>
      </c>
    </row>
    <row r="91">
      <c r="A91" t="n">
        <v>10</v>
      </c>
      <c r="B91" t="n">
        <v>100206</v>
      </c>
      <c r="C91" t="inlineStr">
        <is>
          <t xml:space="preserve">     ANON0000000</t>
        </is>
      </c>
      <c r="D91" t="n">
        <v>40</v>
      </c>
      <c r="E91" t="inlineStr">
        <is>
          <t>RULED</t>
        </is>
      </c>
      <c r="F91" t="inlineStr">
        <is>
          <t>USNYC</t>
        </is>
      </c>
      <c r="G91" t="n">
        <v>32490</v>
      </c>
      <c r="H91" t="inlineStr">
        <is>
          <t>ART</t>
        </is>
      </c>
      <c r="I91" t="inlineStr">
        <is>
          <t>45G1</t>
        </is>
      </c>
      <c r="L91" t="inlineStr">
        <is>
          <t>9'6</t>
        </is>
      </c>
      <c r="M91" t="inlineStr">
        <is>
          <t>Full</t>
        </is>
      </c>
      <c r="P91">
        <f t="array" ref="P91">IFERROR(INDEX(Disch_Booking_Report!B:B, MATCH(TRUE, ISNUMBER(FIND(SUBSTITUTE(C91," ",""), Disch_Booking_Report!AC:AC)), 0)), "Not Found")</f>
        <v/>
      </c>
      <c r="Q91">
        <f t="array" ref="Q91">IFERROR(INDEX(Disch_Booking_Report!C:C, MATCH(TRUE, ISNUMBER(FIND(SUBSTITUTE(C91," ",""), Disch_Booking_Report!AC:AC)), 0)), "Not Found")</f>
        <v/>
      </c>
      <c r="R91">
        <f t="array" ref="R91">IFERROR(INDEX(Disch_Booking_Report!AD:AD, MATCH(TRUE, ISNUMBER(FIND(SUBSTITUTE(C91," ",""), Disch_Booking_Report!AC:AC)), 0)), "Not Found")</f>
        <v/>
      </c>
      <c r="S91">
        <f>Tabela2[[#This Row],[Weight]]</f>
        <v/>
      </c>
      <c r="T91">
        <f t="array" ref="T91">IFERROR(INDEX(Disch_Booking_Report!L:L, MATCH(TRUE, ISNUMBER(FIND(SUBSTITUTE(C91," ",""), Disch_Booking_Report!AC:AC)), 0)), "Not Found")</f>
        <v/>
      </c>
      <c r="U91">
        <f t="array" ref="U91">IFERROR(INDEX(Disch_Booking_Report!I:I, MATCH(TRUE, ISNUMBER(FIND(SUBSTITUTE(C91," ",""), Disch_Booking_Report!AC:AC)), 0)), "Not Found")</f>
        <v/>
      </c>
    </row>
    <row r="92">
      <c r="A92" t="n">
        <v>10</v>
      </c>
      <c r="B92" t="n">
        <v>100606</v>
      </c>
      <c r="C92" t="inlineStr">
        <is>
          <t xml:space="preserve">     ANON0000000</t>
        </is>
      </c>
      <c r="D92" t="n">
        <v>40</v>
      </c>
      <c r="E92" t="inlineStr">
        <is>
          <t>RULED</t>
        </is>
      </c>
      <c r="F92" t="inlineStr">
        <is>
          <t>USNYC</t>
        </is>
      </c>
      <c r="G92" t="n">
        <v>32320</v>
      </c>
      <c r="H92" t="inlineStr">
        <is>
          <t>ART</t>
        </is>
      </c>
      <c r="I92" t="inlineStr">
        <is>
          <t>45G1</t>
        </is>
      </c>
      <c r="L92" t="inlineStr">
        <is>
          <t>9'6</t>
        </is>
      </c>
      <c r="M92" t="inlineStr">
        <is>
          <t>Full</t>
        </is>
      </c>
      <c r="P92">
        <f t="array" ref="P92">IFERROR(INDEX(Disch_Booking_Report!B:B, MATCH(TRUE, ISNUMBER(FIND(SUBSTITUTE(C92," ",""), Disch_Booking_Report!AC:AC)), 0)), "Not Found")</f>
        <v/>
      </c>
      <c r="Q92">
        <f t="array" ref="Q92">IFERROR(INDEX(Disch_Booking_Report!C:C, MATCH(TRUE, ISNUMBER(FIND(SUBSTITUTE(C92," ",""), Disch_Booking_Report!AC:AC)), 0)), "Not Found")</f>
        <v/>
      </c>
      <c r="R92">
        <f t="array" ref="R92">IFERROR(INDEX(Disch_Booking_Report!AD:AD, MATCH(TRUE, ISNUMBER(FIND(SUBSTITUTE(C92," ",""), Disch_Booking_Report!AC:AC)), 0)), "Not Found")</f>
        <v/>
      </c>
      <c r="S92">
        <f>Tabela2[[#This Row],[Weight]]</f>
        <v/>
      </c>
      <c r="T92">
        <f t="array" ref="T92">IFERROR(INDEX(Disch_Booking_Report!L:L, MATCH(TRUE, ISNUMBER(FIND(SUBSTITUTE(C92," ",""), Disch_Booking_Report!AC:AC)), 0)), "Not Found")</f>
        <v/>
      </c>
      <c r="U92">
        <f t="array" ref="U92">IFERROR(INDEX(Disch_Booking_Report!I:I, MATCH(TRUE, ISNUMBER(FIND(SUBSTITUTE(C92," ",""), Disch_Booking_Report!AC:AC)), 0)), "Not Found")</f>
        <v/>
      </c>
    </row>
    <row r="93">
      <c r="A93" t="n">
        <v>10</v>
      </c>
      <c r="B93" t="n">
        <v>100608</v>
      </c>
      <c r="C93" t="inlineStr">
        <is>
          <t xml:space="preserve">     ANON0000000</t>
        </is>
      </c>
      <c r="D93" t="n">
        <v>40</v>
      </c>
      <c r="E93" t="inlineStr">
        <is>
          <t>RULED</t>
        </is>
      </c>
      <c r="F93" t="inlineStr">
        <is>
          <t>USNYC</t>
        </is>
      </c>
      <c r="G93" t="n">
        <v>32320</v>
      </c>
      <c r="H93" t="inlineStr">
        <is>
          <t>ART</t>
        </is>
      </c>
      <c r="I93" t="inlineStr">
        <is>
          <t>45G1</t>
        </is>
      </c>
      <c r="L93" t="inlineStr">
        <is>
          <t>9'6</t>
        </is>
      </c>
      <c r="M93" t="inlineStr">
        <is>
          <t>Full</t>
        </is>
      </c>
      <c r="P93">
        <f t="array" ref="P93">IFERROR(INDEX(Disch_Booking_Report!B:B, MATCH(TRUE, ISNUMBER(FIND(SUBSTITUTE(C93," ",""), Disch_Booking_Report!AC:AC)), 0)), "Not Found")</f>
        <v/>
      </c>
      <c r="Q93">
        <f t="array" ref="Q93">IFERROR(INDEX(Disch_Booking_Report!C:C, MATCH(TRUE, ISNUMBER(FIND(SUBSTITUTE(C93," ",""), Disch_Booking_Report!AC:AC)), 0)), "Not Found")</f>
        <v/>
      </c>
      <c r="R93">
        <f t="array" ref="R93">IFERROR(INDEX(Disch_Booking_Report!AD:AD, MATCH(TRUE, ISNUMBER(FIND(SUBSTITUTE(C93," ",""), Disch_Booking_Report!AC:AC)), 0)), "Not Found")</f>
        <v/>
      </c>
      <c r="S93">
        <f>Tabela2[[#This Row],[Weight]]</f>
        <v/>
      </c>
      <c r="T93">
        <f t="array" ref="T93">IFERROR(INDEX(Disch_Booking_Report!L:L, MATCH(TRUE, ISNUMBER(FIND(SUBSTITUTE(C93," ",""), Disch_Booking_Report!AC:AC)), 0)), "Not Found")</f>
        <v/>
      </c>
      <c r="U93">
        <f t="array" ref="U93">IFERROR(INDEX(Disch_Booking_Report!I:I, MATCH(TRUE, ISNUMBER(FIND(SUBSTITUTE(C93," ",""), Disch_Booking_Report!AC:AC)), 0)), "Not Found")</f>
        <v/>
      </c>
    </row>
    <row r="94">
      <c r="A94" t="n">
        <v>10</v>
      </c>
      <c r="B94" t="n">
        <v>100506</v>
      </c>
      <c r="C94" t="inlineStr">
        <is>
          <t xml:space="preserve">     ANON0000000</t>
        </is>
      </c>
      <c r="D94" t="n">
        <v>40</v>
      </c>
      <c r="E94" t="inlineStr">
        <is>
          <t>RULED</t>
        </is>
      </c>
      <c r="F94" t="inlineStr">
        <is>
          <t>USNYC</t>
        </is>
      </c>
      <c r="G94" t="n">
        <v>32500</v>
      </c>
      <c r="H94" t="inlineStr">
        <is>
          <t>ART</t>
        </is>
      </c>
      <c r="I94" t="inlineStr">
        <is>
          <t>45G1</t>
        </is>
      </c>
      <c r="L94" t="inlineStr">
        <is>
          <t>9'6</t>
        </is>
      </c>
      <c r="M94" t="inlineStr">
        <is>
          <t>Full</t>
        </is>
      </c>
      <c r="P94">
        <f t="array" ref="P94">IFERROR(INDEX(Disch_Booking_Report!B:B, MATCH(TRUE, ISNUMBER(FIND(SUBSTITUTE(C94," ",""), Disch_Booking_Report!AC:AC)), 0)), "Not Found")</f>
        <v/>
      </c>
      <c r="Q94">
        <f t="array" ref="Q94">IFERROR(INDEX(Disch_Booking_Report!C:C, MATCH(TRUE, ISNUMBER(FIND(SUBSTITUTE(C94," ",""), Disch_Booking_Report!AC:AC)), 0)), "Not Found")</f>
        <v/>
      </c>
      <c r="R94">
        <f t="array" ref="R94">IFERROR(INDEX(Disch_Booking_Report!AD:AD, MATCH(TRUE, ISNUMBER(FIND(SUBSTITUTE(C94," ",""), Disch_Booking_Report!AC:AC)), 0)), "Not Found")</f>
        <v/>
      </c>
      <c r="S94">
        <f>Tabela2[[#This Row],[Weight]]</f>
        <v/>
      </c>
      <c r="T94">
        <f t="array" ref="T94">IFERROR(INDEX(Disch_Booking_Report!L:L, MATCH(TRUE, ISNUMBER(FIND(SUBSTITUTE(C94," ",""), Disch_Booking_Report!AC:AC)), 0)), "Not Found")</f>
        <v/>
      </c>
      <c r="U94">
        <f t="array" ref="U94">IFERROR(INDEX(Disch_Booking_Report!I:I, MATCH(TRUE, ISNUMBER(FIND(SUBSTITUTE(C94," ",""), Disch_Booking_Report!AC:AC)), 0)), "Not Found")</f>
        <v/>
      </c>
    </row>
    <row r="95">
      <c r="A95" t="n">
        <v>10</v>
      </c>
      <c r="B95" t="n">
        <v>100106</v>
      </c>
      <c r="C95" t="inlineStr">
        <is>
          <t xml:space="preserve">     ANON0000000</t>
        </is>
      </c>
      <c r="D95" t="n">
        <v>40</v>
      </c>
      <c r="E95" t="inlineStr">
        <is>
          <t>RULED</t>
        </is>
      </c>
      <c r="F95" t="inlineStr">
        <is>
          <t>USNYC</t>
        </is>
      </c>
      <c r="G95" t="n">
        <v>32500</v>
      </c>
      <c r="H95" t="inlineStr">
        <is>
          <t>ART</t>
        </is>
      </c>
      <c r="I95" t="inlineStr">
        <is>
          <t>45G1</t>
        </is>
      </c>
      <c r="L95" t="inlineStr">
        <is>
          <t>9'6</t>
        </is>
      </c>
      <c r="M95" t="inlineStr">
        <is>
          <t>Full</t>
        </is>
      </c>
      <c r="P95">
        <f t="array" ref="P95">IFERROR(INDEX(Disch_Booking_Report!B:B, MATCH(TRUE, ISNUMBER(FIND(SUBSTITUTE(C95," ",""), Disch_Booking_Report!AC:AC)), 0)), "Not Found")</f>
        <v/>
      </c>
      <c r="Q95">
        <f t="array" ref="Q95">IFERROR(INDEX(Disch_Booking_Report!C:C, MATCH(TRUE, ISNUMBER(FIND(SUBSTITUTE(C95," ",""), Disch_Booking_Report!AC:AC)), 0)), "Not Found")</f>
        <v/>
      </c>
      <c r="R95">
        <f t="array" ref="R95">IFERROR(INDEX(Disch_Booking_Report!AD:AD, MATCH(TRUE, ISNUMBER(FIND(SUBSTITUTE(C95," ",""), Disch_Booking_Report!AC:AC)), 0)), "Not Found")</f>
        <v/>
      </c>
      <c r="S95">
        <f>Tabela2[[#This Row],[Weight]]</f>
        <v/>
      </c>
      <c r="T95">
        <f t="array" ref="T95">IFERROR(INDEX(Disch_Booking_Report!L:L, MATCH(TRUE, ISNUMBER(FIND(SUBSTITUTE(C95," ",""), Disch_Booking_Report!AC:AC)), 0)), "Not Found")</f>
        <v/>
      </c>
      <c r="U95">
        <f t="array" ref="U95">IFERROR(INDEX(Disch_Booking_Report!I:I, MATCH(TRUE, ISNUMBER(FIND(SUBSTITUTE(C95," ",""), Disch_Booking_Report!AC:AC)), 0)), "Not Found")</f>
        <v/>
      </c>
    </row>
    <row r="96">
      <c r="A96" t="n">
        <v>10</v>
      </c>
      <c r="B96" t="n">
        <v>101084</v>
      </c>
      <c r="C96" t="inlineStr">
        <is>
          <t xml:space="preserve">     ANON0000000</t>
        </is>
      </c>
      <c r="D96" t="n">
        <v>40</v>
      </c>
      <c r="E96" t="inlineStr">
        <is>
          <t>RULED</t>
        </is>
      </c>
      <c r="F96" t="inlineStr">
        <is>
          <t>USNYC</t>
        </is>
      </c>
      <c r="G96" t="n">
        <v>34010</v>
      </c>
      <c r="H96" t="inlineStr">
        <is>
          <t>ART</t>
        </is>
      </c>
      <c r="I96" t="inlineStr">
        <is>
          <t>40R1</t>
        </is>
      </c>
      <c r="K96" t="inlineStr">
        <is>
          <t>Dry reefer</t>
        </is>
      </c>
      <c r="L96" t="inlineStr">
        <is>
          <t>8'</t>
        </is>
      </c>
      <c r="M96" t="inlineStr">
        <is>
          <t>Full</t>
        </is>
      </c>
      <c r="P96">
        <f t="array" ref="P96">IFERROR(INDEX(Disch_Booking_Report!B:B, MATCH(TRUE, ISNUMBER(FIND(SUBSTITUTE(C96," ",""), Disch_Booking_Report!AC:AC)), 0)), "Not Found")</f>
        <v/>
      </c>
      <c r="Q96">
        <f t="array" ref="Q96">IFERROR(INDEX(Disch_Booking_Report!C:C, MATCH(TRUE, ISNUMBER(FIND(SUBSTITUTE(C96," ",""), Disch_Booking_Report!AC:AC)), 0)), "Not Found")</f>
        <v/>
      </c>
      <c r="R96">
        <f t="array" ref="R96">IFERROR(INDEX(Disch_Booking_Report!AD:AD, MATCH(TRUE, ISNUMBER(FIND(SUBSTITUTE(C96," ",""), Disch_Booking_Report!AC:AC)), 0)), "Not Found")</f>
        <v/>
      </c>
      <c r="S96">
        <f>Tabela2[[#This Row],[Weight]]</f>
        <v/>
      </c>
      <c r="T96">
        <f t="array" ref="T96">IFERROR(INDEX(Disch_Booking_Report!L:L, MATCH(TRUE, ISNUMBER(FIND(SUBSTITUTE(C96," ",""), Disch_Booking_Report!AC:AC)), 0)), "Not Found")</f>
        <v/>
      </c>
      <c r="U96">
        <f t="array" ref="U96">IFERROR(INDEX(Disch_Booking_Report!I:I, MATCH(TRUE, ISNUMBER(FIND(SUBSTITUTE(C96," ",""), Disch_Booking_Report!AC:AC)), 0)), "Not Found")</f>
        <v/>
      </c>
    </row>
    <row r="97">
      <c r="A97" t="n">
        <v>10</v>
      </c>
      <c r="B97" t="n">
        <v>100082</v>
      </c>
      <c r="C97" t="inlineStr">
        <is>
          <t xml:space="preserve">     ANON0000000</t>
        </is>
      </c>
      <c r="D97" t="n">
        <v>40</v>
      </c>
      <c r="E97" t="inlineStr">
        <is>
          <t>RULED</t>
        </is>
      </c>
      <c r="F97" t="inlineStr">
        <is>
          <t>USNYC</t>
        </is>
      </c>
      <c r="G97" t="n">
        <v>32320</v>
      </c>
      <c r="H97" t="inlineStr">
        <is>
          <t>ART</t>
        </is>
      </c>
      <c r="I97" t="inlineStr">
        <is>
          <t>45G1</t>
        </is>
      </c>
      <c r="L97" t="inlineStr">
        <is>
          <t>9'6</t>
        </is>
      </c>
      <c r="M97" t="inlineStr">
        <is>
          <t>Full</t>
        </is>
      </c>
      <c r="P97">
        <f t="array" ref="P97">IFERROR(INDEX(Disch_Booking_Report!B:B, MATCH(TRUE, ISNUMBER(FIND(SUBSTITUTE(C97," ",""), Disch_Booking_Report!AC:AC)), 0)), "Not Found")</f>
        <v/>
      </c>
      <c r="Q97">
        <f t="array" ref="Q97">IFERROR(INDEX(Disch_Booking_Report!C:C, MATCH(TRUE, ISNUMBER(FIND(SUBSTITUTE(C97," ",""), Disch_Booking_Report!AC:AC)), 0)), "Not Found")</f>
        <v/>
      </c>
      <c r="R97">
        <f t="array" ref="R97">IFERROR(INDEX(Disch_Booking_Report!AD:AD, MATCH(TRUE, ISNUMBER(FIND(SUBSTITUTE(C97," ",""), Disch_Booking_Report!AC:AC)), 0)), "Not Found")</f>
        <v/>
      </c>
      <c r="S97">
        <f>Tabela2[[#This Row],[Weight]]</f>
        <v/>
      </c>
      <c r="T97">
        <f t="array" ref="T97">IFERROR(INDEX(Disch_Booking_Report!L:L, MATCH(TRUE, ISNUMBER(FIND(SUBSTITUTE(C97," ",""), Disch_Booking_Report!AC:AC)), 0)), "Not Found")</f>
        <v/>
      </c>
      <c r="U97">
        <f t="array" ref="U97">IFERROR(INDEX(Disch_Booking_Report!I:I, MATCH(TRUE, ISNUMBER(FIND(SUBSTITUTE(C97," ",""), Disch_Booking_Report!AC:AC)), 0)), "Not Found")</f>
        <v/>
      </c>
    </row>
    <row r="98">
      <c r="A98" t="n">
        <v>10</v>
      </c>
      <c r="B98" t="n">
        <v>100882</v>
      </c>
      <c r="C98" t="inlineStr">
        <is>
          <t xml:space="preserve">     ANON0000000</t>
        </is>
      </c>
      <c r="D98" t="n">
        <v>40</v>
      </c>
      <c r="E98" t="inlineStr">
        <is>
          <t>RULED</t>
        </is>
      </c>
      <c r="F98" t="inlineStr">
        <is>
          <t>USNYC</t>
        </is>
      </c>
      <c r="G98" t="n">
        <v>34050</v>
      </c>
      <c r="H98" t="inlineStr">
        <is>
          <t>ART</t>
        </is>
      </c>
      <c r="I98" t="inlineStr">
        <is>
          <t>45R1</t>
        </is>
      </c>
      <c r="K98" t="inlineStr">
        <is>
          <t>Dry reefer</t>
        </is>
      </c>
      <c r="L98" t="inlineStr">
        <is>
          <t>9'6</t>
        </is>
      </c>
      <c r="M98" t="inlineStr">
        <is>
          <t>Full</t>
        </is>
      </c>
      <c r="P98">
        <f t="array" ref="P98">IFERROR(INDEX(Disch_Booking_Report!B:B, MATCH(TRUE, ISNUMBER(FIND(SUBSTITUTE(C98," ",""), Disch_Booking_Report!AC:AC)), 0)), "Not Found")</f>
        <v/>
      </c>
      <c r="Q98">
        <f t="array" ref="Q98">IFERROR(INDEX(Disch_Booking_Report!C:C, MATCH(TRUE, ISNUMBER(FIND(SUBSTITUTE(C98," ",""), Disch_Booking_Report!AC:AC)), 0)), "Not Found")</f>
        <v/>
      </c>
      <c r="R98">
        <f t="array" ref="R98">IFERROR(INDEX(Disch_Booking_Report!AD:AD, MATCH(TRUE, ISNUMBER(FIND(SUBSTITUTE(C98," ",""), Disch_Booking_Report!AC:AC)), 0)), "Not Found")</f>
        <v/>
      </c>
      <c r="S98">
        <f>Tabela2[[#This Row],[Weight]]</f>
        <v/>
      </c>
      <c r="T98">
        <f t="array" ref="T98">IFERROR(INDEX(Disch_Booking_Report!L:L, MATCH(TRUE, ISNUMBER(FIND(SUBSTITUTE(C98," ",""), Disch_Booking_Report!AC:AC)), 0)), "Not Found")</f>
        <v/>
      </c>
      <c r="U98">
        <f t="array" ref="U98">IFERROR(INDEX(Disch_Booking_Report!I:I, MATCH(TRUE, ISNUMBER(FIND(SUBSTITUTE(C98," ",""), Disch_Booking_Report!AC:AC)), 0)), "Not Found")</f>
        <v/>
      </c>
    </row>
    <row r="99">
      <c r="A99" t="n">
        <v>10</v>
      </c>
      <c r="B99" t="n">
        <v>100108</v>
      </c>
      <c r="C99" t="inlineStr">
        <is>
          <t xml:space="preserve">     ANON0000000</t>
        </is>
      </c>
      <c r="D99" t="n">
        <v>40</v>
      </c>
      <c r="E99" t="inlineStr">
        <is>
          <t>RULED</t>
        </is>
      </c>
      <c r="F99" t="inlineStr">
        <is>
          <t>USNYC</t>
        </is>
      </c>
      <c r="G99" t="n">
        <v>32320</v>
      </c>
      <c r="H99" t="inlineStr">
        <is>
          <t>ART</t>
        </is>
      </c>
      <c r="I99" t="inlineStr">
        <is>
          <t>45G1</t>
        </is>
      </c>
      <c r="L99" t="inlineStr">
        <is>
          <t>9'6</t>
        </is>
      </c>
      <c r="M99" t="inlineStr">
        <is>
          <t>Full</t>
        </is>
      </c>
      <c r="P99">
        <f t="array" ref="P99">IFERROR(INDEX(Disch_Booking_Report!B:B, MATCH(TRUE, ISNUMBER(FIND(SUBSTITUTE(C99," ",""), Disch_Booking_Report!AC:AC)), 0)), "Not Found")</f>
        <v/>
      </c>
      <c r="Q99">
        <f t="array" ref="Q99">IFERROR(INDEX(Disch_Booking_Report!C:C, MATCH(TRUE, ISNUMBER(FIND(SUBSTITUTE(C99," ",""), Disch_Booking_Report!AC:AC)), 0)), "Not Found")</f>
        <v/>
      </c>
      <c r="R99">
        <f t="array" ref="R99">IFERROR(INDEX(Disch_Booking_Report!AD:AD, MATCH(TRUE, ISNUMBER(FIND(SUBSTITUTE(C99," ",""), Disch_Booking_Report!AC:AC)), 0)), "Not Found")</f>
        <v/>
      </c>
      <c r="S99">
        <f>Tabela2[[#This Row],[Weight]]</f>
        <v/>
      </c>
      <c r="T99">
        <f t="array" ref="T99">IFERROR(INDEX(Disch_Booking_Report!L:L, MATCH(TRUE, ISNUMBER(FIND(SUBSTITUTE(C99," ",""), Disch_Booking_Report!AC:AC)), 0)), "Not Found")</f>
        <v/>
      </c>
      <c r="U99">
        <f t="array" ref="U99">IFERROR(INDEX(Disch_Booking_Report!I:I, MATCH(TRUE, ISNUMBER(FIND(SUBSTITUTE(C99," ",""), Disch_Booking_Report!AC:AC)), 0)), "Not Found")</f>
        <v/>
      </c>
    </row>
    <row r="100">
      <c r="A100" t="n">
        <v>10</v>
      </c>
      <c r="B100" t="n">
        <v>100384</v>
      </c>
      <c r="C100" t="inlineStr">
        <is>
          <t xml:space="preserve">     ANON0000000</t>
        </is>
      </c>
      <c r="D100" t="n">
        <v>40</v>
      </c>
      <c r="E100" t="inlineStr">
        <is>
          <t>RULED</t>
        </is>
      </c>
      <c r="F100" t="inlineStr">
        <is>
          <t>USNYC</t>
        </is>
      </c>
      <c r="G100" t="n">
        <v>33730</v>
      </c>
      <c r="H100" t="inlineStr">
        <is>
          <t>ART</t>
        </is>
      </c>
      <c r="I100" t="inlineStr">
        <is>
          <t>45R1</t>
        </is>
      </c>
      <c r="K100" t="inlineStr">
        <is>
          <t>Dry reefer</t>
        </is>
      </c>
      <c r="L100" t="inlineStr">
        <is>
          <t>9'6</t>
        </is>
      </c>
      <c r="M100" t="inlineStr">
        <is>
          <t>Full</t>
        </is>
      </c>
      <c r="P100">
        <f t="array" ref="P100">IFERROR(INDEX(Disch_Booking_Report!B:B, MATCH(TRUE, ISNUMBER(FIND(SUBSTITUTE(C100," ",""), Disch_Booking_Report!AC:AC)), 0)), "Not Found")</f>
        <v/>
      </c>
      <c r="Q100">
        <f t="array" ref="Q100">IFERROR(INDEX(Disch_Booking_Report!C:C, MATCH(TRUE, ISNUMBER(FIND(SUBSTITUTE(C100," ",""), Disch_Booking_Report!AC:AC)), 0)), "Not Found")</f>
        <v/>
      </c>
      <c r="R100">
        <f t="array" ref="R100">IFERROR(INDEX(Disch_Booking_Report!AD:AD, MATCH(TRUE, ISNUMBER(FIND(SUBSTITUTE(C100," ",""), Disch_Booking_Report!AC:AC)), 0)), "Not Found")</f>
        <v/>
      </c>
      <c r="S100">
        <f>Tabela2[[#This Row],[Weight]]</f>
        <v/>
      </c>
      <c r="T100">
        <f t="array" ref="T100">IFERROR(INDEX(Disch_Booking_Report!L:L, MATCH(TRUE, ISNUMBER(FIND(SUBSTITUTE(C100," ",""), Disch_Booking_Report!AC:AC)), 0)), "Not Found")</f>
        <v/>
      </c>
      <c r="U100">
        <f t="array" ref="U100">IFERROR(INDEX(Disch_Booking_Report!I:I, MATCH(TRUE, ISNUMBER(FIND(SUBSTITUTE(C100," ",""), Disch_Booking_Report!AC:AC)), 0)), "Not Found")</f>
        <v/>
      </c>
    </row>
    <row r="101">
      <c r="A101" t="n">
        <v>10</v>
      </c>
      <c r="B101" t="n">
        <v>100986</v>
      </c>
      <c r="C101" t="inlineStr">
        <is>
          <t xml:space="preserve">     ANON0000000</t>
        </is>
      </c>
      <c r="D101" t="n">
        <v>40</v>
      </c>
      <c r="E101" t="inlineStr">
        <is>
          <t>RULED</t>
        </is>
      </c>
      <c r="F101" t="inlineStr">
        <is>
          <t>USNYC</t>
        </is>
      </c>
      <c r="G101" t="n">
        <v>34050</v>
      </c>
      <c r="H101" t="inlineStr">
        <is>
          <t>ART</t>
        </is>
      </c>
      <c r="I101" t="inlineStr">
        <is>
          <t>45R1</t>
        </is>
      </c>
      <c r="K101" t="inlineStr">
        <is>
          <t>Dry reefer</t>
        </is>
      </c>
      <c r="L101" t="inlineStr">
        <is>
          <t>9'6</t>
        </is>
      </c>
      <c r="M101" t="inlineStr">
        <is>
          <t>Full</t>
        </is>
      </c>
      <c r="P101">
        <f t="array" ref="P101">IFERROR(INDEX(Disch_Booking_Report!B:B, MATCH(TRUE, ISNUMBER(FIND(SUBSTITUTE(C101," ",""), Disch_Booking_Report!AC:AC)), 0)), "Not Found")</f>
        <v/>
      </c>
      <c r="Q101">
        <f t="array" ref="Q101">IFERROR(INDEX(Disch_Booking_Report!C:C, MATCH(TRUE, ISNUMBER(FIND(SUBSTITUTE(C101," ",""), Disch_Booking_Report!AC:AC)), 0)), "Not Found")</f>
        <v/>
      </c>
      <c r="R101">
        <f t="array" ref="R101">IFERROR(INDEX(Disch_Booking_Report!AD:AD, MATCH(TRUE, ISNUMBER(FIND(SUBSTITUTE(C101," ",""), Disch_Booking_Report!AC:AC)), 0)), "Not Found")</f>
        <v/>
      </c>
      <c r="S101">
        <f>Tabela2[[#This Row],[Weight]]</f>
        <v/>
      </c>
      <c r="T101">
        <f t="array" ref="T101">IFERROR(INDEX(Disch_Booking_Report!L:L, MATCH(TRUE, ISNUMBER(FIND(SUBSTITUTE(C101," ",""), Disch_Booking_Report!AC:AC)), 0)), "Not Found")</f>
        <v/>
      </c>
      <c r="U101">
        <f t="array" ref="U101">IFERROR(INDEX(Disch_Booking_Report!I:I, MATCH(TRUE, ISNUMBER(FIND(SUBSTITUTE(C101," ",""), Disch_Booking_Report!AC:AC)), 0)), "Not Found")</f>
        <v/>
      </c>
    </row>
    <row r="102">
      <c r="A102" t="n">
        <v>10</v>
      </c>
      <c r="B102" t="n">
        <v>100586</v>
      </c>
      <c r="C102" t="inlineStr">
        <is>
          <t xml:space="preserve">     ANON0000000</t>
        </is>
      </c>
      <c r="D102" t="n">
        <v>40</v>
      </c>
      <c r="E102" t="inlineStr">
        <is>
          <t>RULED</t>
        </is>
      </c>
      <c r="F102" t="inlineStr">
        <is>
          <t>USNYC</t>
        </is>
      </c>
      <c r="G102" t="n">
        <v>32980</v>
      </c>
      <c r="H102" t="inlineStr">
        <is>
          <t>ART</t>
        </is>
      </c>
      <c r="I102" t="inlineStr">
        <is>
          <t>40R1</t>
        </is>
      </c>
      <c r="K102" t="inlineStr">
        <is>
          <t>Dry reefer</t>
        </is>
      </c>
      <c r="L102" t="inlineStr">
        <is>
          <t>8'</t>
        </is>
      </c>
      <c r="M102" t="inlineStr">
        <is>
          <t>Full</t>
        </is>
      </c>
      <c r="P102">
        <f t="array" ref="P102">IFERROR(INDEX(Disch_Booking_Report!B:B, MATCH(TRUE, ISNUMBER(FIND(SUBSTITUTE(C102," ",""), Disch_Booking_Report!AC:AC)), 0)), "Not Found")</f>
        <v/>
      </c>
      <c r="Q102">
        <f t="array" ref="Q102">IFERROR(INDEX(Disch_Booking_Report!C:C, MATCH(TRUE, ISNUMBER(FIND(SUBSTITUTE(C102," ",""), Disch_Booking_Report!AC:AC)), 0)), "Not Found")</f>
        <v/>
      </c>
      <c r="R102">
        <f t="array" ref="R102">IFERROR(INDEX(Disch_Booking_Report!AD:AD, MATCH(TRUE, ISNUMBER(FIND(SUBSTITUTE(C102," ",""), Disch_Booking_Report!AC:AC)), 0)), "Not Found")</f>
        <v/>
      </c>
      <c r="S102">
        <f>Tabela2[[#This Row],[Weight]]</f>
        <v/>
      </c>
      <c r="T102">
        <f t="array" ref="T102">IFERROR(INDEX(Disch_Booking_Report!L:L, MATCH(TRUE, ISNUMBER(FIND(SUBSTITUTE(C102," ",""), Disch_Booking_Report!AC:AC)), 0)), "Not Found")</f>
        <v/>
      </c>
      <c r="U102">
        <f t="array" ref="U102">IFERROR(INDEX(Disch_Booking_Report!I:I, MATCH(TRUE, ISNUMBER(FIND(SUBSTITUTE(C102," ",""), Disch_Booking_Report!AC:AC)), 0)), "Not Found")</f>
        <v/>
      </c>
    </row>
    <row r="103">
      <c r="A103" t="n">
        <v>10</v>
      </c>
      <c r="B103" t="n">
        <v>100682</v>
      </c>
      <c r="C103" t="inlineStr">
        <is>
          <t xml:space="preserve">     ANON0000000</t>
        </is>
      </c>
      <c r="D103" t="n">
        <v>40</v>
      </c>
      <c r="E103" t="inlineStr">
        <is>
          <t>RULED</t>
        </is>
      </c>
      <c r="F103" t="inlineStr">
        <is>
          <t>USNYC</t>
        </is>
      </c>
      <c r="G103" t="n">
        <v>33100</v>
      </c>
      <c r="H103" t="inlineStr">
        <is>
          <t>ART</t>
        </is>
      </c>
      <c r="I103" t="inlineStr">
        <is>
          <t>45R1</t>
        </is>
      </c>
      <c r="K103" t="inlineStr">
        <is>
          <t>Dry reefer</t>
        </is>
      </c>
      <c r="L103" t="inlineStr">
        <is>
          <t>9'6</t>
        </is>
      </c>
      <c r="M103" t="inlineStr">
        <is>
          <t>Full</t>
        </is>
      </c>
      <c r="P103">
        <f t="array" ref="P103">IFERROR(INDEX(Disch_Booking_Report!B:B, MATCH(TRUE, ISNUMBER(FIND(SUBSTITUTE(C103," ",""), Disch_Booking_Report!AC:AC)), 0)), "Not Found")</f>
        <v/>
      </c>
      <c r="Q103">
        <f t="array" ref="Q103">IFERROR(INDEX(Disch_Booking_Report!C:C, MATCH(TRUE, ISNUMBER(FIND(SUBSTITUTE(C103," ",""), Disch_Booking_Report!AC:AC)), 0)), "Not Found")</f>
        <v/>
      </c>
      <c r="R103">
        <f t="array" ref="R103">IFERROR(INDEX(Disch_Booking_Report!AD:AD, MATCH(TRUE, ISNUMBER(FIND(SUBSTITUTE(C103," ",""), Disch_Booking_Report!AC:AC)), 0)), "Not Found")</f>
        <v/>
      </c>
      <c r="S103">
        <f>Tabela2[[#This Row],[Weight]]</f>
        <v/>
      </c>
      <c r="T103">
        <f t="array" ref="T103">IFERROR(INDEX(Disch_Booking_Report!L:L, MATCH(TRUE, ISNUMBER(FIND(SUBSTITUTE(C103," ",""), Disch_Booking_Report!AC:AC)), 0)), "Not Found")</f>
        <v/>
      </c>
      <c r="U103">
        <f t="array" ref="U103">IFERROR(INDEX(Disch_Booking_Report!I:I, MATCH(TRUE, ISNUMBER(FIND(SUBSTITUTE(C103," ",""), Disch_Booking_Report!AC:AC)), 0)), "Not Found")</f>
        <v/>
      </c>
    </row>
    <row r="104">
      <c r="A104" t="n">
        <v>10</v>
      </c>
      <c r="B104" t="n">
        <v>100184</v>
      </c>
      <c r="C104" t="inlineStr">
        <is>
          <t xml:space="preserve">     ANON0000000</t>
        </is>
      </c>
      <c r="D104" t="n">
        <v>40</v>
      </c>
      <c r="E104" t="inlineStr">
        <is>
          <t>RULED</t>
        </is>
      </c>
      <c r="F104" t="inlineStr">
        <is>
          <t>USNYC</t>
        </is>
      </c>
      <c r="G104" t="n">
        <v>33540</v>
      </c>
      <c r="H104" t="inlineStr">
        <is>
          <t>ART</t>
        </is>
      </c>
      <c r="I104" t="inlineStr">
        <is>
          <t>45R1</t>
        </is>
      </c>
      <c r="K104" t="inlineStr">
        <is>
          <t>Dry reefer</t>
        </is>
      </c>
      <c r="L104" t="inlineStr">
        <is>
          <t>9'6</t>
        </is>
      </c>
      <c r="M104" t="inlineStr">
        <is>
          <t>Full</t>
        </is>
      </c>
      <c r="P104">
        <f t="array" ref="P104">IFERROR(INDEX(Disch_Booking_Report!B:B, MATCH(TRUE, ISNUMBER(FIND(SUBSTITUTE(C104," ",""), Disch_Booking_Report!AC:AC)), 0)), "Not Found")</f>
        <v/>
      </c>
      <c r="Q104">
        <f t="array" ref="Q104">IFERROR(INDEX(Disch_Booking_Report!C:C, MATCH(TRUE, ISNUMBER(FIND(SUBSTITUTE(C104," ",""), Disch_Booking_Report!AC:AC)), 0)), "Not Found")</f>
        <v/>
      </c>
      <c r="R104">
        <f t="array" ref="R104">IFERROR(INDEX(Disch_Booking_Report!AD:AD, MATCH(TRUE, ISNUMBER(FIND(SUBSTITUTE(C104," ",""), Disch_Booking_Report!AC:AC)), 0)), "Not Found")</f>
        <v/>
      </c>
      <c r="S104">
        <f>Tabela2[[#This Row],[Weight]]</f>
        <v/>
      </c>
      <c r="T104">
        <f t="array" ref="T104">IFERROR(INDEX(Disch_Booking_Report!L:L, MATCH(TRUE, ISNUMBER(FIND(SUBSTITUTE(C104," ",""), Disch_Booking_Report!AC:AC)), 0)), "Not Found")</f>
        <v/>
      </c>
      <c r="U104">
        <f t="array" ref="U104">IFERROR(INDEX(Disch_Booking_Report!I:I, MATCH(TRUE, ISNUMBER(FIND(SUBSTITUTE(C104," ",""), Disch_Booking_Report!AC:AC)), 0)), "Not Found")</f>
        <v/>
      </c>
    </row>
    <row r="105">
      <c r="A105" t="n">
        <v>10</v>
      </c>
      <c r="B105" t="n">
        <v>100182</v>
      </c>
      <c r="C105" t="inlineStr">
        <is>
          <t xml:space="preserve">     ANON0000000</t>
        </is>
      </c>
      <c r="D105" t="n">
        <v>40</v>
      </c>
      <c r="E105" t="inlineStr">
        <is>
          <t>RULED</t>
        </is>
      </c>
      <c r="F105" t="inlineStr">
        <is>
          <t>USNYC</t>
        </is>
      </c>
      <c r="G105" t="n">
        <v>33600</v>
      </c>
      <c r="H105" t="inlineStr">
        <is>
          <t>ART</t>
        </is>
      </c>
      <c r="I105" t="inlineStr">
        <is>
          <t>45R1</t>
        </is>
      </c>
      <c r="K105" t="inlineStr">
        <is>
          <t>Dry reefer</t>
        </is>
      </c>
      <c r="L105" t="inlineStr">
        <is>
          <t>9'6</t>
        </is>
      </c>
      <c r="M105" t="inlineStr">
        <is>
          <t>Full</t>
        </is>
      </c>
      <c r="P105">
        <f t="array" ref="P105">IFERROR(INDEX(Disch_Booking_Report!B:B, MATCH(TRUE, ISNUMBER(FIND(SUBSTITUTE(C105," ",""), Disch_Booking_Report!AC:AC)), 0)), "Not Found")</f>
        <v/>
      </c>
      <c r="Q105">
        <f t="array" ref="Q105">IFERROR(INDEX(Disch_Booking_Report!C:C, MATCH(TRUE, ISNUMBER(FIND(SUBSTITUTE(C105," ",""), Disch_Booking_Report!AC:AC)), 0)), "Not Found")</f>
        <v/>
      </c>
      <c r="R105">
        <f t="array" ref="R105">IFERROR(INDEX(Disch_Booking_Report!AD:AD, MATCH(TRUE, ISNUMBER(FIND(SUBSTITUTE(C105," ",""), Disch_Booking_Report!AC:AC)), 0)), "Not Found")</f>
        <v/>
      </c>
      <c r="S105">
        <f>Tabela2[[#This Row],[Weight]]</f>
        <v/>
      </c>
      <c r="T105">
        <f t="array" ref="T105">IFERROR(INDEX(Disch_Booking_Report!L:L, MATCH(TRUE, ISNUMBER(FIND(SUBSTITUTE(C105," ",""), Disch_Booking_Report!AC:AC)), 0)), "Not Found")</f>
        <v/>
      </c>
      <c r="U105">
        <f t="array" ref="U105">IFERROR(INDEX(Disch_Booking_Report!I:I, MATCH(TRUE, ISNUMBER(FIND(SUBSTITUTE(C105," ",""), Disch_Booking_Report!AC:AC)), 0)), "Not Found")</f>
        <v/>
      </c>
    </row>
    <row r="106">
      <c r="A106" t="n">
        <v>10</v>
      </c>
      <c r="B106" t="n">
        <v>100684</v>
      </c>
      <c r="C106" t="inlineStr">
        <is>
          <t xml:space="preserve">     ANON0000000</t>
        </is>
      </c>
      <c r="D106" t="n">
        <v>40</v>
      </c>
      <c r="E106" t="inlineStr">
        <is>
          <t>RULED</t>
        </is>
      </c>
      <c r="F106" t="inlineStr">
        <is>
          <t>USNYC</t>
        </is>
      </c>
      <c r="G106" t="n">
        <v>33940</v>
      </c>
      <c r="H106" t="inlineStr">
        <is>
          <t>ART</t>
        </is>
      </c>
      <c r="I106" t="inlineStr">
        <is>
          <t>45R1</t>
        </is>
      </c>
      <c r="K106" t="inlineStr">
        <is>
          <t>Dry reefer</t>
        </is>
      </c>
      <c r="L106" t="inlineStr">
        <is>
          <t>9'6</t>
        </is>
      </c>
      <c r="M106" t="inlineStr">
        <is>
          <t>Full</t>
        </is>
      </c>
      <c r="P106">
        <f t="array" ref="P106">IFERROR(INDEX(Disch_Booking_Report!B:B, MATCH(TRUE, ISNUMBER(FIND(SUBSTITUTE(C106," ",""), Disch_Booking_Report!AC:AC)), 0)), "Not Found")</f>
        <v/>
      </c>
      <c r="Q106">
        <f t="array" ref="Q106">IFERROR(INDEX(Disch_Booking_Report!C:C, MATCH(TRUE, ISNUMBER(FIND(SUBSTITUTE(C106," ",""), Disch_Booking_Report!AC:AC)), 0)), "Not Found")</f>
        <v/>
      </c>
      <c r="R106">
        <f t="array" ref="R106">IFERROR(INDEX(Disch_Booking_Report!AD:AD, MATCH(TRUE, ISNUMBER(FIND(SUBSTITUTE(C106," ",""), Disch_Booking_Report!AC:AC)), 0)), "Not Found")</f>
        <v/>
      </c>
      <c r="S106">
        <f>Tabela2[[#This Row],[Weight]]</f>
        <v/>
      </c>
      <c r="T106">
        <f t="array" ref="T106">IFERROR(INDEX(Disch_Booking_Report!L:L, MATCH(TRUE, ISNUMBER(FIND(SUBSTITUTE(C106," ",""), Disch_Booking_Report!AC:AC)), 0)), "Not Found")</f>
        <v/>
      </c>
      <c r="U106">
        <f t="array" ref="U106">IFERROR(INDEX(Disch_Booking_Report!I:I, MATCH(TRUE, ISNUMBER(FIND(SUBSTITUTE(C106," ",""), Disch_Booking_Report!AC:AC)), 0)), "Not Found")</f>
        <v/>
      </c>
    </row>
    <row r="107">
      <c r="A107" t="n">
        <v>10</v>
      </c>
      <c r="B107" t="n">
        <v>100482</v>
      </c>
      <c r="C107" t="inlineStr">
        <is>
          <t xml:space="preserve">     ANON0000000</t>
        </is>
      </c>
      <c r="D107" t="n">
        <v>40</v>
      </c>
      <c r="E107" t="inlineStr">
        <is>
          <t>RULED</t>
        </is>
      </c>
      <c r="F107" t="inlineStr">
        <is>
          <t>USNYC</t>
        </is>
      </c>
      <c r="G107" t="n">
        <v>31110</v>
      </c>
      <c r="H107" t="inlineStr">
        <is>
          <t>ART</t>
        </is>
      </c>
      <c r="I107" t="inlineStr">
        <is>
          <t>45R1</t>
        </is>
      </c>
      <c r="K107" t="inlineStr">
        <is>
          <t>Dry reefer</t>
        </is>
      </c>
      <c r="L107" t="inlineStr">
        <is>
          <t>9'6</t>
        </is>
      </c>
      <c r="M107" t="inlineStr">
        <is>
          <t>Full</t>
        </is>
      </c>
      <c r="P107">
        <f t="array" ref="P107">IFERROR(INDEX(Disch_Booking_Report!B:B, MATCH(TRUE, ISNUMBER(FIND(SUBSTITUTE(C107," ",""), Disch_Booking_Report!AC:AC)), 0)), "Not Found")</f>
        <v/>
      </c>
      <c r="Q107">
        <f t="array" ref="Q107">IFERROR(INDEX(Disch_Booking_Report!C:C, MATCH(TRUE, ISNUMBER(FIND(SUBSTITUTE(C107," ",""), Disch_Booking_Report!AC:AC)), 0)), "Not Found")</f>
        <v/>
      </c>
      <c r="R107">
        <f t="array" ref="R107">IFERROR(INDEX(Disch_Booking_Report!AD:AD, MATCH(TRUE, ISNUMBER(FIND(SUBSTITUTE(C107," ",""), Disch_Booking_Report!AC:AC)), 0)), "Not Found")</f>
        <v/>
      </c>
      <c r="S107">
        <f>Tabela2[[#This Row],[Weight]]</f>
        <v/>
      </c>
      <c r="T107">
        <f t="array" ref="T107">IFERROR(INDEX(Disch_Booking_Report!L:L, MATCH(TRUE, ISNUMBER(FIND(SUBSTITUTE(C107," ",""), Disch_Booking_Report!AC:AC)), 0)), "Not Found")</f>
        <v/>
      </c>
      <c r="U107">
        <f t="array" ref="U107">IFERROR(INDEX(Disch_Booking_Report!I:I, MATCH(TRUE, ISNUMBER(FIND(SUBSTITUTE(C107," ",""), Disch_Booking_Report!AC:AC)), 0)), "Not Found")</f>
        <v/>
      </c>
    </row>
    <row r="108">
      <c r="A108" t="n">
        <v>10</v>
      </c>
      <c r="B108" t="n">
        <v>100382</v>
      </c>
      <c r="C108" t="inlineStr">
        <is>
          <t xml:space="preserve">     ANON0000000</t>
        </is>
      </c>
      <c r="D108" t="n">
        <v>40</v>
      </c>
      <c r="E108" t="inlineStr">
        <is>
          <t>RULED</t>
        </is>
      </c>
      <c r="F108" t="inlineStr">
        <is>
          <t>USNYC</t>
        </is>
      </c>
      <c r="G108" t="n">
        <v>33600</v>
      </c>
      <c r="H108" t="inlineStr">
        <is>
          <t>ART</t>
        </is>
      </c>
      <c r="I108" t="inlineStr">
        <is>
          <t>45R1</t>
        </is>
      </c>
      <c r="K108" t="inlineStr">
        <is>
          <t>Dry reefer</t>
        </is>
      </c>
      <c r="L108" t="inlineStr">
        <is>
          <t>9'6</t>
        </is>
      </c>
      <c r="M108" t="inlineStr">
        <is>
          <t>Full</t>
        </is>
      </c>
      <c r="P108">
        <f t="array" ref="P108">IFERROR(INDEX(Disch_Booking_Report!B:B, MATCH(TRUE, ISNUMBER(FIND(SUBSTITUTE(C108," ",""), Disch_Booking_Report!AC:AC)), 0)), "Not Found")</f>
        <v/>
      </c>
      <c r="Q108">
        <f t="array" ref="Q108">IFERROR(INDEX(Disch_Booking_Report!C:C, MATCH(TRUE, ISNUMBER(FIND(SUBSTITUTE(C108," ",""), Disch_Booking_Report!AC:AC)), 0)), "Not Found")</f>
        <v/>
      </c>
      <c r="R108">
        <f t="array" ref="R108">IFERROR(INDEX(Disch_Booking_Report!AD:AD, MATCH(TRUE, ISNUMBER(FIND(SUBSTITUTE(C108," ",""), Disch_Booking_Report!AC:AC)), 0)), "Not Found")</f>
        <v/>
      </c>
      <c r="S108">
        <f>Tabela2[[#This Row],[Weight]]</f>
        <v/>
      </c>
      <c r="T108">
        <f t="array" ref="T108">IFERROR(INDEX(Disch_Booking_Report!L:L, MATCH(TRUE, ISNUMBER(FIND(SUBSTITUTE(C108," ",""), Disch_Booking_Report!AC:AC)), 0)), "Not Found")</f>
        <v/>
      </c>
      <c r="U108">
        <f t="array" ref="U108">IFERROR(INDEX(Disch_Booking_Report!I:I, MATCH(TRUE, ISNUMBER(FIND(SUBSTITUTE(C108," ",""), Disch_Booking_Report!AC:AC)), 0)), "Not Found")</f>
        <v/>
      </c>
    </row>
    <row r="109">
      <c r="A109" t="n">
        <v>10</v>
      </c>
      <c r="B109" t="n">
        <v>100486</v>
      </c>
      <c r="C109" t="inlineStr">
        <is>
          <t xml:space="preserve">     ANON0000000</t>
        </is>
      </c>
      <c r="D109" t="n">
        <v>40</v>
      </c>
      <c r="E109" t="inlineStr">
        <is>
          <t>RULED</t>
        </is>
      </c>
      <c r="F109" t="inlineStr">
        <is>
          <t>USNYC</t>
        </is>
      </c>
      <c r="G109" t="n">
        <v>32980</v>
      </c>
      <c r="H109" t="inlineStr">
        <is>
          <t>ART</t>
        </is>
      </c>
      <c r="I109" t="inlineStr">
        <is>
          <t>45R1</t>
        </is>
      </c>
      <c r="K109" t="inlineStr">
        <is>
          <t>Dry reefer</t>
        </is>
      </c>
      <c r="L109" t="inlineStr">
        <is>
          <t>9'6</t>
        </is>
      </c>
      <c r="M109" t="inlineStr">
        <is>
          <t>Full</t>
        </is>
      </c>
      <c r="P109">
        <f t="array" ref="P109">IFERROR(INDEX(Disch_Booking_Report!B:B, MATCH(TRUE, ISNUMBER(FIND(SUBSTITUTE(C109," ",""), Disch_Booking_Report!AC:AC)), 0)), "Not Found")</f>
        <v/>
      </c>
      <c r="Q109">
        <f t="array" ref="Q109">IFERROR(INDEX(Disch_Booking_Report!C:C, MATCH(TRUE, ISNUMBER(FIND(SUBSTITUTE(C109," ",""), Disch_Booking_Report!AC:AC)), 0)), "Not Found")</f>
        <v/>
      </c>
      <c r="R109">
        <f t="array" ref="R109">IFERROR(INDEX(Disch_Booking_Report!AD:AD, MATCH(TRUE, ISNUMBER(FIND(SUBSTITUTE(C109," ",""), Disch_Booking_Report!AC:AC)), 0)), "Not Found")</f>
        <v/>
      </c>
      <c r="S109">
        <f>Tabela2[[#This Row],[Weight]]</f>
        <v/>
      </c>
      <c r="T109">
        <f t="array" ref="T109">IFERROR(INDEX(Disch_Booking_Report!L:L, MATCH(TRUE, ISNUMBER(FIND(SUBSTITUTE(C109," ",""), Disch_Booking_Report!AC:AC)), 0)), "Not Found")</f>
        <v/>
      </c>
      <c r="U109">
        <f t="array" ref="U109">IFERROR(INDEX(Disch_Booking_Report!I:I, MATCH(TRUE, ISNUMBER(FIND(SUBSTITUTE(C109," ",""), Disch_Booking_Report!AC:AC)), 0)), "Not Found")</f>
        <v/>
      </c>
    </row>
    <row r="110">
      <c r="A110" t="n">
        <v>10</v>
      </c>
      <c r="B110" t="n">
        <v>100786</v>
      </c>
      <c r="C110" t="inlineStr">
        <is>
          <t xml:space="preserve">     ANON0000000</t>
        </is>
      </c>
      <c r="D110" t="n">
        <v>40</v>
      </c>
      <c r="E110" t="inlineStr">
        <is>
          <t>RULED</t>
        </is>
      </c>
      <c r="F110" t="inlineStr">
        <is>
          <t>USNYC</t>
        </is>
      </c>
      <c r="G110" t="n">
        <v>33070</v>
      </c>
      <c r="H110" t="inlineStr">
        <is>
          <t>ART</t>
        </is>
      </c>
      <c r="I110" t="inlineStr">
        <is>
          <t>45R1</t>
        </is>
      </c>
      <c r="K110" t="inlineStr">
        <is>
          <t>Dry reefer</t>
        </is>
      </c>
      <c r="L110" t="inlineStr">
        <is>
          <t>9'6</t>
        </is>
      </c>
      <c r="M110" t="inlineStr">
        <is>
          <t>Full</t>
        </is>
      </c>
      <c r="P110">
        <f t="array" ref="P110">IFERROR(INDEX(Disch_Booking_Report!B:B, MATCH(TRUE, ISNUMBER(FIND(SUBSTITUTE(C110," ",""), Disch_Booking_Report!AC:AC)), 0)), "Not Found")</f>
        <v/>
      </c>
      <c r="Q110">
        <f t="array" ref="Q110">IFERROR(INDEX(Disch_Booking_Report!C:C, MATCH(TRUE, ISNUMBER(FIND(SUBSTITUTE(C110," ",""), Disch_Booking_Report!AC:AC)), 0)), "Not Found")</f>
        <v/>
      </c>
      <c r="R110">
        <f t="array" ref="R110">IFERROR(INDEX(Disch_Booking_Report!AD:AD, MATCH(TRUE, ISNUMBER(FIND(SUBSTITUTE(C110," ",""), Disch_Booking_Report!AC:AC)), 0)), "Not Found")</f>
        <v/>
      </c>
      <c r="S110">
        <f>Tabela2[[#This Row],[Weight]]</f>
        <v/>
      </c>
      <c r="T110">
        <f t="array" ref="T110">IFERROR(INDEX(Disch_Booking_Report!L:L, MATCH(TRUE, ISNUMBER(FIND(SUBSTITUTE(C110," ",""), Disch_Booking_Report!AC:AC)), 0)), "Not Found")</f>
        <v/>
      </c>
      <c r="U110">
        <f t="array" ref="U110">IFERROR(INDEX(Disch_Booking_Report!I:I, MATCH(TRUE, ISNUMBER(FIND(SUBSTITUTE(C110," ",""), Disch_Booking_Report!AC:AC)), 0)), "Not Found")</f>
        <v/>
      </c>
    </row>
    <row r="111">
      <c r="A111" t="n">
        <v>10</v>
      </c>
      <c r="B111" t="n">
        <v>100782</v>
      </c>
      <c r="C111" t="inlineStr">
        <is>
          <t xml:space="preserve">     ANON0000000</t>
        </is>
      </c>
      <c r="D111" t="n">
        <v>40</v>
      </c>
      <c r="E111" t="inlineStr">
        <is>
          <t>RULED</t>
        </is>
      </c>
      <c r="F111" t="inlineStr">
        <is>
          <t>USNYC</t>
        </is>
      </c>
      <c r="G111" t="n">
        <v>33000</v>
      </c>
      <c r="H111" t="inlineStr">
        <is>
          <t>ART</t>
        </is>
      </c>
      <c r="I111" t="inlineStr">
        <is>
          <t>45R1</t>
        </is>
      </c>
      <c r="K111" t="inlineStr">
        <is>
          <t>Dry reefer</t>
        </is>
      </c>
      <c r="L111" t="inlineStr">
        <is>
          <t>9'6</t>
        </is>
      </c>
      <c r="M111" t="inlineStr">
        <is>
          <t>Full</t>
        </is>
      </c>
      <c r="P111">
        <f t="array" ref="P111">IFERROR(INDEX(Disch_Booking_Report!B:B, MATCH(TRUE, ISNUMBER(FIND(SUBSTITUTE(C111," ",""), Disch_Booking_Report!AC:AC)), 0)), "Not Found")</f>
        <v/>
      </c>
      <c r="Q111">
        <f t="array" ref="Q111">IFERROR(INDEX(Disch_Booking_Report!C:C, MATCH(TRUE, ISNUMBER(FIND(SUBSTITUTE(C111," ",""), Disch_Booking_Report!AC:AC)), 0)), "Not Found")</f>
        <v/>
      </c>
      <c r="R111">
        <f t="array" ref="R111">IFERROR(INDEX(Disch_Booking_Report!AD:AD, MATCH(TRUE, ISNUMBER(FIND(SUBSTITUTE(C111," ",""), Disch_Booking_Report!AC:AC)), 0)), "Not Found")</f>
        <v/>
      </c>
      <c r="S111">
        <f>Tabela2[[#This Row],[Weight]]</f>
        <v/>
      </c>
      <c r="T111">
        <f t="array" ref="T111">IFERROR(INDEX(Disch_Booking_Report!L:L, MATCH(TRUE, ISNUMBER(FIND(SUBSTITUTE(C111," ",""), Disch_Booking_Report!AC:AC)), 0)), "Not Found")</f>
        <v/>
      </c>
      <c r="U111">
        <f t="array" ref="U111">IFERROR(INDEX(Disch_Booking_Report!I:I, MATCH(TRUE, ISNUMBER(FIND(SUBSTITUTE(C111," ",""), Disch_Booking_Report!AC:AC)), 0)), "Not Found")</f>
        <v/>
      </c>
    </row>
    <row r="112">
      <c r="A112" t="n">
        <v>10</v>
      </c>
      <c r="B112" t="n">
        <v>100306</v>
      </c>
      <c r="C112" t="inlineStr">
        <is>
          <t xml:space="preserve">     ANON0000000</t>
        </is>
      </c>
      <c r="D112" t="n">
        <v>40</v>
      </c>
      <c r="E112" t="inlineStr">
        <is>
          <t>RULED</t>
        </is>
      </c>
      <c r="F112" t="inlineStr">
        <is>
          <t>USNYC</t>
        </is>
      </c>
      <c r="G112" t="n">
        <v>32320</v>
      </c>
      <c r="H112" t="inlineStr">
        <is>
          <t>ART</t>
        </is>
      </c>
      <c r="I112" t="inlineStr">
        <is>
          <t>45G1</t>
        </is>
      </c>
      <c r="L112" t="inlineStr">
        <is>
          <t>9'6</t>
        </is>
      </c>
      <c r="M112" t="inlineStr">
        <is>
          <t>Full</t>
        </is>
      </c>
      <c r="P112">
        <f t="array" ref="P112">IFERROR(INDEX(Disch_Booking_Report!B:B, MATCH(TRUE, ISNUMBER(FIND(SUBSTITUTE(C112," ",""), Disch_Booking_Report!AC:AC)), 0)), "Not Found")</f>
        <v/>
      </c>
      <c r="Q112">
        <f t="array" ref="Q112">IFERROR(INDEX(Disch_Booking_Report!C:C, MATCH(TRUE, ISNUMBER(FIND(SUBSTITUTE(C112," ",""), Disch_Booking_Report!AC:AC)), 0)), "Not Found")</f>
        <v/>
      </c>
      <c r="R112">
        <f t="array" ref="R112">IFERROR(INDEX(Disch_Booking_Report!AD:AD, MATCH(TRUE, ISNUMBER(FIND(SUBSTITUTE(C112," ",""), Disch_Booking_Report!AC:AC)), 0)), "Not Found")</f>
        <v/>
      </c>
      <c r="S112">
        <f>Tabela2[[#This Row],[Weight]]</f>
        <v/>
      </c>
      <c r="T112">
        <f t="array" ref="T112">IFERROR(INDEX(Disch_Booking_Report!L:L, MATCH(TRUE, ISNUMBER(FIND(SUBSTITUTE(C112," ",""), Disch_Booking_Report!AC:AC)), 0)), "Not Found")</f>
        <v/>
      </c>
      <c r="U112">
        <f t="array" ref="U112">IFERROR(INDEX(Disch_Booking_Report!I:I, MATCH(TRUE, ISNUMBER(FIND(SUBSTITUTE(C112," ",""), Disch_Booking_Report!AC:AC)), 0)), "Not Found")</f>
        <v/>
      </c>
    </row>
    <row r="113">
      <c r="A113" t="n">
        <v>10</v>
      </c>
      <c r="B113" t="n">
        <v>100982</v>
      </c>
      <c r="C113" t="inlineStr">
        <is>
          <t xml:space="preserve">     ANON0000000</t>
        </is>
      </c>
      <c r="D113" t="n">
        <v>40</v>
      </c>
      <c r="E113" t="inlineStr">
        <is>
          <t>RULED</t>
        </is>
      </c>
      <c r="F113" t="inlineStr">
        <is>
          <t>USNYC</t>
        </is>
      </c>
      <c r="G113" t="n">
        <v>33940</v>
      </c>
      <c r="H113" t="inlineStr">
        <is>
          <t>ART</t>
        </is>
      </c>
      <c r="I113" t="inlineStr">
        <is>
          <t>45R1</t>
        </is>
      </c>
      <c r="K113" t="inlineStr">
        <is>
          <t>Dry reefer</t>
        </is>
      </c>
      <c r="L113" t="inlineStr">
        <is>
          <t>9'6</t>
        </is>
      </c>
      <c r="M113" t="inlineStr">
        <is>
          <t>Full</t>
        </is>
      </c>
      <c r="P113">
        <f t="array" ref="P113">IFERROR(INDEX(Disch_Booking_Report!B:B, MATCH(TRUE, ISNUMBER(FIND(SUBSTITUTE(C113," ",""), Disch_Booking_Report!AC:AC)), 0)), "Not Found")</f>
        <v/>
      </c>
      <c r="Q113">
        <f t="array" ref="Q113">IFERROR(INDEX(Disch_Booking_Report!C:C, MATCH(TRUE, ISNUMBER(FIND(SUBSTITUTE(C113," ",""), Disch_Booking_Report!AC:AC)), 0)), "Not Found")</f>
        <v/>
      </c>
      <c r="R113">
        <f t="array" ref="R113">IFERROR(INDEX(Disch_Booking_Report!AD:AD, MATCH(TRUE, ISNUMBER(FIND(SUBSTITUTE(C113," ",""), Disch_Booking_Report!AC:AC)), 0)), "Not Found")</f>
        <v/>
      </c>
      <c r="S113">
        <f>Tabela2[[#This Row],[Weight]]</f>
        <v/>
      </c>
      <c r="T113">
        <f t="array" ref="T113">IFERROR(INDEX(Disch_Booking_Report!L:L, MATCH(TRUE, ISNUMBER(FIND(SUBSTITUTE(C113," ",""), Disch_Booking_Report!AC:AC)), 0)), "Not Found")</f>
        <v/>
      </c>
      <c r="U113">
        <f t="array" ref="U113">IFERROR(INDEX(Disch_Booking_Report!I:I, MATCH(TRUE, ISNUMBER(FIND(SUBSTITUTE(C113," ",""), Disch_Booking_Report!AC:AC)), 0)), "Not Found")</f>
        <v/>
      </c>
    </row>
    <row r="114">
      <c r="A114" t="n">
        <v>10</v>
      </c>
      <c r="B114" t="n">
        <v>100686</v>
      </c>
      <c r="C114" t="inlineStr">
        <is>
          <t xml:space="preserve">     ANON0000000</t>
        </is>
      </c>
      <c r="D114" t="n">
        <v>40</v>
      </c>
      <c r="E114" t="inlineStr">
        <is>
          <t>RULED</t>
        </is>
      </c>
      <c r="F114" t="inlineStr">
        <is>
          <t>USNYC</t>
        </is>
      </c>
      <c r="G114" t="n">
        <v>32980</v>
      </c>
      <c r="H114" t="inlineStr">
        <is>
          <t>ART</t>
        </is>
      </c>
      <c r="I114" t="inlineStr">
        <is>
          <t>40R1</t>
        </is>
      </c>
      <c r="K114" t="inlineStr">
        <is>
          <t>Dry reefer</t>
        </is>
      </c>
      <c r="L114" t="inlineStr">
        <is>
          <t>8'</t>
        </is>
      </c>
      <c r="M114" t="inlineStr">
        <is>
          <t>Full</t>
        </is>
      </c>
      <c r="P114">
        <f t="array" ref="P114">IFERROR(INDEX(Disch_Booking_Report!B:B, MATCH(TRUE, ISNUMBER(FIND(SUBSTITUTE(C114," ",""), Disch_Booking_Report!AC:AC)), 0)), "Not Found")</f>
        <v/>
      </c>
      <c r="Q114">
        <f t="array" ref="Q114">IFERROR(INDEX(Disch_Booking_Report!C:C, MATCH(TRUE, ISNUMBER(FIND(SUBSTITUTE(C114," ",""), Disch_Booking_Report!AC:AC)), 0)), "Not Found")</f>
        <v/>
      </c>
      <c r="R114">
        <f t="array" ref="R114">IFERROR(INDEX(Disch_Booking_Report!AD:AD, MATCH(TRUE, ISNUMBER(FIND(SUBSTITUTE(C114," ",""), Disch_Booking_Report!AC:AC)), 0)), "Not Found")</f>
        <v/>
      </c>
      <c r="S114">
        <f>Tabela2[[#This Row],[Weight]]</f>
        <v/>
      </c>
      <c r="T114">
        <f t="array" ref="T114">IFERROR(INDEX(Disch_Booking_Report!L:L, MATCH(TRUE, ISNUMBER(FIND(SUBSTITUTE(C114," ",""), Disch_Booking_Report!AC:AC)), 0)), "Not Found")</f>
        <v/>
      </c>
      <c r="U114">
        <f t="array" ref="U114">IFERROR(INDEX(Disch_Booking_Report!I:I, MATCH(TRUE, ISNUMBER(FIND(SUBSTITUTE(C114," ",""), Disch_Booking_Report!AC:AC)), 0)), "Not Found")</f>
        <v/>
      </c>
    </row>
    <row r="115">
      <c r="A115" t="n">
        <v>10</v>
      </c>
      <c r="B115" t="n">
        <v>100284</v>
      </c>
      <c r="C115" t="inlineStr">
        <is>
          <t xml:space="preserve">     ANON0000000</t>
        </is>
      </c>
      <c r="D115" t="n">
        <v>40</v>
      </c>
      <c r="E115" t="inlineStr">
        <is>
          <t>RULED</t>
        </is>
      </c>
      <c r="F115" t="inlineStr">
        <is>
          <t>USNYC</t>
        </is>
      </c>
      <c r="G115" t="n">
        <v>33980</v>
      </c>
      <c r="H115" t="inlineStr">
        <is>
          <t>ART</t>
        </is>
      </c>
      <c r="I115" t="inlineStr">
        <is>
          <t>45R1</t>
        </is>
      </c>
      <c r="K115" t="inlineStr">
        <is>
          <t>Dry reefer</t>
        </is>
      </c>
      <c r="L115" t="inlineStr">
        <is>
          <t>9'6</t>
        </is>
      </c>
      <c r="M115" t="inlineStr">
        <is>
          <t>Full</t>
        </is>
      </c>
      <c r="P115">
        <f t="array" ref="P115">IFERROR(INDEX(Disch_Booking_Report!B:B, MATCH(TRUE, ISNUMBER(FIND(SUBSTITUTE(C115," ",""), Disch_Booking_Report!AC:AC)), 0)), "Not Found")</f>
        <v/>
      </c>
      <c r="Q115">
        <f t="array" ref="Q115">IFERROR(INDEX(Disch_Booking_Report!C:C, MATCH(TRUE, ISNUMBER(FIND(SUBSTITUTE(C115," ",""), Disch_Booking_Report!AC:AC)), 0)), "Not Found")</f>
        <v/>
      </c>
      <c r="R115">
        <f t="array" ref="R115">IFERROR(INDEX(Disch_Booking_Report!AD:AD, MATCH(TRUE, ISNUMBER(FIND(SUBSTITUTE(C115," ",""), Disch_Booking_Report!AC:AC)), 0)), "Not Found")</f>
        <v/>
      </c>
      <c r="S115">
        <f>Tabela2[[#This Row],[Weight]]</f>
        <v/>
      </c>
      <c r="T115">
        <f t="array" ref="T115">IFERROR(INDEX(Disch_Booking_Report!L:L, MATCH(TRUE, ISNUMBER(FIND(SUBSTITUTE(C115," ",""), Disch_Booking_Report!AC:AC)), 0)), "Not Found")</f>
        <v/>
      </c>
      <c r="U115">
        <f t="array" ref="U115">IFERROR(INDEX(Disch_Booking_Report!I:I, MATCH(TRUE, ISNUMBER(FIND(SUBSTITUTE(C115," ",""), Disch_Booking_Report!AC:AC)), 0)), "Not Found")</f>
        <v/>
      </c>
    </row>
    <row r="116">
      <c r="A116" t="n">
        <v>10</v>
      </c>
      <c r="B116" t="n">
        <v>100884</v>
      </c>
      <c r="C116" t="inlineStr">
        <is>
          <t xml:space="preserve">     ANON0000000</t>
        </is>
      </c>
      <c r="D116" t="n">
        <v>40</v>
      </c>
      <c r="E116" t="inlineStr">
        <is>
          <t>RULED</t>
        </is>
      </c>
      <c r="F116" t="inlineStr">
        <is>
          <t>USNYC</t>
        </is>
      </c>
      <c r="G116" t="n">
        <v>33940</v>
      </c>
      <c r="H116" t="inlineStr">
        <is>
          <t>ART</t>
        </is>
      </c>
      <c r="I116" t="inlineStr">
        <is>
          <t>45R1</t>
        </is>
      </c>
      <c r="K116" t="inlineStr">
        <is>
          <t>Dry reefer</t>
        </is>
      </c>
      <c r="L116" t="inlineStr">
        <is>
          <t>9'6</t>
        </is>
      </c>
      <c r="M116" t="inlineStr">
        <is>
          <t>Full</t>
        </is>
      </c>
      <c r="P116">
        <f t="array" ref="P116">IFERROR(INDEX(Disch_Booking_Report!B:B, MATCH(TRUE, ISNUMBER(FIND(SUBSTITUTE(C116," ",""), Disch_Booking_Report!AC:AC)), 0)), "Not Found")</f>
        <v/>
      </c>
      <c r="Q116">
        <f t="array" ref="Q116">IFERROR(INDEX(Disch_Booking_Report!C:C, MATCH(TRUE, ISNUMBER(FIND(SUBSTITUTE(C116," ",""), Disch_Booking_Report!AC:AC)), 0)), "Not Found")</f>
        <v/>
      </c>
      <c r="R116">
        <f t="array" ref="R116">IFERROR(INDEX(Disch_Booking_Report!AD:AD, MATCH(TRUE, ISNUMBER(FIND(SUBSTITUTE(C116," ",""), Disch_Booking_Report!AC:AC)), 0)), "Not Found")</f>
        <v/>
      </c>
      <c r="S116">
        <f>Tabela2[[#This Row],[Weight]]</f>
        <v/>
      </c>
      <c r="T116">
        <f t="array" ref="T116">IFERROR(INDEX(Disch_Booking_Report!L:L, MATCH(TRUE, ISNUMBER(FIND(SUBSTITUTE(C116," ",""), Disch_Booking_Report!AC:AC)), 0)), "Not Found")</f>
        <v/>
      </c>
      <c r="U116">
        <f t="array" ref="U116">IFERROR(INDEX(Disch_Booking_Report!I:I, MATCH(TRUE, ISNUMBER(FIND(SUBSTITUTE(C116," ",""), Disch_Booking_Report!AC:AC)), 0)), "Not Found")</f>
        <v/>
      </c>
    </row>
    <row r="117">
      <c r="A117" t="n">
        <v>10</v>
      </c>
      <c r="B117" t="n">
        <v>100508</v>
      </c>
      <c r="C117" t="inlineStr">
        <is>
          <t xml:space="preserve">     ANON0000000</t>
        </is>
      </c>
      <c r="D117" t="n">
        <v>40</v>
      </c>
      <c r="E117" t="inlineStr">
        <is>
          <t>RULED</t>
        </is>
      </c>
      <c r="F117" t="inlineStr">
        <is>
          <t>USNYC</t>
        </is>
      </c>
      <c r="G117" t="n">
        <v>32320</v>
      </c>
      <c r="H117" t="inlineStr">
        <is>
          <t>ART</t>
        </is>
      </c>
      <c r="I117" t="inlineStr">
        <is>
          <t>45G1</t>
        </is>
      </c>
      <c r="L117" t="inlineStr">
        <is>
          <t>9'6</t>
        </is>
      </c>
      <c r="M117" t="inlineStr">
        <is>
          <t>Full</t>
        </is>
      </c>
      <c r="P117">
        <f t="array" ref="P117">IFERROR(INDEX(Disch_Booking_Report!B:B, MATCH(TRUE, ISNUMBER(FIND(SUBSTITUTE(C117," ",""), Disch_Booking_Report!AC:AC)), 0)), "Not Found")</f>
        <v/>
      </c>
      <c r="Q117">
        <f t="array" ref="Q117">IFERROR(INDEX(Disch_Booking_Report!C:C, MATCH(TRUE, ISNUMBER(FIND(SUBSTITUTE(C117," ",""), Disch_Booking_Report!AC:AC)), 0)), "Not Found")</f>
        <v/>
      </c>
      <c r="R117">
        <f t="array" ref="R117">IFERROR(INDEX(Disch_Booking_Report!AD:AD, MATCH(TRUE, ISNUMBER(FIND(SUBSTITUTE(C117," ",""), Disch_Booking_Report!AC:AC)), 0)), "Not Found")</f>
        <v/>
      </c>
      <c r="S117">
        <f>Tabela2[[#This Row],[Weight]]</f>
        <v/>
      </c>
      <c r="T117">
        <f t="array" ref="T117">IFERROR(INDEX(Disch_Booking_Report!L:L, MATCH(TRUE, ISNUMBER(FIND(SUBSTITUTE(C117," ",""), Disch_Booking_Report!AC:AC)), 0)), "Not Found")</f>
        <v/>
      </c>
      <c r="U117">
        <f t="array" ref="U117">IFERROR(INDEX(Disch_Booking_Report!I:I, MATCH(TRUE, ISNUMBER(FIND(SUBSTITUTE(C117," ",""), Disch_Booking_Report!AC:AC)), 0)), "Not Found")</f>
        <v/>
      </c>
    </row>
    <row r="118">
      <c r="A118" t="n">
        <v>10</v>
      </c>
      <c r="B118" t="n">
        <v>101082</v>
      </c>
      <c r="C118" t="inlineStr">
        <is>
          <t xml:space="preserve">     ANON0000000</t>
        </is>
      </c>
      <c r="D118" t="n">
        <v>40</v>
      </c>
      <c r="E118" t="inlineStr">
        <is>
          <t>RULED</t>
        </is>
      </c>
      <c r="F118" t="inlineStr">
        <is>
          <t>USNYC</t>
        </is>
      </c>
      <c r="G118" t="n">
        <v>34910</v>
      </c>
      <c r="H118" t="inlineStr">
        <is>
          <t>ART</t>
        </is>
      </c>
      <c r="I118" t="inlineStr">
        <is>
          <t>45R1</t>
        </is>
      </c>
      <c r="K118" t="inlineStr">
        <is>
          <t>Dry reefer</t>
        </is>
      </c>
      <c r="L118" t="inlineStr">
        <is>
          <t>9'6</t>
        </is>
      </c>
      <c r="M118" t="inlineStr">
        <is>
          <t>Full</t>
        </is>
      </c>
      <c r="P118">
        <f t="array" ref="P118">IFERROR(INDEX(Disch_Booking_Report!B:B, MATCH(TRUE, ISNUMBER(FIND(SUBSTITUTE(C118," ",""), Disch_Booking_Report!AC:AC)), 0)), "Not Found")</f>
        <v/>
      </c>
      <c r="Q118">
        <f t="array" ref="Q118">IFERROR(INDEX(Disch_Booking_Report!C:C, MATCH(TRUE, ISNUMBER(FIND(SUBSTITUTE(C118," ",""), Disch_Booking_Report!AC:AC)), 0)), "Not Found")</f>
        <v/>
      </c>
      <c r="R118">
        <f t="array" ref="R118">IFERROR(INDEX(Disch_Booking_Report!AD:AD, MATCH(TRUE, ISNUMBER(FIND(SUBSTITUTE(C118," ",""), Disch_Booking_Report!AC:AC)), 0)), "Not Found")</f>
        <v/>
      </c>
      <c r="S118">
        <f>Tabela2[[#This Row],[Weight]]</f>
        <v/>
      </c>
      <c r="T118">
        <f t="array" ref="T118">IFERROR(INDEX(Disch_Booking_Report!L:L, MATCH(TRUE, ISNUMBER(FIND(SUBSTITUTE(C118," ",""), Disch_Booking_Report!AC:AC)), 0)), "Not Found")</f>
        <v/>
      </c>
      <c r="U118">
        <f t="array" ref="U118">IFERROR(INDEX(Disch_Booking_Report!I:I, MATCH(TRUE, ISNUMBER(FIND(SUBSTITUTE(C118," ",""), Disch_Booking_Report!AC:AC)), 0)), "Not Found")</f>
        <v/>
      </c>
    </row>
    <row r="119">
      <c r="A119" t="n">
        <v>10</v>
      </c>
      <c r="B119" t="n">
        <v>100286</v>
      </c>
      <c r="C119" t="inlineStr">
        <is>
          <t xml:space="preserve">     ANON0000000</t>
        </is>
      </c>
      <c r="D119" t="n">
        <v>40</v>
      </c>
      <c r="E119" t="inlineStr">
        <is>
          <t>RULED</t>
        </is>
      </c>
      <c r="F119" t="inlineStr">
        <is>
          <t>USNYC</t>
        </is>
      </c>
      <c r="G119" t="n">
        <v>31170</v>
      </c>
      <c r="H119" t="inlineStr">
        <is>
          <t>ART</t>
        </is>
      </c>
      <c r="I119" t="inlineStr">
        <is>
          <t>40R1</t>
        </is>
      </c>
      <c r="K119" t="inlineStr">
        <is>
          <t>Dry reefer</t>
        </is>
      </c>
      <c r="L119" t="inlineStr">
        <is>
          <t>8'</t>
        </is>
      </c>
      <c r="M119" t="inlineStr">
        <is>
          <t>Full</t>
        </is>
      </c>
      <c r="P119">
        <f t="array" ref="P119">IFERROR(INDEX(Disch_Booking_Report!B:B, MATCH(TRUE, ISNUMBER(FIND(SUBSTITUTE(C119," ",""), Disch_Booking_Report!AC:AC)), 0)), "Not Found")</f>
        <v/>
      </c>
      <c r="Q119">
        <f t="array" ref="Q119">IFERROR(INDEX(Disch_Booking_Report!C:C, MATCH(TRUE, ISNUMBER(FIND(SUBSTITUTE(C119," ",""), Disch_Booking_Report!AC:AC)), 0)), "Not Found")</f>
        <v/>
      </c>
      <c r="R119">
        <f t="array" ref="R119">IFERROR(INDEX(Disch_Booking_Report!AD:AD, MATCH(TRUE, ISNUMBER(FIND(SUBSTITUTE(C119," ",""), Disch_Booking_Report!AC:AC)), 0)), "Not Found")</f>
        <v/>
      </c>
      <c r="S119">
        <f>Tabela2[[#This Row],[Weight]]</f>
        <v/>
      </c>
      <c r="T119">
        <f t="array" ref="T119">IFERROR(INDEX(Disch_Booking_Report!L:L, MATCH(TRUE, ISNUMBER(FIND(SUBSTITUTE(C119," ",""), Disch_Booking_Report!AC:AC)), 0)), "Not Found")</f>
        <v/>
      </c>
      <c r="U119">
        <f t="array" ref="U119">IFERROR(INDEX(Disch_Booking_Report!I:I, MATCH(TRUE, ISNUMBER(FIND(SUBSTITUTE(C119," ",""), Disch_Booking_Report!AC:AC)), 0)), "Not Found")</f>
        <v/>
      </c>
    </row>
    <row r="120">
      <c r="A120" t="n">
        <v>10</v>
      </c>
      <c r="B120" t="n">
        <v>100584</v>
      </c>
      <c r="C120" t="inlineStr">
        <is>
          <t xml:space="preserve">     ANON0000000</t>
        </is>
      </c>
      <c r="D120" t="n">
        <v>40</v>
      </c>
      <c r="E120" t="inlineStr">
        <is>
          <t>RULED</t>
        </is>
      </c>
      <c r="F120" t="inlineStr">
        <is>
          <t>USNYC</t>
        </is>
      </c>
      <c r="G120" t="n">
        <v>34000</v>
      </c>
      <c r="H120" t="inlineStr">
        <is>
          <t>ART</t>
        </is>
      </c>
      <c r="I120" t="inlineStr">
        <is>
          <t>45R1</t>
        </is>
      </c>
      <c r="K120" t="inlineStr">
        <is>
          <t>Dry reefer</t>
        </is>
      </c>
      <c r="L120" t="inlineStr">
        <is>
          <t>9'6</t>
        </is>
      </c>
      <c r="M120" t="inlineStr">
        <is>
          <t>Full</t>
        </is>
      </c>
      <c r="P120">
        <f t="array" ref="P120">IFERROR(INDEX(Disch_Booking_Report!B:B, MATCH(TRUE, ISNUMBER(FIND(SUBSTITUTE(C120," ",""), Disch_Booking_Report!AC:AC)), 0)), "Not Found")</f>
        <v/>
      </c>
      <c r="Q120">
        <f t="array" ref="Q120">IFERROR(INDEX(Disch_Booking_Report!C:C, MATCH(TRUE, ISNUMBER(FIND(SUBSTITUTE(C120," ",""), Disch_Booking_Report!AC:AC)), 0)), "Not Found")</f>
        <v/>
      </c>
      <c r="R120">
        <f t="array" ref="R120">IFERROR(INDEX(Disch_Booking_Report!AD:AD, MATCH(TRUE, ISNUMBER(FIND(SUBSTITUTE(C120," ",""), Disch_Booking_Report!AC:AC)), 0)), "Not Found")</f>
        <v/>
      </c>
      <c r="S120">
        <f>Tabela2[[#This Row],[Weight]]</f>
        <v/>
      </c>
      <c r="T120">
        <f t="array" ref="T120">IFERROR(INDEX(Disch_Booking_Report!L:L, MATCH(TRUE, ISNUMBER(FIND(SUBSTITUTE(C120," ",""), Disch_Booking_Report!AC:AC)), 0)), "Not Found")</f>
        <v/>
      </c>
      <c r="U120">
        <f t="array" ref="U120">IFERROR(INDEX(Disch_Booking_Report!I:I, MATCH(TRUE, ISNUMBER(FIND(SUBSTITUTE(C120," ",""), Disch_Booking_Report!AC:AC)), 0)), "Not Found")</f>
        <v/>
      </c>
    </row>
    <row r="121">
      <c r="A121" t="n">
        <v>10</v>
      </c>
      <c r="B121" t="n">
        <v>100408</v>
      </c>
      <c r="C121" t="inlineStr">
        <is>
          <t xml:space="preserve">     ANON0000000</t>
        </is>
      </c>
      <c r="D121" t="n">
        <v>40</v>
      </c>
      <c r="E121" t="inlineStr">
        <is>
          <t>RULED</t>
        </is>
      </c>
      <c r="F121" t="inlineStr">
        <is>
          <t>USNYC</t>
        </is>
      </c>
      <c r="G121" t="n">
        <v>32320</v>
      </c>
      <c r="H121" t="inlineStr">
        <is>
          <t>ART</t>
        </is>
      </c>
      <c r="I121" t="inlineStr">
        <is>
          <t>45G1</t>
        </is>
      </c>
      <c r="L121" t="inlineStr">
        <is>
          <t>9'6</t>
        </is>
      </c>
      <c r="M121" t="inlineStr">
        <is>
          <t>Full</t>
        </is>
      </c>
      <c r="P121">
        <f t="array" ref="P121">IFERROR(INDEX(Disch_Booking_Report!B:B, MATCH(TRUE, ISNUMBER(FIND(SUBSTITUTE(C121," ",""), Disch_Booking_Report!AC:AC)), 0)), "Not Found")</f>
        <v/>
      </c>
      <c r="Q121">
        <f t="array" ref="Q121">IFERROR(INDEX(Disch_Booking_Report!C:C, MATCH(TRUE, ISNUMBER(FIND(SUBSTITUTE(C121," ",""), Disch_Booking_Report!AC:AC)), 0)), "Not Found")</f>
        <v/>
      </c>
      <c r="R121">
        <f t="array" ref="R121">IFERROR(INDEX(Disch_Booking_Report!AD:AD, MATCH(TRUE, ISNUMBER(FIND(SUBSTITUTE(C121," ",""), Disch_Booking_Report!AC:AC)), 0)), "Not Found")</f>
        <v/>
      </c>
      <c r="S121">
        <f>Tabela2[[#This Row],[Weight]]</f>
        <v/>
      </c>
      <c r="T121">
        <f t="array" ref="T121">IFERROR(INDEX(Disch_Booking_Report!L:L, MATCH(TRUE, ISNUMBER(FIND(SUBSTITUTE(C121," ",""), Disch_Booking_Report!AC:AC)), 0)), "Not Found")</f>
        <v/>
      </c>
      <c r="U121">
        <f t="array" ref="U121">IFERROR(INDEX(Disch_Booking_Report!I:I, MATCH(TRUE, ISNUMBER(FIND(SUBSTITUTE(C121," ",""), Disch_Booking_Report!AC:AC)), 0)), "Not Found")</f>
        <v/>
      </c>
    </row>
    <row r="122">
      <c r="A122" t="n">
        <v>10</v>
      </c>
      <c r="B122" t="n">
        <v>100984</v>
      </c>
      <c r="C122" t="inlineStr">
        <is>
          <t xml:space="preserve">     ANON0000000</t>
        </is>
      </c>
      <c r="D122" t="n">
        <v>40</v>
      </c>
      <c r="E122" t="inlineStr">
        <is>
          <t>RULED</t>
        </is>
      </c>
      <c r="F122" t="inlineStr">
        <is>
          <t>USNYC</t>
        </is>
      </c>
      <c r="G122" t="n">
        <v>31050</v>
      </c>
      <c r="H122" t="inlineStr">
        <is>
          <t>ART</t>
        </is>
      </c>
      <c r="I122" t="inlineStr">
        <is>
          <t>45R1</t>
        </is>
      </c>
      <c r="K122" t="inlineStr">
        <is>
          <t>Dry reefer</t>
        </is>
      </c>
      <c r="L122" t="inlineStr">
        <is>
          <t>9'6</t>
        </is>
      </c>
      <c r="M122" t="inlineStr">
        <is>
          <t>Full</t>
        </is>
      </c>
      <c r="P122">
        <f t="array" ref="P122">IFERROR(INDEX(Disch_Booking_Report!B:B, MATCH(TRUE, ISNUMBER(FIND(SUBSTITUTE(C122," ",""), Disch_Booking_Report!AC:AC)), 0)), "Not Found")</f>
        <v/>
      </c>
      <c r="Q122">
        <f t="array" ref="Q122">IFERROR(INDEX(Disch_Booking_Report!C:C, MATCH(TRUE, ISNUMBER(FIND(SUBSTITUTE(C122," ",""), Disch_Booking_Report!AC:AC)), 0)), "Not Found")</f>
        <v/>
      </c>
      <c r="R122">
        <f t="array" ref="R122">IFERROR(INDEX(Disch_Booking_Report!AD:AD, MATCH(TRUE, ISNUMBER(FIND(SUBSTITUTE(C122," ",""), Disch_Booking_Report!AC:AC)), 0)), "Not Found")</f>
        <v/>
      </c>
      <c r="S122">
        <f>Tabela2[[#This Row],[Weight]]</f>
        <v/>
      </c>
      <c r="T122">
        <f t="array" ref="T122">IFERROR(INDEX(Disch_Booking_Report!L:L, MATCH(TRUE, ISNUMBER(FIND(SUBSTITUTE(C122," ",""), Disch_Booking_Report!AC:AC)), 0)), "Not Found")</f>
        <v/>
      </c>
      <c r="U122">
        <f t="array" ref="U122">IFERROR(INDEX(Disch_Booking_Report!I:I, MATCH(TRUE, ISNUMBER(FIND(SUBSTITUTE(C122," ",""), Disch_Booking_Report!AC:AC)), 0)), "Not Found")</f>
        <v/>
      </c>
    </row>
    <row r="123">
      <c r="A123" t="n">
        <v>11</v>
      </c>
      <c r="B123" t="n">
        <v>110204</v>
      </c>
      <c r="C123" t="inlineStr">
        <is>
          <t xml:space="preserve">     ANON0000000</t>
        </is>
      </c>
      <c r="D123" t="n">
        <v>20</v>
      </c>
      <c r="E123" t="inlineStr">
        <is>
          <t>RULED</t>
        </is>
      </c>
      <c r="F123" t="inlineStr">
        <is>
          <t>USNYC</t>
        </is>
      </c>
      <c r="G123" t="n">
        <v>19620</v>
      </c>
      <c r="H123" t="inlineStr">
        <is>
          <t>ART</t>
        </is>
      </c>
      <c r="I123" t="inlineStr">
        <is>
          <t>22G1</t>
        </is>
      </c>
      <c r="L123" t="inlineStr">
        <is>
          <t>8'6</t>
        </is>
      </c>
      <c r="M123" t="inlineStr">
        <is>
          <t>Full</t>
        </is>
      </c>
      <c r="P123">
        <f t="array" ref="P123">IFERROR(INDEX(Disch_Booking_Report!B:B, MATCH(TRUE, ISNUMBER(FIND(SUBSTITUTE(C123," ",""), Disch_Booking_Report!AC:AC)), 0)), "Not Found")</f>
        <v/>
      </c>
      <c r="Q123">
        <f t="array" ref="Q123">IFERROR(INDEX(Disch_Booking_Report!C:C, MATCH(TRUE, ISNUMBER(FIND(SUBSTITUTE(C123," ",""), Disch_Booking_Report!AC:AC)), 0)), "Not Found")</f>
        <v/>
      </c>
      <c r="R123">
        <f t="array" ref="R123">IFERROR(INDEX(Disch_Booking_Report!AD:AD, MATCH(TRUE, ISNUMBER(FIND(SUBSTITUTE(C123," ",""), Disch_Booking_Report!AC:AC)), 0)), "Not Found")</f>
        <v/>
      </c>
      <c r="S123">
        <f>Tabela2[[#This Row],[Weight]]</f>
        <v/>
      </c>
      <c r="T123">
        <f t="array" ref="T123">IFERROR(INDEX(Disch_Booking_Report!L:L, MATCH(TRUE, ISNUMBER(FIND(SUBSTITUTE(C123," ",""), Disch_Booking_Report!AC:AC)), 0)), "Not Found")</f>
        <v/>
      </c>
      <c r="U123">
        <f t="array" ref="U123">IFERROR(INDEX(Disch_Booking_Report!I:I, MATCH(TRUE, ISNUMBER(FIND(SUBSTITUTE(C123," ",""), Disch_Booking_Report!AC:AC)), 0)), "Not Found")</f>
        <v/>
      </c>
    </row>
    <row r="124">
      <c r="A124" t="n">
        <v>11</v>
      </c>
      <c r="B124" t="n">
        <v>110604</v>
      </c>
      <c r="C124" t="inlineStr">
        <is>
          <t xml:space="preserve">     ANON0000000</t>
        </is>
      </c>
      <c r="D124" t="n">
        <v>20</v>
      </c>
      <c r="E124" t="inlineStr">
        <is>
          <t>RULED</t>
        </is>
      </c>
      <c r="F124" t="inlineStr">
        <is>
          <t>USNYC</t>
        </is>
      </c>
      <c r="G124" t="n">
        <v>25100</v>
      </c>
      <c r="H124" t="inlineStr">
        <is>
          <t>ART</t>
        </is>
      </c>
      <c r="I124" t="inlineStr">
        <is>
          <t>22G1</t>
        </is>
      </c>
      <c r="L124" t="inlineStr">
        <is>
          <t>8'6</t>
        </is>
      </c>
      <c r="M124" t="inlineStr">
        <is>
          <t>Full</t>
        </is>
      </c>
      <c r="P124">
        <f t="array" ref="P124">IFERROR(INDEX(Disch_Booking_Report!B:B, MATCH(TRUE, ISNUMBER(FIND(SUBSTITUTE(C124," ",""), Disch_Booking_Report!AC:AC)), 0)), "Not Found")</f>
        <v/>
      </c>
      <c r="Q124">
        <f t="array" ref="Q124">IFERROR(INDEX(Disch_Booking_Report!C:C, MATCH(TRUE, ISNUMBER(FIND(SUBSTITUTE(C124," ",""), Disch_Booking_Report!AC:AC)), 0)), "Not Found")</f>
        <v/>
      </c>
      <c r="R124">
        <f t="array" ref="R124">IFERROR(INDEX(Disch_Booking_Report!AD:AD, MATCH(TRUE, ISNUMBER(FIND(SUBSTITUTE(C124," ",""), Disch_Booking_Report!AC:AC)), 0)), "Not Found")</f>
        <v/>
      </c>
      <c r="S124">
        <f>Tabela2[[#This Row],[Weight]]</f>
        <v/>
      </c>
      <c r="T124">
        <f t="array" ref="T124">IFERROR(INDEX(Disch_Booking_Report!L:L, MATCH(TRUE, ISNUMBER(FIND(SUBSTITUTE(C124," ",""), Disch_Booking_Report!AC:AC)), 0)), "Not Found")</f>
        <v/>
      </c>
      <c r="U124">
        <f t="array" ref="U124">IFERROR(INDEX(Disch_Booking_Report!I:I, MATCH(TRUE, ISNUMBER(FIND(SUBSTITUTE(C124," ",""), Disch_Booking_Report!AC:AC)), 0)), "Not Found")</f>
        <v/>
      </c>
    </row>
    <row r="125">
      <c r="A125" t="n">
        <v>11</v>
      </c>
      <c r="B125" t="n">
        <v>110808</v>
      </c>
      <c r="C125" t="inlineStr">
        <is>
          <t xml:space="preserve">     ANON0000000</t>
        </is>
      </c>
      <c r="D125" t="n">
        <v>20</v>
      </c>
      <c r="E125" t="inlineStr">
        <is>
          <t>RULED</t>
        </is>
      </c>
      <c r="F125" t="inlineStr">
        <is>
          <t>USNYC</t>
        </is>
      </c>
      <c r="G125" t="n">
        <v>25100</v>
      </c>
      <c r="H125" t="inlineStr">
        <is>
          <t>ART</t>
        </is>
      </c>
      <c r="I125" t="inlineStr">
        <is>
          <t>22G1</t>
        </is>
      </c>
      <c r="L125" t="inlineStr">
        <is>
          <t>8'6</t>
        </is>
      </c>
      <c r="M125" t="inlineStr">
        <is>
          <t>Full</t>
        </is>
      </c>
      <c r="P125">
        <f t="array" ref="P125">IFERROR(INDEX(Disch_Booking_Report!B:B, MATCH(TRUE, ISNUMBER(FIND(SUBSTITUTE(C125," ",""), Disch_Booking_Report!AC:AC)), 0)), "Not Found")</f>
        <v/>
      </c>
      <c r="Q125">
        <f t="array" ref="Q125">IFERROR(INDEX(Disch_Booking_Report!C:C, MATCH(TRUE, ISNUMBER(FIND(SUBSTITUTE(C125," ",""), Disch_Booking_Report!AC:AC)), 0)), "Not Found")</f>
        <v/>
      </c>
      <c r="R125">
        <f t="array" ref="R125">IFERROR(INDEX(Disch_Booking_Report!AD:AD, MATCH(TRUE, ISNUMBER(FIND(SUBSTITUTE(C125," ",""), Disch_Booking_Report!AC:AC)), 0)), "Not Found")</f>
        <v/>
      </c>
      <c r="S125">
        <f>Tabela2[[#This Row],[Weight]]</f>
        <v/>
      </c>
      <c r="T125">
        <f t="array" ref="T125">IFERROR(INDEX(Disch_Booking_Report!L:L, MATCH(TRUE, ISNUMBER(FIND(SUBSTITUTE(C125," ",""), Disch_Booking_Report!AC:AC)), 0)), "Not Found")</f>
        <v/>
      </c>
      <c r="U125">
        <f t="array" ref="U125">IFERROR(INDEX(Disch_Booking_Report!I:I, MATCH(TRUE, ISNUMBER(FIND(SUBSTITUTE(C125," ",""), Disch_Booking_Report!AC:AC)), 0)), "Not Found")</f>
        <v/>
      </c>
    </row>
    <row r="126">
      <c r="A126" t="n">
        <v>11</v>
      </c>
      <c r="B126" t="n">
        <v>110202</v>
      </c>
      <c r="C126" t="inlineStr">
        <is>
          <t xml:space="preserve">     ANON0000000</t>
        </is>
      </c>
      <c r="D126" t="n">
        <v>20</v>
      </c>
      <c r="E126" t="inlineStr">
        <is>
          <t>RULED</t>
        </is>
      </c>
      <c r="F126" t="inlineStr">
        <is>
          <t>USNYC</t>
        </is>
      </c>
      <c r="G126" t="n">
        <v>23200</v>
      </c>
      <c r="H126" t="inlineStr">
        <is>
          <t>ART</t>
        </is>
      </c>
      <c r="I126" t="inlineStr">
        <is>
          <t>22G1</t>
        </is>
      </c>
      <c r="L126" t="inlineStr">
        <is>
          <t>8'6</t>
        </is>
      </c>
      <c r="M126" t="inlineStr">
        <is>
          <t>Full</t>
        </is>
      </c>
      <c r="P126">
        <f t="array" ref="P126">IFERROR(INDEX(Disch_Booking_Report!B:B, MATCH(TRUE, ISNUMBER(FIND(SUBSTITUTE(C126," ",""), Disch_Booking_Report!AC:AC)), 0)), "Not Found")</f>
        <v/>
      </c>
      <c r="Q126">
        <f t="array" ref="Q126">IFERROR(INDEX(Disch_Booking_Report!C:C, MATCH(TRUE, ISNUMBER(FIND(SUBSTITUTE(C126," ",""), Disch_Booking_Report!AC:AC)), 0)), "Not Found")</f>
        <v/>
      </c>
      <c r="R126">
        <f t="array" ref="R126">IFERROR(INDEX(Disch_Booking_Report!AD:AD, MATCH(TRUE, ISNUMBER(FIND(SUBSTITUTE(C126," ",""), Disch_Booking_Report!AC:AC)), 0)), "Not Found")</f>
        <v/>
      </c>
      <c r="S126">
        <f>Tabela2[[#This Row],[Weight]]</f>
        <v/>
      </c>
      <c r="T126">
        <f t="array" ref="T126">IFERROR(INDEX(Disch_Booking_Report!L:L, MATCH(TRUE, ISNUMBER(FIND(SUBSTITUTE(C126," ",""), Disch_Booking_Report!AC:AC)), 0)), "Not Found")</f>
        <v/>
      </c>
      <c r="U126">
        <f t="array" ref="U126">IFERROR(INDEX(Disch_Booking_Report!I:I, MATCH(TRUE, ISNUMBER(FIND(SUBSTITUTE(C126," ",""), Disch_Booking_Report!AC:AC)), 0)), "Not Found")</f>
        <v/>
      </c>
    </row>
    <row r="127">
      <c r="A127" t="n">
        <v>11</v>
      </c>
      <c r="B127" t="n">
        <v>110304</v>
      </c>
      <c r="C127" t="inlineStr">
        <is>
          <t xml:space="preserve">     ANON0000000</t>
        </is>
      </c>
      <c r="D127" t="n">
        <v>20</v>
      </c>
      <c r="E127" t="inlineStr">
        <is>
          <t>RULED</t>
        </is>
      </c>
      <c r="F127" t="inlineStr">
        <is>
          <t>USNYC</t>
        </is>
      </c>
      <c r="G127" t="n">
        <v>25100</v>
      </c>
      <c r="H127" t="inlineStr">
        <is>
          <t>ART</t>
        </is>
      </c>
      <c r="I127" t="inlineStr">
        <is>
          <t>22G1</t>
        </is>
      </c>
      <c r="L127" t="inlineStr">
        <is>
          <t>8'6</t>
        </is>
      </c>
      <c r="M127" t="inlineStr">
        <is>
          <t>Full</t>
        </is>
      </c>
      <c r="P127">
        <f t="array" ref="P127">IFERROR(INDEX(Disch_Booking_Report!B:B, MATCH(TRUE, ISNUMBER(FIND(SUBSTITUTE(C127," ",""), Disch_Booking_Report!AC:AC)), 0)), "Not Found")</f>
        <v/>
      </c>
      <c r="Q127">
        <f t="array" ref="Q127">IFERROR(INDEX(Disch_Booking_Report!C:C, MATCH(TRUE, ISNUMBER(FIND(SUBSTITUTE(C127," ",""), Disch_Booking_Report!AC:AC)), 0)), "Not Found")</f>
        <v/>
      </c>
      <c r="R127">
        <f t="array" ref="R127">IFERROR(INDEX(Disch_Booking_Report!AD:AD, MATCH(TRUE, ISNUMBER(FIND(SUBSTITUTE(C127," ",""), Disch_Booking_Report!AC:AC)), 0)), "Not Found")</f>
        <v/>
      </c>
      <c r="S127">
        <f>Tabela2[[#This Row],[Weight]]</f>
        <v/>
      </c>
      <c r="T127">
        <f t="array" ref="T127">IFERROR(INDEX(Disch_Booking_Report!L:L, MATCH(TRUE, ISNUMBER(FIND(SUBSTITUTE(C127," ",""), Disch_Booking_Report!AC:AC)), 0)), "Not Found")</f>
        <v/>
      </c>
      <c r="U127">
        <f t="array" ref="U127">IFERROR(INDEX(Disch_Booking_Report!I:I, MATCH(TRUE, ISNUMBER(FIND(SUBSTITUTE(C127," ",""), Disch_Booking_Report!AC:AC)), 0)), "Not Found")</f>
        <v/>
      </c>
    </row>
    <row r="128">
      <c r="A128" t="n">
        <v>11</v>
      </c>
      <c r="B128" t="n">
        <v>110104</v>
      </c>
      <c r="C128" t="inlineStr">
        <is>
          <t xml:space="preserve">     ANON0000000</t>
        </is>
      </c>
      <c r="D128" t="n">
        <v>20</v>
      </c>
      <c r="E128" t="inlineStr">
        <is>
          <t>RULED</t>
        </is>
      </c>
      <c r="F128" t="inlineStr">
        <is>
          <t>USNYC</t>
        </is>
      </c>
      <c r="G128" t="n">
        <v>19620</v>
      </c>
      <c r="H128" t="inlineStr">
        <is>
          <t>ART</t>
        </is>
      </c>
      <c r="I128" t="inlineStr">
        <is>
          <t>22G1</t>
        </is>
      </c>
      <c r="L128" t="inlineStr">
        <is>
          <t>8'6</t>
        </is>
      </c>
      <c r="M128" t="inlineStr">
        <is>
          <t>Full</t>
        </is>
      </c>
      <c r="P128">
        <f t="array" ref="P128">IFERROR(INDEX(Disch_Booking_Report!B:B, MATCH(TRUE, ISNUMBER(FIND(SUBSTITUTE(C128," ",""), Disch_Booking_Report!AC:AC)), 0)), "Not Found")</f>
        <v/>
      </c>
      <c r="Q128">
        <f t="array" ref="Q128">IFERROR(INDEX(Disch_Booking_Report!C:C, MATCH(TRUE, ISNUMBER(FIND(SUBSTITUTE(C128," ",""), Disch_Booking_Report!AC:AC)), 0)), "Not Found")</f>
        <v/>
      </c>
      <c r="R128">
        <f t="array" ref="R128">IFERROR(INDEX(Disch_Booking_Report!AD:AD, MATCH(TRUE, ISNUMBER(FIND(SUBSTITUTE(C128," ",""), Disch_Booking_Report!AC:AC)), 0)), "Not Found")</f>
        <v/>
      </c>
      <c r="S128">
        <f>Tabela2[[#This Row],[Weight]]</f>
        <v/>
      </c>
      <c r="T128">
        <f t="array" ref="T128">IFERROR(INDEX(Disch_Booking_Report!L:L, MATCH(TRUE, ISNUMBER(FIND(SUBSTITUTE(C128," ",""), Disch_Booking_Report!AC:AC)), 0)), "Not Found")</f>
        <v/>
      </c>
      <c r="U128">
        <f t="array" ref="U128">IFERROR(INDEX(Disch_Booking_Report!I:I, MATCH(TRUE, ISNUMBER(FIND(SUBSTITUTE(C128," ",""), Disch_Booking_Report!AC:AC)), 0)), "Not Found")</f>
        <v/>
      </c>
    </row>
    <row r="129">
      <c r="A129" t="n">
        <v>11</v>
      </c>
      <c r="B129" t="n">
        <v>110708</v>
      </c>
      <c r="C129" t="inlineStr">
        <is>
          <t xml:space="preserve">     ANON0000000</t>
        </is>
      </c>
      <c r="D129" t="n">
        <v>20</v>
      </c>
      <c r="E129" t="inlineStr">
        <is>
          <t>RULED</t>
        </is>
      </c>
      <c r="F129" t="inlineStr">
        <is>
          <t>USNYC</t>
        </is>
      </c>
      <c r="G129" t="n">
        <v>25100</v>
      </c>
      <c r="H129" t="inlineStr">
        <is>
          <t>ART</t>
        </is>
      </c>
      <c r="I129" t="inlineStr">
        <is>
          <t>22G1</t>
        </is>
      </c>
      <c r="L129" t="inlineStr">
        <is>
          <t>8'6</t>
        </is>
      </c>
      <c r="M129" t="inlineStr">
        <is>
          <t>Full</t>
        </is>
      </c>
      <c r="P129">
        <f t="array" ref="P129">IFERROR(INDEX(Disch_Booking_Report!B:B, MATCH(TRUE, ISNUMBER(FIND(SUBSTITUTE(C129," ",""), Disch_Booking_Report!AC:AC)), 0)), "Not Found")</f>
        <v/>
      </c>
      <c r="Q129">
        <f t="array" ref="Q129">IFERROR(INDEX(Disch_Booking_Report!C:C, MATCH(TRUE, ISNUMBER(FIND(SUBSTITUTE(C129," ",""), Disch_Booking_Report!AC:AC)), 0)), "Not Found")</f>
        <v/>
      </c>
      <c r="R129">
        <f t="array" ref="R129">IFERROR(INDEX(Disch_Booking_Report!AD:AD, MATCH(TRUE, ISNUMBER(FIND(SUBSTITUTE(C129," ",""), Disch_Booking_Report!AC:AC)), 0)), "Not Found")</f>
        <v/>
      </c>
      <c r="S129">
        <f>Tabela2[[#This Row],[Weight]]</f>
        <v/>
      </c>
      <c r="T129">
        <f t="array" ref="T129">IFERROR(INDEX(Disch_Booking_Report!L:L, MATCH(TRUE, ISNUMBER(FIND(SUBSTITUTE(C129," ",""), Disch_Booking_Report!AC:AC)), 0)), "Not Found")</f>
        <v/>
      </c>
      <c r="U129">
        <f t="array" ref="U129">IFERROR(INDEX(Disch_Booking_Report!I:I, MATCH(TRUE, ISNUMBER(FIND(SUBSTITUTE(C129," ",""), Disch_Booking_Report!AC:AC)), 0)), "Not Found")</f>
        <v/>
      </c>
    </row>
    <row r="130">
      <c r="A130" t="n">
        <v>11</v>
      </c>
      <c r="B130" t="n">
        <v>110402</v>
      </c>
      <c r="C130" t="inlineStr">
        <is>
          <t xml:space="preserve">     ANON0000000</t>
        </is>
      </c>
      <c r="D130" t="n">
        <v>20</v>
      </c>
      <c r="E130" t="inlineStr">
        <is>
          <t>RULED</t>
        </is>
      </c>
      <c r="F130" t="inlineStr">
        <is>
          <t>USNYC</t>
        </is>
      </c>
      <c r="G130" t="n">
        <v>25000</v>
      </c>
      <c r="H130" t="inlineStr">
        <is>
          <t>ART</t>
        </is>
      </c>
      <c r="I130" t="inlineStr">
        <is>
          <t>22G1</t>
        </is>
      </c>
      <c r="L130" t="inlineStr">
        <is>
          <t>8'6</t>
        </is>
      </c>
      <c r="M130" t="inlineStr">
        <is>
          <t>Full</t>
        </is>
      </c>
      <c r="P130">
        <f t="array" ref="P130">IFERROR(INDEX(Disch_Booking_Report!B:B, MATCH(TRUE, ISNUMBER(FIND(SUBSTITUTE(C130," ",""), Disch_Booking_Report!AC:AC)), 0)), "Not Found")</f>
        <v/>
      </c>
      <c r="Q130">
        <f t="array" ref="Q130">IFERROR(INDEX(Disch_Booking_Report!C:C, MATCH(TRUE, ISNUMBER(FIND(SUBSTITUTE(C130," ",""), Disch_Booking_Report!AC:AC)), 0)), "Not Found")</f>
        <v/>
      </c>
      <c r="R130">
        <f t="array" ref="R130">IFERROR(INDEX(Disch_Booking_Report!AD:AD, MATCH(TRUE, ISNUMBER(FIND(SUBSTITUTE(C130," ",""), Disch_Booking_Report!AC:AC)), 0)), "Not Found")</f>
        <v/>
      </c>
      <c r="S130">
        <f>Tabela2[[#This Row],[Weight]]</f>
        <v/>
      </c>
      <c r="T130">
        <f t="array" ref="T130">IFERROR(INDEX(Disch_Booking_Report!L:L, MATCH(TRUE, ISNUMBER(FIND(SUBSTITUTE(C130," ",""), Disch_Booking_Report!AC:AC)), 0)), "Not Found")</f>
        <v/>
      </c>
      <c r="U130">
        <f t="array" ref="U130">IFERROR(INDEX(Disch_Booking_Report!I:I, MATCH(TRUE, ISNUMBER(FIND(SUBSTITUTE(C130," ",""), Disch_Booking_Report!AC:AC)), 0)), "Not Found")</f>
        <v/>
      </c>
    </row>
    <row r="131">
      <c r="A131" t="n">
        <v>11</v>
      </c>
      <c r="B131" t="n">
        <v>110302</v>
      </c>
      <c r="C131" t="inlineStr">
        <is>
          <t xml:space="preserve">     ANON0000000</t>
        </is>
      </c>
      <c r="D131" t="n">
        <v>20</v>
      </c>
      <c r="E131" t="inlineStr">
        <is>
          <t>RULED</t>
        </is>
      </c>
      <c r="F131" t="inlineStr">
        <is>
          <t>USNYC</t>
        </is>
      </c>
      <c r="G131" t="n">
        <v>24440</v>
      </c>
      <c r="H131" t="inlineStr">
        <is>
          <t>ART</t>
        </is>
      </c>
      <c r="I131" t="inlineStr">
        <is>
          <t>22G1</t>
        </is>
      </c>
      <c r="L131" t="inlineStr">
        <is>
          <t>8'6</t>
        </is>
      </c>
      <c r="M131" t="inlineStr">
        <is>
          <t>Full</t>
        </is>
      </c>
      <c r="P131">
        <f t="array" ref="P131">IFERROR(INDEX(Disch_Booking_Report!B:B, MATCH(TRUE, ISNUMBER(FIND(SUBSTITUTE(C131," ",""), Disch_Booking_Report!AC:AC)), 0)), "Not Found")</f>
        <v/>
      </c>
      <c r="Q131">
        <f t="array" ref="Q131">IFERROR(INDEX(Disch_Booking_Report!C:C, MATCH(TRUE, ISNUMBER(FIND(SUBSTITUTE(C131," ",""), Disch_Booking_Report!AC:AC)), 0)), "Not Found")</f>
        <v/>
      </c>
      <c r="R131">
        <f t="array" ref="R131">IFERROR(INDEX(Disch_Booking_Report!AD:AD, MATCH(TRUE, ISNUMBER(FIND(SUBSTITUTE(C131," ",""), Disch_Booking_Report!AC:AC)), 0)), "Not Found")</f>
        <v/>
      </c>
      <c r="S131">
        <f>Tabela2[[#This Row],[Weight]]</f>
        <v/>
      </c>
      <c r="T131">
        <f t="array" ref="T131">IFERROR(INDEX(Disch_Booking_Report!L:L, MATCH(TRUE, ISNUMBER(FIND(SUBSTITUTE(C131," ",""), Disch_Booking_Report!AC:AC)), 0)), "Not Found")</f>
        <v/>
      </c>
      <c r="U131">
        <f t="array" ref="U131">IFERROR(INDEX(Disch_Booking_Report!I:I, MATCH(TRUE, ISNUMBER(FIND(SUBSTITUTE(C131," ",""), Disch_Booking_Report!AC:AC)), 0)), "Not Found")</f>
        <v/>
      </c>
    </row>
    <row r="132">
      <c r="A132" t="n">
        <v>11</v>
      </c>
      <c r="B132" t="n">
        <v>110404</v>
      </c>
      <c r="C132" t="inlineStr">
        <is>
          <t xml:space="preserve">     ANON0000000</t>
        </is>
      </c>
      <c r="D132" t="n">
        <v>20</v>
      </c>
      <c r="E132" t="inlineStr">
        <is>
          <t>RULED</t>
        </is>
      </c>
      <c r="F132" t="inlineStr">
        <is>
          <t>USNYC</t>
        </is>
      </c>
      <c r="G132" t="n">
        <v>25100</v>
      </c>
      <c r="H132" t="inlineStr">
        <is>
          <t>ART</t>
        </is>
      </c>
      <c r="I132" t="inlineStr">
        <is>
          <t>22G1</t>
        </is>
      </c>
      <c r="L132" t="inlineStr">
        <is>
          <t>8'6</t>
        </is>
      </c>
      <c r="M132" t="inlineStr">
        <is>
          <t>Full</t>
        </is>
      </c>
      <c r="P132">
        <f t="array" ref="P132">IFERROR(INDEX(Disch_Booking_Report!B:B, MATCH(TRUE, ISNUMBER(FIND(SUBSTITUTE(C132," ",""), Disch_Booking_Report!AC:AC)), 0)), "Not Found")</f>
        <v/>
      </c>
      <c r="Q132">
        <f t="array" ref="Q132">IFERROR(INDEX(Disch_Booking_Report!C:C, MATCH(TRUE, ISNUMBER(FIND(SUBSTITUTE(C132," ",""), Disch_Booking_Report!AC:AC)), 0)), "Not Found")</f>
        <v/>
      </c>
      <c r="R132">
        <f t="array" ref="R132">IFERROR(INDEX(Disch_Booking_Report!AD:AD, MATCH(TRUE, ISNUMBER(FIND(SUBSTITUTE(C132," ",""), Disch_Booking_Report!AC:AC)), 0)), "Not Found")</f>
        <v/>
      </c>
      <c r="S132">
        <f>Tabela2[[#This Row],[Weight]]</f>
        <v/>
      </c>
      <c r="T132">
        <f t="array" ref="T132">IFERROR(INDEX(Disch_Booking_Report!L:L, MATCH(TRUE, ISNUMBER(FIND(SUBSTITUTE(C132," ",""), Disch_Booking_Report!AC:AC)), 0)), "Not Found")</f>
        <v/>
      </c>
      <c r="U132">
        <f t="array" ref="U132">IFERROR(INDEX(Disch_Booking_Report!I:I, MATCH(TRUE, ISNUMBER(FIND(SUBSTITUTE(C132," ",""), Disch_Booking_Report!AC:AC)), 0)), "Not Found")</f>
        <v/>
      </c>
    </row>
    <row r="133">
      <c r="A133" t="n">
        <v>11</v>
      </c>
      <c r="B133" t="n">
        <v>110102</v>
      </c>
      <c r="C133" t="inlineStr">
        <is>
          <t xml:space="preserve">     ANON0000000</t>
        </is>
      </c>
      <c r="D133" t="n">
        <v>20</v>
      </c>
      <c r="E133" t="inlineStr">
        <is>
          <t>RULED</t>
        </is>
      </c>
      <c r="F133" t="inlineStr">
        <is>
          <t>USNYC</t>
        </is>
      </c>
      <c r="G133" t="n">
        <v>23100</v>
      </c>
      <c r="H133" t="inlineStr">
        <is>
          <t>ART</t>
        </is>
      </c>
      <c r="I133" t="inlineStr">
        <is>
          <t>22G1</t>
        </is>
      </c>
      <c r="L133" t="inlineStr">
        <is>
          <t>8'6</t>
        </is>
      </c>
      <c r="M133" t="inlineStr">
        <is>
          <t>Full</t>
        </is>
      </c>
      <c r="P133">
        <f t="array" ref="P133">IFERROR(INDEX(Disch_Booking_Report!B:B, MATCH(TRUE, ISNUMBER(FIND(SUBSTITUTE(C133," ",""), Disch_Booking_Report!AC:AC)), 0)), "Not Found")</f>
        <v/>
      </c>
      <c r="Q133">
        <f t="array" ref="Q133">IFERROR(INDEX(Disch_Booking_Report!C:C, MATCH(TRUE, ISNUMBER(FIND(SUBSTITUTE(C133," ",""), Disch_Booking_Report!AC:AC)), 0)), "Not Found")</f>
        <v/>
      </c>
      <c r="R133">
        <f t="array" ref="R133">IFERROR(INDEX(Disch_Booking_Report!AD:AD, MATCH(TRUE, ISNUMBER(FIND(SUBSTITUTE(C133," ",""), Disch_Booking_Report!AC:AC)), 0)), "Not Found")</f>
        <v/>
      </c>
      <c r="S133">
        <f>Tabela2[[#This Row],[Weight]]</f>
        <v/>
      </c>
      <c r="T133">
        <f t="array" ref="T133">IFERROR(INDEX(Disch_Booking_Report!L:L, MATCH(TRUE, ISNUMBER(FIND(SUBSTITUTE(C133," ",""), Disch_Booking_Report!AC:AC)), 0)), "Not Found")</f>
        <v/>
      </c>
      <c r="U133">
        <f t="array" ref="U133">IFERROR(INDEX(Disch_Booking_Report!I:I, MATCH(TRUE, ISNUMBER(FIND(SUBSTITUTE(C133," ",""), Disch_Booking_Report!AC:AC)), 0)), "Not Found")</f>
        <v/>
      </c>
    </row>
    <row r="134">
      <c r="A134" t="n">
        <v>11</v>
      </c>
      <c r="B134" t="n">
        <v>110504</v>
      </c>
      <c r="C134" t="inlineStr">
        <is>
          <t xml:space="preserve">     ANON0000000</t>
        </is>
      </c>
      <c r="D134" t="n">
        <v>20</v>
      </c>
      <c r="E134" t="inlineStr">
        <is>
          <t>RULED</t>
        </is>
      </c>
      <c r="F134" t="inlineStr">
        <is>
          <t>USNYC</t>
        </is>
      </c>
      <c r="G134" t="n">
        <v>25100</v>
      </c>
      <c r="H134" t="inlineStr">
        <is>
          <t>ART</t>
        </is>
      </c>
      <c r="I134" t="inlineStr">
        <is>
          <t>22G1</t>
        </is>
      </c>
      <c r="L134" t="inlineStr">
        <is>
          <t>8'6</t>
        </is>
      </c>
      <c r="M134" t="inlineStr">
        <is>
          <t>Full</t>
        </is>
      </c>
      <c r="P134">
        <f t="array" ref="P134">IFERROR(INDEX(Disch_Booking_Report!B:B, MATCH(TRUE, ISNUMBER(FIND(SUBSTITUTE(C134," ",""), Disch_Booking_Report!AC:AC)), 0)), "Not Found")</f>
        <v/>
      </c>
      <c r="Q134">
        <f t="array" ref="Q134">IFERROR(INDEX(Disch_Booking_Report!C:C, MATCH(TRUE, ISNUMBER(FIND(SUBSTITUTE(C134," ",""), Disch_Booking_Report!AC:AC)), 0)), "Not Found")</f>
        <v/>
      </c>
      <c r="R134">
        <f t="array" ref="R134">IFERROR(INDEX(Disch_Booking_Report!AD:AD, MATCH(TRUE, ISNUMBER(FIND(SUBSTITUTE(C134," ",""), Disch_Booking_Report!AC:AC)), 0)), "Not Found")</f>
        <v/>
      </c>
      <c r="S134">
        <f>Tabela2[[#This Row],[Weight]]</f>
        <v/>
      </c>
      <c r="T134">
        <f t="array" ref="T134">IFERROR(INDEX(Disch_Booking_Report!L:L, MATCH(TRUE, ISNUMBER(FIND(SUBSTITUTE(C134," ",""), Disch_Booking_Report!AC:AC)), 0)), "Not Found")</f>
        <v/>
      </c>
      <c r="U134">
        <f t="array" ref="U134">IFERROR(INDEX(Disch_Booking_Report!I:I, MATCH(TRUE, ISNUMBER(FIND(SUBSTITUTE(C134," ",""), Disch_Booking_Report!AC:AC)), 0)), "Not Found")</f>
        <v/>
      </c>
    </row>
    <row r="135">
      <c r="A135" t="n">
        <v>13</v>
      </c>
      <c r="B135" t="n">
        <v>130782</v>
      </c>
      <c r="C135" t="inlineStr">
        <is>
          <t xml:space="preserve">     ANON0000000</t>
        </is>
      </c>
      <c r="D135" t="n">
        <v>20</v>
      </c>
      <c r="E135" t="inlineStr">
        <is>
          <t>RULED</t>
        </is>
      </c>
      <c r="F135" t="inlineStr">
        <is>
          <t>USHOU</t>
        </is>
      </c>
      <c r="G135" t="n">
        <v>24080</v>
      </c>
      <c r="H135" t="inlineStr">
        <is>
          <t>ART</t>
        </is>
      </c>
      <c r="I135" t="inlineStr">
        <is>
          <t>22G1</t>
        </is>
      </c>
      <c r="J135" t="n">
        <v>4.1</v>
      </c>
      <c r="L135" t="inlineStr">
        <is>
          <t>8'6</t>
        </is>
      </c>
      <c r="M135" t="inlineStr">
        <is>
          <t>Full</t>
        </is>
      </c>
      <c r="P135">
        <f t="array" ref="P135">IFERROR(INDEX(Disch_Booking_Report!B:B, MATCH(TRUE, ISNUMBER(FIND(SUBSTITUTE(C135," ",""), Disch_Booking_Report!AC:AC)), 0)), "Not Found")</f>
        <v/>
      </c>
      <c r="Q135">
        <f t="array" ref="Q135">IFERROR(INDEX(Disch_Booking_Report!C:C, MATCH(TRUE, ISNUMBER(FIND(SUBSTITUTE(C135," ",""), Disch_Booking_Report!AC:AC)), 0)), "Not Found")</f>
        <v/>
      </c>
      <c r="R135">
        <f t="array" ref="R135">IFERROR(INDEX(Disch_Booking_Report!AD:AD, MATCH(TRUE, ISNUMBER(FIND(SUBSTITUTE(C135," ",""), Disch_Booking_Report!AC:AC)), 0)), "Not Found")</f>
        <v/>
      </c>
      <c r="S135">
        <f>Tabela2[[#This Row],[Weight]]</f>
        <v/>
      </c>
      <c r="T135">
        <f t="array" ref="T135">IFERROR(INDEX(Disch_Booking_Report!L:L, MATCH(TRUE, ISNUMBER(FIND(SUBSTITUTE(C135," ",""), Disch_Booking_Report!AC:AC)), 0)), "Not Found")</f>
        <v/>
      </c>
      <c r="U135">
        <f t="array" ref="U135">IFERROR(INDEX(Disch_Booking_Report!I:I, MATCH(TRUE, ISNUMBER(FIND(SUBSTITUTE(C135," ",""), Disch_Booking_Report!AC:AC)), 0)), "Not Found")</f>
        <v/>
      </c>
    </row>
    <row r="136">
      <c r="A136" t="n">
        <v>14</v>
      </c>
      <c r="B136" t="n">
        <v>140186</v>
      </c>
      <c r="C136" t="inlineStr">
        <is>
          <t xml:space="preserve">     ANON0000000</t>
        </is>
      </c>
      <c r="D136" t="n">
        <v>40</v>
      </c>
      <c r="E136" t="inlineStr">
        <is>
          <t>RULED</t>
        </is>
      </c>
      <c r="F136" t="inlineStr">
        <is>
          <t>USNYC</t>
        </is>
      </c>
      <c r="G136" t="n">
        <v>34910</v>
      </c>
      <c r="H136" t="inlineStr">
        <is>
          <t>ART</t>
        </is>
      </c>
      <c r="I136" t="inlineStr">
        <is>
          <t>45R1</t>
        </is>
      </c>
      <c r="K136" t="inlineStr">
        <is>
          <t>Dry reefer</t>
        </is>
      </c>
      <c r="L136" t="inlineStr">
        <is>
          <t>9'6</t>
        </is>
      </c>
      <c r="M136" t="inlineStr">
        <is>
          <t>Full</t>
        </is>
      </c>
      <c r="P136">
        <f t="array" ref="P136">IFERROR(INDEX(Disch_Booking_Report!B:B, MATCH(TRUE, ISNUMBER(FIND(SUBSTITUTE(C136," ",""), Disch_Booking_Report!AC:AC)), 0)), "Not Found")</f>
        <v/>
      </c>
      <c r="Q136">
        <f t="array" ref="Q136">IFERROR(INDEX(Disch_Booking_Report!C:C, MATCH(TRUE, ISNUMBER(FIND(SUBSTITUTE(C136," ",""), Disch_Booking_Report!AC:AC)), 0)), "Not Found")</f>
        <v/>
      </c>
      <c r="R136">
        <f t="array" ref="R136">IFERROR(INDEX(Disch_Booking_Report!AD:AD, MATCH(TRUE, ISNUMBER(FIND(SUBSTITUTE(C136," ",""), Disch_Booking_Report!AC:AC)), 0)), "Not Found")</f>
        <v/>
      </c>
      <c r="S136">
        <f>Tabela2[[#This Row],[Weight]]</f>
        <v/>
      </c>
      <c r="T136">
        <f t="array" ref="T136">IFERROR(INDEX(Disch_Booking_Report!L:L, MATCH(TRUE, ISNUMBER(FIND(SUBSTITUTE(C136," ",""), Disch_Booking_Report!AC:AC)), 0)), "Not Found")</f>
        <v/>
      </c>
      <c r="U136">
        <f t="array" ref="U136">IFERROR(INDEX(Disch_Booking_Report!I:I, MATCH(TRUE, ISNUMBER(FIND(SUBSTITUTE(C136," ",""), Disch_Booking_Report!AC:AC)), 0)), "Not Found")</f>
        <v/>
      </c>
    </row>
    <row r="137">
      <c r="A137" t="n">
        <v>14</v>
      </c>
      <c r="B137" t="n">
        <v>140886</v>
      </c>
      <c r="C137" t="inlineStr">
        <is>
          <t xml:space="preserve">     ANON0000000</t>
        </is>
      </c>
      <c r="D137" t="n">
        <v>40</v>
      </c>
      <c r="E137" t="inlineStr">
        <is>
          <t>RULED</t>
        </is>
      </c>
      <c r="F137" t="inlineStr">
        <is>
          <t>USNYC</t>
        </is>
      </c>
      <c r="G137" t="n">
        <v>33940</v>
      </c>
      <c r="H137" t="inlineStr">
        <is>
          <t>ART</t>
        </is>
      </c>
      <c r="I137" t="inlineStr">
        <is>
          <t>45R1</t>
        </is>
      </c>
      <c r="K137" t="inlineStr">
        <is>
          <t>Dry reefer</t>
        </is>
      </c>
      <c r="L137" t="inlineStr">
        <is>
          <t>9'6</t>
        </is>
      </c>
      <c r="M137" t="inlineStr">
        <is>
          <t>Full</t>
        </is>
      </c>
      <c r="P137">
        <f t="array" ref="P137">IFERROR(INDEX(Disch_Booking_Report!B:B, MATCH(TRUE, ISNUMBER(FIND(SUBSTITUTE(C137," ",""), Disch_Booking_Report!AC:AC)), 0)), "Not Found")</f>
        <v/>
      </c>
      <c r="Q137">
        <f t="array" ref="Q137">IFERROR(INDEX(Disch_Booking_Report!C:C, MATCH(TRUE, ISNUMBER(FIND(SUBSTITUTE(C137," ",""), Disch_Booking_Report!AC:AC)), 0)), "Not Found")</f>
        <v/>
      </c>
      <c r="R137">
        <f t="array" ref="R137">IFERROR(INDEX(Disch_Booking_Report!AD:AD, MATCH(TRUE, ISNUMBER(FIND(SUBSTITUTE(C137," ",""), Disch_Booking_Report!AC:AC)), 0)), "Not Found")</f>
        <v/>
      </c>
      <c r="S137">
        <f>Tabela2[[#This Row],[Weight]]</f>
        <v/>
      </c>
      <c r="T137">
        <f t="array" ref="T137">IFERROR(INDEX(Disch_Booking_Report!L:L, MATCH(TRUE, ISNUMBER(FIND(SUBSTITUTE(C137," ",""), Disch_Booking_Report!AC:AC)), 0)), "Not Found")</f>
        <v/>
      </c>
      <c r="U137">
        <f t="array" ref="U137">IFERROR(INDEX(Disch_Booking_Report!I:I, MATCH(TRUE, ISNUMBER(FIND(SUBSTITUTE(C137," ",""), Disch_Booking_Report!AC:AC)), 0)), "Not Found")</f>
        <v/>
      </c>
    </row>
    <row r="138">
      <c r="A138" t="n">
        <v>14</v>
      </c>
      <c r="B138" t="n">
        <v>140984</v>
      </c>
      <c r="C138" t="inlineStr">
        <is>
          <t xml:space="preserve">     ANON0000000</t>
        </is>
      </c>
      <c r="D138" t="n">
        <v>40</v>
      </c>
      <c r="E138" t="inlineStr">
        <is>
          <t>RULED</t>
        </is>
      </c>
      <c r="F138" t="inlineStr">
        <is>
          <t>USNYC</t>
        </is>
      </c>
      <c r="G138" t="n">
        <v>31170</v>
      </c>
      <c r="H138" t="inlineStr">
        <is>
          <t>ART</t>
        </is>
      </c>
      <c r="I138" t="inlineStr">
        <is>
          <t>45R1</t>
        </is>
      </c>
      <c r="K138" t="inlineStr">
        <is>
          <t>Dry reefer</t>
        </is>
      </c>
      <c r="L138" t="inlineStr">
        <is>
          <t>9'6</t>
        </is>
      </c>
      <c r="M138" t="inlineStr">
        <is>
          <t>Full</t>
        </is>
      </c>
      <c r="P138">
        <f t="array" ref="P138">IFERROR(INDEX(Disch_Booking_Report!B:B, MATCH(TRUE, ISNUMBER(FIND(SUBSTITUTE(C138," ",""), Disch_Booking_Report!AC:AC)), 0)), "Not Found")</f>
        <v/>
      </c>
      <c r="Q138">
        <f t="array" ref="Q138">IFERROR(INDEX(Disch_Booking_Report!C:C, MATCH(TRUE, ISNUMBER(FIND(SUBSTITUTE(C138," ",""), Disch_Booking_Report!AC:AC)), 0)), "Not Found")</f>
        <v/>
      </c>
      <c r="R138">
        <f t="array" ref="R138">IFERROR(INDEX(Disch_Booking_Report!AD:AD, MATCH(TRUE, ISNUMBER(FIND(SUBSTITUTE(C138," ",""), Disch_Booking_Report!AC:AC)), 0)), "Not Found")</f>
        <v/>
      </c>
      <c r="S138">
        <f>Tabela2[[#This Row],[Weight]]</f>
        <v/>
      </c>
      <c r="T138">
        <f t="array" ref="T138">IFERROR(INDEX(Disch_Booking_Report!L:L, MATCH(TRUE, ISNUMBER(FIND(SUBSTITUTE(C138," ",""), Disch_Booking_Report!AC:AC)), 0)), "Not Found")</f>
        <v/>
      </c>
      <c r="U138">
        <f t="array" ref="U138">IFERROR(INDEX(Disch_Booking_Report!I:I, MATCH(TRUE, ISNUMBER(FIND(SUBSTITUTE(C138," ",""), Disch_Booking_Report!AC:AC)), 0)), "Not Found")</f>
        <v/>
      </c>
    </row>
    <row r="139">
      <c r="A139" t="n">
        <v>14</v>
      </c>
      <c r="B139" t="n">
        <v>140884</v>
      </c>
      <c r="C139" t="inlineStr">
        <is>
          <t xml:space="preserve">     ANON0000000</t>
        </is>
      </c>
      <c r="D139" t="n">
        <v>40</v>
      </c>
      <c r="E139" t="inlineStr">
        <is>
          <t>RULED</t>
        </is>
      </c>
      <c r="F139" t="inlineStr">
        <is>
          <t>USNYC</t>
        </is>
      </c>
      <c r="G139" t="n">
        <v>32980</v>
      </c>
      <c r="H139" t="inlineStr">
        <is>
          <t>ART</t>
        </is>
      </c>
      <c r="I139" t="inlineStr">
        <is>
          <t>45R1</t>
        </is>
      </c>
      <c r="K139" t="inlineStr">
        <is>
          <t>Dry reefer</t>
        </is>
      </c>
      <c r="L139" t="inlineStr">
        <is>
          <t>9'6</t>
        </is>
      </c>
      <c r="M139" t="inlineStr">
        <is>
          <t>Full</t>
        </is>
      </c>
      <c r="P139">
        <f t="array" ref="P139">IFERROR(INDEX(Disch_Booking_Report!B:B, MATCH(TRUE, ISNUMBER(FIND(SUBSTITUTE(C139," ",""), Disch_Booking_Report!AC:AC)), 0)), "Not Found")</f>
        <v/>
      </c>
      <c r="Q139">
        <f t="array" ref="Q139">IFERROR(INDEX(Disch_Booking_Report!C:C, MATCH(TRUE, ISNUMBER(FIND(SUBSTITUTE(C139," ",""), Disch_Booking_Report!AC:AC)), 0)), "Not Found")</f>
        <v/>
      </c>
      <c r="R139">
        <f t="array" ref="R139">IFERROR(INDEX(Disch_Booking_Report!AD:AD, MATCH(TRUE, ISNUMBER(FIND(SUBSTITUTE(C139," ",""), Disch_Booking_Report!AC:AC)), 0)), "Not Found")</f>
        <v/>
      </c>
      <c r="S139">
        <f>Tabela2[[#This Row],[Weight]]</f>
        <v/>
      </c>
      <c r="T139">
        <f t="array" ref="T139">IFERROR(INDEX(Disch_Booking_Report!L:L, MATCH(TRUE, ISNUMBER(FIND(SUBSTITUTE(C139," ",""), Disch_Booking_Report!AC:AC)), 0)), "Not Found")</f>
        <v/>
      </c>
      <c r="U139">
        <f t="array" ref="U139">IFERROR(INDEX(Disch_Booking_Report!I:I, MATCH(TRUE, ISNUMBER(FIND(SUBSTITUTE(C139," ",""), Disch_Booking_Report!AC:AC)), 0)), "Not Found")</f>
        <v/>
      </c>
    </row>
    <row r="140">
      <c r="A140" t="n">
        <v>14</v>
      </c>
      <c r="B140" t="n">
        <v>140982</v>
      </c>
      <c r="C140" t="inlineStr">
        <is>
          <t xml:space="preserve">     ANON0000000</t>
        </is>
      </c>
      <c r="D140" t="n">
        <v>40</v>
      </c>
      <c r="E140" t="inlineStr">
        <is>
          <t>RULED</t>
        </is>
      </c>
      <c r="F140" t="inlineStr">
        <is>
          <t>USNYC</t>
        </is>
      </c>
      <c r="G140" t="n">
        <v>34040</v>
      </c>
      <c r="H140" t="inlineStr">
        <is>
          <t>ART</t>
        </is>
      </c>
      <c r="I140" t="inlineStr">
        <is>
          <t>45R1</t>
        </is>
      </c>
      <c r="K140" t="inlineStr">
        <is>
          <t>Dry reefer</t>
        </is>
      </c>
      <c r="L140" t="inlineStr">
        <is>
          <t>9'6</t>
        </is>
      </c>
      <c r="M140" t="inlineStr">
        <is>
          <t>Full</t>
        </is>
      </c>
      <c r="P140">
        <f t="array" ref="P140">IFERROR(INDEX(Disch_Booking_Report!B:B, MATCH(TRUE, ISNUMBER(FIND(SUBSTITUTE(C140," ",""), Disch_Booking_Report!AC:AC)), 0)), "Not Found")</f>
        <v/>
      </c>
      <c r="Q140">
        <f t="array" ref="Q140">IFERROR(INDEX(Disch_Booking_Report!C:C, MATCH(TRUE, ISNUMBER(FIND(SUBSTITUTE(C140," ",""), Disch_Booking_Report!AC:AC)), 0)), "Not Found")</f>
        <v/>
      </c>
      <c r="R140">
        <f t="array" ref="R140">IFERROR(INDEX(Disch_Booking_Report!AD:AD, MATCH(TRUE, ISNUMBER(FIND(SUBSTITUTE(C140," ",""), Disch_Booking_Report!AC:AC)), 0)), "Not Found")</f>
        <v/>
      </c>
      <c r="S140">
        <f>Tabela2[[#This Row],[Weight]]</f>
        <v/>
      </c>
      <c r="T140">
        <f t="array" ref="T140">IFERROR(INDEX(Disch_Booking_Report!L:L, MATCH(TRUE, ISNUMBER(FIND(SUBSTITUTE(C140," ",""), Disch_Booking_Report!AC:AC)), 0)), "Not Found")</f>
        <v/>
      </c>
      <c r="U140">
        <f t="array" ref="U140">IFERROR(INDEX(Disch_Booking_Report!I:I, MATCH(TRUE, ISNUMBER(FIND(SUBSTITUTE(C140," ",""), Disch_Booking_Report!AC:AC)), 0)), "Not Found")</f>
        <v/>
      </c>
    </row>
    <row r="141">
      <c r="A141" t="n">
        <v>14</v>
      </c>
      <c r="B141" t="n">
        <v>140586</v>
      </c>
      <c r="C141" t="inlineStr">
        <is>
          <t xml:space="preserve">     ANON0000000</t>
        </is>
      </c>
      <c r="D141" t="n">
        <v>40</v>
      </c>
      <c r="E141" t="inlineStr">
        <is>
          <t>RULED</t>
        </is>
      </c>
      <c r="F141" t="inlineStr">
        <is>
          <t>USNYC</t>
        </is>
      </c>
      <c r="G141" t="n">
        <v>33940</v>
      </c>
      <c r="H141" t="inlineStr">
        <is>
          <t>ART</t>
        </is>
      </c>
      <c r="I141" t="inlineStr">
        <is>
          <t>45R1</t>
        </is>
      </c>
      <c r="K141" t="inlineStr">
        <is>
          <t>Dry reefer</t>
        </is>
      </c>
      <c r="L141" t="inlineStr">
        <is>
          <t>9'6</t>
        </is>
      </c>
      <c r="M141" t="inlineStr">
        <is>
          <t>Full</t>
        </is>
      </c>
      <c r="P141">
        <f t="array" ref="P141">IFERROR(INDEX(Disch_Booking_Report!B:B, MATCH(TRUE, ISNUMBER(FIND(SUBSTITUTE(C141," ",""), Disch_Booking_Report!AC:AC)), 0)), "Not Found")</f>
        <v/>
      </c>
      <c r="Q141">
        <f t="array" ref="Q141">IFERROR(INDEX(Disch_Booking_Report!C:C, MATCH(TRUE, ISNUMBER(FIND(SUBSTITUTE(C141," ",""), Disch_Booking_Report!AC:AC)), 0)), "Not Found")</f>
        <v/>
      </c>
      <c r="R141">
        <f t="array" ref="R141">IFERROR(INDEX(Disch_Booking_Report!AD:AD, MATCH(TRUE, ISNUMBER(FIND(SUBSTITUTE(C141," ",""), Disch_Booking_Report!AC:AC)), 0)), "Not Found")</f>
        <v/>
      </c>
      <c r="S141">
        <f>Tabela2[[#This Row],[Weight]]</f>
        <v/>
      </c>
      <c r="T141">
        <f t="array" ref="T141">IFERROR(INDEX(Disch_Booking_Report!L:L, MATCH(TRUE, ISNUMBER(FIND(SUBSTITUTE(C141," ",""), Disch_Booking_Report!AC:AC)), 0)), "Not Found")</f>
        <v/>
      </c>
      <c r="U141">
        <f t="array" ref="U141">IFERROR(INDEX(Disch_Booking_Report!I:I, MATCH(TRUE, ISNUMBER(FIND(SUBSTITUTE(C141," ",""), Disch_Booking_Report!AC:AC)), 0)), "Not Found")</f>
        <v/>
      </c>
    </row>
    <row r="142">
      <c r="A142" t="n">
        <v>14</v>
      </c>
      <c r="B142" t="n">
        <v>140686</v>
      </c>
      <c r="C142" t="inlineStr">
        <is>
          <t xml:space="preserve">     ANON0000000</t>
        </is>
      </c>
      <c r="D142" t="n">
        <v>40</v>
      </c>
      <c r="E142" t="inlineStr">
        <is>
          <t>RULED</t>
        </is>
      </c>
      <c r="F142" t="inlineStr">
        <is>
          <t>USNYC</t>
        </is>
      </c>
      <c r="G142" t="n">
        <v>33110</v>
      </c>
      <c r="H142" t="inlineStr">
        <is>
          <t>ART</t>
        </is>
      </c>
      <c r="I142" t="inlineStr">
        <is>
          <t>40R1</t>
        </is>
      </c>
      <c r="K142" t="inlineStr">
        <is>
          <t>Dry reefer</t>
        </is>
      </c>
      <c r="L142" t="inlineStr">
        <is>
          <t>8'</t>
        </is>
      </c>
      <c r="M142" t="inlineStr">
        <is>
          <t>Full</t>
        </is>
      </c>
      <c r="P142">
        <f t="array" ref="P142">IFERROR(INDEX(Disch_Booking_Report!B:B, MATCH(TRUE, ISNUMBER(FIND(SUBSTITUTE(C142," ",""), Disch_Booking_Report!AC:AC)), 0)), "Not Found")</f>
        <v/>
      </c>
      <c r="Q142">
        <f t="array" ref="Q142">IFERROR(INDEX(Disch_Booking_Report!C:C, MATCH(TRUE, ISNUMBER(FIND(SUBSTITUTE(C142," ",""), Disch_Booking_Report!AC:AC)), 0)), "Not Found")</f>
        <v/>
      </c>
      <c r="R142">
        <f t="array" ref="R142">IFERROR(INDEX(Disch_Booking_Report!AD:AD, MATCH(TRUE, ISNUMBER(FIND(SUBSTITUTE(C142," ",""), Disch_Booking_Report!AC:AC)), 0)), "Not Found")</f>
        <v/>
      </c>
      <c r="S142">
        <f>Tabela2[[#This Row],[Weight]]</f>
        <v/>
      </c>
      <c r="T142">
        <f t="array" ref="T142">IFERROR(INDEX(Disch_Booking_Report!L:L, MATCH(TRUE, ISNUMBER(FIND(SUBSTITUTE(C142," ",""), Disch_Booking_Report!AC:AC)), 0)), "Not Found")</f>
        <v/>
      </c>
      <c r="U142">
        <f t="array" ref="U142">IFERROR(INDEX(Disch_Booking_Report!I:I, MATCH(TRUE, ISNUMBER(FIND(SUBSTITUTE(C142," ",""), Disch_Booking_Report!AC:AC)), 0)), "Not Found")</f>
        <v/>
      </c>
    </row>
    <row r="143">
      <c r="A143" t="n">
        <v>14</v>
      </c>
      <c r="B143" t="n">
        <v>141084</v>
      </c>
      <c r="C143" t="inlineStr">
        <is>
          <t xml:space="preserve">     ANON0000000</t>
        </is>
      </c>
      <c r="D143" t="n">
        <v>40</v>
      </c>
      <c r="E143" t="inlineStr">
        <is>
          <t>RULED</t>
        </is>
      </c>
      <c r="F143" t="inlineStr">
        <is>
          <t>USNYC</t>
        </is>
      </c>
      <c r="G143" t="n">
        <v>31170</v>
      </c>
      <c r="H143" t="inlineStr">
        <is>
          <t>ART</t>
        </is>
      </c>
      <c r="I143" t="inlineStr">
        <is>
          <t>45R1</t>
        </is>
      </c>
      <c r="K143" t="inlineStr">
        <is>
          <t>Dry reefer</t>
        </is>
      </c>
      <c r="L143" t="inlineStr">
        <is>
          <t>9'6</t>
        </is>
      </c>
      <c r="M143" t="inlineStr">
        <is>
          <t>Full</t>
        </is>
      </c>
      <c r="P143">
        <f t="array" ref="P143">IFERROR(INDEX(Disch_Booking_Report!B:B, MATCH(TRUE, ISNUMBER(FIND(SUBSTITUTE(C143," ",""), Disch_Booking_Report!AC:AC)), 0)), "Not Found")</f>
        <v/>
      </c>
      <c r="Q143">
        <f t="array" ref="Q143">IFERROR(INDEX(Disch_Booking_Report!C:C, MATCH(TRUE, ISNUMBER(FIND(SUBSTITUTE(C143," ",""), Disch_Booking_Report!AC:AC)), 0)), "Not Found")</f>
        <v/>
      </c>
      <c r="R143">
        <f t="array" ref="R143">IFERROR(INDEX(Disch_Booking_Report!AD:AD, MATCH(TRUE, ISNUMBER(FIND(SUBSTITUTE(C143," ",""), Disch_Booking_Report!AC:AC)), 0)), "Not Found")</f>
        <v/>
      </c>
      <c r="S143">
        <f>Tabela2[[#This Row],[Weight]]</f>
        <v/>
      </c>
      <c r="T143">
        <f t="array" ref="T143">IFERROR(INDEX(Disch_Booking_Report!L:L, MATCH(TRUE, ISNUMBER(FIND(SUBSTITUTE(C143," ",""), Disch_Booking_Report!AC:AC)), 0)), "Not Found")</f>
        <v/>
      </c>
      <c r="U143">
        <f t="array" ref="U143">IFERROR(INDEX(Disch_Booking_Report!I:I, MATCH(TRUE, ISNUMBER(FIND(SUBSTITUTE(C143," ",""), Disch_Booking_Report!AC:AC)), 0)), "Not Found")</f>
        <v/>
      </c>
    </row>
    <row r="144">
      <c r="A144" t="n">
        <v>14</v>
      </c>
      <c r="B144" t="n">
        <v>140286</v>
      </c>
      <c r="C144" t="inlineStr">
        <is>
          <t xml:space="preserve">     ANON0000000</t>
        </is>
      </c>
      <c r="D144" t="n">
        <v>40</v>
      </c>
      <c r="E144" t="inlineStr">
        <is>
          <t>RULED</t>
        </is>
      </c>
      <c r="F144" t="inlineStr">
        <is>
          <t>USNYC</t>
        </is>
      </c>
      <c r="G144" t="n">
        <v>34040</v>
      </c>
      <c r="H144" t="inlineStr">
        <is>
          <t>ART</t>
        </is>
      </c>
      <c r="I144" t="inlineStr">
        <is>
          <t>45R1</t>
        </is>
      </c>
      <c r="K144" t="inlineStr">
        <is>
          <t>Dry reefer</t>
        </is>
      </c>
      <c r="L144" t="inlineStr">
        <is>
          <t>9'6</t>
        </is>
      </c>
      <c r="M144" t="inlineStr">
        <is>
          <t>Full</t>
        </is>
      </c>
      <c r="P144">
        <f t="array" ref="P144">IFERROR(INDEX(Disch_Booking_Report!B:B, MATCH(TRUE, ISNUMBER(FIND(SUBSTITUTE(C144," ",""), Disch_Booking_Report!AC:AC)), 0)), "Not Found")</f>
        <v/>
      </c>
      <c r="Q144">
        <f t="array" ref="Q144">IFERROR(INDEX(Disch_Booking_Report!C:C, MATCH(TRUE, ISNUMBER(FIND(SUBSTITUTE(C144," ",""), Disch_Booking_Report!AC:AC)), 0)), "Not Found")</f>
        <v/>
      </c>
      <c r="R144">
        <f t="array" ref="R144">IFERROR(INDEX(Disch_Booking_Report!AD:AD, MATCH(TRUE, ISNUMBER(FIND(SUBSTITUTE(C144," ",""), Disch_Booking_Report!AC:AC)), 0)), "Not Found")</f>
        <v/>
      </c>
      <c r="S144">
        <f>Tabela2[[#This Row],[Weight]]</f>
        <v/>
      </c>
      <c r="T144">
        <f t="array" ref="T144">IFERROR(INDEX(Disch_Booking_Report!L:L, MATCH(TRUE, ISNUMBER(FIND(SUBSTITUTE(C144," ",""), Disch_Booking_Report!AC:AC)), 0)), "Not Found")</f>
        <v/>
      </c>
      <c r="U144">
        <f t="array" ref="U144">IFERROR(INDEX(Disch_Booking_Report!I:I, MATCH(TRUE, ISNUMBER(FIND(SUBSTITUTE(C144," ",""), Disch_Booking_Report!AC:AC)), 0)), "Not Found")</f>
        <v/>
      </c>
    </row>
    <row r="145">
      <c r="A145" t="n">
        <v>14</v>
      </c>
      <c r="B145" t="n">
        <v>141086</v>
      </c>
      <c r="C145" t="inlineStr">
        <is>
          <t xml:space="preserve">     ANON0000000</t>
        </is>
      </c>
      <c r="D145" t="n">
        <v>40</v>
      </c>
      <c r="E145" t="inlineStr">
        <is>
          <t>RULED</t>
        </is>
      </c>
      <c r="F145" t="inlineStr">
        <is>
          <t>USNYC</t>
        </is>
      </c>
      <c r="G145" t="n">
        <v>34980</v>
      </c>
      <c r="H145" t="inlineStr">
        <is>
          <t>ART</t>
        </is>
      </c>
      <c r="I145" t="inlineStr">
        <is>
          <t>45R1</t>
        </is>
      </c>
      <c r="K145" t="inlineStr">
        <is>
          <t>Dry reefer</t>
        </is>
      </c>
      <c r="L145" t="inlineStr">
        <is>
          <t>9'6</t>
        </is>
      </c>
      <c r="M145" t="inlineStr">
        <is>
          <t>Full</t>
        </is>
      </c>
      <c r="P145">
        <f t="array" ref="P145">IFERROR(INDEX(Disch_Booking_Report!B:B, MATCH(TRUE, ISNUMBER(FIND(SUBSTITUTE(C145," ",""), Disch_Booking_Report!AC:AC)), 0)), "Not Found")</f>
        <v/>
      </c>
      <c r="Q145">
        <f t="array" ref="Q145">IFERROR(INDEX(Disch_Booking_Report!C:C, MATCH(TRUE, ISNUMBER(FIND(SUBSTITUTE(C145," ",""), Disch_Booking_Report!AC:AC)), 0)), "Not Found")</f>
        <v/>
      </c>
      <c r="R145">
        <f t="array" ref="R145">IFERROR(INDEX(Disch_Booking_Report!AD:AD, MATCH(TRUE, ISNUMBER(FIND(SUBSTITUTE(C145," ",""), Disch_Booking_Report!AC:AC)), 0)), "Not Found")</f>
        <v/>
      </c>
      <c r="S145">
        <f>Tabela2[[#This Row],[Weight]]</f>
        <v/>
      </c>
      <c r="T145">
        <f t="array" ref="T145">IFERROR(INDEX(Disch_Booking_Report!L:L, MATCH(TRUE, ISNUMBER(FIND(SUBSTITUTE(C145," ",""), Disch_Booking_Report!AC:AC)), 0)), "Not Found")</f>
        <v/>
      </c>
      <c r="U145">
        <f t="array" ref="U145">IFERROR(INDEX(Disch_Booking_Report!I:I, MATCH(TRUE, ISNUMBER(FIND(SUBSTITUTE(C145," ",""), Disch_Booking_Report!AC:AC)), 0)), "Not Found")</f>
        <v/>
      </c>
    </row>
    <row r="146">
      <c r="A146" t="n">
        <v>14</v>
      </c>
      <c r="B146" t="n">
        <v>140386</v>
      </c>
      <c r="C146" t="inlineStr">
        <is>
          <t xml:space="preserve">     ANON0000000</t>
        </is>
      </c>
      <c r="D146" t="n">
        <v>40</v>
      </c>
      <c r="E146" t="inlineStr">
        <is>
          <t>RULED</t>
        </is>
      </c>
      <c r="F146" t="inlineStr">
        <is>
          <t>USNYC</t>
        </is>
      </c>
      <c r="G146" t="n">
        <v>34030</v>
      </c>
      <c r="H146" t="inlineStr">
        <is>
          <t>ART</t>
        </is>
      </c>
      <c r="I146" t="inlineStr">
        <is>
          <t>45R1</t>
        </is>
      </c>
      <c r="K146" t="inlineStr">
        <is>
          <t>Dry reefer</t>
        </is>
      </c>
      <c r="L146" t="inlineStr">
        <is>
          <t>9'6</t>
        </is>
      </c>
      <c r="M146" t="inlineStr">
        <is>
          <t>Full</t>
        </is>
      </c>
      <c r="P146">
        <f t="array" ref="P146">IFERROR(INDEX(Disch_Booking_Report!B:B, MATCH(TRUE, ISNUMBER(FIND(SUBSTITUTE(C146," ",""), Disch_Booking_Report!AC:AC)), 0)), "Not Found")</f>
        <v/>
      </c>
      <c r="Q146">
        <f t="array" ref="Q146">IFERROR(INDEX(Disch_Booking_Report!C:C, MATCH(TRUE, ISNUMBER(FIND(SUBSTITUTE(C146," ",""), Disch_Booking_Report!AC:AC)), 0)), "Not Found")</f>
        <v/>
      </c>
      <c r="R146">
        <f t="array" ref="R146">IFERROR(INDEX(Disch_Booking_Report!AD:AD, MATCH(TRUE, ISNUMBER(FIND(SUBSTITUTE(C146," ",""), Disch_Booking_Report!AC:AC)), 0)), "Not Found")</f>
        <v/>
      </c>
      <c r="S146">
        <f>Tabela2[[#This Row],[Weight]]</f>
        <v/>
      </c>
      <c r="T146">
        <f t="array" ref="T146">IFERROR(INDEX(Disch_Booking_Report!L:L, MATCH(TRUE, ISNUMBER(FIND(SUBSTITUTE(C146," ",""), Disch_Booking_Report!AC:AC)), 0)), "Not Found")</f>
        <v/>
      </c>
      <c r="U146">
        <f t="array" ref="U146">IFERROR(INDEX(Disch_Booking_Report!I:I, MATCH(TRUE, ISNUMBER(FIND(SUBSTITUTE(C146," ",""), Disch_Booking_Report!AC:AC)), 0)), "Not Found")</f>
        <v/>
      </c>
    </row>
    <row r="147">
      <c r="A147" t="n">
        <v>14</v>
      </c>
      <c r="B147" t="n">
        <v>141082</v>
      </c>
      <c r="C147" t="inlineStr">
        <is>
          <t xml:space="preserve">     ANON0000000</t>
        </is>
      </c>
      <c r="D147" t="n">
        <v>40</v>
      </c>
      <c r="E147" t="inlineStr">
        <is>
          <t>RULED</t>
        </is>
      </c>
      <c r="F147" t="inlineStr">
        <is>
          <t>USNYC</t>
        </is>
      </c>
      <c r="G147" t="n">
        <v>33100</v>
      </c>
      <c r="H147" t="inlineStr">
        <is>
          <t>ART</t>
        </is>
      </c>
      <c r="I147" t="inlineStr">
        <is>
          <t>45R1</t>
        </is>
      </c>
      <c r="K147" t="inlineStr">
        <is>
          <t>Dry reefer</t>
        </is>
      </c>
      <c r="L147" t="inlineStr">
        <is>
          <t>9'6</t>
        </is>
      </c>
      <c r="M147" t="inlineStr">
        <is>
          <t>Full</t>
        </is>
      </c>
      <c r="P147">
        <f t="array" ref="P147">IFERROR(INDEX(Disch_Booking_Report!B:B, MATCH(TRUE, ISNUMBER(FIND(SUBSTITUTE(C147," ",""), Disch_Booking_Report!AC:AC)), 0)), "Not Found")</f>
        <v/>
      </c>
      <c r="Q147">
        <f t="array" ref="Q147">IFERROR(INDEX(Disch_Booking_Report!C:C, MATCH(TRUE, ISNUMBER(FIND(SUBSTITUTE(C147," ",""), Disch_Booking_Report!AC:AC)), 0)), "Not Found")</f>
        <v/>
      </c>
      <c r="R147">
        <f t="array" ref="R147">IFERROR(INDEX(Disch_Booking_Report!AD:AD, MATCH(TRUE, ISNUMBER(FIND(SUBSTITUTE(C147," ",""), Disch_Booking_Report!AC:AC)), 0)), "Not Found")</f>
        <v/>
      </c>
      <c r="S147">
        <f>Tabela2[[#This Row],[Weight]]</f>
        <v/>
      </c>
      <c r="T147">
        <f t="array" ref="T147">IFERROR(INDEX(Disch_Booking_Report!L:L, MATCH(TRUE, ISNUMBER(FIND(SUBSTITUTE(C147," ",""), Disch_Booking_Report!AC:AC)), 0)), "Not Found")</f>
        <v/>
      </c>
      <c r="U147">
        <f t="array" ref="U147">IFERROR(INDEX(Disch_Booking_Report!I:I, MATCH(TRUE, ISNUMBER(FIND(SUBSTITUTE(C147," ",""), Disch_Booking_Report!AC:AC)), 0)), "Not Found")</f>
        <v/>
      </c>
    </row>
    <row r="148">
      <c r="A148" t="n">
        <v>14</v>
      </c>
      <c r="B148" t="n">
        <v>140486</v>
      </c>
      <c r="C148" t="inlineStr">
        <is>
          <t xml:space="preserve">     ANON0000000</t>
        </is>
      </c>
      <c r="D148" t="n">
        <v>40</v>
      </c>
      <c r="E148" t="inlineStr">
        <is>
          <t>RULED</t>
        </is>
      </c>
      <c r="F148" t="inlineStr">
        <is>
          <t>USNYC</t>
        </is>
      </c>
      <c r="G148" t="n">
        <v>33160</v>
      </c>
      <c r="H148" t="inlineStr">
        <is>
          <t>ART</t>
        </is>
      </c>
      <c r="I148" t="inlineStr">
        <is>
          <t>45R1</t>
        </is>
      </c>
      <c r="K148" t="inlineStr">
        <is>
          <t>Dry reefer</t>
        </is>
      </c>
      <c r="L148" t="inlineStr">
        <is>
          <t>9'6</t>
        </is>
      </c>
      <c r="M148" t="inlineStr">
        <is>
          <t>Full</t>
        </is>
      </c>
      <c r="P148">
        <f t="array" ref="P148">IFERROR(INDEX(Disch_Booking_Report!B:B, MATCH(TRUE, ISNUMBER(FIND(SUBSTITUTE(C148," ",""), Disch_Booking_Report!AC:AC)), 0)), "Not Found")</f>
        <v/>
      </c>
      <c r="Q148">
        <f t="array" ref="Q148">IFERROR(INDEX(Disch_Booking_Report!C:C, MATCH(TRUE, ISNUMBER(FIND(SUBSTITUTE(C148," ",""), Disch_Booking_Report!AC:AC)), 0)), "Not Found")</f>
        <v/>
      </c>
      <c r="R148">
        <f t="array" ref="R148">IFERROR(INDEX(Disch_Booking_Report!AD:AD, MATCH(TRUE, ISNUMBER(FIND(SUBSTITUTE(C148," ",""), Disch_Booking_Report!AC:AC)), 0)), "Not Found")</f>
        <v/>
      </c>
      <c r="S148">
        <f>Tabela2[[#This Row],[Weight]]</f>
        <v/>
      </c>
      <c r="T148">
        <f t="array" ref="T148">IFERROR(INDEX(Disch_Booking_Report!L:L, MATCH(TRUE, ISNUMBER(FIND(SUBSTITUTE(C148," ",""), Disch_Booking_Report!AC:AC)), 0)), "Not Found")</f>
        <v/>
      </c>
      <c r="U148">
        <f t="array" ref="U148">IFERROR(INDEX(Disch_Booking_Report!I:I, MATCH(TRUE, ISNUMBER(FIND(SUBSTITUTE(C148," ",""), Disch_Booking_Report!AC:AC)), 0)), "Not Found")</f>
        <v/>
      </c>
    </row>
    <row r="149">
      <c r="A149" t="n">
        <v>14</v>
      </c>
      <c r="B149" t="n">
        <v>140986</v>
      </c>
      <c r="C149" t="inlineStr">
        <is>
          <t xml:space="preserve">     ANON0000000</t>
        </is>
      </c>
      <c r="D149" t="n">
        <v>40</v>
      </c>
      <c r="E149" t="inlineStr">
        <is>
          <t>USHOU</t>
        </is>
      </c>
      <c r="F149" t="inlineStr">
        <is>
          <t>USHOU</t>
        </is>
      </c>
      <c r="G149" t="n">
        <v>17680</v>
      </c>
      <c r="H149" t="inlineStr">
        <is>
          <t>ART</t>
        </is>
      </c>
      <c r="I149" t="inlineStr">
        <is>
          <t>45G1</t>
        </is>
      </c>
      <c r="L149" t="inlineStr">
        <is>
          <t>9'6</t>
        </is>
      </c>
      <c r="M149" t="inlineStr">
        <is>
          <t>Full</t>
        </is>
      </c>
      <c r="N149" t="inlineStr">
        <is>
          <t>RULED</t>
        </is>
      </c>
      <c r="P149">
        <f t="array" ref="P149">IFERROR(INDEX(Disch_Booking_Report!B:B, MATCH(TRUE, ISNUMBER(FIND(SUBSTITUTE(C149," ",""), Disch_Booking_Report!AC:AC)), 0)), "Not Found")</f>
        <v/>
      </c>
      <c r="Q149">
        <f t="array" ref="Q149">IFERROR(INDEX(Disch_Booking_Report!C:C, MATCH(TRUE, ISNUMBER(FIND(SUBSTITUTE(C149," ",""), Disch_Booking_Report!AC:AC)), 0)), "Not Found")</f>
        <v/>
      </c>
      <c r="R149">
        <f t="array" ref="R149">IFERROR(INDEX(Disch_Booking_Report!AD:AD, MATCH(TRUE, ISNUMBER(FIND(SUBSTITUTE(C149," ",""), Disch_Booking_Report!AC:AC)), 0)), "Not Found")</f>
        <v/>
      </c>
      <c r="S149">
        <f>Tabela2[[#This Row],[Weight]]</f>
        <v/>
      </c>
      <c r="T149">
        <f t="array" ref="T149">IFERROR(INDEX(Disch_Booking_Report!L:L, MATCH(TRUE, ISNUMBER(FIND(SUBSTITUTE(C149," ",""), Disch_Booking_Report!AC:AC)), 0)), "Not Found")</f>
        <v/>
      </c>
      <c r="U149">
        <f t="array" ref="U149">IFERROR(INDEX(Disch_Booking_Report!I:I, MATCH(TRUE, ISNUMBER(FIND(SUBSTITUTE(C149," ",""), Disch_Booking_Report!AC:AC)), 0)), "Not Found")</f>
        <v/>
      </c>
    </row>
    <row r="150">
      <c r="A150" t="n">
        <v>14</v>
      </c>
      <c r="B150" t="n">
        <v>140208</v>
      </c>
      <c r="C150" t="inlineStr">
        <is>
          <t xml:space="preserve">     ANON0000000</t>
        </is>
      </c>
      <c r="D150" t="n">
        <v>40</v>
      </c>
      <c r="E150" t="inlineStr">
        <is>
          <t>RULED</t>
        </is>
      </c>
      <c r="F150" t="inlineStr">
        <is>
          <t>USHOU</t>
        </is>
      </c>
      <c r="G150" t="n">
        <v>26470</v>
      </c>
      <c r="H150" t="inlineStr">
        <is>
          <t>ART</t>
        </is>
      </c>
      <c r="I150" t="inlineStr">
        <is>
          <t>45G1</t>
        </is>
      </c>
      <c r="L150" t="inlineStr">
        <is>
          <t>9'6</t>
        </is>
      </c>
      <c r="M150" t="inlineStr">
        <is>
          <t>Full</t>
        </is>
      </c>
      <c r="P150">
        <f t="array" ref="P150">IFERROR(INDEX(Disch_Booking_Report!B:B, MATCH(TRUE, ISNUMBER(FIND(SUBSTITUTE(C150," ",""), Disch_Booking_Report!AC:AC)), 0)), "Not Found")</f>
        <v/>
      </c>
      <c r="Q150">
        <f t="array" ref="Q150">IFERROR(INDEX(Disch_Booking_Report!C:C, MATCH(TRUE, ISNUMBER(FIND(SUBSTITUTE(C150," ",""), Disch_Booking_Report!AC:AC)), 0)), "Not Found")</f>
        <v/>
      </c>
      <c r="R150">
        <f t="array" ref="R150">IFERROR(INDEX(Disch_Booking_Report!AD:AD, MATCH(TRUE, ISNUMBER(FIND(SUBSTITUTE(C150," ",""), Disch_Booking_Report!AC:AC)), 0)), "Not Found")</f>
        <v/>
      </c>
      <c r="S150">
        <f>Tabela2[[#This Row],[Weight]]</f>
        <v/>
      </c>
      <c r="T150">
        <f t="array" ref="T150">IFERROR(INDEX(Disch_Booking_Report!L:L, MATCH(TRUE, ISNUMBER(FIND(SUBSTITUTE(C150," ",""), Disch_Booking_Report!AC:AC)), 0)), "Not Found")</f>
        <v/>
      </c>
      <c r="U150">
        <f t="array" ref="U150">IFERROR(INDEX(Disch_Booking_Report!I:I, MATCH(TRUE, ISNUMBER(FIND(SUBSTITUTE(C150," ",""), Disch_Booking_Report!AC:AC)), 0)), "Not Found")</f>
        <v/>
      </c>
    </row>
    <row r="151">
      <c r="A151" t="n">
        <v>14</v>
      </c>
      <c r="B151" t="n">
        <v>140604</v>
      </c>
      <c r="C151" t="inlineStr">
        <is>
          <t xml:space="preserve">     ANON0000000</t>
        </is>
      </c>
      <c r="D151" t="n">
        <v>40</v>
      </c>
      <c r="E151" t="inlineStr">
        <is>
          <t>RULED</t>
        </is>
      </c>
      <c r="F151" t="inlineStr">
        <is>
          <t>USHOU</t>
        </is>
      </c>
      <c r="G151" t="n">
        <v>31790</v>
      </c>
      <c r="H151" t="inlineStr">
        <is>
          <t>ART</t>
        </is>
      </c>
      <c r="I151" t="inlineStr">
        <is>
          <t>45G1</t>
        </is>
      </c>
      <c r="L151" t="inlineStr">
        <is>
          <t>9'6</t>
        </is>
      </c>
      <c r="M151" t="inlineStr">
        <is>
          <t>Full</t>
        </is>
      </c>
      <c r="P151">
        <f t="array" ref="P151">IFERROR(INDEX(Disch_Booking_Report!B:B, MATCH(TRUE, ISNUMBER(FIND(SUBSTITUTE(C151," ",""), Disch_Booking_Report!AC:AC)), 0)), "Not Found")</f>
        <v/>
      </c>
      <c r="Q151">
        <f t="array" ref="Q151">IFERROR(INDEX(Disch_Booking_Report!C:C, MATCH(TRUE, ISNUMBER(FIND(SUBSTITUTE(C151," ",""), Disch_Booking_Report!AC:AC)), 0)), "Not Found")</f>
        <v/>
      </c>
      <c r="R151">
        <f t="array" ref="R151">IFERROR(INDEX(Disch_Booking_Report!AD:AD, MATCH(TRUE, ISNUMBER(FIND(SUBSTITUTE(C151," ",""), Disch_Booking_Report!AC:AC)), 0)), "Not Found")</f>
        <v/>
      </c>
      <c r="S151">
        <f>Tabela2[[#This Row],[Weight]]</f>
        <v/>
      </c>
      <c r="T151">
        <f t="array" ref="T151">IFERROR(INDEX(Disch_Booking_Report!L:L, MATCH(TRUE, ISNUMBER(FIND(SUBSTITUTE(C151," ",""), Disch_Booking_Report!AC:AC)), 0)), "Not Found")</f>
        <v/>
      </c>
      <c r="U151">
        <f t="array" ref="U151">IFERROR(INDEX(Disch_Booking_Report!I:I, MATCH(TRUE, ISNUMBER(FIND(SUBSTITUTE(C151," ",""), Disch_Booking_Report!AC:AC)), 0)), "Not Found")</f>
        <v/>
      </c>
    </row>
    <row r="152">
      <c r="A152" t="n">
        <v>14</v>
      </c>
      <c r="B152" t="n">
        <v>140502</v>
      </c>
      <c r="C152" t="inlineStr">
        <is>
          <t xml:space="preserve">     ANON0000000</t>
        </is>
      </c>
      <c r="D152" t="n">
        <v>40</v>
      </c>
      <c r="E152" t="inlineStr">
        <is>
          <t>RULED</t>
        </is>
      </c>
      <c r="F152" t="inlineStr">
        <is>
          <t>USHOU</t>
        </is>
      </c>
      <c r="G152" t="n">
        <v>31790</v>
      </c>
      <c r="H152" t="inlineStr">
        <is>
          <t>ART</t>
        </is>
      </c>
      <c r="I152" t="inlineStr">
        <is>
          <t>45G1</t>
        </is>
      </c>
      <c r="L152" t="inlineStr">
        <is>
          <t>9'6</t>
        </is>
      </c>
      <c r="M152" t="inlineStr">
        <is>
          <t>Full</t>
        </is>
      </c>
      <c r="P152">
        <f t="array" ref="P152">IFERROR(INDEX(Disch_Booking_Report!B:B, MATCH(TRUE, ISNUMBER(FIND(SUBSTITUTE(C152," ",""), Disch_Booking_Report!AC:AC)), 0)), "Not Found")</f>
        <v/>
      </c>
      <c r="Q152">
        <f t="array" ref="Q152">IFERROR(INDEX(Disch_Booking_Report!C:C, MATCH(TRUE, ISNUMBER(FIND(SUBSTITUTE(C152," ",""), Disch_Booking_Report!AC:AC)), 0)), "Not Found")</f>
        <v/>
      </c>
      <c r="R152">
        <f t="array" ref="R152">IFERROR(INDEX(Disch_Booking_Report!AD:AD, MATCH(TRUE, ISNUMBER(FIND(SUBSTITUTE(C152," ",""), Disch_Booking_Report!AC:AC)), 0)), "Not Found")</f>
        <v/>
      </c>
      <c r="S152">
        <f>Tabela2[[#This Row],[Weight]]</f>
        <v/>
      </c>
      <c r="T152">
        <f t="array" ref="T152">IFERROR(INDEX(Disch_Booking_Report!L:L, MATCH(TRUE, ISNUMBER(FIND(SUBSTITUTE(C152," ",""), Disch_Booking_Report!AC:AC)), 0)), "Not Found")</f>
        <v/>
      </c>
      <c r="U152">
        <f t="array" ref="U152">IFERROR(INDEX(Disch_Booking_Report!I:I, MATCH(TRUE, ISNUMBER(FIND(SUBSTITUTE(C152," ",""), Disch_Booking_Report!AC:AC)), 0)), "Not Found")</f>
        <v/>
      </c>
    </row>
    <row r="153">
      <c r="A153" t="n">
        <v>14</v>
      </c>
      <c r="B153" t="n">
        <v>140606</v>
      </c>
      <c r="C153" t="inlineStr">
        <is>
          <t xml:space="preserve">     ANON0000000</t>
        </is>
      </c>
      <c r="D153" t="n">
        <v>40</v>
      </c>
      <c r="E153" t="inlineStr">
        <is>
          <t>RULED</t>
        </is>
      </c>
      <c r="F153" t="inlineStr">
        <is>
          <t>USHOU</t>
        </is>
      </c>
      <c r="G153" t="n">
        <v>31790</v>
      </c>
      <c r="H153" t="inlineStr">
        <is>
          <t>ART</t>
        </is>
      </c>
      <c r="I153" t="inlineStr">
        <is>
          <t>45G1</t>
        </is>
      </c>
      <c r="L153" t="inlineStr">
        <is>
          <t>9'6</t>
        </is>
      </c>
      <c r="M153" t="inlineStr">
        <is>
          <t>Full</t>
        </is>
      </c>
      <c r="P153">
        <f t="array" ref="P153">IFERROR(INDEX(Disch_Booking_Report!B:B, MATCH(TRUE, ISNUMBER(FIND(SUBSTITUTE(C153," ",""), Disch_Booking_Report!AC:AC)), 0)), "Not Found")</f>
        <v/>
      </c>
      <c r="Q153">
        <f t="array" ref="Q153">IFERROR(INDEX(Disch_Booking_Report!C:C, MATCH(TRUE, ISNUMBER(FIND(SUBSTITUTE(C153," ",""), Disch_Booking_Report!AC:AC)), 0)), "Not Found")</f>
        <v/>
      </c>
      <c r="R153">
        <f t="array" ref="R153">IFERROR(INDEX(Disch_Booking_Report!AD:AD, MATCH(TRUE, ISNUMBER(FIND(SUBSTITUTE(C153," ",""), Disch_Booking_Report!AC:AC)), 0)), "Not Found")</f>
        <v/>
      </c>
      <c r="S153">
        <f>Tabela2[[#This Row],[Weight]]</f>
        <v/>
      </c>
      <c r="T153">
        <f t="array" ref="T153">IFERROR(INDEX(Disch_Booking_Report!L:L, MATCH(TRUE, ISNUMBER(FIND(SUBSTITUTE(C153," ",""), Disch_Booking_Report!AC:AC)), 0)), "Not Found")</f>
        <v/>
      </c>
      <c r="U153">
        <f t="array" ref="U153">IFERROR(INDEX(Disch_Booking_Report!I:I, MATCH(TRUE, ISNUMBER(FIND(SUBSTITUTE(C153," ",""), Disch_Booking_Report!AC:AC)), 0)), "Not Found")</f>
        <v/>
      </c>
    </row>
    <row r="154">
      <c r="A154" t="n">
        <v>14</v>
      </c>
      <c r="B154" t="n">
        <v>140282</v>
      </c>
      <c r="C154" t="inlineStr">
        <is>
          <t xml:space="preserve">     ANON0000000</t>
        </is>
      </c>
      <c r="D154" t="n">
        <v>40</v>
      </c>
      <c r="E154" t="inlineStr">
        <is>
          <t>RULED</t>
        </is>
      </c>
      <c r="F154" t="inlineStr">
        <is>
          <t>USHOU</t>
        </is>
      </c>
      <c r="G154" t="n">
        <v>31790</v>
      </c>
      <c r="H154" t="inlineStr">
        <is>
          <t>ART</t>
        </is>
      </c>
      <c r="I154" t="inlineStr">
        <is>
          <t>45G1</t>
        </is>
      </c>
      <c r="L154" t="inlineStr">
        <is>
          <t>9'6</t>
        </is>
      </c>
      <c r="M154" t="inlineStr">
        <is>
          <t>Full</t>
        </is>
      </c>
      <c r="P154">
        <f t="array" ref="P154">IFERROR(INDEX(Disch_Booking_Report!B:B, MATCH(TRUE, ISNUMBER(FIND(SUBSTITUTE(C154," ",""), Disch_Booking_Report!AC:AC)), 0)), "Not Found")</f>
        <v/>
      </c>
      <c r="Q154">
        <f t="array" ref="Q154">IFERROR(INDEX(Disch_Booking_Report!C:C, MATCH(TRUE, ISNUMBER(FIND(SUBSTITUTE(C154," ",""), Disch_Booking_Report!AC:AC)), 0)), "Not Found")</f>
        <v/>
      </c>
      <c r="R154">
        <f t="array" ref="R154">IFERROR(INDEX(Disch_Booking_Report!AD:AD, MATCH(TRUE, ISNUMBER(FIND(SUBSTITUTE(C154," ",""), Disch_Booking_Report!AC:AC)), 0)), "Not Found")</f>
        <v/>
      </c>
      <c r="S154">
        <f>Tabela2[[#This Row],[Weight]]</f>
        <v/>
      </c>
      <c r="T154">
        <f t="array" ref="T154">IFERROR(INDEX(Disch_Booking_Report!L:L, MATCH(TRUE, ISNUMBER(FIND(SUBSTITUTE(C154," ",""), Disch_Booking_Report!AC:AC)), 0)), "Not Found")</f>
        <v/>
      </c>
      <c r="U154">
        <f t="array" ref="U154">IFERROR(INDEX(Disch_Booking_Report!I:I, MATCH(TRUE, ISNUMBER(FIND(SUBSTITUTE(C154," ",""), Disch_Booking_Report!AC:AC)), 0)), "Not Found")</f>
        <v/>
      </c>
    </row>
    <row r="155">
      <c r="A155" t="n">
        <v>14</v>
      </c>
      <c r="B155" t="n">
        <v>140584</v>
      </c>
      <c r="C155" t="inlineStr">
        <is>
          <t xml:space="preserve">     ANON0000000</t>
        </is>
      </c>
      <c r="D155" t="n">
        <v>40</v>
      </c>
      <c r="E155" t="inlineStr">
        <is>
          <t>RULED</t>
        </is>
      </c>
      <c r="F155" t="inlineStr">
        <is>
          <t>USHOU</t>
        </is>
      </c>
      <c r="G155" t="n">
        <v>31790</v>
      </c>
      <c r="H155" t="inlineStr">
        <is>
          <t>ART</t>
        </is>
      </c>
      <c r="I155" t="inlineStr">
        <is>
          <t>45G1</t>
        </is>
      </c>
      <c r="L155" t="inlineStr">
        <is>
          <t>9'6</t>
        </is>
      </c>
      <c r="M155" t="inlineStr">
        <is>
          <t>Full</t>
        </is>
      </c>
      <c r="P155">
        <f t="array" ref="P155">IFERROR(INDEX(Disch_Booking_Report!B:B, MATCH(TRUE, ISNUMBER(FIND(SUBSTITUTE(C155," ",""), Disch_Booking_Report!AC:AC)), 0)), "Not Found")</f>
        <v/>
      </c>
      <c r="Q155">
        <f t="array" ref="Q155">IFERROR(INDEX(Disch_Booking_Report!C:C, MATCH(TRUE, ISNUMBER(FIND(SUBSTITUTE(C155," ",""), Disch_Booking_Report!AC:AC)), 0)), "Not Found")</f>
        <v/>
      </c>
      <c r="R155">
        <f t="array" ref="R155">IFERROR(INDEX(Disch_Booking_Report!AD:AD, MATCH(TRUE, ISNUMBER(FIND(SUBSTITUTE(C155," ",""), Disch_Booking_Report!AC:AC)), 0)), "Not Found")</f>
        <v/>
      </c>
      <c r="S155">
        <f>Tabela2[[#This Row],[Weight]]</f>
        <v/>
      </c>
      <c r="T155">
        <f t="array" ref="T155">IFERROR(INDEX(Disch_Booking_Report!L:L, MATCH(TRUE, ISNUMBER(FIND(SUBSTITUTE(C155," ",""), Disch_Booking_Report!AC:AC)), 0)), "Not Found")</f>
        <v/>
      </c>
      <c r="U155">
        <f t="array" ref="U155">IFERROR(INDEX(Disch_Booking_Report!I:I, MATCH(TRUE, ISNUMBER(FIND(SUBSTITUTE(C155," ",""), Disch_Booking_Report!AC:AC)), 0)), "Not Found")</f>
        <v/>
      </c>
    </row>
    <row r="156">
      <c r="A156" t="n">
        <v>14</v>
      </c>
      <c r="B156" t="n">
        <v>140402</v>
      </c>
      <c r="C156" t="inlineStr">
        <is>
          <t xml:space="preserve">     ANON0000000</t>
        </is>
      </c>
      <c r="D156" t="n">
        <v>40</v>
      </c>
      <c r="E156" t="inlineStr">
        <is>
          <t>RULED</t>
        </is>
      </c>
      <c r="F156" t="inlineStr">
        <is>
          <t>USHOU</t>
        </is>
      </c>
      <c r="G156" t="n">
        <v>31790</v>
      </c>
      <c r="H156" t="inlineStr">
        <is>
          <t>ART</t>
        </is>
      </c>
      <c r="I156" t="inlineStr">
        <is>
          <t>45G1</t>
        </is>
      </c>
      <c r="L156" t="inlineStr">
        <is>
          <t>9'6</t>
        </is>
      </c>
      <c r="M156" t="inlineStr">
        <is>
          <t>Full</t>
        </is>
      </c>
      <c r="P156">
        <f t="array" ref="P156">IFERROR(INDEX(Disch_Booking_Report!B:B, MATCH(TRUE, ISNUMBER(FIND(SUBSTITUTE(C156," ",""), Disch_Booking_Report!AC:AC)), 0)), "Not Found")</f>
        <v/>
      </c>
      <c r="Q156">
        <f t="array" ref="Q156">IFERROR(INDEX(Disch_Booking_Report!C:C, MATCH(TRUE, ISNUMBER(FIND(SUBSTITUTE(C156," ",""), Disch_Booking_Report!AC:AC)), 0)), "Not Found")</f>
        <v/>
      </c>
      <c r="R156">
        <f t="array" ref="R156">IFERROR(INDEX(Disch_Booking_Report!AD:AD, MATCH(TRUE, ISNUMBER(FIND(SUBSTITUTE(C156," ",""), Disch_Booking_Report!AC:AC)), 0)), "Not Found")</f>
        <v/>
      </c>
      <c r="S156">
        <f>Tabela2[[#This Row],[Weight]]</f>
        <v/>
      </c>
      <c r="T156">
        <f t="array" ref="T156">IFERROR(INDEX(Disch_Booking_Report!L:L, MATCH(TRUE, ISNUMBER(FIND(SUBSTITUTE(C156," ",""), Disch_Booking_Report!AC:AC)), 0)), "Not Found")</f>
        <v/>
      </c>
      <c r="U156">
        <f t="array" ref="U156">IFERROR(INDEX(Disch_Booking_Report!I:I, MATCH(TRUE, ISNUMBER(FIND(SUBSTITUTE(C156," ",""), Disch_Booking_Report!AC:AC)), 0)), "Not Found")</f>
        <v/>
      </c>
    </row>
    <row r="157">
      <c r="A157" t="n">
        <v>14</v>
      </c>
      <c r="B157" t="n">
        <v>140084</v>
      </c>
      <c r="C157" t="inlineStr">
        <is>
          <t xml:space="preserve">     ANON0000000</t>
        </is>
      </c>
      <c r="D157" t="n">
        <v>40</v>
      </c>
      <c r="E157" t="inlineStr">
        <is>
          <t>RULED</t>
        </is>
      </c>
      <c r="F157" t="inlineStr">
        <is>
          <t>USHOU</t>
        </is>
      </c>
      <c r="G157" t="n">
        <v>31790</v>
      </c>
      <c r="H157" t="inlineStr">
        <is>
          <t>ART</t>
        </is>
      </c>
      <c r="I157" t="inlineStr">
        <is>
          <t>45G1</t>
        </is>
      </c>
      <c r="L157" t="inlineStr">
        <is>
          <t>9'6</t>
        </is>
      </c>
      <c r="M157" t="inlineStr">
        <is>
          <t>Full</t>
        </is>
      </c>
      <c r="P157">
        <f t="array" ref="P157">IFERROR(INDEX(Disch_Booking_Report!B:B, MATCH(TRUE, ISNUMBER(FIND(SUBSTITUTE(C157," ",""), Disch_Booking_Report!AC:AC)), 0)), "Not Found")</f>
        <v/>
      </c>
      <c r="Q157">
        <f t="array" ref="Q157">IFERROR(INDEX(Disch_Booking_Report!C:C, MATCH(TRUE, ISNUMBER(FIND(SUBSTITUTE(C157," ",""), Disch_Booking_Report!AC:AC)), 0)), "Not Found")</f>
        <v/>
      </c>
      <c r="R157">
        <f t="array" ref="R157">IFERROR(INDEX(Disch_Booking_Report!AD:AD, MATCH(TRUE, ISNUMBER(FIND(SUBSTITUTE(C157," ",""), Disch_Booking_Report!AC:AC)), 0)), "Not Found")</f>
        <v/>
      </c>
      <c r="S157">
        <f>Tabela2[[#This Row],[Weight]]</f>
        <v/>
      </c>
      <c r="T157">
        <f t="array" ref="T157">IFERROR(INDEX(Disch_Booking_Report!L:L, MATCH(TRUE, ISNUMBER(FIND(SUBSTITUTE(C157," ",""), Disch_Booking_Report!AC:AC)), 0)), "Not Found")</f>
        <v/>
      </c>
      <c r="U157">
        <f t="array" ref="U157">IFERROR(INDEX(Disch_Booking_Report!I:I, MATCH(TRUE, ISNUMBER(FIND(SUBSTITUTE(C157," ",""), Disch_Booking_Report!AC:AC)), 0)), "Not Found")</f>
        <v/>
      </c>
    </row>
    <row r="158">
      <c r="A158" t="n">
        <v>14</v>
      </c>
      <c r="B158" t="n">
        <v>140504</v>
      </c>
      <c r="C158" t="inlineStr">
        <is>
          <t xml:space="preserve">     ANON0000000</t>
        </is>
      </c>
      <c r="D158" t="n">
        <v>40</v>
      </c>
      <c r="E158" t="inlineStr">
        <is>
          <t>RULED</t>
        </is>
      </c>
      <c r="F158" t="inlineStr">
        <is>
          <t>USHOU</t>
        </is>
      </c>
      <c r="G158" t="n">
        <v>31790</v>
      </c>
      <c r="H158" t="inlineStr">
        <is>
          <t>ART</t>
        </is>
      </c>
      <c r="I158" t="inlineStr">
        <is>
          <t>45G1</t>
        </is>
      </c>
      <c r="L158" t="inlineStr">
        <is>
          <t>9'6</t>
        </is>
      </c>
      <c r="M158" t="inlineStr">
        <is>
          <t>Full</t>
        </is>
      </c>
      <c r="P158">
        <f t="array" ref="P158">IFERROR(INDEX(Disch_Booking_Report!B:B, MATCH(TRUE, ISNUMBER(FIND(SUBSTITUTE(C158," ",""), Disch_Booking_Report!AC:AC)), 0)), "Not Found")</f>
        <v/>
      </c>
      <c r="Q158">
        <f t="array" ref="Q158">IFERROR(INDEX(Disch_Booking_Report!C:C, MATCH(TRUE, ISNUMBER(FIND(SUBSTITUTE(C158," ",""), Disch_Booking_Report!AC:AC)), 0)), "Not Found")</f>
        <v/>
      </c>
      <c r="R158">
        <f t="array" ref="R158">IFERROR(INDEX(Disch_Booking_Report!AD:AD, MATCH(TRUE, ISNUMBER(FIND(SUBSTITUTE(C158," ",""), Disch_Booking_Report!AC:AC)), 0)), "Not Found")</f>
        <v/>
      </c>
      <c r="S158">
        <f>Tabela2[[#This Row],[Weight]]</f>
        <v/>
      </c>
      <c r="T158">
        <f t="array" ref="T158">IFERROR(INDEX(Disch_Booking_Report!L:L, MATCH(TRUE, ISNUMBER(FIND(SUBSTITUTE(C158," ",""), Disch_Booking_Report!AC:AC)), 0)), "Not Found")</f>
        <v/>
      </c>
      <c r="U158">
        <f t="array" ref="U158">IFERROR(INDEX(Disch_Booking_Report!I:I, MATCH(TRUE, ISNUMBER(FIND(SUBSTITUTE(C158," ",""), Disch_Booking_Report!AC:AC)), 0)), "Not Found")</f>
        <v/>
      </c>
    </row>
    <row r="159">
      <c r="A159" t="n">
        <v>14</v>
      </c>
      <c r="B159" t="n">
        <v>140608</v>
      </c>
      <c r="C159" t="inlineStr">
        <is>
          <t xml:space="preserve">     ANON0000000</t>
        </is>
      </c>
      <c r="D159" t="n">
        <v>40</v>
      </c>
      <c r="E159" t="inlineStr">
        <is>
          <t>RULED</t>
        </is>
      </c>
      <c r="F159" t="inlineStr">
        <is>
          <t>USHOU</t>
        </is>
      </c>
      <c r="G159" t="n">
        <v>31790</v>
      </c>
      <c r="H159" t="inlineStr">
        <is>
          <t>ART</t>
        </is>
      </c>
      <c r="I159" t="inlineStr">
        <is>
          <t>45G1</t>
        </is>
      </c>
      <c r="L159" t="inlineStr">
        <is>
          <t>9'6</t>
        </is>
      </c>
      <c r="M159" t="inlineStr">
        <is>
          <t>Full</t>
        </is>
      </c>
      <c r="P159">
        <f t="array" ref="P159">IFERROR(INDEX(Disch_Booking_Report!B:B, MATCH(TRUE, ISNUMBER(FIND(SUBSTITUTE(C159," ",""), Disch_Booking_Report!AC:AC)), 0)), "Not Found")</f>
        <v/>
      </c>
      <c r="Q159">
        <f t="array" ref="Q159">IFERROR(INDEX(Disch_Booking_Report!C:C, MATCH(TRUE, ISNUMBER(FIND(SUBSTITUTE(C159," ",""), Disch_Booking_Report!AC:AC)), 0)), "Not Found")</f>
        <v/>
      </c>
      <c r="R159">
        <f t="array" ref="R159">IFERROR(INDEX(Disch_Booking_Report!AD:AD, MATCH(TRUE, ISNUMBER(FIND(SUBSTITUTE(C159," ",""), Disch_Booking_Report!AC:AC)), 0)), "Not Found")</f>
        <v/>
      </c>
      <c r="S159">
        <f>Tabela2[[#This Row],[Weight]]</f>
        <v/>
      </c>
      <c r="T159">
        <f t="array" ref="T159">IFERROR(INDEX(Disch_Booking_Report!L:L, MATCH(TRUE, ISNUMBER(FIND(SUBSTITUTE(C159," ",""), Disch_Booking_Report!AC:AC)), 0)), "Not Found")</f>
        <v/>
      </c>
      <c r="U159">
        <f t="array" ref="U159">IFERROR(INDEX(Disch_Booking_Report!I:I, MATCH(TRUE, ISNUMBER(FIND(SUBSTITUTE(C159," ",""), Disch_Booking_Report!AC:AC)), 0)), "Not Found")</f>
        <v/>
      </c>
    </row>
    <row r="160">
      <c r="A160" t="n">
        <v>14</v>
      </c>
      <c r="B160" t="n">
        <v>140304</v>
      </c>
      <c r="C160" t="inlineStr">
        <is>
          <t xml:space="preserve">     ANON0000000</t>
        </is>
      </c>
      <c r="D160" t="n">
        <v>40</v>
      </c>
      <c r="E160" t="inlineStr">
        <is>
          <t>RULED</t>
        </is>
      </c>
      <c r="F160" t="inlineStr">
        <is>
          <t>USHOU</t>
        </is>
      </c>
      <c r="G160" t="n">
        <v>31710</v>
      </c>
      <c r="H160" t="inlineStr">
        <is>
          <t>ART</t>
        </is>
      </c>
      <c r="I160" t="inlineStr">
        <is>
          <t>45G1</t>
        </is>
      </c>
      <c r="L160" t="inlineStr">
        <is>
          <t>9'6</t>
        </is>
      </c>
      <c r="M160" t="inlineStr">
        <is>
          <t>Full</t>
        </is>
      </c>
      <c r="P160">
        <f t="array" ref="P160">IFERROR(INDEX(Disch_Booking_Report!B:B, MATCH(TRUE, ISNUMBER(FIND(SUBSTITUTE(C160," ",""), Disch_Booking_Report!AC:AC)), 0)), "Not Found")</f>
        <v/>
      </c>
      <c r="Q160">
        <f t="array" ref="Q160">IFERROR(INDEX(Disch_Booking_Report!C:C, MATCH(TRUE, ISNUMBER(FIND(SUBSTITUTE(C160," ",""), Disch_Booking_Report!AC:AC)), 0)), "Not Found")</f>
        <v/>
      </c>
      <c r="R160">
        <f t="array" ref="R160">IFERROR(INDEX(Disch_Booking_Report!AD:AD, MATCH(TRUE, ISNUMBER(FIND(SUBSTITUTE(C160," ",""), Disch_Booking_Report!AC:AC)), 0)), "Not Found")</f>
        <v/>
      </c>
      <c r="S160">
        <f>Tabela2[[#This Row],[Weight]]</f>
        <v/>
      </c>
      <c r="T160">
        <f t="array" ref="T160">IFERROR(INDEX(Disch_Booking_Report!L:L, MATCH(TRUE, ISNUMBER(FIND(SUBSTITUTE(C160," ",""), Disch_Booking_Report!AC:AC)), 0)), "Not Found")</f>
        <v/>
      </c>
      <c r="U160">
        <f t="array" ref="U160">IFERROR(INDEX(Disch_Booking_Report!I:I, MATCH(TRUE, ISNUMBER(FIND(SUBSTITUTE(C160," ",""), Disch_Booking_Report!AC:AC)), 0)), "Not Found")</f>
        <v/>
      </c>
    </row>
    <row r="161">
      <c r="A161" t="n">
        <v>14</v>
      </c>
      <c r="B161" t="n">
        <v>140204</v>
      </c>
      <c r="C161" t="inlineStr">
        <is>
          <t xml:space="preserve">     ANON0000000</t>
        </is>
      </c>
      <c r="D161" t="n">
        <v>40</v>
      </c>
      <c r="E161" t="inlineStr">
        <is>
          <t>RULED</t>
        </is>
      </c>
      <c r="F161" t="inlineStr">
        <is>
          <t>USHOU</t>
        </is>
      </c>
      <c r="G161" t="n">
        <v>31710</v>
      </c>
      <c r="H161" t="inlineStr">
        <is>
          <t>ART</t>
        </is>
      </c>
      <c r="I161" t="inlineStr">
        <is>
          <t>45G1</t>
        </is>
      </c>
      <c r="L161" t="inlineStr">
        <is>
          <t>9'6</t>
        </is>
      </c>
      <c r="M161" t="inlineStr">
        <is>
          <t>Full</t>
        </is>
      </c>
      <c r="P161">
        <f t="array" ref="P161">IFERROR(INDEX(Disch_Booking_Report!B:B, MATCH(TRUE, ISNUMBER(FIND(SUBSTITUTE(C161," ",""), Disch_Booking_Report!AC:AC)), 0)), "Not Found")</f>
        <v/>
      </c>
      <c r="Q161">
        <f t="array" ref="Q161">IFERROR(INDEX(Disch_Booking_Report!C:C, MATCH(TRUE, ISNUMBER(FIND(SUBSTITUTE(C161," ",""), Disch_Booking_Report!AC:AC)), 0)), "Not Found")</f>
        <v/>
      </c>
      <c r="R161">
        <f t="array" ref="R161">IFERROR(INDEX(Disch_Booking_Report!AD:AD, MATCH(TRUE, ISNUMBER(FIND(SUBSTITUTE(C161," ",""), Disch_Booking_Report!AC:AC)), 0)), "Not Found")</f>
        <v/>
      </c>
      <c r="S161">
        <f>Tabela2[[#This Row],[Weight]]</f>
        <v/>
      </c>
      <c r="T161">
        <f t="array" ref="T161">IFERROR(INDEX(Disch_Booking_Report!L:L, MATCH(TRUE, ISNUMBER(FIND(SUBSTITUTE(C161," ",""), Disch_Booking_Report!AC:AC)), 0)), "Not Found")</f>
        <v/>
      </c>
      <c r="U161">
        <f t="array" ref="U161">IFERROR(INDEX(Disch_Booking_Report!I:I, MATCH(TRUE, ISNUMBER(FIND(SUBSTITUTE(C161," ",""), Disch_Booking_Report!AC:AC)), 0)), "Not Found")</f>
        <v/>
      </c>
    </row>
    <row r="162">
      <c r="A162" t="n">
        <v>14</v>
      </c>
      <c r="B162" t="n">
        <v>140308</v>
      </c>
      <c r="C162" t="inlineStr">
        <is>
          <t xml:space="preserve">     ANON0000000</t>
        </is>
      </c>
      <c r="D162" t="n">
        <v>40</v>
      </c>
      <c r="E162" t="inlineStr">
        <is>
          <t>RULED</t>
        </is>
      </c>
      <c r="F162" t="inlineStr">
        <is>
          <t>USHOU</t>
        </is>
      </c>
      <c r="G162" t="n">
        <v>23930</v>
      </c>
      <c r="H162" t="inlineStr">
        <is>
          <t>MLINE</t>
        </is>
      </c>
      <c r="I162" t="inlineStr">
        <is>
          <t>45G1</t>
        </is>
      </c>
      <c r="L162" t="inlineStr">
        <is>
          <t>9'6</t>
        </is>
      </c>
      <c r="M162" t="inlineStr">
        <is>
          <t>Full</t>
        </is>
      </c>
      <c r="P162">
        <f t="array" ref="P162">IFERROR(INDEX(Disch_Booking_Report!B:B, MATCH(TRUE, ISNUMBER(FIND(SUBSTITUTE(C162," ",""), Disch_Booking_Report!AC:AC)), 0)), "Not Found")</f>
        <v/>
      </c>
      <c r="Q162">
        <f t="array" ref="Q162">IFERROR(INDEX(Disch_Booking_Report!C:C, MATCH(TRUE, ISNUMBER(FIND(SUBSTITUTE(C162," ",""), Disch_Booking_Report!AC:AC)), 0)), "Not Found")</f>
        <v/>
      </c>
      <c r="R162">
        <f t="array" ref="R162">IFERROR(INDEX(Disch_Booking_Report!AD:AD, MATCH(TRUE, ISNUMBER(FIND(SUBSTITUTE(C162," ",""), Disch_Booking_Report!AC:AC)), 0)), "Not Found")</f>
        <v/>
      </c>
      <c r="S162">
        <f>Tabela2[[#This Row],[Weight]]</f>
        <v/>
      </c>
      <c r="T162">
        <f t="array" ref="T162">IFERROR(INDEX(Disch_Booking_Report!L:L, MATCH(TRUE, ISNUMBER(FIND(SUBSTITUTE(C162," ",""), Disch_Booking_Report!AC:AC)), 0)), "Not Found")</f>
        <v/>
      </c>
      <c r="U162">
        <f t="array" ref="U162">IFERROR(INDEX(Disch_Booking_Report!I:I, MATCH(TRUE, ISNUMBER(FIND(SUBSTITUTE(C162," ",""), Disch_Booking_Report!AC:AC)), 0)), "Not Found")</f>
        <v/>
      </c>
    </row>
    <row r="163">
      <c r="A163" t="n">
        <v>14</v>
      </c>
      <c r="B163" t="n">
        <v>140302</v>
      </c>
      <c r="C163" t="inlineStr">
        <is>
          <t xml:space="preserve">     ANON0000000</t>
        </is>
      </c>
      <c r="D163" t="n">
        <v>40</v>
      </c>
      <c r="E163" t="inlineStr">
        <is>
          <t>RULED</t>
        </is>
      </c>
      <c r="F163" t="inlineStr">
        <is>
          <t>USHOU</t>
        </is>
      </c>
      <c r="G163" t="n">
        <v>31790</v>
      </c>
      <c r="H163" t="inlineStr">
        <is>
          <t>ART</t>
        </is>
      </c>
      <c r="I163" t="inlineStr">
        <is>
          <t>45G1</t>
        </is>
      </c>
      <c r="L163" t="inlineStr">
        <is>
          <t>9'6</t>
        </is>
      </c>
      <c r="M163" t="inlineStr">
        <is>
          <t>Full</t>
        </is>
      </c>
      <c r="P163">
        <f t="array" ref="P163">IFERROR(INDEX(Disch_Booking_Report!B:B, MATCH(TRUE, ISNUMBER(FIND(SUBSTITUTE(C163," ",""), Disch_Booking_Report!AC:AC)), 0)), "Not Found")</f>
        <v/>
      </c>
      <c r="Q163">
        <f t="array" ref="Q163">IFERROR(INDEX(Disch_Booking_Report!C:C, MATCH(TRUE, ISNUMBER(FIND(SUBSTITUTE(C163," ",""), Disch_Booking_Report!AC:AC)), 0)), "Not Found")</f>
        <v/>
      </c>
      <c r="R163">
        <f t="array" ref="R163">IFERROR(INDEX(Disch_Booking_Report!AD:AD, MATCH(TRUE, ISNUMBER(FIND(SUBSTITUTE(C163," ",""), Disch_Booking_Report!AC:AC)), 0)), "Not Found")</f>
        <v/>
      </c>
      <c r="S163">
        <f>Tabela2[[#This Row],[Weight]]</f>
        <v/>
      </c>
      <c r="T163">
        <f t="array" ref="T163">IFERROR(INDEX(Disch_Booking_Report!L:L, MATCH(TRUE, ISNUMBER(FIND(SUBSTITUTE(C163," ",""), Disch_Booking_Report!AC:AC)), 0)), "Not Found")</f>
        <v/>
      </c>
      <c r="U163">
        <f t="array" ref="U163">IFERROR(INDEX(Disch_Booking_Report!I:I, MATCH(TRUE, ISNUMBER(FIND(SUBSTITUTE(C163," ",""), Disch_Booking_Report!AC:AC)), 0)), "Not Found")</f>
        <v/>
      </c>
    </row>
    <row r="164">
      <c r="A164" t="n">
        <v>14</v>
      </c>
      <c r="B164" t="n">
        <v>140482</v>
      </c>
      <c r="C164" t="inlineStr">
        <is>
          <t xml:space="preserve">     ANON0000000</t>
        </is>
      </c>
      <c r="D164" t="n">
        <v>40</v>
      </c>
      <c r="E164" t="inlineStr">
        <is>
          <t>RULED</t>
        </is>
      </c>
      <c r="F164" t="inlineStr">
        <is>
          <t>USHOU</t>
        </is>
      </c>
      <c r="G164" t="n">
        <v>31790</v>
      </c>
      <c r="H164" t="inlineStr">
        <is>
          <t>ART</t>
        </is>
      </c>
      <c r="I164" t="inlineStr">
        <is>
          <t>45G1</t>
        </is>
      </c>
      <c r="L164" t="inlineStr">
        <is>
          <t>9'6</t>
        </is>
      </c>
      <c r="M164" t="inlineStr">
        <is>
          <t>Full</t>
        </is>
      </c>
      <c r="P164">
        <f t="array" ref="P164">IFERROR(INDEX(Disch_Booking_Report!B:B, MATCH(TRUE, ISNUMBER(FIND(SUBSTITUTE(C164," ",""), Disch_Booking_Report!AC:AC)), 0)), "Not Found")</f>
        <v/>
      </c>
      <c r="Q164">
        <f t="array" ref="Q164">IFERROR(INDEX(Disch_Booking_Report!C:C, MATCH(TRUE, ISNUMBER(FIND(SUBSTITUTE(C164," ",""), Disch_Booking_Report!AC:AC)), 0)), "Not Found")</f>
        <v/>
      </c>
      <c r="R164">
        <f t="array" ref="R164">IFERROR(INDEX(Disch_Booking_Report!AD:AD, MATCH(TRUE, ISNUMBER(FIND(SUBSTITUTE(C164," ",""), Disch_Booking_Report!AC:AC)), 0)), "Not Found")</f>
        <v/>
      </c>
      <c r="S164">
        <f>Tabela2[[#This Row],[Weight]]</f>
        <v/>
      </c>
      <c r="T164">
        <f t="array" ref="T164">IFERROR(INDEX(Disch_Booking_Report!L:L, MATCH(TRUE, ISNUMBER(FIND(SUBSTITUTE(C164," ",""), Disch_Booking_Report!AC:AC)), 0)), "Not Found")</f>
        <v/>
      </c>
      <c r="U164">
        <f t="array" ref="U164">IFERROR(INDEX(Disch_Booking_Report!I:I, MATCH(TRUE, ISNUMBER(FIND(SUBSTITUTE(C164," ",""), Disch_Booking_Report!AC:AC)), 0)), "Not Found")</f>
        <v/>
      </c>
    </row>
    <row r="165">
      <c r="A165" t="n">
        <v>14</v>
      </c>
      <c r="B165" t="n">
        <v>140786</v>
      </c>
      <c r="C165" t="inlineStr">
        <is>
          <t xml:space="preserve">     ANON0000000</t>
        </is>
      </c>
      <c r="D165" t="n">
        <v>40</v>
      </c>
      <c r="E165" t="inlineStr">
        <is>
          <t>RULED</t>
        </is>
      </c>
      <c r="F165" t="inlineStr">
        <is>
          <t>USNYC</t>
        </is>
      </c>
      <c r="G165" t="n">
        <v>34000</v>
      </c>
      <c r="H165" t="inlineStr">
        <is>
          <t>ART</t>
        </is>
      </c>
      <c r="I165" t="inlineStr">
        <is>
          <t>45R1</t>
        </is>
      </c>
      <c r="K165" t="inlineStr">
        <is>
          <t>Dry reefer</t>
        </is>
      </c>
      <c r="L165" t="inlineStr">
        <is>
          <t>9'6</t>
        </is>
      </c>
      <c r="M165" t="inlineStr">
        <is>
          <t>Full</t>
        </is>
      </c>
      <c r="P165">
        <f t="array" ref="P165">IFERROR(INDEX(Disch_Booking_Report!B:B, MATCH(TRUE, ISNUMBER(FIND(SUBSTITUTE(C165," ",""), Disch_Booking_Report!AC:AC)), 0)), "Not Found")</f>
        <v/>
      </c>
      <c r="Q165">
        <f t="array" ref="Q165">IFERROR(INDEX(Disch_Booking_Report!C:C, MATCH(TRUE, ISNUMBER(FIND(SUBSTITUTE(C165," ",""), Disch_Booking_Report!AC:AC)), 0)), "Not Found")</f>
        <v/>
      </c>
      <c r="R165">
        <f t="array" ref="R165">IFERROR(INDEX(Disch_Booking_Report!AD:AD, MATCH(TRUE, ISNUMBER(FIND(SUBSTITUTE(C165," ",""), Disch_Booking_Report!AC:AC)), 0)), "Not Found")</f>
        <v/>
      </c>
      <c r="S165">
        <f>Tabela2[[#This Row],[Weight]]</f>
        <v/>
      </c>
      <c r="T165">
        <f t="array" ref="T165">IFERROR(INDEX(Disch_Booking_Report!L:L, MATCH(TRUE, ISNUMBER(FIND(SUBSTITUTE(C165," ",""), Disch_Booking_Report!AC:AC)), 0)), "Not Found")</f>
        <v/>
      </c>
      <c r="U165">
        <f t="array" ref="U165">IFERROR(INDEX(Disch_Booking_Report!I:I, MATCH(TRUE, ISNUMBER(FIND(SUBSTITUTE(C165," ",""), Disch_Booking_Report!AC:AC)), 0)), "Not Found")</f>
        <v/>
      </c>
    </row>
    <row r="166">
      <c r="A166" t="n">
        <v>14</v>
      </c>
      <c r="B166" t="n">
        <v>140704</v>
      </c>
      <c r="C166" t="inlineStr">
        <is>
          <t xml:space="preserve">     ANON0000000</t>
        </is>
      </c>
      <c r="D166" t="n">
        <v>40</v>
      </c>
      <c r="E166" t="inlineStr">
        <is>
          <t>RULED</t>
        </is>
      </c>
      <c r="F166" t="inlineStr">
        <is>
          <t>USHOU</t>
        </is>
      </c>
      <c r="G166" t="n">
        <v>31790</v>
      </c>
      <c r="H166" t="inlineStr">
        <is>
          <t>ART</t>
        </is>
      </c>
      <c r="I166" t="inlineStr">
        <is>
          <t>45G1</t>
        </is>
      </c>
      <c r="L166" t="inlineStr">
        <is>
          <t>9'6</t>
        </is>
      </c>
      <c r="M166" t="inlineStr">
        <is>
          <t>Full</t>
        </is>
      </c>
      <c r="P166">
        <f t="array" ref="P166">IFERROR(INDEX(Disch_Booking_Report!B:B, MATCH(TRUE, ISNUMBER(FIND(SUBSTITUTE(C166," ",""), Disch_Booking_Report!AC:AC)), 0)), "Not Found")</f>
        <v/>
      </c>
      <c r="Q166">
        <f t="array" ref="Q166">IFERROR(INDEX(Disch_Booking_Report!C:C, MATCH(TRUE, ISNUMBER(FIND(SUBSTITUTE(C166," ",""), Disch_Booking_Report!AC:AC)), 0)), "Not Found")</f>
        <v/>
      </c>
      <c r="R166">
        <f t="array" ref="R166">IFERROR(INDEX(Disch_Booking_Report!AD:AD, MATCH(TRUE, ISNUMBER(FIND(SUBSTITUTE(C166," ",""), Disch_Booking_Report!AC:AC)), 0)), "Not Found")</f>
        <v/>
      </c>
      <c r="S166">
        <f>Tabela2[[#This Row],[Weight]]</f>
        <v/>
      </c>
      <c r="T166">
        <f t="array" ref="T166">IFERROR(INDEX(Disch_Booking_Report!L:L, MATCH(TRUE, ISNUMBER(FIND(SUBSTITUTE(C166," ",""), Disch_Booking_Report!AC:AC)), 0)), "Not Found")</f>
        <v/>
      </c>
      <c r="U166">
        <f t="array" ref="U166">IFERROR(INDEX(Disch_Booking_Report!I:I, MATCH(TRUE, ISNUMBER(FIND(SUBSTITUTE(C166," ",""), Disch_Booking_Report!AC:AC)), 0)), "Not Found")</f>
        <v/>
      </c>
    </row>
    <row r="167">
      <c r="A167" t="n">
        <v>14</v>
      </c>
      <c r="B167" t="n">
        <v>140508</v>
      </c>
      <c r="C167" t="inlineStr">
        <is>
          <t xml:space="preserve">     ANON0000000</t>
        </is>
      </c>
      <c r="D167" t="n">
        <v>40</v>
      </c>
      <c r="E167" t="inlineStr">
        <is>
          <t>RULED</t>
        </is>
      </c>
      <c r="F167" t="inlineStr">
        <is>
          <t>USHOU</t>
        </is>
      </c>
      <c r="G167" t="n">
        <v>26500</v>
      </c>
      <c r="H167" t="inlineStr">
        <is>
          <t>ART</t>
        </is>
      </c>
      <c r="I167" t="inlineStr">
        <is>
          <t>45G1</t>
        </is>
      </c>
      <c r="L167" t="inlineStr">
        <is>
          <t>9'6</t>
        </is>
      </c>
      <c r="M167" t="inlineStr">
        <is>
          <t>Full</t>
        </is>
      </c>
      <c r="P167">
        <f t="array" ref="P167">IFERROR(INDEX(Disch_Booking_Report!B:B, MATCH(TRUE, ISNUMBER(FIND(SUBSTITUTE(C167," ",""), Disch_Booking_Report!AC:AC)), 0)), "Not Found")</f>
        <v/>
      </c>
      <c r="Q167">
        <f t="array" ref="Q167">IFERROR(INDEX(Disch_Booking_Report!C:C, MATCH(TRUE, ISNUMBER(FIND(SUBSTITUTE(C167," ",""), Disch_Booking_Report!AC:AC)), 0)), "Not Found")</f>
        <v/>
      </c>
      <c r="R167">
        <f t="array" ref="R167">IFERROR(INDEX(Disch_Booking_Report!AD:AD, MATCH(TRUE, ISNUMBER(FIND(SUBSTITUTE(C167," ",""), Disch_Booking_Report!AC:AC)), 0)), "Not Found")</f>
        <v/>
      </c>
      <c r="S167">
        <f>Tabela2[[#This Row],[Weight]]</f>
        <v/>
      </c>
      <c r="T167">
        <f t="array" ref="T167">IFERROR(INDEX(Disch_Booking_Report!L:L, MATCH(TRUE, ISNUMBER(FIND(SUBSTITUTE(C167," ",""), Disch_Booking_Report!AC:AC)), 0)), "Not Found")</f>
        <v/>
      </c>
      <c r="U167">
        <f t="array" ref="U167">IFERROR(INDEX(Disch_Booking_Report!I:I, MATCH(TRUE, ISNUMBER(FIND(SUBSTITUTE(C167," ",""), Disch_Booking_Report!AC:AC)), 0)), "Not Found")</f>
        <v/>
      </c>
    </row>
    <row r="168">
      <c r="A168" t="n">
        <v>14</v>
      </c>
      <c r="B168" t="n">
        <v>140404</v>
      </c>
      <c r="C168" t="inlineStr">
        <is>
          <t xml:space="preserve">     ANON0000000</t>
        </is>
      </c>
      <c r="D168" t="n">
        <v>40</v>
      </c>
      <c r="E168" t="inlineStr">
        <is>
          <t>RULED</t>
        </is>
      </c>
      <c r="F168" t="inlineStr">
        <is>
          <t>USHOU</t>
        </is>
      </c>
      <c r="G168" t="n">
        <v>31790</v>
      </c>
      <c r="H168" t="inlineStr">
        <is>
          <t>ART</t>
        </is>
      </c>
      <c r="I168" t="inlineStr">
        <is>
          <t>45G1</t>
        </is>
      </c>
      <c r="L168" t="inlineStr">
        <is>
          <t>9'6</t>
        </is>
      </c>
      <c r="M168" t="inlineStr">
        <is>
          <t>Full</t>
        </is>
      </c>
      <c r="P168">
        <f t="array" ref="P168">IFERROR(INDEX(Disch_Booking_Report!B:B, MATCH(TRUE, ISNUMBER(FIND(SUBSTITUTE(C168," ",""), Disch_Booking_Report!AC:AC)), 0)), "Not Found")</f>
        <v/>
      </c>
      <c r="Q168">
        <f t="array" ref="Q168">IFERROR(INDEX(Disch_Booking_Report!C:C, MATCH(TRUE, ISNUMBER(FIND(SUBSTITUTE(C168," ",""), Disch_Booking_Report!AC:AC)), 0)), "Not Found")</f>
        <v/>
      </c>
      <c r="R168">
        <f t="array" ref="R168">IFERROR(INDEX(Disch_Booking_Report!AD:AD, MATCH(TRUE, ISNUMBER(FIND(SUBSTITUTE(C168," ",""), Disch_Booking_Report!AC:AC)), 0)), "Not Found")</f>
        <v/>
      </c>
      <c r="S168">
        <f>Tabela2[[#This Row],[Weight]]</f>
        <v/>
      </c>
      <c r="T168">
        <f t="array" ref="T168">IFERROR(INDEX(Disch_Booking_Report!L:L, MATCH(TRUE, ISNUMBER(FIND(SUBSTITUTE(C168," ",""), Disch_Booking_Report!AC:AC)), 0)), "Not Found")</f>
        <v/>
      </c>
      <c r="U168">
        <f t="array" ref="U168">IFERROR(INDEX(Disch_Booking_Report!I:I, MATCH(TRUE, ISNUMBER(FIND(SUBSTITUTE(C168," ",""), Disch_Booking_Report!AC:AC)), 0)), "Not Found")</f>
        <v/>
      </c>
    </row>
    <row r="169">
      <c r="A169" t="n">
        <v>14</v>
      </c>
      <c r="B169" t="n">
        <v>140806</v>
      </c>
      <c r="C169" t="inlineStr">
        <is>
          <t xml:space="preserve">     ANON0000000</t>
        </is>
      </c>
      <c r="D169" t="n">
        <v>40</v>
      </c>
      <c r="E169" t="inlineStr">
        <is>
          <t>RULED</t>
        </is>
      </c>
      <c r="F169" t="inlineStr">
        <is>
          <t>USHOU</t>
        </is>
      </c>
      <c r="G169" t="n">
        <v>25920</v>
      </c>
      <c r="H169" t="inlineStr">
        <is>
          <t>ART</t>
        </is>
      </c>
      <c r="I169" t="inlineStr">
        <is>
          <t>45G1</t>
        </is>
      </c>
      <c r="L169" t="inlineStr">
        <is>
          <t>9'6</t>
        </is>
      </c>
      <c r="M169" t="inlineStr">
        <is>
          <t>Full</t>
        </is>
      </c>
      <c r="P169">
        <f t="array" ref="P169">IFERROR(INDEX(Disch_Booking_Report!B:B, MATCH(TRUE, ISNUMBER(FIND(SUBSTITUTE(C169," ",""), Disch_Booking_Report!AC:AC)), 0)), "Not Found")</f>
        <v/>
      </c>
      <c r="Q169">
        <f t="array" ref="Q169">IFERROR(INDEX(Disch_Booking_Report!C:C, MATCH(TRUE, ISNUMBER(FIND(SUBSTITUTE(C169," ",""), Disch_Booking_Report!AC:AC)), 0)), "Not Found")</f>
        <v/>
      </c>
      <c r="R169">
        <f t="array" ref="R169">IFERROR(INDEX(Disch_Booking_Report!AD:AD, MATCH(TRUE, ISNUMBER(FIND(SUBSTITUTE(C169," ",""), Disch_Booking_Report!AC:AC)), 0)), "Not Found")</f>
        <v/>
      </c>
      <c r="S169">
        <f>Tabela2[[#This Row],[Weight]]</f>
        <v/>
      </c>
      <c r="T169">
        <f t="array" ref="T169">IFERROR(INDEX(Disch_Booking_Report!L:L, MATCH(TRUE, ISNUMBER(FIND(SUBSTITUTE(C169," ",""), Disch_Booking_Report!AC:AC)), 0)), "Not Found")</f>
        <v/>
      </c>
      <c r="U169">
        <f t="array" ref="U169">IFERROR(INDEX(Disch_Booking_Report!I:I, MATCH(TRUE, ISNUMBER(FIND(SUBSTITUTE(C169," ",""), Disch_Booking_Report!AC:AC)), 0)), "Not Found")</f>
        <v/>
      </c>
    </row>
    <row r="170">
      <c r="A170" t="n">
        <v>14</v>
      </c>
      <c r="B170" t="n">
        <v>140582</v>
      </c>
      <c r="C170" t="inlineStr">
        <is>
          <t xml:space="preserve">     ANON0000000</t>
        </is>
      </c>
      <c r="D170" t="n">
        <v>40</v>
      </c>
      <c r="E170" t="inlineStr">
        <is>
          <t>RULED</t>
        </is>
      </c>
      <c r="F170" t="inlineStr">
        <is>
          <t>USHOU</t>
        </is>
      </c>
      <c r="G170" t="n">
        <v>31740</v>
      </c>
      <c r="H170" t="inlineStr">
        <is>
          <t>ART</t>
        </is>
      </c>
      <c r="I170" t="inlineStr">
        <is>
          <t>4EG1</t>
        </is>
      </c>
      <c r="L170" t="inlineStr">
        <is>
          <t>9'6</t>
        </is>
      </c>
      <c r="M170" t="inlineStr">
        <is>
          <t>Full</t>
        </is>
      </c>
      <c r="P170">
        <f t="array" ref="P170">IFERROR(INDEX(Disch_Booking_Report!B:B, MATCH(TRUE, ISNUMBER(FIND(SUBSTITUTE(C170," ",""), Disch_Booking_Report!AC:AC)), 0)), "Not Found")</f>
        <v/>
      </c>
      <c r="Q170">
        <f t="array" ref="Q170">IFERROR(INDEX(Disch_Booking_Report!C:C, MATCH(TRUE, ISNUMBER(FIND(SUBSTITUTE(C170," ",""), Disch_Booking_Report!AC:AC)), 0)), "Not Found")</f>
        <v/>
      </c>
      <c r="R170">
        <f t="array" ref="R170">IFERROR(INDEX(Disch_Booking_Report!AD:AD, MATCH(TRUE, ISNUMBER(FIND(SUBSTITUTE(C170," ",""), Disch_Booking_Report!AC:AC)), 0)), "Not Found")</f>
        <v/>
      </c>
      <c r="S170">
        <f>Tabela2[[#This Row],[Weight]]</f>
        <v/>
      </c>
      <c r="T170">
        <f t="array" ref="T170">IFERROR(INDEX(Disch_Booking_Report!L:L, MATCH(TRUE, ISNUMBER(FIND(SUBSTITUTE(C170," ",""), Disch_Booking_Report!AC:AC)), 0)), "Not Found")</f>
        <v/>
      </c>
      <c r="U170">
        <f t="array" ref="U170">IFERROR(INDEX(Disch_Booking_Report!I:I, MATCH(TRUE, ISNUMBER(FIND(SUBSTITUTE(C170," ",""), Disch_Booking_Report!AC:AC)), 0)), "Not Found")</f>
        <v/>
      </c>
    </row>
    <row r="171">
      <c r="A171" t="n">
        <v>14</v>
      </c>
      <c r="B171" t="n">
        <v>140284</v>
      </c>
      <c r="C171" t="inlineStr">
        <is>
          <t xml:space="preserve">     ANON0000000</t>
        </is>
      </c>
      <c r="D171" t="n">
        <v>40</v>
      </c>
      <c r="E171" t="inlineStr">
        <is>
          <t>RULED</t>
        </is>
      </c>
      <c r="F171" t="inlineStr">
        <is>
          <t>USHOU</t>
        </is>
      </c>
      <c r="G171" t="n">
        <v>32240</v>
      </c>
      <c r="H171" t="inlineStr">
        <is>
          <t>ART</t>
        </is>
      </c>
      <c r="I171" t="inlineStr">
        <is>
          <t>45G1</t>
        </is>
      </c>
      <c r="L171" t="inlineStr">
        <is>
          <t>9'6</t>
        </is>
      </c>
      <c r="M171" t="inlineStr">
        <is>
          <t>Full</t>
        </is>
      </c>
      <c r="P171">
        <f t="array" ref="P171">IFERROR(INDEX(Disch_Booking_Report!B:B, MATCH(TRUE, ISNUMBER(FIND(SUBSTITUTE(C171," ",""), Disch_Booking_Report!AC:AC)), 0)), "Not Found")</f>
        <v/>
      </c>
      <c r="Q171">
        <f t="array" ref="Q171">IFERROR(INDEX(Disch_Booking_Report!C:C, MATCH(TRUE, ISNUMBER(FIND(SUBSTITUTE(C171," ",""), Disch_Booking_Report!AC:AC)), 0)), "Not Found")</f>
        <v/>
      </c>
      <c r="R171">
        <f t="array" ref="R171">IFERROR(INDEX(Disch_Booking_Report!AD:AD, MATCH(TRUE, ISNUMBER(FIND(SUBSTITUTE(C171," ",""), Disch_Booking_Report!AC:AC)), 0)), "Not Found")</f>
        <v/>
      </c>
      <c r="S171">
        <f>Tabela2[[#This Row],[Weight]]</f>
        <v/>
      </c>
      <c r="T171">
        <f t="array" ref="T171">IFERROR(INDEX(Disch_Booking_Report!L:L, MATCH(TRUE, ISNUMBER(FIND(SUBSTITUTE(C171," ",""), Disch_Booking_Report!AC:AC)), 0)), "Not Found")</f>
        <v/>
      </c>
      <c r="U171">
        <f t="array" ref="U171">IFERROR(INDEX(Disch_Booking_Report!I:I, MATCH(TRUE, ISNUMBER(FIND(SUBSTITUTE(C171," ",""), Disch_Booking_Report!AC:AC)), 0)), "Not Found")</f>
        <v/>
      </c>
    </row>
    <row r="172">
      <c r="A172" t="n">
        <v>14</v>
      </c>
      <c r="B172" t="n">
        <v>140506</v>
      </c>
      <c r="C172" t="inlineStr">
        <is>
          <t xml:space="preserve">     ANON0000000</t>
        </is>
      </c>
      <c r="D172" t="n">
        <v>40</v>
      </c>
      <c r="E172" t="inlineStr">
        <is>
          <t>RULED</t>
        </is>
      </c>
      <c r="F172" t="inlineStr">
        <is>
          <t>USHOU</t>
        </is>
      </c>
      <c r="G172" t="n">
        <v>31690</v>
      </c>
      <c r="H172" t="inlineStr">
        <is>
          <t>ART</t>
        </is>
      </c>
      <c r="I172" t="inlineStr">
        <is>
          <t>45G1</t>
        </is>
      </c>
      <c r="L172" t="inlineStr">
        <is>
          <t>9'6</t>
        </is>
      </c>
      <c r="M172" t="inlineStr">
        <is>
          <t>Full</t>
        </is>
      </c>
      <c r="P172">
        <f t="array" ref="P172">IFERROR(INDEX(Disch_Booking_Report!B:B, MATCH(TRUE, ISNUMBER(FIND(SUBSTITUTE(C172," ",""), Disch_Booking_Report!AC:AC)), 0)), "Not Found")</f>
        <v/>
      </c>
      <c r="Q172">
        <f t="array" ref="Q172">IFERROR(INDEX(Disch_Booking_Report!C:C, MATCH(TRUE, ISNUMBER(FIND(SUBSTITUTE(C172," ",""), Disch_Booking_Report!AC:AC)), 0)), "Not Found")</f>
        <v/>
      </c>
      <c r="R172">
        <f t="array" ref="R172">IFERROR(INDEX(Disch_Booking_Report!AD:AD, MATCH(TRUE, ISNUMBER(FIND(SUBSTITUTE(C172," ",""), Disch_Booking_Report!AC:AC)), 0)), "Not Found")</f>
        <v/>
      </c>
      <c r="S172">
        <f>Tabela2[[#This Row],[Weight]]</f>
        <v/>
      </c>
      <c r="T172">
        <f t="array" ref="T172">IFERROR(INDEX(Disch_Booking_Report!L:L, MATCH(TRUE, ISNUMBER(FIND(SUBSTITUTE(C172," ",""), Disch_Booking_Report!AC:AC)), 0)), "Not Found")</f>
        <v/>
      </c>
      <c r="U172">
        <f t="array" ref="U172">IFERROR(INDEX(Disch_Booking_Report!I:I, MATCH(TRUE, ISNUMBER(FIND(SUBSTITUTE(C172," ",""), Disch_Booking_Report!AC:AC)), 0)), "Not Found")</f>
        <v/>
      </c>
    </row>
    <row r="173">
      <c r="A173" t="n">
        <v>14</v>
      </c>
      <c r="B173" t="n">
        <v>140086</v>
      </c>
      <c r="C173" t="inlineStr">
        <is>
          <t xml:space="preserve">     ANON0000000</t>
        </is>
      </c>
      <c r="D173" t="n">
        <v>40</v>
      </c>
      <c r="E173" t="inlineStr">
        <is>
          <t>RULED</t>
        </is>
      </c>
      <c r="F173" t="inlineStr">
        <is>
          <t>USHOU</t>
        </is>
      </c>
      <c r="G173" t="n">
        <v>31690</v>
      </c>
      <c r="H173" t="inlineStr">
        <is>
          <t>ART</t>
        </is>
      </c>
      <c r="I173" t="inlineStr">
        <is>
          <t>45G1</t>
        </is>
      </c>
      <c r="L173" t="inlineStr">
        <is>
          <t>9'6</t>
        </is>
      </c>
      <c r="M173" t="inlineStr">
        <is>
          <t>Full</t>
        </is>
      </c>
      <c r="P173">
        <f t="array" ref="P173">IFERROR(INDEX(Disch_Booking_Report!B:B, MATCH(TRUE, ISNUMBER(FIND(SUBSTITUTE(C173," ",""), Disch_Booking_Report!AC:AC)), 0)), "Not Found")</f>
        <v/>
      </c>
      <c r="Q173">
        <f t="array" ref="Q173">IFERROR(INDEX(Disch_Booking_Report!C:C, MATCH(TRUE, ISNUMBER(FIND(SUBSTITUTE(C173," ",""), Disch_Booking_Report!AC:AC)), 0)), "Not Found")</f>
        <v/>
      </c>
      <c r="R173">
        <f t="array" ref="R173">IFERROR(INDEX(Disch_Booking_Report!AD:AD, MATCH(TRUE, ISNUMBER(FIND(SUBSTITUTE(C173," ",""), Disch_Booking_Report!AC:AC)), 0)), "Not Found")</f>
        <v/>
      </c>
      <c r="S173">
        <f>Tabela2[[#This Row],[Weight]]</f>
        <v/>
      </c>
      <c r="T173">
        <f t="array" ref="T173">IFERROR(INDEX(Disch_Booking_Report!L:L, MATCH(TRUE, ISNUMBER(FIND(SUBSTITUTE(C173," ",""), Disch_Booking_Report!AC:AC)), 0)), "Not Found")</f>
        <v/>
      </c>
      <c r="U173">
        <f t="array" ref="U173">IFERROR(INDEX(Disch_Booking_Report!I:I, MATCH(TRUE, ISNUMBER(FIND(SUBSTITUTE(C173," ",""), Disch_Booking_Report!AC:AC)), 0)), "Not Found")</f>
        <v/>
      </c>
    </row>
    <row r="174">
      <c r="A174" t="n">
        <v>14</v>
      </c>
      <c r="B174" t="n">
        <v>140484</v>
      </c>
      <c r="C174" t="inlineStr">
        <is>
          <t xml:space="preserve">     ANON0000000</t>
        </is>
      </c>
      <c r="D174" t="n">
        <v>40</v>
      </c>
      <c r="E174" t="inlineStr">
        <is>
          <t>RULED</t>
        </is>
      </c>
      <c r="F174" t="inlineStr">
        <is>
          <t>USHOU</t>
        </is>
      </c>
      <c r="G174" t="n">
        <v>31790</v>
      </c>
      <c r="H174" t="inlineStr">
        <is>
          <t>ART</t>
        </is>
      </c>
      <c r="I174" t="inlineStr">
        <is>
          <t>45G1</t>
        </is>
      </c>
      <c r="L174" t="inlineStr">
        <is>
          <t>9'6</t>
        </is>
      </c>
      <c r="M174" t="inlineStr">
        <is>
          <t>Full</t>
        </is>
      </c>
      <c r="P174">
        <f t="array" ref="P174">IFERROR(INDEX(Disch_Booking_Report!B:B, MATCH(TRUE, ISNUMBER(FIND(SUBSTITUTE(C174," ",""), Disch_Booking_Report!AC:AC)), 0)), "Not Found")</f>
        <v/>
      </c>
      <c r="Q174">
        <f t="array" ref="Q174">IFERROR(INDEX(Disch_Booking_Report!C:C, MATCH(TRUE, ISNUMBER(FIND(SUBSTITUTE(C174," ",""), Disch_Booking_Report!AC:AC)), 0)), "Not Found")</f>
        <v/>
      </c>
      <c r="R174">
        <f t="array" ref="R174">IFERROR(INDEX(Disch_Booking_Report!AD:AD, MATCH(TRUE, ISNUMBER(FIND(SUBSTITUTE(C174," ",""), Disch_Booking_Report!AC:AC)), 0)), "Not Found")</f>
        <v/>
      </c>
      <c r="S174">
        <f>Tabela2[[#This Row],[Weight]]</f>
        <v/>
      </c>
      <c r="T174">
        <f t="array" ref="T174">IFERROR(INDEX(Disch_Booking_Report!L:L, MATCH(TRUE, ISNUMBER(FIND(SUBSTITUTE(C174," ",""), Disch_Booking_Report!AC:AC)), 0)), "Not Found")</f>
        <v/>
      </c>
      <c r="U174">
        <f t="array" ref="U174">IFERROR(INDEX(Disch_Booking_Report!I:I, MATCH(TRUE, ISNUMBER(FIND(SUBSTITUTE(C174," ",""), Disch_Booking_Report!AC:AC)), 0)), "Not Found")</f>
        <v/>
      </c>
    </row>
    <row r="175">
      <c r="A175" t="n">
        <v>14</v>
      </c>
      <c r="B175" t="n">
        <v>140708</v>
      </c>
      <c r="C175" t="inlineStr">
        <is>
          <t xml:space="preserve">     ANON0000000</t>
        </is>
      </c>
      <c r="D175" t="n">
        <v>40</v>
      </c>
      <c r="E175" t="inlineStr">
        <is>
          <t>RULED</t>
        </is>
      </c>
      <c r="F175" t="inlineStr">
        <is>
          <t>USHOU</t>
        </is>
      </c>
      <c r="G175" t="n">
        <v>31790</v>
      </c>
      <c r="H175" t="inlineStr">
        <is>
          <t>ART</t>
        </is>
      </c>
      <c r="I175" t="inlineStr">
        <is>
          <t>45G1</t>
        </is>
      </c>
      <c r="L175" t="inlineStr">
        <is>
          <t>9'6</t>
        </is>
      </c>
      <c r="M175" t="inlineStr">
        <is>
          <t>Full</t>
        </is>
      </c>
      <c r="P175">
        <f t="array" ref="P175">IFERROR(INDEX(Disch_Booking_Report!B:B, MATCH(TRUE, ISNUMBER(FIND(SUBSTITUTE(C175," ",""), Disch_Booking_Report!AC:AC)), 0)), "Not Found")</f>
        <v/>
      </c>
      <c r="Q175">
        <f t="array" ref="Q175">IFERROR(INDEX(Disch_Booking_Report!C:C, MATCH(TRUE, ISNUMBER(FIND(SUBSTITUTE(C175," ",""), Disch_Booking_Report!AC:AC)), 0)), "Not Found")</f>
        <v/>
      </c>
      <c r="R175">
        <f t="array" ref="R175">IFERROR(INDEX(Disch_Booking_Report!AD:AD, MATCH(TRUE, ISNUMBER(FIND(SUBSTITUTE(C175," ",""), Disch_Booking_Report!AC:AC)), 0)), "Not Found")</f>
        <v/>
      </c>
      <c r="S175">
        <f>Tabela2[[#This Row],[Weight]]</f>
        <v/>
      </c>
      <c r="T175">
        <f t="array" ref="T175">IFERROR(INDEX(Disch_Booking_Report!L:L, MATCH(TRUE, ISNUMBER(FIND(SUBSTITUTE(C175," ",""), Disch_Booking_Report!AC:AC)), 0)), "Not Found")</f>
        <v/>
      </c>
      <c r="U175">
        <f t="array" ref="U175">IFERROR(INDEX(Disch_Booking_Report!I:I, MATCH(TRUE, ISNUMBER(FIND(SUBSTITUTE(C175," ",""), Disch_Booking_Report!AC:AC)), 0)), "Not Found")</f>
        <v/>
      </c>
    </row>
    <row r="176">
      <c r="A176" t="n">
        <v>14</v>
      </c>
      <c r="B176" t="n">
        <v>140382</v>
      </c>
      <c r="C176" t="inlineStr">
        <is>
          <t xml:space="preserve">     ANON0000000</t>
        </is>
      </c>
      <c r="D176" t="n">
        <v>40</v>
      </c>
      <c r="E176" t="inlineStr">
        <is>
          <t>RULED</t>
        </is>
      </c>
      <c r="F176" t="inlineStr">
        <is>
          <t>USHOU</t>
        </is>
      </c>
      <c r="G176" t="n">
        <v>31790</v>
      </c>
      <c r="H176" t="inlineStr">
        <is>
          <t>ART</t>
        </is>
      </c>
      <c r="I176" t="inlineStr">
        <is>
          <t>45G1</t>
        </is>
      </c>
      <c r="L176" t="inlineStr">
        <is>
          <t>9'6</t>
        </is>
      </c>
      <c r="M176" t="inlineStr">
        <is>
          <t>Full</t>
        </is>
      </c>
      <c r="P176">
        <f t="array" ref="P176">IFERROR(INDEX(Disch_Booking_Report!B:B, MATCH(TRUE, ISNUMBER(FIND(SUBSTITUTE(C176," ",""), Disch_Booking_Report!AC:AC)), 0)), "Not Found")</f>
        <v/>
      </c>
      <c r="Q176">
        <f t="array" ref="Q176">IFERROR(INDEX(Disch_Booking_Report!C:C, MATCH(TRUE, ISNUMBER(FIND(SUBSTITUTE(C176," ",""), Disch_Booking_Report!AC:AC)), 0)), "Not Found")</f>
        <v/>
      </c>
      <c r="R176">
        <f t="array" ref="R176">IFERROR(INDEX(Disch_Booking_Report!AD:AD, MATCH(TRUE, ISNUMBER(FIND(SUBSTITUTE(C176," ",""), Disch_Booking_Report!AC:AC)), 0)), "Not Found")</f>
        <v/>
      </c>
      <c r="S176">
        <f>Tabela2[[#This Row],[Weight]]</f>
        <v/>
      </c>
      <c r="T176">
        <f t="array" ref="T176">IFERROR(INDEX(Disch_Booking_Report!L:L, MATCH(TRUE, ISNUMBER(FIND(SUBSTITUTE(C176," ",""), Disch_Booking_Report!AC:AC)), 0)), "Not Found")</f>
        <v/>
      </c>
      <c r="U176">
        <f t="array" ref="U176">IFERROR(INDEX(Disch_Booking_Report!I:I, MATCH(TRUE, ISNUMBER(FIND(SUBSTITUTE(C176," ",""), Disch_Booking_Report!AC:AC)), 0)), "Not Found")</f>
        <v/>
      </c>
    </row>
    <row r="177">
      <c r="A177" t="n">
        <v>14</v>
      </c>
      <c r="B177" t="n">
        <v>140106</v>
      </c>
      <c r="C177" t="inlineStr">
        <is>
          <t xml:space="preserve">     ANON0000000</t>
        </is>
      </c>
      <c r="D177" t="n">
        <v>40</v>
      </c>
      <c r="E177" t="inlineStr">
        <is>
          <t>RULED</t>
        </is>
      </c>
      <c r="F177" t="inlineStr">
        <is>
          <t>USHOU</t>
        </is>
      </c>
      <c r="G177" t="n">
        <v>31790</v>
      </c>
      <c r="H177" t="inlineStr">
        <is>
          <t>ART</t>
        </is>
      </c>
      <c r="I177" t="inlineStr">
        <is>
          <t>45G1</t>
        </is>
      </c>
      <c r="L177" t="inlineStr">
        <is>
          <t>9'6</t>
        </is>
      </c>
      <c r="M177" t="inlineStr">
        <is>
          <t>Full</t>
        </is>
      </c>
      <c r="P177">
        <f t="array" ref="P177">IFERROR(INDEX(Disch_Booking_Report!B:B, MATCH(TRUE, ISNUMBER(FIND(SUBSTITUTE(C177," ",""), Disch_Booking_Report!AC:AC)), 0)), "Not Found")</f>
        <v/>
      </c>
      <c r="Q177">
        <f t="array" ref="Q177">IFERROR(INDEX(Disch_Booking_Report!C:C, MATCH(TRUE, ISNUMBER(FIND(SUBSTITUTE(C177," ",""), Disch_Booking_Report!AC:AC)), 0)), "Not Found")</f>
        <v/>
      </c>
      <c r="R177">
        <f t="array" ref="R177">IFERROR(INDEX(Disch_Booking_Report!AD:AD, MATCH(TRUE, ISNUMBER(FIND(SUBSTITUTE(C177," ",""), Disch_Booking_Report!AC:AC)), 0)), "Not Found")</f>
        <v/>
      </c>
      <c r="S177">
        <f>Tabela2[[#This Row],[Weight]]</f>
        <v/>
      </c>
      <c r="T177">
        <f t="array" ref="T177">IFERROR(INDEX(Disch_Booking_Report!L:L, MATCH(TRUE, ISNUMBER(FIND(SUBSTITUTE(C177," ",""), Disch_Booking_Report!AC:AC)), 0)), "Not Found")</f>
        <v/>
      </c>
      <c r="U177">
        <f t="array" ref="U177">IFERROR(INDEX(Disch_Booking_Report!I:I, MATCH(TRUE, ISNUMBER(FIND(SUBSTITUTE(C177," ",""), Disch_Booking_Report!AC:AC)), 0)), "Not Found")</f>
        <v/>
      </c>
    </row>
    <row r="178">
      <c r="A178" t="n">
        <v>14</v>
      </c>
      <c r="B178" t="n">
        <v>140206</v>
      </c>
      <c r="C178" t="inlineStr">
        <is>
          <t xml:space="preserve">     ANON0000000</t>
        </is>
      </c>
      <c r="D178" t="n">
        <v>40</v>
      </c>
      <c r="E178" t="inlineStr">
        <is>
          <t>RULED</t>
        </is>
      </c>
      <c r="F178" t="inlineStr">
        <is>
          <t>USHOU</t>
        </is>
      </c>
      <c r="G178" t="n">
        <v>31790</v>
      </c>
      <c r="H178" t="inlineStr">
        <is>
          <t>ART</t>
        </is>
      </c>
      <c r="I178" t="inlineStr">
        <is>
          <t>45G1</t>
        </is>
      </c>
      <c r="L178" t="inlineStr">
        <is>
          <t>9'6</t>
        </is>
      </c>
      <c r="M178" t="inlineStr">
        <is>
          <t>Full</t>
        </is>
      </c>
      <c r="P178">
        <f t="array" ref="P178">IFERROR(INDEX(Disch_Booking_Report!B:B, MATCH(TRUE, ISNUMBER(FIND(SUBSTITUTE(C178," ",""), Disch_Booking_Report!AC:AC)), 0)), "Not Found")</f>
        <v/>
      </c>
      <c r="Q178">
        <f t="array" ref="Q178">IFERROR(INDEX(Disch_Booking_Report!C:C, MATCH(TRUE, ISNUMBER(FIND(SUBSTITUTE(C178," ",""), Disch_Booking_Report!AC:AC)), 0)), "Not Found")</f>
        <v/>
      </c>
      <c r="R178">
        <f t="array" ref="R178">IFERROR(INDEX(Disch_Booking_Report!AD:AD, MATCH(TRUE, ISNUMBER(FIND(SUBSTITUTE(C178," ",""), Disch_Booking_Report!AC:AC)), 0)), "Not Found")</f>
        <v/>
      </c>
      <c r="S178">
        <f>Tabela2[[#This Row],[Weight]]</f>
        <v/>
      </c>
      <c r="T178">
        <f t="array" ref="T178">IFERROR(INDEX(Disch_Booking_Report!L:L, MATCH(TRUE, ISNUMBER(FIND(SUBSTITUTE(C178," ",""), Disch_Booking_Report!AC:AC)), 0)), "Not Found")</f>
        <v/>
      </c>
      <c r="U178">
        <f t="array" ref="U178">IFERROR(INDEX(Disch_Booking_Report!I:I, MATCH(TRUE, ISNUMBER(FIND(SUBSTITUTE(C178," ",""), Disch_Booking_Report!AC:AC)), 0)), "Not Found")</f>
        <v/>
      </c>
    </row>
    <row r="179">
      <c r="A179" t="n">
        <v>14</v>
      </c>
      <c r="B179" t="n">
        <v>140784</v>
      </c>
      <c r="C179" t="inlineStr">
        <is>
          <t xml:space="preserve">     ANON0000000</t>
        </is>
      </c>
      <c r="D179" t="n">
        <v>40</v>
      </c>
      <c r="E179" t="inlineStr">
        <is>
          <t>RULED</t>
        </is>
      </c>
      <c r="F179" t="inlineStr">
        <is>
          <t>USHOU</t>
        </is>
      </c>
      <c r="G179" t="n">
        <v>31920</v>
      </c>
      <c r="H179" t="inlineStr">
        <is>
          <t>ART</t>
        </is>
      </c>
      <c r="I179" t="inlineStr">
        <is>
          <t>45G1</t>
        </is>
      </c>
      <c r="L179" t="inlineStr">
        <is>
          <t>9'6</t>
        </is>
      </c>
      <c r="M179" t="inlineStr">
        <is>
          <t>Full</t>
        </is>
      </c>
      <c r="P179">
        <f t="array" ref="P179">IFERROR(INDEX(Disch_Booking_Report!B:B, MATCH(TRUE, ISNUMBER(FIND(SUBSTITUTE(C179," ",""), Disch_Booking_Report!AC:AC)), 0)), "Not Found")</f>
        <v/>
      </c>
      <c r="Q179">
        <f t="array" ref="Q179">IFERROR(INDEX(Disch_Booking_Report!C:C, MATCH(TRUE, ISNUMBER(FIND(SUBSTITUTE(C179," ",""), Disch_Booking_Report!AC:AC)), 0)), "Not Found")</f>
        <v/>
      </c>
      <c r="R179">
        <f t="array" ref="R179">IFERROR(INDEX(Disch_Booking_Report!AD:AD, MATCH(TRUE, ISNUMBER(FIND(SUBSTITUTE(C179," ",""), Disch_Booking_Report!AC:AC)), 0)), "Not Found")</f>
        <v/>
      </c>
      <c r="S179">
        <f>Tabela2[[#This Row],[Weight]]</f>
        <v/>
      </c>
      <c r="T179">
        <f t="array" ref="T179">IFERROR(INDEX(Disch_Booking_Report!L:L, MATCH(TRUE, ISNUMBER(FIND(SUBSTITUTE(C179," ",""), Disch_Booking_Report!AC:AC)), 0)), "Not Found")</f>
        <v/>
      </c>
      <c r="U179">
        <f t="array" ref="U179">IFERROR(INDEX(Disch_Booking_Report!I:I, MATCH(TRUE, ISNUMBER(FIND(SUBSTITUTE(C179," ",""), Disch_Booking_Report!AC:AC)), 0)), "Not Found")</f>
        <v/>
      </c>
    </row>
    <row r="180">
      <c r="A180" t="n">
        <v>14</v>
      </c>
      <c r="B180" t="n">
        <v>140306</v>
      </c>
      <c r="C180" t="inlineStr">
        <is>
          <t xml:space="preserve">     ANON0000000</t>
        </is>
      </c>
      <c r="D180" t="n">
        <v>40</v>
      </c>
      <c r="E180" t="inlineStr">
        <is>
          <t>RULED</t>
        </is>
      </c>
      <c r="F180" t="inlineStr">
        <is>
          <t>USHOU</t>
        </is>
      </c>
      <c r="G180" t="n">
        <v>31790</v>
      </c>
      <c r="H180" t="inlineStr">
        <is>
          <t>ART</t>
        </is>
      </c>
      <c r="I180" t="inlineStr">
        <is>
          <t>45G1</t>
        </is>
      </c>
      <c r="L180" t="inlineStr">
        <is>
          <t>9'6</t>
        </is>
      </c>
      <c r="M180" t="inlineStr">
        <is>
          <t>Full</t>
        </is>
      </c>
      <c r="P180">
        <f t="array" ref="P180">IFERROR(INDEX(Disch_Booking_Report!B:B, MATCH(TRUE, ISNUMBER(FIND(SUBSTITUTE(C180," ",""), Disch_Booking_Report!AC:AC)), 0)), "Not Found")</f>
        <v/>
      </c>
      <c r="Q180">
        <f t="array" ref="Q180">IFERROR(INDEX(Disch_Booking_Report!C:C, MATCH(TRUE, ISNUMBER(FIND(SUBSTITUTE(C180," ",""), Disch_Booking_Report!AC:AC)), 0)), "Not Found")</f>
        <v/>
      </c>
      <c r="R180">
        <f t="array" ref="R180">IFERROR(INDEX(Disch_Booking_Report!AD:AD, MATCH(TRUE, ISNUMBER(FIND(SUBSTITUTE(C180," ",""), Disch_Booking_Report!AC:AC)), 0)), "Not Found")</f>
        <v/>
      </c>
      <c r="S180">
        <f>Tabela2[[#This Row],[Weight]]</f>
        <v/>
      </c>
      <c r="T180">
        <f t="array" ref="T180">IFERROR(INDEX(Disch_Booking_Report!L:L, MATCH(TRUE, ISNUMBER(FIND(SUBSTITUTE(C180," ",""), Disch_Booking_Report!AC:AC)), 0)), "Not Found")</f>
        <v/>
      </c>
      <c r="U180">
        <f t="array" ref="U180">IFERROR(INDEX(Disch_Booking_Report!I:I, MATCH(TRUE, ISNUMBER(FIND(SUBSTITUTE(C180," ",""), Disch_Booking_Report!AC:AC)), 0)), "Not Found")</f>
        <v/>
      </c>
    </row>
    <row r="181">
      <c r="A181" t="n">
        <v>14</v>
      </c>
      <c r="B181" t="n">
        <v>140684</v>
      </c>
      <c r="C181" t="inlineStr">
        <is>
          <t xml:space="preserve">     ANON0000000</t>
        </is>
      </c>
      <c r="D181" t="n">
        <v>40</v>
      </c>
      <c r="E181" t="inlineStr">
        <is>
          <t>RULED</t>
        </is>
      </c>
      <c r="F181" t="inlineStr">
        <is>
          <t>USHOU</t>
        </is>
      </c>
      <c r="G181" t="n">
        <v>31790</v>
      </c>
      <c r="H181" t="inlineStr">
        <is>
          <t>ART</t>
        </is>
      </c>
      <c r="I181" t="inlineStr">
        <is>
          <t>45G1</t>
        </is>
      </c>
      <c r="L181" t="inlineStr">
        <is>
          <t>9'6</t>
        </is>
      </c>
      <c r="M181" t="inlineStr">
        <is>
          <t>Full</t>
        </is>
      </c>
      <c r="P181">
        <f t="array" ref="P181">IFERROR(INDEX(Disch_Booking_Report!B:B, MATCH(TRUE, ISNUMBER(FIND(SUBSTITUTE(C181," ",""), Disch_Booking_Report!AC:AC)), 0)), "Not Found")</f>
        <v/>
      </c>
      <c r="Q181">
        <f t="array" ref="Q181">IFERROR(INDEX(Disch_Booking_Report!C:C, MATCH(TRUE, ISNUMBER(FIND(SUBSTITUTE(C181," ",""), Disch_Booking_Report!AC:AC)), 0)), "Not Found")</f>
        <v/>
      </c>
      <c r="R181">
        <f t="array" ref="R181">IFERROR(INDEX(Disch_Booking_Report!AD:AD, MATCH(TRUE, ISNUMBER(FIND(SUBSTITUTE(C181," ",""), Disch_Booking_Report!AC:AC)), 0)), "Not Found")</f>
        <v/>
      </c>
      <c r="S181">
        <f>Tabela2[[#This Row],[Weight]]</f>
        <v/>
      </c>
      <c r="T181">
        <f t="array" ref="T181">IFERROR(INDEX(Disch_Booking_Report!L:L, MATCH(TRUE, ISNUMBER(FIND(SUBSTITUTE(C181," ",""), Disch_Booking_Report!AC:AC)), 0)), "Not Found")</f>
        <v/>
      </c>
      <c r="U181">
        <f t="array" ref="U181">IFERROR(INDEX(Disch_Booking_Report!I:I, MATCH(TRUE, ISNUMBER(FIND(SUBSTITUTE(C181," ",""), Disch_Booking_Report!AC:AC)), 0)), "Not Found")</f>
        <v/>
      </c>
    </row>
    <row r="182">
      <c r="A182" t="n">
        <v>14</v>
      </c>
      <c r="B182" t="n">
        <v>140808</v>
      </c>
      <c r="C182" t="inlineStr">
        <is>
          <t xml:space="preserve">     ANON0000000</t>
        </is>
      </c>
      <c r="D182" t="n">
        <v>40</v>
      </c>
      <c r="E182" t="inlineStr">
        <is>
          <t>RULED</t>
        </is>
      </c>
      <c r="F182" t="inlineStr">
        <is>
          <t>USHOU</t>
        </is>
      </c>
      <c r="G182" t="n">
        <v>31790</v>
      </c>
      <c r="H182" t="inlineStr">
        <is>
          <t>ART</t>
        </is>
      </c>
      <c r="I182" t="inlineStr">
        <is>
          <t>45G1</t>
        </is>
      </c>
      <c r="L182" t="inlineStr">
        <is>
          <t>9'6</t>
        </is>
      </c>
      <c r="M182" t="inlineStr">
        <is>
          <t>Full</t>
        </is>
      </c>
      <c r="P182">
        <f t="array" ref="P182">IFERROR(INDEX(Disch_Booking_Report!B:B, MATCH(TRUE, ISNUMBER(FIND(SUBSTITUTE(C182," ",""), Disch_Booking_Report!AC:AC)), 0)), "Not Found")</f>
        <v/>
      </c>
      <c r="Q182">
        <f t="array" ref="Q182">IFERROR(INDEX(Disch_Booking_Report!C:C, MATCH(TRUE, ISNUMBER(FIND(SUBSTITUTE(C182," ",""), Disch_Booking_Report!AC:AC)), 0)), "Not Found")</f>
        <v/>
      </c>
      <c r="R182">
        <f t="array" ref="R182">IFERROR(INDEX(Disch_Booking_Report!AD:AD, MATCH(TRUE, ISNUMBER(FIND(SUBSTITUTE(C182," ",""), Disch_Booking_Report!AC:AC)), 0)), "Not Found")</f>
        <v/>
      </c>
      <c r="S182">
        <f>Tabela2[[#This Row],[Weight]]</f>
        <v/>
      </c>
      <c r="T182">
        <f t="array" ref="T182">IFERROR(INDEX(Disch_Booking_Report!L:L, MATCH(TRUE, ISNUMBER(FIND(SUBSTITUTE(C182," ",""), Disch_Booking_Report!AC:AC)), 0)), "Not Found")</f>
        <v/>
      </c>
      <c r="U182">
        <f t="array" ref="U182">IFERROR(INDEX(Disch_Booking_Report!I:I, MATCH(TRUE, ISNUMBER(FIND(SUBSTITUTE(C182," ",""), Disch_Booking_Report!AC:AC)), 0)), "Not Found")</f>
        <v/>
      </c>
    </row>
    <row r="183">
      <c r="A183" t="n">
        <v>14</v>
      </c>
      <c r="B183" t="n">
        <v>140104</v>
      </c>
      <c r="C183" t="inlineStr">
        <is>
          <t xml:space="preserve">     ANON0000000</t>
        </is>
      </c>
      <c r="D183" t="n">
        <v>40</v>
      </c>
      <c r="E183" t="inlineStr">
        <is>
          <t>RULED</t>
        </is>
      </c>
      <c r="F183" t="inlineStr">
        <is>
          <t>USHOU</t>
        </is>
      </c>
      <c r="G183" t="n">
        <v>31840</v>
      </c>
      <c r="H183" t="inlineStr">
        <is>
          <t>ART</t>
        </is>
      </c>
      <c r="I183" t="inlineStr">
        <is>
          <t>45G1</t>
        </is>
      </c>
      <c r="L183" t="inlineStr">
        <is>
          <t>9'6</t>
        </is>
      </c>
      <c r="M183" t="inlineStr">
        <is>
          <t>Full</t>
        </is>
      </c>
      <c r="P183">
        <f t="array" ref="P183">IFERROR(INDEX(Disch_Booking_Report!B:B, MATCH(TRUE, ISNUMBER(FIND(SUBSTITUTE(C183," ",""), Disch_Booking_Report!AC:AC)), 0)), "Not Found")</f>
        <v/>
      </c>
      <c r="Q183">
        <f t="array" ref="Q183">IFERROR(INDEX(Disch_Booking_Report!C:C, MATCH(TRUE, ISNUMBER(FIND(SUBSTITUTE(C183," ",""), Disch_Booking_Report!AC:AC)), 0)), "Not Found")</f>
        <v/>
      </c>
      <c r="R183">
        <f t="array" ref="R183">IFERROR(INDEX(Disch_Booking_Report!AD:AD, MATCH(TRUE, ISNUMBER(FIND(SUBSTITUTE(C183," ",""), Disch_Booking_Report!AC:AC)), 0)), "Not Found")</f>
        <v/>
      </c>
      <c r="S183">
        <f>Tabela2[[#This Row],[Weight]]</f>
        <v/>
      </c>
      <c r="T183">
        <f t="array" ref="T183">IFERROR(INDEX(Disch_Booking_Report!L:L, MATCH(TRUE, ISNUMBER(FIND(SUBSTITUTE(C183," ",""), Disch_Booking_Report!AC:AC)), 0)), "Not Found")</f>
        <v/>
      </c>
      <c r="U183">
        <f t="array" ref="U183">IFERROR(INDEX(Disch_Booking_Report!I:I, MATCH(TRUE, ISNUMBER(FIND(SUBSTITUTE(C183," ",""), Disch_Booking_Report!AC:AC)), 0)), "Not Found")</f>
        <v/>
      </c>
    </row>
    <row r="184">
      <c r="A184" t="n">
        <v>14</v>
      </c>
      <c r="B184" t="n">
        <v>140706</v>
      </c>
      <c r="C184" t="inlineStr">
        <is>
          <t xml:space="preserve">     ANON0000000</t>
        </is>
      </c>
      <c r="D184" t="n">
        <v>40</v>
      </c>
      <c r="E184" t="inlineStr">
        <is>
          <t>RULED</t>
        </is>
      </c>
      <c r="F184" t="inlineStr">
        <is>
          <t>USHOU</t>
        </is>
      </c>
      <c r="G184" t="n">
        <v>31790</v>
      </c>
      <c r="H184" t="inlineStr">
        <is>
          <t>ART</t>
        </is>
      </c>
      <c r="I184" t="inlineStr">
        <is>
          <t>45G1</t>
        </is>
      </c>
      <c r="L184" t="inlineStr">
        <is>
          <t>9'6</t>
        </is>
      </c>
      <c r="M184" t="inlineStr">
        <is>
          <t>Full</t>
        </is>
      </c>
      <c r="P184">
        <f t="array" ref="P184">IFERROR(INDEX(Disch_Booking_Report!B:B, MATCH(TRUE, ISNUMBER(FIND(SUBSTITUTE(C184," ",""), Disch_Booking_Report!AC:AC)), 0)), "Not Found")</f>
        <v/>
      </c>
      <c r="Q184">
        <f t="array" ref="Q184">IFERROR(INDEX(Disch_Booking_Report!C:C, MATCH(TRUE, ISNUMBER(FIND(SUBSTITUTE(C184," ",""), Disch_Booking_Report!AC:AC)), 0)), "Not Found")</f>
        <v/>
      </c>
      <c r="R184">
        <f t="array" ref="R184">IFERROR(INDEX(Disch_Booking_Report!AD:AD, MATCH(TRUE, ISNUMBER(FIND(SUBSTITUTE(C184," ",""), Disch_Booking_Report!AC:AC)), 0)), "Not Found")</f>
        <v/>
      </c>
      <c r="S184">
        <f>Tabela2[[#This Row],[Weight]]</f>
        <v/>
      </c>
      <c r="T184">
        <f t="array" ref="T184">IFERROR(INDEX(Disch_Booking_Report!L:L, MATCH(TRUE, ISNUMBER(FIND(SUBSTITUTE(C184," ",""), Disch_Booking_Report!AC:AC)), 0)), "Not Found")</f>
        <v/>
      </c>
      <c r="U184">
        <f t="array" ref="U184">IFERROR(INDEX(Disch_Booking_Report!I:I, MATCH(TRUE, ISNUMBER(FIND(SUBSTITUTE(C184," ",""), Disch_Booking_Report!AC:AC)), 0)), "Not Found")</f>
        <v/>
      </c>
    </row>
    <row r="185">
      <c r="A185" t="n">
        <v>14</v>
      </c>
      <c r="B185" t="n">
        <v>140602</v>
      </c>
      <c r="C185" t="inlineStr">
        <is>
          <t xml:space="preserve">     ANON0000000</t>
        </is>
      </c>
      <c r="D185" t="n">
        <v>40</v>
      </c>
      <c r="E185" t="inlineStr">
        <is>
          <t>RULED</t>
        </is>
      </c>
      <c r="F185" t="inlineStr">
        <is>
          <t>USHOU</t>
        </is>
      </c>
      <c r="G185" t="n">
        <v>31870</v>
      </c>
      <c r="H185" t="inlineStr">
        <is>
          <t>ART</t>
        </is>
      </c>
      <c r="I185" t="inlineStr">
        <is>
          <t>45G1</t>
        </is>
      </c>
      <c r="L185" t="inlineStr">
        <is>
          <t>9'6</t>
        </is>
      </c>
      <c r="M185" t="inlineStr">
        <is>
          <t>Full</t>
        </is>
      </c>
      <c r="P185">
        <f t="array" ref="P185">IFERROR(INDEX(Disch_Booking_Report!B:B, MATCH(TRUE, ISNUMBER(FIND(SUBSTITUTE(C185," ",""), Disch_Booking_Report!AC:AC)), 0)), "Not Found")</f>
        <v/>
      </c>
      <c r="Q185">
        <f t="array" ref="Q185">IFERROR(INDEX(Disch_Booking_Report!C:C, MATCH(TRUE, ISNUMBER(FIND(SUBSTITUTE(C185," ",""), Disch_Booking_Report!AC:AC)), 0)), "Not Found")</f>
        <v/>
      </c>
      <c r="R185">
        <f t="array" ref="R185">IFERROR(INDEX(Disch_Booking_Report!AD:AD, MATCH(TRUE, ISNUMBER(FIND(SUBSTITUTE(C185," ",""), Disch_Booking_Report!AC:AC)), 0)), "Not Found")</f>
        <v/>
      </c>
      <c r="S185">
        <f>Tabela2[[#This Row],[Weight]]</f>
        <v/>
      </c>
      <c r="T185">
        <f t="array" ref="T185">IFERROR(INDEX(Disch_Booking_Report!L:L, MATCH(TRUE, ISNUMBER(FIND(SUBSTITUTE(C185," ",""), Disch_Booking_Report!AC:AC)), 0)), "Not Found")</f>
        <v/>
      </c>
      <c r="U185">
        <f t="array" ref="U185">IFERROR(INDEX(Disch_Booking_Report!I:I, MATCH(TRUE, ISNUMBER(FIND(SUBSTITUTE(C185," ",""), Disch_Booking_Report!AC:AC)), 0)), "Not Found")</f>
        <v/>
      </c>
    </row>
    <row r="186">
      <c r="A186" t="n">
        <v>14</v>
      </c>
      <c r="B186" t="n">
        <v>140384</v>
      </c>
      <c r="C186" t="inlineStr">
        <is>
          <t xml:space="preserve">     ANON0000000</t>
        </is>
      </c>
      <c r="D186" t="n">
        <v>40</v>
      </c>
      <c r="E186" t="inlineStr">
        <is>
          <t>RULED</t>
        </is>
      </c>
      <c r="F186" t="inlineStr">
        <is>
          <t>USHOU</t>
        </is>
      </c>
      <c r="G186" t="n">
        <v>31790</v>
      </c>
      <c r="H186" t="inlineStr">
        <is>
          <t>ART</t>
        </is>
      </c>
      <c r="I186" t="inlineStr">
        <is>
          <t>45G1</t>
        </is>
      </c>
      <c r="L186" t="inlineStr">
        <is>
          <t>9'6</t>
        </is>
      </c>
      <c r="M186" t="inlineStr">
        <is>
          <t>Full</t>
        </is>
      </c>
      <c r="P186">
        <f t="array" ref="P186">IFERROR(INDEX(Disch_Booking_Report!B:B, MATCH(TRUE, ISNUMBER(FIND(SUBSTITUTE(C186," ",""), Disch_Booking_Report!AC:AC)), 0)), "Not Found")</f>
        <v/>
      </c>
      <c r="Q186">
        <f t="array" ref="Q186">IFERROR(INDEX(Disch_Booking_Report!C:C, MATCH(TRUE, ISNUMBER(FIND(SUBSTITUTE(C186," ",""), Disch_Booking_Report!AC:AC)), 0)), "Not Found")</f>
        <v/>
      </c>
      <c r="R186">
        <f t="array" ref="R186">IFERROR(INDEX(Disch_Booking_Report!AD:AD, MATCH(TRUE, ISNUMBER(FIND(SUBSTITUTE(C186," ",""), Disch_Booking_Report!AC:AC)), 0)), "Not Found")</f>
        <v/>
      </c>
      <c r="S186">
        <f>Tabela2[[#This Row],[Weight]]</f>
        <v/>
      </c>
      <c r="T186">
        <f t="array" ref="T186">IFERROR(INDEX(Disch_Booking_Report!L:L, MATCH(TRUE, ISNUMBER(FIND(SUBSTITUTE(C186," ",""), Disch_Booking_Report!AC:AC)), 0)), "Not Found")</f>
        <v/>
      </c>
      <c r="U186">
        <f t="array" ref="U186">IFERROR(INDEX(Disch_Booking_Report!I:I, MATCH(TRUE, ISNUMBER(FIND(SUBSTITUTE(C186," ",""), Disch_Booking_Report!AC:AC)), 0)), "Not Found")</f>
        <v/>
      </c>
    </row>
    <row r="187">
      <c r="A187" t="n">
        <v>14</v>
      </c>
      <c r="B187" t="n">
        <v>140102</v>
      </c>
      <c r="C187" t="inlineStr">
        <is>
          <t xml:space="preserve">     ANON0000000</t>
        </is>
      </c>
      <c r="D187" t="n">
        <v>40</v>
      </c>
      <c r="E187" t="inlineStr">
        <is>
          <t>RULED</t>
        </is>
      </c>
      <c r="F187" t="inlineStr">
        <is>
          <t>USHOU</t>
        </is>
      </c>
      <c r="G187" t="n">
        <v>31790</v>
      </c>
      <c r="H187" t="inlineStr">
        <is>
          <t>ART</t>
        </is>
      </c>
      <c r="I187" t="inlineStr">
        <is>
          <t>45G1</t>
        </is>
      </c>
      <c r="L187" t="inlineStr">
        <is>
          <t>9'6</t>
        </is>
      </c>
      <c r="M187" t="inlineStr">
        <is>
          <t>Full</t>
        </is>
      </c>
      <c r="P187">
        <f t="array" ref="P187">IFERROR(INDEX(Disch_Booking_Report!B:B, MATCH(TRUE, ISNUMBER(FIND(SUBSTITUTE(C187," ",""), Disch_Booking_Report!AC:AC)), 0)), "Not Found")</f>
        <v/>
      </c>
      <c r="Q187">
        <f t="array" ref="Q187">IFERROR(INDEX(Disch_Booking_Report!C:C, MATCH(TRUE, ISNUMBER(FIND(SUBSTITUTE(C187," ",""), Disch_Booking_Report!AC:AC)), 0)), "Not Found")</f>
        <v/>
      </c>
      <c r="R187">
        <f t="array" ref="R187">IFERROR(INDEX(Disch_Booking_Report!AD:AD, MATCH(TRUE, ISNUMBER(FIND(SUBSTITUTE(C187," ",""), Disch_Booking_Report!AC:AC)), 0)), "Not Found")</f>
        <v/>
      </c>
      <c r="S187">
        <f>Tabela2[[#This Row],[Weight]]</f>
        <v/>
      </c>
      <c r="T187">
        <f t="array" ref="T187">IFERROR(INDEX(Disch_Booking_Report!L:L, MATCH(TRUE, ISNUMBER(FIND(SUBSTITUTE(C187," ",""), Disch_Booking_Report!AC:AC)), 0)), "Not Found")</f>
        <v/>
      </c>
      <c r="U187">
        <f t="array" ref="U187">IFERROR(INDEX(Disch_Booking_Report!I:I, MATCH(TRUE, ISNUMBER(FIND(SUBSTITUTE(C187," ",""), Disch_Booking_Report!AC:AC)), 0)), "Not Found")</f>
        <v/>
      </c>
    </row>
    <row r="188">
      <c r="A188" t="n">
        <v>14</v>
      </c>
      <c r="B188" t="n">
        <v>140682</v>
      </c>
      <c r="C188" t="inlineStr">
        <is>
          <t xml:space="preserve">     ANON0000000</t>
        </is>
      </c>
      <c r="D188" t="n">
        <v>40</v>
      </c>
      <c r="E188" t="inlineStr">
        <is>
          <t>RULED</t>
        </is>
      </c>
      <c r="F188" t="inlineStr">
        <is>
          <t>USHOU</t>
        </is>
      </c>
      <c r="G188" t="n">
        <v>31790</v>
      </c>
      <c r="H188" t="inlineStr">
        <is>
          <t>ART</t>
        </is>
      </c>
      <c r="I188" t="inlineStr">
        <is>
          <t>45G1</t>
        </is>
      </c>
      <c r="L188" t="inlineStr">
        <is>
          <t>9'6</t>
        </is>
      </c>
      <c r="M188" t="inlineStr">
        <is>
          <t>Full</t>
        </is>
      </c>
      <c r="P188">
        <f t="array" ref="P188">IFERROR(INDEX(Disch_Booking_Report!B:B, MATCH(TRUE, ISNUMBER(FIND(SUBSTITUTE(C188," ",""), Disch_Booking_Report!AC:AC)), 0)), "Not Found")</f>
        <v/>
      </c>
      <c r="Q188">
        <f t="array" ref="Q188">IFERROR(INDEX(Disch_Booking_Report!C:C, MATCH(TRUE, ISNUMBER(FIND(SUBSTITUTE(C188," ",""), Disch_Booking_Report!AC:AC)), 0)), "Not Found")</f>
        <v/>
      </c>
      <c r="R188">
        <f t="array" ref="R188">IFERROR(INDEX(Disch_Booking_Report!AD:AD, MATCH(TRUE, ISNUMBER(FIND(SUBSTITUTE(C188," ",""), Disch_Booking_Report!AC:AC)), 0)), "Not Found")</f>
        <v/>
      </c>
      <c r="S188">
        <f>Tabela2[[#This Row],[Weight]]</f>
        <v/>
      </c>
      <c r="T188">
        <f t="array" ref="T188">IFERROR(INDEX(Disch_Booking_Report!L:L, MATCH(TRUE, ISNUMBER(FIND(SUBSTITUTE(C188," ",""), Disch_Booking_Report!AC:AC)), 0)), "Not Found")</f>
        <v/>
      </c>
      <c r="U188">
        <f t="array" ref="U188">IFERROR(INDEX(Disch_Booking_Report!I:I, MATCH(TRUE, ISNUMBER(FIND(SUBSTITUTE(C188," ",""), Disch_Booking_Report!AC:AC)), 0)), "Not Found")</f>
        <v/>
      </c>
    </row>
    <row r="189">
      <c r="A189" t="n">
        <v>14</v>
      </c>
      <c r="B189" t="n">
        <v>140108</v>
      </c>
      <c r="C189" t="inlineStr">
        <is>
          <t xml:space="preserve">     ANON0000000</t>
        </is>
      </c>
      <c r="D189" t="n">
        <v>40</v>
      </c>
      <c r="E189" t="inlineStr">
        <is>
          <t>RULED</t>
        </is>
      </c>
      <c r="F189" t="inlineStr">
        <is>
          <t>USHOU</t>
        </is>
      </c>
      <c r="G189" t="n">
        <v>26280</v>
      </c>
      <c r="H189" t="inlineStr">
        <is>
          <t>ART</t>
        </is>
      </c>
      <c r="I189" t="inlineStr">
        <is>
          <t>45G1</t>
        </is>
      </c>
      <c r="L189" t="inlineStr">
        <is>
          <t>9'6</t>
        </is>
      </c>
      <c r="M189" t="inlineStr">
        <is>
          <t>Full</t>
        </is>
      </c>
      <c r="P189">
        <f t="array" ref="P189">IFERROR(INDEX(Disch_Booking_Report!B:B, MATCH(TRUE, ISNUMBER(FIND(SUBSTITUTE(C189," ",""), Disch_Booking_Report!AC:AC)), 0)), "Not Found")</f>
        <v/>
      </c>
      <c r="Q189">
        <f t="array" ref="Q189">IFERROR(INDEX(Disch_Booking_Report!C:C, MATCH(TRUE, ISNUMBER(FIND(SUBSTITUTE(C189," ",""), Disch_Booking_Report!AC:AC)), 0)), "Not Found")</f>
        <v/>
      </c>
      <c r="R189">
        <f t="array" ref="R189">IFERROR(INDEX(Disch_Booking_Report!AD:AD, MATCH(TRUE, ISNUMBER(FIND(SUBSTITUTE(C189," ",""), Disch_Booking_Report!AC:AC)), 0)), "Not Found")</f>
        <v/>
      </c>
      <c r="S189">
        <f>Tabela2[[#This Row],[Weight]]</f>
        <v/>
      </c>
      <c r="T189">
        <f t="array" ref="T189">IFERROR(INDEX(Disch_Booking_Report!L:L, MATCH(TRUE, ISNUMBER(FIND(SUBSTITUTE(C189," ",""), Disch_Booking_Report!AC:AC)), 0)), "Not Found")</f>
        <v/>
      </c>
      <c r="U189">
        <f t="array" ref="U189">IFERROR(INDEX(Disch_Booking_Report!I:I, MATCH(TRUE, ISNUMBER(FIND(SUBSTITUTE(C189," ",""), Disch_Booking_Report!AC:AC)), 0)), "Not Found")</f>
        <v/>
      </c>
    </row>
    <row r="190">
      <c r="A190" t="n">
        <v>14</v>
      </c>
      <c r="B190" t="n">
        <v>140082</v>
      </c>
      <c r="C190" t="inlineStr">
        <is>
          <t xml:space="preserve">     ANON0000000</t>
        </is>
      </c>
      <c r="D190" t="n">
        <v>40</v>
      </c>
      <c r="E190" t="inlineStr">
        <is>
          <t>RULED</t>
        </is>
      </c>
      <c r="F190" t="inlineStr">
        <is>
          <t>USHOU</t>
        </is>
      </c>
      <c r="G190" t="n">
        <v>31790</v>
      </c>
      <c r="H190" t="inlineStr">
        <is>
          <t>ART</t>
        </is>
      </c>
      <c r="I190" t="inlineStr">
        <is>
          <t>45G1</t>
        </is>
      </c>
      <c r="L190" t="inlineStr">
        <is>
          <t>9'6</t>
        </is>
      </c>
      <c r="M190" t="inlineStr">
        <is>
          <t>Full</t>
        </is>
      </c>
      <c r="P190">
        <f t="array" ref="P190">IFERROR(INDEX(Disch_Booking_Report!B:B, MATCH(TRUE, ISNUMBER(FIND(SUBSTITUTE(C190," ",""), Disch_Booking_Report!AC:AC)), 0)), "Not Found")</f>
        <v/>
      </c>
      <c r="Q190">
        <f t="array" ref="Q190">IFERROR(INDEX(Disch_Booking_Report!C:C, MATCH(TRUE, ISNUMBER(FIND(SUBSTITUTE(C190," ",""), Disch_Booking_Report!AC:AC)), 0)), "Not Found")</f>
        <v/>
      </c>
      <c r="R190">
        <f t="array" ref="R190">IFERROR(INDEX(Disch_Booking_Report!AD:AD, MATCH(TRUE, ISNUMBER(FIND(SUBSTITUTE(C190," ",""), Disch_Booking_Report!AC:AC)), 0)), "Not Found")</f>
        <v/>
      </c>
      <c r="S190">
        <f>Tabela2[[#This Row],[Weight]]</f>
        <v/>
      </c>
      <c r="T190">
        <f t="array" ref="T190">IFERROR(INDEX(Disch_Booking_Report!L:L, MATCH(TRUE, ISNUMBER(FIND(SUBSTITUTE(C190," ",""), Disch_Booking_Report!AC:AC)), 0)), "Not Found")</f>
        <v/>
      </c>
      <c r="U190">
        <f t="array" ref="U190">IFERROR(INDEX(Disch_Booking_Report!I:I, MATCH(TRUE, ISNUMBER(FIND(SUBSTITUTE(C190," ",""), Disch_Booking_Report!AC:AC)), 0)), "Not Found")</f>
        <v/>
      </c>
    </row>
    <row r="191">
      <c r="A191" t="n">
        <v>14</v>
      </c>
      <c r="B191" t="n">
        <v>140406</v>
      </c>
      <c r="C191" t="inlineStr">
        <is>
          <t xml:space="preserve">     ANON0000000</t>
        </is>
      </c>
      <c r="D191" t="n">
        <v>40</v>
      </c>
      <c r="E191" t="inlineStr">
        <is>
          <t>RULED</t>
        </is>
      </c>
      <c r="F191" t="inlineStr">
        <is>
          <t>USHOU</t>
        </is>
      </c>
      <c r="G191" t="n">
        <v>31790</v>
      </c>
      <c r="H191" t="inlineStr">
        <is>
          <t>ART</t>
        </is>
      </c>
      <c r="I191" t="inlineStr">
        <is>
          <t>45G1</t>
        </is>
      </c>
      <c r="L191" t="inlineStr">
        <is>
          <t>9'6</t>
        </is>
      </c>
      <c r="M191" t="inlineStr">
        <is>
          <t>Full</t>
        </is>
      </c>
      <c r="P191">
        <f t="array" ref="P191">IFERROR(INDEX(Disch_Booking_Report!B:B, MATCH(TRUE, ISNUMBER(FIND(SUBSTITUTE(C191," ",""), Disch_Booking_Report!AC:AC)), 0)), "Not Found")</f>
        <v/>
      </c>
      <c r="Q191">
        <f t="array" ref="Q191">IFERROR(INDEX(Disch_Booking_Report!C:C, MATCH(TRUE, ISNUMBER(FIND(SUBSTITUTE(C191," ",""), Disch_Booking_Report!AC:AC)), 0)), "Not Found")</f>
        <v/>
      </c>
      <c r="R191">
        <f t="array" ref="R191">IFERROR(INDEX(Disch_Booking_Report!AD:AD, MATCH(TRUE, ISNUMBER(FIND(SUBSTITUTE(C191," ",""), Disch_Booking_Report!AC:AC)), 0)), "Not Found")</f>
        <v/>
      </c>
      <c r="S191">
        <f>Tabela2[[#This Row],[Weight]]</f>
        <v/>
      </c>
      <c r="T191">
        <f t="array" ref="T191">IFERROR(INDEX(Disch_Booking_Report!L:L, MATCH(TRUE, ISNUMBER(FIND(SUBSTITUTE(C191," ",""), Disch_Booking_Report!AC:AC)), 0)), "Not Found")</f>
        <v/>
      </c>
      <c r="U191">
        <f t="array" ref="U191">IFERROR(INDEX(Disch_Booking_Report!I:I, MATCH(TRUE, ISNUMBER(FIND(SUBSTITUTE(C191," ",""), Disch_Booking_Report!AC:AC)), 0)), "Not Found")</f>
        <v/>
      </c>
    </row>
    <row r="192">
      <c r="A192" t="n">
        <v>14</v>
      </c>
      <c r="B192" t="n">
        <v>140202</v>
      </c>
      <c r="C192" t="inlineStr">
        <is>
          <t xml:space="preserve">     ANON0000000</t>
        </is>
      </c>
      <c r="D192" t="n">
        <v>40</v>
      </c>
      <c r="E192" t="inlineStr">
        <is>
          <t>RULED</t>
        </is>
      </c>
      <c r="F192" t="inlineStr">
        <is>
          <t>USHOU</t>
        </is>
      </c>
      <c r="G192" t="n">
        <v>31790</v>
      </c>
      <c r="H192" t="inlineStr">
        <is>
          <t>ART</t>
        </is>
      </c>
      <c r="I192" t="inlineStr">
        <is>
          <t>45G1</t>
        </is>
      </c>
      <c r="L192" t="inlineStr">
        <is>
          <t>9'6</t>
        </is>
      </c>
      <c r="M192" t="inlineStr">
        <is>
          <t>Full</t>
        </is>
      </c>
      <c r="P192">
        <f t="array" ref="P192">IFERROR(INDEX(Disch_Booking_Report!B:B, MATCH(TRUE, ISNUMBER(FIND(SUBSTITUTE(C192," ",""), Disch_Booking_Report!AC:AC)), 0)), "Not Found")</f>
        <v/>
      </c>
      <c r="Q192">
        <f t="array" ref="Q192">IFERROR(INDEX(Disch_Booking_Report!C:C, MATCH(TRUE, ISNUMBER(FIND(SUBSTITUTE(C192," ",""), Disch_Booking_Report!AC:AC)), 0)), "Not Found")</f>
        <v/>
      </c>
      <c r="R192">
        <f t="array" ref="R192">IFERROR(INDEX(Disch_Booking_Report!AD:AD, MATCH(TRUE, ISNUMBER(FIND(SUBSTITUTE(C192," ",""), Disch_Booking_Report!AC:AC)), 0)), "Not Found")</f>
        <v/>
      </c>
      <c r="S192">
        <f>Tabela2[[#This Row],[Weight]]</f>
        <v/>
      </c>
      <c r="T192">
        <f t="array" ref="T192">IFERROR(INDEX(Disch_Booking_Report!L:L, MATCH(TRUE, ISNUMBER(FIND(SUBSTITUTE(C192," ",""), Disch_Booking_Report!AC:AC)), 0)), "Not Found")</f>
        <v/>
      </c>
      <c r="U192">
        <f t="array" ref="U192">IFERROR(INDEX(Disch_Booking_Report!I:I, MATCH(TRUE, ISNUMBER(FIND(SUBSTITUTE(C192," ",""), Disch_Booking_Report!AC:AC)), 0)), "Not Found")</f>
        <v/>
      </c>
    </row>
    <row r="193">
      <c r="A193" t="n">
        <v>14</v>
      </c>
      <c r="B193" t="n">
        <v>140804</v>
      </c>
      <c r="C193" t="inlineStr">
        <is>
          <t xml:space="preserve">     ANON0000000</t>
        </is>
      </c>
      <c r="D193" t="n">
        <v>40</v>
      </c>
      <c r="E193" t="inlineStr">
        <is>
          <t>RULED</t>
        </is>
      </c>
      <c r="F193" t="inlineStr">
        <is>
          <t>USHOU</t>
        </is>
      </c>
      <c r="G193" t="n">
        <v>31790</v>
      </c>
      <c r="H193" t="inlineStr">
        <is>
          <t>ART</t>
        </is>
      </c>
      <c r="I193" t="inlineStr">
        <is>
          <t>45G1</t>
        </is>
      </c>
      <c r="L193" t="inlineStr">
        <is>
          <t>9'6</t>
        </is>
      </c>
      <c r="M193" t="inlineStr">
        <is>
          <t>Full</t>
        </is>
      </c>
      <c r="P193">
        <f t="array" ref="P193">IFERROR(INDEX(Disch_Booking_Report!B:B, MATCH(TRUE, ISNUMBER(FIND(SUBSTITUTE(C193," ",""), Disch_Booking_Report!AC:AC)), 0)), "Not Found")</f>
        <v/>
      </c>
      <c r="Q193">
        <f t="array" ref="Q193">IFERROR(INDEX(Disch_Booking_Report!C:C, MATCH(TRUE, ISNUMBER(FIND(SUBSTITUTE(C193," ",""), Disch_Booking_Report!AC:AC)), 0)), "Not Found")</f>
        <v/>
      </c>
      <c r="R193">
        <f t="array" ref="R193">IFERROR(INDEX(Disch_Booking_Report!AD:AD, MATCH(TRUE, ISNUMBER(FIND(SUBSTITUTE(C193," ",""), Disch_Booking_Report!AC:AC)), 0)), "Not Found")</f>
        <v/>
      </c>
      <c r="S193">
        <f>Tabela2[[#This Row],[Weight]]</f>
        <v/>
      </c>
      <c r="T193">
        <f t="array" ref="T193">IFERROR(INDEX(Disch_Booking_Report!L:L, MATCH(TRUE, ISNUMBER(FIND(SUBSTITUTE(C193," ",""), Disch_Booking_Report!AC:AC)), 0)), "Not Found")</f>
        <v/>
      </c>
      <c r="U193">
        <f t="array" ref="U193">IFERROR(INDEX(Disch_Booking_Report!I:I, MATCH(TRUE, ISNUMBER(FIND(SUBSTITUTE(C193," ",""), Disch_Booking_Report!AC:AC)), 0)), "Not Found")</f>
        <v/>
      </c>
    </row>
    <row r="194">
      <c r="A194" t="n">
        <v>14</v>
      </c>
      <c r="B194" t="n">
        <v>140408</v>
      </c>
      <c r="C194" t="inlineStr">
        <is>
          <t xml:space="preserve">     ANON0000000</t>
        </is>
      </c>
      <c r="D194" t="n">
        <v>40</v>
      </c>
      <c r="E194" t="inlineStr">
        <is>
          <t>RULED</t>
        </is>
      </c>
      <c r="F194" t="inlineStr">
        <is>
          <t>USHOU</t>
        </is>
      </c>
      <c r="G194" t="n">
        <v>26340</v>
      </c>
      <c r="H194" t="inlineStr">
        <is>
          <t>ART</t>
        </is>
      </c>
      <c r="I194" t="inlineStr">
        <is>
          <t>45G1</t>
        </is>
      </c>
      <c r="L194" t="inlineStr">
        <is>
          <t>9'6</t>
        </is>
      </c>
      <c r="M194" t="inlineStr">
        <is>
          <t>Full</t>
        </is>
      </c>
      <c r="P194">
        <f t="array" ref="P194">IFERROR(INDEX(Disch_Booking_Report!B:B, MATCH(TRUE, ISNUMBER(FIND(SUBSTITUTE(C194," ",""), Disch_Booking_Report!AC:AC)), 0)), "Not Found")</f>
        <v/>
      </c>
      <c r="Q194">
        <f t="array" ref="Q194">IFERROR(INDEX(Disch_Booking_Report!C:C, MATCH(TRUE, ISNUMBER(FIND(SUBSTITUTE(C194," ",""), Disch_Booking_Report!AC:AC)), 0)), "Not Found")</f>
        <v/>
      </c>
      <c r="R194">
        <f t="array" ref="R194">IFERROR(INDEX(Disch_Booking_Report!AD:AD, MATCH(TRUE, ISNUMBER(FIND(SUBSTITUTE(C194," ",""), Disch_Booking_Report!AC:AC)), 0)), "Not Found")</f>
        <v/>
      </c>
      <c r="S194">
        <f>Tabela2[[#This Row],[Weight]]</f>
        <v/>
      </c>
      <c r="T194">
        <f t="array" ref="T194">IFERROR(INDEX(Disch_Booking_Report!L:L, MATCH(TRUE, ISNUMBER(FIND(SUBSTITUTE(C194," ",""), Disch_Booking_Report!AC:AC)), 0)), "Not Found")</f>
        <v/>
      </c>
      <c r="U194">
        <f t="array" ref="U194">IFERROR(INDEX(Disch_Booking_Report!I:I, MATCH(TRUE, ISNUMBER(FIND(SUBSTITUTE(C194," ",""), Disch_Booking_Report!AC:AC)), 0)), "Not Found")</f>
        <v/>
      </c>
    </row>
    <row r="195">
      <c r="A195" t="n">
        <v>14</v>
      </c>
      <c r="B195" t="n">
        <v>140184</v>
      </c>
      <c r="C195" t="inlineStr">
        <is>
          <t xml:space="preserve">     ANON0000000</t>
        </is>
      </c>
      <c r="D195" t="n">
        <v>40</v>
      </c>
      <c r="E195" t="inlineStr">
        <is>
          <t>RULED</t>
        </is>
      </c>
      <c r="F195" t="inlineStr">
        <is>
          <t>USHOU</t>
        </is>
      </c>
      <c r="G195" t="n">
        <v>31790</v>
      </c>
      <c r="H195" t="inlineStr">
        <is>
          <t>ART</t>
        </is>
      </c>
      <c r="I195" t="inlineStr">
        <is>
          <t>45G1</t>
        </is>
      </c>
      <c r="L195" t="inlineStr">
        <is>
          <t>9'6</t>
        </is>
      </c>
      <c r="M195" t="inlineStr">
        <is>
          <t>Full</t>
        </is>
      </c>
      <c r="P195">
        <f t="array" ref="P195">IFERROR(INDEX(Disch_Booking_Report!B:B, MATCH(TRUE, ISNUMBER(FIND(SUBSTITUTE(C195," ",""), Disch_Booking_Report!AC:AC)), 0)), "Not Found")</f>
        <v/>
      </c>
      <c r="Q195">
        <f t="array" ref="Q195">IFERROR(INDEX(Disch_Booking_Report!C:C, MATCH(TRUE, ISNUMBER(FIND(SUBSTITUTE(C195," ",""), Disch_Booking_Report!AC:AC)), 0)), "Not Found")</f>
        <v/>
      </c>
      <c r="R195">
        <f t="array" ref="R195">IFERROR(INDEX(Disch_Booking_Report!AD:AD, MATCH(TRUE, ISNUMBER(FIND(SUBSTITUTE(C195," ",""), Disch_Booking_Report!AC:AC)), 0)), "Not Found")</f>
        <v/>
      </c>
      <c r="S195">
        <f>Tabela2[[#This Row],[Weight]]</f>
        <v/>
      </c>
      <c r="T195">
        <f t="array" ref="T195">IFERROR(INDEX(Disch_Booking_Report!L:L, MATCH(TRUE, ISNUMBER(FIND(SUBSTITUTE(C195," ",""), Disch_Booking_Report!AC:AC)), 0)), "Not Found")</f>
        <v/>
      </c>
      <c r="U195">
        <f t="array" ref="U195">IFERROR(INDEX(Disch_Booking_Report!I:I, MATCH(TRUE, ISNUMBER(FIND(SUBSTITUTE(C195," ",""), Disch_Booking_Report!AC:AC)), 0)), "Not Found")</f>
        <v/>
      </c>
    </row>
    <row r="196">
      <c r="A196" t="n">
        <v>14</v>
      </c>
      <c r="B196" t="n">
        <v>140182</v>
      </c>
      <c r="C196" t="inlineStr">
        <is>
          <t xml:space="preserve">     ANON0000000</t>
        </is>
      </c>
      <c r="D196" t="n">
        <v>40</v>
      </c>
      <c r="E196" t="inlineStr">
        <is>
          <t>RULED</t>
        </is>
      </c>
      <c r="F196" t="inlineStr">
        <is>
          <t>USHOU</t>
        </is>
      </c>
      <c r="G196" t="n">
        <v>31790</v>
      </c>
      <c r="H196" t="inlineStr">
        <is>
          <t>ART</t>
        </is>
      </c>
      <c r="I196" t="inlineStr">
        <is>
          <t>45G1</t>
        </is>
      </c>
      <c r="L196" t="inlineStr">
        <is>
          <t>9'6</t>
        </is>
      </c>
      <c r="M196" t="inlineStr">
        <is>
          <t>Full</t>
        </is>
      </c>
      <c r="P196">
        <f t="array" ref="P196">IFERROR(INDEX(Disch_Booking_Report!B:B, MATCH(TRUE, ISNUMBER(FIND(SUBSTITUTE(C196," ",""), Disch_Booking_Report!AC:AC)), 0)), "Not Found")</f>
        <v/>
      </c>
      <c r="Q196">
        <f t="array" ref="Q196">IFERROR(INDEX(Disch_Booking_Report!C:C, MATCH(TRUE, ISNUMBER(FIND(SUBSTITUTE(C196," ",""), Disch_Booking_Report!AC:AC)), 0)), "Not Found")</f>
        <v/>
      </c>
      <c r="R196">
        <f t="array" ref="R196">IFERROR(INDEX(Disch_Booking_Report!AD:AD, MATCH(TRUE, ISNUMBER(FIND(SUBSTITUTE(C196," ",""), Disch_Booking_Report!AC:AC)), 0)), "Not Found")</f>
        <v/>
      </c>
      <c r="S196">
        <f>Tabela2[[#This Row],[Weight]]</f>
        <v/>
      </c>
      <c r="T196">
        <f t="array" ref="T196">IFERROR(INDEX(Disch_Booking_Report!L:L, MATCH(TRUE, ISNUMBER(FIND(SUBSTITUTE(C196," ",""), Disch_Booking_Report!AC:AC)), 0)), "Not Found")</f>
        <v/>
      </c>
      <c r="U196">
        <f t="array" ref="U196">IFERROR(INDEX(Disch_Booking_Report!I:I, MATCH(TRUE, ISNUMBER(FIND(SUBSTITUTE(C196," ",""), Disch_Booking_Report!AC:AC)), 0)), "Not Found")</f>
        <v/>
      </c>
    </row>
    <row r="197">
      <c r="A197" t="n">
        <v>14</v>
      </c>
      <c r="B197" t="n">
        <v>140882</v>
      </c>
      <c r="C197" t="inlineStr">
        <is>
          <t xml:space="preserve">     ANON0000000</t>
        </is>
      </c>
      <c r="D197" t="n">
        <v>40</v>
      </c>
      <c r="E197" t="inlineStr">
        <is>
          <t>RULED</t>
        </is>
      </c>
      <c r="F197" t="inlineStr">
        <is>
          <t>USHOU</t>
        </is>
      </c>
      <c r="G197" t="n">
        <v>31840</v>
      </c>
      <c r="H197" t="inlineStr">
        <is>
          <t>ART</t>
        </is>
      </c>
      <c r="I197" t="inlineStr">
        <is>
          <t>45G1</t>
        </is>
      </c>
      <c r="L197" t="inlineStr">
        <is>
          <t>9'6</t>
        </is>
      </c>
      <c r="M197" t="inlineStr">
        <is>
          <t>Full</t>
        </is>
      </c>
      <c r="P197">
        <f t="array" ref="P197">IFERROR(INDEX(Disch_Booking_Report!B:B, MATCH(TRUE, ISNUMBER(FIND(SUBSTITUTE(C197," ",""), Disch_Booking_Report!AC:AC)), 0)), "Not Found")</f>
        <v/>
      </c>
      <c r="Q197">
        <f t="array" ref="Q197">IFERROR(INDEX(Disch_Booking_Report!C:C, MATCH(TRUE, ISNUMBER(FIND(SUBSTITUTE(C197," ",""), Disch_Booking_Report!AC:AC)), 0)), "Not Found")</f>
        <v/>
      </c>
      <c r="R197">
        <f t="array" ref="R197">IFERROR(INDEX(Disch_Booking_Report!AD:AD, MATCH(TRUE, ISNUMBER(FIND(SUBSTITUTE(C197," ",""), Disch_Booking_Report!AC:AC)), 0)), "Not Found")</f>
        <v/>
      </c>
      <c r="S197">
        <f>Tabela2[[#This Row],[Weight]]</f>
        <v/>
      </c>
      <c r="T197">
        <f t="array" ref="T197">IFERROR(INDEX(Disch_Booking_Report!L:L, MATCH(TRUE, ISNUMBER(FIND(SUBSTITUTE(C197," ",""), Disch_Booking_Report!AC:AC)), 0)), "Not Found")</f>
        <v/>
      </c>
      <c r="U197">
        <f t="array" ref="U197">IFERROR(INDEX(Disch_Booking_Report!I:I, MATCH(TRUE, ISNUMBER(FIND(SUBSTITUTE(C197," ",""), Disch_Booking_Report!AC:AC)), 0)), "Not Found")</f>
        <v/>
      </c>
    </row>
    <row r="198">
      <c r="A198" t="n">
        <v>15</v>
      </c>
      <c r="B198" t="n">
        <v>150782</v>
      </c>
      <c r="C198" t="inlineStr">
        <is>
          <t xml:space="preserve">     ANON0000000</t>
        </is>
      </c>
      <c r="D198" t="n">
        <v>20</v>
      </c>
      <c r="E198" t="inlineStr">
        <is>
          <t>RULED</t>
        </is>
      </c>
      <c r="F198" t="inlineStr">
        <is>
          <t>USHOU</t>
        </is>
      </c>
      <c r="G198" t="n">
        <v>24080</v>
      </c>
      <c r="H198" t="inlineStr">
        <is>
          <t>ART</t>
        </is>
      </c>
      <c r="I198" t="inlineStr">
        <is>
          <t>22G1</t>
        </is>
      </c>
      <c r="J198" t="n">
        <v>4.1</v>
      </c>
      <c r="L198" t="inlineStr">
        <is>
          <t>8'6</t>
        </is>
      </c>
      <c r="M198" t="inlineStr">
        <is>
          <t>Full</t>
        </is>
      </c>
      <c r="P198">
        <f t="array" ref="P198">IFERROR(INDEX(Disch_Booking_Report!B:B, MATCH(TRUE, ISNUMBER(FIND(SUBSTITUTE(C198," ",""), Disch_Booking_Report!AC:AC)), 0)), "Not Found")</f>
        <v/>
      </c>
      <c r="Q198">
        <f t="array" ref="Q198">IFERROR(INDEX(Disch_Booking_Report!C:C, MATCH(TRUE, ISNUMBER(FIND(SUBSTITUTE(C198," ",""), Disch_Booking_Report!AC:AC)), 0)), "Not Found")</f>
        <v/>
      </c>
      <c r="R198">
        <f t="array" ref="R198">IFERROR(INDEX(Disch_Booking_Report!AD:AD, MATCH(TRUE, ISNUMBER(FIND(SUBSTITUTE(C198," ",""), Disch_Booking_Report!AC:AC)), 0)), "Not Found")</f>
        <v/>
      </c>
      <c r="S198">
        <f>Tabela2[[#This Row],[Weight]]</f>
        <v/>
      </c>
      <c r="T198">
        <f t="array" ref="T198">IFERROR(INDEX(Disch_Booking_Report!L:L, MATCH(TRUE, ISNUMBER(FIND(SUBSTITUTE(C198," ",""), Disch_Booking_Report!AC:AC)), 0)), "Not Found")</f>
        <v/>
      </c>
      <c r="U198">
        <f t="array" ref="U198">IFERROR(INDEX(Disch_Booking_Report!I:I, MATCH(TRUE, ISNUMBER(FIND(SUBSTITUTE(C198," ",""), Disch_Booking_Report!AC:AC)), 0)), "Not Found")</f>
        <v/>
      </c>
    </row>
    <row r="199">
      <c r="A199" t="n">
        <v>18</v>
      </c>
      <c r="B199" t="n">
        <v>180404</v>
      </c>
      <c r="C199" t="inlineStr">
        <is>
          <t xml:space="preserve">     ANON0000000</t>
        </is>
      </c>
      <c r="D199" t="n">
        <v>40</v>
      </c>
      <c r="E199" t="inlineStr">
        <is>
          <t>RULED</t>
        </is>
      </c>
      <c r="F199" t="inlineStr">
        <is>
          <t>USNYC</t>
        </is>
      </c>
      <c r="G199" t="n">
        <v>34980</v>
      </c>
      <c r="H199" t="inlineStr">
        <is>
          <t>ART</t>
        </is>
      </c>
      <c r="I199" t="inlineStr">
        <is>
          <t>45R1</t>
        </is>
      </c>
      <c r="K199" t="inlineStr">
        <is>
          <t>Dry reefer</t>
        </is>
      </c>
      <c r="L199" t="inlineStr">
        <is>
          <t>9'6</t>
        </is>
      </c>
      <c r="M199" t="inlineStr">
        <is>
          <t>Full</t>
        </is>
      </c>
      <c r="P199">
        <f t="array" ref="P199">IFERROR(INDEX(Disch_Booking_Report!B:B, MATCH(TRUE, ISNUMBER(FIND(SUBSTITUTE(C199," ",""), Disch_Booking_Report!AC:AC)), 0)), "Not Found")</f>
        <v/>
      </c>
      <c r="Q199">
        <f t="array" ref="Q199">IFERROR(INDEX(Disch_Booking_Report!C:C, MATCH(TRUE, ISNUMBER(FIND(SUBSTITUTE(C199," ",""), Disch_Booking_Report!AC:AC)), 0)), "Not Found")</f>
        <v/>
      </c>
      <c r="R199">
        <f t="array" ref="R199">IFERROR(INDEX(Disch_Booking_Report!AD:AD, MATCH(TRUE, ISNUMBER(FIND(SUBSTITUTE(C199," ",""), Disch_Booking_Report!AC:AC)), 0)), "Not Found")</f>
        <v/>
      </c>
      <c r="S199">
        <f>Tabela2[[#This Row],[Weight]]</f>
        <v/>
      </c>
      <c r="T199">
        <f t="array" ref="T199">IFERROR(INDEX(Disch_Booking_Report!L:L, MATCH(TRUE, ISNUMBER(FIND(SUBSTITUTE(C199," ",""), Disch_Booking_Report!AC:AC)), 0)), "Not Found")</f>
        <v/>
      </c>
      <c r="U199">
        <f t="array" ref="U199">IFERROR(INDEX(Disch_Booking_Report!I:I, MATCH(TRUE, ISNUMBER(FIND(SUBSTITUTE(C199," ",""), Disch_Booking_Report!AC:AC)), 0)), "Not Found")</f>
        <v/>
      </c>
    </row>
    <row r="200">
      <c r="A200" t="n">
        <v>18</v>
      </c>
      <c r="B200" t="n">
        <v>180804</v>
      </c>
      <c r="C200" t="inlineStr">
        <is>
          <t xml:space="preserve">     ANON0000000</t>
        </is>
      </c>
      <c r="D200" t="n">
        <v>40</v>
      </c>
      <c r="E200" t="inlineStr">
        <is>
          <t>RULED</t>
        </is>
      </c>
      <c r="F200" t="inlineStr">
        <is>
          <t>USNYC</t>
        </is>
      </c>
      <c r="G200" t="n">
        <v>34930</v>
      </c>
      <c r="H200" t="inlineStr">
        <is>
          <t>ART</t>
        </is>
      </c>
      <c r="I200" t="inlineStr">
        <is>
          <t>45R1</t>
        </is>
      </c>
      <c r="K200" t="inlineStr">
        <is>
          <t>Dry reefer</t>
        </is>
      </c>
      <c r="L200" t="inlineStr">
        <is>
          <t>9'6</t>
        </is>
      </c>
      <c r="M200" t="inlineStr">
        <is>
          <t>Full</t>
        </is>
      </c>
      <c r="P200">
        <f t="array" ref="P200">IFERROR(INDEX(Disch_Booking_Report!B:B, MATCH(TRUE, ISNUMBER(FIND(SUBSTITUTE(C200," ",""), Disch_Booking_Report!AC:AC)), 0)), "Not Found")</f>
        <v/>
      </c>
      <c r="Q200">
        <f t="array" ref="Q200">IFERROR(INDEX(Disch_Booking_Report!C:C, MATCH(TRUE, ISNUMBER(FIND(SUBSTITUTE(C200," ",""), Disch_Booking_Report!AC:AC)), 0)), "Not Found")</f>
        <v/>
      </c>
      <c r="R200">
        <f t="array" ref="R200">IFERROR(INDEX(Disch_Booking_Report!AD:AD, MATCH(TRUE, ISNUMBER(FIND(SUBSTITUTE(C200," ",""), Disch_Booking_Report!AC:AC)), 0)), "Not Found")</f>
        <v/>
      </c>
      <c r="S200">
        <f>Tabela2[[#This Row],[Weight]]</f>
        <v/>
      </c>
      <c r="T200">
        <f t="array" ref="T200">IFERROR(INDEX(Disch_Booking_Report!L:L, MATCH(TRUE, ISNUMBER(FIND(SUBSTITUTE(C200," ",""), Disch_Booking_Report!AC:AC)), 0)), "Not Found")</f>
        <v/>
      </c>
      <c r="U200">
        <f t="array" ref="U200">IFERROR(INDEX(Disch_Booking_Report!I:I, MATCH(TRUE, ISNUMBER(FIND(SUBSTITUTE(C200," ",""), Disch_Booking_Report!AC:AC)), 0)), "Not Found")</f>
        <v/>
      </c>
    </row>
    <row r="201">
      <c r="A201" t="n">
        <v>18</v>
      </c>
      <c r="B201" t="n">
        <v>180206</v>
      </c>
      <c r="C201" t="inlineStr">
        <is>
          <t xml:space="preserve">     ANON0000000</t>
        </is>
      </c>
      <c r="D201" t="n">
        <v>40</v>
      </c>
      <c r="E201" t="inlineStr">
        <is>
          <t>RULED</t>
        </is>
      </c>
      <c r="F201" t="inlineStr">
        <is>
          <t>USNYC</t>
        </is>
      </c>
      <c r="G201" t="n">
        <v>34340</v>
      </c>
      <c r="H201" t="inlineStr">
        <is>
          <t>ART</t>
        </is>
      </c>
      <c r="I201" t="inlineStr">
        <is>
          <t>45R1</t>
        </is>
      </c>
      <c r="K201" t="inlineStr">
        <is>
          <t>Dry reefer</t>
        </is>
      </c>
      <c r="L201" t="inlineStr">
        <is>
          <t>9'6</t>
        </is>
      </c>
      <c r="M201" t="inlineStr">
        <is>
          <t>Full</t>
        </is>
      </c>
      <c r="P201">
        <f t="array" ref="P201">IFERROR(INDEX(Disch_Booking_Report!B:B, MATCH(TRUE, ISNUMBER(FIND(SUBSTITUTE(C201," ",""), Disch_Booking_Report!AC:AC)), 0)), "Not Found")</f>
        <v/>
      </c>
      <c r="Q201">
        <f t="array" ref="Q201">IFERROR(INDEX(Disch_Booking_Report!C:C, MATCH(TRUE, ISNUMBER(FIND(SUBSTITUTE(C201," ",""), Disch_Booking_Report!AC:AC)), 0)), "Not Found")</f>
        <v/>
      </c>
      <c r="R201">
        <f t="array" ref="R201">IFERROR(INDEX(Disch_Booking_Report!AD:AD, MATCH(TRUE, ISNUMBER(FIND(SUBSTITUTE(C201," ",""), Disch_Booking_Report!AC:AC)), 0)), "Not Found")</f>
        <v/>
      </c>
      <c r="S201">
        <f>Tabela2[[#This Row],[Weight]]</f>
        <v/>
      </c>
      <c r="T201">
        <f t="array" ref="T201">IFERROR(INDEX(Disch_Booking_Report!L:L, MATCH(TRUE, ISNUMBER(FIND(SUBSTITUTE(C201," ",""), Disch_Booking_Report!AC:AC)), 0)), "Not Found")</f>
        <v/>
      </c>
      <c r="U201">
        <f t="array" ref="U201">IFERROR(INDEX(Disch_Booking_Report!I:I, MATCH(TRUE, ISNUMBER(FIND(SUBSTITUTE(C201," ",""), Disch_Booking_Report!AC:AC)), 0)), "Not Found")</f>
        <v/>
      </c>
    </row>
    <row r="202">
      <c r="A202" t="n">
        <v>18</v>
      </c>
      <c r="B202" t="n">
        <v>180502</v>
      </c>
      <c r="C202" t="inlineStr">
        <is>
          <t xml:space="preserve">     ANON0000000</t>
        </is>
      </c>
      <c r="D202" t="n">
        <v>40</v>
      </c>
      <c r="E202" t="inlineStr">
        <is>
          <t>RULED</t>
        </is>
      </c>
      <c r="F202" t="inlineStr">
        <is>
          <t>USNYC</t>
        </is>
      </c>
      <c r="G202" t="n">
        <v>34540</v>
      </c>
      <c r="H202" t="inlineStr">
        <is>
          <t>ART</t>
        </is>
      </c>
      <c r="I202" t="inlineStr">
        <is>
          <t>45R1</t>
        </is>
      </c>
      <c r="K202" t="inlineStr">
        <is>
          <t>Dry reefer</t>
        </is>
      </c>
      <c r="L202" t="inlineStr">
        <is>
          <t>9'6</t>
        </is>
      </c>
      <c r="M202" t="inlineStr">
        <is>
          <t>Full</t>
        </is>
      </c>
      <c r="P202">
        <f t="array" ref="P202">IFERROR(INDEX(Disch_Booking_Report!B:B, MATCH(TRUE, ISNUMBER(FIND(SUBSTITUTE(C202," ",""), Disch_Booking_Report!AC:AC)), 0)), "Not Found")</f>
        <v/>
      </c>
      <c r="Q202">
        <f t="array" ref="Q202">IFERROR(INDEX(Disch_Booking_Report!C:C, MATCH(TRUE, ISNUMBER(FIND(SUBSTITUTE(C202," ",""), Disch_Booking_Report!AC:AC)), 0)), "Not Found")</f>
        <v/>
      </c>
      <c r="R202">
        <f t="array" ref="R202">IFERROR(INDEX(Disch_Booking_Report!AD:AD, MATCH(TRUE, ISNUMBER(FIND(SUBSTITUTE(C202," ",""), Disch_Booking_Report!AC:AC)), 0)), "Not Found")</f>
        <v/>
      </c>
      <c r="S202">
        <f>Tabela2[[#This Row],[Weight]]</f>
        <v/>
      </c>
      <c r="T202">
        <f t="array" ref="T202">IFERROR(INDEX(Disch_Booking_Report!L:L, MATCH(TRUE, ISNUMBER(FIND(SUBSTITUTE(C202," ",""), Disch_Booking_Report!AC:AC)), 0)), "Not Found")</f>
        <v/>
      </c>
      <c r="U202">
        <f t="array" ref="U202">IFERROR(INDEX(Disch_Booking_Report!I:I, MATCH(TRUE, ISNUMBER(FIND(SUBSTITUTE(C202," ",""), Disch_Booking_Report!AC:AC)), 0)), "Not Found")</f>
        <v/>
      </c>
    </row>
    <row r="203">
      <c r="A203" t="n">
        <v>18</v>
      </c>
      <c r="B203" t="n">
        <v>180982</v>
      </c>
      <c r="C203" t="inlineStr">
        <is>
          <t xml:space="preserve">     ANON0000000</t>
        </is>
      </c>
      <c r="D203" t="n">
        <v>40</v>
      </c>
      <c r="E203" t="inlineStr">
        <is>
          <t>RULED</t>
        </is>
      </c>
      <c r="F203" t="inlineStr">
        <is>
          <t>USNYC</t>
        </is>
      </c>
      <c r="G203" t="n">
        <v>34040</v>
      </c>
      <c r="H203" t="inlineStr">
        <is>
          <t>ART</t>
        </is>
      </c>
      <c r="I203" t="inlineStr">
        <is>
          <t>45R1</t>
        </is>
      </c>
      <c r="K203" t="inlineStr">
        <is>
          <t>Dry reefer</t>
        </is>
      </c>
      <c r="L203" t="inlineStr">
        <is>
          <t>9'6</t>
        </is>
      </c>
      <c r="M203" t="inlineStr">
        <is>
          <t>Full</t>
        </is>
      </c>
      <c r="P203">
        <f t="array" ref="P203">IFERROR(INDEX(Disch_Booking_Report!B:B, MATCH(TRUE, ISNUMBER(FIND(SUBSTITUTE(C203," ",""), Disch_Booking_Report!AC:AC)), 0)), "Not Found")</f>
        <v/>
      </c>
      <c r="Q203">
        <f t="array" ref="Q203">IFERROR(INDEX(Disch_Booking_Report!C:C, MATCH(TRUE, ISNUMBER(FIND(SUBSTITUTE(C203," ",""), Disch_Booking_Report!AC:AC)), 0)), "Not Found")</f>
        <v/>
      </c>
      <c r="R203">
        <f t="array" ref="R203">IFERROR(INDEX(Disch_Booking_Report!AD:AD, MATCH(TRUE, ISNUMBER(FIND(SUBSTITUTE(C203," ",""), Disch_Booking_Report!AC:AC)), 0)), "Not Found")</f>
        <v/>
      </c>
      <c r="S203">
        <f>Tabela2[[#This Row],[Weight]]</f>
        <v/>
      </c>
      <c r="T203">
        <f t="array" ref="T203">IFERROR(INDEX(Disch_Booking_Report!L:L, MATCH(TRUE, ISNUMBER(FIND(SUBSTITUTE(C203," ",""), Disch_Booking_Report!AC:AC)), 0)), "Not Found")</f>
        <v/>
      </c>
      <c r="U203">
        <f t="array" ref="U203">IFERROR(INDEX(Disch_Booking_Report!I:I, MATCH(TRUE, ISNUMBER(FIND(SUBSTITUTE(C203," ",""), Disch_Booking_Report!AC:AC)), 0)), "Not Found")</f>
        <v/>
      </c>
    </row>
    <row r="204">
      <c r="A204" t="n">
        <v>18</v>
      </c>
      <c r="B204" t="n">
        <v>180102</v>
      </c>
      <c r="C204" t="inlineStr">
        <is>
          <t xml:space="preserve">     ANON0000000</t>
        </is>
      </c>
      <c r="D204" t="n">
        <v>40</v>
      </c>
      <c r="E204" t="inlineStr">
        <is>
          <t>RULED</t>
        </is>
      </c>
      <c r="F204" t="inlineStr">
        <is>
          <t>USNYC</t>
        </is>
      </c>
      <c r="G204" t="n">
        <v>34460</v>
      </c>
      <c r="H204" t="inlineStr">
        <is>
          <t>ART</t>
        </is>
      </c>
      <c r="I204" t="inlineStr">
        <is>
          <t>45R1</t>
        </is>
      </c>
      <c r="K204" t="inlineStr">
        <is>
          <t>Dry reefer</t>
        </is>
      </c>
      <c r="L204" t="inlineStr">
        <is>
          <t>9'6</t>
        </is>
      </c>
      <c r="M204" t="inlineStr">
        <is>
          <t>Full</t>
        </is>
      </c>
      <c r="P204">
        <f t="array" ref="P204">IFERROR(INDEX(Disch_Booking_Report!B:B, MATCH(TRUE, ISNUMBER(FIND(SUBSTITUTE(C204," ",""), Disch_Booking_Report!AC:AC)), 0)), "Not Found")</f>
        <v/>
      </c>
      <c r="Q204">
        <f t="array" ref="Q204">IFERROR(INDEX(Disch_Booking_Report!C:C, MATCH(TRUE, ISNUMBER(FIND(SUBSTITUTE(C204," ",""), Disch_Booking_Report!AC:AC)), 0)), "Not Found")</f>
        <v/>
      </c>
      <c r="R204">
        <f t="array" ref="R204">IFERROR(INDEX(Disch_Booking_Report!AD:AD, MATCH(TRUE, ISNUMBER(FIND(SUBSTITUTE(C204," ",""), Disch_Booking_Report!AC:AC)), 0)), "Not Found")</f>
        <v/>
      </c>
      <c r="S204">
        <f>Tabela2[[#This Row],[Weight]]</f>
        <v/>
      </c>
      <c r="T204">
        <f t="array" ref="T204">IFERROR(INDEX(Disch_Booking_Report!L:L, MATCH(TRUE, ISNUMBER(FIND(SUBSTITUTE(C204," ",""), Disch_Booking_Report!AC:AC)), 0)), "Not Found")</f>
        <v/>
      </c>
      <c r="U204">
        <f t="array" ref="U204">IFERROR(INDEX(Disch_Booking_Report!I:I, MATCH(TRUE, ISNUMBER(FIND(SUBSTITUTE(C204," ",""), Disch_Booking_Report!AC:AC)), 0)), "Not Found")</f>
        <v/>
      </c>
    </row>
    <row r="205">
      <c r="A205" t="n">
        <v>18</v>
      </c>
      <c r="B205" t="n">
        <v>180382</v>
      </c>
      <c r="C205" t="inlineStr">
        <is>
          <t xml:space="preserve">     ANON0000000</t>
        </is>
      </c>
      <c r="D205" t="n">
        <v>40</v>
      </c>
      <c r="E205" t="inlineStr">
        <is>
          <t>RULED</t>
        </is>
      </c>
      <c r="F205" t="inlineStr">
        <is>
          <t>USNYC</t>
        </is>
      </c>
      <c r="G205" t="n">
        <v>32980</v>
      </c>
      <c r="H205" t="inlineStr">
        <is>
          <t>ART</t>
        </is>
      </c>
      <c r="I205" t="inlineStr">
        <is>
          <t>45R1</t>
        </is>
      </c>
      <c r="K205" t="inlineStr">
        <is>
          <t>Dry reefer</t>
        </is>
      </c>
      <c r="L205" t="inlineStr">
        <is>
          <t>9'6</t>
        </is>
      </c>
      <c r="M205" t="inlineStr">
        <is>
          <t>Full</t>
        </is>
      </c>
      <c r="P205">
        <f t="array" ref="P205">IFERROR(INDEX(Disch_Booking_Report!B:B, MATCH(TRUE, ISNUMBER(FIND(SUBSTITUTE(C205," ",""), Disch_Booking_Report!AC:AC)), 0)), "Not Found")</f>
        <v/>
      </c>
      <c r="Q205">
        <f t="array" ref="Q205">IFERROR(INDEX(Disch_Booking_Report!C:C, MATCH(TRUE, ISNUMBER(FIND(SUBSTITUTE(C205," ",""), Disch_Booking_Report!AC:AC)), 0)), "Not Found")</f>
        <v/>
      </c>
      <c r="R205">
        <f t="array" ref="R205">IFERROR(INDEX(Disch_Booking_Report!AD:AD, MATCH(TRUE, ISNUMBER(FIND(SUBSTITUTE(C205," ",""), Disch_Booking_Report!AC:AC)), 0)), "Not Found")</f>
        <v/>
      </c>
      <c r="S205">
        <f>Tabela2[[#This Row],[Weight]]</f>
        <v/>
      </c>
      <c r="T205">
        <f t="array" ref="T205">IFERROR(INDEX(Disch_Booking_Report!L:L, MATCH(TRUE, ISNUMBER(FIND(SUBSTITUTE(C205," ",""), Disch_Booking_Report!AC:AC)), 0)), "Not Found")</f>
        <v/>
      </c>
      <c r="U205">
        <f t="array" ref="U205">IFERROR(INDEX(Disch_Booking_Report!I:I, MATCH(TRUE, ISNUMBER(FIND(SUBSTITUTE(C205," ",""), Disch_Booking_Report!AC:AC)), 0)), "Not Found")</f>
        <v/>
      </c>
    </row>
    <row r="206">
      <c r="A206" t="n">
        <v>18</v>
      </c>
      <c r="B206" t="n">
        <v>180108</v>
      </c>
      <c r="C206" t="inlineStr">
        <is>
          <t xml:space="preserve">     ANON0000000</t>
        </is>
      </c>
      <c r="D206" t="n">
        <v>40</v>
      </c>
      <c r="E206" t="inlineStr">
        <is>
          <t>RULED</t>
        </is>
      </c>
      <c r="F206" t="inlineStr">
        <is>
          <t>USNYC</t>
        </is>
      </c>
      <c r="G206" t="n">
        <v>32980</v>
      </c>
      <c r="H206" t="inlineStr">
        <is>
          <t>ART</t>
        </is>
      </c>
      <c r="I206" t="inlineStr">
        <is>
          <t>45R1</t>
        </is>
      </c>
      <c r="K206" t="inlineStr">
        <is>
          <t>Dry reefer</t>
        </is>
      </c>
      <c r="L206" t="inlineStr">
        <is>
          <t>9'6</t>
        </is>
      </c>
      <c r="M206" t="inlineStr">
        <is>
          <t>Full</t>
        </is>
      </c>
      <c r="P206">
        <f t="array" ref="P206">IFERROR(INDEX(Disch_Booking_Report!B:B, MATCH(TRUE, ISNUMBER(FIND(SUBSTITUTE(C206," ",""), Disch_Booking_Report!AC:AC)), 0)), "Not Found")</f>
        <v/>
      </c>
      <c r="Q206">
        <f t="array" ref="Q206">IFERROR(INDEX(Disch_Booking_Report!C:C, MATCH(TRUE, ISNUMBER(FIND(SUBSTITUTE(C206," ",""), Disch_Booking_Report!AC:AC)), 0)), "Not Found")</f>
        <v/>
      </c>
      <c r="R206">
        <f t="array" ref="R206">IFERROR(INDEX(Disch_Booking_Report!AD:AD, MATCH(TRUE, ISNUMBER(FIND(SUBSTITUTE(C206," ",""), Disch_Booking_Report!AC:AC)), 0)), "Not Found")</f>
        <v/>
      </c>
      <c r="S206">
        <f>Tabela2[[#This Row],[Weight]]</f>
        <v/>
      </c>
      <c r="T206">
        <f t="array" ref="T206">IFERROR(INDEX(Disch_Booking_Report!L:L, MATCH(TRUE, ISNUMBER(FIND(SUBSTITUTE(C206," ",""), Disch_Booking_Report!AC:AC)), 0)), "Not Found")</f>
        <v/>
      </c>
      <c r="U206">
        <f t="array" ref="U206">IFERROR(INDEX(Disch_Booking_Report!I:I, MATCH(TRUE, ISNUMBER(FIND(SUBSTITUTE(C206," ",""), Disch_Booking_Report!AC:AC)), 0)), "Not Found")</f>
        <v/>
      </c>
    </row>
    <row r="207">
      <c r="A207" t="n">
        <v>18</v>
      </c>
      <c r="B207" t="n">
        <v>181082</v>
      </c>
      <c r="C207" t="inlineStr">
        <is>
          <t xml:space="preserve">     ANON0000000</t>
        </is>
      </c>
      <c r="D207" t="n">
        <v>40</v>
      </c>
      <c r="E207" t="inlineStr">
        <is>
          <t>RULED</t>
        </is>
      </c>
      <c r="F207" t="inlineStr">
        <is>
          <t>USNYC</t>
        </is>
      </c>
      <c r="G207" t="n">
        <v>34000</v>
      </c>
      <c r="H207" t="inlineStr">
        <is>
          <t>ART</t>
        </is>
      </c>
      <c r="I207" t="inlineStr">
        <is>
          <t>45R1</t>
        </is>
      </c>
      <c r="K207" t="inlineStr">
        <is>
          <t>Dry reefer</t>
        </is>
      </c>
      <c r="L207" t="inlineStr">
        <is>
          <t>9'6</t>
        </is>
      </c>
      <c r="M207" t="inlineStr">
        <is>
          <t>Full</t>
        </is>
      </c>
      <c r="P207">
        <f t="array" ref="P207">IFERROR(INDEX(Disch_Booking_Report!B:B, MATCH(TRUE, ISNUMBER(FIND(SUBSTITUTE(C207," ",""), Disch_Booking_Report!AC:AC)), 0)), "Not Found")</f>
        <v/>
      </c>
      <c r="Q207">
        <f t="array" ref="Q207">IFERROR(INDEX(Disch_Booking_Report!C:C, MATCH(TRUE, ISNUMBER(FIND(SUBSTITUTE(C207," ",""), Disch_Booking_Report!AC:AC)), 0)), "Not Found")</f>
        <v/>
      </c>
      <c r="R207">
        <f t="array" ref="R207">IFERROR(INDEX(Disch_Booking_Report!AD:AD, MATCH(TRUE, ISNUMBER(FIND(SUBSTITUTE(C207," ",""), Disch_Booking_Report!AC:AC)), 0)), "Not Found")</f>
        <v/>
      </c>
      <c r="S207">
        <f>Tabela2[[#This Row],[Weight]]</f>
        <v/>
      </c>
      <c r="T207">
        <f t="array" ref="T207">IFERROR(INDEX(Disch_Booking_Report!L:L, MATCH(TRUE, ISNUMBER(FIND(SUBSTITUTE(C207," ",""), Disch_Booking_Report!AC:AC)), 0)), "Not Found")</f>
        <v/>
      </c>
      <c r="U207">
        <f t="array" ref="U207">IFERROR(INDEX(Disch_Booking_Report!I:I, MATCH(TRUE, ISNUMBER(FIND(SUBSTITUTE(C207," ",""), Disch_Booking_Report!AC:AC)), 0)), "Not Found")</f>
        <v/>
      </c>
    </row>
    <row r="208">
      <c r="A208" t="n">
        <v>18</v>
      </c>
      <c r="B208" t="n">
        <v>180602</v>
      </c>
      <c r="C208" t="inlineStr">
        <is>
          <t xml:space="preserve">     ANON0000000</t>
        </is>
      </c>
      <c r="D208" t="n">
        <v>40</v>
      </c>
      <c r="E208" t="inlineStr">
        <is>
          <t>RULED</t>
        </is>
      </c>
      <c r="F208" t="inlineStr">
        <is>
          <t>USNYC</t>
        </is>
      </c>
      <c r="G208" t="n">
        <v>34140</v>
      </c>
      <c r="H208" t="inlineStr">
        <is>
          <t>ART</t>
        </is>
      </c>
      <c r="I208" t="inlineStr">
        <is>
          <t>45R1</t>
        </is>
      </c>
      <c r="K208" t="inlineStr">
        <is>
          <t>Dry reefer</t>
        </is>
      </c>
      <c r="L208" t="inlineStr">
        <is>
          <t>9'6</t>
        </is>
      </c>
      <c r="M208" t="inlineStr">
        <is>
          <t>Full</t>
        </is>
      </c>
      <c r="P208">
        <f t="array" ref="P208">IFERROR(INDEX(Disch_Booking_Report!B:B, MATCH(TRUE, ISNUMBER(FIND(SUBSTITUTE(C208," ",""), Disch_Booking_Report!AC:AC)), 0)), "Not Found")</f>
        <v/>
      </c>
      <c r="Q208">
        <f t="array" ref="Q208">IFERROR(INDEX(Disch_Booking_Report!C:C, MATCH(TRUE, ISNUMBER(FIND(SUBSTITUTE(C208," ",""), Disch_Booking_Report!AC:AC)), 0)), "Not Found")</f>
        <v/>
      </c>
      <c r="R208">
        <f t="array" ref="R208">IFERROR(INDEX(Disch_Booking_Report!AD:AD, MATCH(TRUE, ISNUMBER(FIND(SUBSTITUTE(C208," ",""), Disch_Booking_Report!AC:AC)), 0)), "Not Found")</f>
        <v/>
      </c>
      <c r="S208">
        <f>Tabela2[[#This Row],[Weight]]</f>
        <v/>
      </c>
      <c r="T208">
        <f t="array" ref="T208">IFERROR(INDEX(Disch_Booking_Report!L:L, MATCH(TRUE, ISNUMBER(FIND(SUBSTITUTE(C208," ",""), Disch_Booking_Report!AC:AC)), 0)), "Not Found")</f>
        <v/>
      </c>
      <c r="U208">
        <f t="array" ref="U208">IFERROR(INDEX(Disch_Booking_Report!I:I, MATCH(TRUE, ISNUMBER(FIND(SUBSTITUTE(C208," ",""), Disch_Booking_Report!AC:AC)), 0)), "Not Found")</f>
        <v/>
      </c>
    </row>
    <row r="209">
      <c r="A209" t="n">
        <v>18</v>
      </c>
      <c r="B209" t="n">
        <v>180808</v>
      </c>
      <c r="C209" t="inlineStr">
        <is>
          <t xml:space="preserve">     ANON0000000</t>
        </is>
      </c>
      <c r="D209" t="n">
        <v>40</v>
      </c>
      <c r="E209" t="inlineStr">
        <is>
          <t>RULED</t>
        </is>
      </c>
      <c r="F209" t="inlineStr">
        <is>
          <t>USNYC</t>
        </is>
      </c>
      <c r="G209" t="n">
        <v>33960</v>
      </c>
      <c r="H209" t="inlineStr">
        <is>
          <t>ART</t>
        </is>
      </c>
      <c r="I209" t="inlineStr">
        <is>
          <t>45R1</t>
        </is>
      </c>
      <c r="K209" t="inlineStr">
        <is>
          <t>Dry reefer</t>
        </is>
      </c>
      <c r="L209" t="inlineStr">
        <is>
          <t>9'6</t>
        </is>
      </c>
      <c r="M209" t="inlineStr">
        <is>
          <t>Full</t>
        </is>
      </c>
      <c r="P209">
        <f t="array" ref="P209">IFERROR(INDEX(Disch_Booking_Report!B:B, MATCH(TRUE, ISNUMBER(FIND(SUBSTITUTE(C209," ",""), Disch_Booking_Report!AC:AC)), 0)), "Not Found")</f>
        <v/>
      </c>
      <c r="Q209">
        <f t="array" ref="Q209">IFERROR(INDEX(Disch_Booking_Report!C:C, MATCH(TRUE, ISNUMBER(FIND(SUBSTITUTE(C209," ",""), Disch_Booking_Report!AC:AC)), 0)), "Not Found")</f>
        <v/>
      </c>
      <c r="R209">
        <f t="array" ref="R209">IFERROR(INDEX(Disch_Booking_Report!AD:AD, MATCH(TRUE, ISNUMBER(FIND(SUBSTITUTE(C209," ",""), Disch_Booking_Report!AC:AC)), 0)), "Not Found")</f>
        <v/>
      </c>
      <c r="S209">
        <f>Tabela2[[#This Row],[Weight]]</f>
        <v/>
      </c>
      <c r="T209">
        <f t="array" ref="T209">IFERROR(INDEX(Disch_Booking_Report!L:L, MATCH(TRUE, ISNUMBER(FIND(SUBSTITUTE(C209," ",""), Disch_Booking_Report!AC:AC)), 0)), "Not Found")</f>
        <v/>
      </c>
      <c r="U209">
        <f t="array" ref="U209">IFERROR(INDEX(Disch_Booking_Report!I:I, MATCH(TRUE, ISNUMBER(FIND(SUBSTITUTE(C209," ",""), Disch_Booking_Report!AC:AC)), 0)), "Not Found")</f>
        <v/>
      </c>
    </row>
    <row r="210">
      <c r="A210" t="n">
        <v>18</v>
      </c>
      <c r="B210" t="n">
        <v>180084</v>
      </c>
      <c r="C210" t="inlineStr">
        <is>
          <t xml:space="preserve">     ANON0000000</t>
        </is>
      </c>
      <c r="D210" t="n">
        <v>40</v>
      </c>
      <c r="E210" t="inlineStr">
        <is>
          <t>RULED</t>
        </is>
      </c>
      <c r="F210" t="inlineStr">
        <is>
          <t>USNYC</t>
        </is>
      </c>
      <c r="G210" t="n">
        <v>33070</v>
      </c>
      <c r="H210" t="inlineStr">
        <is>
          <t>ART</t>
        </is>
      </c>
      <c r="I210" t="inlineStr">
        <is>
          <t>45R1</t>
        </is>
      </c>
      <c r="K210" t="inlineStr">
        <is>
          <t>Dry reefer</t>
        </is>
      </c>
      <c r="L210" t="inlineStr">
        <is>
          <t>9'6</t>
        </is>
      </c>
      <c r="M210" t="inlineStr">
        <is>
          <t>Full</t>
        </is>
      </c>
      <c r="P210">
        <f t="array" ref="P210">IFERROR(INDEX(Disch_Booking_Report!B:B, MATCH(TRUE, ISNUMBER(FIND(SUBSTITUTE(C210," ",""), Disch_Booking_Report!AC:AC)), 0)), "Not Found")</f>
        <v/>
      </c>
      <c r="Q210">
        <f t="array" ref="Q210">IFERROR(INDEX(Disch_Booking_Report!C:C, MATCH(TRUE, ISNUMBER(FIND(SUBSTITUTE(C210," ",""), Disch_Booking_Report!AC:AC)), 0)), "Not Found")</f>
        <v/>
      </c>
      <c r="R210">
        <f t="array" ref="R210">IFERROR(INDEX(Disch_Booking_Report!AD:AD, MATCH(TRUE, ISNUMBER(FIND(SUBSTITUTE(C210," ",""), Disch_Booking_Report!AC:AC)), 0)), "Not Found")</f>
        <v/>
      </c>
      <c r="S210">
        <f>Tabela2[[#This Row],[Weight]]</f>
        <v/>
      </c>
      <c r="T210">
        <f t="array" ref="T210">IFERROR(INDEX(Disch_Booking_Report!L:L, MATCH(TRUE, ISNUMBER(FIND(SUBSTITUTE(C210," ",""), Disch_Booking_Report!AC:AC)), 0)), "Not Found")</f>
        <v/>
      </c>
      <c r="U210">
        <f t="array" ref="U210">IFERROR(INDEX(Disch_Booking_Report!I:I, MATCH(TRUE, ISNUMBER(FIND(SUBSTITUTE(C210," ",""), Disch_Booking_Report!AC:AC)), 0)), "Not Found")</f>
        <v/>
      </c>
    </row>
    <row r="211">
      <c r="A211" t="n">
        <v>18</v>
      </c>
      <c r="B211" t="n">
        <v>180708</v>
      </c>
      <c r="C211" t="inlineStr">
        <is>
          <t xml:space="preserve">     ANON0000000</t>
        </is>
      </c>
      <c r="D211" t="n">
        <v>40</v>
      </c>
      <c r="E211" t="inlineStr">
        <is>
          <t>RULED</t>
        </is>
      </c>
      <c r="F211" t="inlineStr">
        <is>
          <t>USNYC</t>
        </is>
      </c>
      <c r="G211" t="n">
        <v>33960</v>
      </c>
      <c r="H211" t="inlineStr">
        <is>
          <t>ART</t>
        </is>
      </c>
      <c r="I211" t="inlineStr">
        <is>
          <t>45R1</t>
        </is>
      </c>
      <c r="K211" t="inlineStr">
        <is>
          <t>Dry reefer</t>
        </is>
      </c>
      <c r="L211" t="inlineStr">
        <is>
          <t>9'6</t>
        </is>
      </c>
      <c r="M211" t="inlineStr">
        <is>
          <t>Full</t>
        </is>
      </c>
      <c r="P211">
        <f t="array" ref="P211">IFERROR(INDEX(Disch_Booking_Report!B:B, MATCH(TRUE, ISNUMBER(FIND(SUBSTITUTE(C211," ",""), Disch_Booking_Report!AC:AC)), 0)), "Not Found")</f>
        <v/>
      </c>
      <c r="Q211">
        <f t="array" ref="Q211">IFERROR(INDEX(Disch_Booking_Report!C:C, MATCH(TRUE, ISNUMBER(FIND(SUBSTITUTE(C211," ",""), Disch_Booking_Report!AC:AC)), 0)), "Not Found")</f>
        <v/>
      </c>
      <c r="R211">
        <f t="array" ref="R211">IFERROR(INDEX(Disch_Booking_Report!AD:AD, MATCH(TRUE, ISNUMBER(FIND(SUBSTITUTE(C211," ",""), Disch_Booking_Report!AC:AC)), 0)), "Not Found")</f>
        <v/>
      </c>
      <c r="S211">
        <f>Tabela2[[#This Row],[Weight]]</f>
        <v/>
      </c>
      <c r="T211">
        <f t="array" ref="T211">IFERROR(INDEX(Disch_Booking_Report!L:L, MATCH(TRUE, ISNUMBER(FIND(SUBSTITUTE(C211," ",""), Disch_Booking_Report!AC:AC)), 0)), "Not Found")</f>
        <v/>
      </c>
      <c r="U211">
        <f t="array" ref="U211">IFERROR(INDEX(Disch_Booking_Report!I:I, MATCH(TRUE, ISNUMBER(FIND(SUBSTITUTE(C211," ",""), Disch_Booking_Report!AC:AC)), 0)), "Not Found")</f>
        <v/>
      </c>
    </row>
    <row r="212">
      <c r="A212" t="n">
        <v>18</v>
      </c>
      <c r="B212" t="n">
        <v>180202</v>
      </c>
      <c r="C212" t="inlineStr">
        <is>
          <t xml:space="preserve">     ANON0000000</t>
        </is>
      </c>
      <c r="D212" t="n">
        <v>40</v>
      </c>
      <c r="E212" t="inlineStr">
        <is>
          <t>RULED</t>
        </is>
      </c>
      <c r="F212" t="inlineStr">
        <is>
          <t>USNYC</t>
        </is>
      </c>
      <c r="G212" t="n">
        <v>33160</v>
      </c>
      <c r="H212" t="inlineStr">
        <is>
          <t>ART</t>
        </is>
      </c>
      <c r="I212" t="inlineStr">
        <is>
          <t>45R1</t>
        </is>
      </c>
      <c r="K212" t="inlineStr">
        <is>
          <t>Dry reefer</t>
        </is>
      </c>
      <c r="L212" t="inlineStr">
        <is>
          <t>9'6</t>
        </is>
      </c>
      <c r="M212" t="inlineStr">
        <is>
          <t>Full</t>
        </is>
      </c>
      <c r="P212">
        <f t="array" ref="P212">IFERROR(INDEX(Disch_Booking_Report!B:B, MATCH(TRUE, ISNUMBER(FIND(SUBSTITUTE(C212," ",""), Disch_Booking_Report!AC:AC)), 0)), "Not Found")</f>
        <v/>
      </c>
      <c r="Q212">
        <f t="array" ref="Q212">IFERROR(INDEX(Disch_Booking_Report!C:C, MATCH(TRUE, ISNUMBER(FIND(SUBSTITUTE(C212," ",""), Disch_Booking_Report!AC:AC)), 0)), "Not Found")</f>
        <v/>
      </c>
      <c r="R212">
        <f t="array" ref="R212">IFERROR(INDEX(Disch_Booking_Report!AD:AD, MATCH(TRUE, ISNUMBER(FIND(SUBSTITUTE(C212," ",""), Disch_Booking_Report!AC:AC)), 0)), "Not Found")</f>
        <v/>
      </c>
      <c r="S212">
        <f>Tabela2[[#This Row],[Weight]]</f>
        <v/>
      </c>
      <c r="T212">
        <f t="array" ref="T212">IFERROR(INDEX(Disch_Booking_Report!L:L, MATCH(TRUE, ISNUMBER(FIND(SUBSTITUTE(C212," ",""), Disch_Booking_Report!AC:AC)), 0)), "Not Found")</f>
        <v/>
      </c>
      <c r="U212">
        <f t="array" ref="U212">IFERROR(INDEX(Disch_Booking_Report!I:I, MATCH(TRUE, ISNUMBER(FIND(SUBSTITUTE(C212," ",""), Disch_Booking_Report!AC:AC)), 0)), "Not Found")</f>
        <v/>
      </c>
    </row>
    <row r="213">
      <c r="A213" t="n">
        <v>18</v>
      </c>
      <c r="B213" t="n">
        <v>180402</v>
      </c>
      <c r="C213" t="inlineStr">
        <is>
          <t xml:space="preserve">     ANON0000000</t>
        </is>
      </c>
      <c r="D213" t="n">
        <v>40</v>
      </c>
      <c r="E213" t="inlineStr">
        <is>
          <t>RULED</t>
        </is>
      </c>
      <c r="F213" t="inlineStr">
        <is>
          <t>USNYC</t>
        </is>
      </c>
      <c r="G213" t="n">
        <v>34880</v>
      </c>
      <c r="H213" t="inlineStr">
        <is>
          <t>ART</t>
        </is>
      </c>
      <c r="I213" t="inlineStr">
        <is>
          <t>45R1</t>
        </is>
      </c>
      <c r="K213" t="inlineStr">
        <is>
          <t>Dry reefer</t>
        </is>
      </c>
      <c r="L213" t="inlineStr">
        <is>
          <t>9'6</t>
        </is>
      </c>
      <c r="M213" t="inlineStr">
        <is>
          <t>Full</t>
        </is>
      </c>
      <c r="P213">
        <f t="array" ref="P213">IFERROR(INDEX(Disch_Booking_Report!B:B, MATCH(TRUE, ISNUMBER(FIND(SUBSTITUTE(C213," ",""), Disch_Booking_Report!AC:AC)), 0)), "Not Found")</f>
        <v/>
      </c>
      <c r="Q213">
        <f t="array" ref="Q213">IFERROR(INDEX(Disch_Booking_Report!C:C, MATCH(TRUE, ISNUMBER(FIND(SUBSTITUTE(C213," ",""), Disch_Booking_Report!AC:AC)), 0)), "Not Found")</f>
        <v/>
      </c>
      <c r="R213">
        <f t="array" ref="R213">IFERROR(INDEX(Disch_Booking_Report!AD:AD, MATCH(TRUE, ISNUMBER(FIND(SUBSTITUTE(C213," ",""), Disch_Booking_Report!AC:AC)), 0)), "Not Found")</f>
        <v/>
      </c>
      <c r="S213">
        <f>Tabela2[[#This Row],[Weight]]</f>
        <v/>
      </c>
      <c r="T213">
        <f t="array" ref="T213">IFERROR(INDEX(Disch_Booking_Report!L:L, MATCH(TRUE, ISNUMBER(FIND(SUBSTITUTE(C213," ",""), Disch_Booking_Report!AC:AC)), 0)), "Not Found")</f>
        <v/>
      </c>
      <c r="U213">
        <f t="array" ref="U213">IFERROR(INDEX(Disch_Booking_Report!I:I, MATCH(TRUE, ISNUMBER(FIND(SUBSTITUTE(C213," ",""), Disch_Booking_Report!AC:AC)), 0)), "Not Found")</f>
        <v/>
      </c>
    </row>
    <row r="214">
      <c r="A214" t="n">
        <v>18</v>
      </c>
      <c r="B214" t="n">
        <v>180308</v>
      </c>
      <c r="C214" t="inlineStr">
        <is>
          <t xml:space="preserve">     ANON0000000</t>
        </is>
      </c>
      <c r="D214" t="n">
        <v>40</v>
      </c>
      <c r="E214" t="inlineStr">
        <is>
          <t>RULED</t>
        </is>
      </c>
      <c r="F214" t="inlineStr">
        <is>
          <t>USNYC</t>
        </is>
      </c>
      <c r="G214" t="n">
        <v>34910</v>
      </c>
      <c r="H214" t="inlineStr">
        <is>
          <t>ART</t>
        </is>
      </c>
      <c r="I214" t="inlineStr">
        <is>
          <t>45R1</t>
        </is>
      </c>
      <c r="K214" t="inlineStr">
        <is>
          <t>Dry reefer</t>
        </is>
      </c>
      <c r="L214" t="inlineStr">
        <is>
          <t>9'6</t>
        </is>
      </c>
      <c r="M214" t="inlineStr">
        <is>
          <t>Full</t>
        </is>
      </c>
      <c r="P214">
        <f t="array" ref="P214">IFERROR(INDEX(Disch_Booking_Report!B:B, MATCH(TRUE, ISNUMBER(FIND(SUBSTITUTE(C214," ",""), Disch_Booking_Report!AC:AC)), 0)), "Not Found")</f>
        <v/>
      </c>
      <c r="Q214">
        <f t="array" ref="Q214">IFERROR(INDEX(Disch_Booking_Report!C:C, MATCH(TRUE, ISNUMBER(FIND(SUBSTITUTE(C214," ",""), Disch_Booking_Report!AC:AC)), 0)), "Not Found")</f>
        <v/>
      </c>
      <c r="R214">
        <f t="array" ref="R214">IFERROR(INDEX(Disch_Booking_Report!AD:AD, MATCH(TRUE, ISNUMBER(FIND(SUBSTITUTE(C214," ",""), Disch_Booking_Report!AC:AC)), 0)), "Not Found")</f>
        <v/>
      </c>
      <c r="S214">
        <f>Tabela2[[#This Row],[Weight]]</f>
        <v/>
      </c>
      <c r="T214">
        <f t="array" ref="T214">IFERROR(INDEX(Disch_Booking_Report!L:L, MATCH(TRUE, ISNUMBER(FIND(SUBSTITUTE(C214," ",""), Disch_Booking_Report!AC:AC)), 0)), "Not Found")</f>
        <v/>
      </c>
      <c r="U214">
        <f t="array" ref="U214">IFERROR(INDEX(Disch_Booking_Report!I:I, MATCH(TRUE, ISNUMBER(FIND(SUBSTITUTE(C214," ",""), Disch_Booking_Report!AC:AC)), 0)), "Not Found")</f>
        <v/>
      </c>
    </row>
    <row r="215">
      <c r="A215" t="n">
        <v>18</v>
      </c>
      <c r="B215" t="n">
        <v>180506</v>
      </c>
      <c r="C215" t="inlineStr">
        <is>
          <t xml:space="preserve">     ANON0000000</t>
        </is>
      </c>
      <c r="D215" t="n">
        <v>40</v>
      </c>
      <c r="E215" t="inlineStr">
        <is>
          <t>RULED</t>
        </is>
      </c>
      <c r="F215" t="inlineStr">
        <is>
          <t>USNYC</t>
        </is>
      </c>
      <c r="G215" t="n">
        <v>33980</v>
      </c>
      <c r="H215" t="inlineStr">
        <is>
          <t>ART</t>
        </is>
      </c>
      <c r="I215" t="inlineStr">
        <is>
          <t>45R1</t>
        </is>
      </c>
      <c r="K215" t="inlineStr">
        <is>
          <t>Dry reefer</t>
        </is>
      </c>
      <c r="L215" t="inlineStr">
        <is>
          <t>9'6</t>
        </is>
      </c>
      <c r="M215" t="inlineStr">
        <is>
          <t>Full</t>
        </is>
      </c>
      <c r="P215">
        <f t="array" ref="P215">IFERROR(INDEX(Disch_Booking_Report!B:B, MATCH(TRUE, ISNUMBER(FIND(SUBSTITUTE(C215," ",""), Disch_Booking_Report!AC:AC)), 0)), "Not Found")</f>
        <v/>
      </c>
      <c r="Q215">
        <f t="array" ref="Q215">IFERROR(INDEX(Disch_Booking_Report!C:C, MATCH(TRUE, ISNUMBER(FIND(SUBSTITUTE(C215," ",""), Disch_Booking_Report!AC:AC)), 0)), "Not Found")</f>
        <v/>
      </c>
      <c r="R215">
        <f t="array" ref="R215">IFERROR(INDEX(Disch_Booking_Report!AD:AD, MATCH(TRUE, ISNUMBER(FIND(SUBSTITUTE(C215," ",""), Disch_Booking_Report!AC:AC)), 0)), "Not Found")</f>
        <v/>
      </c>
      <c r="S215">
        <f>Tabela2[[#This Row],[Weight]]</f>
        <v/>
      </c>
      <c r="T215">
        <f t="array" ref="T215">IFERROR(INDEX(Disch_Booking_Report!L:L, MATCH(TRUE, ISNUMBER(FIND(SUBSTITUTE(C215," ",""), Disch_Booking_Report!AC:AC)), 0)), "Not Found")</f>
        <v/>
      </c>
      <c r="U215">
        <f t="array" ref="U215">IFERROR(INDEX(Disch_Booking_Report!I:I, MATCH(TRUE, ISNUMBER(FIND(SUBSTITUTE(C215," ",""), Disch_Booking_Report!AC:AC)), 0)), "Not Found")</f>
        <v/>
      </c>
    </row>
    <row r="216">
      <c r="A216" t="n">
        <v>18</v>
      </c>
      <c r="B216" t="n">
        <v>180304</v>
      </c>
      <c r="C216" t="inlineStr">
        <is>
          <t xml:space="preserve">     ANON0000000</t>
        </is>
      </c>
      <c r="D216" t="n">
        <v>40</v>
      </c>
      <c r="E216" t="inlineStr">
        <is>
          <t>RULED</t>
        </is>
      </c>
      <c r="F216" t="inlineStr">
        <is>
          <t>USNYC</t>
        </is>
      </c>
      <c r="G216" t="n">
        <v>33810</v>
      </c>
      <c r="H216" t="inlineStr">
        <is>
          <t>ART</t>
        </is>
      </c>
      <c r="I216" t="inlineStr">
        <is>
          <t>40R1</t>
        </is>
      </c>
      <c r="K216" t="inlineStr">
        <is>
          <t>Dry reefer</t>
        </is>
      </c>
      <c r="L216" t="inlineStr">
        <is>
          <t>8'</t>
        </is>
      </c>
      <c r="M216" t="inlineStr">
        <is>
          <t>Full</t>
        </is>
      </c>
      <c r="P216">
        <f t="array" ref="P216">IFERROR(INDEX(Disch_Booking_Report!B:B, MATCH(TRUE, ISNUMBER(FIND(SUBSTITUTE(C216," ",""), Disch_Booking_Report!AC:AC)), 0)), "Not Found")</f>
        <v/>
      </c>
      <c r="Q216">
        <f t="array" ref="Q216">IFERROR(INDEX(Disch_Booking_Report!C:C, MATCH(TRUE, ISNUMBER(FIND(SUBSTITUTE(C216," ",""), Disch_Booking_Report!AC:AC)), 0)), "Not Found")</f>
        <v/>
      </c>
      <c r="R216">
        <f t="array" ref="R216">IFERROR(INDEX(Disch_Booking_Report!AD:AD, MATCH(TRUE, ISNUMBER(FIND(SUBSTITUTE(C216," ",""), Disch_Booking_Report!AC:AC)), 0)), "Not Found")</f>
        <v/>
      </c>
      <c r="S216">
        <f>Tabela2[[#This Row],[Weight]]</f>
        <v/>
      </c>
      <c r="T216">
        <f t="array" ref="T216">IFERROR(INDEX(Disch_Booking_Report!L:L, MATCH(TRUE, ISNUMBER(FIND(SUBSTITUTE(C216," ",""), Disch_Booking_Report!AC:AC)), 0)), "Not Found")</f>
        <v/>
      </c>
      <c r="U216">
        <f t="array" ref="U216">IFERROR(INDEX(Disch_Booking_Report!I:I, MATCH(TRUE, ISNUMBER(FIND(SUBSTITUTE(C216," ",""), Disch_Booking_Report!AC:AC)), 0)), "Not Found")</f>
        <v/>
      </c>
    </row>
    <row r="217">
      <c r="A217" t="n">
        <v>18</v>
      </c>
      <c r="B217" t="n">
        <v>180082</v>
      </c>
      <c r="C217" t="inlineStr">
        <is>
          <t xml:space="preserve">     ANON0000000</t>
        </is>
      </c>
      <c r="D217" t="n">
        <v>40</v>
      </c>
      <c r="E217" t="inlineStr">
        <is>
          <t>RULED</t>
        </is>
      </c>
      <c r="F217" t="inlineStr">
        <is>
          <t>USNYC</t>
        </is>
      </c>
      <c r="G217" t="n">
        <v>34910</v>
      </c>
      <c r="H217" t="inlineStr">
        <is>
          <t>ART</t>
        </is>
      </c>
      <c r="I217" t="inlineStr">
        <is>
          <t>45R1</t>
        </is>
      </c>
      <c r="K217" t="inlineStr">
        <is>
          <t>Dry reefer</t>
        </is>
      </c>
      <c r="L217" t="inlineStr">
        <is>
          <t>9'6</t>
        </is>
      </c>
      <c r="M217" t="inlineStr">
        <is>
          <t>Full</t>
        </is>
      </c>
      <c r="P217">
        <f t="array" ref="P217">IFERROR(INDEX(Disch_Booking_Report!B:B, MATCH(TRUE, ISNUMBER(FIND(SUBSTITUTE(C217," ",""), Disch_Booking_Report!AC:AC)), 0)), "Not Found")</f>
        <v/>
      </c>
      <c r="Q217">
        <f t="array" ref="Q217">IFERROR(INDEX(Disch_Booking_Report!C:C, MATCH(TRUE, ISNUMBER(FIND(SUBSTITUTE(C217," ",""), Disch_Booking_Report!AC:AC)), 0)), "Not Found")</f>
        <v/>
      </c>
      <c r="R217">
        <f t="array" ref="R217">IFERROR(INDEX(Disch_Booking_Report!AD:AD, MATCH(TRUE, ISNUMBER(FIND(SUBSTITUTE(C217," ",""), Disch_Booking_Report!AC:AC)), 0)), "Not Found")</f>
        <v/>
      </c>
      <c r="S217">
        <f>Tabela2[[#This Row],[Weight]]</f>
        <v/>
      </c>
      <c r="T217">
        <f t="array" ref="T217">IFERROR(INDEX(Disch_Booking_Report!L:L, MATCH(TRUE, ISNUMBER(FIND(SUBSTITUTE(C217," ",""), Disch_Booking_Report!AC:AC)), 0)), "Not Found")</f>
        <v/>
      </c>
      <c r="U217">
        <f t="array" ref="U217">IFERROR(INDEX(Disch_Booking_Report!I:I, MATCH(TRUE, ISNUMBER(FIND(SUBSTITUTE(C217," ",""), Disch_Booking_Report!AC:AC)), 0)), "Not Found")</f>
        <v/>
      </c>
    </row>
    <row r="218">
      <c r="A218" t="n">
        <v>18</v>
      </c>
      <c r="B218" t="n">
        <v>180284</v>
      </c>
      <c r="C218" t="inlineStr">
        <is>
          <t xml:space="preserve">     ANON0000000</t>
        </is>
      </c>
      <c r="D218" t="n">
        <v>40</v>
      </c>
      <c r="E218" t="inlineStr">
        <is>
          <t>RULED</t>
        </is>
      </c>
      <c r="F218" t="inlineStr">
        <is>
          <t>USNYC</t>
        </is>
      </c>
      <c r="G218" t="n">
        <v>33800</v>
      </c>
      <c r="H218" t="inlineStr">
        <is>
          <t>ART</t>
        </is>
      </c>
      <c r="I218" t="inlineStr">
        <is>
          <t>45R1</t>
        </is>
      </c>
      <c r="K218" t="inlineStr">
        <is>
          <t>Dry reefer</t>
        </is>
      </c>
      <c r="L218" t="inlineStr">
        <is>
          <t>9'6</t>
        </is>
      </c>
      <c r="M218" t="inlineStr">
        <is>
          <t>Full</t>
        </is>
      </c>
      <c r="P218">
        <f t="array" ref="P218">IFERROR(INDEX(Disch_Booking_Report!B:B, MATCH(TRUE, ISNUMBER(FIND(SUBSTITUTE(C218," ",""), Disch_Booking_Report!AC:AC)), 0)), "Not Found")</f>
        <v/>
      </c>
      <c r="Q218">
        <f t="array" ref="Q218">IFERROR(INDEX(Disch_Booking_Report!C:C, MATCH(TRUE, ISNUMBER(FIND(SUBSTITUTE(C218," ",""), Disch_Booking_Report!AC:AC)), 0)), "Not Found")</f>
        <v/>
      </c>
      <c r="R218">
        <f t="array" ref="R218">IFERROR(INDEX(Disch_Booking_Report!AD:AD, MATCH(TRUE, ISNUMBER(FIND(SUBSTITUTE(C218," ",""), Disch_Booking_Report!AC:AC)), 0)), "Not Found")</f>
        <v/>
      </c>
      <c r="S218">
        <f>Tabela2[[#This Row],[Weight]]</f>
        <v/>
      </c>
      <c r="T218">
        <f t="array" ref="T218">IFERROR(INDEX(Disch_Booking_Report!L:L, MATCH(TRUE, ISNUMBER(FIND(SUBSTITUTE(C218," ",""), Disch_Booking_Report!AC:AC)), 0)), "Not Found")</f>
        <v/>
      </c>
      <c r="U218">
        <f t="array" ref="U218">IFERROR(INDEX(Disch_Booking_Report!I:I, MATCH(TRUE, ISNUMBER(FIND(SUBSTITUTE(C218," ",""), Disch_Booking_Report!AC:AC)), 0)), "Not Found")</f>
        <v/>
      </c>
    </row>
    <row r="219">
      <c r="A219" t="n">
        <v>18</v>
      </c>
      <c r="B219" t="n">
        <v>180504</v>
      </c>
      <c r="C219" t="inlineStr">
        <is>
          <t xml:space="preserve">     ANON0000000</t>
        </is>
      </c>
      <c r="D219" t="n">
        <v>40</v>
      </c>
      <c r="E219" t="inlineStr">
        <is>
          <t>RULED</t>
        </is>
      </c>
      <c r="F219" t="inlineStr">
        <is>
          <t>USNYC</t>
        </is>
      </c>
      <c r="G219" t="n">
        <v>33680</v>
      </c>
      <c r="H219" t="inlineStr">
        <is>
          <t>ART</t>
        </is>
      </c>
      <c r="I219" t="inlineStr">
        <is>
          <t>45R1</t>
        </is>
      </c>
      <c r="K219" t="inlineStr">
        <is>
          <t>Dry reefer</t>
        </is>
      </c>
      <c r="L219" t="inlineStr">
        <is>
          <t>9'6</t>
        </is>
      </c>
      <c r="M219" t="inlineStr">
        <is>
          <t>Full</t>
        </is>
      </c>
      <c r="P219">
        <f t="array" ref="P219">IFERROR(INDEX(Disch_Booking_Report!B:B, MATCH(TRUE, ISNUMBER(FIND(SUBSTITUTE(C219," ",""), Disch_Booking_Report!AC:AC)), 0)), "Not Found")</f>
        <v/>
      </c>
      <c r="Q219">
        <f t="array" ref="Q219">IFERROR(INDEX(Disch_Booking_Report!C:C, MATCH(TRUE, ISNUMBER(FIND(SUBSTITUTE(C219," ",""), Disch_Booking_Report!AC:AC)), 0)), "Not Found")</f>
        <v/>
      </c>
      <c r="R219">
        <f t="array" ref="R219">IFERROR(INDEX(Disch_Booking_Report!AD:AD, MATCH(TRUE, ISNUMBER(FIND(SUBSTITUTE(C219," ",""), Disch_Booking_Report!AC:AC)), 0)), "Not Found")</f>
        <v/>
      </c>
      <c r="S219">
        <f>Tabela2[[#This Row],[Weight]]</f>
        <v/>
      </c>
      <c r="T219">
        <f t="array" ref="T219">IFERROR(INDEX(Disch_Booking_Report!L:L, MATCH(TRUE, ISNUMBER(FIND(SUBSTITUTE(C219," ",""), Disch_Booking_Report!AC:AC)), 0)), "Not Found")</f>
        <v/>
      </c>
      <c r="U219">
        <f t="array" ref="U219">IFERROR(INDEX(Disch_Booking_Report!I:I, MATCH(TRUE, ISNUMBER(FIND(SUBSTITUTE(C219," ",""), Disch_Booking_Report!AC:AC)), 0)), "Not Found")</f>
        <v/>
      </c>
    </row>
    <row r="220">
      <c r="A220" t="n">
        <v>18</v>
      </c>
      <c r="B220" t="n">
        <v>180184</v>
      </c>
      <c r="C220" t="inlineStr">
        <is>
          <t xml:space="preserve">     ANON0000000</t>
        </is>
      </c>
      <c r="D220" t="n">
        <v>40</v>
      </c>
      <c r="E220" t="inlineStr">
        <is>
          <t>RULED</t>
        </is>
      </c>
      <c r="F220" t="inlineStr">
        <is>
          <t>USNYC</t>
        </is>
      </c>
      <c r="G220" t="n">
        <v>33600</v>
      </c>
      <c r="H220" t="inlineStr">
        <is>
          <t>ART</t>
        </is>
      </c>
      <c r="I220" t="inlineStr">
        <is>
          <t>45R1</t>
        </is>
      </c>
      <c r="K220" t="inlineStr">
        <is>
          <t>Dry reefer</t>
        </is>
      </c>
      <c r="L220" t="inlineStr">
        <is>
          <t>9'6</t>
        </is>
      </c>
      <c r="M220" t="inlineStr">
        <is>
          <t>Full</t>
        </is>
      </c>
      <c r="P220">
        <f t="array" ref="P220">IFERROR(INDEX(Disch_Booking_Report!B:B, MATCH(TRUE, ISNUMBER(FIND(SUBSTITUTE(C220," ",""), Disch_Booking_Report!AC:AC)), 0)), "Not Found")</f>
        <v/>
      </c>
      <c r="Q220">
        <f t="array" ref="Q220">IFERROR(INDEX(Disch_Booking_Report!C:C, MATCH(TRUE, ISNUMBER(FIND(SUBSTITUTE(C220," ",""), Disch_Booking_Report!AC:AC)), 0)), "Not Found")</f>
        <v/>
      </c>
      <c r="R220">
        <f t="array" ref="R220">IFERROR(INDEX(Disch_Booking_Report!AD:AD, MATCH(TRUE, ISNUMBER(FIND(SUBSTITUTE(C220," ",""), Disch_Booking_Report!AC:AC)), 0)), "Not Found")</f>
        <v/>
      </c>
      <c r="S220">
        <f>Tabela2[[#This Row],[Weight]]</f>
        <v/>
      </c>
      <c r="T220">
        <f t="array" ref="T220">IFERROR(INDEX(Disch_Booking_Report!L:L, MATCH(TRUE, ISNUMBER(FIND(SUBSTITUTE(C220," ",""), Disch_Booking_Report!AC:AC)), 0)), "Not Found")</f>
        <v/>
      </c>
      <c r="U220">
        <f t="array" ref="U220">IFERROR(INDEX(Disch_Booking_Report!I:I, MATCH(TRUE, ISNUMBER(FIND(SUBSTITUTE(C220," ",""), Disch_Booking_Report!AC:AC)), 0)), "Not Found")</f>
        <v/>
      </c>
    </row>
    <row r="221">
      <c r="A221" t="n">
        <v>18</v>
      </c>
      <c r="B221" t="n">
        <v>180704</v>
      </c>
      <c r="C221" t="inlineStr">
        <is>
          <t xml:space="preserve">     ANON0000000</t>
        </is>
      </c>
      <c r="D221" t="n">
        <v>40</v>
      </c>
      <c r="E221" t="inlineStr">
        <is>
          <t>RULED</t>
        </is>
      </c>
      <c r="F221" t="inlineStr">
        <is>
          <t>USNYC</t>
        </is>
      </c>
      <c r="G221" t="n">
        <v>33990</v>
      </c>
      <c r="H221" t="inlineStr">
        <is>
          <t>ART</t>
        </is>
      </c>
      <c r="I221" t="inlineStr">
        <is>
          <t>40R1</t>
        </is>
      </c>
      <c r="K221" t="inlineStr">
        <is>
          <t>Dry reefer</t>
        </is>
      </c>
      <c r="L221" t="inlineStr">
        <is>
          <t>8'</t>
        </is>
      </c>
      <c r="M221" t="inlineStr">
        <is>
          <t>Full</t>
        </is>
      </c>
      <c r="P221">
        <f t="array" ref="P221">IFERROR(INDEX(Disch_Booking_Report!B:B, MATCH(TRUE, ISNUMBER(FIND(SUBSTITUTE(C221," ",""), Disch_Booking_Report!AC:AC)), 0)), "Not Found")</f>
        <v/>
      </c>
      <c r="Q221">
        <f t="array" ref="Q221">IFERROR(INDEX(Disch_Booking_Report!C:C, MATCH(TRUE, ISNUMBER(FIND(SUBSTITUTE(C221," ",""), Disch_Booking_Report!AC:AC)), 0)), "Not Found")</f>
        <v/>
      </c>
      <c r="R221">
        <f t="array" ref="R221">IFERROR(INDEX(Disch_Booking_Report!AD:AD, MATCH(TRUE, ISNUMBER(FIND(SUBSTITUTE(C221," ",""), Disch_Booking_Report!AC:AC)), 0)), "Not Found")</f>
        <v/>
      </c>
      <c r="S221">
        <f>Tabela2[[#This Row],[Weight]]</f>
        <v/>
      </c>
      <c r="T221">
        <f t="array" ref="T221">IFERROR(INDEX(Disch_Booking_Report!L:L, MATCH(TRUE, ISNUMBER(FIND(SUBSTITUTE(C221," ",""), Disch_Booking_Report!AC:AC)), 0)), "Not Found")</f>
        <v/>
      </c>
      <c r="U221">
        <f t="array" ref="U221">IFERROR(INDEX(Disch_Booking_Report!I:I, MATCH(TRUE, ISNUMBER(FIND(SUBSTITUTE(C221," ",""), Disch_Booking_Report!AC:AC)), 0)), "Not Found")</f>
        <v/>
      </c>
    </row>
    <row r="222">
      <c r="A222" t="n">
        <v>18</v>
      </c>
      <c r="B222" t="n">
        <v>180606</v>
      </c>
      <c r="C222" t="inlineStr">
        <is>
          <t xml:space="preserve">     ANON0000000</t>
        </is>
      </c>
      <c r="D222" t="n">
        <v>40</v>
      </c>
      <c r="E222" t="inlineStr">
        <is>
          <t>RULED</t>
        </is>
      </c>
      <c r="F222" t="inlineStr">
        <is>
          <t>USNYC</t>
        </is>
      </c>
      <c r="G222" t="n">
        <v>34100</v>
      </c>
      <c r="H222" t="inlineStr">
        <is>
          <t>ART</t>
        </is>
      </c>
      <c r="I222" t="inlineStr">
        <is>
          <t>45R1</t>
        </is>
      </c>
      <c r="K222" t="inlineStr">
        <is>
          <t>Dry reefer</t>
        </is>
      </c>
      <c r="L222" t="inlineStr">
        <is>
          <t>9'6</t>
        </is>
      </c>
      <c r="M222" t="inlineStr">
        <is>
          <t>Full</t>
        </is>
      </c>
      <c r="P222">
        <f t="array" ref="P222">IFERROR(INDEX(Disch_Booking_Report!B:B, MATCH(TRUE, ISNUMBER(FIND(SUBSTITUTE(C222," ",""), Disch_Booking_Report!AC:AC)), 0)), "Not Found")</f>
        <v/>
      </c>
      <c r="Q222">
        <f t="array" ref="Q222">IFERROR(INDEX(Disch_Booking_Report!C:C, MATCH(TRUE, ISNUMBER(FIND(SUBSTITUTE(C222," ",""), Disch_Booking_Report!AC:AC)), 0)), "Not Found")</f>
        <v/>
      </c>
      <c r="R222">
        <f t="array" ref="R222">IFERROR(INDEX(Disch_Booking_Report!AD:AD, MATCH(TRUE, ISNUMBER(FIND(SUBSTITUTE(C222," ",""), Disch_Booking_Report!AC:AC)), 0)), "Not Found")</f>
        <v/>
      </c>
      <c r="S222">
        <f>Tabela2[[#This Row],[Weight]]</f>
        <v/>
      </c>
      <c r="T222">
        <f t="array" ref="T222">IFERROR(INDEX(Disch_Booking_Report!L:L, MATCH(TRUE, ISNUMBER(FIND(SUBSTITUTE(C222," ",""), Disch_Booking_Report!AC:AC)), 0)), "Not Found")</f>
        <v/>
      </c>
      <c r="U222">
        <f t="array" ref="U222">IFERROR(INDEX(Disch_Booking_Report!I:I, MATCH(TRUE, ISNUMBER(FIND(SUBSTITUTE(C222," ",""), Disch_Booking_Report!AC:AC)), 0)), "Not Found")</f>
        <v/>
      </c>
    </row>
    <row r="223">
      <c r="A223" t="n">
        <v>18</v>
      </c>
      <c r="B223" t="n">
        <v>180408</v>
      </c>
      <c r="C223" t="inlineStr">
        <is>
          <t xml:space="preserve">     ANON0000000</t>
        </is>
      </c>
      <c r="D223" t="n">
        <v>40</v>
      </c>
      <c r="E223" t="inlineStr">
        <is>
          <t>RULED</t>
        </is>
      </c>
      <c r="F223" t="inlineStr">
        <is>
          <t>USNYC</t>
        </is>
      </c>
      <c r="G223" t="n">
        <v>33100</v>
      </c>
      <c r="H223" t="inlineStr">
        <is>
          <t>ART</t>
        </is>
      </c>
      <c r="I223" t="inlineStr">
        <is>
          <t>45R1</t>
        </is>
      </c>
      <c r="K223" t="inlineStr">
        <is>
          <t>Dry reefer</t>
        </is>
      </c>
      <c r="L223" t="inlineStr">
        <is>
          <t>9'6</t>
        </is>
      </c>
      <c r="M223" t="inlineStr">
        <is>
          <t>Full</t>
        </is>
      </c>
      <c r="P223">
        <f t="array" ref="P223">IFERROR(INDEX(Disch_Booking_Report!B:B, MATCH(TRUE, ISNUMBER(FIND(SUBSTITUTE(C223," ",""), Disch_Booking_Report!AC:AC)), 0)), "Not Found")</f>
        <v/>
      </c>
      <c r="Q223">
        <f t="array" ref="Q223">IFERROR(INDEX(Disch_Booking_Report!C:C, MATCH(TRUE, ISNUMBER(FIND(SUBSTITUTE(C223," ",""), Disch_Booking_Report!AC:AC)), 0)), "Not Found")</f>
        <v/>
      </c>
      <c r="R223">
        <f t="array" ref="R223">IFERROR(INDEX(Disch_Booking_Report!AD:AD, MATCH(TRUE, ISNUMBER(FIND(SUBSTITUTE(C223," ",""), Disch_Booking_Report!AC:AC)), 0)), "Not Found")</f>
        <v/>
      </c>
      <c r="S223">
        <f>Tabela2[[#This Row],[Weight]]</f>
        <v/>
      </c>
      <c r="T223">
        <f t="array" ref="T223">IFERROR(INDEX(Disch_Booking_Report!L:L, MATCH(TRUE, ISNUMBER(FIND(SUBSTITUTE(C223," ",""), Disch_Booking_Report!AC:AC)), 0)), "Not Found")</f>
        <v/>
      </c>
      <c r="U223">
        <f t="array" ref="U223">IFERROR(INDEX(Disch_Booking_Report!I:I, MATCH(TRUE, ISNUMBER(FIND(SUBSTITUTE(C223," ",""), Disch_Booking_Report!AC:AC)), 0)), "Not Found")</f>
        <v/>
      </c>
    </row>
    <row r="224">
      <c r="A224" t="n">
        <v>18</v>
      </c>
      <c r="B224" t="n">
        <v>180784</v>
      </c>
      <c r="C224" t="inlineStr">
        <is>
          <t xml:space="preserve">     ANON0000000</t>
        </is>
      </c>
      <c r="D224" t="n">
        <v>40</v>
      </c>
      <c r="E224" t="inlineStr">
        <is>
          <t>RULED</t>
        </is>
      </c>
      <c r="F224" t="inlineStr">
        <is>
          <t>USNYC</t>
        </is>
      </c>
      <c r="G224" t="n">
        <v>33730</v>
      </c>
      <c r="H224" t="inlineStr">
        <is>
          <t>ART</t>
        </is>
      </c>
      <c r="I224" t="inlineStr">
        <is>
          <t>45R1</t>
        </is>
      </c>
      <c r="K224" t="inlineStr">
        <is>
          <t>Dry reefer</t>
        </is>
      </c>
      <c r="L224" t="inlineStr">
        <is>
          <t>9'6</t>
        </is>
      </c>
      <c r="M224" t="inlineStr">
        <is>
          <t>Full</t>
        </is>
      </c>
      <c r="P224">
        <f t="array" ref="P224">IFERROR(INDEX(Disch_Booking_Report!B:B, MATCH(TRUE, ISNUMBER(FIND(SUBSTITUTE(C224," ",""), Disch_Booking_Report!AC:AC)), 0)), "Not Found")</f>
        <v/>
      </c>
      <c r="Q224">
        <f t="array" ref="Q224">IFERROR(INDEX(Disch_Booking_Report!C:C, MATCH(TRUE, ISNUMBER(FIND(SUBSTITUTE(C224," ",""), Disch_Booking_Report!AC:AC)), 0)), "Not Found")</f>
        <v/>
      </c>
      <c r="R224">
        <f t="array" ref="R224">IFERROR(INDEX(Disch_Booking_Report!AD:AD, MATCH(TRUE, ISNUMBER(FIND(SUBSTITUTE(C224," ",""), Disch_Booking_Report!AC:AC)), 0)), "Not Found")</f>
        <v/>
      </c>
      <c r="S224">
        <f>Tabela2[[#This Row],[Weight]]</f>
        <v/>
      </c>
      <c r="T224">
        <f t="array" ref="T224">IFERROR(INDEX(Disch_Booking_Report!L:L, MATCH(TRUE, ISNUMBER(FIND(SUBSTITUTE(C224," ",""), Disch_Booking_Report!AC:AC)), 0)), "Not Found")</f>
        <v/>
      </c>
      <c r="U224">
        <f t="array" ref="U224">IFERROR(INDEX(Disch_Booking_Report!I:I, MATCH(TRUE, ISNUMBER(FIND(SUBSTITUTE(C224," ",""), Disch_Booking_Report!AC:AC)), 0)), "Not Found")</f>
        <v/>
      </c>
    </row>
    <row r="225">
      <c r="A225" t="n">
        <v>18</v>
      </c>
      <c r="B225" t="n">
        <v>180684</v>
      </c>
      <c r="C225" t="inlineStr">
        <is>
          <t xml:space="preserve">     ANON0000000</t>
        </is>
      </c>
      <c r="D225" t="n">
        <v>40</v>
      </c>
      <c r="E225" t="inlineStr">
        <is>
          <t>RULED</t>
        </is>
      </c>
      <c r="F225" t="inlineStr">
        <is>
          <t>USNYC</t>
        </is>
      </c>
      <c r="G225" t="n">
        <v>33070</v>
      </c>
      <c r="H225" t="inlineStr">
        <is>
          <t>ART</t>
        </is>
      </c>
      <c r="I225" t="inlineStr">
        <is>
          <t>45R1</t>
        </is>
      </c>
      <c r="K225" t="inlineStr">
        <is>
          <t>Dry reefer</t>
        </is>
      </c>
      <c r="L225" t="inlineStr">
        <is>
          <t>9'6</t>
        </is>
      </c>
      <c r="M225" t="inlineStr">
        <is>
          <t>Full</t>
        </is>
      </c>
      <c r="P225">
        <f t="array" ref="P225">IFERROR(INDEX(Disch_Booking_Report!B:B, MATCH(TRUE, ISNUMBER(FIND(SUBSTITUTE(C225," ",""), Disch_Booking_Report!AC:AC)), 0)), "Not Found")</f>
        <v/>
      </c>
      <c r="Q225">
        <f t="array" ref="Q225">IFERROR(INDEX(Disch_Booking_Report!C:C, MATCH(TRUE, ISNUMBER(FIND(SUBSTITUTE(C225," ",""), Disch_Booking_Report!AC:AC)), 0)), "Not Found")</f>
        <v/>
      </c>
      <c r="R225">
        <f t="array" ref="R225">IFERROR(INDEX(Disch_Booking_Report!AD:AD, MATCH(TRUE, ISNUMBER(FIND(SUBSTITUTE(C225," ",""), Disch_Booking_Report!AC:AC)), 0)), "Not Found")</f>
        <v/>
      </c>
      <c r="S225">
        <f>Tabela2[[#This Row],[Weight]]</f>
        <v/>
      </c>
      <c r="T225">
        <f t="array" ref="T225">IFERROR(INDEX(Disch_Booking_Report!L:L, MATCH(TRUE, ISNUMBER(FIND(SUBSTITUTE(C225," ",""), Disch_Booking_Report!AC:AC)), 0)), "Not Found")</f>
        <v/>
      </c>
      <c r="U225">
        <f t="array" ref="U225">IFERROR(INDEX(Disch_Booking_Report!I:I, MATCH(TRUE, ISNUMBER(FIND(SUBSTITUTE(C225," ",""), Disch_Booking_Report!AC:AC)), 0)), "Not Found")</f>
        <v/>
      </c>
    </row>
    <row r="226">
      <c r="A226" t="n">
        <v>18</v>
      </c>
      <c r="B226" t="n">
        <v>180406</v>
      </c>
      <c r="C226" t="inlineStr">
        <is>
          <t xml:space="preserve">     ANON0000000</t>
        </is>
      </c>
      <c r="D226" t="n">
        <v>40</v>
      </c>
      <c r="E226" t="inlineStr">
        <is>
          <t>RULED</t>
        </is>
      </c>
      <c r="F226" t="inlineStr">
        <is>
          <t>USNYC</t>
        </is>
      </c>
      <c r="G226" t="n">
        <v>33100</v>
      </c>
      <c r="H226" t="inlineStr">
        <is>
          <t>ART</t>
        </is>
      </c>
      <c r="I226" t="inlineStr">
        <is>
          <t>45R1</t>
        </is>
      </c>
      <c r="K226" t="inlineStr">
        <is>
          <t>Dry reefer</t>
        </is>
      </c>
      <c r="L226" t="inlineStr">
        <is>
          <t>9'6</t>
        </is>
      </c>
      <c r="M226" t="inlineStr">
        <is>
          <t>Full</t>
        </is>
      </c>
      <c r="P226">
        <f t="array" ref="P226">IFERROR(INDEX(Disch_Booking_Report!B:B, MATCH(TRUE, ISNUMBER(FIND(SUBSTITUTE(C226," ",""), Disch_Booking_Report!AC:AC)), 0)), "Not Found")</f>
        <v/>
      </c>
      <c r="Q226">
        <f t="array" ref="Q226">IFERROR(INDEX(Disch_Booking_Report!C:C, MATCH(TRUE, ISNUMBER(FIND(SUBSTITUTE(C226," ",""), Disch_Booking_Report!AC:AC)), 0)), "Not Found")</f>
        <v/>
      </c>
      <c r="R226">
        <f t="array" ref="R226">IFERROR(INDEX(Disch_Booking_Report!AD:AD, MATCH(TRUE, ISNUMBER(FIND(SUBSTITUTE(C226," ",""), Disch_Booking_Report!AC:AC)), 0)), "Not Found")</f>
        <v/>
      </c>
      <c r="S226">
        <f>Tabela2[[#This Row],[Weight]]</f>
        <v/>
      </c>
      <c r="T226">
        <f t="array" ref="T226">IFERROR(INDEX(Disch_Booking_Report!L:L, MATCH(TRUE, ISNUMBER(FIND(SUBSTITUTE(C226," ",""), Disch_Booking_Report!AC:AC)), 0)), "Not Found")</f>
        <v/>
      </c>
      <c r="U226">
        <f t="array" ref="U226">IFERROR(INDEX(Disch_Booking_Report!I:I, MATCH(TRUE, ISNUMBER(FIND(SUBSTITUTE(C226," ",""), Disch_Booking_Report!AC:AC)), 0)), "Not Found")</f>
        <v/>
      </c>
    </row>
    <row r="227">
      <c r="A227" t="n">
        <v>18</v>
      </c>
      <c r="B227" t="n">
        <v>180782</v>
      </c>
      <c r="C227" t="inlineStr">
        <is>
          <t xml:space="preserve">     ANON0000000</t>
        </is>
      </c>
      <c r="D227" t="n">
        <v>40</v>
      </c>
      <c r="E227" t="inlineStr">
        <is>
          <t>RULED</t>
        </is>
      </c>
      <c r="F227" t="inlineStr">
        <is>
          <t>USNYC</t>
        </is>
      </c>
      <c r="G227" t="n">
        <v>34040</v>
      </c>
      <c r="H227" t="inlineStr">
        <is>
          <t>ART</t>
        </is>
      </c>
      <c r="I227" t="inlineStr">
        <is>
          <t>45R1</t>
        </is>
      </c>
      <c r="K227" t="inlineStr">
        <is>
          <t>Dry reefer</t>
        </is>
      </c>
      <c r="L227" t="inlineStr">
        <is>
          <t>9'6</t>
        </is>
      </c>
      <c r="M227" t="inlineStr">
        <is>
          <t>Full</t>
        </is>
      </c>
      <c r="P227">
        <f t="array" ref="P227">IFERROR(INDEX(Disch_Booking_Report!B:B, MATCH(TRUE, ISNUMBER(FIND(SUBSTITUTE(C227," ",""), Disch_Booking_Report!AC:AC)), 0)), "Not Found")</f>
        <v/>
      </c>
      <c r="Q227">
        <f t="array" ref="Q227">IFERROR(INDEX(Disch_Booking_Report!C:C, MATCH(TRUE, ISNUMBER(FIND(SUBSTITUTE(C227," ",""), Disch_Booking_Report!AC:AC)), 0)), "Not Found")</f>
        <v/>
      </c>
      <c r="R227">
        <f t="array" ref="R227">IFERROR(INDEX(Disch_Booking_Report!AD:AD, MATCH(TRUE, ISNUMBER(FIND(SUBSTITUTE(C227," ",""), Disch_Booking_Report!AC:AC)), 0)), "Not Found")</f>
        <v/>
      </c>
      <c r="S227">
        <f>Tabela2[[#This Row],[Weight]]</f>
        <v/>
      </c>
      <c r="T227">
        <f t="array" ref="T227">IFERROR(INDEX(Disch_Booking_Report!L:L, MATCH(TRUE, ISNUMBER(FIND(SUBSTITUTE(C227," ",""), Disch_Booking_Report!AC:AC)), 0)), "Not Found")</f>
        <v/>
      </c>
      <c r="U227">
        <f t="array" ref="U227">IFERROR(INDEX(Disch_Booking_Report!I:I, MATCH(TRUE, ISNUMBER(FIND(SUBSTITUTE(C227," ",""), Disch_Booking_Report!AC:AC)), 0)), "Not Found")</f>
        <v/>
      </c>
    </row>
    <row r="228">
      <c r="A228" t="n">
        <v>18</v>
      </c>
      <c r="B228" t="n">
        <v>180806</v>
      </c>
      <c r="C228" t="inlineStr">
        <is>
          <t xml:space="preserve">     ANON0000000</t>
        </is>
      </c>
      <c r="D228" t="n">
        <v>40</v>
      </c>
      <c r="E228" t="inlineStr">
        <is>
          <t>RULED</t>
        </is>
      </c>
      <c r="F228" t="inlineStr">
        <is>
          <t>USNYC</t>
        </is>
      </c>
      <c r="G228" t="n">
        <v>33940</v>
      </c>
      <c r="H228" t="inlineStr">
        <is>
          <t>ART</t>
        </is>
      </c>
      <c r="I228" t="inlineStr">
        <is>
          <t>45R1</t>
        </is>
      </c>
      <c r="K228" t="inlineStr">
        <is>
          <t>Dry reefer</t>
        </is>
      </c>
      <c r="L228" t="inlineStr">
        <is>
          <t>9'6</t>
        </is>
      </c>
      <c r="M228" t="inlineStr">
        <is>
          <t>Full</t>
        </is>
      </c>
      <c r="P228">
        <f t="array" ref="P228">IFERROR(INDEX(Disch_Booking_Report!B:B, MATCH(TRUE, ISNUMBER(FIND(SUBSTITUTE(C228," ",""), Disch_Booking_Report!AC:AC)), 0)), "Not Found")</f>
        <v/>
      </c>
      <c r="Q228">
        <f t="array" ref="Q228">IFERROR(INDEX(Disch_Booking_Report!C:C, MATCH(TRUE, ISNUMBER(FIND(SUBSTITUTE(C228," ",""), Disch_Booking_Report!AC:AC)), 0)), "Not Found")</f>
        <v/>
      </c>
      <c r="R228">
        <f t="array" ref="R228">IFERROR(INDEX(Disch_Booking_Report!AD:AD, MATCH(TRUE, ISNUMBER(FIND(SUBSTITUTE(C228," ",""), Disch_Booking_Report!AC:AC)), 0)), "Not Found")</f>
        <v/>
      </c>
      <c r="S228">
        <f>Tabela2[[#This Row],[Weight]]</f>
        <v/>
      </c>
      <c r="T228">
        <f t="array" ref="T228">IFERROR(INDEX(Disch_Booking_Report!L:L, MATCH(TRUE, ISNUMBER(FIND(SUBSTITUTE(C228," ",""), Disch_Booking_Report!AC:AC)), 0)), "Not Found")</f>
        <v/>
      </c>
      <c r="U228">
        <f t="array" ref="U228">IFERROR(INDEX(Disch_Booking_Report!I:I, MATCH(TRUE, ISNUMBER(FIND(SUBSTITUTE(C228," ",""), Disch_Booking_Report!AC:AC)), 0)), "Not Found")</f>
        <v/>
      </c>
    </row>
    <row r="229">
      <c r="A229" t="n">
        <v>18</v>
      </c>
      <c r="B229" t="n">
        <v>180802</v>
      </c>
      <c r="C229" t="inlineStr">
        <is>
          <t xml:space="preserve">     ANON0000000</t>
        </is>
      </c>
      <c r="D229" t="n">
        <v>40</v>
      </c>
      <c r="E229" t="inlineStr">
        <is>
          <t>RULED</t>
        </is>
      </c>
      <c r="F229" t="inlineStr">
        <is>
          <t>USNYC</t>
        </is>
      </c>
      <c r="G229" t="n">
        <v>33720</v>
      </c>
      <c r="H229" t="inlineStr">
        <is>
          <t>ART</t>
        </is>
      </c>
      <c r="I229" t="inlineStr">
        <is>
          <t>45R1</t>
        </is>
      </c>
      <c r="K229" t="inlineStr">
        <is>
          <t>Dry reefer</t>
        </is>
      </c>
      <c r="L229" t="inlineStr">
        <is>
          <t>9'6</t>
        </is>
      </c>
      <c r="M229" t="inlineStr">
        <is>
          <t>Full</t>
        </is>
      </c>
      <c r="P229">
        <f t="array" ref="P229">IFERROR(INDEX(Disch_Booking_Report!B:B, MATCH(TRUE, ISNUMBER(FIND(SUBSTITUTE(C229," ",""), Disch_Booking_Report!AC:AC)), 0)), "Not Found")</f>
        <v/>
      </c>
      <c r="Q229">
        <f t="array" ref="Q229">IFERROR(INDEX(Disch_Booking_Report!C:C, MATCH(TRUE, ISNUMBER(FIND(SUBSTITUTE(C229," ",""), Disch_Booking_Report!AC:AC)), 0)), "Not Found")</f>
        <v/>
      </c>
      <c r="R229">
        <f t="array" ref="R229">IFERROR(INDEX(Disch_Booking_Report!AD:AD, MATCH(TRUE, ISNUMBER(FIND(SUBSTITUTE(C229," ",""), Disch_Booking_Report!AC:AC)), 0)), "Not Found")</f>
        <v/>
      </c>
      <c r="S229">
        <f>Tabela2[[#This Row],[Weight]]</f>
        <v/>
      </c>
      <c r="T229">
        <f t="array" ref="T229">IFERROR(INDEX(Disch_Booking_Report!L:L, MATCH(TRUE, ISNUMBER(FIND(SUBSTITUTE(C229," ",""), Disch_Booking_Report!AC:AC)), 0)), "Not Found")</f>
        <v/>
      </c>
      <c r="U229">
        <f t="array" ref="U229">IFERROR(INDEX(Disch_Booking_Report!I:I, MATCH(TRUE, ISNUMBER(FIND(SUBSTITUTE(C229," ",""), Disch_Booking_Report!AC:AC)), 0)), "Not Found")</f>
        <v/>
      </c>
    </row>
    <row r="230">
      <c r="A230" t="n">
        <v>18</v>
      </c>
      <c r="B230" t="n">
        <v>180702</v>
      </c>
      <c r="C230" t="inlineStr">
        <is>
          <t xml:space="preserve">     ANON0000000</t>
        </is>
      </c>
      <c r="D230" t="n">
        <v>40</v>
      </c>
      <c r="E230" t="inlineStr">
        <is>
          <t>RULED</t>
        </is>
      </c>
      <c r="F230" t="inlineStr">
        <is>
          <t>USNYC</t>
        </is>
      </c>
      <c r="G230" t="n">
        <v>33880</v>
      </c>
      <c r="H230" t="inlineStr">
        <is>
          <t>ART</t>
        </is>
      </c>
      <c r="I230" t="inlineStr">
        <is>
          <t>45R1</t>
        </is>
      </c>
      <c r="K230" t="inlineStr">
        <is>
          <t>Dry reefer</t>
        </is>
      </c>
      <c r="L230" t="inlineStr">
        <is>
          <t>9'6</t>
        </is>
      </c>
      <c r="M230" t="inlineStr">
        <is>
          <t>Full</t>
        </is>
      </c>
      <c r="P230">
        <f t="array" ref="P230">IFERROR(INDEX(Disch_Booking_Report!B:B, MATCH(TRUE, ISNUMBER(FIND(SUBSTITUTE(C230," ",""), Disch_Booking_Report!AC:AC)), 0)), "Not Found")</f>
        <v/>
      </c>
      <c r="Q230">
        <f t="array" ref="Q230">IFERROR(INDEX(Disch_Booking_Report!C:C, MATCH(TRUE, ISNUMBER(FIND(SUBSTITUTE(C230," ",""), Disch_Booking_Report!AC:AC)), 0)), "Not Found")</f>
        <v/>
      </c>
      <c r="R230">
        <f t="array" ref="R230">IFERROR(INDEX(Disch_Booking_Report!AD:AD, MATCH(TRUE, ISNUMBER(FIND(SUBSTITUTE(C230," ",""), Disch_Booking_Report!AC:AC)), 0)), "Not Found")</f>
        <v/>
      </c>
      <c r="S230">
        <f>Tabela2[[#This Row],[Weight]]</f>
        <v/>
      </c>
      <c r="T230">
        <f t="array" ref="T230">IFERROR(INDEX(Disch_Booking_Report!L:L, MATCH(TRUE, ISNUMBER(FIND(SUBSTITUTE(C230," ",""), Disch_Booking_Report!AC:AC)), 0)), "Not Found")</f>
        <v/>
      </c>
      <c r="U230">
        <f t="array" ref="U230">IFERROR(INDEX(Disch_Booking_Report!I:I, MATCH(TRUE, ISNUMBER(FIND(SUBSTITUTE(C230," ",""), Disch_Booking_Report!AC:AC)), 0)), "Not Found")</f>
        <v/>
      </c>
    </row>
    <row r="231">
      <c r="A231" t="n">
        <v>18</v>
      </c>
      <c r="B231" t="n">
        <v>180208</v>
      </c>
      <c r="C231" t="inlineStr">
        <is>
          <t xml:space="preserve">     ANON0000000</t>
        </is>
      </c>
      <c r="D231" t="n">
        <v>40</v>
      </c>
      <c r="E231" t="inlineStr">
        <is>
          <t>RULED</t>
        </is>
      </c>
      <c r="F231" t="inlineStr">
        <is>
          <t>USNYC</t>
        </is>
      </c>
      <c r="G231" t="n">
        <v>34000</v>
      </c>
      <c r="H231" t="inlineStr">
        <is>
          <t>ART</t>
        </is>
      </c>
      <c r="I231" t="inlineStr">
        <is>
          <t>45R1</t>
        </is>
      </c>
      <c r="K231" t="inlineStr">
        <is>
          <t>Dry reefer</t>
        </is>
      </c>
      <c r="L231" t="inlineStr">
        <is>
          <t>9'6</t>
        </is>
      </c>
      <c r="M231" t="inlineStr">
        <is>
          <t>Full</t>
        </is>
      </c>
      <c r="P231">
        <f t="array" ref="P231">IFERROR(INDEX(Disch_Booking_Report!B:B, MATCH(TRUE, ISNUMBER(FIND(SUBSTITUTE(C231," ",""), Disch_Booking_Report!AC:AC)), 0)), "Not Found")</f>
        <v/>
      </c>
      <c r="Q231">
        <f t="array" ref="Q231">IFERROR(INDEX(Disch_Booking_Report!C:C, MATCH(TRUE, ISNUMBER(FIND(SUBSTITUTE(C231," ",""), Disch_Booking_Report!AC:AC)), 0)), "Not Found")</f>
        <v/>
      </c>
      <c r="R231">
        <f t="array" ref="R231">IFERROR(INDEX(Disch_Booking_Report!AD:AD, MATCH(TRUE, ISNUMBER(FIND(SUBSTITUTE(C231," ",""), Disch_Booking_Report!AC:AC)), 0)), "Not Found")</f>
        <v/>
      </c>
      <c r="S231">
        <f>Tabela2[[#This Row],[Weight]]</f>
        <v/>
      </c>
      <c r="T231">
        <f t="array" ref="T231">IFERROR(INDEX(Disch_Booking_Report!L:L, MATCH(TRUE, ISNUMBER(FIND(SUBSTITUTE(C231," ",""), Disch_Booking_Report!AC:AC)), 0)), "Not Found")</f>
        <v/>
      </c>
      <c r="U231">
        <f t="array" ref="U231">IFERROR(INDEX(Disch_Booking_Report!I:I, MATCH(TRUE, ISNUMBER(FIND(SUBSTITUTE(C231," ",""), Disch_Booking_Report!AC:AC)), 0)), "Not Found")</f>
        <v/>
      </c>
    </row>
    <row r="232">
      <c r="A232" t="n">
        <v>18</v>
      </c>
      <c r="B232" t="n">
        <v>180384</v>
      </c>
      <c r="C232" t="inlineStr">
        <is>
          <t xml:space="preserve">     ANON0000000</t>
        </is>
      </c>
      <c r="D232" t="n">
        <v>40</v>
      </c>
      <c r="E232" t="inlineStr">
        <is>
          <t>RULED</t>
        </is>
      </c>
      <c r="F232" t="inlineStr">
        <is>
          <t>USNYC</t>
        </is>
      </c>
      <c r="G232" t="n">
        <v>33440</v>
      </c>
      <c r="H232" t="inlineStr">
        <is>
          <t>ART</t>
        </is>
      </c>
      <c r="I232" t="inlineStr">
        <is>
          <t>45R1</t>
        </is>
      </c>
      <c r="K232" t="inlineStr">
        <is>
          <t>Dry reefer</t>
        </is>
      </c>
      <c r="L232" t="inlineStr">
        <is>
          <t>9'6</t>
        </is>
      </c>
      <c r="M232" t="inlineStr">
        <is>
          <t>Full</t>
        </is>
      </c>
      <c r="P232">
        <f t="array" ref="P232">IFERROR(INDEX(Disch_Booking_Report!B:B, MATCH(TRUE, ISNUMBER(FIND(SUBSTITUTE(C232," ",""), Disch_Booking_Report!AC:AC)), 0)), "Not Found")</f>
        <v/>
      </c>
      <c r="Q232">
        <f t="array" ref="Q232">IFERROR(INDEX(Disch_Booking_Report!C:C, MATCH(TRUE, ISNUMBER(FIND(SUBSTITUTE(C232," ",""), Disch_Booking_Report!AC:AC)), 0)), "Not Found")</f>
        <v/>
      </c>
      <c r="R232">
        <f t="array" ref="R232">IFERROR(INDEX(Disch_Booking_Report!AD:AD, MATCH(TRUE, ISNUMBER(FIND(SUBSTITUTE(C232," ",""), Disch_Booking_Report!AC:AC)), 0)), "Not Found")</f>
        <v/>
      </c>
      <c r="S232">
        <f>Tabela2[[#This Row],[Weight]]</f>
        <v/>
      </c>
      <c r="T232">
        <f t="array" ref="T232">IFERROR(INDEX(Disch_Booking_Report!L:L, MATCH(TRUE, ISNUMBER(FIND(SUBSTITUTE(C232," ",""), Disch_Booking_Report!AC:AC)), 0)), "Not Found")</f>
        <v/>
      </c>
      <c r="U232">
        <f t="array" ref="U232">IFERROR(INDEX(Disch_Booking_Report!I:I, MATCH(TRUE, ISNUMBER(FIND(SUBSTITUTE(C232," ",""), Disch_Booking_Report!AC:AC)), 0)), "Not Found")</f>
        <v/>
      </c>
    </row>
    <row r="233">
      <c r="A233" t="n">
        <v>18</v>
      </c>
      <c r="B233" t="n">
        <v>180484</v>
      </c>
      <c r="C233" t="inlineStr">
        <is>
          <t xml:space="preserve">     ANON0000000</t>
        </is>
      </c>
      <c r="D233" t="n">
        <v>40</v>
      </c>
      <c r="E233" t="inlineStr">
        <is>
          <t>RULED</t>
        </is>
      </c>
      <c r="F233" t="inlineStr">
        <is>
          <t>USNYC</t>
        </is>
      </c>
      <c r="G233" t="n">
        <v>33600</v>
      </c>
      <c r="H233" t="inlineStr">
        <is>
          <t>ART</t>
        </is>
      </c>
      <c r="I233" t="inlineStr">
        <is>
          <t>45R1</t>
        </is>
      </c>
      <c r="K233" t="inlineStr">
        <is>
          <t>Dry reefer</t>
        </is>
      </c>
      <c r="L233" t="inlineStr">
        <is>
          <t>9'6</t>
        </is>
      </c>
      <c r="M233" t="inlineStr">
        <is>
          <t>Full</t>
        </is>
      </c>
      <c r="P233">
        <f t="array" ref="P233">IFERROR(INDEX(Disch_Booking_Report!B:B, MATCH(TRUE, ISNUMBER(FIND(SUBSTITUTE(C233," ",""), Disch_Booking_Report!AC:AC)), 0)), "Not Found")</f>
        <v/>
      </c>
      <c r="Q233">
        <f t="array" ref="Q233">IFERROR(INDEX(Disch_Booking_Report!C:C, MATCH(TRUE, ISNUMBER(FIND(SUBSTITUTE(C233," ",""), Disch_Booking_Report!AC:AC)), 0)), "Not Found")</f>
        <v/>
      </c>
      <c r="R233">
        <f t="array" ref="R233">IFERROR(INDEX(Disch_Booking_Report!AD:AD, MATCH(TRUE, ISNUMBER(FIND(SUBSTITUTE(C233," ",""), Disch_Booking_Report!AC:AC)), 0)), "Not Found")</f>
        <v/>
      </c>
      <c r="S233">
        <f>Tabela2[[#This Row],[Weight]]</f>
        <v/>
      </c>
      <c r="T233">
        <f t="array" ref="T233">IFERROR(INDEX(Disch_Booking_Report!L:L, MATCH(TRUE, ISNUMBER(FIND(SUBSTITUTE(C233," ",""), Disch_Booking_Report!AC:AC)), 0)), "Not Found")</f>
        <v/>
      </c>
      <c r="U233">
        <f t="array" ref="U233">IFERROR(INDEX(Disch_Booking_Report!I:I, MATCH(TRUE, ISNUMBER(FIND(SUBSTITUTE(C233," ",""), Disch_Booking_Report!AC:AC)), 0)), "Not Found")</f>
        <v/>
      </c>
    </row>
    <row r="234">
      <c r="A234" t="n">
        <v>18</v>
      </c>
      <c r="B234" t="n">
        <v>180482</v>
      </c>
      <c r="C234" t="inlineStr">
        <is>
          <t xml:space="preserve">     ANON0000000</t>
        </is>
      </c>
      <c r="D234" t="n">
        <v>40</v>
      </c>
      <c r="E234" t="inlineStr">
        <is>
          <t>RULED</t>
        </is>
      </c>
      <c r="F234" t="inlineStr">
        <is>
          <t>USNYC</t>
        </is>
      </c>
      <c r="G234" t="n">
        <v>30990</v>
      </c>
      <c r="H234" t="inlineStr">
        <is>
          <t>ART</t>
        </is>
      </c>
      <c r="I234" t="inlineStr">
        <is>
          <t>40R1</t>
        </is>
      </c>
      <c r="K234" t="inlineStr">
        <is>
          <t>Dry reefer</t>
        </is>
      </c>
      <c r="L234" t="inlineStr">
        <is>
          <t>8'</t>
        </is>
      </c>
      <c r="M234" t="inlineStr">
        <is>
          <t>Full</t>
        </is>
      </c>
      <c r="P234">
        <f t="array" ref="P234">IFERROR(INDEX(Disch_Booking_Report!B:B, MATCH(TRUE, ISNUMBER(FIND(SUBSTITUTE(C234," ",""), Disch_Booking_Report!AC:AC)), 0)), "Not Found")</f>
        <v/>
      </c>
      <c r="Q234">
        <f t="array" ref="Q234">IFERROR(INDEX(Disch_Booking_Report!C:C, MATCH(TRUE, ISNUMBER(FIND(SUBSTITUTE(C234," ",""), Disch_Booking_Report!AC:AC)), 0)), "Not Found")</f>
        <v/>
      </c>
      <c r="R234">
        <f t="array" ref="R234">IFERROR(INDEX(Disch_Booking_Report!AD:AD, MATCH(TRUE, ISNUMBER(FIND(SUBSTITUTE(C234," ",""), Disch_Booking_Report!AC:AC)), 0)), "Not Found")</f>
        <v/>
      </c>
      <c r="S234">
        <f>Tabela2[[#This Row],[Weight]]</f>
        <v/>
      </c>
      <c r="T234">
        <f t="array" ref="T234">IFERROR(INDEX(Disch_Booking_Report!L:L, MATCH(TRUE, ISNUMBER(FIND(SUBSTITUTE(C234," ",""), Disch_Booking_Report!AC:AC)), 0)), "Not Found")</f>
        <v/>
      </c>
      <c r="U234">
        <f t="array" ref="U234">IFERROR(INDEX(Disch_Booking_Report!I:I, MATCH(TRUE, ISNUMBER(FIND(SUBSTITUTE(C234," ",""), Disch_Booking_Report!AC:AC)), 0)), "Not Found")</f>
        <v/>
      </c>
    </row>
    <row r="235">
      <c r="A235" t="n">
        <v>18</v>
      </c>
      <c r="B235" t="n">
        <v>180984</v>
      </c>
      <c r="C235" t="inlineStr">
        <is>
          <t xml:space="preserve">     ANON0000000</t>
        </is>
      </c>
      <c r="D235" t="n">
        <v>40</v>
      </c>
      <c r="E235" t="inlineStr">
        <is>
          <t>RULED</t>
        </is>
      </c>
      <c r="F235" t="inlineStr">
        <is>
          <t>USNYC</t>
        </is>
      </c>
      <c r="G235" t="n">
        <v>32369</v>
      </c>
      <c r="H235" t="inlineStr">
        <is>
          <t>ART</t>
        </is>
      </c>
      <c r="I235" t="inlineStr">
        <is>
          <t>45G1</t>
        </is>
      </c>
      <c r="L235" t="inlineStr">
        <is>
          <t>9'6</t>
        </is>
      </c>
      <c r="M235" t="inlineStr">
        <is>
          <t>Full</t>
        </is>
      </c>
      <c r="P235">
        <f t="array" ref="P235">IFERROR(INDEX(Disch_Booking_Report!B:B, MATCH(TRUE, ISNUMBER(FIND(SUBSTITUTE(C235," ",""), Disch_Booking_Report!AC:AC)), 0)), "Not Found")</f>
        <v/>
      </c>
      <c r="Q235">
        <f t="array" ref="Q235">IFERROR(INDEX(Disch_Booking_Report!C:C, MATCH(TRUE, ISNUMBER(FIND(SUBSTITUTE(C235," ",""), Disch_Booking_Report!AC:AC)), 0)), "Not Found")</f>
        <v/>
      </c>
      <c r="R235">
        <f t="array" ref="R235">IFERROR(INDEX(Disch_Booking_Report!AD:AD, MATCH(TRUE, ISNUMBER(FIND(SUBSTITUTE(C235," ",""), Disch_Booking_Report!AC:AC)), 0)), "Not Found")</f>
        <v/>
      </c>
      <c r="S235">
        <f>Tabela2[[#This Row],[Weight]]</f>
        <v/>
      </c>
      <c r="T235">
        <f t="array" ref="T235">IFERROR(INDEX(Disch_Booking_Report!L:L, MATCH(TRUE, ISNUMBER(FIND(SUBSTITUTE(C235," ",""), Disch_Booking_Report!AC:AC)), 0)), "Not Found")</f>
        <v/>
      </c>
      <c r="U235">
        <f t="array" ref="U235">IFERROR(INDEX(Disch_Booking_Report!I:I, MATCH(TRUE, ISNUMBER(FIND(SUBSTITUTE(C235," ",""), Disch_Booking_Report!AC:AC)), 0)), "Not Found")</f>
        <v/>
      </c>
    </row>
    <row r="236">
      <c r="A236" t="n">
        <v>18</v>
      </c>
      <c r="B236" t="n">
        <v>180104</v>
      </c>
      <c r="C236" t="inlineStr">
        <is>
          <t xml:space="preserve">     ANON0000000</t>
        </is>
      </c>
      <c r="D236" t="n">
        <v>40</v>
      </c>
      <c r="E236" t="inlineStr">
        <is>
          <t>RULED</t>
        </is>
      </c>
      <c r="F236" t="inlineStr">
        <is>
          <t>USNYC</t>
        </is>
      </c>
      <c r="G236" t="n">
        <v>33300</v>
      </c>
      <c r="H236" t="inlineStr">
        <is>
          <t>ART</t>
        </is>
      </c>
      <c r="I236" t="inlineStr">
        <is>
          <t>40R1</t>
        </is>
      </c>
      <c r="K236" t="inlineStr">
        <is>
          <t>Dry reefer</t>
        </is>
      </c>
      <c r="L236" t="inlineStr">
        <is>
          <t>8'</t>
        </is>
      </c>
      <c r="M236" t="inlineStr">
        <is>
          <t>Full</t>
        </is>
      </c>
      <c r="P236">
        <f t="array" ref="P236">IFERROR(INDEX(Disch_Booking_Report!B:B, MATCH(TRUE, ISNUMBER(FIND(SUBSTITUTE(C236," ",""), Disch_Booking_Report!AC:AC)), 0)), "Not Found")</f>
        <v/>
      </c>
      <c r="Q236">
        <f t="array" ref="Q236">IFERROR(INDEX(Disch_Booking_Report!C:C, MATCH(TRUE, ISNUMBER(FIND(SUBSTITUTE(C236," ",""), Disch_Booking_Report!AC:AC)), 0)), "Not Found")</f>
        <v/>
      </c>
      <c r="R236">
        <f t="array" ref="R236">IFERROR(INDEX(Disch_Booking_Report!AD:AD, MATCH(TRUE, ISNUMBER(FIND(SUBSTITUTE(C236," ",""), Disch_Booking_Report!AC:AC)), 0)), "Not Found")</f>
        <v/>
      </c>
      <c r="S236">
        <f>Tabela2[[#This Row],[Weight]]</f>
        <v/>
      </c>
      <c r="T236">
        <f t="array" ref="T236">IFERROR(INDEX(Disch_Booking_Report!L:L, MATCH(TRUE, ISNUMBER(FIND(SUBSTITUTE(C236," ",""), Disch_Booking_Report!AC:AC)), 0)), "Not Found")</f>
        <v/>
      </c>
      <c r="U236">
        <f t="array" ref="U236">IFERROR(INDEX(Disch_Booking_Report!I:I, MATCH(TRUE, ISNUMBER(FIND(SUBSTITUTE(C236," ",""), Disch_Booking_Report!AC:AC)), 0)), "Not Found")</f>
        <v/>
      </c>
    </row>
    <row r="237">
      <c r="A237" t="n">
        <v>18</v>
      </c>
      <c r="B237" t="n">
        <v>180706</v>
      </c>
      <c r="C237" t="inlineStr">
        <is>
          <t xml:space="preserve">     ANON0000000</t>
        </is>
      </c>
      <c r="D237" t="n">
        <v>40</v>
      </c>
      <c r="E237" t="inlineStr">
        <is>
          <t>RULED</t>
        </is>
      </c>
      <c r="F237" t="inlineStr">
        <is>
          <t>USNYC</t>
        </is>
      </c>
      <c r="G237" t="n">
        <v>34040</v>
      </c>
      <c r="H237" t="inlineStr">
        <is>
          <t>ART</t>
        </is>
      </c>
      <c r="I237" t="inlineStr">
        <is>
          <t>45R1</t>
        </is>
      </c>
      <c r="K237" t="inlineStr">
        <is>
          <t>Dry reefer</t>
        </is>
      </c>
      <c r="L237" t="inlineStr">
        <is>
          <t>9'6</t>
        </is>
      </c>
      <c r="M237" t="inlineStr">
        <is>
          <t>Full</t>
        </is>
      </c>
      <c r="P237">
        <f t="array" ref="P237">IFERROR(INDEX(Disch_Booking_Report!B:B, MATCH(TRUE, ISNUMBER(FIND(SUBSTITUTE(C237," ",""), Disch_Booking_Report!AC:AC)), 0)), "Not Found")</f>
        <v/>
      </c>
      <c r="Q237">
        <f t="array" ref="Q237">IFERROR(INDEX(Disch_Booking_Report!C:C, MATCH(TRUE, ISNUMBER(FIND(SUBSTITUTE(C237," ",""), Disch_Booking_Report!AC:AC)), 0)), "Not Found")</f>
        <v/>
      </c>
      <c r="R237">
        <f t="array" ref="R237">IFERROR(INDEX(Disch_Booking_Report!AD:AD, MATCH(TRUE, ISNUMBER(FIND(SUBSTITUTE(C237," ",""), Disch_Booking_Report!AC:AC)), 0)), "Not Found")</f>
        <v/>
      </c>
      <c r="S237">
        <f>Tabela2[[#This Row],[Weight]]</f>
        <v/>
      </c>
      <c r="T237">
        <f t="array" ref="T237">IFERROR(INDEX(Disch_Booking_Report!L:L, MATCH(TRUE, ISNUMBER(FIND(SUBSTITUTE(C237," ",""), Disch_Booking_Report!AC:AC)), 0)), "Not Found")</f>
        <v/>
      </c>
      <c r="U237">
        <f t="array" ref="U237">IFERROR(INDEX(Disch_Booking_Report!I:I, MATCH(TRUE, ISNUMBER(FIND(SUBSTITUTE(C237," ",""), Disch_Booking_Report!AC:AC)), 0)), "Not Found")</f>
        <v/>
      </c>
    </row>
    <row r="238">
      <c r="A238" t="n">
        <v>18</v>
      </c>
      <c r="B238" t="n">
        <v>181084</v>
      </c>
      <c r="C238" t="inlineStr">
        <is>
          <t xml:space="preserve">     ANON0000000</t>
        </is>
      </c>
      <c r="D238" t="n">
        <v>40</v>
      </c>
      <c r="E238" t="inlineStr">
        <is>
          <t>RULED</t>
        </is>
      </c>
      <c r="F238" t="inlineStr">
        <is>
          <t>USNYC</t>
        </is>
      </c>
      <c r="G238" t="n">
        <v>32320</v>
      </c>
      <c r="H238" t="inlineStr">
        <is>
          <t>ART</t>
        </is>
      </c>
      <c r="I238" t="inlineStr">
        <is>
          <t>45G1</t>
        </is>
      </c>
      <c r="L238" t="inlineStr">
        <is>
          <t>9'6</t>
        </is>
      </c>
      <c r="M238" t="inlineStr">
        <is>
          <t>Full</t>
        </is>
      </c>
      <c r="P238">
        <f t="array" ref="P238">IFERROR(INDEX(Disch_Booking_Report!B:B, MATCH(TRUE, ISNUMBER(FIND(SUBSTITUTE(C238," ",""), Disch_Booking_Report!AC:AC)), 0)), "Not Found")</f>
        <v/>
      </c>
      <c r="Q238">
        <f t="array" ref="Q238">IFERROR(INDEX(Disch_Booking_Report!C:C, MATCH(TRUE, ISNUMBER(FIND(SUBSTITUTE(C238," ",""), Disch_Booking_Report!AC:AC)), 0)), "Not Found")</f>
        <v/>
      </c>
      <c r="R238">
        <f t="array" ref="R238">IFERROR(INDEX(Disch_Booking_Report!AD:AD, MATCH(TRUE, ISNUMBER(FIND(SUBSTITUTE(C238," ",""), Disch_Booking_Report!AC:AC)), 0)), "Not Found")</f>
        <v/>
      </c>
      <c r="S238">
        <f>Tabela2[[#This Row],[Weight]]</f>
        <v/>
      </c>
      <c r="T238">
        <f t="array" ref="T238">IFERROR(INDEX(Disch_Booking_Report!L:L, MATCH(TRUE, ISNUMBER(FIND(SUBSTITUTE(C238," ",""), Disch_Booking_Report!AC:AC)), 0)), "Not Found")</f>
        <v/>
      </c>
      <c r="U238">
        <f t="array" ref="U238">IFERROR(INDEX(Disch_Booking_Report!I:I, MATCH(TRUE, ISNUMBER(FIND(SUBSTITUTE(C238," ",""), Disch_Booking_Report!AC:AC)), 0)), "Not Found")</f>
        <v/>
      </c>
    </row>
    <row r="239">
      <c r="A239" t="n">
        <v>18</v>
      </c>
      <c r="B239" t="n">
        <v>180508</v>
      </c>
      <c r="C239" t="inlineStr">
        <is>
          <t xml:space="preserve">     ANON0000000</t>
        </is>
      </c>
      <c r="D239" t="n">
        <v>40</v>
      </c>
      <c r="E239" t="inlineStr">
        <is>
          <t>RULED</t>
        </is>
      </c>
      <c r="F239" t="inlineStr">
        <is>
          <t>USNYC</t>
        </is>
      </c>
      <c r="G239" t="n">
        <v>32980</v>
      </c>
      <c r="H239" t="inlineStr">
        <is>
          <t>ART</t>
        </is>
      </c>
      <c r="I239" t="inlineStr">
        <is>
          <t>45R1</t>
        </is>
      </c>
      <c r="K239" t="inlineStr">
        <is>
          <t>Dry reefer</t>
        </is>
      </c>
      <c r="L239" t="inlineStr">
        <is>
          <t>9'6</t>
        </is>
      </c>
      <c r="M239" t="inlineStr">
        <is>
          <t>Full</t>
        </is>
      </c>
      <c r="P239">
        <f t="array" ref="P239">IFERROR(INDEX(Disch_Booking_Report!B:B, MATCH(TRUE, ISNUMBER(FIND(SUBSTITUTE(C239," ",""), Disch_Booking_Report!AC:AC)), 0)), "Not Found")</f>
        <v/>
      </c>
      <c r="Q239">
        <f t="array" ref="Q239">IFERROR(INDEX(Disch_Booking_Report!C:C, MATCH(TRUE, ISNUMBER(FIND(SUBSTITUTE(C239," ",""), Disch_Booking_Report!AC:AC)), 0)), "Not Found")</f>
        <v/>
      </c>
      <c r="R239">
        <f t="array" ref="R239">IFERROR(INDEX(Disch_Booking_Report!AD:AD, MATCH(TRUE, ISNUMBER(FIND(SUBSTITUTE(C239," ",""), Disch_Booking_Report!AC:AC)), 0)), "Not Found")</f>
        <v/>
      </c>
      <c r="S239">
        <f>Tabela2[[#This Row],[Weight]]</f>
        <v/>
      </c>
      <c r="T239">
        <f t="array" ref="T239">IFERROR(INDEX(Disch_Booking_Report!L:L, MATCH(TRUE, ISNUMBER(FIND(SUBSTITUTE(C239," ",""), Disch_Booking_Report!AC:AC)), 0)), "Not Found")</f>
        <v/>
      </c>
      <c r="U239">
        <f t="array" ref="U239">IFERROR(INDEX(Disch_Booking_Report!I:I, MATCH(TRUE, ISNUMBER(FIND(SUBSTITUTE(C239," ",""), Disch_Booking_Report!AC:AC)), 0)), "Not Found")</f>
        <v/>
      </c>
    </row>
    <row r="240">
      <c r="A240" t="n">
        <v>18</v>
      </c>
      <c r="B240" t="n">
        <v>180884</v>
      </c>
      <c r="C240" t="inlineStr">
        <is>
          <t xml:space="preserve">     ANON0000000</t>
        </is>
      </c>
      <c r="D240" t="n">
        <v>40</v>
      </c>
      <c r="E240" t="inlineStr">
        <is>
          <t>RULED</t>
        </is>
      </c>
      <c r="F240" t="inlineStr">
        <is>
          <t>USNYC</t>
        </is>
      </c>
      <c r="G240" t="n">
        <v>32320</v>
      </c>
      <c r="H240" t="inlineStr">
        <is>
          <t>ART</t>
        </is>
      </c>
      <c r="I240" t="inlineStr">
        <is>
          <t>45G1</t>
        </is>
      </c>
      <c r="L240" t="inlineStr">
        <is>
          <t>9'6</t>
        </is>
      </c>
      <c r="M240" t="inlineStr">
        <is>
          <t>Full</t>
        </is>
      </c>
      <c r="P240">
        <f t="array" ref="P240">IFERROR(INDEX(Disch_Booking_Report!B:B, MATCH(TRUE, ISNUMBER(FIND(SUBSTITUTE(C240," ",""), Disch_Booking_Report!AC:AC)), 0)), "Not Found")</f>
        <v/>
      </c>
      <c r="Q240">
        <f t="array" ref="Q240">IFERROR(INDEX(Disch_Booking_Report!C:C, MATCH(TRUE, ISNUMBER(FIND(SUBSTITUTE(C240," ",""), Disch_Booking_Report!AC:AC)), 0)), "Not Found")</f>
        <v/>
      </c>
      <c r="R240">
        <f t="array" ref="R240">IFERROR(INDEX(Disch_Booking_Report!AD:AD, MATCH(TRUE, ISNUMBER(FIND(SUBSTITUTE(C240," ",""), Disch_Booking_Report!AC:AC)), 0)), "Not Found")</f>
        <v/>
      </c>
      <c r="S240">
        <f>Tabela2[[#This Row],[Weight]]</f>
        <v/>
      </c>
      <c r="T240">
        <f t="array" ref="T240">IFERROR(INDEX(Disch_Booking_Report!L:L, MATCH(TRUE, ISNUMBER(FIND(SUBSTITUTE(C240," ",""), Disch_Booking_Report!AC:AC)), 0)), "Not Found")</f>
        <v/>
      </c>
      <c r="U240">
        <f t="array" ref="U240">IFERROR(INDEX(Disch_Booking_Report!I:I, MATCH(TRUE, ISNUMBER(FIND(SUBSTITUTE(C240," ",""), Disch_Booking_Report!AC:AC)), 0)), "Not Found")</f>
        <v/>
      </c>
    </row>
    <row r="241">
      <c r="A241" t="n">
        <v>18</v>
      </c>
      <c r="B241" t="n">
        <v>180282</v>
      </c>
      <c r="C241" t="inlineStr">
        <is>
          <t xml:space="preserve">     ANON0000000</t>
        </is>
      </c>
      <c r="D241" t="n">
        <v>40</v>
      </c>
      <c r="E241" t="inlineStr">
        <is>
          <t>RULED</t>
        </is>
      </c>
      <c r="F241" t="inlineStr">
        <is>
          <t>USNYC</t>
        </is>
      </c>
      <c r="G241" t="n">
        <v>33960</v>
      </c>
      <c r="H241" t="inlineStr">
        <is>
          <t>ART</t>
        </is>
      </c>
      <c r="I241" t="inlineStr">
        <is>
          <t>45R1</t>
        </is>
      </c>
      <c r="K241" t="inlineStr">
        <is>
          <t>Dry reefer</t>
        </is>
      </c>
      <c r="L241" t="inlineStr">
        <is>
          <t>9'6</t>
        </is>
      </c>
      <c r="M241" t="inlineStr">
        <is>
          <t>Full</t>
        </is>
      </c>
      <c r="P241">
        <f t="array" ref="P241">IFERROR(INDEX(Disch_Booking_Report!B:B, MATCH(TRUE, ISNUMBER(FIND(SUBSTITUTE(C241," ",""), Disch_Booking_Report!AC:AC)), 0)), "Not Found")</f>
        <v/>
      </c>
      <c r="Q241">
        <f t="array" ref="Q241">IFERROR(INDEX(Disch_Booking_Report!C:C, MATCH(TRUE, ISNUMBER(FIND(SUBSTITUTE(C241," ",""), Disch_Booking_Report!AC:AC)), 0)), "Not Found")</f>
        <v/>
      </c>
      <c r="R241">
        <f t="array" ref="R241">IFERROR(INDEX(Disch_Booking_Report!AD:AD, MATCH(TRUE, ISNUMBER(FIND(SUBSTITUTE(C241," ",""), Disch_Booking_Report!AC:AC)), 0)), "Not Found")</f>
        <v/>
      </c>
      <c r="S241">
        <f>Tabela2[[#This Row],[Weight]]</f>
        <v/>
      </c>
      <c r="T241">
        <f t="array" ref="T241">IFERROR(INDEX(Disch_Booking_Report!L:L, MATCH(TRUE, ISNUMBER(FIND(SUBSTITUTE(C241," ",""), Disch_Booking_Report!AC:AC)), 0)), "Not Found")</f>
        <v/>
      </c>
      <c r="U241">
        <f t="array" ref="U241">IFERROR(INDEX(Disch_Booking_Report!I:I, MATCH(TRUE, ISNUMBER(FIND(SUBSTITUTE(C241," ",""), Disch_Booking_Report!AC:AC)), 0)), "Not Found")</f>
        <v/>
      </c>
    </row>
    <row r="242">
      <c r="A242" t="n">
        <v>18</v>
      </c>
      <c r="B242" t="n">
        <v>180686</v>
      </c>
      <c r="C242" t="inlineStr">
        <is>
          <t xml:space="preserve">     ANON0000000</t>
        </is>
      </c>
      <c r="D242" t="n">
        <v>40</v>
      </c>
      <c r="E242" t="inlineStr">
        <is>
          <t>RULED</t>
        </is>
      </c>
      <c r="F242" t="inlineStr">
        <is>
          <t>USNYC</t>
        </is>
      </c>
      <c r="G242" t="n">
        <v>32320</v>
      </c>
      <c r="H242" t="inlineStr">
        <is>
          <t>ART</t>
        </is>
      </c>
      <c r="I242" t="inlineStr">
        <is>
          <t>45G1</t>
        </is>
      </c>
      <c r="L242" t="inlineStr">
        <is>
          <t>9'6</t>
        </is>
      </c>
      <c r="M242" t="inlineStr">
        <is>
          <t>Full</t>
        </is>
      </c>
      <c r="P242">
        <f t="array" ref="P242">IFERROR(INDEX(Disch_Booking_Report!B:B, MATCH(TRUE, ISNUMBER(FIND(SUBSTITUTE(C242," ",""), Disch_Booking_Report!AC:AC)), 0)), "Not Found")</f>
        <v/>
      </c>
      <c r="Q242">
        <f t="array" ref="Q242">IFERROR(INDEX(Disch_Booking_Report!C:C, MATCH(TRUE, ISNUMBER(FIND(SUBSTITUTE(C242," ",""), Disch_Booking_Report!AC:AC)), 0)), "Not Found")</f>
        <v/>
      </c>
      <c r="R242">
        <f t="array" ref="R242">IFERROR(INDEX(Disch_Booking_Report!AD:AD, MATCH(TRUE, ISNUMBER(FIND(SUBSTITUTE(C242," ",""), Disch_Booking_Report!AC:AC)), 0)), "Not Found")</f>
        <v/>
      </c>
      <c r="S242">
        <f>Tabela2[[#This Row],[Weight]]</f>
        <v/>
      </c>
      <c r="T242">
        <f t="array" ref="T242">IFERROR(INDEX(Disch_Booking_Report!L:L, MATCH(TRUE, ISNUMBER(FIND(SUBSTITUTE(C242," ",""), Disch_Booking_Report!AC:AC)), 0)), "Not Found")</f>
        <v/>
      </c>
      <c r="U242">
        <f t="array" ref="U242">IFERROR(INDEX(Disch_Booking_Report!I:I, MATCH(TRUE, ISNUMBER(FIND(SUBSTITUTE(C242," ",""), Disch_Booking_Report!AC:AC)), 0)), "Not Found")</f>
        <v/>
      </c>
    </row>
    <row r="243">
      <c r="A243" t="n">
        <v>18</v>
      </c>
      <c r="B243" t="n">
        <v>180886</v>
      </c>
      <c r="C243" t="inlineStr">
        <is>
          <t xml:space="preserve">     ANON0000000</t>
        </is>
      </c>
      <c r="D243" t="n">
        <v>40</v>
      </c>
      <c r="E243" t="inlineStr">
        <is>
          <t>RULED</t>
        </is>
      </c>
      <c r="F243" t="inlineStr">
        <is>
          <t>USNYC</t>
        </is>
      </c>
      <c r="G243" t="n">
        <v>32500</v>
      </c>
      <c r="H243" t="inlineStr">
        <is>
          <t>ART</t>
        </is>
      </c>
      <c r="I243" t="inlineStr">
        <is>
          <t>45G1</t>
        </is>
      </c>
      <c r="L243" t="inlineStr">
        <is>
          <t>9'6</t>
        </is>
      </c>
      <c r="M243" t="inlineStr">
        <is>
          <t>Full</t>
        </is>
      </c>
      <c r="P243">
        <f t="array" ref="P243">IFERROR(INDEX(Disch_Booking_Report!B:B, MATCH(TRUE, ISNUMBER(FIND(SUBSTITUTE(C243," ",""), Disch_Booking_Report!AC:AC)), 0)), "Not Found")</f>
        <v/>
      </c>
      <c r="Q243">
        <f t="array" ref="Q243">IFERROR(INDEX(Disch_Booking_Report!C:C, MATCH(TRUE, ISNUMBER(FIND(SUBSTITUTE(C243," ",""), Disch_Booking_Report!AC:AC)), 0)), "Not Found")</f>
        <v/>
      </c>
      <c r="R243">
        <f t="array" ref="R243">IFERROR(INDEX(Disch_Booking_Report!AD:AD, MATCH(TRUE, ISNUMBER(FIND(SUBSTITUTE(C243," ",""), Disch_Booking_Report!AC:AC)), 0)), "Not Found")</f>
        <v/>
      </c>
      <c r="S243">
        <f>Tabela2[[#This Row],[Weight]]</f>
        <v/>
      </c>
      <c r="T243">
        <f t="array" ref="T243">IFERROR(INDEX(Disch_Booking_Report!L:L, MATCH(TRUE, ISNUMBER(FIND(SUBSTITUTE(C243," ",""), Disch_Booking_Report!AC:AC)), 0)), "Not Found")</f>
        <v/>
      </c>
      <c r="U243">
        <f t="array" ref="U243">IFERROR(INDEX(Disch_Booking_Report!I:I, MATCH(TRUE, ISNUMBER(FIND(SUBSTITUTE(C243," ",""), Disch_Booking_Report!AC:AC)), 0)), "Not Found")</f>
        <v/>
      </c>
    </row>
    <row r="244">
      <c r="A244" t="n">
        <v>18</v>
      </c>
      <c r="B244" t="n">
        <v>180582</v>
      </c>
      <c r="C244" t="inlineStr">
        <is>
          <t xml:space="preserve">     ANON0000000</t>
        </is>
      </c>
      <c r="D244" t="n">
        <v>40</v>
      </c>
      <c r="E244" t="inlineStr">
        <is>
          <t>RULED</t>
        </is>
      </c>
      <c r="F244" t="inlineStr">
        <is>
          <t>USNYC</t>
        </is>
      </c>
      <c r="G244" t="n">
        <v>33800</v>
      </c>
      <c r="H244" t="inlineStr">
        <is>
          <t>ART</t>
        </is>
      </c>
      <c r="I244" t="inlineStr">
        <is>
          <t>40R1</t>
        </is>
      </c>
      <c r="K244" t="inlineStr">
        <is>
          <t>Dry reefer</t>
        </is>
      </c>
      <c r="L244" t="inlineStr">
        <is>
          <t>8'</t>
        </is>
      </c>
      <c r="M244" t="inlineStr">
        <is>
          <t>Full</t>
        </is>
      </c>
      <c r="P244">
        <f t="array" ref="P244">IFERROR(INDEX(Disch_Booking_Report!B:B, MATCH(TRUE, ISNUMBER(FIND(SUBSTITUTE(C244," ",""), Disch_Booking_Report!AC:AC)), 0)), "Not Found")</f>
        <v/>
      </c>
      <c r="Q244">
        <f t="array" ref="Q244">IFERROR(INDEX(Disch_Booking_Report!C:C, MATCH(TRUE, ISNUMBER(FIND(SUBSTITUTE(C244," ",""), Disch_Booking_Report!AC:AC)), 0)), "Not Found")</f>
        <v/>
      </c>
      <c r="R244">
        <f t="array" ref="R244">IFERROR(INDEX(Disch_Booking_Report!AD:AD, MATCH(TRUE, ISNUMBER(FIND(SUBSTITUTE(C244," ",""), Disch_Booking_Report!AC:AC)), 0)), "Not Found")</f>
        <v/>
      </c>
      <c r="S244">
        <f>Tabela2[[#This Row],[Weight]]</f>
        <v/>
      </c>
      <c r="T244">
        <f t="array" ref="T244">IFERROR(INDEX(Disch_Booking_Report!L:L, MATCH(TRUE, ISNUMBER(FIND(SUBSTITUTE(C244," ",""), Disch_Booking_Report!AC:AC)), 0)), "Not Found")</f>
        <v/>
      </c>
      <c r="U244">
        <f t="array" ref="U244">IFERROR(INDEX(Disch_Booking_Report!I:I, MATCH(TRUE, ISNUMBER(FIND(SUBSTITUTE(C244," ",""), Disch_Booking_Report!AC:AC)), 0)), "Not Found")</f>
        <v/>
      </c>
    </row>
    <row r="245">
      <c r="A245" t="n">
        <v>18</v>
      </c>
      <c r="B245" t="n">
        <v>180302</v>
      </c>
      <c r="C245" t="inlineStr">
        <is>
          <t xml:space="preserve">     ANON0000000</t>
        </is>
      </c>
      <c r="D245" t="n">
        <v>40</v>
      </c>
      <c r="E245" t="inlineStr">
        <is>
          <t>RULED</t>
        </is>
      </c>
      <c r="F245" t="inlineStr">
        <is>
          <t>USNYC</t>
        </is>
      </c>
      <c r="G245" t="n">
        <v>33200</v>
      </c>
      <c r="H245" t="inlineStr">
        <is>
          <t>ART</t>
        </is>
      </c>
      <c r="I245" t="inlineStr">
        <is>
          <t>45R1</t>
        </is>
      </c>
      <c r="K245" t="inlineStr">
        <is>
          <t>Dry reefer</t>
        </is>
      </c>
      <c r="L245" t="inlineStr">
        <is>
          <t>9'6</t>
        </is>
      </c>
      <c r="M245" t="inlineStr">
        <is>
          <t>Full</t>
        </is>
      </c>
      <c r="P245">
        <f t="array" ref="P245">IFERROR(INDEX(Disch_Booking_Report!B:B, MATCH(TRUE, ISNUMBER(FIND(SUBSTITUTE(C245," ",""), Disch_Booking_Report!AC:AC)), 0)), "Not Found")</f>
        <v/>
      </c>
      <c r="Q245">
        <f t="array" ref="Q245">IFERROR(INDEX(Disch_Booking_Report!C:C, MATCH(TRUE, ISNUMBER(FIND(SUBSTITUTE(C245," ",""), Disch_Booking_Report!AC:AC)), 0)), "Not Found")</f>
        <v/>
      </c>
      <c r="R245">
        <f t="array" ref="R245">IFERROR(INDEX(Disch_Booking_Report!AD:AD, MATCH(TRUE, ISNUMBER(FIND(SUBSTITUTE(C245," ",""), Disch_Booking_Report!AC:AC)), 0)), "Not Found")</f>
        <v/>
      </c>
      <c r="S245">
        <f>Tabela2[[#This Row],[Weight]]</f>
        <v/>
      </c>
      <c r="T245">
        <f t="array" ref="T245">IFERROR(INDEX(Disch_Booking_Report!L:L, MATCH(TRUE, ISNUMBER(FIND(SUBSTITUTE(C245," ",""), Disch_Booking_Report!AC:AC)), 0)), "Not Found")</f>
        <v/>
      </c>
      <c r="U245">
        <f t="array" ref="U245">IFERROR(INDEX(Disch_Booking_Report!I:I, MATCH(TRUE, ISNUMBER(FIND(SUBSTITUTE(C245," ",""), Disch_Booking_Report!AC:AC)), 0)), "Not Found")</f>
        <v/>
      </c>
    </row>
    <row r="246">
      <c r="A246" t="n">
        <v>18</v>
      </c>
      <c r="B246" t="n">
        <v>180604</v>
      </c>
      <c r="C246" t="inlineStr">
        <is>
          <t xml:space="preserve">     ANON0000000</t>
        </is>
      </c>
      <c r="D246" t="n">
        <v>40</v>
      </c>
      <c r="E246" t="inlineStr">
        <is>
          <t>RULED</t>
        </is>
      </c>
      <c r="F246" t="inlineStr">
        <is>
          <t>USNYC</t>
        </is>
      </c>
      <c r="G246" t="n">
        <v>34620</v>
      </c>
      <c r="H246" t="inlineStr">
        <is>
          <t>ART</t>
        </is>
      </c>
      <c r="I246" t="inlineStr">
        <is>
          <t>40R1</t>
        </is>
      </c>
      <c r="K246" t="inlineStr">
        <is>
          <t>Dry reefer</t>
        </is>
      </c>
      <c r="L246" t="inlineStr">
        <is>
          <t>8'</t>
        </is>
      </c>
      <c r="M246" t="inlineStr">
        <is>
          <t>Full</t>
        </is>
      </c>
      <c r="P246">
        <f t="array" ref="P246">IFERROR(INDEX(Disch_Booking_Report!B:B, MATCH(TRUE, ISNUMBER(FIND(SUBSTITUTE(C246," ",""), Disch_Booking_Report!AC:AC)), 0)), "Not Found")</f>
        <v/>
      </c>
      <c r="Q246">
        <f t="array" ref="Q246">IFERROR(INDEX(Disch_Booking_Report!C:C, MATCH(TRUE, ISNUMBER(FIND(SUBSTITUTE(C246," ",""), Disch_Booking_Report!AC:AC)), 0)), "Not Found")</f>
        <v/>
      </c>
      <c r="R246">
        <f t="array" ref="R246">IFERROR(INDEX(Disch_Booking_Report!AD:AD, MATCH(TRUE, ISNUMBER(FIND(SUBSTITUTE(C246," ",""), Disch_Booking_Report!AC:AC)), 0)), "Not Found")</f>
        <v/>
      </c>
      <c r="S246">
        <f>Tabela2[[#This Row],[Weight]]</f>
        <v/>
      </c>
      <c r="T246">
        <f t="array" ref="T246">IFERROR(INDEX(Disch_Booking_Report!L:L, MATCH(TRUE, ISNUMBER(FIND(SUBSTITUTE(C246," ",""), Disch_Booking_Report!AC:AC)), 0)), "Not Found")</f>
        <v/>
      </c>
      <c r="U246">
        <f t="array" ref="U246">IFERROR(INDEX(Disch_Booking_Report!I:I, MATCH(TRUE, ISNUMBER(FIND(SUBSTITUTE(C246," ",""), Disch_Booking_Report!AC:AC)), 0)), "Not Found")</f>
        <v/>
      </c>
    </row>
    <row r="247">
      <c r="A247" t="n">
        <v>18</v>
      </c>
      <c r="B247" t="n">
        <v>180608</v>
      </c>
      <c r="C247" t="inlineStr">
        <is>
          <t xml:space="preserve">     ANON0000000</t>
        </is>
      </c>
      <c r="D247" t="n">
        <v>40</v>
      </c>
      <c r="E247" t="inlineStr">
        <is>
          <t>RULED</t>
        </is>
      </c>
      <c r="F247" t="inlineStr">
        <is>
          <t>USNYC</t>
        </is>
      </c>
      <c r="G247" t="n">
        <v>33960</v>
      </c>
      <c r="H247" t="inlineStr">
        <is>
          <t>ART</t>
        </is>
      </c>
      <c r="I247" t="inlineStr">
        <is>
          <t>45R1</t>
        </is>
      </c>
      <c r="K247" t="inlineStr">
        <is>
          <t>Dry reefer</t>
        </is>
      </c>
      <c r="L247" t="inlineStr">
        <is>
          <t>9'6</t>
        </is>
      </c>
      <c r="M247" t="inlineStr">
        <is>
          <t>Full</t>
        </is>
      </c>
      <c r="P247">
        <f t="array" ref="P247">IFERROR(INDEX(Disch_Booking_Report!B:B, MATCH(TRUE, ISNUMBER(FIND(SUBSTITUTE(C247," ",""), Disch_Booking_Report!AC:AC)), 0)), "Not Found")</f>
        <v/>
      </c>
      <c r="Q247">
        <f t="array" ref="Q247">IFERROR(INDEX(Disch_Booking_Report!C:C, MATCH(TRUE, ISNUMBER(FIND(SUBSTITUTE(C247," ",""), Disch_Booking_Report!AC:AC)), 0)), "Not Found")</f>
        <v/>
      </c>
      <c r="R247">
        <f t="array" ref="R247">IFERROR(INDEX(Disch_Booking_Report!AD:AD, MATCH(TRUE, ISNUMBER(FIND(SUBSTITUTE(C247," ",""), Disch_Booking_Report!AC:AC)), 0)), "Not Found")</f>
        <v/>
      </c>
      <c r="S247">
        <f>Tabela2[[#This Row],[Weight]]</f>
        <v/>
      </c>
      <c r="T247">
        <f t="array" ref="T247">IFERROR(INDEX(Disch_Booking_Report!L:L, MATCH(TRUE, ISNUMBER(FIND(SUBSTITUTE(C247," ",""), Disch_Booking_Report!AC:AC)), 0)), "Not Found")</f>
        <v/>
      </c>
      <c r="U247">
        <f t="array" ref="U247">IFERROR(INDEX(Disch_Booking_Report!I:I, MATCH(TRUE, ISNUMBER(FIND(SUBSTITUTE(C247," ",""), Disch_Booking_Report!AC:AC)), 0)), "Not Found")</f>
        <v/>
      </c>
    </row>
    <row r="248">
      <c r="A248" t="n">
        <v>18</v>
      </c>
      <c r="B248" t="n">
        <v>180682</v>
      </c>
      <c r="C248" t="inlineStr">
        <is>
          <t xml:space="preserve">     ANON0000000</t>
        </is>
      </c>
      <c r="D248" t="n">
        <v>40</v>
      </c>
      <c r="E248" t="inlineStr">
        <is>
          <t>RULED</t>
        </is>
      </c>
      <c r="F248" t="inlineStr">
        <is>
          <t>USNYC</t>
        </is>
      </c>
      <c r="G248" t="n">
        <v>33970</v>
      </c>
      <c r="H248" t="inlineStr">
        <is>
          <t>ART</t>
        </is>
      </c>
      <c r="I248" t="inlineStr">
        <is>
          <t>40R1</t>
        </is>
      </c>
      <c r="K248" t="inlineStr">
        <is>
          <t>Dry reefer</t>
        </is>
      </c>
      <c r="L248" t="inlineStr">
        <is>
          <t>8'</t>
        </is>
      </c>
      <c r="M248" t="inlineStr">
        <is>
          <t>Full</t>
        </is>
      </c>
      <c r="P248">
        <f t="array" ref="P248">IFERROR(INDEX(Disch_Booking_Report!B:B, MATCH(TRUE, ISNUMBER(FIND(SUBSTITUTE(C248," ",""), Disch_Booking_Report!AC:AC)), 0)), "Not Found")</f>
        <v/>
      </c>
      <c r="Q248">
        <f t="array" ref="Q248">IFERROR(INDEX(Disch_Booking_Report!C:C, MATCH(TRUE, ISNUMBER(FIND(SUBSTITUTE(C248," ",""), Disch_Booking_Report!AC:AC)), 0)), "Not Found")</f>
        <v/>
      </c>
      <c r="R248">
        <f t="array" ref="R248">IFERROR(INDEX(Disch_Booking_Report!AD:AD, MATCH(TRUE, ISNUMBER(FIND(SUBSTITUTE(C248," ",""), Disch_Booking_Report!AC:AC)), 0)), "Not Found")</f>
        <v/>
      </c>
      <c r="S248">
        <f>Tabela2[[#This Row],[Weight]]</f>
        <v/>
      </c>
      <c r="T248">
        <f t="array" ref="T248">IFERROR(INDEX(Disch_Booking_Report!L:L, MATCH(TRUE, ISNUMBER(FIND(SUBSTITUTE(C248," ",""), Disch_Booking_Report!AC:AC)), 0)), "Not Found")</f>
        <v/>
      </c>
      <c r="U248">
        <f t="array" ref="U248">IFERROR(INDEX(Disch_Booking_Report!I:I, MATCH(TRUE, ISNUMBER(FIND(SUBSTITUTE(C248," ",""), Disch_Booking_Report!AC:AC)), 0)), "Not Found")</f>
        <v/>
      </c>
    </row>
    <row r="249">
      <c r="A249" t="n">
        <v>18</v>
      </c>
      <c r="B249" t="n">
        <v>180584</v>
      </c>
      <c r="C249" t="inlineStr">
        <is>
          <t xml:space="preserve">     ANON0000000</t>
        </is>
      </c>
      <c r="D249" t="n">
        <v>40</v>
      </c>
      <c r="E249" t="inlineStr">
        <is>
          <t>RULED</t>
        </is>
      </c>
      <c r="F249" t="inlineStr">
        <is>
          <t>USNYC</t>
        </is>
      </c>
      <c r="G249" t="n">
        <v>33980</v>
      </c>
      <c r="H249" t="inlineStr">
        <is>
          <t>ART</t>
        </is>
      </c>
      <c r="I249" t="inlineStr">
        <is>
          <t>45R1</t>
        </is>
      </c>
      <c r="K249" t="inlineStr">
        <is>
          <t>Dry reefer</t>
        </is>
      </c>
      <c r="L249" t="inlineStr">
        <is>
          <t>9'6</t>
        </is>
      </c>
      <c r="M249" t="inlineStr">
        <is>
          <t>Full</t>
        </is>
      </c>
      <c r="P249">
        <f t="array" ref="P249">IFERROR(INDEX(Disch_Booking_Report!B:B, MATCH(TRUE, ISNUMBER(FIND(SUBSTITUTE(C249," ",""), Disch_Booking_Report!AC:AC)), 0)), "Not Found")</f>
        <v/>
      </c>
      <c r="Q249">
        <f t="array" ref="Q249">IFERROR(INDEX(Disch_Booking_Report!C:C, MATCH(TRUE, ISNUMBER(FIND(SUBSTITUTE(C249," ",""), Disch_Booking_Report!AC:AC)), 0)), "Not Found")</f>
        <v/>
      </c>
      <c r="R249">
        <f t="array" ref="R249">IFERROR(INDEX(Disch_Booking_Report!AD:AD, MATCH(TRUE, ISNUMBER(FIND(SUBSTITUTE(C249," ",""), Disch_Booking_Report!AC:AC)), 0)), "Not Found")</f>
        <v/>
      </c>
      <c r="S249">
        <f>Tabela2[[#This Row],[Weight]]</f>
        <v/>
      </c>
      <c r="T249">
        <f t="array" ref="T249">IFERROR(INDEX(Disch_Booking_Report!L:L, MATCH(TRUE, ISNUMBER(FIND(SUBSTITUTE(C249," ",""), Disch_Booking_Report!AC:AC)), 0)), "Not Found")</f>
        <v/>
      </c>
      <c r="U249">
        <f t="array" ref="U249">IFERROR(INDEX(Disch_Booking_Report!I:I, MATCH(TRUE, ISNUMBER(FIND(SUBSTITUTE(C249," ",""), Disch_Booking_Report!AC:AC)), 0)), "Not Found")</f>
        <v/>
      </c>
    </row>
    <row r="250">
      <c r="A250" t="n">
        <v>18</v>
      </c>
      <c r="B250" t="n">
        <v>180786</v>
      </c>
      <c r="C250" t="inlineStr">
        <is>
          <t xml:space="preserve">     ANON0000000</t>
        </is>
      </c>
      <c r="D250" t="n">
        <v>40</v>
      </c>
      <c r="E250" t="inlineStr">
        <is>
          <t>RULED</t>
        </is>
      </c>
      <c r="F250" t="inlineStr">
        <is>
          <t>USNYC</t>
        </is>
      </c>
      <c r="G250" t="n">
        <v>32320</v>
      </c>
      <c r="H250" t="inlineStr">
        <is>
          <t>ART</t>
        </is>
      </c>
      <c r="I250" t="inlineStr">
        <is>
          <t>45G1</t>
        </is>
      </c>
      <c r="L250" t="inlineStr">
        <is>
          <t>9'6</t>
        </is>
      </c>
      <c r="M250" t="inlineStr">
        <is>
          <t>Full</t>
        </is>
      </c>
      <c r="P250">
        <f t="array" ref="P250">IFERROR(INDEX(Disch_Booking_Report!B:B, MATCH(TRUE, ISNUMBER(FIND(SUBSTITUTE(C250," ",""), Disch_Booking_Report!AC:AC)), 0)), "Not Found")</f>
        <v/>
      </c>
      <c r="Q250">
        <f t="array" ref="Q250">IFERROR(INDEX(Disch_Booking_Report!C:C, MATCH(TRUE, ISNUMBER(FIND(SUBSTITUTE(C250," ",""), Disch_Booking_Report!AC:AC)), 0)), "Not Found")</f>
        <v/>
      </c>
      <c r="R250">
        <f t="array" ref="R250">IFERROR(INDEX(Disch_Booking_Report!AD:AD, MATCH(TRUE, ISNUMBER(FIND(SUBSTITUTE(C250," ",""), Disch_Booking_Report!AC:AC)), 0)), "Not Found")</f>
        <v/>
      </c>
      <c r="S250">
        <f>Tabela2[[#This Row],[Weight]]</f>
        <v/>
      </c>
      <c r="T250">
        <f t="array" ref="T250">IFERROR(INDEX(Disch_Booking_Report!L:L, MATCH(TRUE, ISNUMBER(FIND(SUBSTITUTE(C250," ",""), Disch_Booking_Report!AC:AC)), 0)), "Not Found")</f>
        <v/>
      </c>
      <c r="U250">
        <f t="array" ref="U250">IFERROR(INDEX(Disch_Booking_Report!I:I, MATCH(TRUE, ISNUMBER(FIND(SUBSTITUTE(C250," ",""), Disch_Booking_Report!AC:AC)), 0)), "Not Found")</f>
        <v/>
      </c>
    </row>
    <row r="251">
      <c r="A251" t="n">
        <v>18</v>
      </c>
      <c r="B251" t="n">
        <v>180306</v>
      </c>
      <c r="C251" t="inlineStr">
        <is>
          <t xml:space="preserve">     ANON0000000</t>
        </is>
      </c>
      <c r="D251" t="n">
        <v>40</v>
      </c>
      <c r="E251" t="inlineStr">
        <is>
          <t>RULED</t>
        </is>
      </c>
      <c r="F251" t="inlineStr">
        <is>
          <t>USNYC</t>
        </is>
      </c>
      <c r="G251" t="n">
        <v>33960</v>
      </c>
      <c r="H251" t="inlineStr">
        <is>
          <t>ART</t>
        </is>
      </c>
      <c r="I251" t="inlineStr">
        <is>
          <t>45R1</t>
        </is>
      </c>
      <c r="K251" t="inlineStr">
        <is>
          <t>Dry reefer</t>
        </is>
      </c>
      <c r="L251" t="inlineStr">
        <is>
          <t>9'6</t>
        </is>
      </c>
      <c r="M251" t="inlineStr">
        <is>
          <t>Full</t>
        </is>
      </c>
      <c r="P251">
        <f t="array" ref="P251">IFERROR(INDEX(Disch_Booking_Report!B:B, MATCH(TRUE, ISNUMBER(FIND(SUBSTITUTE(C251," ",""), Disch_Booking_Report!AC:AC)), 0)), "Not Found")</f>
        <v/>
      </c>
      <c r="Q251">
        <f t="array" ref="Q251">IFERROR(INDEX(Disch_Booking_Report!C:C, MATCH(TRUE, ISNUMBER(FIND(SUBSTITUTE(C251," ",""), Disch_Booking_Report!AC:AC)), 0)), "Not Found")</f>
        <v/>
      </c>
      <c r="R251">
        <f t="array" ref="R251">IFERROR(INDEX(Disch_Booking_Report!AD:AD, MATCH(TRUE, ISNUMBER(FIND(SUBSTITUTE(C251," ",""), Disch_Booking_Report!AC:AC)), 0)), "Not Found")</f>
        <v/>
      </c>
      <c r="S251">
        <f>Tabela2[[#This Row],[Weight]]</f>
        <v/>
      </c>
      <c r="T251">
        <f t="array" ref="T251">IFERROR(INDEX(Disch_Booking_Report!L:L, MATCH(TRUE, ISNUMBER(FIND(SUBSTITUTE(C251," ",""), Disch_Booking_Report!AC:AC)), 0)), "Not Found")</f>
        <v/>
      </c>
      <c r="U251">
        <f t="array" ref="U251">IFERROR(INDEX(Disch_Booking_Report!I:I, MATCH(TRUE, ISNUMBER(FIND(SUBSTITUTE(C251," ",""), Disch_Booking_Report!AC:AC)), 0)), "Not Found")</f>
        <v/>
      </c>
    </row>
    <row r="252">
      <c r="A252" t="n">
        <v>18</v>
      </c>
      <c r="B252" t="n">
        <v>180182</v>
      </c>
      <c r="C252" t="inlineStr">
        <is>
          <t xml:space="preserve">     ANON0000000</t>
        </is>
      </c>
      <c r="D252" t="n">
        <v>40</v>
      </c>
      <c r="E252" t="inlineStr">
        <is>
          <t>RULED</t>
        </is>
      </c>
      <c r="F252" t="inlineStr">
        <is>
          <t>USNYC</t>
        </is>
      </c>
      <c r="G252" t="n">
        <v>34050</v>
      </c>
      <c r="H252" t="inlineStr">
        <is>
          <t>ART</t>
        </is>
      </c>
      <c r="I252" t="inlineStr">
        <is>
          <t>45R1</t>
        </is>
      </c>
      <c r="K252" t="inlineStr">
        <is>
          <t>Dry reefer</t>
        </is>
      </c>
      <c r="L252" t="inlineStr">
        <is>
          <t>9'6</t>
        </is>
      </c>
      <c r="M252" t="inlineStr">
        <is>
          <t>Full</t>
        </is>
      </c>
      <c r="P252">
        <f t="array" ref="P252">IFERROR(INDEX(Disch_Booking_Report!B:B, MATCH(TRUE, ISNUMBER(FIND(SUBSTITUTE(C252," ",""), Disch_Booking_Report!AC:AC)), 0)), "Not Found")</f>
        <v/>
      </c>
      <c r="Q252">
        <f t="array" ref="Q252">IFERROR(INDEX(Disch_Booking_Report!C:C, MATCH(TRUE, ISNUMBER(FIND(SUBSTITUTE(C252," ",""), Disch_Booking_Report!AC:AC)), 0)), "Not Found")</f>
        <v/>
      </c>
      <c r="R252">
        <f t="array" ref="R252">IFERROR(INDEX(Disch_Booking_Report!AD:AD, MATCH(TRUE, ISNUMBER(FIND(SUBSTITUTE(C252," ",""), Disch_Booking_Report!AC:AC)), 0)), "Not Found")</f>
        <v/>
      </c>
      <c r="S252">
        <f>Tabela2[[#This Row],[Weight]]</f>
        <v/>
      </c>
      <c r="T252">
        <f t="array" ref="T252">IFERROR(INDEX(Disch_Booking_Report!L:L, MATCH(TRUE, ISNUMBER(FIND(SUBSTITUTE(C252," ",""), Disch_Booking_Report!AC:AC)), 0)), "Not Found")</f>
        <v/>
      </c>
      <c r="U252">
        <f t="array" ref="U252">IFERROR(INDEX(Disch_Booking_Report!I:I, MATCH(TRUE, ISNUMBER(FIND(SUBSTITUTE(C252," ",""), Disch_Booking_Report!AC:AC)), 0)), "Not Found")</f>
        <v/>
      </c>
    </row>
    <row r="253">
      <c r="A253" t="n">
        <v>18</v>
      </c>
      <c r="B253" t="n">
        <v>180106</v>
      </c>
      <c r="C253" t="inlineStr">
        <is>
          <t xml:space="preserve">     ANON0000000</t>
        </is>
      </c>
      <c r="D253" t="n">
        <v>40</v>
      </c>
      <c r="E253" t="inlineStr">
        <is>
          <t>RULED</t>
        </is>
      </c>
      <c r="F253" t="inlineStr">
        <is>
          <t>USNYC</t>
        </is>
      </c>
      <c r="G253" t="n">
        <v>33960</v>
      </c>
      <c r="H253" t="inlineStr">
        <is>
          <t>ART</t>
        </is>
      </c>
      <c r="I253" t="inlineStr">
        <is>
          <t>45R1</t>
        </is>
      </c>
      <c r="K253" t="inlineStr">
        <is>
          <t>Dry reefer</t>
        </is>
      </c>
      <c r="L253" t="inlineStr">
        <is>
          <t>9'6</t>
        </is>
      </c>
      <c r="M253" t="inlineStr">
        <is>
          <t>Full</t>
        </is>
      </c>
      <c r="P253">
        <f t="array" ref="P253">IFERROR(INDEX(Disch_Booking_Report!B:B, MATCH(TRUE, ISNUMBER(FIND(SUBSTITUTE(C253," ",""), Disch_Booking_Report!AC:AC)), 0)), "Not Found")</f>
        <v/>
      </c>
      <c r="Q253">
        <f t="array" ref="Q253">IFERROR(INDEX(Disch_Booking_Report!C:C, MATCH(TRUE, ISNUMBER(FIND(SUBSTITUTE(C253," ",""), Disch_Booking_Report!AC:AC)), 0)), "Not Found")</f>
        <v/>
      </c>
      <c r="R253">
        <f t="array" ref="R253">IFERROR(INDEX(Disch_Booking_Report!AD:AD, MATCH(TRUE, ISNUMBER(FIND(SUBSTITUTE(C253," ",""), Disch_Booking_Report!AC:AC)), 0)), "Not Found")</f>
        <v/>
      </c>
      <c r="S253">
        <f>Tabela2[[#This Row],[Weight]]</f>
        <v/>
      </c>
      <c r="T253">
        <f t="array" ref="T253">IFERROR(INDEX(Disch_Booking_Report!L:L, MATCH(TRUE, ISNUMBER(FIND(SUBSTITUTE(C253," ",""), Disch_Booking_Report!AC:AC)), 0)), "Not Found")</f>
        <v/>
      </c>
      <c r="U253">
        <f t="array" ref="U253">IFERROR(INDEX(Disch_Booking_Report!I:I, MATCH(TRUE, ISNUMBER(FIND(SUBSTITUTE(C253," ",""), Disch_Booking_Report!AC:AC)), 0)), "Not Found")</f>
        <v/>
      </c>
    </row>
    <row r="254">
      <c r="A254" t="n">
        <v>18</v>
      </c>
      <c r="B254" t="n">
        <v>180204</v>
      </c>
      <c r="C254" t="inlineStr">
        <is>
          <t xml:space="preserve">     ANON0000000</t>
        </is>
      </c>
      <c r="D254" t="n">
        <v>40</v>
      </c>
      <c r="E254" t="inlineStr">
        <is>
          <t>RULED</t>
        </is>
      </c>
      <c r="F254" t="inlineStr">
        <is>
          <t>USNYC</t>
        </is>
      </c>
      <c r="G254" t="n">
        <v>33760</v>
      </c>
      <c r="H254" t="inlineStr">
        <is>
          <t>ART</t>
        </is>
      </c>
      <c r="I254" t="inlineStr">
        <is>
          <t>45R1</t>
        </is>
      </c>
      <c r="K254" t="inlineStr">
        <is>
          <t>Dry reefer</t>
        </is>
      </c>
      <c r="L254" t="inlineStr">
        <is>
          <t>9'6</t>
        </is>
      </c>
      <c r="M254" t="inlineStr">
        <is>
          <t>Full</t>
        </is>
      </c>
      <c r="P254">
        <f t="array" ref="P254">IFERROR(INDEX(Disch_Booking_Report!B:B, MATCH(TRUE, ISNUMBER(FIND(SUBSTITUTE(C254," ",""), Disch_Booking_Report!AC:AC)), 0)), "Not Found")</f>
        <v/>
      </c>
      <c r="Q254">
        <f t="array" ref="Q254">IFERROR(INDEX(Disch_Booking_Report!C:C, MATCH(TRUE, ISNUMBER(FIND(SUBSTITUTE(C254," ",""), Disch_Booking_Report!AC:AC)), 0)), "Not Found")</f>
        <v/>
      </c>
      <c r="R254">
        <f t="array" ref="R254">IFERROR(INDEX(Disch_Booking_Report!AD:AD, MATCH(TRUE, ISNUMBER(FIND(SUBSTITUTE(C254," ",""), Disch_Booking_Report!AC:AC)), 0)), "Not Found")</f>
        <v/>
      </c>
      <c r="S254">
        <f>Tabela2[[#This Row],[Weight]]</f>
        <v/>
      </c>
      <c r="T254">
        <f t="array" ref="T254">IFERROR(INDEX(Disch_Booking_Report!L:L, MATCH(TRUE, ISNUMBER(FIND(SUBSTITUTE(C254," ",""), Disch_Booking_Report!AC:AC)), 0)), "Not Found")</f>
        <v/>
      </c>
      <c r="U254">
        <f t="array" ref="U254">IFERROR(INDEX(Disch_Booking_Report!I:I, MATCH(TRUE, ISNUMBER(FIND(SUBSTITUTE(C254," ",""), Disch_Booking_Report!AC:AC)), 0)), "Not Found")</f>
        <v/>
      </c>
    </row>
    <row r="255">
      <c r="A255" t="n">
        <v>18</v>
      </c>
      <c r="B255" t="n">
        <v>180882</v>
      </c>
      <c r="C255" t="inlineStr">
        <is>
          <t xml:space="preserve">     ANON0000000</t>
        </is>
      </c>
      <c r="D255" t="n">
        <v>40</v>
      </c>
      <c r="E255" t="inlineStr">
        <is>
          <t>RULED</t>
        </is>
      </c>
      <c r="F255" t="inlineStr">
        <is>
          <t>USNYC</t>
        </is>
      </c>
      <c r="G255" t="n">
        <v>33960</v>
      </c>
      <c r="H255" t="inlineStr">
        <is>
          <t>ART</t>
        </is>
      </c>
      <c r="I255" t="inlineStr">
        <is>
          <t>45R1</t>
        </is>
      </c>
      <c r="K255" t="inlineStr">
        <is>
          <t>Dry reefer</t>
        </is>
      </c>
      <c r="L255" t="inlineStr">
        <is>
          <t>9'6</t>
        </is>
      </c>
      <c r="M255" t="inlineStr">
        <is>
          <t>Full</t>
        </is>
      </c>
      <c r="P255">
        <f t="array" ref="P255">IFERROR(INDEX(Disch_Booking_Report!B:B, MATCH(TRUE, ISNUMBER(FIND(SUBSTITUTE(C255," ",""), Disch_Booking_Report!AC:AC)), 0)), "Not Found")</f>
        <v/>
      </c>
      <c r="Q255">
        <f t="array" ref="Q255">IFERROR(INDEX(Disch_Booking_Report!C:C, MATCH(TRUE, ISNUMBER(FIND(SUBSTITUTE(C255," ",""), Disch_Booking_Report!AC:AC)), 0)), "Not Found")</f>
        <v/>
      </c>
      <c r="R255">
        <f t="array" ref="R255">IFERROR(INDEX(Disch_Booking_Report!AD:AD, MATCH(TRUE, ISNUMBER(FIND(SUBSTITUTE(C255," ",""), Disch_Booking_Report!AC:AC)), 0)), "Not Found")</f>
        <v/>
      </c>
      <c r="S255">
        <f>Tabela2[[#This Row],[Weight]]</f>
        <v/>
      </c>
      <c r="T255">
        <f t="array" ref="T255">IFERROR(INDEX(Disch_Booking_Report!L:L, MATCH(TRUE, ISNUMBER(FIND(SUBSTITUTE(C255," ",""), Disch_Booking_Report!AC:AC)), 0)), "Not Found")</f>
        <v/>
      </c>
      <c r="U255">
        <f t="array" ref="U255">IFERROR(INDEX(Disch_Booking_Report!I:I, MATCH(TRUE, ISNUMBER(FIND(SUBSTITUTE(C255," ",""), Disch_Booking_Report!AC:AC)), 0)), "Not Found")</f>
        <v/>
      </c>
    </row>
    <row r="256">
      <c r="A256" t="n">
        <v>22</v>
      </c>
      <c r="B256" t="n">
        <v>220084</v>
      </c>
      <c r="C256" t="inlineStr">
        <is>
          <t xml:space="preserve">     ANON0000000</t>
        </is>
      </c>
      <c r="D256" t="n">
        <v>40</v>
      </c>
      <c r="E256" t="inlineStr">
        <is>
          <t>RULED</t>
        </is>
      </c>
      <c r="F256" t="inlineStr">
        <is>
          <t>USNFK</t>
        </is>
      </c>
      <c r="G256" t="n">
        <v>26260</v>
      </c>
      <c r="H256" t="inlineStr">
        <is>
          <t>MLINE</t>
        </is>
      </c>
      <c r="I256" t="inlineStr">
        <is>
          <t>45G1</t>
        </is>
      </c>
      <c r="L256" t="inlineStr">
        <is>
          <t>9'6</t>
        </is>
      </c>
      <c r="M256" t="inlineStr">
        <is>
          <t>Full</t>
        </is>
      </c>
      <c r="P256">
        <f t="array" ref="P256">IFERROR(INDEX(Disch_Booking_Report!B:B, MATCH(TRUE, ISNUMBER(FIND(SUBSTITUTE(C256," ",""), Disch_Booking_Report!AC:AC)), 0)), "Not Found")</f>
        <v/>
      </c>
      <c r="Q256">
        <f t="array" ref="Q256">IFERROR(INDEX(Disch_Booking_Report!C:C, MATCH(TRUE, ISNUMBER(FIND(SUBSTITUTE(C256," ",""), Disch_Booking_Report!AC:AC)), 0)), "Not Found")</f>
        <v/>
      </c>
      <c r="R256">
        <f t="array" ref="R256">IFERROR(INDEX(Disch_Booking_Report!AD:AD, MATCH(TRUE, ISNUMBER(FIND(SUBSTITUTE(C256," ",""), Disch_Booking_Report!AC:AC)), 0)), "Not Found")</f>
        <v/>
      </c>
      <c r="S256">
        <f>Tabela2[[#This Row],[Weight]]</f>
        <v/>
      </c>
      <c r="T256">
        <f t="array" ref="T256">IFERROR(INDEX(Disch_Booking_Report!L:L, MATCH(TRUE, ISNUMBER(FIND(SUBSTITUTE(C256," ",""), Disch_Booking_Report!AC:AC)), 0)), "Not Found")</f>
        <v/>
      </c>
      <c r="U256">
        <f t="array" ref="U256">IFERROR(INDEX(Disch_Booking_Report!I:I, MATCH(TRUE, ISNUMBER(FIND(SUBSTITUTE(C256," ",""), Disch_Booking_Report!AC:AC)), 0)), "Not Found")</f>
        <v/>
      </c>
    </row>
    <row r="257">
      <c r="A257" t="n">
        <v>22</v>
      </c>
      <c r="B257" t="n">
        <v>220304</v>
      </c>
      <c r="C257" t="inlineStr">
        <is>
          <t xml:space="preserve">     ANON0000000</t>
        </is>
      </c>
      <c r="D257" t="n">
        <v>40</v>
      </c>
      <c r="E257" t="inlineStr">
        <is>
          <t>RULED</t>
        </is>
      </c>
      <c r="F257" t="inlineStr">
        <is>
          <t>USNFK</t>
        </is>
      </c>
      <c r="G257" t="n">
        <v>32910</v>
      </c>
      <c r="H257" t="inlineStr">
        <is>
          <t>ART</t>
        </is>
      </c>
      <c r="I257" t="inlineStr">
        <is>
          <t>45R1</t>
        </is>
      </c>
      <c r="K257" t="inlineStr">
        <is>
          <t>Dry reefer</t>
        </is>
      </c>
      <c r="L257" t="inlineStr">
        <is>
          <t>9'6</t>
        </is>
      </c>
      <c r="M257" t="inlineStr">
        <is>
          <t>Full</t>
        </is>
      </c>
      <c r="P257">
        <f t="array" ref="P257">IFERROR(INDEX(Disch_Booking_Report!B:B, MATCH(TRUE, ISNUMBER(FIND(SUBSTITUTE(C257," ",""), Disch_Booking_Report!AC:AC)), 0)), "Not Found")</f>
        <v/>
      </c>
      <c r="Q257">
        <f t="array" ref="Q257">IFERROR(INDEX(Disch_Booking_Report!C:C, MATCH(TRUE, ISNUMBER(FIND(SUBSTITUTE(C257," ",""), Disch_Booking_Report!AC:AC)), 0)), "Not Found")</f>
        <v/>
      </c>
      <c r="R257">
        <f t="array" ref="R257">IFERROR(INDEX(Disch_Booking_Report!AD:AD, MATCH(TRUE, ISNUMBER(FIND(SUBSTITUTE(C257," ",""), Disch_Booking_Report!AC:AC)), 0)), "Not Found")</f>
        <v/>
      </c>
      <c r="S257">
        <f>Tabela2[[#This Row],[Weight]]</f>
        <v/>
      </c>
      <c r="T257">
        <f t="array" ref="T257">IFERROR(INDEX(Disch_Booking_Report!L:L, MATCH(TRUE, ISNUMBER(FIND(SUBSTITUTE(C257," ",""), Disch_Booking_Report!AC:AC)), 0)), "Not Found")</f>
        <v/>
      </c>
      <c r="U257">
        <f t="array" ref="U257">IFERROR(INDEX(Disch_Booking_Report!I:I, MATCH(TRUE, ISNUMBER(FIND(SUBSTITUTE(C257," ",""), Disch_Booking_Report!AC:AC)), 0)), "Not Found")</f>
        <v/>
      </c>
    </row>
    <row r="258">
      <c r="A258" t="n">
        <v>22</v>
      </c>
      <c r="B258" t="n">
        <v>220584</v>
      </c>
      <c r="C258" t="inlineStr">
        <is>
          <t xml:space="preserve">     ANON0000000</t>
        </is>
      </c>
      <c r="D258" t="n">
        <v>40</v>
      </c>
      <c r="E258" t="inlineStr">
        <is>
          <t>RULED</t>
        </is>
      </c>
      <c r="F258" t="inlineStr">
        <is>
          <t>USNFK</t>
        </is>
      </c>
      <c r="G258" t="n">
        <v>33570</v>
      </c>
      <c r="H258" t="inlineStr">
        <is>
          <t>ART</t>
        </is>
      </c>
      <c r="I258" t="inlineStr">
        <is>
          <t>45R1</t>
        </is>
      </c>
      <c r="K258" t="inlineStr">
        <is>
          <t>Dry reefer</t>
        </is>
      </c>
      <c r="L258" t="inlineStr">
        <is>
          <t>9'6</t>
        </is>
      </c>
      <c r="M258" t="inlineStr">
        <is>
          <t>Full</t>
        </is>
      </c>
      <c r="P258">
        <f t="array" ref="P258">IFERROR(INDEX(Disch_Booking_Report!B:B, MATCH(TRUE, ISNUMBER(FIND(SUBSTITUTE(C258," ",""), Disch_Booking_Report!AC:AC)), 0)), "Not Found")</f>
        <v/>
      </c>
      <c r="Q258">
        <f t="array" ref="Q258">IFERROR(INDEX(Disch_Booking_Report!C:C, MATCH(TRUE, ISNUMBER(FIND(SUBSTITUTE(C258," ",""), Disch_Booking_Report!AC:AC)), 0)), "Not Found")</f>
        <v/>
      </c>
      <c r="R258">
        <f t="array" ref="R258">IFERROR(INDEX(Disch_Booking_Report!AD:AD, MATCH(TRUE, ISNUMBER(FIND(SUBSTITUTE(C258," ",""), Disch_Booking_Report!AC:AC)), 0)), "Not Found")</f>
        <v/>
      </c>
      <c r="S258">
        <f>Tabela2[[#This Row],[Weight]]</f>
        <v/>
      </c>
      <c r="T258">
        <f t="array" ref="T258">IFERROR(INDEX(Disch_Booking_Report!L:L, MATCH(TRUE, ISNUMBER(FIND(SUBSTITUTE(C258," ",""), Disch_Booking_Report!AC:AC)), 0)), "Not Found")</f>
        <v/>
      </c>
      <c r="U258">
        <f t="array" ref="U258">IFERROR(INDEX(Disch_Booking_Report!I:I, MATCH(TRUE, ISNUMBER(FIND(SUBSTITUTE(C258," ",""), Disch_Booking_Report!AC:AC)), 0)), "Not Found")</f>
        <v/>
      </c>
    </row>
    <row r="259">
      <c r="A259" t="n">
        <v>22</v>
      </c>
      <c r="B259" t="n">
        <v>220406</v>
      </c>
      <c r="C259" t="inlineStr">
        <is>
          <t xml:space="preserve">     ANON0000000</t>
        </is>
      </c>
      <c r="D259" t="n">
        <v>40</v>
      </c>
      <c r="E259" t="inlineStr">
        <is>
          <t>RULED</t>
        </is>
      </c>
      <c r="F259" t="inlineStr">
        <is>
          <t>USNFK</t>
        </is>
      </c>
      <c r="G259" t="n">
        <v>32980</v>
      </c>
      <c r="H259" t="inlineStr">
        <is>
          <t>ART</t>
        </is>
      </c>
      <c r="I259" t="inlineStr">
        <is>
          <t>45R1</t>
        </is>
      </c>
      <c r="K259" t="inlineStr">
        <is>
          <t>Dry reefer</t>
        </is>
      </c>
      <c r="L259" t="inlineStr">
        <is>
          <t>9'6</t>
        </is>
      </c>
      <c r="M259" t="inlineStr">
        <is>
          <t>Full</t>
        </is>
      </c>
      <c r="P259">
        <f t="array" ref="P259">IFERROR(INDEX(Disch_Booking_Report!B:B, MATCH(TRUE, ISNUMBER(FIND(SUBSTITUTE(C259," ",""), Disch_Booking_Report!AC:AC)), 0)), "Not Found")</f>
        <v/>
      </c>
      <c r="Q259">
        <f t="array" ref="Q259">IFERROR(INDEX(Disch_Booking_Report!C:C, MATCH(TRUE, ISNUMBER(FIND(SUBSTITUTE(C259," ",""), Disch_Booking_Report!AC:AC)), 0)), "Not Found")</f>
        <v/>
      </c>
      <c r="R259">
        <f t="array" ref="R259">IFERROR(INDEX(Disch_Booking_Report!AD:AD, MATCH(TRUE, ISNUMBER(FIND(SUBSTITUTE(C259," ",""), Disch_Booking_Report!AC:AC)), 0)), "Not Found")</f>
        <v/>
      </c>
      <c r="S259">
        <f>Tabela2[[#This Row],[Weight]]</f>
        <v/>
      </c>
      <c r="T259">
        <f t="array" ref="T259">IFERROR(INDEX(Disch_Booking_Report!L:L, MATCH(TRUE, ISNUMBER(FIND(SUBSTITUTE(C259," ",""), Disch_Booking_Report!AC:AC)), 0)), "Not Found")</f>
        <v/>
      </c>
      <c r="U259">
        <f t="array" ref="U259">IFERROR(INDEX(Disch_Booking_Report!I:I, MATCH(TRUE, ISNUMBER(FIND(SUBSTITUTE(C259," ",""), Disch_Booking_Report!AC:AC)), 0)), "Not Found")</f>
        <v/>
      </c>
    </row>
    <row r="260">
      <c r="A260" t="n">
        <v>22</v>
      </c>
      <c r="B260" t="n">
        <v>220802</v>
      </c>
      <c r="C260" t="inlineStr">
        <is>
          <t xml:space="preserve">     ANON0000000</t>
        </is>
      </c>
      <c r="D260" t="n">
        <v>40</v>
      </c>
      <c r="E260" t="inlineStr">
        <is>
          <t>RULED</t>
        </is>
      </c>
      <c r="F260" t="inlineStr">
        <is>
          <t>USNFK</t>
        </is>
      </c>
      <c r="G260" t="n">
        <v>32970</v>
      </c>
      <c r="H260" t="inlineStr">
        <is>
          <t>ART</t>
        </is>
      </c>
      <c r="I260" t="inlineStr">
        <is>
          <t>45R1</t>
        </is>
      </c>
      <c r="K260" t="inlineStr">
        <is>
          <t>Dry reefer</t>
        </is>
      </c>
      <c r="L260" t="inlineStr">
        <is>
          <t>9'6</t>
        </is>
      </c>
      <c r="M260" t="inlineStr">
        <is>
          <t>Full</t>
        </is>
      </c>
      <c r="P260">
        <f t="array" ref="P260">IFERROR(INDEX(Disch_Booking_Report!B:B, MATCH(TRUE, ISNUMBER(FIND(SUBSTITUTE(C260," ",""), Disch_Booking_Report!AC:AC)), 0)), "Not Found")</f>
        <v/>
      </c>
      <c r="Q260">
        <f t="array" ref="Q260">IFERROR(INDEX(Disch_Booking_Report!C:C, MATCH(TRUE, ISNUMBER(FIND(SUBSTITUTE(C260," ",""), Disch_Booking_Report!AC:AC)), 0)), "Not Found")</f>
        <v/>
      </c>
      <c r="R260">
        <f t="array" ref="R260">IFERROR(INDEX(Disch_Booking_Report!AD:AD, MATCH(TRUE, ISNUMBER(FIND(SUBSTITUTE(C260," ",""), Disch_Booking_Report!AC:AC)), 0)), "Not Found")</f>
        <v/>
      </c>
      <c r="S260">
        <f>Tabela2[[#This Row],[Weight]]</f>
        <v/>
      </c>
      <c r="T260">
        <f t="array" ref="T260">IFERROR(INDEX(Disch_Booking_Report!L:L, MATCH(TRUE, ISNUMBER(FIND(SUBSTITUTE(C260," ",""), Disch_Booking_Report!AC:AC)), 0)), "Not Found")</f>
        <v/>
      </c>
      <c r="U260">
        <f t="array" ref="U260">IFERROR(INDEX(Disch_Booking_Report!I:I, MATCH(TRUE, ISNUMBER(FIND(SUBSTITUTE(C260," ",""), Disch_Booking_Report!AC:AC)), 0)), "Not Found")</f>
        <v/>
      </c>
    </row>
    <row r="261">
      <c r="A261" t="n">
        <v>22</v>
      </c>
      <c r="B261" t="n">
        <v>220108</v>
      </c>
      <c r="C261" t="inlineStr">
        <is>
          <t xml:space="preserve">     ANON0000000</t>
        </is>
      </c>
      <c r="D261" t="n">
        <v>40</v>
      </c>
      <c r="E261" t="inlineStr">
        <is>
          <t>RULED</t>
        </is>
      </c>
      <c r="F261" t="inlineStr">
        <is>
          <t>USNFK</t>
        </is>
      </c>
      <c r="G261" t="n">
        <v>32980</v>
      </c>
      <c r="H261" t="inlineStr">
        <is>
          <t>ART</t>
        </is>
      </c>
      <c r="I261" t="inlineStr">
        <is>
          <t>45R1</t>
        </is>
      </c>
      <c r="K261" t="inlineStr">
        <is>
          <t>Dry reefer</t>
        </is>
      </c>
      <c r="L261" t="inlineStr">
        <is>
          <t>9'6</t>
        </is>
      </c>
      <c r="M261" t="inlineStr">
        <is>
          <t>Full</t>
        </is>
      </c>
      <c r="P261">
        <f t="array" ref="P261">IFERROR(INDEX(Disch_Booking_Report!B:B, MATCH(TRUE, ISNUMBER(FIND(SUBSTITUTE(C261," ",""), Disch_Booking_Report!AC:AC)), 0)), "Not Found")</f>
        <v/>
      </c>
      <c r="Q261">
        <f t="array" ref="Q261">IFERROR(INDEX(Disch_Booking_Report!C:C, MATCH(TRUE, ISNUMBER(FIND(SUBSTITUTE(C261," ",""), Disch_Booking_Report!AC:AC)), 0)), "Not Found")</f>
        <v/>
      </c>
      <c r="R261">
        <f t="array" ref="R261">IFERROR(INDEX(Disch_Booking_Report!AD:AD, MATCH(TRUE, ISNUMBER(FIND(SUBSTITUTE(C261," ",""), Disch_Booking_Report!AC:AC)), 0)), "Not Found")</f>
        <v/>
      </c>
      <c r="S261">
        <f>Tabela2[[#This Row],[Weight]]</f>
        <v/>
      </c>
      <c r="T261">
        <f t="array" ref="T261">IFERROR(INDEX(Disch_Booking_Report!L:L, MATCH(TRUE, ISNUMBER(FIND(SUBSTITUTE(C261," ",""), Disch_Booking_Report!AC:AC)), 0)), "Not Found")</f>
        <v/>
      </c>
      <c r="U261">
        <f t="array" ref="U261">IFERROR(INDEX(Disch_Booking_Report!I:I, MATCH(TRUE, ISNUMBER(FIND(SUBSTITUTE(C261," ",""), Disch_Booking_Report!AC:AC)), 0)), "Not Found")</f>
        <v/>
      </c>
    </row>
    <row r="262">
      <c r="A262" t="n">
        <v>22</v>
      </c>
      <c r="B262" t="n">
        <v>220082</v>
      </c>
      <c r="C262" t="inlineStr">
        <is>
          <t xml:space="preserve">     ANON0000000</t>
        </is>
      </c>
      <c r="D262" t="n">
        <v>40</v>
      </c>
      <c r="E262" t="inlineStr">
        <is>
          <t>RULED</t>
        </is>
      </c>
      <c r="F262" t="inlineStr">
        <is>
          <t>USNFK</t>
        </is>
      </c>
      <c r="G262" t="n">
        <v>32810</v>
      </c>
      <c r="H262" t="inlineStr">
        <is>
          <t>ART</t>
        </is>
      </c>
      <c r="I262" t="inlineStr">
        <is>
          <t>45R1</t>
        </is>
      </c>
      <c r="K262" t="inlineStr">
        <is>
          <t>Dry reefer</t>
        </is>
      </c>
      <c r="L262" t="inlineStr">
        <is>
          <t>9'6</t>
        </is>
      </c>
      <c r="M262" t="inlineStr">
        <is>
          <t>Full</t>
        </is>
      </c>
      <c r="P262">
        <f t="array" ref="P262">IFERROR(INDEX(Disch_Booking_Report!B:B, MATCH(TRUE, ISNUMBER(FIND(SUBSTITUTE(C262," ",""), Disch_Booking_Report!AC:AC)), 0)), "Not Found")</f>
        <v/>
      </c>
      <c r="Q262">
        <f t="array" ref="Q262">IFERROR(INDEX(Disch_Booking_Report!C:C, MATCH(TRUE, ISNUMBER(FIND(SUBSTITUTE(C262," ",""), Disch_Booking_Report!AC:AC)), 0)), "Not Found")</f>
        <v/>
      </c>
      <c r="R262">
        <f t="array" ref="R262">IFERROR(INDEX(Disch_Booking_Report!AD:AD, MATCH(TRUE, ISNUMBER(FIND(SUBSTITUTE(C262," ",""), Disch_Booking_Report!AC:AC)), 0)), "Not Found")</f>
        <v/>
      </c>
      <c r="S262">
        <f>Tabela2[[#This Row],[Weight]]</f>
        <v/>
      </c>
      <c r="T262">
        <f t="array" ref="T262">IFERROR(INDEX(Disch_Booking_Report!L:L, MATCH(TRUE, ISNUMBER(FIND(SUBSTITUTE(C262," ",""), Disch_Booking_Report!AC:AC)), 0)), "Not Found")</f>
        <v/>
      </c>
      <c r="U262">
        <f t="array" ref="U262">IFERROR(INDEX(Disch_Booking_Report!I:I, MATCH(TRUE, ISNUMBER(FIND(SUBSTITUTE(C262," ",""), Disch_Booking_Report!AC:AC)), 0)), "Not Found")</f>
        <v/>
      </c>
    </row>
    <row r="263">
      <c r="A263" t="n">
        <v>22</v>
      </c>
      <c r="B263" t="n">
        <v>220706</v>
      </c>
      <c r="C263" t="inlineStr">
        <is>
          <t xml:space="preserve">     ANON0000000</t>
        </is>
      </c>
      <c r="D263" t="n">
        <v>40</v>
      </c>
      <c r="E263" t="inlineStr">
        <is>
          <t>RULED</t>
        </is>
      </c>
      <c r="F263" t="inlineStr">
        <is>
          <t>USNFK</t>
        </is>
      </c>
      <c r="G263" t="n">
        <v>32980</v>
      </c>
      <c r="H263" t="inlineStr">
        <is>
          <t>ART</t>
        </is>
      </c>
      <c r="I263" t="inlineStr">
        <is>
          <t>45R1</t>
        </is>
      </c>
      <c r="K263" t="inlineStr">
        <is>
          <t>Dry reefer</t>
        </is>
      </c>
      <c r="L263" t="inlineStr">
        <is>
          <t>9'6</t>
        </is>
      </c>
      <c r="M263" t="inlineStr">
        <is>
          <t>Full</t>
        </is>
      </c>
      <c r="P263">
        <f t="array" ref="P263">IFERROR(INDEX(Disch_Booking_Report!B:B, MATCH(TRUE, ISNUMBER(FIND(SUBSTITUTE(C263," ",""), Disch_Booking_Report!AC:AC)), 0)), "Not Found")</f>
        <v/>
      </c>
      <c r="Q263">
        <f t="array" ref="Q263">IFERROR(INDEX(Disch_Booking_Report!C:C, MATCH(TRUE, ISNUMBER(FIND(SUBSTITUTE(C263," ",""), Disch_Booking_Report!AC:AC)), 0)), "Not Found")</f>
        <v/>
      </c>
      <c r="R263">
        <f t="array" ref="R263">IFERROR(INDEX(Disch_Booking_Report!AD:AD, MATCH(TRUE, ISNUMBER(FIND(SUBSTITUTE(C263," ",""), Disch_Booking_Report!AC:AC)), 0)), "Not Found")</f>
        <v/>
      </c>
      <c r="S263">
        <f>Tabela2[[#This Row],[Weight]]</f>
        <v/>
      </c>
      <c r="T263">
        <f t="array" ref="T263">IFERROR(INDEX(Disch_Booking_Report!L:L, MATCH(TRUE, ISNUMBER(FIND(SUBSTITUTE(C263," ",""), Disch_Booking_Report!AC:AC)), 0)), "Not Found")</f>
        <v/>
      </c>
      <c r="U263">
        <f t="array" ref="U263">IFERROR(INDEX(Disch_Booking_Report!I:I, MATCH(TRUE, ISNUMBER(FIND(SUBSTITUTE(C263," ",""), Disch_Booking_Report!AC:AC)), 0)), "Not Found")</f>
        <v/>
      </c>
    </row>
    <row r="264">
      <c r="A264" t="n">
        <v>22</v>
      </c>
      <c r="B264" t="n">
        <v>220884</v>
      </c>
      <c r="C264" t="inlineStr">
        <is>
          <t xml:space="preserve">     ANON0000000</t>
        </is>
      </c>
      <c r="D264" t="n">
        <v>40</v>
      </c>
      <c r="E264" t="inlineStr">
        <is>
          <t>RULED</t>
        </is>
      </c>
      <c r="F264" t="inlineStr">
        <is>
          <t>USNFK</t>
        </is>
      </c>
      <c r="G264" t="n">
        <v>33610</v>
      </c>
      <c r="H264" t="inlineStr">
        <is>
          <t>ART</t>
        </is>
      </c>
      <c r="I264" t="inlineStr">
        <is>
          <t>45R1</t>
        </is>
      </c>
      <c r="K264" t="inlineStr">
        <is>
          <t>Dry reefer</t>
        </is>
      </c>
      <c r="L264" t="inlineStr">
        <is>
          <t>9'6</t>
        </is>
      </c>
      <c r="M264" t="inlineStr">
        <is>
          <t>Full</t>
        </is>
      </c>
      <c r="P264">
        <f t="array" ref="P264">IFERROR(INDEX(Disch_Booking_Report!B:B, MATCH(TRUE, ISNUMBER(FIND(SUBSTITUTE(C264," ",""), Disch_Booking_Report!AC:AC)), 0)), "Not Found")</f>
        <v/>
      </c>
      <c r="Q264">
        <f t="array" ref="Q264">IFERROR(INDEX(Disch_Booking_Report!C:C, MATCH(TRUE, ISNUMBER(FIND(SUBSTITUTE(C264," ",""), Disch_Booking_Report!AC:AC)), 0)), "Not Found")</f>
        <v/>
      </c>
      <c r="R264">
        <f t="array" ref="R264">IFERROR(INDEX(Disch_Booking_Report!AD:AD, MATCH(TRUE, ISNUMBER(FIND(SUBSTITUTE(C264," ",""), Disch_Booking_Report!AC:AC)), 0)), "Not Found")</f>
        <v/>
      </c>
      <c r="S264">
        <f>Tabela2[[#This Row],[Weight]]</f>
        <v/>
      </c>
      <c r="T264">
        <f t="array" ref="T264">IFERROR(INDEX(Disch_Booking_Report!L:L, MATCH(TRUE, ISNUMBER(FIND(SUBSTITUTE(C264," ",""), Disch_Booking_Report!AC:AC)), 0)), "Not Found")</f>
        <v/>
      </c>
      <c r="U264">
        <f t="array" ref="U264">IFERROR(INDEX(Disch_Booking_Report!I:I, MATCH(TRUE, ISNUMBER(FIND(SUBSTITUTE(C264," ",""), Disch_Booking_Report!AC:AC)), 0)), "Not Found")</f>
        <v/>
      </c>
    </row>
    <row r="265">
      <c r="A265" t="n">
        <v>22</v>
      </c>
      <c r="B265" t="n">
        <v>220782</v>
      </c>
      <c r="C265" t="inlineStr">
        <is>
          <t xml:space="preserve">     ANON0000000</t>
        </is>
      </c>
      <c r="D265" t="n">
        <v>40</v>
      </c>
      <c r="E265" t="inlineStr">
        <is>
          <t>RULED</t>
        </is>
      </c>
      <c r="F265" t="inlineStr">
        <is>
          <t>USNFK</t>
        </is>
      </c>
      <c r="G265" t="n">
        <v>33610</v>
      </c>
      <c r="H265" t="inlineStr">
        <is>
          <t>ART</t>
        </is>
      </c>
      <c r="I265" t="inlineStr">
        <is>
          <t>45R1</t>
        </is>
      </c>
      <c r="K265" t="inlineStr">
        <is>
          <t>Dry reefer</t>
        </is>
      </c>
      <c r="L265" t="inlineStr">
        <is>
          <t>9'6</t>
        </is>
      </c>
      <c r="M265" t="inlineStr">
        <is>
          <t>Full</t>
        </is>
      </c>
      <c r="P265">
        <f t="array" ref="P265">IFERROR(INDEX(Disch_Booking_Report!B:B, MATCH(TRUE, ISNUMBER(FIND(SUBSTITUTE(C265," ",""), Disch_Booking_Report!AC:AC)), 0)), "Not Found")</f>
        <v/>
      </c>
      <c r="Q265">
        <f t="array" ref="Q265">IFERROR(INDEX(Disch_Booking_Report!C:C, MATCH(TRUE, ISNUMBER(FIND(SUBSTITUTE(C265," ",""), Disch_Booking_Report!AC:AC)), 0)), "Not Found")</f>
        <v/>
      </c>
      <c r="R265">
        <f t="array" ref="R265">IFERROR(INDEX(Disch_Booking_Report!AD:AD, MATCH(TRUE, ISNUMBER(FIND(SUBSTITUTE(C265," ",""), Disch_Booking_Report!AC:AC)), 0)), "Not Found")</f>
        <v/>
      </c>
      <c r="S265">
        <f>Tabela2[[#This Row],[Weight]]</f>
        <v/>
      </c>
      <c r="T265">
        <f t="array" ref="T265">IFERROR(INDEX(Disch_Booking_Report!L:L, MATCH(TRUE, ISNUMBER(FIND(SUBSTITUTE(C265," ",""), Disch_Booking_Report!AC:AC)), 0)), "Not Found")</f>
        <v/>
      </c>
      <c r="U265">
        <f t="array" ref="U265">IFERROR(INDEX(Disch_Booking_Report!I:I, MATCH(TRUE, ISNUMBER(FIND(SUBSTITUTE(C265," ",""), Disch_Booking_Report!AC:AC)), 0)), "Not Found")</f>
        <v/>
      </c>
    </row>
    <row r="266">
      <c r="A266" t="n">
        <v>22</v>
      </c>
      <c r="B266" t="n">
        <v>220384</v>
      </c>
      <c r="C266" t="inlineStr">
        <is>
          <t xml:space="preserve">     ANON0000000</t>
        </is>
      </c>
      <c r="D266" t="n">
        <v>40</v>
      </c>
      <c r="E266" t="inlineStr">
        <is>
          <t>RULED</t>
        </is>
      </c>
      <c r="F266" t="inlineStr">
        <is>
          <t>USNFK</t>
        </is>
      </c>
      <c r="G266" t="n">
        <v>33580</v>
      </c>
      <c r="H266" t="inlineStr">
        <is>
          <t>ART</t>
        </is>
      </c>
      <c r="I266" t="inlineStr">
        <is>
          <t>45R1</t>
        </is>
      </c>
      <c r="K266" t="inlineStr">
        <is>
          <t>Dry reefer</t>
        </is>
      </c>
      <c r="L266" t="inlineStr">
        <is>
          <t>9'6</t>
        </is>
      </c>
      <c r="M266" t="inlineStr">
        <is>
          <t>Full</t>
        </is>
      </c>
      <c r="P266">
        <f t="array" ref="P266">IFERROR(INDEX(Disch_Booking_Report!B:B, MATCH(TRUE, ISNUMBER(FIND(SUBSTITUTE(C266," ",""), Disch_Booking_Report!AC:AC)), 0)), "Not Found")</f>
        <v/>
      </c>
      <c r="Q266">
        <f t="array" ref="Q266">IFERROR(INDEX(Disch_Booking_Report!C:C, MATCH(TRUE, ISNUMBER(FIND(SUBSTITUTE(C266," ",""), Disch_Booking_Report!AC:AC)), 0)), "Not Found")</f>
        <v/>
      </c>
      <c r="R266">
        <f t="array" ref="R266">IFERROR(INDEX(Disch_Booking_Report!AD:AD, MATCH(TRUE, ISNUMBER(FIND(SUBSTITUTE(C266," ",""), Disch_Booking_Report!AC:AC)), 0)), "Not Found")</f>
        <v/>
      </c>
      <c r="S266">
        <f>Tabela2[[#This Row],[Weight]]</f>
        <v/>
      </c>
      <c r="T266">
        <f t="array" ref="T266">IFERROR(INDEX(Disch_Booking_Report!L:L, MATCH(TRUE, ISNUMBER(FIND(SUBSTITUTE(C266," ",""), Disch_Booking_Report!AC:AC)), 0)), "Not Found")</f>
        <v/>
      </c>
      <c r="U266">
        <f t="array" ref="U266">IFERROR(INDEX(Disch_Booking_Report!I:I, MATCH(TRUE, ISNUMBER(FIND(SUBSTITUTE(C266," ",""), Disch_Booking_Report!AC:AC)), 0)), "Not Found")</f>
        <v/>
      </c>
    </row>
    <row r="267">
      <c r="A267" t="n">
        <v>22</v>
      </c>
      <c r="B267" t="n">
        <v>220608</v>
      </c>
      <c r="C267" t="inlineStr">
        <is>
          <t xml:space="preserve">     ANON0000000</t>
        </is>
      </c>
      <c r="D267" t="n">
        <v>40</v>
      </c>
      <c r="E267" t="inlineStr">
        <is>
          <t>RULED</t>
        </is>
      </c>
      <c r="F267" t="inlineStr">
        <is>
          <t>USNFK</t>
        </is>
      </c>
      <c r="G267" t="n">
        <v>32950</v>
      </c>
      <c r="H267" t="inlineStr">
        <is>
          <t>ART</t>
        </is>
      </c>
      <c r="I267" t="inlineStr">
        <is>
          <t>45R1</t>
        </is>
      </c>
      <c r="K267" t="inlineStr">
        <is>
          <t>Dry reefer</t>
        </is>
      </c>
      <c r="L267" t="inlineStr">
        <is>
          <t>9'6</t>
        </is>
      </c>
      <c r="M267" t="inlineStr">
        <is>
          <t>Full</t>
        </is>
      </c>
      <c r="P267">
        <f t="array" ref="P267">IFERROR(INDEX(Disch_Booking_Report!B:B, MATCH(TRUE, ISNUMBER(FIND(SUBSTITUTE(C267," ",""), Disch_Booking_Report!AC:AC)), 0)), "Not Found")</f>
        <v/>
      </c>
      <c r="Q267">
        <f t="array" ref="Q267">IFERROR(INDEX(Disch_Booking_Report!C:C, MATCH(TRUE, ISNUMBER(FIND(SUBSTITUTE(C267," ",""), Disch_Booking_Report!AC:AC)), 0)), "Not Found")</f>
        <v/>
      </c>
      <c r="R267">
        <f t="array" ref="R267">IFERROR(INDEX(Disch_Booking_Report!AD:AD, MATCH(TRUE, ISNUMBER(FIND(SUBSTITUTE(C267," ",""), Disch_Booking_Report!AC:AC)), 0)), "Not Found")</f>
        <v/>
      </c>
      <c r="S267">
        <f>Tabela2[[#This Row],[Weight]]</f>
        <v/>
      </c>
      <c r="T267">
        <f t="array" ref="T267">IFERROR(INDEX(Disch_Booking_Report!L:L, MATCH(TRUE, ISNUMBER(FIND(SUBSTITUTE(C267," ",""), Disch_Booking_Report!AC:AC)), 0)), "Not Found")</f>
        <v/>
      </c>
      <c r="U267">
        <f t="array" ref="U267">IFERROR(INDEX(Disch_Booking_Report!I:I, MATCH(TRUE, ISNUMBER(FIND(SUBSTITUTE(C267," ",""), Disch_Booking_Report!AC:AC)), 0)), "Not Found")</f>
        <v/>
      </c>
    </row>
    <row r="268">
      <c r="A268" t="n">
        <v>22</v>
      </c>
      <c r="B268" t="n">
        <v>220682</v>
      </c>
      <c r="C268" t="inlineStr">
        <is>
          <t xml:space="preserve">     ANON0000000</t>
        </is>
      </c>
      <c r="D268" t="n">
        <v>40</v>
      </c>
      <c r="E268" t="inlineStr">
        <is>
          <t>RULED</t>
        </is>
      </c>
      <c r="F268" t="inlineStr">
        <is>
          <t>USNFK</t>
        </is>
      </c>
      <c r="G268" t="n">
        <v>32930</v>
      </c>
      <c r="H268" t="inlineStr">
        <is>
          <t>ART</t>
        </is>
      </c>
      <c r="I268" t="inlineStr">
        <is>
          <t>45R1</t>
        </is>
      </c>
      <c r="K268" t="inlineStr">
        <is>
          <t>Dry reefer</t>
        </is>
      </c>
      <c r="L268" t="inlineStr">
        <is>
          <t>9'6</t>
        </is>
      </c>
      <c r="M268" t="inlineStr">
        <is>
          <t>Full</t>
        </is>
      </c>
      <c r="P268">
        <f t="array" ref="P268">IFERROR(INDEX(Disch_Booking_Report!B:B, MATCH(TRUE, ISNUMBER(FIND(SUBSTITUTE(C268," ",""), Disch_Booking_Report!AC:AC)), 0)), "Not Found")</f>
        <v/>
      </c>
      <c r="Q268">
        <f t="array" ref="Q268">IFERROR(INDEX(Disch_Booking_Report!C:C, MATCH(TRUE, ISNUMBER(FIND(SUBSTITUTE(C268," ",""), Disch_Booking_Report!AC:AC)), 0)), "Not Found")</f>
        <v/>
      </c>
      <c r="R268">
        <f t="array" ref="R268">IFERROR(INDEX(Disch_Booking_Report!AD:AD, MATCH(TRUE, ISNUMBER(FIND(SUBSTITUTE(C268," ",""), Disch_Booking_Report!AC:AC)), 0)), "Not Found")</f>
        <v/>
      </c>
      <c r="S268">
        <f>Tabela2[[#This Row],[Weight]]</f>
        <v/>
      </c>
      <c r="T268">
        <f t="array" ref="T268">IFERROR(INDEX(Disch_Booking_Report!L:L, MATCH(TRUE, ISNUMBER(FIND(SUBSTITUTE(C268," ",""), Disch_Booking_Report!AC:AC)), 0)), "Not Found")</f>
        <v/>
      </c>
      <c r="U268">
        <f t="array" ref="U268">IFERROR(INDEX(Disch_Booking_Report!I:I, MATCH(TRUE, ISNUMBER(FIND(SUBSTITUTE(C268," ",""), Disch_Booking_Report!AC:AC)), 0)), "Not Found")</f>
        <v/>
      </c>
    </row>
    <row r="269">
      <c r="A269" t="n">
        <v>22</v>
      </c>
      <c r="B269" t="n">
        <v>220402</v>
      </c>
      <c r="C269" t="inlineStr">
        <is>
          <t xml:space="preserve">     ANON0000000</t>
        </is>
      </c>
      <c r="D269" t="n">
        <v>40</v>
      </c>
      <c r="E269" t="inlineStr">
        <is>
          <t>RULED</t>
        </is>
      </c>
      <c r="F269" t="inlineStr">
        <is>
          <t>USNFK</t>
        </is>
      </c>
      <c r="G269" t="n">
        <v>32980</v>
      </c>
      <c r="H269" t="inlineStr">
        <is>
          <t>ART</t>
        </is>
      </c>
      <c r="I269" t="inlineStr">
        <is>
          <t>45R1</t>
        </is>
      </c>
      <c r="K269" t="inlineStr">
        <is>
          <t>Dry reefer</t>
        </is>
      </c>
      <c r="L269" t="inlineStr">
        <is>
          <t>9'6</t>
        </is>
      </c>
      <c r="M269" t="inlineStr">
        <is>
          <t>Full</t>
        </is>
      </c>
      <c r="P269">
        <f t="array" ref="P269">IFERROR(INDEX(Disch_Booking_Report!B:B, MATCH(TRUE, ISNUMBER(FIND(SUBSTITUTE(C269," ",""), Disch_Booking_Report!AC:AC)), 0)), "Not Found")</f>
        <v/>
      </c>
      <c r="Q269">
        <f t="array" ref="Q269">IFERROR(INDEX(Disch_Booking_Report!C:C, MATCH(TRUE, ISNUMBER(FIND(SUBSTITUTE(C269," ",""), Disch_Booking_Report!AC:AC)), 0)), "Not Found")</f>
        <v/>
      </c>
      <c r="R269">
        <f t="array" ref="R269">IFERROR(INDEX(Disch_Booking_Report!AD:AD, MATCH(TRUE, ISNUMBER(FIND(SUBSTITUTE(C269," ",""), Disch_Booking_Report!AC:AC)), 0)), "Not Found")</f>
        <v/>
      </c>
      <c r="S269">
        <f>Tabela2[[#This Row],[Weight]]</f>
        <v/>
      </c>
      <c r="T269">
        <f t="array" ref="T269">IFERROR(INDEX(Disch_Booking_Report!L:L, MATCH(TRUE, ISNUMBER(FIND(SUBSTITUTE(C269," ",""), Disch_Booking_Report!AC:AC)), 0)), "Not Found")</f>
        <v/>
      </c>
      <c r="U269">
        <f t="array" ref="U269">IFERROR(INDEX(Disch_Booking_Report!I:I, MATCH(TRUE, ISNUMBER(FIND(SUBSTITUTE(C269," ",""), Disch_Booking_Report!AC:AC)), 0)), "Not Found")</f>
        <v/>
      </c>
    </row>
    <row r="270">
      <c r="A270" t="n">
        <v>22</v>
      </c>
      <c r="B270" t="n">
        <v>220502</v>
      </c>
      <c r="C270" t="inlineStr">
        <is>
          <t xml:space="preserve">     ANON0000000</t>
        </is>
      </c>
      <c r="D270" t="n">
        <v>40</v>
      </c>
      <c r="E270" t="inlineStr">
        <is>
          <t>RULED</t>
        </is>
      </c>
      <c r="F270" t="inlineStr">
        <is>
          <t>USNFK</t>
        </is>
      </c>
      <c r="G270" t="n">
        <v>32980</v>
      </c>
      <c r="H270" t="inlineStr">
        <is>
          <t>ART</t>
        </is>
      </c>
      <c r="I270" t="inlineStr">
        <is>
          <t>45R1</t>
        </is>
      </c>
      <c r="K270" t="inlineStr">
        <is>
          <t>Dry reefer</t>
        </is>
      </c>
      <c r="L270" t="inlineStr">
        <is>
          <t>9'6</t>
        </is>
      </c>
      <c r="M270" t="inlineStr">
        <is>
          <t>Full</t>
        </is>
      </c>
      <c r="P270">
        <f t="array" ref="P270">IFERROR(INDEX(Disch_Booking_Report!B:B, MATCH(TRUE, ISNUMBER(FIND(SUBSTITUTE(C270," ",""), Disch_Booking_Report!AC:AC)), 0)), "Not Found")</f>
        <v/>
      </c>
      <c r="Q270">
        <f t="array" ref="Q270">IFERROR(INDEX(Disch_Booking_Report!C:C, MATCH(TRUE, ISNUMBER(FIND(SUBSTITUTE(C270," ",""), Disch_Booking_Report!AC:AC)), 0)), "Not Found")</f>
        <v/>
      </c>
      <c r="R270">
        <f t="array" ref="R270">IFERROR(INDEX(Disch_Booking_Report!AD:AD, MATCH(TRUE, ISNUMBER(FIND(SUBSTITUTE(C270," ",""), Disch_Booking_Report!AC:AC)), 0)), "Not Found")</f>
        <v/>
      </c>
      <c r="S270">
        <f>Tabela2[[#This Row],[Weight]]</f>
        <v/>
      </c>
      <c r="T270">
        <f t="array" ref="T270">IFERROR(INDEX(Disch_Booking_Report!L:L, MATCH(TRUE, ISNUMBER(FIND(SUBSTITUTE(C270," ",""), Disch_Booking_Report!AC:AC)), 0)), "Not Found")</f>
        <v/>
      </c>
      <c r="U270">
        <f t="array" ref="U270">IFERROR(INDEX(Disch_Booking_Report!I:I, MATCH(TRUE, ISNUMBER(FIND(SUBSTITUTE(C270," ",""), Disch_Booking_Report!AC:AC)), 0)), "Not Found")</f>
        <v/>
      </c>
    </row>
    <row r="271">
      <c r="A271" t="n">
        <v>22</v>
      </c>
      <c r="B271" t="n">
        <v>220306</v>
      </c>
      <c r="C271" t="inlineStr">
        <is>
          <t xml:space="preserve">     ANON0000000</t>
        </is>
      </c>
      <c r="D271" t="n">
        <v>40</v>
      </c>
      <c r="E271" t="inlineStr">
        <is>
          <t>RULED</t>
        </is>
      </c>
      <c r="F271" t="inlineStr">
        <is>
          <t>USNFK</t>
        </is>
      </c>
      <c r="G271" t="n">
        <v>32950</v>
      </c>
      <c r="H271" t="inlineStr">
        <is>
          <t>ART</t>
        </is>
      </c>
      <c r="I271" t="inlineStr">
        <is>
          <t>45R1</t>
        </is>
      </c>
      <c r="K271" t="inlineStr">
        <is>
          <t>Dry reefer</t>
        </is>
      </c>
      <c r="L271" t="inlineStr">
        <is>
          <t>9'6</t>
        </is>
      </c>
      <c r="M271" t="inlineStr">
        <is>
          <t>Full</t>
        </is>
      </c>
      <c r="P271">
        <f t="array" ref="P271">IFERROR(INDEX(Disch_Booking_Report!B:B, MATCH(TRUE, ISNUMBER(FIND(SUBSTITUTE(C271," ",""), Disch_Booking_Report!AC:AC)), 0)), "Not Found")</f>
        <v/>
      </c>
      <c r="Q271">
        <f t="array" ref="Q271">IFERROR(INDEX(Disch_Booking_Report!C:C, MATCH(TRUE, ISNUMBER(FIND(SUBSTITUTE(C271," ",""), Disch_Booking_Report!AC:AC)), 0)), "Not Found")</f>
        <v/>
      </c>
      <c r="R271">
        <f t="array" ref="R271">IFERROR(INDEX(Disch_Booking_Report!AD:AD, MATCH(TRUE, ISNUMBER(FIND(SUBSTITUTE(C271," ",""), Disch_Booking_Report!AC:AC)), 0)), "Not Found")</f>
        <v/>
      </c>
      <c r="S271">
        <f>Tabela2[[#This Row],[Weight]]</f>
        <v/>
      </c>
      <c r="T271">
        <f t="array" ref="T271">IFERROR(INDEX(Disch_Booking_Report!L:L, MATCH(TRUE, ISNUMBER(FIND(SUBSTITUTE(C271," ",""), Disch_Booking_Report!AC:AC)), 0)), "Not Found")</f>
        <v/>
      </c>
      <c r="U271">
        <f t="array" ref="U271">IFERROR(INDEX(Disch_Booking_Report!I:I, MATCH(TRUE, ISNUMBER(FIND(SUBSTITUTE(C271," ",""), Disch_Booking_Report!AC:AC)), 0)), "Not Found")</f>
        <v/>
      </c>
    </row>
    <row r="272">
      <c r="A272" t="n">
        <v>22</v>
      </c>
      <c r="B272" t="n">
        <v>220186</v>
      </c>
      <c r="C272" t="inlineStr">
        <is>
          <t xml:space="preserve">     ANON0000000</t>
        </is>
      </c>
      <c r="D272" t="n">
        <v>40</v>
      </c>
      <c r="E272" t="inlineStr">
        <is>
          <t>RULED</t>
        </is>
      </c>
      <c r="F272" t="inlineStr">
        <is>
          <t>USNFK</t>
        </is>
      </c>
      <c r="G272" t="n">
        <v>32930</v>
      </c>
      <c r="H272" t="inlineStr">
        <is>
          <t>ART</t>
        </is>
      </c>
      <c r="I272" t="inlineStr">
        <is>
          <t>45R1</t>
        </is>
      </c>
      <c r="K272" t="inlineStr">
        <is>
          <t>Dry reefer</t>
        </is>
      </c>
      <c r="L272" t="inlineStr">
        <is>
          <t>9'6</t>
        </is>
      </c>
      <c r="M272" t="inlineStr">
        <is>
          <t>Full</t>
        </is>
      </c>
      <c r="P272">
        <f t="array" ref="P272">IFERROR(INDEX(Disch_Booking_Report!B:B, MATCH(TRUE, ISNUMBER(FIND(SUBSTITUTE(C272," ",""), Disch_Booking_Report!AC:AC)), 0)), "Not Found")</f>
        <v/>
      </c>
      <c r="Q272">
        <f t="array" ref="Q272">IFERROR(INDEX(Disch_Booking_Report!C:C, MATCH(TRUE, ISNUMBER(FIND(SUBSTITUTE(C272," ",""), Disch_Booking_Report!AC:AC)), 0)), "Not Found")</f>
        <v/>
      </c>
      <c r="R272">
        <f t="array" ref="R272">IFERROR(INDEX(Disch_Booking_Report!AD:AD, MATCH(TRUE, ISNUMBER(FIND(SUBSTITUTE(C272," ",""), Disch_Booking_Report!AC:AC)), 0)), "Not Found")</f>
        <v/>
      </c>
      <c r="S272">
        <f>Tabela2[[#This Row],[Weight]]</f>
        <v/>
      </c>
      <c r="T272">
        <f t="array" ref="T272">IFERROR(INDEX(Disch_Booking_Report!L:L, MATCH(TRUE, ISNUMBER(FIND(SUBSTITUTE(C272," ",""), Disch_Booking_Report!AC:AC)), 0)), "Not Found")</f>
        <v/>
      </c>
      <c r="U272">
        <f t="array" ref="U272">IFERROR(INDEX(Disch_Booking_Report!I:I, MATCH(TRUE, ISNUMBER(FIND(SUBSTITUTE(C272," ",""), Disch_Booking_Report!AC:AC)), 0)), "Not Found")</f>
        <v/>
      </c>
    </row>
    <row r="273">
      <c r="A273" t="n">
        <v>22</v>
      </c>
      <c r="B273" t="n">
        <v>220704</v>
      </c>
      <c r="C273" t="inlineStr">
        <is>
          <t xml:space="preserve">     ANON0000000</t>
        </is>
      </c>
      <c r="D273" t="n">
        <v>40</v>
      </c>
      <c r="E273" t="inlineStr">
        <is>
          <t>RULED</t>
        </is>
      </c>
      <c r="F273" t="inlineStr">
        <is>
          <t>USNFK</t>
        </is>
      </c>
      <c r="G273" t="n">
        <v>32970</v>
      </c>
      <c r="H273" t="inlineStr">
        <is>
          <t>ART</t>
        </is>
      </c>
      <c r="I273" t="inlineStr">
        <is>
          <t>45R1</t>
        </is>
      </c>
      <c r="K273" t="inlineStr">
        <is>
          <t>Dry reefer</t>
        </is>
      </c>
      <c r="L273" t="inlineStr">
        <is>
          <t>9'6</t>
        </is>
      </c>
      <c r="M273" t="inlineStr">
        <is>
          <t>Full</t>
        </is>
      </c>
      <c r="P273">
        <f t="array" ref="P273">IFERROR(INDEX(Disch_Booking_Report!B:B, MATCH(TRUE, ISNUMBER(FIND(SUBSTITUTE(C273," ",""), Disch_Booking_Report!AC:AC)), 0)), "Not Found")</f>
        <v/>
      </c>
      <c r="Q273">
        <f t="array" ref="Q273">IFERROR(INDEX(Disch_Booking_Report!C:C, MATCH(TRUE, ISNUMBER(FIND(SUBSTITUTE(C273," ",""), Disch_Booking_Report!AC:AC)), 0)), "Not Found")</f>
        <v/>
      </c>
      <c r="R273">
        <f t="array" ref="R273">IFERROR(INDEX(Disch_Booking_Report!AD:AD, MATCH(TRUE, ISNUMBER(FIND(SUBSTITUTE(C273," ",""), Disch_Booking_Report!AC:AC)), 0)), "Not Found")</f>
        <v/>
      </c>
      <c r="S273">
        <f>Tabela2[[#This Row],[Weight]]</f>
        <v/>
      </c>
      <c r="T273">
        <f t="array" ref="T273">IFERROR(INDEX(Disch_Booking_Report!L:L, MATCH(TRUE, ISNUMBER(FIND(SUBSTITUTE(C273," ",""), Disch_Booking_Report!AC:AC)), 0)), "Not Found")</f>
        <v/>
      </c>
      <c r="U273">
        <f t="array" ref="U273">IFERROR(INDEX(Disch_Booking_Report!I:I, MATCH(TRUE, ISNUMBER(FIND(SUBSTITUTE(C273," ",""), Disch_Booking_Report!AC:AC)), 0)), "Not Found")</f>
        <v/>
      </c>
    </row>
    <row r="274">
      <c r="A274" t="n">
        <v>22</v>
      </c>
      <c r="B274" t="n">
        <v>220104</v>
      </c>
      <c r="C274" t="inlineStr">
        <is>
          <t xml:space="preserve">     ANON0000000</t>
        </is>
      </c>
      <c r="D274" t="n">
        <v>40</v>
      </c>
      <c r="E274" t="inlineStr">
        <is>
          <t>RULED</t>
        </is>
      </c>
      <c r="F274" t="inlineStr">
        <is>
          <t>USNFK</t>
        </is>
      </c>
      <c r="G274" t="n">
        <v>33100</v>
      </c>
      <c r="H274" t="inlineStr">
        <is>
          <t>ART</t>
        </is>
      </c>
      <c r="I274" t="inlineStr">
        <is>
          <t>45RE</t>
        </is>
      </c>
      <c r="K274" t="inlineStr">
        <is>
          <t>Dry reefer</t>
        </is>
      </c>
      <c r="L274" t="inlineStr">
        <is>
          <t>9'6</t>
        </is>
      </c>
      <c r="M274" t="inlineStr">
        <is>
          <t>Full</t>
        </is>
      </c>
      <c r="P274">
        <f t="array" ref="P274">IFERROR(INDEX(Disch_Booking_Report!B:B, MATCH(TRUE, ISNUMBER(FIND(SUBSTITUTE(C274," ",""), Disch_Booking_Report!AC:AC)), 0)), "Not Found")</f>
        <v/>
      </c>
      <c r="Q274">
        <f t="array" ref="Q274">IFERROR(INDEX(Disch_Booking_Report!C:C, MATCH(TRUE, ISNUMBER(FIND(SUBSTITUTE(C274," ",""), Disch_Booking_Report!AC:AC)), 0)), "Not Found")</f>
        <v/>
      </c>
      <c r="R274">
        <f t="array" ref="R274">IFERROR(INDEX(Disch_Booking_Report!AD:AD, MATCH(TRUE, ISNUMBER(FIND(SUBSTITUTE(C274," ",""), Disch_Booking_Report!AC:AC)), 0)), "Not Found")</f>
        <v/>
      </c>
      <c r="S274">
        <f>Tabela2[[#This Row],[Weight]]</f>
        <v/>
      </c>
      <c r="T274">
        <f t="array" ref="T274">IFERROR(INDEX(Disch_Booking_Report!L:L, MATCH(TRUE, ISNUMBER(FIND(SUBSTITUTE(C274," ",""), Disch_Booking_Report!AC:AC)), 0)), "Not Found")</f>
        <v/>
      </c>
      <c r="U274">
        <f t="array" ref="U274">IFERROR(INDEX(Disch_Booking_Report!I:I, MATCH(TRUE, ISNUMBER(FIND(SUBSTITUTE(C274," ",""), Disch_Booking_Report!AC:AC)), 0)), "Not Found")</f>
        <v/>
      </c>
    </row>
    <row r="275">
      <c r="A275" t="n">
        <v>22</v>
      </c>
      <c r="B275" t="n">
        <v>220282</v>
      </c>
      <c r="C275" t="inlineStr">
        <is>
          <t xml:space="preserve">     ANON0000000</t>
        </is>
      </c>
      <c r="D275" t="n">
        <v>40</v>
      </c>
      <c r="E275" t="inlineStr">
        <is>
          <t>RULED</t>
        </is>
      </c>
      <c r="F275" t="inlineStr">
        <is>
          <t>USNFK</t>
        </is>
      </c>
      <c r="G275" t="n">
        <v>32980</v>
      </c>
      <c r="H275" t="inlineStr">
        <is>
          <t>ART</t>
        </is>
      </c>
      <c r="I275" t="inlineStr">
        <is>
          <t>45R1</t>
        </is>
      </c>
      <c r="K275" t="inlineStr">
        <is>
          <t>Dry reefer</t>
        </is>
      </c>
      <c r="L275" t="inlineStr">
        <is>
          <t>9'6</t>
        </is>
      </c>
      <c r="M275" t="inlineStr">
        <is>
          <t>Full</t>
        </is>
      </c>
      <c r="P275">
        <f t="array" ref="P275">IFERROR(INDEX(Disch_Booking_Report!B:B, MATCH(TRUE, ISNUMBER(FIND(SUBSTITUTE(C275," ",""), Disch_Booking_Report!AC:AC)), 0)), "Not Found")</f>
        <v/>
      </c>
      <c r="Q275">
        <f t="array" ref="Q275">IFERROR(INDEX(Disch_Booking_Report!C:C, MATCH(TRUE, ISNUMBER(FIND(SUBSTITUTE(C275," ",""), Disch_Booking_Report!AC:AC)), 0)), "Not Found")</f>
        <v/>
      </c>
      <c r="R275">
        <f t="array" ref="R275">IFERROR(INDEX(Disch_Booking_Report!AD:AD, MATCH(TRUE, ISNUMBER(FIND(SUBSTITUTE(C275," ",""), Disch_Booking_Report!AC:AC)), 0)), "Not Found")</f>
        <v/>
      </c>
      <c r="S275">
        <f>Tabela2[[#This Row],[Weight]]</f>
        <v/>
      </c>
      <c r="T275">
        <f t="array" ref="T275">IFERROR(INDEX(Disch_Booking_Report!L:L, MATCH(TRUE, ISNUMBER(FIND(SUBSTITUTE(C275," ",""), Disch_Booking_Report!AC:AC)), 0)), "Not Found")</f>
        <v/>
      </c>
      <c r="U275">
        <f t="array" ref="U275">IFERROR(INDEX(Disch_Booking_Report!I:I, MATCH(TRUE, ISNUMBER(FIND(SUBSTITUTE(C275," ",""), Disch_Booking_Report!AC:AC)), 0)), "Not Found")</f>
        <v/>
      </c>
    </row>
    <row r="276">
      <c r="A276" t="n">
        <v>22</v>
      </c>
      <c r="B276" t="n">
        <v>220404</v>
      </c>
      <c r="C276" t="inlineStr">
        <is>
          <t xml:space="preserve">     ANON0000000</t>
        </is>
      </c>
      <c r="D276" t="n">
        <v>40</v>
      </c>
      <c r="E276" t="inlineStr">
        <is>
          <t>RULED</t>
        </is>
      </c>
      <c r="F276" t="inlineStr">
        <is>
          <t>USNFK</t>
        </is>
      </c>
      <c r="G276" t="n">
        <v>32920</v>
      </c>
      <c r="H276" t="inlineStr">
        <is>
          <t>ART</t>
        </is>
      </c>
      <c r="I276" t="inlineStr">
        <is>
          <t>45R1</t>
        </is>
      </c>
      <c r="K276" t="inlineStr">
        <is>
          <t>Dry reefer</t>
        </is>
      </c>
      <c r="L276" t="inlineStr">
        <is>
          <t>9'6</t>
        </is>
      </c>
      <c r="M276" t="inlineStr">
        <is>
          <t>Full</t>
        </is>
      </c>
      <c r="P276">
        <f t="array" ref="P276">IFERROR(INDEX(Disch_Booking_Report!B:B, MATCH(TRUE, ISNUMBER(FIND(SUBSTITUTE(C276," ",""), Disch_Booking_Report!AC:AC)), 0)), "Not Found")</f>
        <v/>
      </c>
      <c r="Q276">
        <f t="array" ref="Q276">IFERROR(INDEX(Disch_Booking_Report!C:C, MATCH(TRUE, ISNUMBER(FIND(SUBSTITUTE(C276," ",""), Disch_Booking_Report!AC:AC)), 0)), "Not Found")</f>
        <v/>
      </c>
      <c r="R276">
        <f t="array" ref="R276">IFERROR(INDEX(Disch_Booking_Report!AD:AD, MATCH(TRUE, ISNUMBER(FIND(SUBSTITUTE(C276," ",""), Disch_Booking_Report!AC:AC)), 0)), "Not Found")</f>
        <v/>
      </c>
      <c r="S276">
        <f>Tabela2[[#This Row],[Weight]]</f>
        <v/>
      </c>
      <c r="T276">
        <f t="array" ref="T276">IFERROR(INDEX(Disch_Booking_Report!L:L, MATCH(TRUE, ISNUMBER(FIND(SUBSTITUTE(C276," ",""), Disch_Booking_Report!AC:AC)), 0)), "Not Found")</f>
        <v/>
      </c>
      <c r="U276">
        <f t="array" ref="U276">IFERROR(INDEX(Disch_Booking_Report!I:I, MATCH(TRUE, ISNUMBER(FIND(SUBSTITUTE(C276," ",""), Disch_Booking_Report!AC:AC)), 0)), "Not Found")</f>
        <v/>
      </c>
    </row>
    <row r="277">
      <c r="A277" t="n">
        <v>22</v>
      </c>
      <c r="B277" t="n">
        <v>220604</v>
      </c>
      <c r="C277" t="inlineStr">
        <is>
          <t xml:space="preserve">     ANON0000000</t>
        </is>
      </c>
      <c r="D277" t="n">
        <v>40</v>
      </c>
      <c r="E277" t="inlineStr">
        <is>
          <t>RULED</t>
        </is>
      </c>
      <c r="F277" t="inlineStr">
        <is>
          <t>USNFK</t>
        </is>
      </c>
      <c r="G277" t="n">
        <v>33100</v>
      </c>
      <c r="H277" t="inlineStr">
        <is>
          <t>ART</t>
        </is>
      </c>
      <c r="I277" t="inlineStr">
        <is>
          <t>45R1</t>
        </is>
      </c>
      <c r="K277" t="inlineStr">
        <is>
          <t>Dry reefer</t>
        </is>
      </c>
      <c r="L277" t="inlineStr">
        <is>
          <t>9'6</t>
        </is>
      </c>
      <c r="M277" t="inlineStr">
        <is>
          <t>Full</t>
        </is>
      </c>
      <c r="P277">
        <f t="array" ref="P277">IFERROR(INDEX(Disch_Booking_Report!B:B, MATCH(TRUE, ISNUMBER(FIND(SUBSTITUTE(C277," ",""), Disch_Booking_Report!AC:AC)), 0)), "Not Found")</f>
        <v/>
      </c>
      <c r="Q277">
        <f t="array" ref="Q277">IFERROR(INDEX(Disch_Booking_Report!C:C, MATCH(TRUE, ISNUMBER(FIND(SUBSTITUTE(C277," ",""), Disch_Booking_Report!AC:AC)), 0)), "Not Found")</f>
        <v/>
      </c>
      <c r="R277">
        <f t="array" ref="R277">IFERROR(INDEX(Disch_Booking_Report!AD:AD, MATCH(TRUE, ISNUMBER(FIND(SUBSTITUTE(C277," ",""), Disch_Booking_Report!AC:AC)), 0)), "Not Found")</f>
        <v/>
      </c>
      <c r="S277">
        <f>Tabela2[[#This Row],[Weight]]</f>
        <v/>
      </c>
      <c r="T277">
        <f t="array" ref="T277">IFERROR(INDEX(Disch_Booking_Report!L:L, MATCH(TRUE, ISNUMBER(FIND(SUBSTITUTE(C277," ",""), Disch_Booking_Report!AC:AC)), 0)), "Not Found")</f>
        <v/>
      </c>
      <c r="U277">
        <f t="array" ref="U277">IFERROR(INDEX(Disch_Booking_Report!I:I, MATCH(TRUE, ISNUMBER(FIND(SUBSTITUTE(C277," ",""), Disch_Booking_Report!AC:AC)), 0)), "Not Found")</f>
        <v/>
      </c>
    </row>
    <row r="278">
      <c r="A278" t="n">
        <v>22</v>
      </c>
      <c r="B278" t="n">
        <v>220204</v>
      </c>
      <c r="C278" t="inlineStr">
        <is>
          <t xml:space="preserve">     ANON0000000</t>
        </is>
      </c>
      <c r="D278" t="n">
        <v>40</v>
      </c>
      <c r="E278" t="inlineStr">
        <is>
          <t>RULED</t>
        </is>
      </c>
      <c r="F278" t="inlineStr">
        <is>
          <t>USNFK</t>
        </is>
      </c>
      <c r="G278" t="n">
        <v>33050</v>
      </c>
      <c r="H278" t="inlineStr">
        <is>
          <t>ART</t>
        </is>
      </c>
      <c r="I278" t="inlineStr">
        <is>
          <t>45R1</t>
        </is>
      </c>
      <c r="K278" t="inlineStr">
        <is>
          <t>Dry reefer</t>
        </is>
      </c>
      <c r="L278" t="inlineStr">
        <is>
          <t>9'6</t>
        </is>
      </c>
      <c r="M278" t="inlineStr">
        <is>
          <t>Full</t>
        </is>
      </c>
      <c r="P278">
        <f t="array" ref="P278">IFERROR(INDEX(Disch_Booking_Report!B:B, MATCH(TRUE, ISNUMBER(FIND(SUBSTITUTE(C278," ",""), Disch_Booking_Report!AC:AC)), 0)), "Not Found")</f>
        <v/>
      </c>
      <c r="Q278">
        <f t="array" ref="Q278">IFERROR(INDEX(Disch_Booking_Report!C:C, MATCH(TRUE, ISNUMBER(FIND(SUBSTITUTE(C278," ",""), Disch_Booking_Report!AC:AC)), 0)), "Not Found")</f>
        <v/>
      </c>
      <c r="R278">
        <f t="array" ref="R278">IFERROR(INDEX(Disch_Booking_Report!AD:AD, MATCH(TRUE, ISNUMBER(FIND(SUBSTITUTE(C278," ",""), Disch_Booking_Report!AC:AC)), 0)), "Not Found")</f>
        <v/>
      </c>
      <c r="S278">
        <f>Tabela2[[#This Row],[Weight]]</f>
        <v/>
      </c>
      <c r="T278">
        <f t="array" ref="T278">IFERROR(INDEX(Disch_Booking_Report!L:L, MATCH(TRUE, ISNUMBER(FIND(SUBSTITUTE(C278," ",""), Disch_Booking_Report!AC:AC)), 0)), "Not Found")</f>
        <v/>
      </c>
      <c r="U278">
        <f t="array" ref="U278">IFERROR(INDEX(Disch_Booking_Report!I:I, MATCH(TRUE, ISNUMBER(FIND(SUBSTITUTE(C278," ",""), Disch_Booking_Report!AC:AC)), 0)), "Not Found")</f>
        <v/>
      </c>
    </row>
    <row r="279">
      <c r="A279" t="n">
        <v>22</v>
      </c>
      <c r="B279" t="n">
        <v>220184</v>
      </c>
      <c r="C279" t="inlineStr">
        <is>
          <t xml:space="preserve">     ANON0000000</t>
        </is>
      </c>
      <c r="D279" t="n">
        <v>40</v>
      </c>
      <c r="E279" t="inlineStr">
        <is>
          <t>RULED</t>
        </is>
      </c>
      <c r="F279" t="inlineStr">
        <is>
          <t>USNFK</t>
        </is>
      </c>
      <c r="G279" t="n">
        <v>33580</v>
      </c>
      <c r="H279" t="inlineStr">
        <is>
          <t>ART</t>
        </is>
      </c>
      <c r="I279" t="inlineStr">
        <is>
          <t>45R1</t>
        </is>
      </c>
      <c r="K279" t="inlineStr">
        <is>
          <t>Dry reefer</t>
        </is>
      </c>
      <c r="L279" t="inlineStr">
        <is>
          <t>9'6</t>
        </is>
      </c>
      <c r="M279" t="inlineStr">
        <is>
          <t>Full</t>
        </is>
      </c>
      <c r="P279">
        <f t="array" ref="P279">IFERROR(INDEX(Disch_Booking_Report!B:B, MATCH(TRUE, ISNUMBER(FIND(SUBSTITUTE(C279," ",""), Disch_Booking_Report!AC:AC)), 0)), "Not Found")</f>
        <v/>
      </c>
      <c r="Q279">
        <f t="array" ref="Q279">IFERROR(INDEX(Disch_Booking_Report!C:C, MATCH(TRUE, ISNUMBER(FIND(SUBSTITUTE(C279," ",""), Disch_Booking_Report!AC:AC)), 0)), "Not Found")</f>
        <v/>
      </c>
      <c r="R279">
        <f t="array" ref="R279">IFERROR(INDEX(Disch_Booking_Report!AD:AD, MATCH(TRUE, ISNUMBER(FIND(SUBSTITUTE(C279," ",""), Disch_Booking_Report!AC:AC)), 0)), "Not Found")</f>
        <v/>
      </c>
      <c r="S279">
        <f>Tabela2[[#This Row],[Weight]]</f>
        <v/>
      </c>
      <c r="T279">
        <f t="array" ref="T279">IFERROR(INDEX(Disch_Booking_Report!L:L, MATCH(TRUE, ISNUMBER(FIND(SUBSTITUTE(C279," ",""), Disch_Booking_Report!AC:AC)), 0)), "Not Found")</f>
        <v/>
      </c>
      <c r="U279">
        <f t="array" ref="U279">IFERROR(INDEX(Disch_Booking_Report!I:I, MATCH(TRUE, ISNUMBER(FIND(SUBSTITUTE(C279," ",""), Disch_Booking_Report!AC:AC)), 0)), "Not Found")</f>
        <v/>
      </c>
    </row>
    <row r="280">
      <c r="A280" t="n">
        <v>22</v>
      </c>
      <c r="B280" t="n">
        <v>220708</v>
      </c>
      <c r="C280" t="inlineStr">
        <is>
          <t xml:space="preserve">     ANON0000000</t>
        </is>
      </c>
      <c r="D280" t="n">
        <v>40</v>
      </c>
      <c r="E280" t="inlineStr">
        <is>
          <t>RULED</t>
        </is>
      </c>
      <c r="F280" t="inlineStr">
        <is>
          <t>USNFK</t>
        </is>
      </c>
      <c r="G280" t="n">
        <v>32910</v>
      </c>
      <c r="H280" t="inlineStr">
        <is>
          <t>ART</t>
        </is>
      </c>
      <c r="I280" t="inlineStr">
        <is>
          <t>45R1</t>
        </is>
      </c>
      <c r="K280" t="inlineStr">
        <is>
          <t>Dry reefer</t>
        </is>
      </c>
      <c r="L280" t="inlineStr">
        <is>
          <t>9'6</t>
        </is>
      </c>
      <c r="M280" t="inlineStr">
        <is>
          <t>Full</t>
        </is>
      </c>
      <c r="P280">
        <f t="array" ref="P280">IFERROR(INDEX(Disch_Booking_Report!B:B, MATCH(TRUE, ISNUMBER(FIND(SUBSTITUTE(C280," ",""), Disch_Booking_Report!AC:AC)), 0)), "Not Found")</f>
        <v/>
      </c>
      <c r="Q280">
        <f t="array" ref="Q280">IFERROR(INDEX(Disch_Booking_Report!C:C, MATCH(TRUE, ISNUMBER(FIND(SUBSTITUTE(C280," ",""), Disch_Booking_Report!AC:AC)), 0)), "Not Found")</f>
        <v/>
      </c>
      <c r="R280">
        <f t="array" ref="R280">IFERROR(INDEX(Disch_Booking_Report!AD:AD, MATCH(TRUE, ISNUMBER(FIND(SUBSTITUTE(C280," ",""), Disch_Booking_Report!AC:AC)), 0)), "Not Found")</f>
        <v/>
      </c>
      <c r="S280">
        <f>Tabela2[[#This Row],[Weight]]</f>
        <v/>
      </c>
      <c r="T280">
        <f t="array" ref="T280">IFERROR(INDEX(Disch_Booking_Report!L:L, MATCH(TRUE, ISNUMBER(FIND(SUBSTITUTE(C280," ",""), Disch_Booking_Report!AC:AC)), 0)), "Not Found")</f>
        <v/>
      </c>
      <c r="U280">
        <f t="array" ref="U280">IFERROR(INDEX(Disch_Booking_Report!I:I, MATCH(TRUE, ISNUMBER(FIND(SUBSTITUTE(C280," ",""), Disch_Booking_Report!AC:AC)), 0)), "Not Found")</f>
        <v/>
      </c>
    </row>
    <row r="281">
      <c r="A281" t="n">
        <v>22</v>
      </c>
      <c r="B281" t="n">
        <v>220086</v>
      </c>
      <c r="C281" t="inlineStr">
        <is>
          <t xml:space="preserve">     ANON0000000</t>
        </is>
      </c>
      <c r="D281" t="n">
        <v>40</v>
      </c>
      <c r="E281" t="inlineStr">
        <is>
          <t>RULED</t>
        </is>
      </c>
      <c r="F281" t="inlineStr">
        <is>
          <t>USNFK</t>
        </is>
      </c>
      <c r="G281" t="n">
        <v>33710</v>
      </c>
      <c r="H281" t="inlineStr">
        <is>
          <t>ART</t>
        </is>
      </c>
      <c r="I281" t="inlineStr">
        <is>
          <t>45R1</t>
        </is>
      </c>
      <c r="K281" t="inlineStr">
        <is>
          <t>Dry reefer</t>
        </is>
      </c>
      <c r="L281" t="inlineStr">
        <is>
          <t>9'6</t>
        </is>
      </c>
      <c r="M281" t="inlineStr">
        <is>
          <t>Full</t>
        </is>
      </c>
      <c r="P281">
        <f t="array" ref="P281">IFERROR(INDEX(Disch_Booking_Report!B:B, MATCH(TRUE, ISNUMBER(FIND(SUBSTITUTE(C281," ",""), Disch_Booking_Report!AC:AC)), 0)), "Not Found")</f>
        <v/>
      </c>
      <c r="Q281">
        <f t="array" ref="Q281">IFERROR(INDEX(Disch_Booking_Report!C:C, MATCH(TRUE, ISNUMBER(FIND(SUBSTITUTE(C281," ",""), Disch_Booking_Report!AC:AC)), 0)), "Not Found")</f>
        <v/>
      </c>
      <c r="R281">
        <f t="array" ref="R281">IFERROR(INDEX(Disch_Booking_Report!AD:AD, MATCH(TRUE, ISNUMBER(FIND(SUBSTITUTE(C281," ",""), Disch_Booking_Report!AC:AC)), 0)), "Not Found")</f>
        <v/>
      </c>
      <c r="S281">
        <f>Tabela2[[#This Row],[Weight]]</f>
        <v/>
      </c>
      <c r="T281">
        <f t="array" ref="T281">IFERROR(INDEX(Disch_Booking_Report!L:L, MATCH(TRUE, ISNUMBER(FIND(SUBSTITUTE(C281," ",""), Disch_Booking_Report!AC:AC)), 0)), "Not Found")</f>
        <v/>
      </c>
      <c r="U281">
        <f t="array" ref="U281">IFERROR(INDEX(Disch_Booking_Report!I:I, MATCH(TRUE, ISNUMBER(FIND(SUBSTITUTE(C281," ",""), Disch_Booking_Report!AC:AC)), 0)), "Not Found")</f>
        <v/>
      </c>
    </row>
    <row r="282">
      <c r="A282" t="n">
        <v>22</v>
      </c>
      <c r="B282" t="n">
        <v>220382</v>
      </c>
      <c r="C282" t="inlineStr">
        <is>
          <t xml:space="preserve">     ANON0000000</t>
        </is>
      </c>
      <c r="D282" t="n">
        <v>40</v>
      </c>
      <c r="E282" t="inlineStr">
        <is>
          <t>RULED</t>
        </is>
      </c>
      <c r="F282" t="inlineStr">
        <is>
          <t>USNFK</t>
        </is>
      </c>
      <c r="G282" t="n">
        <v>32980</v>
      </c>
      <c r="H282" t="inlineStr">
        <is>
          <t>ART</t>
        </is>
      </c>
      <c r="I282" t="inlineStr">
        <is>
          <t>45R1</t>
        </is>
      </c>
      <c r="K282" t="inlineStr">
        <is>
          <t>Dry reefer</t>
        </is>
      </c>
      <c r="L282" t="inlineStr">
        <is>
          <t>9'6</t>
        </is>
      </c>
      <c r="M282" t="inlineStr">
        <is>
          <t>Full</t>
        </is>
      </c>
      <c r="P282">
        <f t="array" ref="P282">IFERROR(INDEX(Disch_Booking_Report!B:B, MATCH(TRUE, ISNUMBER(FIND(SUBSTITUTE(C282," ",""), Disch_Booking_Report!AC:AC)), 0)), "Not Found")</f>
        <v/>
      </c>
      <c r="Q282">
        <f t="array" ref="Q282">IFERROR(INDEX(Disch_Booking_Report!C:C, MATCH(TRUE, ISNUMBER(FIND(SUBSTITUTE(C282," ",""), Disch_Booking_Report!AC:AC)), 0)), "Not Found")</f>
        <v/>
      </c>
      <c r="R282">
        <f t="array" ref="R282">IFERROR(INDEX(Disch_Booking_Report!AD:AD, MATCH(TRUE, ISNUMBER(FIND(SUBSTITUTE(C282," ",""), Disch_Booking_Report!AC:AC)), 0)), "Not Found")</f>
        <v/>
      </c>
      <c r="S282">
        <f>Tabela2[[#This Row],[Weight]]</f>
        <v/>
      </c>
      <c r="T282">
        <f t="array" ref="T282">IFERROR(INDEX(Disch_Booking_Report!L:L, MATCH(TRUE, ISNUMBER(FIND(SUBSTITUTE(C282," ",""), Disch_Booking_Report!AC:AC)), 0)), "Not Found")</f>
        <v/>
      </c>
      <c r="U282">
        <f t="array" ref="U282">IFERROR(INDEX(Disch_Booking_Report!I:I, MATCH(TRUE, ISNUMBER(FIND(SUBSTITUTE(C282," ",""), Disch_Booking_Report!AC:AC)), 0)), "Not Found")</f>
        <v/>
      </c>
    </row>
    <row r="283">
      <c r="A283" t="n">
        <v>22</v>
      </c>
      <c r="B283" t="n">
        <v>220208</v>
      </c>
      <c r="C283" t="inlineStr">
        <is>
          <t xml:space="preserve">     ANON0000000</t>
        </is>
      </c>
      <c r="D283" t="n">
        <v>40</v>
      </c>
      <c r="E283" t="inlineStr">
        <is>
          <t>RULED</t>
        </is>
      </c>
      <c r="F283" t="inlineStr">
        <is>
          <t>USNFK</t>
        </is>
      </c>
      <c r="G283" t="n">
        <v>33520</v>
      </c>
      <c r="H283" t="inlineStr">
        <is>
          <t>ART</t>
        </is>
      </c>
      <c r="I283" t="inlineStr">
        <is>
          <t>45R1</t>
        </is>
      </c>
      <c r="K283" t="inlineStr">
        <is>
          <t>Dry reefer</t>
        </is>
      </c>
      <c r="L283" t="inlineStr">
        <is>
          <t>9'6</t>
        </is>
      </c>
      <c r="M283" t="inlineStr">
        <is>
          <t>Full</t>
        </is>
      </c>
      <c r="P283">
        <f t="array" ref="P283">IFERROR(INDEX(Disch_Booking_Report!B:B, MATCH(TRUE, ISNUMBER(FIND(SUBSTITUTE(C283," ",""), Disch_Booking_Report!AC:AC)), 0)), "Not Found")</f>
        <v/>
      </c>
      <c r="Q283">
        <f t="array" ref="Q283">IFERROR(INDEX(Disch_Booking_Report!C:C, MATCH(TRUE, ISNUMBER(FIND(SUBSTITUTE(C283," ",""), Disch_Booking_Report!AC:AC)), 0)), "Not Found")</f>
        <v/>
      </c>
      <c r="R283">
        <f t="array" ref="R283">IFERROR(INDEX(Disch_Booking_Report!AD:AD, MATCH(TRUE, ISNUMBER(FIND(SUBSTITUTE(C283," ",""), Disch_Booking_Report!AC:AC)), 0)), "Not Found")</f>
        <v/>
      </c>
      <c r="S283">
        <f>Tabela2[[#This Row],[Weight]]</f>
        <v/>
      </c>
      <c r="T283">
        <f t="array" ref="T283">IFERROR(INDEX(Disch_Booking_Report!L:L, MATCH(TRUE, ISNUMBER(FIND(SUBSTITUTE(C283," ",""), Disch_Booking_Report!AC:AC)), 0)), "Not Found")</f>
        <v/>
      </c>
      <c r="U283">
        <f t="array" ref="U283">IFERROR(INDEX(Disch_Booking_Report!I:I, MATCH(TRUE, ISNUMBER(FIND(SUBSTITUTE(C283," ",""), Disch_Booking_Report!AC:AC)), 0)), "Not Found")</f>
        <v/>
      </c>
    </row>
    <row r="284">
      <c r="A284" t="n">
        <v>22</v>
      </c>
      <c r="B284" t="n">
        <v>220504</v>
      </c>
      <c r="C284" t="inlineStr">
        <is>
          <t xml:space="preserve">     ANON0000000</t>
        </is>
      </c>
      <c r="D284" t="n">
        <v>40</v>
      </c>
      <c r="E284" t="inlineStr">
        <is>
          <t>RULED</t>
        </is>
      </c>
      <c r="F284" t="inlineStr">
        <is>
          <t>USNFK</t>
        </is>
      </c>
      <c r="G284" t="n">
        <v>33100</v>
      </c>
      <c r="H284" t="inlineStr">
        <is>
          <t>ART</t>
        </is>
      </c>
      <c r="I284" t="inlineStr">
        <is>
          <t>45R1</t>
        </is>
      </c>
      <c r="K284" t="inlineStr">
        <is>
          <t>Dry reefer</t>
        </is>
      </c>
      <c r="L284" t="inlineStr">
        <is>
          <t>9'6</t>
        </is>
      </c>
      <c r="M284" t="inlineStr">
        <is>
          <t>Full</t>
        </is>
      </c>
      <c r="P284">
        <f t="array" ref="P284">IFERROR(INDEX(Disch_Booking_Report!B:B, MATCH(TRUE, ISNUMBER(FIND(SUBSTITUTE(C284," ",""), Disch_Booking_Report!AC:AC)), 0)), "Not Found")</f>
        <v/>
      </c>
      <c r="Q284">
        <f t="array" ref="Q284">IFERROR(INDEX(Disch_Booking_Report!C:C, MATCH(TRUE, ISNUMBER(FIND(SUBSTITUTE(C284," ",""), Disch_Booking_Report!AC:AC)), 0)), "Not Found")</f>
        <v/>
      </c>
      <c r="R284">
        <f t="array" ref="R284">IFERROR(INDEX(Disch_Booking_Report!AD:AD, MATCH(TRUE, ISNUMBER(FIND(SUBSTITUTE(C284," ",""), Disch_Booking_Report!AC:AC)), 0)), "Not Found")</f>
        <v/>
      </c>
      <c r="S284">
        <f>Tabela2[[#This Row],[Weight]]</f>
        <v/>
      </c>
      <c r="T284">
        <f t="array" ref="T284">IFERROR(INDEX(Disch_Booking_Report!L:L, MATCH(TRUE, ISNUMBER(FIND(SUBSTITUTE(C284," ",""), Disch_Booking_Report!AC:AC)), 0)), "Not Found")</f>
        <v/>
      </c>
      <c r="U284">
        <f t="array" ref="U284">IFERROR(INDEX(Disch_Booking_Report!I:I, MATCH(TRUE, ISNUMBER(FIND(SUBSTITUTE(C284," ",""), Disch_Booking_Report!AC:AC)), 0)), "Not Found")</f>
        <v/>
      </c>
    </row>
    <row r="285">
      <c r="A285" t="n">
        <v>22</v>
      </c>
      <c r="B285" t="n">
        <v>220606</v>
      </c>
      <c r="C285" t="inlineStr">
        <is>
          <t xml:space="preserve">     ANON0000000</t>
        </is>
      </c>
      <c r="D285" t="n">
        <v>40</v>
      </c>
      <c r="E285" t="inlineStr">
        <is>
          <t>RULED</t>
        </is>
      </c>
      <c r="F285" t="inlineStr">
        <is>
          <t>USNFK</t>
        </is>
      </c>
      <c r="G285" t="n">
        <v>32930</v>
      </c>
      <c r="H285" t="inlineStr">
        <is>
          <t>ART</t>
        </is>
      </c>
      <c r="I285" t="inlineStr">
        <is>
          <t>45R1</t>
        </is>
      </c>
      <c r="K285" t="inlineStr">
        <is>
          <t>Dry reefer</t>
        </is>
      </c>
      <c r="L285" t="inlineStr">
        <is>
          <t>9'6</t>
        </is>
      </c>
      <c r="M285" t="inlineStr">
        <is>
          <t>Full</t>
        </is>
      </c>
      <c r="P285">
        <f t="array" ref="P285">IFERROR(INDEX(Disch_Booking_Report!B:B, MATCH(TRUE, ISNUMBER(FIND(SUBSTITUTE(C285," ",""), Disch_Booking_Report!AC:AC)), 0)), "Not Found")</f>
        <v/>
      </c>
      <c r="Q285">
        <f t="array" ref="Q285">IFERROR(INDEX(Disch_Booking_Report!C:C, MATCH(TRUE, ISNUMBER(FIND(SUBSTITUTE(C285," ",""), Disch_Booking_Report!AC:AC)), 0)), "Not Found")</f>
        <v/>
      </c>
      <c r="R285">
        <f t="array" ref="R285">IFERROR(INDEX(Disch_Booking_Report!AD:AD, MATCH(TRUE, ISNUMBER(FIND(SUBSTITUTE(C285," ",""), Disch_Booking_Report!AC:AC)), 0)), "Not Found")</f>
        <v/>
      </c>
      <c r="S285">
        <f>Tabela2[[#This Row],[Weight]]</f>
        <v/>
      </c>
      <c r="T285">
        <f t="array" ref="T285">IFERROR(INDEX(Disch_Booking_Report!L:L, MATCH(TRUE, ISNUMBER(FIND(SUBSTITUTE(C285," ",""), Disch_Booking_Report!AC:AC)), 0)), "Not Found")</f>
        <v/>
      </c>
      <c r="U285">
        <f t="array" ref="U285">IFERROR(INDEX(Disch_Booking_Report!I:I, MATCH(TRUE, ISNUMBER(FIND(SUBSTITUTE(C285," ",""), Disch_Booking_Report!AC:AC)), 0)), "Not Found")</f>
        <v/>
      </c>
    </row>
    <row r="286">
      <c r="A286" t="n">
        <v>22</v>
      </c>
      <c r="B286" t="n">
        <v>220286</v>
      </c>
      <c r="C286" t="inlineStr">
        <is>
          <t xml:space="preserve">     ANON0000000</t>
        </is>
      </c>
      <c r="D286" t="n">
        <v>40</v>
      </c>
      <c r="E286" t="inlineStr">
        <is>
          <t>RULED</t>
        </is>
      </c>
      <c r="F286" t="inlineStr">
        <is>
          <t>USNFK</t>
        </is>
      </c>
      <c r="G286" t="n">
        <v>33600</v>
      </c>
      <c r="H286" t="inlineStr">
        <is>
          <t>ART</t>
        </is>
      </c>
      <c r="I286" t="inlineStr">
        <is>
          <t>45R1</t>
        </is>
      </c>
      <c r="K286" t="inlineStr">
        <is>
          <t>Dry reefer</t>
        </is>
      </c>
      <c r="L286" t="inlineStr">
        <is>
          <t>9'6</t>
        </is>
      </c>
      <c r="M286" t="inlineStr">
        <is>
          <t>Full</t>
        </is>
      </c>
      <c r="P286">
        <f t="array" ref="P286">IFERROR(INDEX(Disch_Booking_Report!B:B, MATCH(TRUE, ISNUMBER(FIND(SUBSTITUTE(C286," ",""), Disch_Booking_Report!AC:AC)), 0)), "Not Found")</f>
        <v/>
      </c>
      <c r="Q286">
        <f t="array" ref="Q286">IFERROR(INDEX(Disch_Booking_Report!C:C, MATCH(TRUE, ISNUMBER(FIND(SUBSTITUTE(C286," ",""), Disch_Booking_Report!AC:AC)), 0)), "Not Found")</f>
        <v/>
      </c>
      <c r="R286">
        <f t="array" ref="R286">IFERROR(INDEX(Disch_Booking_Report!AD:AD, MATCH(TRUE, ISNUMBER(FIND(SUBSTITUTE(C286," ",""), Disch_Booking_Report!AC:AC)), 0)), "Not Found")</f>
        <v/>
      </c>
      <c r="S286">
        <f>Tabela2[[#This Row],[Weight]]</f>
        <v/>
      </c>
      <c r="T286">
        <f t="array" ref="T286">IFERROR(INDEX(Disch_Booking_Report!L:L, MATCH(TRUE, ISNUMBER(FIND(SUBSTITUTE(C286," ",""), Disch_Booking_Report!AC:AC)), 0)), "Not Found")</f>
        <v/>
      </c>
      <c r="U286">
        <f t="array" ref="U286">IFERROR(INDEX(Disch_Booking_Report!I:I, MATCH(TRUE, ISNUMBER(FIND(SUBSTITUTE(C286," ",""), Disch_Booking_Report!AC:AC)), 0)), "Not Found")</f>
        <v/>
      </c>
    </row>
    <row r="287">
      <c r="A287" t="n">
        <v>22</v>
      </c>
      <c r="B287" t="n">
        <v>220804</v>
      </c>
      <c r="C287" t="inlineStr">
        <is>
          <t xml:space="preserve">     ANON0000000</t>
        </is>
      </c>
      <c r="D287" t="n">
        <v>40</v>
      </c>
      <c r="E287" t="inlineStr">
        <is>
          <t>RULED</t>
        </is>
      </c>
      <c r="F287" t="inlineStr">
        <is>
          <t>USNFK</t>
        </is>
      </c>
      <c r="G287" t="n">
        <v>32950</v>
      </c>
      <c r="H287" t="inlineStr">
        <is>
          <t>ART</t>
        </is>
      </c>
      <c r="I287" t="inlineStr">
        <is>
          <t>45R1</t>
        </is>
      </c>
      <c r="K287" t="inlineStr">
        <is>
          <t>Dry reefer</t>
        </is>
      </c>
      <c r="L287" t="inlineStr">
        <is>
          <t>9'6</t>
        </is>
      </c>
      <c r="M287" t="inlineStr">
        <is>
          <t>Full</t>
        </is>
      </c>
      <c r="P287">
        <f t="array" ref="P287">IFERROR(INDEX(Disch_Booking_Report!B:B, MATCH(TRUE, ISNUMBER(FIND(SUBSTITUTE(C287," ",""), Disch_Booking_Report!AC:AC)), 0)), "Not Found")</f>
        <v/>
      </c>
      <c r="Q287">
        <f t="array" ref="Q287">IFERROR(INDEX(Disch_Booking_Report!C:C, MATCH(TRUE, ISNUMBER(FIND(SUBSTITUTE(C287," ",""), Disch_Booking_Report!AC:AC)), 0)), "Not Found")</f>
        <v/>
      </c>
      <c r="R287">
        <f t="array" ref="R287">IFERROR(INDEX(Disch_Booking_Report!AD:AD, MATCH(TRUE, ISNUMBER(FIND(SUBSTITUTE(C287," ",""), Disch_Booking_Report!AC:AC)), 0)), "Not Found")</f>
        <v/>
      </c>
      <c r="S287">
        <f>Tabela2[[#This Row],[Weight]]</f>
        <v/>
      </c>
      <c r="T287">
        <f t="array" ref="T287">IFERROR(INDEX(Disch_Booking_Report!L:L, MATCH(TRUE, ISNUMBER(FIND(SUBSTITUTE(C287," ",""), Disch_Booking_Report!AC:AC)), 0)), "Not Found")</f>
        <v/>
      </c>
      <c r="U287">
        <f t="array" ref="U287">IFERROR(INDEX(Disch_Booking_Report!I:I, MATCH(TRUE, ISNUMBER(FIND(SUBSTITUTE(C287," ",""), Disch_Booking_Report!AC:AC)), 0)), "Not Found")</f>
        <v/>
      </c>
    </row>
    <row r="288">
      <c r="A288" t="n">
        <v>22</v>
      </c>
      <c r="B288" t="n">
        <v>220284</v>
      </c>
      <c r="C288" t="inlineStr">
        <is>
          <t xml:space="preserve">     ANON0000000</t>
        </is>
      </c>
      <c r="D288" t="n">
        <v>40</v>
      </c>
      <c r="E288" t="inlineStr">
        <is>
          <t>RULED</t>
        </is>
      </c>
      <c r="F288" t="inlineStr">
        <is>
          <t>USNFK</t>
        </is>
      </c>
      <c r="G288" t="n">
        <v>33440</v>
      </c>
      <c r="H288" t="inlineStr">
        <is>
          <t>ART</t>
        </is>
      </c>
      <c r="I288" t="inlineStr">
        <is>
          <t>45R1</t>
        </is>
      </c>
      <c r="K288" t="inlineStr">
        <is>
          <t>Dry reefer</t>
        </is>
      </c>
      <c r="L288" t="inlineStr">
        <is>
          <t>9'6</t>
        </is>
      </c>
      <c r="M288" t="inlineStr">
        <is>
          <t>Full</t>
        </is>
      </c>
      <c r="P288">
        <f t="array" ref="P288">IFERROR(INDEX(Disch_Booking_Report!B:B, MATCH(TRUE, ISNUMBER(FIND(SUBSTITUTE(C288," ",""), Disch_Booking_Report!AC:AC)), 0)), "Not Found")</f>
        <v/>
      </c>
      <c r="Q288">
        <f t="array" ref="Q288">IFERROR(INDEX(Disch_Booking_Report!C:C, MATCH(TRUE, ISNUMBER(FIND(SUBSTITUTE(C288," ",""), Disch_Booking_Report!AC:AC)), 0)), "Not Found")</f>
        <v/>
      </c>
      <c r="R288">
        <f t="array" ref="R288">IFERROR(INDEX(Disch_Booking_Report!AD:AD, MATCH(TRUE, ISNUMBER(FIND(SUBSTITUTE(C288," ",""), Disch_Booking_Report!AC:AC)), 0)), "Not Found")</f>
        <v/>
      </c>
      <c r="S288">
        <f>Tabela2[[#This Row],[Weight]]</f>
        <v/>
      </c>
      <c r="T288">
        <f t="array" ref="T288">IFERROR(INDEX(Disch_Booking_Report!L:L, MATCH(TRUE, ISNUMBER(FIND(SUBSTITUTE(C288," ",""), Disch_Booking_Report!AC:AC)), 0)), "Not Found")</f>
        <v/>
      </c>
      <c r="U288">
        <f t="array" ref="U288">IFERROR(INDEX(Disch_Booking_Report!I:I, MATCH(TRUE, ISNUMBER(FIND(SUBSTITUTE(C288," ",""), Disch_Booking_Report!AC:AC)), 0)), "Not Found")</f>
        <v/>
      </c>
    </row>
    <row r="289">
      <c r="A289" t="n">
        <v>22</v>
      </c>
      <c r="B289" t="n">
        <v>220784</v>
      </c>
      <c r="C289" t="inlineStr">
        <is>
          <t xml:space="preserve">     ANON0000000</t>
        </is>
      </c>
      <c r="D289" t="n">
        <v>40</v>
      </c>
      <c r="E289" t="inlineStr">
        <is>
          <t>RULED</t>
        </is>
      </c>
      <c r="F289" t="inlineStr">
        <is>
          <t>USNFK</t>
        </is>
      </c>
      <c r="G289" t="n">
        <v>33440</v>
      </c>
      <c r="H289" t="inlineStr">
        <is>
          <t>ART</t>
        </is>
      </c>
      <c r="I289" t="inlineStr">
        <is>
          <t>45R1</t>
        </is>
      </c>
      <c r="K289" t="inlineStr">
        <is>
          <t>Dry reefer</t>
        </is>
      </c>
      <c r="L289" t="inlineStr">
        <is>
          <t>9'6</t>
        </is>
      </c>
      <c r="M289" t="inlineStr">
        <is>
          <t>Full</t>
        </is>
      </c>
      <c r="P289">
        <f t="array" ref="P289">IFERROR(INDEX(Disch_Booking_Report!B:B, MATCH(TRUE, ISNUMBER(FIND(SUBSTITUTE(C289," ",""), Disch_Booking_Report!AC:AC)), 0)), "Not Found")</f>
        <v/>
      </c>
      <c r="Q289">
        <f t="array" ref="Q289">IFERROR(INDEX(Disch_Booking_Report!C:C, MATCH(TRUE, ISNUMBER(FIND(SUBSTITUTE(C289," ",""), Disch_Booking_Report!AC:AC)), 0)), "Not Found")</f>
        <v/>
      </c>
      <c r="R289">
        <f t="array" ref="R289">IFERROR(INDEX(Disch_Booking_Report!AD:AD, MATCH(TRUE, ISNUMBER(FIND(SUBSTITUTE(C289," ",""), Disch_Booking_Report!AC:AC)), 0)), "Not Found")</f>
        <v/>
      </c>
      <c r="S289">
        <f>Tabela2[[#This Row],[Weight]]</f>
        <v/>
      </c>
      <c r="T289">
        <f t="array" ref="T289">IFERROR(INDEX(Disch_Booking_Report!L:L, MATCH(TRUE, ISNUMBER(FIND(SUBSTITUTE(C289," ",""), Disch_Booking_Report!AC:AC)), 0)), "Not Found")</f>
        <v/>
      </c>
      <c r="U289">
        <f t="array" ref="U289">IFERROR(INDEX(Disch_Booking_Report!I:I, MATCH(TRUE, ISNUMBER(FIND(SUBSTITUTE(C289," ",""), Disch_Booking_Report!AC:AC)), 0)), "Not Found")</f>
        <v/>
      </c>
    </row>
    <row r="290">
      <c r="A290" t="n">
        <v>22</v>
      </c>
      <c r="B290" t="n">
        <v>220106</v>
      </c>
      <c r="C290" t="inlineStr">
        <is>
          <t xml:space="preserve">     ANON0000000</t>
        </is>
      </c>
      <c r="D290" t="n">
        <v>40</v>
      </c>
      <c r="E290" t="inlineStr">
        <is>
          <t>RULED</t>
        </is>
      </c>
      <c r="F290" t="inlineStr">
        <is>
          <t>USNFK</t>
        </is>
      </c>
      <c r="G290" t="n">
        <v>32910</v>
      </c>
      <c r="H290" t="inlineStr">
        <is>
          <t>ART</t>
        </is>
      </c>
      <c r="I290" t="inlineStr">
        <is>
          <t>45R1</t>
        </is>
      </c>
      <c r="K290" t="inlineStr">
        <is>
          <t>Dry reefer</t>
        </is>
      </c>
      <c r="L290" t="inlineStr">
        <is>
          <t>9'6</t>
        </is>
      </c>
      <c r="M290" t="inlineStr">
        <is>
          <t>Full</t>
        </is>
      </c>
      <c r="P290">
        <f t="array" ref="P290">IFERROR(INDEX(Disch_Booking_Report!B:B, MATCH(TRUE, ISNUMBER(FIND(SUBSTITUTE(C290," ",""), Disch_Booking_Report!AC:AC)), 0)), "Not Found")</f>
        <v/>
      </c>
      <c r="Q290">
        <f t="array" ref="Q290">IFERROR(INDEX(Disch_Booking_Report!C:C, MATCH(TRUE, ISNUMBER(FIND(SUBSTITUTE(C290," ",""), Disch_Booking_Report!AC:AC)), 0)), "Not Found")</f>
        <v/>
      </c>
      <c r="R290">
        <f t="array" ref="R290">IFERROR(INDEX(Disch_Booking_Report!AD:AD, MATCH(TRUE, ISNUMBER(FIND(SUBSTITUTE(C290," ",""), Disch_Booking_Report!AC:AC)), 0)), "Not Found")</f>
        <v/>
      </c>
      <c r="S290">
        <f>Tabela2[[#This Row],[Weight]]</f>
        <v/>
      </c>
      <c r="T290">
        <f t="array" ref="T290">IFERROR(INDEX(Disch_Booking_Report!L:L, MATCH(TRUE, ISNUMBER(FIND(SUBSTITUTE(C290," ",""), Disch_Booking_Report!AC:AC)), 0)), "Not Found")</f>
        <v/>
      </c>
      <c r="U290">
        <f t="array" ref="U290">IFERROR(INDEX(Disch_Booking_Report!I:I, MATCH(TRUE, ISNUMBER(FIND(SUBSTITUTE(C290," ",""), Disch_Booking_Report!AC:AC)), 0)), "Not Found")</f>
        <v/>
      </c>
    </row>
    <row r="291">
      <c r="A291" t="n">
        <v>22</v>
      </c>
      <c r="B291" t="n">
        <v>220308</v>
      </c>
      <c r="C291" t="inlineStr">
        <is>
          <t xml:space="preserve">     ANON0000000</t>
        </is>
      </c>
      <c r="D291" t="n">
        <v>40</v>
      </c>
      <c r="E291" t="inlineStr">
        <is>
          <t>RULED</t>
        </is>
      </c>
      <c r="F291" t="inlineStr">
        <is>
          <t>USNFK</t>
        </is>
      </c>
      <c r="G291" t="n">
        <v>32980</v>
      </c>
      <c r="H291" t="inlineStr">
        <is>
          <t>ART</t>
        </is>
      </c>
      <c r="I291" t="inlineStr">
        <is>
          <t>45R1</t>
        </is>
      </c>
      <c r="K291" t="inlineStr">
        <is>
          <t>Dry reefer</t>
        </is>
      </c>
      <c r="L291" t="inlineStr">
        <is>
          <t>9'6</t>
        </is>
      </c>
      <c r="M291" t="inlineStr">
        <is>
          <t>Full</t>
        </is>
      </c>
      <c r="P291">
        <f t="array" ref="P291">IFERROR(INDEX(Disch_Booking_Report!B:B, MATCH(TRUE, ISNUMBER(FIND(SUBSTITUTE(C291," ",""), Disch_Booking_Report!AC:AC)), 0)), "Not Found")</f>
        <v/>
      </c>
      <c r="Q291">
        <f t="array" ref="Q291">IFERROR(INDEX(Disch_Booking_Report!C:C, MATCH(TRUE, ISNUMBER(FIND(SUBSTITUTE(C291," ",""), Disch_Booking_Report!AC:AC)), 0)), "Not Found")</f>
        <v/>
      </c>
      <c r="R291">
        <f t="array" ref="R291">IFERROR(INDEX(Disch_Booking_Report!AD:AD, MATCH(TRUE, ISNUMBER(FIND(SUBSTITUTE(C291," ",""), Disch_Booking_Report!AC:AC)), 0)), "Not Found")</f>
        <v/>
      </c>
      <c r="S291">
        <f>Tabela2[[#This Row],[Weight]]</f>
        <v/>
      </c>
      <c r="T291">
        <f t="array" ref="T291">IFERROR(INDEX(Disch_Booking_Report!L:L, MATCH(TRUE, ISNUMBER(FIND(SUBSTITUTE(C291," ",""), Disch_Booking_Report!AC:AC)), 0)), "Not Found")</f>
        <v/>
      </c>
      <c r="U291">
        <f t="array" ref="U291">IFERROR(INDEX(Disch_Booking_Report!I:I, MATCH(TRUE, ISNUMBER(FIND(SUBSTITUTE(C291," ",""), Disch_Booking_Report!AC:AC)), 0)), "Not Found")</f>
        <v/>
      </c>
    </row>
    <row r="292">
      <c r="A292" t="n">
        <v>22</v>
      </c>
      <c r="B292" t="n">
        <v>220182</v>
      </c>
      <c r="C292" t="inlineStr">
        <is>
          <t xml:space="preserve">     ANON0000000</t>
        </is>
      </c>
      <c r="D292" t="n">
        <v>40</v>
      </c>
      <c r="E292" t="inlineStr">
        <is>
          <t>RULED</t>
        </is>
      </c>
      <c r="F292" t="inlineStr">
        <is>
          <t>USNFK</t>
        </is>
      </c>
      <c r="G292" t="n">
        <v>32890</v>
      </c>
      <c r="H292" t="inlineStr">
        <is>
          <t>ART</t>
        </is>
      </c>
      <c r="I292" t="inlineStr">
        <is>
          <t>45R1</t>
        </is>
      </c>
      <c r="K292" t="inlineStr">
        <is>
          <t>Dry reefer</t>
        </is>
      </c>
      <c r="L292" t="inlineStr">
        <is>
          <t>9'6</t>
        </is>
      </c>
      <c r="M292" t="inlineStr">
        <is>
          <t>Full</t>
        </is>
      </c>
      <c r="P292">
        <f t="array" ref="P292">IFERROR(INDEX(Disch_Booking_Report!B:B, MATCH(TRUE, ISNUMBER(FIND(SUBSTITUTE(C292," ",""), Disch_Booking_Report!AC:AC)), 0)), "Not Found")</f>
        <v/>
      </c>
      <c r="Q292">
        <f t="array" ref="Q292">IFERROR(INDEX(Disch_Booking_Report!C:C, MATCH(TRUE, ISNUMBER(FIND(SUBSTITUTE(C292," ",""), Disch_Booking_Report!AC:AC)), 0)), "Not Found")</f>
        <v/>
      </c>
      <c r="R292">
        <f t="array" ref="R292">IFERROR(INDEX(Disch_Booking_Report!AD:AD, MATCH(TRUE, ISNUMBER(FIND(SUBSTITUTE(C292," ",""), Disch_Booking_Report!AC:AC)), 0)), "Not Found")</f>
        <v/>
      </c>
      <c r="S292">
        <f>Tabela2[[#This Row],[Weight]]</f>
        <v/>
      </c>
      <c r="T292">
        <f t="array" ref="T292">IFERROR(INDEX(Disch_Booking_Report!L:L, MATCH(TRUE, ISNUMBER(FIND(SUBSTITUTE(C292," ",""), Disch_Booking_Report!AC:AC)), 0)), "Not Found")</f>
        <v/>
      </c>
      <c r="U292">
        <f t="array" ref="U292">IFERROR(INDEX(Disch_Booking_Report!I:I, MATCH(TRUE, ISNUMBER(FIND(SUBSTITUTE(C292," ",""), Disch_Booking_Report!AC:AC)), 0)), "Not Found")</f>
        <v/>
      </c>
    </row>
    <row r="293">
      <c r="A293" t="n">
        <v>22</v>
      </c>
      <c r="B293" t="n">
        <v>220202</v>
      </c>
      <c r="C293" t="inlineStr">
        <is>
          <t xml:space="preserve">     ANON0000000</t>
        </is>
      </c>
      <c r="D293" t="n">
        <v>40</v>
      </c>
      <c r="E293" t="inlineStr">
        <is>
          <t>RULED</t>
        </is>
      </c>
      <c r="F293" t="inlineStr">
        <is>
          <t>USNFK</t>
        </is>
      </c>
      <c r="G293" t="n">
        <v>32990</v>
      </c>
      <c r="H293" t="inlineStr">
        <is>
          <t>ART</t>
        </is>
      </c>
      <c r="I293" t="inlineStr">
        <is>
          <t>45R1</t>
        </is>
      </c>
      <c r="K293" t="inlineStr">
        <is>
          <t>Dry reefer</t>
        </is>
      </c>
      <c r="L293" t="inlineStr">
        <is>
          <t>9'6</t>
        </is>
      </c>
      <c r="M293" t="inlineStr">
        <is>
          <t>Full</t>
        </is>
      </c>
      <c r="P293">
        <f t="array" ref="P293">IFERROR(INDEX(Disch_Booking_Report!B:B, MATCH(TRUE, ISNUMBER(FIND(SUBSTITUTE(C293," ",""), Disch_Booking_Report!AC:AC)), 0)), "Not Found")</f>
        <v/>
      </c>
      <c r="Q293">
        <f t="array" ref="Q293">IFERROR(INDEX(Disch_Booking_Report!C:C, MATCH(TRUE, ISNUMBER(FIND(SUBSTITUTE(C293," ",""), Disch_Booking_Report!AC:AC)), 0)), "Not Found")</f>
        <v/>
      </c>
      <c r="R293">
        <f t="array" ref="R293">IFERROR(INDEX(Disch_Booking_Report!AD:AD, MATCH(TRUE, ISNUMBER(FIND(SUBSTITUTE(C293," ",""), Disch_Booking_Report!AC:AC)), 0)), "Not Found")</f>
        <v/>
      </c>
      <c r="S293">
        <f>Tabela2[[#This Row],[Weight]]</f>
        <v/>
      </c>
      <c r="T293">
        <f t="array" ref="T293">IFERROR(INDEX(Disch_Booking_Report!L:L, MATCH(TRUE, ISNUMBER(FIND(SUBSTITUTE(C293," ",""), Disch_Booking_Report!AC:AC)), 0)), "Not Found")</f>
        <v/>
      </c>
      <c r="U293">
        <f t="array" ref="U293">IFERROR(INDEX(Disch_Booking_Report!I:I, MATCH(TRUE, ISNUMBER(FIND(SUBSTITUTE(C293," ",""), Disch_Booking_Report!AC:AC)), 0)), "Not Found")</f>
        <v/>
      </c>
    </row>
    <row r="294">
      <c r="A294" t="n">
        <v>22</v>
      </c>
      <c r="B294" t="n">
        <v>220206</v>
      </c>
      <c r="C294" t="inlineStr">
        <is>
          <t xml:space="preserve">     ANON0000000</t>
        </is>
      </c>
      <c r="D294" t="n">
        <v>40</v>
      </c>
      <c r="E294" t="inlineStr">
        <is>
          <t>RULED</t>
        </is>
      </c>
      <c r="F294" t="inlineStr">
        <is>
          <t>USNFK</t>
        </is>
      </c>
      <c r="G294" t="n">
        <v>32990</v>
      </c>
      <c r="H294" t="inlineStr">
        <is>
          <t>ART</t>
        </is>
      </c>
      <c r="I294" t="inlineStr">
        <is>
          <t>45R1</t>
        </is>
      </c>
      <c r="K294" t="inlineStr">
        <is>
          <t>Dry reefer</t>
        </is>
      </c>
      <c r="L294" t="inlineStr">
        <is>
          <t>9'6</t>
        </is>
      </c>
      <c r="M294" t="inlineStr">
        <is>
          <t>Full</t>
        </is>
      </c>
      <c r="P294">
        <f t="array" ref="P294">IFERROR(INDEX(Disch_Booking_Report!B:B, MATCH(TRUE, ISNUMBER(FIND(SUBSTITUTE(C294," ",""), Disch_Booking_Report!AC:AC)), 0)), "Not Found")</f>
        <v/>
      </c>
      <c r="Q294">
        <f t="array" ref="Q294">IFERROR(INDEX(Disch_Booking_Report!C:C, MATCH(TRUE, ISNUMBER(FIND(SUBSTITUTE(C294," ",""), Disch_Booking_Report!AC:AC)), 0)), "Not Found")</f>
        <v/>
      </c>
      <c r="R294">
        <f t="array" ref="R294">IFERROR(INDEX(Disch_Booking_Report!AD:AD, MATCH(TRUE, ISNUMBER(FIND(SUBSTITUTE(C294," ",""), Disch_Booking_Report!AC:AC)), 0)), "Not Found")</f>
        <v/>
      </c>
      <c r="S294">
        <f>Tabela2[[#This Row],[Weight]]</f>
        <v/>
      </c>
      <c r="T294">
        <f t="array" ref="T294">IFERROR(INDEX(Disch_Booking_Report!L:L, MATCH(TRUE, ISNUMBER(FIND(SUBSTITUTE(C294," ",""), Disch_Booking_Report!AC:AC)), 0)), "Not Found")</f>
        <v/>
      </c>
      <c r="U294">
        <f t="array" ref="U294">IFERROR(INDEX(Disch_Booking_Report!I:I, MATCH(TRUE, ISNUMBER(FIND(SUBSTITUTE(C294," ",""), Disch_Booking_Report!AC:AC)), 0)), "Not Found")</f>
        <v/>
      </c>
    </row>
    <row r="295">
      <c r="A295" t="n">
        <v>22</v>
      </c>
      <c r="B295" t="n">
        <v>220482</v>
      </c>
      <c r="C295" t="inlineStr">
        <is>
          <t xml:space="preserve">     ANON0000000</t>
        </is>
      </c>
      <c r="D295" t="n">
        <v>40</v>
      </c>
      <c r="E295" t="inlineStr">
        <is>
          <t>RULED</t>
        </is>
      </c>
      <c r="F295" t="inlineStr">
        <is>
          <t>USNFK</t>
        </is>
      </c>
      <c r="G295" t="n">
        <v>32810</v>
      </c>
      <c r="H295" t="inlineStr">
        <is>
          <t>ART</t>
        </is>
      </c>
      <c r="I295" t="inlineStr">
        <is>
          <t>45R1</t>
        </is>
      </c>
      <c r="K295" t="inlineStr">
        <is>
          <t>Dry reefer</t>
        </is>
      </c>
      <c r="L295" t="inlineStr">
        <is>
          <t>9'6</t>
        </is>
      </c>
      <c r="M295" t="inlineStr">
        <is>
          <t>Full</t>
        </is>
      </c>
      <c r="P295">
        <f t="array" ref="P295">IFERROR(INDEX(Disch_Booking_Report!B:B, MATCH(TRUE, ISNUMBER(FIND(SUBSTITUTE(C295," ",""), Disch_Booking_Report!AC:AC)), 0)), "Not Found")</f>
        <v/>
      </c>
      <c r="Q295">
        <f t="array" ref="Q295">IFERROR(INDEX(Disch_Booking_Report!C:C, MATCH(TRUE, ISNUMBER(FIND(SUBSTITUTE(C295," ",""), Disch_Booking_Report!AC:AC)), 0)), "Not Found")</f>
        <v/>
      </c>
      <c r="R295">
        <f t="array" ref="R295">IFERROR(INDEX(Disch_Booking_Report!AD:AD, MATCH(TRUE, ISNUMBER(FIND(SUBSTITUTE(C295," ",""), Disch_Booking_Report!AC:AC)), 0)), "Not Found")</f>
        <v/>
      </c>
      <c r="S295">
        <f>Tabela2[[#This Row],[Weight]]</f>
        <v/>
      </c>
      <c r="T295">
        <f t="array" ref="T295">IFERROR(INDEX(Disch_Booking_Report!L:L, MATCH(TRUE, ISNUMBER(FIND(SUBSTITUTE(C295," ",""), Disch_Booking_Report!AC:AC)), 0)), "Not Found")</f>
        <v/>
      </c>
      <c r="U295">
        <f t="array" ref="U295">IFERROR(INDEX(Disch_Booking_Report!I:I, MATCH(TRUE, ISNUMBER(FIND(SUBSTITUTE(C295," ",""), Disch_Booking_Report!AC:AC)), 0)), "Not Found")</f>
        <v/>
      </c>
    </row>
    <row r="296">
      <c r="A296" t="n">
        <v>22</v>
      </c>
      <c r="B296" t="n">
        <v>220408</v>
      </c>
      <c r="C296" t="inlineStr">
        <is>
          <t xml:space="preserve">     ANON0000000</t>
        </is>
      </c>
      <c r="D296" t="n">
        <v>40</v>
      </c>
      <c r="E296" t="inlineStr">
        <is>
          <t>RULED</t>
        </is>
      </c>
      <c r="F296" t="inlineStr">
        <is>
          <t>USNFK</t>
        </is>
      </c>
      <c r="G296" t="n">
        <v>33160</v>
      </c>
      <c r="H296" t="inlineStr">
        <is>
          <t>ART</t>
        </is>
      </c>
      <c r="I296" t="inlineStr">
        <is>
          <t>45R1</t>
        </is>
      </c>
      <c r="K296" t="inlineStr">
        <is>
          <t>Dry reefer</t>
        </is>
      </c>
      <c r="L296" t="inlineStr">
        <is>
          <t>9'6</t>
        </is>
      </c>
      <c r="M296" t="inlineStr">
        <is>
          <t>Full</t>
        </is>
      </c>
      <c r="P296">
        <f t="array" ref="P296">IFERROR(INDEX(Disch_Booking_Report!B:B, MATCH(TRUE, ISNUMBER(FIND(SUBSTITUTE(C296," ",""), Disch_Booking_Report!AC:AC)), 0)), "Not Found")</f>
        <v/>
      </c>
      <c r="Q296">
        <f t="array" ref="Q296">IFERROR(INDEX(Disch_Booking_Report!C:C, MATCH(TRUE, ISNUMBER(FIND(SUBSTITUTE(C296," ",""), Disch_Booking_Report!AC:AC)), 0)), "Not Found")</f>
        <v/>
      </c>
      <c r="R296">
        <f t="array" ref="R296">IFERROR(INDEX(Disch_Booking_Report!AD:AD, MATCH(TRUE, ISNUMBER(FIND(SUBSTITUTE(C296," ",""), Disch_Booking_Report!AC:AC)), 0)), "Not Found")</f>
        <v/>
      </c>
      <c r="S296">
        <f>Tabela2[[#This Row],[Weight]]</f>
        <v/>
      </c>
      <c r="T296">
        <f t="array" ref="T296">IFERROR(INDEX(Disch_Booking_Report!L:L, MATCH(TRUE, ISNUMBER(FIND(SUBSTITUTE(C296," ",""), Disch_Booking_Report!AC:AC)), 0)), "Not Found")</f>
        <v/>
      </c>
      <c r="U296">
        <f t="array" ref="U296">IFERROR(INDEX(Disch_Booking_Report!I:I, MATCH(TRUE, ISNUMBER(FIND(SUBSTITUTE(C296," ",""), Disch_Booking_Report!AC:AC)), 0)), "Not Found")</f>
        <v/>
      </c>
    </row>
    <row r="297">
      <c r="A297" t="n">
        <v>22</v>
      </c>
      <c r="B297" t="n">
        <v>220102</v>
      </c>
      <c r="C297" t="inlineStr">
        <is>
          <t xml:space="preserve">     ANON0000000</t>
        </is>
      </c>
      <c r="D297" t="n">
        <v>40</v>
      </c>
      <c r="E297" t="inlineStr">
        <is>
          <t>RULED</t>
        </is>
      </c>
      <c r="F297" t="inlineStr">
        <is>
          <t>USNFK</t>
        </is>
      </c>
      <c r="G297" t="n">
        <v>30380</v>
      </c>
      <c r="H297" t="inlineStr">
        <is>
          <t>ART</t>
        </is>
      </c>
      <c r="I297" t="inlineStr">
        <is>
          <t>45G1</t>
        </is>
      </c>
      <c r="L297" t="inlineStr">
        <is>
          <t>9'6</t>
        </is>
      </c>
      <c r="M297" t="inlineStr">
        <is>
          <t>Full</t>
        </is>
      </c>
      <c r="P297">
        <f t="array" ref="P297">IFERROR(INDEX(Disch_Booking_Report!B:B, MATCH(TRUE, ISNUMBER(FIND(SUBSTITUTE(C297," ",""), Disch_Booking_Report!AC:AC)), 0)), "Not Found")</f>
        <v/>
      </c>
      <c r="Q297">
        <f t="array" ref="Q297">IFERROR(INDEX(Disch_Booking_Report!C:C, MATCH(TRUE, ISNUMBER(FIND(SUBSTITUTE(C297," ",""), Disch_Booking_Report!AC:AC)), 0)), "Not Found")</f>
        <v/>
      </c>
      <c r="R297">
        <f t="array" ref="R297">IFERROR(INDEX(Disch_Booking_Report!AD:AD, MATCH(TRUE, ISNUMBER(FIND(SUBSTITUTE(C297," ",""), Disch_Booking_Report!AC:AC)), 0)), "Not Found")</f>
        <v/>
      </c>
      <c r="S297">
        <f>Tabela2[[#This Row],[Weight]]</f>
        <v/>
      </c>
      <c r="T297">
        <f t="array" ref="T297">IFERROR(INDEX(Disch_Booking_Report!L:L, MATCH(TRUE, ISNUMBER(FIND(SUBSTITUTE(C297," ",""), Disch_Booking_Report!AC:AC)), 0)), "Not Found")</f>
        <v/>
      </c>
      <c r="U297">
        <f t="array" ref="U297">IFERROR(INDEX(Disch_Booking_Report!I:I, MATCH(TRUE, ISNUMBER(FIND(SUBSTITUTE(C297," ",""), Disch_Booking_Report!AC:AC)), 0)), "Not Found")</f>
        <v/>
      </c>
    </row>
    <row r="298">
      <c r="A298" t="n">
        <v>22</v>
      </c>
      <c r="B298" t="n">
        <v>220602</v>
      </c>
      <c r="C298" t="inlineStr">
        <is>
          <t xml:space="preserve">     ANON0000000</t>
        </is>
      </c>
      <c r="D298" t="n">
        <v>40</v>
      </c>
      <c r="E298" t="inlineStr">
        <is>
          <t>RULED</t>
        </is>
      </c>
      <c r="F298" t="inlineStr">
        <is>
          <t>USNFK</t>
        </is>
      </c>
      <c r="G298" t="n">
        <v>32980</v>
      </c>
      <c r="H298" t="inlineStr">
        <is>
          <t>ART</t>
        </is>
      </c>
      <c r="I298" t="inlineStr">
        <is>
          <t>45R1</t>
        </is>
      </c>
      <c r="K298" t="inlineStr">
        <is>
          <t>Dry reefer</t>
        </is>
      </c>
      <c r="L298" t="inlineStr">
        <is>
          <t>9'6</t>
        </is>
      </c>
      <c r="M298" t="inlineStr">
        <is>
          <t>Full</t>
        </is>
      </c>
      <c r="P298">
        <f t="array" ref="P298">IFERROR(INDEX(Disch_Booking_Report!B:B, MATCH(TRUE, ISNUMBER(FIND(SUBSTITUTE(C298," ",""), Disch_Booking_Report!AC:AC)), 0)), "Not Found")</f>
        <v/>
      </c>
      <c r="Q298">
        <f t="array" ref="Q298">IFERROR(INDEX(Disch_Booking_Report!C:C, MATCH(TRUE, ISNUMBER(FIND(SUBSTITUTE(C298," ",""), Disch_Booking_Report!AC:AC)), 0)), "Not Found")</f>
        <v/>
      </c>
      <c r="R298">
        <f t="array" ref="R298">IFERROR(INDEX(Disch_Booking_Report!AD:AD, MATCH(TRUE, ISNUMBER(FIND(SUBSTITUTE(C298," ",""), Disch_Booking_Report!AC:AC)), 0)), "Not Found")</f>
        <v/>
      </c>
      <c r="S298">
        <f>Tabela2[[#This Row],[Weight]]</f>
        <v/>
      </c>
      <c r="T298">
        <f t="array" ref="T298">IFERROR(INDEX(Disch_Booking_Report!L:L, MATCH(TRUE, ISNUMBER(FIND(SUBSTITUTE(C298," ",""), Disch_Booking_Report!AC:AC)), 0)), "Not Found")</f>
        <v/>
      </c>
      <c r="U298">
        <f t="array" ref="U298">IFERROR(INDEX(Disch_Booking_Report!I:I, MATCH(TRUE, ISNUMBER(FIND(SUBSTITUTE(C298," ",""), Disch_Booking_Report!AC:AC)), 0)), "Not Found")</f>
        <v/>
      </c>
    </row>
    <row r="299">
      <c r="A299" t="n">
        <v>22</v>
      </c>
      <c r="B299" t="n">
        <v>220582</v>
      </c>
      <c r="C299" t="inlineStr">
        <is>
          <t xml:space="preserve">     ANON0000000</t>
        </is>
      </c>
      <c r="D299" t="n">
        <v>40</v>
      </c>
      <c r="E299" t="inlineStr">
        <is>
          <t>RULED</t>
        </is>
      </c>
      <c r="F299" t="inlineStr">
        <is>
          <t>USNFK</t>
        </is>
      </c>
      <c r="G299" t="n">
        <v>32910</v>
      </c>
      <c r="H299" t="inlineStr">
        <is>
          <t>ART</t>
        </is>
      </c>
      <c r="I299" t="inlineStr">
        <is>
          <t>45R1</t>
        </is>
      </c>
      <c r="K299" t="inlineStr">
        <is>
          <t>Dry reefer</t>
        </is>
      </c>
      <c r="L299" t="inlineStr">
        <is>
          <t>9'6</t>
        </is>
      </c>
      <c r="M299" t="inlineStr">
        <is>
          <t>Full</t>
        </is>
      </c>
      <c r="P299">
        <f t="array" ref="P299">IFERROR(INDEX(Disch_Booking_Report!B:B, MATCH(TRUE, ISNUMBER(FIND(SUBSTITUTE(C299," ",""), Disch_Booking_Report!AC:AC)), 0)), "Not Found")</f>
        <v/>
      </c>
      <c r="Q299">
        <f t="array" ref="Q299">IFERROR(INDEX(Disch_Booking_Report!C:C, MATCH(TRUE, ISNUMBER(FIND(SUBSTITUTE(C299," ",""), Disch_Booking_Report!AC:AC)), 0)), "Not Found")</f>
        <v/>
      </c>
      <c r="R299">
        <f t="array" ref="R299">IFERROR(INDEX(Disch_Booking_Report!AD:AD, MATCH(TRUE, ISNUMBER(FIND(SUBSTITUTE(C299," ",""), Disch_Booking_Report!AC:AC)), 0)), "Not Found")</f>
        <v/>
      </c>
      <c r="S299">
        <f>Tabela2[[#This Row],[Weight]]</f>
        <v/>
      </c>
      <c r="T299">
        <f t="array" ref="T299">IFERROR(INDEX(Disch_Booking_Report!L:L, MATCH(TRUE, ISNUMBER(FIND(SUBSTITUTE(C299," ",""), Disch_Booking_Report!AC:AC)), 0)), "Not Found")</f>
        <v/>
      </c>
      <c r="U299">
        <f t="array" ref="U299">IFERROR(INDEX(Disch_Booking_Report!I:I, MATCH(TRUE, ISNUMBER(FIND(SUBSTITUTE(C299," ",""), Disch_Booking_Report!AC:AC)), 0)), "Not Found")</f>
        <v/>
      </c>
    </row>
    <row r="300">
      <c r="A300" t="n">
        <v>22</v>
      </c>
      <c r="B300" t="n">
        <v>220506</v>
      </c>
      <c r="C300" t="inlineStr">
        <is>
          <t xml:space="preserve">     ANON0000000</t>
        </is>
      </c>
      <c r="D300" t="n">
        <v>40</v>
      </c>
      <c r="E300" t="inlineStr">
        <is>
          <t>RULED</t>
        </is>
      </c>
      <c r="F300" t="inlineStr">
        <is>
          <t>USNFK</t>
        </is>
      </c>
      <c r="G300" t="n">
        <v>33680</v>
      </c>
      <c r="H300" t="inlineStr">
        <is>
          <t>ART</t>
        </is>
      </c>
      <c r="I300" t="inlineStr">
        <is>
          <t>45R1</t>
        </is>
      </c>
      <c r="K300" t="inlineStr">
        <is>
          <t>Dry reefer</t>
        </is>
      </c>
      <c r="L300" t="inlineStr">
        <is>
          <t>9'6</t>
        </is>
      </c>
      <c r="M300" t="inlineStr">
        <is>
          <t>Full</t>
        </is>
      </c>
      <c r="P300">
        <f t="array" ref="P300">IFERROR(INDEX(Disch_Booking_Report!B:B, MATCH(TRUE, ISNUMBER(FIND(SUBSTITUTE(C300," ",""), Disch_Booking_Report!AC:AC)), 0)), "Not Found")</f>
        <v/>
      </c>
      <c r="Q300">
        <f t="array" ref="Q300">IFERROR(INDEX(Disch_Booking_Report!C:C, MATCH(TRUE, ISNUMBER(FIND(SUBSTITUTE(C300," ",""), Disch_Booking_Report!AC:AC)), 0)), "Not Found")</f>
        <v/>
      </c>
      <c r="R300">
        <f t="array" ref="R300">IFERROR(INDEX(Disch_Booking_Report!AD:AD, MATCH(TRUE, ISNUMBER(FIND(SUBSTITUTE(C300," ",""), Disch_Booking_Report!AC:AC)), 0)), "Not Found")</f>
        <v/>
      </c>
      <c r="S300">
        <f>Tabela2[[#This Row],[Weight]]</f>
        <v/>
      </c>
      <c r="T300">
        <f t="array" ref="T300">IFERROR(INDEX(Disch_Booking_Report!L:L, MATCH(TRUE, ISNUMBER(FIND(SUBSTITUTE(C300," ",""), Disch_Booking_Report!AC:AC)), 0)), "Not Found")</f>
        <v/>
      </c>
      <c r="U300">
        <f t="array" ref="U300">IFERROR(INDEX(Disch_Booking_Report!I:I, MATCH(TRUE, ISNUMBER(FIND(SUBSTITUTE(C300," ",""), Disch_Booking_Report!AC:AC)), 0)), "Not Found")</f>
        <v/>
      </c>
    </row>
    <row r="301">
      <c r="A301" t="n">
        <v>22</v>
      </c>
      <c r="B301" t="n">
        <v>220484</v>
      </c>
      <c r="C301" t="inlineStr">
        <is>
          <t xml:space="preserve">     ANON0000000</t>
        </is>
      </c>
      <c r="D301" t="n">
        <v>40</v>
      </c>
      <c r="E301" t="inlineStr">
        <is>
          <t>RULED</t>
        </is>
      </c>
      <c r="F301" t="inlineStr">
        <is>
          <t>USNFK</t>
        </is>
      </c>
      <c r="G301" t="n">
        <v>33680</v>
      </c>
      <c r="H301" t="inlineStr">
        <is>
          <t>ART</t>
        </is>
      </c>
      <c r="I301" t="inlineStr">
        <is>
          <t>45R1</t>
        </is>
      </c>
      <c r="K301" t="inlineStr">
        <is>
          <t>Dry reefer</t>
        </is>
      </c>
      <c r="L301" t="inlineStr">
        <is>
          <t>9'6</t>
        </is>
      </c>
      <c r="M301" t="inlineStr">
        <is>
          <t>Full</t>
        </is>
      </c>
      <c r="P301">
        <f t="array" ref="P301">IFERROR(INDEX(Disch_Booking_Report!B:B, MATCH(TRUE, ISNUMBER(FIND(SUBSTITUTE(C301," ",""), Disch_Booking_Report!AC:AC)), 0)), "Not Found")</f>
        <v/>
      </c>
      <c r="Q301">
        <f t="array" ref="Q301">IFERROR(INDEX(Disch_Booking_Report!C:C, MATCH(TRUE, ISNUMBER(FIND(SUBSTITUTE(C301," ",""), Disch_Booking_Report!AC:AC)), 0)), "Not Found")</f>
        <v/>
      </c>
      <c r="R301">
        <f t="array" ref="R301">IFERROR(INDEX(Disch_Booking_Report!AD:AD, MATCH(TRUE, ISNUMBER(FIND(SUBSTITUTE(C301," ",""), Disch_Booking_Report!AC:AC)), 0)), "Not Found")</f>
        <v/>
      </c>
      <c r="S301">
        <f>Tabela2[[#This Row],[Weight]]</f>
        <v/>
      </c>
      <c r="T301">
        <f t="array" ref="T301">IFERROR(INDEX(Disch_Booking_Report!L:L, MATCH(TRUE, ISNUMBER(FIND(SUBSTITUTE(C301," ",""), Disch_Booking_Report!AC:AC)), 0)), "Not Found")</f>
        <v/>
      </c>
      <c r="U301">
        <f t="array" ref="U301">IFERROR(INDEX(Disch_Booking_Report!I:I, MATCH(TRUE, ISNUMBER(FIND(SUBSTITUTE(C301," ",""), Disch_Booking_Report!AC:AC)), 0)), "Not Found")</f>
        <v/>
      </c>
    </row>
    <row r="302">
      <c r="A302" t="n">
        <v>22</v>
      </c>
      <c r="B302" t="n">
        <v>220508</v>
      </c>
      <c r="C302" t="inlineStr">
        <is>
          <t xml:space="preserve">     ANON0000000</t>
        </is>
      </c>
      <c r="D302" t="n">
        <v>40</v>
      </c>
      <c r="E302" t="inlineStr">
        <is>
          <t>RULED</t>
        </is>
      </c>
      <c r="F302" t="inlineStr">
        <is>
          <t>USNFK</t>
        </is>
      </c>
      <c r="G302" t="n">
        <v>32950</v>
      </c>
      <c r="H302" t="inlineStr">
        <is>
          <t>ART</t>
        </is>
      </c>
      <c r="I302" t="inlineStr">
        <is>
          <t>45R1</t>
        </is>
      </c>
      <c r="K302" t="inlineStr">
        <is>
          <t>Dry reefer</t>
        </is>
      </c>
      <c r="L302" t="inlineStr">
        <is>
          <t>9'6</t>
        </is>
      </c>
      <c r="M302" t="inlineStr">
        <is>
          <t>Full</t>
        </is>
      </c>
      <c r="P302">
        <f t="array" ref="P302">IFERROR(INDEX(Disch_Booking_Report!B:B, MATCH(TRUE, ISNUMBER(FIND(SUBSTITUTE(C302," ",""), Disch_Booking_Report!AC:AC)), 0)), "Not Found")</f>
        <v/>
      </c>
      <c r="Q302">
        <f t="array" ref="Q302">IFERROR(INDEX(Disch_Booking_Report!C:C, MATCH(TRUE, ISNUMBER(FIND(SUBSTITUTE(C302," ",""), Disch_Booking_Report!AC:AC)), 0)), "Not Found")</f>
        <v/>
      </c>
      <c r="R302">
        <f t="array" ref="R302">IFERROR(INDEX(Disch_Booking_Report!AD:AD, MATCH(TRUE, ISNUMBER(FIND(SUBSTITUTE(C302," ",""), Disch_Booking_Report!AC:AC)), 0)), "Not Found")</f>
        <v/>
      </c>
      <c r="S302">
        <f>Tabela2[[#This Row],[Weight]]</f>
        <v/>
      </c>
      <c r="T302">
        <f t="array" ref="T302">IFERROR(INDEX(Disch_Booking_Report!L:L, MATCH(TRUE, ISNUMBER(FIND(SUBSTITUTE(C302," ",""), Disch_Booking_Report!AC:AC)), 0)), "Not Found")</f>
        <v/>
      </c>
      <c r="U302">
        <f t="array" ref="U302">IFERROR(INDEX(Disch_Booking_Report!I:I, MATCH(TRUE, ISNUMBER(FIND(SUBSTITUTE(C302," ",""), Disch_Booking_Report!AC:AC)), 0)), "Not Found")</f>
        <v/>
      </c>
    </row>
    <row r="303">
      <c r="A303" t="n">
        <v>22</v>
      </c>
      <c r="B303" t="n">
        <v>220684</v>
      </c>
      <c r="C303" t="inlineStr">
        <is>
          <t xml:space="preserve">     ANON0000000</t>
        </is>
      </c>
      <c r="D303" t="n">
        <v>40</v>
      </c>
      <c r="E303" t="inlineStr">
        <is>
          <t>RULED</t>
        </is>
      </c>
      <c r="F303" t="inlineStr">
        <is>
          <t>USNFK</t>
        </is>
      </c>
      <c r="G303" t="n">
        <v>33640</v>
      </c>
      <c r="H303" t="inlineStr">
        <is>
          <t>ART</t>
        </is>
      </c>
      <c r="I303" t="inlineStr">
        <is>
          <t>45R1</t>
        </is>
      </c>
      <c r="K303" t="inlineStr">
        <is>
          <t>Dry reefer</t>
        </is>
      </c>
      <c r="L303" t="inlineStr">
        <is>
          <t>9'6</t>
        </is>
      </c>
      <c r="M303" t="inlineStr">
        <is>
          <t>Full</t>
        </is>
      </c>
      <c r="P303">
        <f t="array" ref="P303">IFERROR(INDEX(Disch_Booking_Report!B:B, MATCH(TRUE, ISNUMBER(FIND(SUBSTITUTE(C303," ",""), Disch_Booking_Report!AC:AC)), 0)), "Not Found")</f>
        <v/>
      </c>
      <c r="Q303">
        <f t="array" ref="Q303">IFERROR(INDEX(Disch_Booking_Report!C:C, MATCH(TRUE, ISNUMBER(FIND(SUBSTITUTE(C303," ",""), Disch_Booking_Report!AC:AC)), 0)), "Not Found")</f>
        <v/>
      </c>
      <c r="R303">
        <f t="array" ref="R303">IFERROR(INDEX(Disch_Booking_Report!AD:AD, MATCH(TRUE, ISNUMBER(FIND(SUBSTITUTE(C303," ",""), Disch_Booking_Report!AC:AC)), 0)), "Not Found")</f>
        <v/>
      </c>
      <c r="S303">
        <f>Tabela2[[#This Row],[Weight]]</f>
        <v/>
      </c>
      <c r="T303">
        <f t="array" ref="T303">IFERROR(INDEX(Disch_Booking_Report!L:L, MATCH(TRUE, ISNUMBER(FIND(SUBSTITUTE(C303," ",""), Disch_Booking_Report!AC:AC)), 0)), "Not Found")</f>
        <v/>
      </c>
      <c r="U303">
        <f t="array" ref="U303">IFERROR(INDEX(Disch_Booking_Report!I:I, MATCH(TRUE, ISNUMBER(FIND(SUBSTITUTE(C303," ",""), Disch_Booking_Report!AC:AC)), 0)), "Not Found")</f>
        <v/>
      </c>
    </row>
    <row r="304">
      <c r="A304" t="n">
        <v>22</v>
      </c>
      <c r="B304" t="n">
        <v>220808</v>
      </c>
      <c r="C304" t="inlineStr">
        <is>
          <t xml:space="preserve">     ANON0000000</t>
        </is>
      </c>
      <c r="D304" t="n">
        <v>40</v>
      </c>
      <c r="E304" t="inlineStr">
        <is>
          <t>RULED</t>
        </is>
      </c>
      <c r="F304" t="inlineStr">
        <is>
          <t>USNFK</t>
        </is>
      </c>
      <c r="G304" t="n">
        <v>32930</v>
      </c>
      <c r="H304" t="inlineStr">
        <is>
          <t>ART</t>
        </is>
      </c>
      <c r="I304" t="inlineStr">
        <is>
          <t>45R1</t>
        </is>
      </c>
      <c r="K304" t="inlineStr">
        <is>
          <t>Dry reefer</t>
        </is>
      </c>
      <c r="L304" t="inlineStr">
        <is>
          <t>9'6</t>
        </is>
      </c>
      <c r="M304" t="inlineStr">
        <is>
          <t>Full</t>
        </is>
      </c>
      <c r="P304">
        <f t="array" ref="P304">IFERROR(INDEX(Disch_Booking_Report!B:B, MATCH(TRUE, ISNUMBER(FIND(SUBSTITUTE(C304," ",""), Disch_Booking_Report!AC:AC)), 0)), "Not Found")</f>
        <v/>
      </c>
      <c r="Q304">
        <f t="array" ref="Q304">IFERROR(INDEX(Disch_Booking_Report!C:C, MATCH(TRUE, ISNUMBER(FIND(SUBSTITUTE(C304," ",""), Disch_Booking_Report!AC:AC)), 0)), "Not Found")</f>
        <v/>
      </c>
      <c r="R304">
        <f t="array" ref="R304">IFERROR(INDEX(Disch_Booking_Report!AD:AD, MATCH(TRUE, ISNUMBER(FIND(SUBSTITUTE(C304," ",""), Disch_Booking_Report!AC:AC)), 0)), "Not Found")</f>
        <v/>
      </c>
      <c r="S304">
        <f>Tabela2[[#This Row],[Weight]]</f>
        <v/>
      </c>
      <c r="T304">
        <f t="array" ref="T304">IFERROR(INDEX(Disch_Booking_Report!L:L, MATCH(TRUE, ISNUMBER(FIND(SUBSTITUTE(C304," ",""), Disch_Booking_Report!AC:AC)), 0)), "Not Found")</f>
        <v/>
      </c>
      <c r="U304">
        <f t="array" ref="U304">IFERROR(INDEX(Disch_Booking_Report!I:I, MATCH(TRUE, ISNUMBER(FIND(SUBSTITUTE(C304," ",""), Disch_Booking_Report!AC:AC)), 0)), "Not Found")</f>
        <v/>
      </c>
    </row>
    <row r="305">
      <c r="A305" t="n">
        <v>22</v>
      </c>
      <c r="B305" t="n">
        <v>220302</v>
      </c>
      <c r="C305" t="inlineStr">
        <is>
          <t xml:space="preserve">     ANON0000000</t>
        </is>
      </c>
      <c r="D305" t="n">
        <v>40</v>
      </c>
      <c r="E305" t="inlineStr">
        <is>
          <t>RULED</t>
        </is>
      </c>
      <c r="F305" t="inlineStr">
        <is>
          <t>USNFK</t>
        </is>
      </c>
      <c r="G305" t="n">
        <v>32970</v>
      </c>
      <c r="H305" t="inlineStr">
        <is>
          <t>ART</t>
        </is>
      </c>
      <c r="I305" t="inlineStr">
        <is>
          <t>45R1</t>
        </is>
      </c>
      <c r="K305" t="inlineStr">
        <is>
          <t>Dry reefer</t>
        </is>
      </c>
      <c r="L305" t="inlineStr">
        <is>
          <t>9'6</t>
        </is>
      </c>
      <c r="M305" t="inlineStr">
        <is>
          <t>Full</t>
        </is>
      </c>
      <c r="P305">
        <f t="array" ref="P305">IFERROR(INDEX(Disch_Booking_Report!B:B, MATCH(TRUE, ISNUMBER(FIND(SUBSTITUTE(C305," ",""), Disch_Booking_Report!AC:AC)), 0)), "Not Found")</f>
        <v/>
      </c>
      <c r="Q305">
        <f t="array" ref="Q305">IFERROR(INDEX(Disch_Booking_Report!C:C, MATCH(TRUE, ISNUMBER(FIND(SUBSTITUTE(C305," ",""), Disch_Booking_Report!AC:AC)), 0)), "Not Found")</f>
        <v/>
      </c>
      <c r="R305">
        <f t="array" ref="R305">IFERROR(INDEX(Disch_Booking_Report!AD:AD, MATCH(TRUE, ISNUMBER(FIND(SUBSTITUTE(C305," ",""), Disch_Booking_Report!AC:AC)), 0)), "Not Found")</f>
        <v/>
      </c>
      <c r="S305">
        <f>Tabela2[[#This Row],[Weight]]</f>
        <v/>
      </c>
      <c r="T305">
        <f t="array" ref="T305">IFERROR(INDEX(Disch_Booking_Report!L:L, MATCH(TRUE, ISNUMBER(FIND(SUBSTITUTE(C305," ",""), Disch_Booking_Report!AC:AC)), 0)), "Not Found")</f>
        <v/>
      </c>
      <c r="U305">
        <f t="array" ref="U305">IFERROR(INDEX(Disch_Booking_Report!I:I, MATCH(TRUE, ISNUMBER(FIND(SUBSTITUTE(C305," ",""), Disch_Booking_Report!AC:AC)), 0)), "Not Found")</f>
        <v/>
      </c>
    </row>
    <row r="306">
      <c r="A306" t="n">
        <v>22</v>
      </c>
      <c r="B306" t="n">
        <v>220702</v>
      </c>
      <c r="C306" t="inlineStr">
        <is>
          <t xml:space="preserve">     ANON0000000</t>
        </is>
      </c>
      <c r="D306" t="n">
        <v>40</v>
      </c>
      <c r="E306" t="inlineStr">
        <is>
          <t>RULED</t>
        </is>
      </c>
      <c r="F306" t="inlineStr">
        <is>
          <t>USNFK</t>
        </is>
      </c>
      <c r="G306" t="n">
        <v>32980</v>
      </c>
      <c r="H306" t="inlineStr">
        <is>
          <t>ART</t>
        </is>
      </c>
      <c r="I306" t="inlineStr">
        <is>
          <t>45R1</t>
        </is>
      </c>
      <c r="K306" t="inlineStr">
        <is>
          <t>Dry reefer</t>
        </is>
      </c>
      <c r="L306" t="inlineStr">
        <is>
          <t>9'6</t>
        </is>
      </c>
      <c r="M306" t="inlineStr">
        <is>
          <t>Full</t>
        </is>
      </c>
      <c r="P306">
        <f t="array" ref="P306">IFERROR(INDEX(Disch_Booking_Report!B:B, MATCH(TRUE, ISNUMBER(FIND(SUBSTITUTE(C306," ",""), Disch_Booking_Report!AC:AC)), 0)), "Not Found")</f>
        <v/>
      </c>
      <c r="Q306">
        <f t="array" ref="Q306">IFERROR(INDEX(Disch_Booking_Report!C:C, MATCH(TRUE, ISNUMBER(FIND(SUBSTITUTE(C306," ",""), Disch_Booking_Report!AC:AC)), 0)), "Not Found")</f>
        <v/>
      </c>
      <c r="R306">
        <f t="array" ref="R306">IFERROR(INDEX(Disch_Booking_Report!AD:AD, MATCH(TRUE, ISNUMBER(FIND(SUBSTITUTE(C306," ",""), Disch_Booking_Report!AC:AC)), 0)), "Not Found")</f>
        <v/>
      </c>
      <c r="S306">
        <f>Tabela2[[#This Row],[Weight]]</f>
        <v/>
      </c>
      <c r="T306">
        <f t="array" ref="T306">IFERROR(INDEX(Disch_Booking_Report!L:L, MATCH(TRUE, ISNUMBER(FIND(SUBSTITUTE(C306," ",""), Disch_Booking_Report!AC:AC)), 0)), "Not Found")</f>
        <v/>
      </c>
      <c r="U306">
        <f t="array" ref="U306">IFERROR(INDEX(Disch_Booking_Report!I:I, MATCH(TRUE, ISNUMBER(FIND(SUBSTITUTE(C306," ",""), Disch_Booking_Report!AC:AC)), 0)), "Not Found")</f>
        <v/>
      </c>
    </row>
    <row r="307">
      <c r="A307" t="n">
        <v>22</v>
      </c>
      <c r="B307" t="n">
        <v>221082</v>
      </c>
      <c r="C307" t="inlineStr">
        <is>
          <t xml:space="preserve">     ANON0000000</t>
        </is>
      </c>
      <c r="D307" t="n">
        <v>40</v>
      </c>
      <c r="E307" t="inlineStr">
        <is>
          <t>RULED</t>
        </is>
      </c>
      <c r="F307" t="inlineStr">
        <is>
          <t>USNFK</t>
        </is>
      </c>
      <c r="G307" t="n">
        <v>30940</v>
      </c>
      <c r="H307" t="inlineStr">
        <is>
          <t>ART</t>
        </is>
      </c>
      <c r="I307" t="inlineStr">
        <is>
          <t>45R1</t>
        </is>
      </c>
      <c r="K307" t="inlineStr">
        <is>
          <t>Dry reefer</t>
        </is>
      </c>
      <c r="L307" t="inlineStr">
        <is>
          <t>9'6</t>
        </is>
      </c>
      <c r="M307" t="inlineStr">
        <is>
          <t>Full</t>
        </is>
      </c>
      <c r="P307">
        <f t="array" ref="P307">IFERROR(INDEX(Disch_Booking_Report!B:B, MATCH(TRUE, ISNUMBER(FIND(SUBSTITUTE(C307," ",""), Disch_Booking_Report!AC:AC)), 0)), "Not Found")</f>
        <v/>
      </c>
      <c r="Q307">
        <f t="array" ref="Q307">IFERROR(INDEX(Disch_Booking_Report!C:C, MATCH(TRUE, ISNUMBER(FIND(SUBSTITUTE(C307," ",""), Disch_Booking_Report!AC:AC)), 0)), "Not Found")</f>
        <v/>
      </c>
      <c r="R307">
        <f t="array" ref="R307">IFERROR(INDEX(Disch_Booking_Report!AD:AD, MATCH(TRUE, ISNUMBER(FIND(SUBSTITUTE(C307," ",""), Disch_Booking_Report!AC:AC)), 0)), "Not Found")</f>
        <v/>
      </c>
      <c r="S307">
        <f>Tabela2[[#This Row],[Weight]]</f>
        <v/>
      </c>
      <c r="T307">
        <f t="array" ref="T307">IFERROR(INDEX(Disch_Booking_Report!L:L, MATCH(TRUE, ISNUMBER(FIND(SUBSTITUTE(C307," ",""), Disch_Booking_Report!AC:AC)), 0)), "Not Found")</f>
        <v/>
      </c>
      <c r="U307">
        <f t="array" ref="U307">IFERROR(INDEX(Disch_Booking_Report!I:I, MATCH(TRUE, ISNUMBER(FIND(SUBSTITUTE(C307," ",""), Disch_Booking_Report!AC:AC)), 0)), "Not Found")</f>
        <v/>
      </c>
    </row>
    <row r="308">
      <c r="A308" t="n">
        <v>22</v>
      </c>
      <c r="B308" t="n">
        <v>220882</v>
      </c>
      <c r="C308" t="inlineStr">
        <is>
          <t xml:space="preserve">     ANON0000000</t>
        </is>
      </c>
      <c r="D308" t="n">
        <v>40</v>
      </c>
      <c r="E308" t="inlineStr">
        <is>
          <t>RULED</t>
        </is>
      </c>
      <c r="F308" t="inlineStr">
        <is>
          <t>USNFK</t>
        </is>
      </c>
      <c r="G308" t="n">
        <v>33380</v>
      </c>
      <c r="H308" t="inlineStr">
        <is>
          <t>ART</t>
        </is>
      </c>
      <c r="I308" t="inlineStr">
        <is>
          <t>45R1</t>
        </is>
      </c>
      <c r="K308" t="inlineStr">
        <is>
          <t>Dry reefer</t>
        </is>
      </c>
      <c r="L308" t="inlineStr">
        <is>
          <t>9'6</t>
        </is>
      </c>
      <c r="M308" t="inlineStr">
        <is>
          <t>Full</t>
        </is>
      </c>
      <c r="P308">
        <f t="array" ref="P308">IFERROR(INDEX(Disch_Booking_Report!B:B, MATCH(TRUE, ISNUMBER(FIND(SUBSTITUTE(C308," ",""), Disch_Booking_Report!AC:AC)), 0)), "Not Found")</f>
        <v/>
      </c>
      <c r="Q308">
        <f t="array" ref="Q308">IFERROR(INDEX(Disch_Booking_Report!C:C, MATCH(TRUE, ISNUMBER(FIND(SUBSTITUTE(C308," ",""), Disch_Booking_Report!AC:AC)), 0)), "Not Found")</f>
        <v/>
      </c>
      <c r="R308">
        <f t="array" ref="R308">IFERROR(INDEX(Disch_Booking_Report!AD:AD, MATCH(TRUE, ISNUMBER(FIND(SUBSTITUTE(C308," ",""), Disch_Booking_Report!AC:AC)), 0)), "Not Found")</f>
        <v/>
      </c>
      <c r="S308">
        <f>Tabela2[[#This Row],[Weight]]</f>
        <v/>
      </c>
      <c r="T308">
        <f t="array" ref="T308">IFERROR(INDEX(Disch_Booking_Report!L:L, MATCH(TRUE, ISNUMBER(FIND(SUBSTITUTE(C308," ",""), Disch_Booking_Report!AC:AC)), 0)), "Not Found")</f>
        <v/>
      </c>
      <c r="U308">
        <f t="array" ref="U308">IFERROR(INDEX(Disch_Booking_Report!I:I, MATCH(TRUE, ISNUMBER(FIND(SUBSTITUTE(C308," ",""), Disch_Booking_Report!AC:AC)), 0)), "Not Found")</f>
        <v/>
      </c>
    </row>
    <row r="309">
      <c r="A309" t="n">
        <v>22</v>
      </c>
      <c r="B309" t="n">
        <v>221084</v>
      </c>
      <c r="C309" t="inlineStr">
        <is>
          <t xml:space="preserve">     ANON0000000</t>
        </is>
      </c>
      <c r="D309" t="n">
        <v>40</v>
      </c>
      <c r="E309" t="inlineStr">
        <is>
          <t>RULED</t>
        </is>
      </c>
      <c r="F309" t="inlineStr">
        <is>
          <t>USNFK</t>
        </is>
      </c>
      <c r="G309" t="n">
        <v>26600</v>
      </c>
      <c r="H309" t="inlineStr">
        <is>
          <t>MLINE</t>
        </is>
      </c>
      <c r="I309" t="inlineStr">
        <is>
          <t>45G1</t>
        </is>
      </c>
      <c r="L309" t="inlineStr">
        <is>
          <t>9'6</t>
        </is>
      </c>
      <c r="M309" t="inlineStr">
        <is>
          <t>Full</t>
        </is>
      </c>
      <c r="P309">
        <f t="array" ref="P309">IFERROR(INDEX(Disch_Booking_Report!B:B, MATCH(TRUE, ISNUMBER(FIND(SUBSTITUTE(C309," ",""), Disch_Booking_Report!AC:AC)), 0)), "Not Found")</f>
        <v/>
      </c>
      <c r="Q309">
        <f t="array" ref="Q309">IFERROR(INDEX(Disch_Booking_Report!C:C, MATCH(TRUE, ISNUMBER(FIND(SUBSTITUTE(C309," ",""), Disch_Booking_Report!AC:AC)), 0)), "Not Found")</f>
        <v/>
      </c>
      <c r="R309">
        <f t="array" ref="R309">IFERROR(INDEX(Disch_Booking_Report!AD:AD, MATCH(TRUE, ISNUMBER(FIND(SUBSTITUTE(C309," ",""), Disch_Booking_Report!AC:AC)), 0)), "Not Found")</f>
        <v/>
      </c>
      <c r="S309">
        <f>Tabela2[[#This Row],[Weight]]</f>
        <v/>
      </c>
      <c r="T309">
        <f t="array" ref="T309">IFERROR(INDEX(Disch_Booking_Report!L:L, MATCH(TRUE, ISNUMBER(FIND(SUBSTITUTE(C309," ",""), Disch_Booking_Report!AC:AC)), 0)), "Not Found")</f>
        <v/>
      </c>
      <c r="U309">
        <f t="array" ref="U309">IFERROR(INDEX(Disch_Booking_Report!I:I, MATCH(TRUE, ISNUMBER(FIND(SUBSTITUTE(C309," ",""), Disch_Booking_Report!AC:AC)), 0)), "Not Found")</f>
        <v/>
      </c>
    </row>
    <row r="310">
      <c r="A310" t="n">
        <v>22</v>
      </c>
      <c r="B310" t="n">
        <v>220984</v>
      </c>
      <c r="C310" t="inlineStr">
        <is>
          <t xml:space="preserve">     ANON0000000</t>
        </is>
      </c>
      <c r="D310" t="n">
        <v>40</v>
      </c>
      <c r="E310" t="inlineStr">
        <is>
          <t>RULED</t>
        </is>
      </c>
      <c r="F310" t="inlineStr">
        <is>
          <t>USNFK</t>
        </is>
      </c>
      <c r="G310" t="n">
        <v>26300</v>
      </c>
      <c r="H310" t="inlineStr">
        <is>
          <t>MLINE</t>
        </is>
      </c>
      <c r="I310" t="inlineStr">
        <is>
          <t>45G1</t>
        </is>
      </c>
      <c r="L310" t="inlineStr">
        <is>
          <t>9'6</t>
        </is>
      </c>
      <c r="M310" t="inlineStr">
        <is>
          <t>Full</t>
        </is>
      </c>
      <c r="P310">
        <f t="array" ref="P310">IFERROR(INDEX(Disch_Booking_Report!B:B, MATCH(TRUE, ISNUMBER(FIND(SUBSTITUTE(C310," ",""), Disch_Booking_Report!AC:AC)), 0)), "Not Found")</f>
        <v/>
      </c>
      <c r="Q310">
        <f t="array" ref="Q310">IFERROR(INDEX(Disch_Booking_Report!C:C, MATCH(TRUE, ISNUMBER(FIND(SUBSTITUTE(C310," ",""), Disch_Booking_Report!AC:AC)), 0)), "Not Found")</f>
        <v/>
      </c>
      <c r="R310">
        <f t="array" ref="R310">IFERROR(INDEX(Disch_Booking_Report!AD:AD, MATCH(TRUE, ISNUMBER(FIND(SUBSTITUTE(C310," ",""), Disch_Booking_Report!AC:AC)), 0)), "Not Found")</f>
        <v/>
      </c>
      <c r="S310">
        <f>Tabela2[[#This Row],[Weight]]</f>
        <v/>
      </c>
      <c r="T310">
        <f t="array" ref="T310">IFERROR(INDEX(Disch_Booking_Report!L:L, MATCH(TRUE, ISNUMBER(FIND(SUBSTITUTE(C310," ",""), Disch_Booking_Report!AC:AC)), 0)), "Not Found")</f>
        <v/>
      </c>
      <c r="U310">
        <f t="array" ref="U310">IFERROR(INDEX(Disch_Booking_Report!I:I, MATCH(TRUE, ISNUMBER(FIND(SUBSTITUTE(C310," ",""), Disch_Booking_Report!AC:AC)), 0)), "Not Found")</f>
        <v/>
      </c>
    </row>
    <row r="311">
      <c r="A311" t="n">
        <v>22</v>
      </c>
      <c r="B311" t="n">
        <v>220982</v>
      </c>
      <c r="C311" t="inlineStr">
        <is>
          <t xml:space="preserve">     ANON0000000</t>
        </is>
      </c>
      <c r="D311" t="n">
        <v>40</v>
      </c>
      <c r="E311" t="inlineStr">
        <is>
          <t>RULED</t>
        </is>
      </c>
      <c r="F311" t="inlineStr">
        <is>
          <t>USNFK</t>
        </is>
      </c>
      <c r="G311" t="n">
        <v>30950</v>
      </c>
      <c r="H311" t="inlineStr">
        <is>
          <t>ART</t>
        </is>
      </c>
      <c r="I311" t="inlineStr">
        <is>
          <t>45R1</t>
        </is>
      </c>
      <c r="K311" t="inlineStr">
        <is>
          <t>Dry reefer</t>
        </is>
      </c>
      <c r="L311" t="inlineStr">
        <is>
          <t>9'6</t>
        </is>
      </c>
      <c r="M311" t="inlineStr">
        <is>
          <t>Full</t>
        </is>
      </c>
      <c r="P311">
        <f t="array" ref="P311">IFERROR(INDEX(Disch_Booking_Report!B:B, MATCH(TRUE, ISNUMBER(FIND(SUBSTITUTE(C311," ",""), Disch_Booking_Report!AC:AC)), 0)), "Not Found")</f>
        <v/>
      </c>
      <c r="Q311">
        <f t="array" ref="Q311">IFERROR(INDEX(Disch_Booking_Report!C:C, MATCH(TRUE, ISNUMBER(FIND(SUBSTITUTE(C311," ",""), Disch_Booking_Report!AC:AC)), 0)), "Not Found")</f>
        <v/>
      </c>
      <c r="R311">
        <f t="array" ref="R311">IFERROR(INDEX(Disch_Booking_Report!AD:AD, MATCH(TRUE, ISNUMBER(FIND(SUBSTITUTE(C311," ",""), Disch_Booking_Report!AC:AC)), 0)), "Not Found")</f>
        <v/>
      </c>
      <c r="S311">
        <f>Tabela2[[#This Row],[Weight]]</f>
        <v/>
      </c>
      <c r="T311">
        <f t="array" ref="T311">IFERROR(INDEX(Disch_Booking_Report!L:L, MATCH(TRUE, ISNUMBER(FIND(SUBSTITUTE(C311," ",""), Disch_Booking_Report!AC:AC)), 0)), "Not Found")</f>
        <v/>
      </c>
      <c r="U311">
        <f t="array" ref="U311">IFERROR(INDEX(Disch_Booking_Report!I:I, MATCH(TRUE, ISNUMBER(FIND(SUBSTITUTE(C311," ",""), Disch_Booking_Report!AC:AC)), 0)), "Not Found")</f>
        <v/>
      </c>
    </row>
    <row r="312">
      <c r="A312" t="n">
        <v>22</v>
      </c>
      <c r="B312" t="n">
        <v>220806</v>
      </c>
      <c r="C312" t="inlineStr">
        <is>
          <t xml:space="preserve">     ANON0000000</t>
        </is>
      </c>
      <c r="D312" t="n">
        <v>40</v>
      </c>
      <c r="E312" t="inlineStr">
        <is>
          <t>RULED</t>
        </is>
      </c>
      <c r="F312" t="inlineStr">
        <is>
          <t>USNFK</t>
        </is>
      </c>
      <c r="G312" t="n">
        <v>32980</v>
      </c>
      <c r="H312" t="inlineStr">
        <is>
          <t>ART</t>
        </is>
      </c>
      <c r="I312" t="inlineStr">
        <is>
          <t>45R1</t>
        </is>
      </c>
      <c r="K312" t="inlineStr">
        <is>
          <t>Dry reefer</t>
        </is>
      </c>
      <c r="L312" t="inlineStr">
        <is>
          <t>9'6</t>
        </is>
      </c>
      <c r="M312" t="inlineStr">
        <is>
          <t>Full</t>
        </is>
      </c>
      <c r="P312">
        <f t="array" ref="P312">IFERROR(INDEX(Disch_Booking_Report!B:B, MATCH(TRUE, ISNUMBER(FIND(SUBSTITUTE(C312," ",""), Disch_Booking_Report!AC:AC)), 0)), "Not Found")</f>
        <v/>
      </c>
      <c r="Q312">
        <f t="array" ref="Q312">IFERROR(INDEX(Disch_Booking_Report!C:C, MATCH(TRUE, ISNUMBER(FIND(SUBSTITUTE(C312," ",""), Disch_Booking_Report!AC:AC)), 0)), "Not Found")</f>
        <v/>
      </c>
      <c r="R312">
        <f t="array" ref="R312">IFERROR(INDEX(Disch_Booking_Report!AD:AD, MATCH(TRUE, ISNUMBER(FIND(SUBSTITUTE(C312," ",""), Disch_Booking_Report!AC:AC)), 0)), "Not Found")</f>
        <v/>
      </c>
      <c r="S312">
        <f>Tabela2[[#This Row],[Weight]]</f>
        <v/>
      </c>
      <c r="T312">
        <f t="array" ref="T312">IFERROR(INDEX(Disch_Booking_Report!L:L, MATCH(TRUE, ISNUMBER(FIND(SUBSTITUTE(C312," ",""), Disch_Booking_Report!AC:AC)), 0)), "Not Found")</f>
        <v/>
      </c>
      <c r="U312">
        <f t="array" ref="U312">IFERROR(INDEX(Disch_Booking_Report!I:I, MATCH(TRUE, ISNUMBER(FIND(SUBSTITUTE(C312," ",""), Disch_Booking_Report!AC:AC)), 0)), "Not Found")</f>
        <v/>
      </c>
    </row>
    <row r="313">
      <c r="A313" t="n">
        <v>26</v>
      </c>
      <c r="B313" t="n">
        <v>260704</v>
      </c>
      <c r="C313" t="inlineStr">
        <is>
          <t xml:space="preserve">     ANON0000000</t>
        </is>
      </c>
      <c r="D313" t="n">
        <v>40</v>
      </c>
      <c r="E313" t="inlineStr">
        <is>
          <t>RULED</t>
        </is>
      </c>
      <c r="F313" t="inlineStr">
        <is>
          <t>USNYC</t>
        </is>
      </c>
      <c r="G313" t="n">
        <v>32460</v>
      </c>
      <c r="H313" t="inlineStr">
        <is>
          <t>ART</t>
        </is>
      </c>
      <c r="I313" t="inlineStr">
        <is>
          <t>45G1</t>
        </is>
      </c>
      <c r="L313" t="inlineStr">
        <is>
          <t>9'6</t>
        </is>
      </c>
      <c r="M313" t="inlineStr">
        <is>
          <t>Full</t>
        </is>
      </c>
      <c r="P313">
        <f t="array" ref="P313">IFERROR(INDEX(Disch_Booking_Report!B:B, MATCH(TRUE, ISNUMBER(FIND(SUBSTITUTE(C313," ",""), Disch_Booking_Report!AC:AC)), 0)), "Not Found")</f>
        <v/>
      </c>
      <c r="Q313">
        <f t="array" ref="Q313">IFERROR(INDEX(Disch_Booking_Report!C:C, MATCH(TRUE, ISNUMBER(FIND(SUBSTITUTE(C313," ",""), Disch_Booking_Report!AC:AC)), 0)), "Not Found")</f>
        <v/>
      </c>
      <c r="R313">
        <f t="array" ref="R313">IFERROR(INDEX(Disch_Booking_Report!AD:AD, MATCH(TRUE, ISNUMBER(FIND(SUBSTITUTE(C313," ",""), Disch_Booking_Report!AC:AC)), 0)), "Not Found")</f>
        <v/>
      </c>
      <c r="S313">
        <f>Tabela2[[#This Row],[Weight]]</f>
        <v/>
      </c>
      <c r="T313">
        <f t="array" ref="T313">IFERROR(INDEX(Disch_Booking_Report!L:L, MATCH(TRUE, ISNUMBER(FIND(SUBSTITUTE(C313," ",""), Disch_Booking_Report!AC:AC)), 0)), "Not Found")</f>
        <v/>
      </c>
      <c r="U313">
        <f t="array" ref="U313">IFERROR(INDEX(Disch_Booking_Report!I:I, MATCH(TRUE, ISNUMBER(FIND(SUBSTITUTE(C313," ",""), Disch_Booking_Report!AC:AC)), 0)), "Not Found")</f>
        <v/>
      </c>
    </row>
    <row r="314">
      <c r="A314" t="n">
        <v>26</v>
      </c>
      <c r="B314" t="n">
        <v>260804</v>
      </c>
      <c r="C314" t="inlineStr">
        <is>
          <t xml:space="preserve">     ANON0000000</t>
        </is>
      </c>
      <c r="D314" t="n">
        <v>40</v>
      </c>
      <c r="E314" t="inlineStr">
        <is>
          <t>RULED</t>
        </is>
      </c>
      <c r="F314" t="inlineStr">
        <is>
          <t>USNYC</t>
        </is>
      </c>
      <c r="G314" t="n">
        <v>32320</v>
      </c>
      <c r="H314" t="inlineStr">
        <is>
          <t>ART</t>
        </is>
      </c>
      <c r="I314" t="inlineStr">
        <is>
          <t>45G1</t>
        </is>
      </c>
      <c r="L314" t="inlineStr">
        <is>
          <t>9'6</t>
        </is>
      </c>
      <c r="M314" t="inlineStr">
        <is>
          <t>Full</t>
        </is>
      </c>
      <c r="P314">
        <f t="array" ref="P314">IFERROR(INDEX(Disch_Booking_Report!B:B, MATCH(TRUE, ISNUMBER(FIND(SUBSTITUTE(C314," ",""), Disch_Booking_Report!AC:AC)), 0)), "Not Found")</f>
        <v/>
      </c>
      <c r="Q314">
        <f t="array" ref="Q314">IFERROR(INDEX(Disch_Booking_Report!C:C, MATCH(TRUE, ISNUMBER(FIND(SUBSTITUTE(C314," ",""), Disch_Booking_Report!AC:AC)), 0)), "Not Found")</f>
        <v/>
      </c>
      <c r="R314">
        <f t="array" ref="R314">IFERROR(INDEX(Disch_Booking_Report!AD:AD, MATCH(TRUE, ISNUMBER(FIND(SUBSTITUTE(C314," ",""), Disch_Booking_Report!AC:AC)), 0)), "Not Found")</f>
        <v/>
      </c>
      <c r="S314">
        <f>Tabela2[[#This Row],[Weight]]</f>
        <v/>
      </c>
      <c r="T314">
        <f t="array" ref="T314">IFERROR(INDEX(Disch_Booking_Report!L:L, MATCH(TRUE, ISNUMBER(FIND(SUBSTITUTE(C314," ",""), Disch_Booking_Report!AC:AC)), 0)), "Not Found")</f>
        <v/>
      </c>
      <c r="U314">
        <f t="array" ref="U314">IFERROR(INDEX(Disch_Booking_Report!I:I, MATCH(TRUE, ISNUMBER(FIND(SUBSTITUTE(C314," ",""), Disch_Booking_Report!AC:AC)), 0)), "Not Found")</f>
        <v/>
      </c>
    </row>
    <row r="315">
      <c r="A315" t="n">
        <v>26</v>
      </c>
      <c r="B315" t="n">
        <v>260806</v>
      </c>
      <c r="C315" t="inlineStr">
        <is>
          <t xml:space="preserve">     ANON0000000</t>
        </is>
      </c>
      <c r="D315" t="n">
        <v>40</v>
      </c>
      <c r="E315" t="inlineStr">
        <is>
          <t>RULED</t>
        </is>
      </c>
      <c r="F315" t="inlineStr">
        <is>
          <t>USNYC</t>
        </is>
      </c>
      <c r="G315" t="n">
        <v>34040</v>
      </c>
      <c r="H315" t="inlineStr">
        <is>
          <t>ART</t>
        </is>
      </c>
      <c r="I315" t="inlineStr">
        <is>
          <t>45R1</t>
        </is>
      </c>
      <c r="K315" t="inlineStr">
        <is>
          <t>Dry reefer</t>
        </is>
      </c>
      <c r="L315" t="inlineStr">
        <is>
          <t>9'6</t>
        </is>
      </c>
      <c r="M315" t="inlineStr">
        <is>
          <t>Full</t>
        </is>
      </c>
      <c r="P315">
        <f t="array" ref="P315">IFERROR(INDEX(Disch_Booking_Report!B:B, MATCH(TRUE, ISNUMBER(FIND(SUBSTITUTE(C315," ",""), Disch_Booking_Report!AC:AC)), 0)), "Not Found")</f>
        <v/>
      </c>
      <c r="Q315">
        <f t="array" ref="Q315">IFERROR(INDEX(Disch_Booking_Report!C:C, MATCH(TRUE, ISNUMBER(FIND(SUBSTITUTE(C315," ",""), Disch_Booking_Report!AC:AC)), 0)), "Not Found")</f>
        <v/>
      </c>
      <c r="R315">
        <f t="array" ref="R315">IFERROR(INDEX(Disch_Booking_Report!AD:AD, MATCH(TRUE, ISNUMBER(FIND(SUBSTITUTE(C315," ",""), Disch_Booking_Report!AC:AC)), 0)), "Not Found")</f>
        <v/>
      </c>
      <c r="S315">
        <f>Tabela2[[#This Row],[Weight]]</f>
        <v/>
      </c>
      <c r="T315">
        <f t="array" ref="T315">IFERROR(INDEX(Disch_Booking_Report!L:L, MATCH(TRUE, ISNUMBER(FIND(SUBSTITUTE(C315," ",""), Disch_Booking_Report!AC:AC)), 0)), "Not Found")</f>
        <v/>
      </c>
      <c r="U315">
        <f t="array" ref="U315">IFERROR(INDEX(Disch_Booking_Report!I:I, MATCH(TRUE, ISNUMBER(FIND(SUBSTITUTE(C315," ",""), Disch_Booking_Report!AC:AC)), 0)), "Not Found")</f>
        <v/>
      </c>
    </row>
    <row r="316">
      <c r="A316" t="n">
        <v>26</v>
      </c>
      <c r="B316" t="n">
        <v>260482</v>
      </c>
      <c r="C316" t="inlineStr">
        <is>
          <t xml:space="preserve">     ANON0000000</t>
        </is>
      </c>
      <c r="D316" t="n">
        <v>40</v>
      </c>
      <c r="E316" t="inlineStr">
        <is>
          <t>RULED</t>
        </is>
      </c>
      <c r="F316" t="inlineStr">
        <is>
          <t>USNYC</t>
        </is>
      </c>
      <c r="G316" t="n">
        <v>33100</v>
      </c>
      <c r="H316" t="inlineStr">
        <is>
          <t>ART</t>
        </is>
      </c>
      <c r="I316" t="inlineStr">
        <is>
          <t>45R1</t>
        </is>
      </c>
      <c r="K316" t="inlineStr">
        <is>
          <t>Dry reefer</t>
        </is>
      </c>
      <c r="L316" t="inlineStr">
        <is>
          <t>9'6</t>
        </is>
      </c>
      <c r="M316" t="inlineStr">
        <is>
          <t>Full</t>
        </is>
      </c>
      <c r="P316">
        <f t="array" ref="P316">IFERROR(INDEX(Disch_Booking_Report!B:B, MATCH(TRUE, ISNUMBER(FIND(SUBSTITUTE(C316," ",""), Disch_Booking_Report!AC:AC)), 0)), "Not Found")</f>
        <v/>
      </c>
      <c r="Q316">
        <f t="array" ref="Q316">IFERROR(INDEX(Disch_Booking_Report!C:C, MATCH(TRUE, ISNUMBER(FIND(SUBSTITUTE(C316," ",""), Disch_Booking_Report!AC:AC)), 0)), "Not Found")</f>
        <v/>
      </c>
      <c r="R316">
        <f t="array" ref="R316">IFERROR(INDEX(Disch_Booking_Report!AD:AD, MATCH(TRUE, ISNUMBER(FIND(SUBSTITUTE(C316," ",""), Disch_Booking_Report!AC:AC)), 0)), "Not Found")</f>
        <v/>
      </c>
      <c r="S316">
        <f>Tabela2[[#This Row],[Weight]]</f>
        <v/>
      </c>
      <c r="T316">
        <f t="array" ref="T316">IFERROR(INDEX(Disch_Booking_Report!L:L, MATCH(TRUE, ISNUMBER(FIND(SUBSTITUTE(C316," ",""), Disch_Booking_Report!AC:AC)), 0)), "Not Found")</f>
        <v/>
      </c>
      <c r="U316">
        <f t="array" ref="U316">IFERROR(INDEX(Disch_Booking_Report!I:I, MATCH(TRUE, ISNUMBER(FIND(SUBSTITUTE(C316," ",""), Disch_Booking_Report!AC:AC)), 0)), "Not Found")</f>
        <v/>
      </c>
    </row>
    <row r="317">
      <c r="A317" t="n">
        <v>26</v>
      </c>
      <c r="B317" t="n">
        <v>260102</v>
      </c>
      <c r="C317" t="inlineStr">
        <is>
          <t xml:space="preserve">     ANON0000000</t>
        </is>
      </c>
      <c r="D317" t="n">
        <v>40</v>
      </c>
      <c r="E317" t="inlineStr">
        <is>
          <t>RULED</t>
        </is>
      </c>
      <c r="F317" t="inlineStr">
        <is>
          <t>USNYC</t>
        </is>
      </c>
      <c r="G317" t="n">
        <v>34040</v>
      </c>
      <c r="H317" t="inlineStr">
        <is>
          <t>ART</t>
        </is>
      </c>
      <c r="I317" t="inlineStr">
        <is>
          <t>45R1</t>
        </is>
      </c>
      <c r="K317" t="inlineStr">
        <is>
          <t>Dry reefer</t>
        </is>
      </c>
      <c r="L317" t="inlineStr">
        <is>
          <t>9'6</t>
        </is>
      </c>
      <c r="M317" t="inlineStr">
        <is>
          <t>Full</t>
        </is>
      </c>
      <c r="P317">
        <f t="array" ref="P317">IFERROR(INDEX(Disch_Booking_Report!B:B, MATCH(TRUE, ISNUMBER(FIND(SUBSTITUTE(C317," ",""), Disch_Booking_Report!AC:AC)), 0)), "Not Found")</f>
        <v/>
      </c>
      <c r="Q317">
        <f t="array" ref="Q317">IFERROR(INDEX(Disch_Booking_Report!C:C, MATCH(TRUE, ISNUMBER(FIND(SUBSTITUTE(C317," ",""), Disch_Booking_Report!AC:AC)), 0)), "Not Found")</f>
        <v/>
      </c>
      <c r="R317">
        <f t="array" ref="R317">IFERROR(INDEX(Disch_Booking_Report!AD:AD, MATCH(TRUE, ISNUMBER(FIND(SUBSTITUTE(C317," ",""), Disch_Booking_Report!AC:AC)), 0)), "Not Found")</f>
        <v/>
      </c>
      <c r="S317">
        <f>Tabela2[[#This Row],[Weight]]</f>
        <v/>
      </c>
      <c r="T317">
        <f t="array" ref="T317">IFERROR(INDEX(Disch_Booking_Report!L:L, MATCH(TRUE, ISNUMBER(FIND(SUBSTITUTE(C317," ",""), Disch_Booking_Report!AC:AC)), 0)), "Not Found")</f>
        <v/>
      </c>
      <c r="U317">
        <f t="array" ref="U317">IFERROR(INDEX(Disch_Booking_Report!I:I, MATCH(TRUE, ISNUMBER(FIND(SUBSTITUTE(C317," ",""), Disch_Booking_Report!AC:AC)), 0)), "Not Found")</f>
        <v/>
      </c>
    </row>
    <row r="318">
      <c r="A318" t="n">
        <v>26</v>
      </c>
      <c r="B318" t="n">
        <v>260402</v>
      </c>
      <c r="C318" t="inlineStr">
        <is>
          <t xml:space="preserve">     ANON0000000</t>
        </is>
      </c>
      <c r="D318" t="n">
        <v>40</v>
      </c>
      <c r="E318" t="inlineStr">
        <is>
          <t>RULED</t>
        </is>
      </c>
      <c r="F318" t="inlineStr">
        <is>
          <t>USNYC</t>
        </is>
      </c>
      <c r="G318" t="n">
        <v>34000</v>
      </c>
      <c r="H318" t="inlineStr">
        <is>
          <t>ART</t>
        </is>
      </c>
      <c r="I318" t="inlineStr">
        <is>
          <t>45R1</t>
        </is>
      </c>
      <c r="K318" t="inlineStr">
        <is>
          <t>Dry reefer</t>
        </is>
      </c>
      <c r="L318" t="inlineStr">
        <is>
          <t>9'6</t>
        </is>
      </c>
      <c r="M318" t="inlineStr">
        <is>
          <t>Full</t>
        </is>
      </c>
      <c r="P318">
        <f t="array" ref="P318">IFERROR(INDEX(Disch_Booking_Report!B:B, MATCH(TRUE, ISNUMBER(FIND(SUBSTITUTE(C318," ",""), Disch_Booking_Report!AC:AC)), 0)), "Not Found")</f>
        <v/>
      </c>
      <c r="Q318">
        <f t="array" ref="Q318">IFERROR(INDEX(Disch_Booking_Report!C:C, MATCH(TRUE, ISNUMBER(FIND(SUBSTITUTE(C318," ",""), Disch_Booking_Report!AC:AC)), 0)), "Not Found")</f>
        <v/>
      </c>
      <c r="R318">
        <f t="array" ref="R318">IFERROR(INDEX(Disch_Booking_Report!AD:AD, MATCH(TRUE, ISNUMBER(FIND(SUBSTITUTE(C318," ",""), Disch_Booking_Report!AC:AC)), 0)), "Not Found")</f>
        <v/>
      </c>
      <c r="S318">
        <f>Tabela2[[#This Row],[Weight]]</f>
        <v/>
      </c>
      <c r="T318">
        <f t="array" ref="T318">IFERROR(INDEX(Disch_Booking_Report!L:L, MATCH(TRUE, ISNUMBER(FIND(SUBSTITUTE(C318," ",""), Disch_Booking_Report!AC:AC)), 0)), "Not Found")</f>
        <v/>
      </c>
      <c r="U318">
        <f t="array" ref="U318">IFERROR(INDEX(Disch_Booking_Report!I:I, MATCH(TRUE, ISNUMBER(FIND(SUBSTITUTE(C318," ",""), Disch_Booking_Report!AC:AC)), 0)), "Not Found")</f>
        <v/>
      </c>
    </row>
    <row r="319">
      <c r="A319" t="n">
        <v>26</v>
      </c>
      <c r="B319" t="n">
        <v>260884</v>
      </c>
      <c r="C319" t="inlineStr">
        <is>
          <t xml:space="preserve">     ANON0000000</t>
        </is>
      </c>
      <c r="D319" t="n">
        <v>40</v>
      </c>
      <c r="E319" t="inlineStr">
        <is>
          <t>RULED</t>
        </is>
      </c>
      <c r="F319" t="inlineStr">
        <is>
          <t>USNYC</t>
        </is>
      </c>
      <c r="G319" t="n">
        <v>34050</v>
      </c>
      <c r="H319" t="inlineStr">
        <is>
          <t>ART</t>
        </is>
      </c>
      <c r="I319" t="inlineStr">
        <is>
          <t>45R1</t>
        </is>
      </c>
      <c r="K319" t="inlineStr">
        <is>
          <t>Dry reefer</t>
        </is>
      </c>
      <c r="L319" t="inlineStr">
        <is>
          <t>9'6</t>
        </is>
      </c>
      <c r="M319" t="inlineStr">
        <is>
          <t>Full</t>
        </is>
      </c>
      <c r="P319">
        <f t="array" ref="P319">IFERROR(INDEX(Disch_Booking_Report!B:B, MATCH(TRUE, ISNUMBER(FIND(SUBSTITUTE(C319," ",""), Disch_Booking_Report!AC:AC)), 0)), "Not Found")</f>
        <v/>
      </c>
      <c r="Q319">
        <f t="array" ref="Q319">IFERROR(INDEX(Disch_Booking_Report!C:C, MATCH(TRUE, ISNUMBER(FIND(SUBSTITUTE(C319," ",""), Disch_Booking_Report!AC:AC)), 0)), "Not Found")</f>
        <v/>
      </c>
      <c r="R319">
        <f t="array" ref="R319">IFERROR(INDEX(Disch_Booking_Report!AD:AD, MATCH(TRUE, ISNUMBER(FIND(SUBSTITUTE(C319," ",""), Disch_Booking_Report!AC:AC)), 0)), "Not Found")</f>
        <v/>
      </c>
      <c r="S319">
        <f>Tabela2[[#This Row],[Weight]]</f>
        <v/>
      </c>
      <c r="T319">
        <f t="array" ref="T319">IFERROR(INDEX(Disch_Booking_Report!L:L, MATCH(TRUE, ISNUMBER(FIND(SUBSTITUTE(C319," ",""), Disch_Booking_Report!AC:AC)), 0)), "Not Found")</f>
        <v/>
      </c>
      <c r="U319">
        <f t="array" ref="U319">IFERROR(INDEX(Disch_Booking_Report!I:I, MATCH(TRUE, ISNUMBER(FIND(SUBSTITUTE(C319," ",""), Disch_Booking_Report!AC:AC)), 0)), "Not Found")</f>
        <v/>
      </c>
    </row>
    <row r="320">
      <c r="A320" t="n">
        <v>26</v>
      </c>
      <c r="B320" t="n">
        <v>260508</v>
      </c>
      <c r="C320" t="inlineStr">
        <is>
          <t xml:space="preserve">     ANON0000000</t>
        </is>
      </c>
      <c r="D320" t="n">
        <v>40</v>
      </c>
      <c r="E320" t="inlineStr">
        <is>
          <t>RULED</t>
        </is>
      </c>
      <c r="F320" t="inlineStr">
        <is>
          <t>USNYC</t>
        </is>
      </c>
      <c r="G320" t="n">
        <v>34000</v>
      </c>
      <c r="H320" t="inlineStr">
        <is>
          <t>ART</t>
        </is>
      </c>
      <c r="I320" t="inlineStr">
        <is>
          <t>45R1</t>
        </is>
      </c>
      <c r="K320" t="inlineStr">
        <is>
          <t>Dry reefer</t>
        </is>
      </c>
      <c r="L320" t="inlineStr">
        <is>
          <t>9'6</t>
        </is>
      </c>
      <c r="M320" t="inlineStr">
        <is>
          <t>Full</t>
        </is>
      </c>
      <c r="P320">
        <f t="array" ref="P320">IFERROR(INDEX(Disch_Booking_Report!B:B, MATCH(TRUE, ISNUMBER(FIND(SUBSTITUTE(C320," ",""), Disch_Booking_Report!AC:AC)), 0)), "Not Found")</f>
        <v/>
      </c>
      <c r="Q320">
        <f t="array" ref="Q320">IFERROR(INDEX(Disch_Booking_Report!C:C, MATCH(TRUE, ISNUMBER(FIND(SUBSTITUTE(C320," ",""), Disch_Booking_Report!AC:AC)), 0)), "Not Found")</f>
        <v/>
      </c>
      <c r="R320">
        <f t="array" ref="R320">IFERROR(INDEX(Disch_Booking_Report!AD:AD, MATCH(TRUE, ISNUMBER(FIND(SUBSTITUTE(C320," ",""), Disch_Booking_Report!AC:AC)), 0)), "Not Found")</f>
        <v/>
      </c>
      <c r="S320">
        <f>Tabela2[[#This Row],[Weight]]</f>
        <v/>
      </c>
      <c r="T320">
        <f t="array" ref="T320">IFERROR(INDEX(Disch_Booking_Report!L:L, MATCH(TRUE, ISNUMBER(FIND(SUBSTITUTE(C320," ",""), Disch_Booking_Report!AC:AC)), 0)), "Not Found")</f>
        <v/>
      </c>
      <c r="U320">
        <f t="array" ref="U320">IFERROR(INDEX(Disch_Booking_Report!I:I, MATCH(TRUE, ISNUMBER(FIND(SUBSTITUTE(C320," ",""), Disch_Booking_Report!AC:AC)), 0)), "Not Found")</f>
        <v/>
      </c>
    </row>
    <row r="321">
      <c r="A321" t="n">
        <v>26</v>
      </c>
      <c r="B321" t="n">
        <v>260208</v>
      </c>
      <c r="C321" t="inlineStr">
        <is>
          <t xml:space="preserve">     ANON0000000</t>
        </is>
      </c>
      <c r="D321" t="n">
        <v>40</v>
      </c>
      <c r="E321" t="inlineStr">
        <is>
          <t>RULED</t>
        </is>
      </c>
      <c r="F321" t="inlineStr">
        <is>
          <t>USNYC</t>
        </is>
      </c>
      <c r="G321" t="n">
        <v>32980</v>
      </c>
      <c r="H321" t="inlineStr">
        <is>
          <t>ART</t>
        </is>
      </c>
      <c r="I321" t="inlineStr">
        <is>
          <t>45R1</t>
        </is>
      </c>
      <c r="K321" t="inlineStr">
        <is>
          <t>Dry reefer</t>
        </is>
      </c>
      <c r="L321" t="inlineStr">
        <is>
          <t>9'6</t>
        </is>
      </c>
      <c r="M321" t="inlineStr">
        <is>
          <t>Full</t>
        </is>
      </c>
      <c r="P321">
        <f t="array" ref="P321">IFERROR(INDEX(Disch_Booking_Report!B:B, MATCH(TRUE, ISNUMBER(FIND(SUBSTITUTE(C321," ",""), Disch_Booking_Report!AC:AC)), 0)), "Not Found")</f>
        <v/>
      </c>
      <c r="Q321">
        <f t="array" ref="Q321">IFERROR(INDEX(Disch_Booking_Report!C:C, MATCH(TRUE, ISNUMBER(FIND(SUBSTITUTE(C321," ",""), Disch_Booking_Report!AC:AC)), 0)), "Not Found")</f>
        <v/>
      </c>
      <c r="R321">
        <f t="array" ref="R321">IFERROR(INDEX(Disch_Booking_Report!AD:AD, MATCH(TRUE, ISNUMBER(FIND(SUBSTITUTE(C321," ",""), Disch_Booking_Report!AC:AC)), 0)), "Not Found")</f>
        <v/>
      </c>
      <c r="S321">
        <f>Tabela2[[#This Row],[Weight]]</f>
        <v/>
      </c>
      <c r="T321">
        <f t="array" ref="T321">IFERROR(INDEX(Disch_Booking_Report!L:L, MATCH(TRUE, ISNUMBER(FIND(SUBSTITUTE(C321," ",""), Disch_Booking_Report!AC:AC)), 0)), "Not Found")</f>
        <v/>
      </c>
      <c r="U321">
        <f t="array" ref="U321">IFERROR(INDEX(Disch_Booking_Report!I:I, MATCH(TRUE, ISNUMBER(FIND(SUBSTITUTE(C321," ",""), Disch_Booking_Report!AC:AC)), 0)), "Not Found")</f>
        <v/>
      </c>
    </row>
    <row r="322">
      <c r="A322" t="n">
        <v>26</v>
      </c>
      <c r="B322" t="n">
        <v>261082</v>
      </c>
      <c r="C322" t="inlineStr">
        <is>
          <t xml:space="preserve">     ANON0000000</t>
        </is>
      </c>
      <c r="D322" t="n">
        <v>40</v>
      </c>
      <c r="E322" t="inlineStr">
        <is>
          <t>RULED</t>
        </is>
      </c>
      <c r="F322" t="inlineStr">
        <is>
          <t>USNYC</t>
        </is>
      </c>
      <c r="G322" t="n">
        <v>33000</v>
      </c>
      <c r="H322" t="inlineStr">
        <is>
          <t>ART</t>
        </is>
      </c>
      <c r="I322" t="inlineStr">
        <is>
          <t>45R1</t>
        </is>
      </c>
      <c r="K322" t="inlineStr">
        <is>
          <t>Dry reefer</t>
        </is>
      </c>
      <c r="L322" t="inlineStr">
        <is>
          <t>9'6</t>
        </is>
      </c>
      <c r="M322" t="inlineStr">
        <is>
          <t>Full</t>
        </is>
      </c>
      <c r="P322">
        <f t="array" ref="P322">IFERROR(INDEX(Disch_Booking_Report!B:B, MATCH(TRUE, ISNUMBER(FIND(SUBSTITUTE(C322," ",""), Disch_Booking_Report!AC:AC)), 0)), "Not Found")</f>
        <v/>
      </c>
      <c r="Q322">
        <f t="array" ref="Q322">IFERROR(INDEX(Disch_Booking_Report!C:C, MATCH(TRUE, ISNUMBER(FIND(SUBSTITUTE(C322," ",""), Disch_Booking_Report!AC:AC)), 0)), "Not Found")</f>
        <v/>
      </c>
      <c r="R322">
        <f t="array" ref="R322">IFERROR(INDEX(Disch_Booking_Report!AD:AD, MATCH(TRUE, ISNUMBER(FIND(SUBSTITUTE(C322," ",""), Disch_Booking_Report!AC:AC)), 0)), "Not Found")</f>
        <v/>
      </c>
      <c r="S322">
        <f>Tabela2[[#This Row],[Weight]]</f>
        <v/>
      </c>
      <c r="T322">
        <f t="array" ref="T322">IFERROR(INDEX(Disch_Booking_Report!L:L, MATCH(TRUE, ISNUMBER(FIND(SUBSTITUTE(C322," ",""), Disch_Booking_Report!AC:AC)), 0)), "Not Found")</f>
        <v/>
      </c>
      <c r="U322">
        <f t="array" ref="U322">IFERROR(INDEX(Disch_Booking_Report!I:I, MATCH(TRUE, ISNUMBER(FIND(SUBSTITUTE(C322," ",""), Disch_Booking_Report!AC:AC)), 0)), "Not Found")</f>
        <v/>
      </c>
    </row>
    <row r="323">
      <c r="A323" t="n">
        <v>26</v>
      </c>
      <c r="B323" t="n">
        <v>260608</v>
      </c>
      <c r="C323" t="inlineStr">
        <is>
          <t xml:space="preserve">     ANON0000000</t>
        </is>
      </c>
      <c r="D323" t="n">
        <v>40</v>
      </c>
      <c r="E323" t="inlineStr">
        <is>
          <t>RULED</t>
        </is>
      </c>
      <c r="F323" t="inlineStr">
        <is>
          <t>USNYC</t>
        </is>
      </c>
      <c r="G323" t="n">
        <v>33960</v>
      </c>
      <c r="H323" t="inlineStr">
        <is>
          <t>ART</t>
        </is>
      </c>
      <c r="I323" t="inlineStr">
        <is>
          <t>45R1</t>
        </is>
      </c>
      <c r="K323" t="inlineStr">
        <is>
          <t>Dry reefer</t>
        </is>
      </c>
      <c r="L323" t="inlineStr">
        <is>
          <t>9'6</t>
        </is>
      </c>
      <c r="M323" t="inlineStr">
        <is>
          <t>Full</t>
        </is>
      </c>
      <c r="P323">
        <f t="array" ref="P323">IFERROR(INDEX(Disch_Booking_Report!B:B, MATCH(TRUE, ISNUMBER(FIND(SUBSTITUTE(C323," ",""), Disch_Booking_Report!AC:AC)), 0)), "Not Found")</f>
        <v/>
      </c>
      <c r="Q323">
        <f t="array" ref="Q323">IFERROR(INDEX(Disch_Booking_Report!C:C, MATCH(TRUE, ISNUMBER(FIND(SUBSTITUTE(C323," ",""), Disch_Booking_Report!AC:AC)), 0)), "Not Found")</f>
        <v/>
      </c>
      <c r="R323">
        <f t="array" ref="R323">IFERROR(INDEX(Disch_Booking_Report!AD:AD, MATCH(TRUE, ISNUMBER(FIND(SUBSTITUTE(C323," ",""), Disch_Booking_Report!AC:AC)), 0)), "Not Found")</f>
        <v/>
      </c>
      <c r="S323">
        <f>Tabela2[[#This Row],[Weight]]</f>
        <v/>
      </c>
      <c r="T323">
        <f t="array" ref="T323">IFERROR(INDEX(Disch_Booking_Report!L:L, MATCH(TRUE, ISNUMBER(FIND(SUBSTITUTE(C323," ",""), Disch_Booking_Report!AC:AC)), 0)), "Not Found")</f>
        <v/>
      </c>
      <c r="U323">
        <f t="array" ref="U323">IFERROR(INDEX(Disch_Booking_Report!I:I, MATCH(TRUE, ISNUMBER(FIND(SUBSTITUTE(C323," ",""), Disch_Booking_Report!AC:AC)), 0)), "Not Found")</f>
        <v/>
      </c>
    </row>
    <row r="324">
      <c r="A324" t="n">
        <v>26</v>
      </c>
      <c r="B324" t="n">
        <v>260708</v>
      </c>
      <c r="C324" t="inlineStr">
        <is>
          <t xml:space="preserve">     ANON0000000</t>
        </is>
      </c>
      <c r="D324" t="n">
        <v>40</v>
      </c>
      <c r="E324" t="inlineStr">
        <is>
          <t>RULED</t>
        </is>
      </c>
      <c r="F324" t="inlineStr">
        <is>
          <t>USNYC</t>
        </is>
      </c>
      <c r="G324" t="n">
        <v>32980</v>
      </c>
      <c r="H324" t="inlineStr">
        <is>
          <t>ART</t>
        </is>
      </c>
      <c r="I324" t="inlineStr">
        <is>
          <t>45R1</t>
        </is>
      </c>
      <c r="K324" t="inlineStr">
        <is>
          <t>Dry reefer</t>
        </is>
      </c>
      <c r="L324" t="inlineStr">
        <is>
          <t>9'6</t>
        </is>
      </c>
      <c r="M324" t="inlineStr">
        <is>
          <t>Full</t>
        </is>
      </c>
      <c r="P324">
        <f t="array" ref="P324">IFERROR(INDEX(Disch_Booking_Report!B:B, MATCH(TRUE, ISNUMBER(FIND(SUBSTITUTE(C324," ",""), Disch_Booking_Report!AC:AC)), 0)), "Not Found")</f>
        <v/>
      </c>
      <c r="Q324">
        <f t="array" ref="Q324">IFERROR(INDEX(Disch_Booking_Report!C:C, MATCH(TRUE, ISNUMBER(FIND(SUBSTITUTE(C324," ",""), Disch_Booking_Report!AC:AC)), 0)), "Not Found")</f>
        <v/>
      </c>
      <c r="R324">
        <f t="array" ref="R324">IFERROR(INDEX(Disch_Booking_Report!AD:AD, MATCH(TRUE, ISNUMBER(FIND(SUBSTITUTE(C324," ",""), Disch_Booking_Report!AC:AC)), 0)), "Not Found")</f>
        <v/>
      </c>
      <c r="S324">
        <f>Tabela2[[#This Row],[Weight]]</f>
        <v/>
      </c>
      <c r="T324">
        <f t="array" ref="T324">IFERROR(INDEX(Disch_Booking_Report!L:L, MATCH(TRUE, ISNUMBER(FIND(SUBSTITUTE(C324," ",""), Disch_Booking_Report!AC:AC)), 0)), "Not Found")</f>
        <v/>
      </c>
      <c r="U324">
        <f t="array" ref="U324">IFERROR(INDEX(Disch_Booking_Report!I:I, MATCH(TRUE, ISNUMBER(FIND(SUBSTITUTE(C324," ",""), Disch_Booking_Report!AC:AC)), 0)), "Not Found")</f>
        <v/>
      </c>
    </row>
    <row r="325">
      <c r="A325" t="n">
        <v>26</v>
      </c>
      <c r="B325" t="n">
        <v>260406</v>
      </c>
      <c r="C325" t="inlineStr">
        <is>
          <t xml:space="preserve">     ANON0000000</t>
        </is>
      </c>
      <c r="D325" t="n">
        <v>40</v>
      </c>
      <c r="E325" t="inlineStr">
        <is>
          <t>RULED</t>
        </is>
      </c>
      <c r="F325" t="inlineStr">
        <is>
          <t>USNYC</t>
        </is>
      </c>
      <c r="G325" t="n">
        <v>34030</v>
      </c>
      <c r="H325" t="inlineStr">
        <is>
          <t>ART</t>
        </is>
      </c>
      <c r="I325" t="inlineStr">
        <is>
          <t>45R1</t>
        </is>
      </c>
      <c r="K325" t="inlineStr">
        <is>
          <t>Dry reefer</t>
        </is>
      </c>
      <c r="L325" t="inlineStr">
        <is>
          <t>9'6</t>
        </is>
      </c>
      <c r="M325" t="inlineStr">
        <is>
          <t>Full</t>
        </is>
      </c>
      <c r="P325">
        <f t="array" ref="P325">IFERROR(INDEX(Disch_Booking_Report!B:B, MATCH(TRUE, ISNUMBER(FIND(SUBSTITUTE(C325," ",""), Disch_Booking_Report!AC:AC)), 0)), "Not Found")</f>
        <v/>
      </c>
      <c r="Q325">
        <f t="array" ref="Q325">IFERROR(INDEX(Disch_Booking_Report!C:C, MATCH(TRUE, ISNUMBER(FIND(SUBSTITUTE(C325," ",""), Disch_Booking_Report!AC:AC)), 0)), "Not Found")</f>
        <v/>
      </c>
      <c r="R325">
        <f t="array" ref="R325">IFERROR(INDEX(Disch_Booking_Report!AD:AD, MATCH(TRUE, ISNUMBER(FIND(SUBSTITUTE(C325," ",""), Disch_Booking_Report!AC:AC)), 0)), "Not Found")</f>
        <v/>
      </c>
      <c r="S325">
        <f>Tabela2[[#This Row],[Weight]]</f>
        <v/>
      </c>
      <c r="T325">
        <f t="array" ref="T325">IFERROR(INDEX(Disch_Booking_Report!L:L, MATCH(TRUE, ISNUMBER(FIND(SUBSTITUTE(C325," ",""), Disch_Booking_Report!AC:AC)), 0)), "Not Found")</f>
        <v/>
      </c>
      <c r="U325">
        <f t="array" ref="U325">IFERROR(INDEX(Disch_Booking_Report!I:I, MATCH(TRUE, ISNUMBER(FIND(SUBSTITUTE(C325," ",""), Disch_Booking_Report!AC:AC)), 0)), "Not Found")</f>
        <v/>
      </c>
    </row>
    <row r="326">
      <c r="A326" t="n">
        <v>26</v>
      </c>
      <c r="B326" t="n">
        <v>260108</v>
      </c>
      <c r="C326" t="inlineStr">
        <is>
          <t xml:space="preserve">     ANON0000000</t>
        </is>
      </c>
      <c r="D326" t="n">
        <v>40</v>
      </c>
      <c r="E326" t="inlineStr">
        <is>
          <t>RULED</t>
        </is>
      </c>
      <c r="F326" t="inlineStr">
        <is>
          <t>USNYC</t>
        </is>
      </c>
      <c r="G326" t="n">
        <v>33070</v>
      </c>
      <c r="H326" t="inlineStr">
        <is>
          <t>ART</t>
        </is>
      </c>
      <c r="I326" t="inlineStr">
        <is>
          <t>45R1</t>
        </is>
      </c>
      <c r="K326" t="inlineStr">
        <is>
          <t>Dry reefer</t>
        </is>
      </c>
      <c r="L326" t="inlineStr">
        <is>
          <t>9'6</t>
        </is>
      </c>
      <c r="M326" t="inlineStr">
        <is>
          <t>Full</t>
        </is>
      </c>
      <c r="P326">
        <f t="array" ref="P326">IFERROR(INDEX(Disch_Booking_Report!B:B, MATCH(TRUE, ISNUMBER(FIND(SUBSTITUTE(C326," ",""), Disch_Booking_Report!AC:AC)), 0)), "Not Found")</f>
        <v/>
      </c>
      <c r="Q326">
        <f t="array" ref="Q326">IFERROR(INDEX(Disch_Booking_Report!C:C, MATCH(TRUE, ISNUMBER(FIND(SUBSTITUTE(C326," ",""), Disch_Booking_Report!AC:AC)), 0)), "Not Found")</f>
        <v/>
      </c>
      <c r="R326">
        <f t="array" ref="R326">IFERROR(INDEX(Disch_Booking_Report!AD:AD, MATCH(TRUE, ISNUMBER(FIND(SUBSTITUTE(C326," ",""), Disch_Booking_Report!AC:AC)), 0)), "Not Found")</f>
        <v/>
      </c>
      <c r="S326">
        <f>Tabela2[[#This Row],[Weight]]</f>
        <v/>
      </c>
      <c r="T326">
        <f t="array" ref="T326">IFERROR(INDEX(Disch_Booking_Report!L:L, MATCH(TRUE, ISNUMBER(FIND(SUBSTITUTE(C326," ",""), Disch_Booking_Report!AC:AC)), 0)), "Not Found")</f>
        <v/>
      </c>
      <c r="U326">
        <f t="array" ref="U326">IFERROR(INDEX(Disch_Booking_Report!I:I, MATCH(TRUE, ISNUMBER(FIND(SUBSTITUTE(C326," ",""), Disch_Booking_Report!AC:AC)), 0)), "Not Found")</f>
        <v/>
      </c>
    </row>
    <row r="327">
      <c r="A327" t="n">
        <v>26</v>
      </c>
      <c r="B327" t="n">
        <v>260082</v>
      </c>
      <c r="C327" t="inlineStr">
        <is>
          <t xml:space="preserve">     ANON0000000</t>
        </is>
      </c>
      <c r="D327" t="n">
        <v>40</v>
      </c>
      <c r="E327" t="inlineStr">
        <is>
          <t>RULED</t>
        </is>
      </c>
      <c r="F327" t="inlineStr">
        <is>
          <t>USNYC</t>
        </is>
      </c>
      <c r="G327" t="n">
        <v>34030</v>
      </c>
      <c r="H327" t="inlineStr">
        <is>
          <t>ART</t>
        </is>
      </c>
      <c r="I327" t="inlineStr">
        <is>
          <t>45R1</t>
        </is>
      </c>
      <c r="K327" t="inlineStr">
        <is>
          <t>Dry reefer</t>
        </is>
      </c>
      <c r="L327" t="inlineStr">
        <is>
          <t>9'6</t>
        </is>
      </c>
      <c r="M327" t="inlineStr">
        <is>
          <t>Full</t>
        </is>
      </c>
      <c r="P327">
        <f t="array" ref="P327">IFERROR(INDEX(Disch_Booking_Report!B:B, MATCH(TRUE, ISNUMBER(FIND(SUBSTITUTE(C327," ",""), Disch_Booking_Report!AC:AC)), 0)), "Not Found")</f>
        <v/>
      </c>
      <c r="Q327">
        <f t="array" ref="Q327">IFERROR(INDEX(Disch_Booking_Report!C:C, MATCH(TRUE, ISNUMBER(FIND(SUBSTITUTE(C327," ",""), Disch_Booking_Report!AC:AC)), 0)), "Not Found")</f>
        <v/>
      </c>
      <c r="R327">
        <f t="array" ref="R327">IFERROR(INDEX(Disch_Booking_Report!AD:AD, MATCH(TRUE, ISNUMBER(FIND(SUBSTITUTE(C327," ",""), Disch_Booking_Report!AC:AC)), 0)), "Not Found")</f>
        <v/>
      </c>
      <c r="S327">
        <f>Tabela2[[#This Row],[Weight]]</f>
        <v/>
      </c>
      <c r="T327">
        <f t="array" ref="T327">IFERROR(INDEX(Disch_Booking_Report!L:L, MATCH(TRUE, ISNUMBER(FIND(SUBSTITUTE(C327," ",""), Disch_Booking_Report!AC:AC)), 0)), "Not Found")</f>
        <v/>
      </c>
      <c r="U327">
        <f t="array" ref="U327">IFERROR(INDEX(Disch_Booking_Report!I:I, MATCH(TRUE, ISNUMBER(FIND(SUBSTITUTE(C327," ",""), Disch_Booking_Report!AC:AC)), 0)), "Not Found")</f>
        <v/>
      </c>
    </row>
    <row r="328">
      <c r="A328" t="n">
        <v>26</v>
      </c>
      <c r="B328" t="n">
        <v>260306</v>
      </c>
      <c r="C328" t="inlineStr">
        <is>
          <t xml:space="preserve">     ANON0000000</t>
        </is>
      </c>
      <c r="D328" t="n">
        <v>40</v>
      </c>
      <c r="E328" t="inlineStr">
        <is>
          <t>RULED</t>
        </is>
      </c>
      <c r="F328" t="inlineStr">
        <is>
          <t>USNYC</t>
        </is>
      </c>
      <c r="G328" t="n">
        <v>34030</v>
      </c>
      <c r="H328" t="inlineStr">
        <is>
          <t>ART</t>
        </is>
      </c>
      <c r="I328" t="inlineStr">
        <is>
          <t>45R1</t>
        </is>
      </c>
      <c r="K328" t="inlineStr">
        <is>
          <t>Dry reefer</t>
        </is>
      </c>
      <c r="L328" t="inlineStr">
        <is>
          <t>9'6</t>
        </is>
      </c>
      <c r="M328" t="inlineStr">
        <is>
          <t>Full</t>
        </is>
      </c>
      <c r="P328">
        <f t="array" ref="P328">IFERROR(INDEX(Disch_Booking_Report!B:B, MATCH(TRUE, ISNUMBER(FIND(SUBSTITUTE(C328," ",""), Disch_Booking_Report!AC:AC)), 0)), "Not Found")</f>
        <v/>
      </c>
      <c r="Q328">
        <f t="array" ref="Q328">IFERROR(INDEX(Disch_Booking_Report!C:C, MATCH(TRUE, ISNUMBER(FIND(SUBSTITUTE(C328," ",""), Disch_Booking_Report!AC:AC)), 0)), "Not Found")</f>
        <v/>
      </c>
      <c r="R328">
        <f t="array" ref="R328">IFERROR(INDEX(Disch_Booking_Report!AD:AD, MATCH(TRUE, ISNUMBER(FIND(SUBSTITUTE(C328," ",""), Disch_Booking_Report!AC:AC)), 0)), "Not Found")</f>
        <v/>
      </c>
      <c r="S328">
        <f>Tabela2[[#This Row],[Weight]]</f>
        <v/>
      </c>
      <c r="T328">
        <f t="array" ref="T328">IFERROR(INDEX(Disch_Booking_Report!L:L, MATCH(TRUE, ISNUMBER(FIND(SUBSTITUTE(C328," ",""), Disch_Booking_Report!AC:AC)), 0)), "Not Found")</f>
        <v/>
      </c>
      <c r="U328">
        <f t="array" ref="U328">IFERROR(INDEX(Disch_Booking_Report!I:I, MATCH(TRUE, ISNUMBER(FIND(SUBSTITUTE(C328," ",""), Disch_Booking_Report!AC:AC)), 0)), "Not Found")</f>
        <v/>
      </c>
    </row>
    <row r="329">
      <c r="A329" t="n">
        <v>26</v>
      </c>
      <c r="B329" t="n">
        <v>260982</v>
      </c>
      <c r="C329" t="inlineStr">
        <is>
          <t xml:space="preserve">     ANON0000000</t>
        </is>
      </c>
      <c r="D329" t="n">
        <v>40</v>
      </c>
      <c r="E329" t="inlineStr">
        <is>
          <t>RULED</t>
        </is>
      </c>
      <c r="F329" t="inlineStr">
        <is>
          <t>USNYC</t>
        </is>
      </c>
      <c r="G329" t="n">
        <v>33960</v>
      </c>
      <c r="H329" t="inlineStr">
        <is>
          <t>ART</t>
        </is>
      </c>
      <c r="I329" t="inlineStr">
        <is>
          <t>45R1</t>
        </is>
      </c>
      <c r="K329" t="inlineStr">
        <is>
          <t>Dry reefer</t>
        </is>
      </c>
      <c r="L329" t="inlineStr">
        <is>
          <t>9'6</t>
        </is>
      </c>
      <c r="M329" t="inlineStr">
        <is>
          <t>Full</t>
        </is>
      </c>
      <c r="P329">
        <f t="array" ref="P329">IFERROR(INDEX(Disch_Booking_Report!B:B, MATCH(TRUE, ISNUMBER(FIND(SUBSTITUTE(C329," ",""), Disch_Booking_Report!AC:AC)), 0)), "Not Found")</f>
        <v/>
      </c>
      <c r="Q329">
        <f t="array" ref="Q329">IFERROR(INDEX(Disch_Booking_Report!C:C, MATCH(TRUE, ISNUMBER(FIND(SUBSTITUTE(C329," ",""), Disch_Booking_Report!AC:AC)), 0)), "Not Found")</f>
        <v/>
      </c>
      <c r="R329">
        <f t="array" ref="R329">IFERROR(INDEX(Disch_Booking_Report!AD:AD, MATCH(TRUE, ISNUMBER(FIND(SUBSTITUTE(C329," ",""), Disch_Booking_Report!AC:AC)), 0)), "Not Found")</f>
        <v/>
      </c>
      <c r="S329">
        <f>Tabela2[[#This Row],[Weight]]</f>
        <v/>
      </c>
      <c r="T329">
        <f t="array" ref="T329">IFERROR(INDEX(Disch_Booking_Report!L:L, MATCH(TRUE, ISNUMBER(FIND(SUBSTITUTE(C329," ",""), Disch_Booking_Report!AC:AC)), 0)), "Not Found")</f>
        <v/>
      </c>
      <c r="U329">
        <f t="array" ref="U329">IFERROR(INDEX(Disch_Booking_Report!I:I, MATCH(TRUE, ISNUMBER(FIND(SUBSTITUTE(C329," ",""), Disch_Booking_Report!AC:AC)), 0)), "Not Found")</f>
        <v/>
      </c>
    </row>
    <row r="330">
      <c r="A330" t="n">
        <v>26</v>
      </c>
      <c r="B330" t="n">
        <v>260808</v>
      </c>
      <c r="C330" t="inlineStr">
        <is>
          <t xml:space="preserve">     ANON0000000</t>
        </is>
      </c>
      <c r="D330" t="n">
        <v>40</v>
      </c>
      <c r="E330" t="inlineStr">
        <is>
          <t>RULED</t>
        </is>
      </c>
      <c r="F330" t="inlineStr">
        <is>
          <t>USNYC</t>
        </is>
      </c>
      <c r="G330" t="n">
        <v>34000</v>
      </c>
      <c r="H330" t="inlineStr">
        <is>
          <t>ART</t>
        </is>
      </c>
      <c r="I330" t="inlineStr">
        <is>
          <t>45R1</t>
        </is>
      </c>
      <c r="K330" t="inlineStr">
        <is>
          <t>Dry reefer</t>
        </is>
      </c>
      <c r="L330" t="inlineStr">
        <is>
          <t>9'6</t>
        </is>
      </c>
      <c r="M330" t="inlineStr">
        <is>
          <t>Full</t>
        </is>
      </c>
      <c r="P330">
        <f t="array" ref="P330">IFERROR(INDEX(Disch_Booking_Report!B:B, MATCH(TRUE, ISNUMBER(FIND(SUBSTITUTE(C330," ",""), Disch_Booking_Report!AC:AC)), 0)), "Not Found")</f>
        <v/>
      </c>
      <c r="Q330">
        <f t="array" ref="Q330">IFERROR(INDEX(Disch_Booking_Report!C:C, MATCH(TRUE, ISNUMBER(FIND(SUBSTITUTE(C330," ",""), Disch_Booking_Report!AC:AC)), 0)), "Not Found")</f>
        <v/>
      </c>
      <c r="R330">
        <f t="array" ref="R330">IFERROR(INDEX(Disch_Booking_Report!AD:AD, MATCH(TRUE, ISNUMBER(FIND(SUBSTITUTE(C330," ",""), Disch_Booking_Report!AC:AC)), 0)), "Not Found")</f>
        <v/>
      </c>
      <c r="S330">
        <f>Tabela2[[#This Row],[Weight]]</f>
        <v/>
      </c>
      <c r="T330">
        <f t="array" ref="T330">IFERROR(INDEX(Disch_Booking_Report!L:L, MATCH(TRUE, ISNUMBER(FIND(SUBSTITUTE(C330," ",""), Disch_Booking_Report!AC:AC)), 0)), "Not Found")</f>
        <v/>
      </c>
      <c r="U330">
        <f t="array" ref="U330">IFERROR(INDEX(Disch_Booking_Report!I:I, MATCH(TRUE, ISNUMBER(FIND(SUBSTITUTE(C330," ",""), Disch_Booking_Report!AC:AC)), 0)), "Not Found")</f>
        <v/>
      </c>
    </row>
    <row r="331">
      <c r="A331" t="n">
        <v>26</v>
      </c>
      <c r="B331" t="n">
        <v>260502</v>
      </c>
      <c r="C331" t="inlineStr">
        <is>
          <t xml:space="preserve">     ANON0000000</t>
        </is>
      </c>
      <c r="D331" t="n">
        <v>40</v>
      </c>
      <c r="E331" t="inlineStr">
        <is>
          <t>RULED</t>
        </is>
      </c>
      <c r="F331" t="inlineStr">
        <is>
          <t>USNYC</t>
        </is>
      </c>
      <c r="G331" t="n">
        <v>32320</v>
      </c>
      <c r="H331" t="inlineStr">
        <is>
          <t>ART</t>
        </is>
      </c>
      <c r="I331" t="inlineStr">
        <is>
          <t>45G1</t>
        </is>
      </c>
      <c r="L331" t="inlineStr">
        <is>
          <t>9'6</t>
        </is>
      </c>
      <c r="M331" t="inlineStr">
        <is>
          <t>Full</t>
        </is>
      </c>
      <c r="P331">
        <f t="array" ref="P331">IFERROR(INDEX(Disch_Booking_Report!B:B, MATCH(TRUE, ISNUMBER(FIND(SUBSTITUTE(C331," ",""), Disch_Booking_Report!AC:AC)), 0)), "Not Found")</f>
        <v/>
      </c>
      <c r="Q331">
        <f t="array" ref="Q331">IFERROR(INDEX(Disch_Booking_Report!C:C, MATCH(TRUE, ISNUMBER(FIND(SUBSTITUTE(C331," ",""), Disch_Booking_Report!AC:AC)), 0)), "Not Found")</f>
        <v/>
      </c>
      <c r="R331">
        <f t="array" ref="R331">IFERROR(INDEX(Disch_Booking_Report!AD:AD, MATCH(TRUE, ISNUMBER(FIND(SUBSTITUTE(C331," ",""), Disch_Booking_Report!AC:AC)), 0)), "Not Found")</f>
        <v/>
      </c>
      <c r="S331">
        <f>Tabela2[[#This Row],[Weight]]</f>
        <v/>
      </c>
      <c r="T331">
        <f t="array" ref="T331">IFERROR(INDEX(Disch_Booking_Report!L:L, MATCH(TRUE, ISNUMBER(FIND(SUBSTITUTE(C331," ",""), Disch_Booking_Report!AC:AC)), 0)), "Not Found")</f>
        <v/>
      </c>
      <c r="U331">
        <f t="array" ref="U331">IFERROR(INDEX(Disch_Booking_Report!I:I, MATCH(TRUE, ISNUMBER(FIND(SUBSTITUTE(C331," ",""), Disch_Booking_Report!AC:AC)), 0)), "Not Found")</f>
        <v/>
      </c>
    </row>
    <row r="332">
      <c r="A332" t="n">
        <v>26</v>
      </c>
      <c r="B332" t="n">
        <v>260106</v>
      </c>
      <c r="C332" t="inlineStr">
        <is>
          <t xml:space="preserve">     ANON0000000</t>
        </is>
      </c>
      <c r="D332" t="n">
        <v>40</v>
      </c>
      <c r="E332" t="inlineStr">
        <is>
          <t>RULED</t>
        </is>
      </c>
      <c r="F332" t="inlineStr">
        <is>
          <t>USNYC</t>
        </is>
      </c>
      <c r="G332" t="n">
        <v>32220</v>
      </c>
      <c r="H332" t="inlineStr">
        <is>
          <t>ART</t>
        </is>
      </c>
      <c r="I332" t="inlineStr">
        <is>
          <t>45G1</t>
        </is>
      </c>
      <c r="L332" t="inlineStr">
        <is>
          <t>9'6</t>
        </is>
      </c>
      <c r="M332" t="inlineStr">
        <is>
          <t>Full</t>
        </is>
      </c>
      <c r="P332">
        <f t="array" ref="P332">IFERROR(INDEX(Disch_Booking_Report!B:B, MATCH(TRUE, ISNUMBER(FIND(SUBSTITUTE(C332," ",""), Disch_Booking_Report!AC:AC)), 0)), "Not Found")</f>
        <v/>
      </c>
      <c r="Q332">
        <f t="array" ref="Q332">IFERROR(INDEX(Disch_Booking_Report!C:C, MATCH(TRUE, ISNUMBER(FIND(SUBSTITUTE(C332," ",""), Disch_Booking_Report!AC:AC)), 0)), "Not Found")</f>
        <v/>
      </c>
      <c r="R332">
        <f t="array" ref="R332">IFERROR(INDEX(Disch_Booking_Report!AD:AD, MATCH(TRUE, ISNUMBER(FIND(SUBSTITUTE(C332," ",""), Disch_Booking_Report!AC:AC)), 0)), "Not Found")</f>
        <v/>
      </c>
      <c r="S332">
        <f>Tabela2[[#This Row],[Weight]]</f>
        <v/>
      </c>
      <c r="T332">
        <f t="array" ref="T332">IFERROR(INDEX(Disch_Booking_Report!L:L, MATCH(TRUE, ISNUMBER(FIND(SUBSTITUTE(C332," ",""), Disch_Booking_Report!AC:AC)), 0)), "Not Found")</f>
        <v/>
      </c>
      <c r="U332">
        <f t="array" ref="U332">IFERROR(INDEX(Disch_Booking_Report!I:I, MATCH(TRUE, ISNUMBER(FIND(SUBSTITUTE(C332," ",""), Disch_Booking_Report!AC:AC)), 0)), "Not Found")</f>
        <v/>
      </c>
    </row>
    <row r="333">
      <c r="A333" t="n">
        <v>26</v>
      </c>
      <c r="B333" t="n">
        <v>260184</v>
      </c>
      <c r="C333" t="inlineStr">
        <is>
          <t xml:space="preserve">     ANON0000000</t>
        </is>
      </c>
      <c r="D333" t="n">
        <v>40</v>
      </c>
      <c r="E333" t="inlineStr">
        <is>
          <t>RULED</t>
        </is>
      </c>
      <c r="F333" t="inlineStr">
        <is>
          <t>USNYC</t>
        </is>
      </c>
      <c r="G333" t="n">
        <v>33940</v>
      </c>
      <c r="H333" t="inlineStr">
        <is>
          <t>ART</t>
        </is>
      </c>
      <c r="I333" t="inlineStr">
        <is>
          <t>45R1</t>
        </is>
      </c>
      <c r="K333" t="inlineStr">
        <is>
          <t>Dry reefer</t>
        </is>
      </c>
      <c r="L333" t="inlineStr">
        <is>
          <t>9'6</t>
        </is>
      </c>
      <c r="M333" t="inlineStr">
        <is>
          <t>Full</t>
        </is>
      </c>
      <c r="P333">
        <f t="array" ref="P333">IFERROR(INDEX(Disch_Booking_Report!B:B, MATCH(TRUE, ISNUMBER(FIND(SUBSTITUTE(C333," ",""), Disch_Booking_Report!AC:AC)), 0)), "Not Found")</f>
        <v/>
      </c>
      <c r="Q333">
        <f t="array" ref="Q333">IFERROR(INDEX(Disch_Booking_Report!C:C, MATCH(TRUE, ISNUMBER(FIND(SUBSTITUTE(C333," ",""), Disch_Booking_Report!AC:AC)), 0)), "Not Found")</f>
        <v/>
      </c>
      <c r="R333">
        <f t="array" ref="R333">IFERROR(INDEX(Disch_Booking_Report!AD:AD, MATCH(TRUE, ISNUMBER(FIND(SUBSTITUTE(C333," ",""), Disch_Booking_Report!AC:AC)), 0)), "Not Found")</f>
        <v/>
      </c>
      <c r="S333">
        <f>Tabela2[[#This Row],[Weight]]</f>
        <v/>
      </c>
      <c r="T333">
        <f t="array" ref="T333">IFERROR(INDEX(Disch_Booking_Report!L:L, MATCH(TRUE, ISNUMBER(FIND(SUBSTITUTE(C333," ",""), Disch_Booking_Report!AC:AC)), 0)), "Not Found")</f>
        <v/>
      </c>
      <c r="U333">
        <f t="array" ref="U333">IFERROR(INDEX(Disch_Booking_Report!I:I, MATCH(TRUE, ISNUMBER(FIND(SUBSTITUTE(C333," ",""), Disch_Booking_Report!AC:AC)), 0)), "Not Found")</f>
        <v/>
      </c>
    </row>
    <row r="334">
      <c r="A334" t="n">
        <v>26</v>
      </c>
      <c r="B334" t="n">
        <v>260382</v>
      </c>
      <c r="C334" t="inlineStr">
        <is>
          <t xml:space="preserve">     ANON0000000</t>
        </is>
      </c>
      <c r="D334" t="n">
        <v>40</v>
      </c>
      <c r="E334" t="inlineStr">
        <is>
          <t>RULED</t>
        </is>
      </c>
      <c r="F334" t="inlineStr">
        <is>
          <t>USNYC</t>
        </is>
      </c>
      <c r="G334" t="n">
        <v>34030</v>
      </c>
      <c r="H334" t="inlineStr">
        <is>
          <t>ART</t>
        </is>
      </c>
      <c r="I334" t="inlineStr">
        <is>
          <t>45R1</t>
        </is>
      </c>
      <c r="K334" t="inlineStr">
        <is>
          <t>Dry reefer</t>
        </is>
      </c>
      <c r="L334" t="inlineStr">
        <is>
          <t>9'6</t>
        </is>
      </c>
      <c r="M334" t="inlineStr">
        <is>
          <t>Full</t>
        </is>
      </c>
      <c r="P334">
        <f t="array" ref="P334">IFERROR(INDEX(Disch_Booking_Report!B:B, MATCH(TRUE, ISNUMBER(FIND(SUBSTITUTE(C334," ",""), Disch_Booking_Report!AC:AC)), 0)), "Not Found")</f>
        <v/>
      </c>
      <c r="Q334">
        <f t="array" ref="Q334">IFERROR(INDEX(Disch_Booking_Report!C:C, MATCH(TRUE, ISNUMBER(FIND(SUBSTITUTE(C334," ",""), Disch_Booking_Report!AC:AC)), 0)), "Not Found")</f>
        <v/>
      </c>
      <c r="R334">
        <f t="array" ref="R334">IFERROR(INDEX(Disch_Booking_Report!AD:AD, MATCH(TRUE, ISNUMBER(FIND(SUBSTITUTE(C334," ",""), Disch_Booking_Report!AC:AC)), 0)), "Not Found")</f>
        <v/>
      </c>
      <c r="S334">
        <f>Tabela2[[#This Row],[Weight]]</f>
        <v/>
      </c>
      <c r="T334">
        <f t="array" ref="T334">IFERROR(INDEX(Disch_Booking_Report!L:L, MATCH(TRUE, ISNUMBER(FIND(SUBSTITUTE(C334," ",""), Disch_Booking_Report!AC:AC)), 0)), "Not Found")</f>
        <v/>
      </c>
      <c r="U334">
        <f t="array" ref="U334">IFERROR(INDEX(Disch_Booking_Report!I:I, MATCH(TRUE, ISNUMBER(FIND(SUBSTITUTE(C334," ",""), Disch_Booking_Report!AC:AC)), 0)), "Not Found")</f>
        <v/>
      </c>
    </row>
    <row r="335">
      <c r="A335" t="n">
        <v>26</v>
      </c>
      <c r="B335" t="n">
        <v>260802</v>
      </c>
      <c r="C335" t="inlineStr">
        <is>
          <t xml:space="preserve">     ANON0000000</t>
        </is>
      </c>
      <c r="D335" t="n">
        <v>40</v>
      </c>
      <c r="E335" t="inlineStr">
        <is>
          <t>RULED</t>
        </is>
      </c>
      <c r="F335" t="inlineStr">
        <is>
          <t>USNYC</t>
        </is>
      </c>
      <c r="G335" t="n">
        <v>32390</v>
      </c>
      <c r="H335" t="inlineStr">
        <is>
          <t>ART</t>
        </is>
      </c>
      <c r="I335" t="inlineStr">
        <is>
          <t>45G1</t>
        </is>
      </c>
      <c r="L335" t="inlineStr">
        <is>
          <t>9'6</t>
        </is>
      </c>
      <c r="M335" t="inlineStr">
        <is>
          <t>Full</t>
        </is>
      </c>
      <c r="P335">
        <f t="array" ref="P335">IFERROR(INDEX(Disch_Booking_Report!B:B, MATCH(TRUE, ISNUMBER(FIND(SUBSTITUTE(C335," ",""), Disch_Booking_Report!AC:AC)), 0)), "Not Found")</f>
        <v/>
      </c>
      <c r="Q335">
        <f t="array" ref="Q335">IFERROR(INDEX(Disch_Booking_Report!C:C, MATCH(TRUE, ISNUMBER(FIND(SUBSTITUTE(C335," ",""), Disch_Booking_Report!AC:AC)), 0)), "Not Found")</f>
        <v/>
      </c>
      <c r="R335">
        <f t="array" ref="R335">IFERROR(INDEX(Disch_Booking_Report!AD:AD, MATCH(TRUE, ISNUMBER(FIND(SUBSTITUTE(C335," ",""), Disch_Booking_Report!AC:AC)), 0)), "Not Found")</f>
        <v/>
      </c>
      <c r="S335">
        <f>Tabela2[[#This Row],[Weight]]</f>
        <v/>
      </c>
      <c r="T335">
        <f t="array" ref="T335">IFERROR(INDEX(Disch_Booking_Report!L:L, MATCH(TRUE, ISNUMBER(FIND(SUBSTITUTE(C335," ",""), Disch_Booking_Report!AC:AC)), 0)), "Not Found")</f>
        <v/>
      </c>
      <c r="U335">
        <f t="array" ref="U335">IFERROR(INDEX(Disch_Booking_Report!I:I, MATCH(TRUE, ISNUMBER(FIND(SUBSTITUTE(C335," ",""), Disch_Booking_Report!AC:AC)), 0)), "Not Found")</f>
        <v/>
      </c>
    </row>
    <row r="336">
      <c r="A336" t="n">
        <v>26</v>
      </c>
      <c r="B336" t="n">
        <v>260404</v>
      </c>
      <c r="C336" t="inlineStr">
        <is>
          <t xml:space="preserve">     ANON0000000</t>
        </is>
      </c>
      <c r="D336" t="n">
        <v>40</v>
      </c>
      <c r="E336" t="inlineStr">
        <is>
          <t>RULED</t>
        </is>
      </c>
      <c r="F336" t="inlineStr">
        <is>
          <t>USNYC</t>
        </is>
      </c>
      <c r="G336" t="n">
        <v>32390</v>
      </c>
      <c r="H336" t="inlineStr">
        <is>
          <t>ART</t>
        </is>
      </c>
      <c r="I336" t="inlineStr">
        <is>
          <t>45G1</t>
        </is>
      </c>
      <c r="L336" t="inlineStr">
        <is>
          <t>9'6</t>
        </is>
      </c>
      <c r="M336" t="inlineStr">
        <is>
          <t>Full</t>
        </is>
      </c>
      <c r="P336">
        <f t="array" ref="P336">IFERROR(INDEX(Disch_Booking_Report!B:B, MATCH(TRUE, ISNUMBER(FIND(SUBSTITUTE(C336," ",""), Disch_Booking_Report!AC:AC)), 0)), "Not Found")</f>
        <v/>
      </c>
      <c r="Q336">
        <f t="array" ref="Q336">IFERROR(INDEX(Disch_Booking_Report!C:C, MATCH(TRUE, ISNUMBER(FIND(SUBSTITUTE(C336," ",""), Disch_Booking_Report!AC:AC)), 0)), "Not Found")</f>
        <v/>
      </c>
      <c r="R336">
        <f t="array" ref="R336">IFERROR(INDEX(Disch_Booking_Report!AD:AD, MATCH(TRUE, ISNUMBER(FIND(SUBSTITUTE(C336," ",""), Disch_Booking_Report!AC:AC)), 0)), "Not Found")</f>
        <v/>
      </c>
      <c r="S336">
        <f>Tabela2[[#This Row],[Weight]]</f>
        <v/>
      </c>
      <c r="T336">
        <f t="array" ref="T336">IFERROR(INDEX(Disch_Booking_Report!L:L, MATCH(TRUE, ISNUMBER(FIND(SUBSTITUTE(C336," ",""), Disch_Booking_Report!AC:AC)), 0)), "Not Found")</f>
        <v/>
      </c>
      <c r="U336">
        <f t="array" ref="U336">IFERROR(INDEX(Disch_Booking_Report!I:I, MATCH(TRUE, ISNUMBER(FIND(SUBSTITUTE(C336," ",""), Disch_Booking_Report!AC:AC)), 0)), "Not Found")</f>
        <v/>
      </c>
    </row>
    <row r="337">
      <c r="A337" t="n">
        <v>26</v>
      </c>
      <c r="B337" t="n">
        <v>261084</v>
      </c>
      <c r="C337" t="inlineStr">
        <is>
          <t xml:space="preserve">     ANON0000000</t>
        </is>
      </c>
      <c r="D337" t="n">
        <v>40</v>
      </c>
      <c r="E337" t="inlineStr">
        <is>
          <t>RULED</t>
        </is>
      </c>
      <c r="F337" t="inlineStr">
        <is>
          <t>USNYC</t>
        </is>
      </c>
      <c r="G337" t="n">
        <v>34020</v>
      </c>
      <c r="H337" t="inlineStr">
        <is>
          <t>ART</t>
        </is>
      </c>
      <c r="I337" t="inlineStr">
        <is>
          <t>45R1</t>
        </is>
      </c>
      <c r="K337" t="inlineStr">
        <is>
          <t>Dry reefer</t>
        </is>
      </c>
      <c r="L337" t="inlineStr">
        <is>
          <t>9'6</t>
        </is>
      </c>
      <c r="M337" t="inlineStr">
        <is>
          <t>Full</t>
        </is>
      </c>
      <c r="P337">
        <f t="array" ref="P337">IFERROR(INDEX(Disch_Booking_Report!B:B, MATCH(TRUE, ISNUMBER(FIND(SUBSTITUTE(C337," ",""), Disch_Booking_Report!AC:AC)), 0)), "Not Found")</f>
        <v/>
      </c>
      <c r="Q337">
        <f t="array" ref="Q337">IFERROR(INDEX(Disch_Booking_Report!C:C, MATCH(TRUE, ISNUMBER(FIND(SUBSTITUTE(C337," ",""), Disch_Booking_Report!AC:AC)), 0)), "Not Found")</f>
        <v/>
      </c>
      <c r="R337">
        <f t="array" ref="R337">IFERROR(INDEX(Disch_Booking_Report!AD:AD, MATCH(TRUE, ISNUMBER(FIND(SUBSTITUTE(C337," ",""), Disch_Booking_Report!AC:AC)), 0)), "Not Found")</f>
        <v/>
      </c>
      <c r="S337">
        <f>Tabela2[[#This Row],[Weight]]</f>
        <v/>
      </c>
      <c r="T337">
        <f t="array" ref="T337">IFERROR(INDEX(Disch_Booking_Report!L:L, MATCH(TRUE, ISNUMBER(FIND(SUBSTITUTE(C337," ",""), Disch_Booking_Report!AC:AC)), 0)), "Not Found")</f>
        <v/>
      </c>
      <c r="U337">
        <f t="array" ref="U337">IFERROR(INDEX(Disch_Booking_Report!I:I, MATCH(TRUE, ISNUMBER(FIND(SUBSTITUTE(C337," ",""), Disch_Booking_Report!AC:AC)), 0)), "Not Found")</f>
        <v/>
      </c>
    </row>
    <row r="338">
      <c r="A338" t="n">
        <v>26</v>
      </c>
      <c r="B338" t="n">
        <v>260084</v>
      </c>
      <c r="C338" t="inlineStr">
        <is>
          <t xml:space="preserve">     ANON0000000</t>
        </is>
      </c>
      <c r="D338" t="n">
        <v>40</v>
      </c>
      <c r="E338" t="inlineStr">
        <is>
          <t>RULED</t>
        </is>
      </c>
      <c r="F338" t="inlineStr">
        <is>
          <t>USNYC</t>
        </is>
      </c>
      <c r="G338" t="n">
        <v>34000</v>
      </c>
      <c r="H338" t="inlineStr">
        <is>
          <t>ART</t>
        </is>
      </c>
      <c r="I338" t="inlineStr">
        <is>
          <t>45R1</t>
        </is>
      </c>
      <c r="K338" t="inlineStr">
        <is>
          <t>Dry reefer</t>
        </is>
      </c>
      <c r="L338" t="inlineStr">
        <is>
          <t>9'6</t>
        </is>
      </c>
      <c r="M338" t="inlineStr">
        <is>
          <t>Full</t>
        </is>
      </c>
      <c r="P338">
        <f t="array" ref="P338">IFERROR(INDEX(Disch_Booking_Report!B:B, MATCH(TRUE, ISNUMBER(FIND(SUBSTITUTE(C338," ",""), Disch_Booking_Report!AC:AC)), 0)), "Not Found")</f>
        <v/>
      </c>
      <c r="Q338">
        <f t="array" ref="Q338">IFERROR(INDEX(Disch_Booking_Report!C:C, MATCH(TRUE, ISNUMBER(FIND(SUBSTITUTE(C338," ",""), Disch_Booking_Report!AC:AC)), 0)), "Not Found")</f>
        <v/>
      </c>
      <c r="R338">
        <f t="array" ref="R338">IFERROR(INDEX(Disch_Booking_Report!AD:AD, MATCH(TRUE, ISNUMBER(FIND(SUBSTITUTE(C338," ",""), Disch_Booking_Report!AC:AC)), 0)), "Not Found")</f>
        <v/>
      </c>
      <c r="S338">
        <f>Tabela2[[#This Row],[Weight]]</f>
        <v/>
      </c>
      <c r="T338">
        <f t="array" ref="T338">IFERROR(INDEX(Disch_Booking_Report!L:L, MATCH(TRUE, ISNUMBER(FIND(SUBSTITUTE(C338," ",""), Disch_Booking_Report!AC:AC)), 0)), "Not Found")</f>
        <v/>
      </c>
      <c r="U338">
        <f t="array" ref="U338">IFERROR(INDEX(Disch_Booking_Report!I:I, MATCH(TRUE, ISNUMBER(FIND(SUBSTITUTE(C338," ",""), Disch_Booking_Report!AC:AC)), 0)), "Not Found")</f>
        <v/>
      </c>
    </row>
    <row r="339">
      <c r="A339" t="n">
        <v>26</v>
      </c>
      <c r="B339" t="n">
        <v>260882</v>
      </c>
      <c r="C339" t="inlineStr">
        <is>
          <t xml:space="preserve">     ANON0000000</t>
        </is>
      </c>
      <c r="D339" t="n">
        <v>40</v>
      </c>
      <c r="E339" t="inlineStr">
        <is>
          <t>RULED</t>
        </is>
      </c>
      <c r="F339" t="inlineStr">
        <is>
          <t>USNYC</t>
        </is>
      </c>
      <c r="G339" t="n">
        <v>34020</v>
      </c>
      <c r="H339" t="inlineStr">
        <is>
          <t>ART</t>
        </is>
      </c>
      <c r="I339" t="inlineStr">
        <is>
          <t>45R1</t>
        </is>
      </c>
      <c r="K339" t="inlineStr">
        <is>
          <t>Dry reefer</t>
        </is>
      </c>
      <c r="L339" t="inlineStr">
        <is>
          <t>9'6</t>
        </is>
      </c>
      <c r="M339" t="inlineStr">
        <is>
          <t>Full</t>
        </is>
      </c>
      <c r="P339">
        <f t="array" ref="P339">IFERROR(INDEX(Disch_Booking_Report!B:B, MATCH(TRUE, ISNUMBER(FIND(SUBSTITUTE(C339," ",""), Disch_Booking_Report!AC:AC)), 0)), "Not Found")</f>
        <v/>
      </c>
      <c r="Q339">
        <f t="array" ref="Q339">IFERROR(INDEX(Disch_Booking_Report!C:C, MATCH(TRUE, ISNUMBER(FIND(SUBSTITUTE(C339," ",""), Disch_Booking_Report!AC:AC)), 0)), "Not Found")</f>
        <v/>
      </c>
      <c r="R339">
        <f t="array" ref="R339">IFERROR(INDEX(Disch_Booking_Report!AD:AD, MATCH(TRUE, ISNUMBER(FIND(SUBSTITUTE(C339," ",""), Disch_Booking_Report!AC:AC)), 0)), "Not Found")</f>
        <v/>
      </c>
      <c r="S339">
        <f>Tabela2[[#This Row],[Weight]]</f>
        <v/>
      </c>
      <c r="T339">
        <f t="array" ref="T339">IFERROR(INDEX(Disch_Booking_Report!L:L, MATCH(TRUE, ISNUMBER(FIND(SUBSTITUTE(C339," ",""), Disch_Booking_Report!AC:AC)), 0)), "Not Found")</f>
        <v/>
      </c>
      <c r="U339">
        <f t="array" ref="U339">IFERROR(INDEX(Disch_Booking_Report!I:I, MATCH(TRUE, ISNUMBER(FIND(SUBSTITUTE(C339," ",""), Disch_Booking_Report!AC:AC)), 0)), "Not Found")</f>
        <v/>
      </c>
    </row>
    <row r="340">
      <c r="A340" t="n">
        <v>26</v>
      </c>
      <c r="B340" t="n">
        <v>260604</v>
      </c>
      <c r="C340" t="inlineStr">
        <is>
          <t xml:space="preserve">     ANON0000000</t>
        </is>
      </c>
      <c r="D340" t="n">
        <v>40</v>
      </c>
      <c r="E340" t="inlineStr">
        <is>
          <t>RULED</t>
        </is>
      </c>
      <c r="F340" t="inlineStr">
        <is>
          <t>USNYC</t>
        </is>
      </c>
      <c r="G340" t="n">
        <v>32500</v>
      </c>
      <c r="H340" t="inlineStr">
        <is>
          <t>ART</t>
        </is>
      </c>
      <c r="I340" t="inlineStr">
        <is>
          <t>45G1</t>
        </is>
      </c>
      <c r="L340" t="inlineStr">
        <is>
          <t>9'6</t>
        </is>
      </c>
      <c r="M340" t="inlineStr">
        <is>
          <t>Full</t>
        </is>
      </c>
      <c r="P340">
        <f t="array" ref="P340">IFERROR(INDEX(Disch_Booking_Report!B:B, MATCH(TRUE, ISNUMBER(FIND(SUBSTITUTE(C340," ",""), Disch_Booking_Report!AC:AC)), 0)), "Not Found")</f>
        <v/>
      </c>
      <c r="Q340">
        <f t="array" ref="Q340">IFERROR(INDEX(Disch_Booking_Report!C:C, MATCH(TRUE, ISNUMBER(FIND(SUBSTITUTE(C340," ",""), Disch_Booking_Report!AC:AC)), 0)), "Not Found")</f>
        <v/>
      </c>
      <c r="R340">
        <f t="array" ref="R340">IFERROR(INDEX(Disch_Booking_Report!AD:AD, MATCH(TRUE, ISNUMBER(FIND(SUBSTITUTE(C340," ",""), Disch_Booking_Report!AC:AC)), 0)), "Not Found")</f>
        <v/>
      </c>
      <c r="S340">
        <f>Tabela2[[#This Row],[Weight]]</f>
        <v/>
      </c>
      <c r="T340">
        <f t="array" ref="T340">IFERROR(INDEX(Disch_Booking_Report!L:L, MATCH(TRUE, ISNUMBER(FIND(SUBSTITUTE(C340," ",""), Disch_Booking_Report!AC:AC)), 0)), "Not Found")</f>
        <v/>
      </c>
      <c r="U340">
        <f t="array" ref="U340">IFERROR(INDEX(Disch_Booking_Report!I:I, MATCH(TRUE, ISNUMBER(FIND(SUBSTITUTE(C340," ",""), Disch_Booking_Report!AC:AC)), 0)), "Not Found")</f>
        <v/>
      </c>
    </row>
    <row r="341">
      <c r="A341" t="n">
        <v>26</v>
      </c>
      <c r="B341" t="n">
        <v>260384</v>
      </c>
      <c r="C341" t="inlineStr">
        <is>
          <t xml:space="preserve">     ANON0000000</t>
        </is>
      </c>
      <c r="D341" t="n">
        <v>40</v>
      </c>
      <c r="E341" t="inlineStr">
        <is>
          <t>RULED</t>
        </is>
      </c>
      <c r="F341" t="inlineStr">
        <is>
          <t>USNYC</t>
        </is>
      </c>
      <c r="G341" t="n">
        <v>34100</v>
      </c>
      <c r="H341" t="inlineStr">
        <is>
          <t>ART</t>
        </is>
      </c>
      <c r="I341" t="inlineStr">
        <is>
          <t>45R1</t>
        </is>
      </c>
      <c r="K341" t="inlineStr">
        <is>
          <t>Dry reefer</t>
        </is>
      </c>
      <c r="L341" t="inlineStr">
        <is>
          <t>9'6</t>
        </is>
      </c>
      <c r="M341" t="inlineStr">
        <is>
          <t>Full</t>
        </is>
      </c>
      <c r="P341">
        <f t="array" ref="P341">IFERROR(INDEX(Disch_Booking_Report!B:B, MATCH(TRUE, ISNUMBER(FIND(SUBSTITUTE(C341," ",""), Disch_Booking_Report!AC:AC)), 0)), "Not Found")</f>
        <v/>
      </c>
      <c r="Q341">
        <f t="array" ref="Q341">IFERROR(INDEX(Disch_Booking_Report!C:C, MATCH(TRUE, ISNUMBER(FIND(SUBSTITUTE(C341," ",""), Disch_Booking_Report!AC:AC)), 0)), "Not Found")</f>
        <v/>
      </c>
      <c r="R341">
        <f t="array" ref="R341">IFERROR(INDEX(Disch_Booking_Report!AD:AD, MATCH(TRUE, ISNUMBER(FIND(SUBSTITUTE(C341," ",""), Disch_Booking_Report!AC:AC)), 0)), "Not Found")</f>
        <v/>
      </c>
      <c r="S341">
        <f>Tabela2[[#This Row],[Weight]]</f>
        <v/>
      </c>
      <c r="T341">
        <f t="array" ref="T341">IFERROR(INDEX(Disch_Booking_Report!L:L, MATCH(TRUE, ISNUMBER(FIND(SUBSTITUTE(C341," ",""), Disch_Booking_Report!AC:AC)), 0)), "Not Found")</f>
        <v/>
      </c>
      <c r="U341">
        <f t="array" ref="U341">IFERROR(INDEX(Disch_Booking_Report!I:I, MATCH(TRUE, ISNUMBER(FIND(SUBSTITUTE(C341," ",""), Disch_Booking_Report!AC:AC)), 0)), "Not Found")</f>
        <v/>
      </c>
    </row>
    <row r="342">
      <c r="A342" t="n">
        <v>26</v>
      </c>
      <c r="B342" t="n">
        <v>260584</v>
      </c>
      <c r="C342" t="inlineStr">
        <is>
          <t xml:space="preserve">     ANON0000000</t>
        </is>
      </c>
      <c r="D342" t="n">
        <v>40</v>
      </c>
      <c r="E342" t="inlineStr">
        <is>
          <t>RULED</t>
        </is>
      </c>
      <c r="F342" t="inlineStr">
        <is>
          <t>USNYC</t>
        </is>
      </c>
      <c r="G342" t="n">
        <v>33860</v>
      </c>
      <c r="H342" t="inlineStr">
        <is>
          <t>ART</t>
        </is>
      </c>
      <c r="I342" t="inlineStr">
        <is>
          <t>45R1</t>
        </is>
      </c>
      <c r="K342" t="inlineStr">
        <is>
          <t>Dry reefer</t>
        </is>
      </c>
      <c r="L342" t="inlineStr">
        <is>
          <t>9'6</t>
        </is>
      </c>
      <c r="M342" t="inlineStr">
        <is>
          <t>Full</t>
        </is>
      </c>
      <c r="P342">
        <f t="array" ref="P342">IFERROR(INDEX(Disch_Booking_Report!B:B, MATCH(TRUE, ISNUMBER(FIND(SUBSTITUTE(C342," ",""), Disch_Booking_Report!AC:AC)), 0)), "Not Found")</f>
        <v/>
      </c>
      <c r="Q342">
        <f t="array" ref="Q342">IFERROR(INDEX(Disch_Booking_Report!C:C, MATCH(TRUE, ISNUMBER(FIND(SUBSTITUTE(C342," ",""), Disch_Booking_Report!AC:AC)), 0)), "Not Found")</f>
        <v/>
      </c>
      <c r="R342">
        <f t="array" ref="R342">IFERROR(INDEX(Disch_Booking_Report!AD:AD, MATCH(TRUE, ISNUMBER(FIND(SUBSTITUTE(C342," ",""), Disch_Booking_Report!AC:AC)), 0)), "Not Found")</f>
        <v/>
      </c>
      <c r="S342">
        <f>Tabela2[[#This Row],[Weight]]</f>
        <v/>
      </c>
      <c r="T342">
        <f t="array" ref="T342">IFERROR(INDEX(Disch_Booking_Report!L:L, MATCH(TRUE, ISNUMBER(FIND(SUBSTITUTE(C342," ",""), Disch_Booking_Report!AC:AC)), 0)), "Not Found")</f>
        <v/>
      </c>
      <c r="U342">
        <f t="array" ref="U342">IFERROR(INDEX(Disch_Booking_Report!I:I, MATCH(TRUE, ISNUMBER(FIND(SUBSTITUTE(C342," ",""), Disch_Booking_Report!AC:AC)), 0)), "Not Found")</f>
        <v/>
      </c>
    </row>
    <row r="343">
      <c r="A343" t="n">
        <v>26</v>
      </c>
      <c r="B343" t="n">
        <v>260308</v>
      </c>
      <c r="C343" t="inlineStr">
        <is>
          <t xml:space="preserve">     ANON0000000</t>
        </is>
      </c>
      <c r="D343" t="n">
        <v>40</v>
      </c>
      <c r="E343" t="inlineStr">
        <is>
          <t>RULED</t>
        </is>
      </c>
      <c r="F343" t="inlineStr">
        <is>
          <t>USNYC</t>
        </is>
      </c>
      <c r="G343" t="n">
        <v>32970</v>
      </c>
      <c r="H343" t="inlineStr">
        <is>
          <t>ART</t>
        </is>
      </c>
      <c r="I343" t="inlineStr">
        <is>
          <t>45R1</t>
        </is>
      </c>
      <c r="K343" t="inlineStr">
        <is>
          <t>Dry reefer</t>
        </is>
      </c>
      <c r="L343" t="inlineStr">
        <is>
          <t>9'6</t>
        </is>
      </c>
      <c r="M343" t="inlineStr">
        <is>
          <t>Full</t>
        </is>
      </c>
      <c r="P343">
        <f t="array" ref="P343">IFERROR(INDEX(Disch_Booking_Report!B:B, MATCH(TRUE, ISNUMBER(FIND(SUBSTITUTE(C343," ",""), Disch_Booking_Report!AC:AC)), 0)), "Not Found")</f>
        <v/>
      </c>
      <c r="Q343">
        <f t="array" ref="Q343">IFERROR(INDEX(Disch_Booking_Report!C:C, MATCH(TRUE, ISNUMBER(FIND(SUBSTITUTE(C343," ",""), Disch_Booking_Report!AC:AC)), 0)), "Not Found")</f>
        <v/>
      </c>
      <c r="R343">
        <f t="array" ref="R343">IFERROR(INDEX(Disch_Booking_Report!AD:AD, MATCH(TRUE, ISNUMBER(FIND(SUBSTITUTE(C343," ",""), Disch_Booking_Report!AC:AC)), 0)), "Not Found")</f>
        <v/>
      </c>
      <c r="S343">
        <f>Tabela2[[#This Row],[Weight]]</f>
        <v/>
      </c>
      <c r="T343">
        <f t="array" ref="T343">IFERROR(INDEX(Disch_Booking_Report!L:L, MATCH(TRUE, ISNUMBER(FIND(SUBSTITUTE(C343," ",""), Disch_Booking_Report!AC:AC)), 0)), "Not Found")</f>
        <v/>
      </c>
      <c r="U343">
        <f t="array" ref="U343">IFERROR(INDEX(Disch_Booking_Report!I:I, MATCH(TRUE, ISNUMBER(FIND(SUBSTITUTE(C343," ",""), Disch_Booking_Report!AC:AC)), 0)), "Not Found")</f>
        <v/>
      </c>
    </row>
    <row r="344">
      <c r="A344" t="n">
        <v>26</v>
      </c>
      <c r="B344" t="n">
        <v>260984</v>
      </c>
      <c r="C344" t="inlineStr">
        <is>
          <t xml:space="preserve">     ANON0000000</t>
        </is>
      </c>
      <c r="D344" t="n">
        <v>40</v>
      </c>
      <c r="E344" t="inlineStr">
        <is>
          <t>RULED</t>
        </is>
      </c>
      <c r="F344" t="inlineStr">
        <is>
          <t>USNYC</t>
        </is>
      </c>
      <c r="G344" t="n">
        <v>33410</v>
      </c>
      <c r="H344" t="inlineStr">
        <is>
          <t>ART</t>
        </is>
      </c>
      <c r="I344" t="inlineStr">
        <is>
          <t>45R1</t>
        </is>
      </c>
      <c r="K344" t="inlineStr">
        <is>
          <t>Dry reefer</t>
        </is>
      </c>
      <c r="L344" t="inlineStr">
        <is>
          <t>9'6</t>
        </is>
      </c>
      <c r="M344" t="inlineStr">
        <is>
          <t>Full</t>
        </is>
      </c>
      <c r="P344">
        <f t="array" ref="P344">IFERROR(INDEX(Disch_Booking_Report!B:B, MATCH(TRUE, ISNUMBER(FIND(SUBSTITUTE(C344," ",""), Disch_Booking_Report!AC:AC)), 0)), "Not Found")</f>
        <v/>
      </c>
      <c r="Q344">
        <f t="array" ref="Q344">IFERROR(INDEX(Disch_Booking_Report!C:C, MATCH(TRUE, ISNUMBER(FIND(SUBSTITUTE(C344," ",""), Disch_Booking_Report!AC:AC)), 0)), "Not Found")</f>
        <v/>
      </c>
      <c r="R344">
        <f t="array" ref="R344">IFERROR(INDEX(Disch_Booking_Report!AD:AD, MATCH(TRUE, ISNUMBER(FIND(SUBSTITUTE(C344," ",""), Disch_Booking_Report!AC:AC)), 0)), "Not Found")</f>
        <v/>
      </c>
      <c r="S344">
        <f>Tabela2[[#This Row],[Weight]]</f>
        <v/>
      </c>
      <c r="T344">
        <f t="array" ref="T344">IFERROR(INDEX(Disch_Booking_Report!L:L, MATCH(TRUE, ISNUMBER(FIND(SUBSTITUTE(C344," ",""), Disch_Booking_Report!AC:AC)), 0)), "Not Found")</f>
        <v/>
      </c>
      <c r="U344">
        <f t="array" ref="U344">IFERROR(INDEX(Disch_Booking_Report!I:I, MATCH(TRUE, ISNUMBER(FIND(SUBSTITUTE(C344," ",""), Disch_Booking_Report!AC:AC)), 0)), "Not Found")</f>
        <v/>
      </c>
    </row>
    <row r="345">
      <c r="A345" t="n">
        <v>26</v>
      </c>
      <c r="B345" t="n">
        <v>260484</v>
      </c>
      <c r="C345" t="inlineStr">
        <is>
          <t xml:space="preserve">     ANON0000000</t>
        </is>
      </c>
      <c r="D345" t="n">
        <v>40</v>
      </c>
      <c r="E345" t="inlineStr">
        <is>
          <t>RULED</t>
        </is>
      </c>
      <c r="F345" t="inlineStr">
        <is>
          <t>USNYC</t>
        </is>
      </c>
      <c r="G345" t="n">
        <v>33610</v>
      </c>
      <c r="H345" t="inlineStr">
        <is>
          <t>ART</t>
        </is>
      </c>
      <c r="I345" t="inlineStr">
        <is>
          <t>45R1</t>
        </is>
      </c>
      <c r="K345" t="inlineStr">
        <is>
          <t>Dry reefer</t>
        </is>
      </c>
      <c r="L345" t="inlineStr">
        <is>
          <t>9'6</t>
        </is>
      </c>
      <c r="M345" t="inlineStr">
        <is>
          <t>Full</t>
        </is>
      </c>
      <c r="P345">
        <f t="array" ref="P345">IFERROR(INDEX(Disch_Booking_Report!B:B, MATCH(TRUE, ISNUMBER(FIND(SUBSTITUTE(C345," ",""), Disch_Booking_Report!AC:AC)), 0)), "Not Found")</f>
        <v/>
      </c>
      <c r="Q345">
        <f t="array" ref="Q345">IFERROR(INDEX(Disch_Booking_Report!C:C, MATCH(TRUE, ISNUMBER(FIND(SUBSTITUTE(C345," ",""), Disch_Booking_Report!AC:AC)), 0)), "Not Found")</f>
        <v/>
      </c>
      <c r="R345">
        <f t="array" ref="R345">IFERROR(INDEX(Disch_Booking_Report!AD:AD, MATCH(TRUE, ISNUMBER(FIND(SUBSTITUTE(C345," ",""), Disch_Booking_Report!AC:AC)), 0)), "Not Found")</f>
        <v/>
      </c>
      <c r="S345">
        <f>Tabela2[[#This Row],[Weight]]</f>
        <v/>
      </c>
      <c r="T345">
        <f t="array" ref="T345">IFERROR(INDEX(Disch_Booking_Report!L:L, MATCH(TRUE, ISNUMBER(FIND(SUBSTITUTE(C345," ",""), Disch_Booking_Report!AC:AC)), 0)), "Not Found")</f>
        <v/>
      </c>
      <c r="U345">
        <f t="array" ref="U345">IFERROR(INDEX(Disch_Booking_Report!I:I, MATCH(TRUE, ISNUMBER(FIND(SUBSTITUTE(C345," ",""), Disch_Booking_Report!AC:AC)), 0)), "Not Found")</f>
        <v/>
      </c>
    </row>
    <row r="346">
      <c r="A346" t="n">
        <v>26</v>
      </c>
      <c r="B346" t="n">
        <v>260782</v>
      </c>
      <c r="C346" t="inlineStr">
        <is>
          <t xml:space="preserve">     ANON0000000</t>
        </is>
      </c>
      <c r="D346" t="n">
        <v>40</v>
      </c>
      <c r="E346" t="inlineStr">
        <is>
          <t>RULED</t>
        </is>
      </c>
      <c r="F346" t="inlineStr">
        <is>
          <t>USNYC</t>
        </is>
      </c>
      <c r="G346" t="n">
        <v>34910</v>
      </c>
      <c r="H346" t="inlineStr">
        <is>
          <t>ART</t>
        </is>
      </c>
      <c r="I346" t="inlineStr">
        <is>
          <t>45R1</t>
        </is>
      </c>
      <c r="K346" t="inlineStr">
        <is>
          <t>Dry reefer</t>
        </is>
      </c>
      <c r="L346" t="inlineStr">
        <is>
          <t>9'6</t>
        </is>
      </c>
      <c r="M346" t="inlineStr">
        <is>
          <t>Full</t>
        </is>
      </c>
      <c r="P346">
        <f t="array" ref="P346">IFERROR(INDEX(Disch_Booking_Report!B:B, MATCH(TRUE, ISNUMBER(FIND(SUBSTITUTE(C346," ",""), Disch_Booking_Report!AC:AC)), 0)), "Not Found")</f>
        <v/>
      </c>
      <c r="Q346">
        <f t="array" ref="Q346">IFERROR(INDEX(Disch_Booking_Report!C:C, MATCH(TRUE, ISNUMBER(FIND(SUBSTITUTE(C346," ",""), Disch_Booking_Report!AC:AC)), 0)), "Not Found")</f>
        <v/>
      </c>
      <c r="R346">
        <f t="array" ref="R346">IFERROR(INDEX(Disch_Booking_Report!AD:AD, MATCH(TRUE, ISNUMBER(FIND(SUBSTITUTE(C346," ",""), Disch_Booking_Report!AC:AC)), 0)), "Not Found")</f>
        <v/>
      </c>
      <c r="S346">
        <f>Tabela2[[#This Row],[Weight]]</f>
        <v/>
      </c>
      <c r="T346">
        <f t="array" ref="T346">IFERROR(INDEX(Disch_Booking_Report!L:L, MATCH(TRUE, ISNUMBER(FIND(SUBSTITUTE(C346," ",""), Disch_Booking_Report!AC:AC)), 0)), "Not Found")</f>
        <v/>
      </c>
      <c r="U346">
        <f t="array" ref="U346">IFERROR(INDEX(Disch_Booking_Report!I:I, MATCH(TRUE, ISNUMBER(FIND(SUBSTITUTE(C346," ",""), Disch_Booking_Report!AC:AC)), 0)), "Not Found")</f>
        <v/>
      </c>
    </row>
    <row r="347">
      <c r="A347" t="n">
        <v>26</v>
      </c>
      <c r="B347" t="n">
        <v>260784</v>
      </c>
      <c r="C347" t="inlineStr">
        <is>
          <t xml:space="preserve">     ANON0000000</t>
        </is>
      </c>
      <c r="D347" t="n">
        <v>40</v>
      </c>
      <c r="E347" t="inlineStr">
        <is>
          <t>RULED</t>
        </is>
      </c>
      <c r="F347" t="inlineStr">
        <is>
          <t>USNYC</t>
        </is>
      </c>
      <c r="G347" t="n">
        <v>33140</v>
      </c>
      <c r="H347" t="inlineStr">
        <is>
          <t>ART</t>
        </is>
      </c>
      <c r="I347" t="inlineStr">
        <is>
          <t>45R1</t>
        </is>
      </c>
      <c r="K347" t="inlineStr">
        <is>
          <t>Dry reefer</t>
        </is>
      </c>
      <c r="L347" t="inlineStr">
        <is>
          <t>9'6</t>
        </is>
      </c>
      <c r="M347" t="inlineStr">
        <is>
          <t>Full</t>
        </is>
      </c>
      <c r="P347">
        <f t="array" ref="P347">IFERROR(INDEX(Disch_Booking_Report!B:B, MATCH(TRUE, ISNUMBER(FIND(SUBSTITUTE(C347," ",""), Disch_Booking_Report!AC:AC)), 0)), "Not Found")</f>
        <v/>
      </c>
      <c r="Q347">
        <f t="array" ref="Q347">IFERROR(INDEX(Disch_Booking_Report!C:C, MATCH(TRUE, ISNUMBER(FIND(SUBSTITUTE(C347," ",""), Disch_Booking_Report!AC:AC)), 0)), "Not Found")</f>
        <v/>
      </c>
      <c r="R347">
        <f t="array" ref="R347">IFERROR(INDEX(Disch_Booking_Report!AD:AD, MATCH(TRUE, ISNUMBER(FIND(SUBSTITUTE(C347," ",""), Disch_Booking_Report!AC:AC)), 0)), "Not Found")</f>
        <v/>
      </c>
      <c r="S347">
        <f>Tabela2[[#This Row],[Weight]]</f>
        <v/>
      </c>
      <c r="T347">
        <f t="array" ref="T347">IFERROR(INDEX(Disch_Booking_Report!L:L, MATCH(TRUE, ISNUMBER(FIND(SUBSTITUTE(C347," ",""), Disch_Booking_Report!AC:AC)), 0)), "Not Found")</f>
        <v/>
      </c>
      <c r="U347">
        <f t="array" ref="U347">IFERROR(INDEX(Disch_Booking_Report!I:I, MATCH(TRUE, ISNUMBER(FIND(SUBSTITUTE(C347," ",""), Disch_Booking_Report!AC:AC)), 0)), "Not Found")</f>
        <v/>
      </c>
    </row>
    <row r="348">
      <c r="A348" t="n">
        <v>26</v>
      </c>
      <c r="B348" t="n">
        <v>260408</v>
      </c>
      <c r="C348" t="inlineStr">
        <is>
          <t xml:space="preserve">     ANON0000000</t>
        </is>
      </c>
      <c r="D348" t="n">
        <v>40</v>
      </c>
      <c r="E348" t="inlineStr">
        <is>
          <t>RULED</t>
        </is>
      </c>
      <c r="F348" t="inlineStr">
        <is>
          <t>USNYC</t>
        </is>
      </c>
      <c r="G348" t="n">
        <v>32970</v>
      </c>
      <c r="H348" t="inlineStr">
        <is>
          <t>ART</t>
        </is>
      </c>
      <c r="I348" t="inlineStr">
        <is>
          <t>45R1</t>
        </is>
      </c>
      <c r="K348" t="inlineStr">
        <is>
          <t>Dry reefer</t>
        </is>
      </c>
      <c r="L348" t="inlineStr">
        <is>
          <t>9'6</t>
        </is>
      </c>
      <c r="M348" t="inlineStr">
        <is>
          <t>Full</t>
        </is>
      </c>
      <c r="P348">
        <f t="array" ref="P348">IFERROR(INDEX(Disch_Booking_Report!B:B, MATCH(TRUE, ISNUMBER(FIND(SUBSTITUTE(C348," ",""), Disch_Booking_Report!AC:AC)), 0)), "Not Found")</f>
        <v/>
      </c>
      <c r="Q348">
        <f t="array" ref="Q348">IFERROR(INDEX(Disch_Booking_Report!C:C, MATCH(TRUE, ISNUMBER(FIND(SUBSTITUTE(C348," ",""), Disch_Booking_Report!AC:AC)), 0)), "Not Found")</f>
        <v/>
      </c>
      <c r="R348">
        <f t="array" ref="R348">IFERROR(INDEX(Disch_Booking_Report!AD:AD, MATCH(TRUE, ISNUMBER(FIND(SUBSTITUTE(C348," ",""), Disch_Booking_Report!AC:AC)), 0)), "Not Found")</f>
        <v/>
      </c>
      <c r="S348">
        <f>Tabela2[[#This Row],[Weight]]</f>
        <v/>
      </c>
      <c r="T348">
        <f t="array" ref="T348">IFERROR(INDEX(Disch_Booking_Report!L:L, MATCH(TRUE, ISNUMBER(FIND(SUBSTITUTE(C348," ",""), Disch_Booking_Report!AC:AC)), 0)), "Not Found")</f>
        <v/>
      </c>
      <c r="U348">
        <f t="array" ref="U348">IFERROR(INDEX(Disch_Booking_Report!I:I, MATCH(TRUE, ISNUMBER(FIND(SUBSTITUTE(C348," ",""), Disch_Booking_Report!AC:AC)), 0)), "Not Found")</f>
        <v/>
      </c>
    </row>
    <row r="349">
      <c r="A349" t="n">
        <v>26</v>
      </c>
      <c r="B349" t="n">
        <v>260182</v>
      </c>
      <c r="C349" t="inlineStr">
        <is>
          <t xml:space="preserve">     ANON0000000</t>
        </is>
      </c>
      <c r="D349" t="n">
        <v>40</v>
      </c>
      <c r="E349" t="inlineStr">
        <is>
          <t>RULED</t>
        </is>
      </c>
      <c r="F349" t="inlineStr">
        <is>
          <t>USNYC</t>
        </is>
      </c>
      <c r="G349" t="n">
        <v>34210</v>
      </c>
      <c r="H349" t="inlineStr">
        <is>
          <t>ART</t>
        </is>
      </c>
      <c r="I349" t="inlineStr">
        <is>
          <t>45R1</t>
        </is>
      </c>
      <c r="K349" t="inlineStr">
        <is>
          <t>Dry reefer</t>
        </is>
      </c>
      <c r="L349" t="inlineStr">
        <is>
          <t>9'6</t>
        </is>
      </c>
      <c r="M349" t="inlineStr">
        <is>
          <t>Full</t>
        </is>
      </c>
      <c r="P349">
        <f t="array" ref="P349">IFERROR(INDEX(Disch_Booking_Report!B:B, MATCH(TRUE, ISNUMBER(FIND(SUBSTITUTE(C349," ",""), Disch_Booking_Report!AC:AC)), 0)), "Not Found")</f>
        <v/>
      </c>
      <c r="Q349">
        <f t="array" ref="Q349">IFERROR(INDEX(Disch_Booking_Report!C:C, MATCH(TRUE, ISNUMBER(FIND(SUBSTITUTE(C349," ",""), Disch_Booking_Report!AC:AC)), 0)), "Not Found")</f>
        <v/>
      </c>
      <c r="R349">
        <f t="array" ref="R349">IFERROR(INDEX(Disch_Booking_Report!AD:AD, MATCH(TRUE, ISNUMBER(FIND(SUBSTITUTE(C349," ",""), Disch_Booking_Report!AC:AC)), 0)), "Not Found")</f>
        <v/>
      </c>
      <c r="S349">
        <f>Tabela2[[#This Row],[Weight]]</f>
        <v/>
      </c>
      <c r="T349">
        <f t="array" ref="T349">IFERROR(INDEX(Disch_Booking_Report!L:L, MATCH(TRUE, ISNUMBER(FIND(SUBSTITUTE(C349," ",""), Disch_Booking_Report!AC:AC)), 0)), "Not Found")</f>
        <v/>
      </c>
      <c r="U349">
        <f t="array" ref="U349">IFERROR(INDEX(Disch_Booking_Report!I:I, MATCH(TRUE, ISNUMBER(FIND(SUBSTITUTE(C349," ",""), Disch_Booking_Report!AC:AC)), 0)), "Not Found")</f>
        <v/>
      </c>
    </row>
    <row r="350">
      <c r="A350" t="n">
        <v>26</v>
      </c>
      <c r="B350" t="n">
        <v>260302</v>
      </c>
      <c r="C350" t="inlineStr">
        <is>
          <t xml:space="preserve">     ANON0000000</t>
        </is>
      </c>
      <c r="D350" t="n">
        <v>40</v>
      </c>
      <c r="E350" t="inlineStr">
        <is>
          <t>RULED</t>
        </is>
      </c>
      <c r="F350" t="inlineStr">
        <is>
          <t>USNYC</t>
        </is>
      </c>
      <c r="G350" t="n">
        <v>33940</v>
      </c>
      <c r="H350" t="inlineStr">
        <is>
          <t>ART</t>
        </is>
      </c>
      <c r="I350" t="inlineStr">
        <is>
          <t>45R1</t>
        </is>
      </c>
      <c r="K350" t="inlineStr">
        <is>
          <t>Dry reefer</t>
        </is>
      </c>
      <c r="L350" t="inlineStr">
        <is>
          <t>9'6</t>
        </is>
      </c>
      <c r="M350" t="inlineStr">
        <is>
          <t>Full</t>
        </is>
      </c>
      <c r="P350">
        <f t="array" ref="P350">IFERROR(INDEX(Disch_Booking_Report!B:B, MATCH(TRUE, ISNUMBER(FIND(SUBSTITUTE(C350," ",""), Disch_Booking_Report!AC:AC)), 0)), "Not Found")</f>
        <v/>
      </c>
      <c r="Q350">
        <f t="array" ref="Q350">IFERROR(INDEX(Disch_Booking_Report!C:C, MATCH(TRUE, ISNUMBER(FIND(SUBSTITUTE(C350," ",""), Disch_Booking_Report!AC:AC)), 0)), "Not Found")</f>
        <v/>
      </c>
      <c r="R350">
        <f t="array" ref="R350">IFERROR(INDEX(Disch_Booking_Report!AD:AD, MATCH(TRUE, ISNUMBER(FIND(SUBSTITUTE(C350," ",""), Disch_Booking_Report!AC:AC)), 0)), "Not Found")</f>
        <v/>
      </c>
      <c r="S350">
        <f>Tabela2[[#This Row],[Weight]]</f>
        <v/>
      </c>
      <c r="T350">
        <f t="array" ref="T350">IFERROR(INDEX(Disch_Booking_Report!L:L, MATCH(TRUE, ISNUMBER(FIND(SUBSTITUTE(C350," ",""), Disch_Booking_Report!AC:AC)), 0)), "Not Found")</f>
        <v/>
      </c>
      <c r="U350">
        <f t="array" ref="U350">IFERROR(INDEX(Disch_Booking_Report!I:I, MATCH(TRUE, ISNUMBER(FIND(SUBSTITUTE(C350," ",""), Disch_Booking_Report!AC:AC)), 0)), "Not Found")</f>
        <v/>
      </c>
    </row>
    <row r="351">
      <c r="A351" t="n">
        <v>26</v>
      </c>
      <c r="B351" t="n">
        <v>260606</v>
      </c>
      <c r="C351" t="inlineStr">
        <is>
          <t xml:space="preserve">     ANON0000000</t>
        </is>
      </c>
      <c r="D351" t="n">
        <v>40</v>
      </c>
      <c r="E351" t="inlineStr">
        <is>
          <t>RULED</t>
        </is>
      </c>
      <c r="F351" t="inlineStr">
        <is>
          <t>USNYC</t>
        </is>
      </c>
      <c r="G351" t="n">
        <v>32970</v>
      </c>
      <c r="H351" t="inlineStr">
        <is>
          <t>ART</t>
        </is>
      </c>
      <c r="I351" t="inlineStr">
        <is>
          <t>45R1</t>
        </is>
      </c>
      <c r="K351" t="inlineStr">
        <is>
          <t>Dry reefer</t>
        </is>
      </c>
      <c r="L351" t="inlineStr">
        <is>
          <t>9'6</t>
        </is>
      </c>
      <c r="M351" t="inlineStr">
        <is>
          <t>Full</t>
        </is>
      </c>
      <c r="P351">
        <f t="array" ref="P351">IFERROR(INDEX(Disch_Booking_Report!B:B, MATCH(TRUE, ISNUMBER(FIND(SUBSTITUTE(C351," ",""), Disch_Booking_Report!AC:AC)), 0)), "Not Found")</f>
        <v/>
      </c>
      <c r="Q351">
        <f t="array" ref="Q351">IFERROR(INDEX(Disch_Booking_Report!C:C, MATCH(TRUE, ISNUMBER(FIND(SUBSTITUTE(C351," ",""), Disch_Booking_Report!AC:AC)), 0)), "Not Found")</f>
        <v/>
      </c>
      <c r="R351">
        <f t="array" ref="R351">IFERROR(INDEX(Disch_Booking_Report!AD:AD, MATCH(TRUE, ISNUMBER(FIND(SUBSTITUTE(C351," ",""), Disch_Booking_Report!AC:AC)), 0)), "Not Found")</f>
        <v/>
      </c>
      <c r="S351">
        <f>Tabela2[[#This Row],[Weight]]</f>
        <v/>
      </c>
      <c r="T351">
        <f t="array" ref="T351">IFERROR(INDEX(Disch_Booking_Report!L:L, MATCH(TRUE, ISNUMBER(FIND(SUBSTITUTE(C351," ",""), Disch_Booking_Report!AC:AC)), 0)), "Not Found")</f>
        <v/>
      </c>
      <c r="U351">
        <f t="array" ref="U351">IFERROR(INDEX(Disch_Booking_Report!I:I, MATCH(TRUE, ISNUMBER(FIND(SUBSTITUTE(C351," ",""), Disch_Booking_Report!AC:AC)), 0)), "Not Found")</f>
        <v/>
      </c>
    </row>
    <row r="352">
      <c r="A352" t="n">
        <v>26</v>
      </c>
      <c r="B352" t="n">
        <v>260282</v>
      </c>
      <c r="C352" t="inlineStr">
        <is>
          <t xml:space="preserve">     ANON0000000</t>
        </is>
      </c>
      <c r="D352" t="n">
        <v>40</v>
      </c>
      <c r="E352" t="inlineStr">
        <is>
          <t>RULED</t>
        </is>
      </c>
      <c r="F352" t="inlineStr">
        <is>
          <t>USNYC</t>
        </is>
      </c>
      <c r="G352" t="n">
        <v>33990</v>
      </c>
      <c r="H352" t="inlineStr">
        <is>
          <t>ART</t>
        </is>
      </c>
      <c r="I352" t="inlineStr">
        <is>
          <t>45R1</t>
        </is>
      </c>
      <c r="K352" t="inlineStr">
        <is>
          <t>Dry reefer</t>
        </is>
      </c>
      <c r="L352" t="inlineStr">
        <is>
          <t>9'6</t>
        </is>
      </c>
      <c r="M352" t="inlineStr">
        <is>
          <t>Full</t>
        </is>
      </c>
      <c r="P352">
        <f t="array" ref="P352">IFERROR(INDEX(Disch_Booking_Report!B:B, MATCH(TRUE, ISNUMBER(FIND(SUBSTITUTE(C352," ",""), Disch_Booking_Report!AC:AC)), 0)), "Not Found")</f>
        <v/>
      </c>
      <c r="Q352">
        <f t="array" ref="Q352">IFERROR(INDEX(Disch_Booking_Report!C:C, MATCH(TRUE, ISNUMBER(FIND(SUBSTITUTE(C352," ",""), Disch_Booking_Report!AC:AC)), 0)), "Not Found")</f>
        <v/>
      </c>
      <c r="R352">
        <f t="array" ref="R352">IFERROR(INDEX(Disch_Booking_Report!AD:AD, MATCH(TRUE, ISNUMBER(FIND(SUBSTITUTE(C352," ",""), Disch_Booking_Report!AC:AC)), 0)), "Not Found")</f>
        <v/>
      </c>
      <c r="S352">
        <f>Tabela2[[#This Row],[Weight]]</f>
        <v/>
      </c>
      <c r="T352">
        <f t="array" ref="T352">IFERROR(INDEX(Disch_Booking_Report!L:L, MATCH(TRUE, ISNUMBER(FIND(SUBSTITUTE(C352," ",""), Disch_Booking_Report!AC:AC)), 0)), "Not Found")</f>
        <v/>
      </c>
      <c r="U352">
        <f t="array" ref="U352">IFERROR(INDEX(Disch_Booking_Report!I:I, MATCH(TRUE, ISNUMBER(FIND(SUBSTITUTE(C352," ",""), Disch_Booking_Report!AC:AC)), 0)), "Not Found")</f>
        <v/>
      </c>
    </row>
    <row r="353">
      <c r="A353" t="n">
        <v>26</v>
      </c>
      <c r="B353" t="n">
        <v>260206</v>
      </c>
      <c r="C353" t="inlineStr">
        <is>
          <t xml:space="preserve">     ANON0000000</t>
        </is>
      </c>
      <c r="D353" t="n">
        <v>40</v>
      </c>
      <c r="E353" t="inlineStr">
        <is>
          <t>RULED</t>
        </is>
      </c>
      <c r="F353" t="inlineStr">
        <is>
          <t>USNYC</t>
        </is>
      </c>
      <c r="G353" t="n">
        <v>34970</v>
      </c>
      <c r="H353" t="inlineStr">
        <is>
          <t>ART</t>
        </is>
      </c>
      <c r="I353" t="inlineStr">
        <is>
          <t>45R1</t>
        </is>
      </c>
      <c r="K353" t="inlineStr">
        <is>
          <t>Dry reefer</t>
        </is>
      </c>
      <c r="L353" t="inlineStr">
        <is>
          <t>9'6</t>
        </is>
      </c>
      <c r="M353" t="inlineStr">
        <is>
          <t>Full</t>
        </is>
      </c>
      <c r="P353">
        <f t="array" ref="P353">IFERROR(INDEX(Disch_Booking_Report!B:B, MATCH(TRUE, ISNUMBER(FIND(SUBSTITUTE(C353," ",""), Disch_Booking_Report!AC:AC)), 0)), "Not Found")</f>
        <v/>
      </c>
      <c r="Q353">
        <f t="array" ref="Q353">IFERROR(INDEX(Disch_Booking_Report!C:C, MATCH(TRUE, ISNUMBER(FIND(SUBSTITUTE(C353," ",""), Disch_Booking_Report!AC:AC)), 0)), "Not Found")</f>
        <v/>
      </c>
      <c r="R353">
        <f t="array" ref="R353">IFERROR(INDEX(Disch_Booking_Report!AD:AD, MATCH(TRUE, ISNUMBER(FIND(SUBSTITUTE(C353," ",""), Disch_Booking_Report!AC:AC)), 0)), "Not Found")</f>
        <v/>
      </c>
      <c r="S353">
        <f>Tabela2[[#This Row],[Weight]]</f>
        <v/>
      </c>
      <c r="T353">
        <f t="array" ref="T353">IFERROR(INDEX(Disch_Booking_Report!L:L, MATCH(TRUE, ISNUMBER(FIND(SUBSTITUTE(C353," ",""), Disch_Booking_Report!AC:AC)), 0)), "Not Found")</f>
        <v/>
      </c>
      <c r="U353">
        <f t="array" ref="U353">IFERROR(INDEX(Disch_Booking_Report!I:I, MATCH(TRUE, ISNUMBER(FIND(SUBSTITUTE(C353," ",""), Disch_Booking_Report!AC:AC)), 0)), "Not Found")</f>
        <v/>
      </c>
    </row>
    <row r="354">
      <c r="A354" t="n">
        <v>26</v>
      </c>
      <c r="B354" t="n">
        <v>260304</v>
      </c>
      <c r="C354" t="inlineStr">
        <is>
          <t xml:space="preserve">     ANON0000000</t>
        </is>
      </c>
      <c r="D354" t="n">
        <v>40</v>
      </c>
      <c r="E354" t="inlineStr">
        <is>
          <t>RULED</t>
        </is>
      </c>
      <c r="F354" t="inlineStr">
        <is>
          <t>USNYC</t>
        </is>
      </c>
      <c r="G354" t="n">
        <v>32320</v>
      </c>
      <c r="H354" t="inlineStr">
        <is>
          <t>ART</t>
        </is>
      </c>
      <c r="I354" t="inlineStr">
        <is>
          <t>45G1</t>
        </is>
      </c>
      <c r="L354" t="inlineStr">
        <is>
          <t>9'6</t>
        </is>
      </c>
      <c r="M354" t="inlineStr">
        <is>
          <t>Full</t>
        </is>
      </c>
      <c r="P354">
        <f t="array" ref="P354">IFERROR(INDEX(Disch_Booking_Report!B:B, MATCH(TRUE, ISNUMBER(FIND(SUBSTITUTE(C354," ",""), Disch_Booking_Report!AC:AC)), 0)), "Not Found")</f>
        <v/>
      </c>
      <c r="Q354">
        <f t="array" ref="Q354">IFERROR(INDEX(Disch_Booking_Report!C:C, MATCH(TRUE, ISNUMBER(FIND(SUBSTITUTE(C354," ",""), Disch_Booking_Report!AC:AC)), 0)), "Not Found")</f>
        <v/>
      </c>
      <c r="R354">
        <f t="array" ref="R354">IFERROR(INDEX(Disch_Booking_Report!AD:AD, MATCH(TRUE, ISNUMBER(FIND(SUBSTITUTE(C354," ",""), Disch_Booking_Report!AC:AC)), 0)), "Not Found")</f>
        <v/>
      </c>
      <c r="S354">
        <f>Tabela2[[#This Row],[Weight]]</f>
        <v/>
      </c>
      <c r="T354">
        <f t="array" ref="T354">IFERROR(INDEX(Disch_Booking_Report!L:L, MATCH(TRUE, ISNUMBER(FIND(SUBSTITUTE(C354," ",""), Disch_Booking_Report!AC:AC)), 0)), "Not Found")</f>
        <v/>
      </c>
      <c r="U354">
        <f t="array" ref="U354">IFERROR(INDEX(Disch_Booking_Report!I:I, MATCH(TRUE, ISNUMBER(FIND(SUBSTITUTE(C354," ",""), Disch_Booking_Report!AC:AC)), 0)), "Not Found")</f>
        <v/>
      </c>
    </row>
    <row r="355">
      <c r="A355" t="n">
        <v>26</v>
      </c>
      <c r="B355" t="n">
        <v>260104</v>
      </c>
      <c r="C355" t="inlineStr">
        <is>
          <t xml:space="preserve">     ANON0000000</t>
        </is>
      </c>
      <c r="D355" t="n">
        <v>40</v>
      </c>
      <c r="E355" t="inlineStr">
        <is>
          <t>RULED</t>
        </is>
      </c>
      <c r="F355" t="inlineStr">
        <is>
          <t>USNYC</t>
        </is>
      </c>
      <c r="G355" t="n">
        <v>32320</v>
      </c>
      <c r="H355" t="inlineStr">
        <is>
          <t>ART</t>
        </is>
      </c>
      <c r="I355" t="inlineStr">
        <is>
          <t>45G1</t>
        </is>
      </c>
      <c r="L355" t="inlineStr">
        <is>
          <t>9'6</t>
        </is>
      </c>
      <c r="M355" t="inlineStr">
        <is>
          <t>Full</t>
        </is>
      </c>
      <c r="P355">
        <f t="array" ref="P355">IFERROR(INDEX(Disch_Booking_Report!B:B, MATCH(TRUE, ISNUMBER(FIND(SUBSTITUTE(C355," ",""), Disch_Booking_Report!AC:AC)), 0)), "Not Found")</f>
        <v/>
      </c>
      <c r="Q355">
        <f t="array" ref="Q355">IFERROR(INDEX(Disch_Booking_Report!C:C, MATCH(TRUE, ISNUMBER(FIND(SUBSTITUTE(C355," ",""), Disch_Booking_Report!AC:AC)), 0)), "Not Found")</f>
        <v/>
      </c>
      <c r="R355">
        <f t="array" ref="R355">IFERROR(INDEX(Disch_Booking_Report!AD:AD, MATCH(TRUE, ISNUMBER(FIND(SUBSTITUTE(C355," ",""), Disch_Booking_Report!AC:AC)), 0)), "Not Found")</f>
        <v/>
      </c>
      <c r="S355">
        <f>Tabela2[[#This Row],[Weight]]</f>
        <v/>
      </c>
      <c r="T355">
        <f t="array" ref="T355">IFERROR(INDEX(Disch_Booking_Report!L:L, MATCH(TRUE, ISNUMBER(FIND(SUBSTITUTE(C355," ",""), Disch_Booking_Report!AC:AC)), 0)), "Not Found")</f>
        <v/>
      </c>
      <c r="U355">
        <f t="array" ref="U355">IFERROR(INDEX(Disch_Booking_Report!I:I, MATCH(TRUE, ISNUMBER(FIND(SUBSTITUTE(C355," ",""), Disch_Booking_Report!AC:AC)), 0)), "Not Found")</f>
        <v/>
      </c>
    </row>
    <row r="356">
      <c r="A356" t="n">
        <v>26</v>
      </c>
      <c r="B356" t="n">
        <v>260706</v>
      </c>
      <c r="C356" t="inlineStr">
        <is>
          <t xml:space="preserve">     ANON0000000</t>
        </is>
      </c>
      <c r="D356" t="n">
        <v>40</v>
      </c>
      <c r="E356" t="inlineStr">
        <is>
          <t>RULED</t>
        </is>
      </c>
      <c r="F356" t="inlineStr">
        <is>
          <t>USNYC</t>
        </is>
      </c>
      <c r="G356" t="n">
        <v>34000</v>
      </c>
      <c r="H356" t="inlineStr">
        <is>
          <t>ART</t>
        </is>
      </c>
      <c r="I356" t="inlineStr">
        <is>
          <t>45R1</t>
        </is>
      </c>
      <c r="K356" t="inlineStr">
        <is>
          <t>Dry reefer</t>
        </is>
      </c>
      <c r="L356" t="inlineStr">
        <is>
          <t>9'6</t>
        </is>
      </c>
      <c r="M356" t="inlineStr">
        <is>
          <t>Full</t>
        </is>
      </c>
      <c r="P356">
        <f t="array" ref="P356">IFERROR(INDEX(Disch_Booking_Report!B:B, MATCH(TRUE, ISNUMBER(FIND(SUBSTITUTE(C356," ",""), Disch_Booking_Report!AC:AC)), 0)), "Not Found")</f>
        <v/>
      </c>
      <c r="Q356">
        <f t="array" ref="Q356">IFERROR(INDEX(Disch_Booking_Report!C:C, MATCH(TRUE, ISNUMBER(FIND(SUBSTITUTE(C356," ",""), Disch_Booking_Report!AC:AC)), 0)), "Not Found")</f>
        <v/>
      </c>
      <c r="R356">
        <f t="array" ref="R356">IFERROR(INDEX(Disch_Booking_Report!AD:AD, MATCH(TRUE, ISNUMBER(FIND(SUBSTITUTE(C356," ",""), Disch_Booking_Report!AC:AC)), 0)), "Not Found")</f>
        <v/>
      </c>
      <c r="S356">
        <f>Tabela2[[#This Row],[Weight]]</f>
        <v/>
      </c>
      <c r="T356">
        <f t="array" ref="T356">IFERROR(INDEX(Disch_Booking_Report!L:L, MATCH(TRUE, ISNUMBER(FIND(SUBSTITUTE(C356," ",""), Disch_Booking_Report!AC:AC)), 0)), "Not Found")</f>
        <v/>
      </c>
      <c r="U356">
        <f t="array" ref="U356">IFERROR(INDEX(Disch_Booking_Report!I:I, MATCH(TRUE, ISNUMBER(FIND(SUBSTITUTE(C356," ",""), Disch_Booking_Report!AC:AC)), 0)), "Not Found")</f>
        <v/>
      </c>
    </row>
    <row r="357">
      <c r="A357" t="n">
        <v>26</v>
      </c>
      <c r="B357" t="n">
        <v>260202</v>
      </c>
      <c r="C357" t="inlineStr">
        <is>
          <t xml:space="preserve">     ANON0000000</t>
        </is>
      </c>
      <c r="D357" t="n">
        <v>40</v>
      </c>
      <c r="E357" t="inlineStr">
        <is>
          <t>RULED</t>
        </is>
      </c>
      <c r="F357" t="inlineStr">
        <is>
          <t>USNYC</t>
        </is>
      </c>
      <c r="G357" t="n">
        <v>34010</v>
      </c>
      <c r="H357" t="inlineStr">
        <is>
          <t>ART</t>
        </is>
      </c>
      <c r="I357" t="inlineStr">
        <is>
          <t>45R1</t>
        </is>
      </c>
      <c r="K357" t="inlineStr">
        <is>
          <t>Dry reefer</t>
        </is>
      </c>
      <c r="L357" t="inlineStr">
        <is>
          <t>9'6</t>
        </is>
      </c>
      <c r="M357" t="inlineStr">
        <is>
          <t>Full</t>
        </is>
      </c>
      <c r="P357">
        <f t="array" ref="P357">IFERROR(INDEX(Disch_Booking_Report!B:B, MATCH(TRUE, ISNUMBER(FIND(SUBSTITUTE(C357," ",""), Disch_Booking_Report!AC:AC)), 0)), "Not Found")</f>
        <v/>
      </c>
      <c r="Q357">
        <f t="array" ref="Q357">IFERROR(INDEX(Disch_Booking_Report!C:C, MATCH(TRUE, ISNUMBER(FIND(SUBSTITUTE(C357," ",""), Disch_Booking_Report!AC:AC)), 0)), "Not Found")</f>
        <v/>
      </c>
      <c r="R357">
        <f t="array" ref="R357">IFERROR(INDEX(Disch_Booking_Report!AD:AD, MATCH(TRUE, ISNUMBER(FIND(SUBSTITUTE(C357," ",""), Disch_Booking_Report!AC:AC)), 0)), "Not Found")</f>
        <v/>
      </c>
      <c r="S357">
        <f>Tabela2[[#This Row],[Weight]]</f>
        <v/>
      </c>
      <c r="T357">
        <f t="array" ref="T357">IFERROR(INDEX(Disch_Booking_Report!L:L, MATCH(TRUE, ISNUMBER(FIND(SUBSTITUTE(C357," ",""), Disch_Booking_Report!AC:AC)), 0)), "Not Found")</f>
        <v/>
      </c>
      <c r="U357">
        <f t="array" ref="U357">IFERROR(INDEX(Disch_Booking_Report!I:I, MATCH(TRUE, ISNUMBER(FIND(SUBSTITUTE(C357," ",""), Disch_Booking_Report!AC:AC)), 0)), "Not Found")</f>
        <v/>
      </c>
    </row>
    <row r="358">
      <c r="A358" t="n">
        <v>26</v>
      </c>
      <c r="B358" t="n">
        <v>260284</v>
      </c>
      <c r="C358" t="inlineStr">
        <is>
          <t xml:space="preserve">     ANON0000000</t>
        </is>
      </c>
      <c r="D358" t="n">
        <v>40</v>
      </c>
      <c r="E358" t="inlineStr">
        <is>
          <t>RULED</t>
        </is>
      </c>
      <c r="F358" t="inlineStr">
        <is>
          <t>USNYC</t>
        </is>
      </c>
      <c r="G358" t="n">
        <v>33100</v>
      </c>
      <c r="H358" t="inlineStr">
        <is>
          <t>ART</t>
        </is>
      </c>
      <c r="I358" t="inlineStr">
        <is>
          <t>45R1</t>
        </is>
      </c>
      <c r="K358" t="inlineStr">
        <is>
          <t>Dry reefer</t>
        </is>
      </c>
      <c r="L358" t="inlineStr">
        <is>
          <t>9'6</t>
        </is>
      </c>
      <c r="M358" t="inlineStr">
        <is>
          <t>Full</t>
        </is>
      </c>
      <c r="P358">
        <f t="array" ref="P358">IFERROR(INDEX(Disch_Booking_Report!B:B, MATCH(TRUE, ISNUMBER(FIND(SUBSTITUTE(C358," ",""), Disch_Booking_Report!AC:AC)), 0)), "Not Found")</f>
        <v/>
      </c>
      <c r="Q358">
        <f t="array" ref="Q358">IFERROR(INDEX(Disch_Booking_Report!C:C, MATCH(TRUE, ISNUMBER(FIND(SUBSTITUTE(C358," ",""), Disch_Booking_Report!AC:AC)), 0)), "Not Found")</f>
        <v/>
      </c>
      <c r="R358">
        <f t="array" ref="R358">IFERROR(INDEX(Disch_Booking_Report!AD:AD, MATCH(TRUE, ISNUMBER(FIND(SUBSTITUTE(C358," ",""), Disch_Booking_Report!AC:AC)), 0)), "Not Found")</f>
        <v/>
      </c>
      <c r="S358">
        <f>Tabela2[[#This Row],[Weight]]</f>
        <v/>
      </c>
      <c r="T358">
        <f t="array" ref="T358">IFERROR(INDEX(Disch_Booking_Report!L:L, MATCH(TRUE, ISNUMBER(FIND(SUBSTITUTE(C358," ",""), Disch_Booking_Report!AC:AC)), 0)), "Not Found")</f>
        <v/>
      </c>
      <c r="U358">
        <f t="array" ref="U358">IFERROR(INDEX(Disch_Booking_Report!I:I, MATCH(TRUE, ISNUMBER(FIND(SUBSTITUTE(C358," ",""), Disch_Booking_Report!AC:AC)), 0)), "Not Found")</f>
        <v/>
      </c>
    </row>
    <row r="359">
      <c r="A359" t="n">
        <v>26</v>
      </c>
      <c r="B359" t="n">
        <v>260204</v>
      </c>
      <c r="C359" t="inlineStr">
        <is>
          <t xml:space="preserve">     ANON0000000</t>
        </is>
      </c>
      <c r="D359" t="n">
        <v>40</v>
      </c>
      <c r="E359" t="inlineStr">
        <is>
          <t>RULED</t>
        </is>
      </c>
      <c r="F359" t="inlineStr">
        <is>
          <t>USNYC</t>
        </is>
      </c>
      <c r="G359" t="n">
        <v>32320</v>
      </c>
      <c r="H359" t="inlineStr">
        <is>
          <t>ART</t>
        </is>
      </c>
      <c r="I359" t="inlineStr">
        <is>
          <t>45G1</t>
        </is>
      </c>
      <c r="L359" t="inlineStr">
        <is>
          <t>9'6</t>
        </is>
      </c>
      <c r="M359" t="inlineStr">
        <is>
          <t>Full</t>
        </is>
      </c>
      <c r="P359">
        <f t="array" ref="P359">IFERROR(INDEX(Disch_Booking_Report!B:B, MATCH(TRUE, ISNUMBER(FIND(SUBSTITUTE(C359," ",""), Disch_Booking_Report!AC:AC)), 0)), "Not Found")</f>
        <v/>
      </c>
      <c r="Q359">
        <f t="array" ref="Q359">IFERROR(INDEX(Disch_Booking_Report!C:C, MATCH(TRUE, ISNUMBER(FIND(SUBSTITUTE(C359," ",""), Disch_Booking_Report!AC:AC)), 0)), "Not Found")</f>
        <v/>
      </c>
      <c r="R359">
        <f t="array" ref="R359">IFERROR(INDEX(Disch_Booking_Report!AD:AD, MATCH(TRUE, ISNUMBER(FIND(SUBSTITUTE(C359," ",""), Disch_Booking_Report!AC:AC)), 0)), "Not Found")</f>
        <v/>
      </c>
      <c r="S359">
        <f>Tabela2[[#This Row],[Weight]]</f>
        <v/>
      </c>
      <c r="T359">
        <f t="array" ref="T359">IFERROR(INDEX(Disch_Booking_Report!L:L, MATCH(TRUE, ISNUMBER(FIND(SUBSTITUTE(C359," ",""), Disch_Booking_Report!AC:AC)), 0)), "Not Found")</f>
        <v/>
      </c>
      <c r="U359">
        <f t="array" ref="U359">IFERROR(INDEX(Disch_Booking_Report!I:I, MATCH(TRUE, ISNUMBER(FIND(SUBSTITUTE(C359," ",""), Disch_Booking_Report!AC:AC)), 0)), "Not Found")</f>
        <v/>
      </c>
    </row>
    <row r="360">
      <c r="A360" t="n">
        <v>26</v>
      </c>
      <c r="B360" t="n">
        <v>260602</v>
      </c>
      <c r="C360" t="inlineStr">
        <is>
          <t xml:space="preserve">     ANON0000000</t>
        </is>
      </c>
      <c r="D360" t="n">
        <v>40</v>
      </c>
      <c r="E360" t="inlineStr">
        <is>
          <t>RULED</t>
        </is>
      </c>
      <c r="F360" t="inlineStr">
        <is>
          <t>USNYC</t>
        </is>
      </c>
      <c r="G360" t="n">
        <v>32320</v>
      </c>
      <c r="H360" t="inlineStr">
        <is>
          <t>ART</t>
        </is>
      </c>
      <c r="I360" t="inlineStr">
        <is>
          <t>45G1</t>
        </is>
      </c>
      <c r="L360" t="inlineStr">
        <is>
          <t>9'6</t>
        </is>
      </c>
      <c r="M360" t="inlineStr">
        <is>
          <t>Full</t>
        </is>
      </c>
      <c r="P360">
        <f t="array" ref="P360">IFERROR(INDEX(Disch_Booking_Report!B:B, MATCH(TRUE, ISNUMBER(FIND(SUBSTITUTE(C360," ",""), Disch_Booking_Report!AC:AC)), 0)), "Not Found")</f>
        <v/>
      </c>
      <c r="Q360">
        <f t="array" ref="Q360">IFERROR(INDEX(Disch_Booking_Report!C:C, MATCH(TRUE, ISNUMBER(FIND(SUBSTITUTE(C360," ",""), Disch_Booking_Report!AC:AC)), 0)), "Not Found")</f>
        <v/>
      </c>
      <c r="R360">
        <f t="array" ref="R360">IFERROR(INDEX(Disch_Booking_Report!AD:AD, MATCH(TRUE, ISNUMBER(FIND(SUBSTITUTE(C360," ",""), Disch_Booking_Report!AC:AC)), 0)), "Not Found")</f>
        <v/>
      </c>
      <c r="S360">
        <f>Tabela2[[#This Row],[Weight]]</f>
        <v/>
      </c>
      <c r="T360">
        <f t="array" ref="T360">IFERROR(INDEX(Disch_Booking_Report!L:L, MATCH(TRUE, ISNUMBER(FIND(SUBSTITUTE(C360," ",""), Disch_Booking_Report!AC:AC)), 0)), "Not Found")</f>
        <v/>
      </c>
      <c r="U360">
        <f t="array" ref="U360">IFERROR(INDEX(Disch_Booking_Report!I:I, MATCH(TRUE, ISNUMBER(FIND(SUBSTITUTE(C360," ",""), Disch_Booking_Report!AC:AC)), 0)), "Not Found")</f>
        <v/>
      </c>
    </row>
    <row r="361">
      <c r="A361" t="n">
        <v>26</v>
      </c>
      <c r="B361" t="n">
        <v>260582</v>
      </c>
      <c r="C361" t="inlineStr">
        <is>
          <t xml:space="preserve">     ANON0000000</t>
        </is>
      </c>
      <c r="D361" t="n">
        <v>40</v>
      </c>
      <c r="E361" t="inlineStr">
        <is>
          <t>RULED</t>
        </is>
      </c>
      <c r="F361" t="inlineStr">
        <is>
          <t>USNYC</t>
        </is>
      </c>
      <c r="G361" t="n">
        <v>34000</v>
      </c>
      <c r="H361" t="inlineStr">
        <is>
          <t>ART</t>
        </is>
      </c>
      <c r="I361" t="inlineStr">
        <is>
          <t>45R1</t>
        </is>
      </c>
      <c r="K361" t="inlineStr">
        <is>
          <t>Dry reefer</t>
        </is>
      </c>
      <c r="L361" t="inlineStr">
        <is>
          <t>9'6</t>
        </is>
      </c>
      <c r="M361" t="inlineStr">
        <is>
          <t>Full</t>
        </is>
      </c>
      <c r="P361">
        <f t="array" ref="P361">IFERROR(INDEX(Disch_Booking_Report!B:B, MATCH(TRUE, ISNUMBER(FIND(SUBSTITUTE(C361," ",""), Disch_Booking_Report!AC:AC)), 0)), "Not Found")</f>
        <v/>
      </c>
      <c r="Q361">
        <f t="array" ref="Q361">IFERROR(INDEX(Disch_Booking_Report!C:C, MATCH(TRUE, ISNUMBER(FIND(SUBSTITUTE(C361," ",""), Disch_Booking_Report!AC:AC)), 0)), "Not Found")</f>
        <v/>
      </c>
      <c r="R361">
        <f t="array" ref="R361">IFERROR(INDEX(Disch_Booking_Report!AD:AD, MATCH(TRUE, ISNUMBER(FIND(SUBSTITUTE(C361," ",""), Disch_Booking_Report!AC:AC)), 0)), "Not Found")</f>
        <v/>
      </c>
      <c r="S361">
        <f>Tabela2[[#This Row],[Weight]]</f>
        <v/>
      </c>
      <c r="T361">
        <f t="array" ref="T361">IFERROR(INDEX(Disch_Booking_Report!L:L, MATCH(TRUE, ISNUMBER(FIND(SUBSTITUTE(C361," ",""), Disch_Booking_Report!AC:AC)), 0)), "Not Found")</f>
        <v/>
      </c>
      <c r="U361">
        <f t="array" ref="U361">IFERROR(INDEX(Disch_Booking_Report!I:I, MATCH(TRUE, ISNUMBER(FIND(SUBSTITUTE(C361," ",""), Disch_Booking_Report!AC:AC)), 0)), "Not Found")</f>
        <v/>
      </c>
    </row>
    <row r="362">
      <c r="A362" t="n">
        <v>26</v>
      </c>
      <c r="B362" t="n">
        <v>260682</v>
      </c>
      <c r="C362" t="inlineStr">
        <is>
          <t xml:space="preserve">     ANON0000000</t>
        </is>
      </c>
      <c r="D362" t="n">
        <v>40</v>
      </c>
      <c r="E362" t="inlineStr">
        <is>
          <t>RULED</t>
        </is>
      </c>
      <c r="F362" t="inlineStr">
        <is>
          <t>USNYC</t>
        </is>
      </c>
      <c r="G362" t="n">
        <v>33100</v>
      </c>
      <c r="H362" t="inlineStr">
        <is>
          <t>ART</t>
        </is>
      </c>
      <c r="I362" t="inlineStr">
        <is>
          <t>45R1</t>
        </is>
      </c>
      <c r="K362" t="inlineStr">
        <is>
          <t>Dry reefer</t>
        </is>
      </c>
      <c r="L362" t="inlineStr">
        <is>
          <t>9'6</t>
        </is>
      </c>
      <c r="M362" t="inlineStr">
        <is>
          <t>Full</t>
        </is>
      </c>
      <c r="P362">
        <f t="array" ref="P362">IFERROR(INDEX(Disch_Booking_Report!B:B, MATCH(TRUE, ISNUMBER(FIND(SUBSTITUTE(C362," ",""), Disch_Booking_Report!AC:AC)), 0)), "Not Found")</f>
        <v/>
      </c>
      <c r="Q362">
        <f t="array" ref="Q362">IFERROR(INDEX(Disch_Booking_Report!C:C, MATCH(TRUE, ISNUMBER(FIND(SUBSTITUTE(C362," ",""), Disch_Booking_Report!AC:AC)), 0)), "Not Found")</f>
        <v/>
      </c>
      <c r="R362">
        <f t="array" ref="R362">IFERROR(INDEX(Disch_Booking_Report!AD:AD, MATCH(TRUE, ISNUMBER(FIND(SUBSTITUTE(C362," ",""), Disch_Booking_Report!AC:AC)), 0)), "Not Found")</f>
        <v/>
      </c>
      <c r="S362">
        <f>Tabela2[[#This Row],[Weight]]</f>
        <v/>
      </c>
      <c r="T362">
        <f t="array" ref="T362">IFERROR(INDEX(Disch_Booking_Report!L:L, MATCH(TRUE, ISNUMBER(FIND(SUBSTITUTE(C362," ",""), Disch_Booking_Report!AC:AC)), 0)), "Not Found")</f>
        <v/>
      </c>
      <c r="U362">
        <f t="array" ref="U362">IFERROR(INDEX(Disch_Booking_Report!I:I, MATCH(TRUE, ISNUMBER(FIND(SUBSTITUTE(C362," ",""), Disch_Booking_Report!AC:AC)), 0)), "Not Found")</f>
        <v/>
      </c>
    </row>
    <row r="363">
      <c r="A363" t="n">
        <v>26</v>
      </c>
      <c r="B363" t="n">
        <v>260504</v>
      </c>
      <c r="C363" t="inlineStr">
        <is>
          <t xml:space="preserve">     ANON0000000</t>
        </is>
      </c>
      <c r="D363" t="n">
        <v>40</v>
      </c>
      <c r="E363" t="inlineStr">
        <is>
          <t>RULED</t>
        </is>
      </c>
      <c r="F363" t="inlineStr">
        <is>
          <t>USNYC</t>
        </is>
      </c>
      <c r="G363" t="n">
        <v>32320</v>
      </c>
      <c r="H363" t="inlineStr">
        <is>
          <t>ART</t>
        </is>
      </c>
      <c r="I363" t="inlineStr">
        <is>
          <t>45G1</t>
        </is>
      </c>
      <c r="L363" t="inlineStr">
        <is>
          <t>9'6</t>
        </is>
      </c>
      <c r="M363" t="inlineStr">
        <is>
          <t>Full</t>
        </is>
      </c>
      <c r="P363">
        <f t="array" ref="P363">IFERROR(INDEX(Disch_Booking_Report!B:B, MATCH(TRUE, ISNUMBER(FIND(SUBSTITUTE(C363," ",""), Disch_Booking_Report!AC:AC)), 0)), "Not Found")</f>
        <v/>
      </c>
      <c r="Q363">
        <f t="array" ref="Q363">IFERROR(INDEX(Disch_Booking_Report!C:C, MATCH(TRUE, ISNUMBER(FIND(SUBSTITUTE(C363," ",""), Disch_Booking_Report!AC:AC)), 0)), "Not Found")</f>
        <v/>
      </c>
      <c r="R363">
        <f t="array" ref="R363">IFERROR(INDEX(Disch_Booking_Report!AD:AD, MATCH(TRUE, ISNUMBER(FIND(SUBSTITUTE(C363," ",""), Disch_Booking_Report!AC:AC)), 0)), "Not Found")</f>
        <v/>
      </c>
      <c r="S363">
        <f>Tabela2[[#This Row],[Weight]]</f>
        <v/>
      </c>
      <c r="T363">
        <f t="array" ref="T363">IFERROR(INDEX(Disch_Booking_Report!L:L, MATCH(TRUE, ISNUMBER(FIND(SUBSTITUTE(C363," ",""), Disch_Booking_Report!AC:AC)), 0)), "Not Found")</f>
        <v/>
      </c>
      <c r="U363">
        <f t="array" ref="U363">IFERROR(INDEX(Disch_Booking_Report!I:I, MATCH(TRUE, ISNUMBER(FIND(SUBSTITUTE(C363," ",""), Disch_Booking_Report!AC:AC)), 0)), "Not Found")</f>
        <v/>
      </c>
    </row>
    <row r="364">
      <c r="A364" t="n">
        <v>26</v>
      </c>
      <c r="B364" t="n">
        <v>260684</v>
      </c>
      <c r="C364" t="inlineStr">
        <is>
          <t xml:space="preserve">     ANON0000000</t>
        </is>
      </c>
      <c r="D364" t="n">
        <v>40</v>
      </c>
      <c r="E364" t="inlineStr">
        <is>
          <t>RULED</t>
        </is>
      </c>
      <c r="F364" t="inlineStr">
        <is>
          <t>USNYC</t>
        </is>
      </c>
      <c r="G364" t="n">
        <v>33470</v>
      </c>
      <c r="H364" t="inlineStr">
        <is>
          <t>ART</t>
        </is>
      </c>
      <c r="I364" t="inlineStr">
        <is>
          <t>45R1</t>
        </is>
      </c>
      <c r="K364" t="inlineStr">
        <is>
          <t>Dry reefer</t>
        </is>
      </c>
      <c r="L364" t="inlineStr">
        <is>
          <t>9'6</t>
        </is>
      </c>
      <c r="M364" t="inlineStr">
        <is>
          <t>Full</t>
        </is>
      </c>
      <c r="P364">
        <f t="array" ref="P364">IFERROR(INDEX(Disch_Booking_Report!B:B, MATCH(TRUE, ISNUMBER(FIND(SUBSTITUTE(C364," ",""), Disch_Booking_Report!AC:AC)), 0)), "Not Found")</f>
        <v/>
      </c>
      <c r="Q364">
        <f t="array" ref="Q364">IFERROR(INDEX(Disch_Booking_Report!C:C, MATCH(TRUE, ISNUMBER(FIND(SUBSTITUTE(C364," ",""), Disch_Booking_Report!AC:AC)), 0)), "Not Found")</f>
        <v/>
      </c>
      <c r="R364">
        <f t="array" ref="R364">IFERROR(INDEX(Disch_Booking_Report!AD:AD, MATCH(TRUE, ISNUMBER(FIND(SUBSTITUTE(C364," ",""), Disch_Booking_Report!AC:AC)), 0)), "Not Found")</f>
        <v/>
      </c>
      <c r="S364">
        <f>Tabela2[[#This Row],[Weight]]</f>
        <v/>
      </c>
      <c r="T364">
        <f t="array" ref="T364">IFERROR(INDEX(Disch_Booking_Report!L:L, MATCH(TRUE, ISNUMBER(FIND(SUBSTITUTE(C364," ",""), Disch_Booking_Report!AC:AC)), 0)), "Not Found")</f>
        <v/>
      </c>
      <c r="U364">
        <f t="array" ref="U364">IFERROR(INDEX(Disch_Booking_Report!I:I, MATCH(TRUE, ISNUMBER(FIND(SUBSTITUTE(C364," ",""), Disch_Booking_Report!AC:AC)), 0)), "Not Found")</f>
        <v/>
      </c>
    </row>
    <row r="365">
      <c r="A365" t="n">
        <v>26</v>
      </c>
      <c r="B365" t="n">
        <v>260702</v>
      </c>
      <c r="C365" t="inlineStr">
        <is>
          <t xml:space="preserve">     ANON0000000</t>
        </is>
      </c>
      <c r="D365" t="n">
        <v>40</v>
      </c>
      <c r="E365" t="inlineStr">
        <is>
          <t>RULED</t>
        </is>
      </c>
      <c r="F365" t="inlineStr">
        <is>
          <t>USNYC</t>
        </is>
      </c>
      <c r="G365" t="n">
        <v>32320</v>
      </c>
      <c r="H365" t="inlineStr">
        <is>
          <t>ART</t>
        </is>
      </c>
      <c r="I365" t="inlineStr">
        <is>
          <t>45G1</t>
        </is>
      </c>
      <c r="L365" t="inlineStr">
        <is>
          <t>9'6</t>
        </is>
      </c>
      <c r="M365" t="inlineStr">
        <is>
          <t>Full</t>
        </is>
      </c>
      <c r="P365">
        <f t="array" ref="P365">IFERROR(INDEX(Disch_Booking_Report!B:B, MATCH(TRUE, ISNUMBER(FIND(SUBSTITUTE(C365," ",""), Disch_Booking_Report!AC:AC)), 0)), "Not Found")</f>
        <v/>
      </c>
      <c r="Q365">
        <f t="array" ref="Q365">IFERROR(INDEX(Disch_Booking_Report!C:C, MATCH(TRUE, ISNUMBER(FIND(SUBSTITUTE(C365," ",""), Disch_Booking_Report!AC:AC)), 0)), "Not Found")</f>
        <v/>
      </c>
      <c r="R365">
        <f t="array" ref="R365">IFERROR(INDEX(Disch_Booking_Report!AD:AD, MATCH(TRUE, ISNUMBER(FIND(SUBSTITUTE(C365," ",""), Disch_Booking_Report!AC:AC)), 0)), "Not Found")</f>
        <v/>
      </c>
      <c r="S365">
        <f>Tabela2[[#This Row],[Weight]]</f>
        <v/>
      </c>
      <c r="T365">
        <f t="array" ref="T365">IFERROR(INDEX(Disch_Booking_Report!L:L, MATCH(TRUE, ISNUMBER(FIND(SUBSTITUTE(C365," ",""), Disch_Booking_Report!AC:AC)), 0)), "Not Found")</f>
        <v/>
      </c>
      <c r="U365">
        <f t="array" ref="U365">IFERROR(INDEX(Disch_Booking_Report!I:I, MATCH(TRUE, ISNUMBER(FIND(SUBSTITUTE(C365," ",""), Disch_Booking_Report!AC:AC)), 0)), "Not Found")</f>
        <v/>
      </c>
    </row>
    <row r="366">
      <c r="A366" t="n">
        <v>26</v>
      </c>
      <c r="B366" t="n">
        <v>260506</v>
      </c>
      <c r="C366" t="inlineStr">
        <is>
          <t xml:space="preserve">     ANON0000000</t>
        </is>
      </c>
      <c r="D366" t="n">
        <v>40</v>
      </c>
      <c r="E366" t="inlineStr">
        <is>
          <t>RULED</t>
        </is>
      </c>
      <c r="F366" t="inlineStr">
        <is>
          <t>USNYC</t>
        </is>
      </c>
      <c r="G366" t="n">
        <v>34040</v>
      </c>
      <c r="H366" t="inlineStr">
        <is>
          <t>ART</t>
        </is>
      </c>
      <c r="I366" t="inlineStr">
        <is>
          <t>45R1</t>
        </is>
      </c>
      <c r="K366" t="inlineStr">
        <is>
          <t>Dry reefer</t>
        </is>
      </c>
      <c r="L366" t="inlineStr">
        <is>
          <t>9'6</t>
        </is>
      </c>
      <c r="M366" t="inlineStr">
        <is>
          <t>Full</t>
        </is>
      </c>
      <c r="P366">
        <f t="array" ref="P366">IFERROR(INDEX(Disch_Booking_Report!B:B, MATCH(TRUE, ISNUMBER(FIND(SUBSTITUTE(C366," ",""), Disch_Booking_Report!AC:AC)), 0)), "Not Found")</f>
        <v/>
      </c>
      <c r="Q366">
        <f t="array" ref="Q366">IFERROR(INDEX(Disch_Booking_Report!C:C, MATCH(TRUE, ISNUMBER(FIND(SUBSTITUTE(C366," ",""), Disch_Booking_Report!AC:AC)), 0)), "Not Found")</f>
        <v/>
      </c>
      <c r="R366">
        <f t="array" ref="R366">IFERROR(INDEX(Disch_Booking_Report!AD:AD, MATCH(TRUE, ISNUMBER(FIND(SUBSTITUTE(C366," ",""), Disch_Booking_Report!AC:AC)), 0)), "Not Found")</f>
        <v/>
      </c>
      <c r="S366">
        <f>Tabela2[[#This Row],[Weight]]</f>
        <v/>
      </c>
      <c r="T366">
        <f t="array" ref="T366">IFERROR(INDEX(Disch_Booking_Report!L:L, MATCH(TRUE, ISNUMBER(FIND(SUBSTITUTE(C366," ",""), Disch_Booking_Report!AC:AC)), 0)), "Not Found")</f>
        <v/>
      </c>
      <c r="U366">
        <f t="array" ref="U366">IFERROR(INDEX(Disch_Booking_Report!I:I, MATCH(TRUE, ISNUMBER(FIND(SUBSTITUTE(C366," ",""), Disch_Booking_Report!AC:AC)), 0)), "Not Found")</f>
        <v/>
      </c>
    </row>
    <row r="367">
      <c r="A367" t="n">
        <v>30</v>
      </c>
      <c r="B367" t="n">
        <v>300182</v>
      </c>
      <c r="C367" t="inlineStr">
        <is>
          <t xml:space="preserve">     ANON0000000</t>
        </is>
      </c>
      <c r="D367" t="n">
        <v>40</v>
      </c>
      <c r="E367" t="inlineStr">
        <is>
          <t>RULED</t>
        </is>
      </c>
      <c r="F367" t="inlineStr">
        <is>
          <t>USHOU</t>
        </is>
      </c>
      <c r="G367" t="n">
        <v>32020</v>
      </c>
      <c r="H367" t="inlineStr">
        <is>
          <t>ART</t>
        </is>
      </c>
      <c r="I367" t="inlineStr">
        <is>
          <t>45G1</t>
        </is>
      </c>
      <c r="L367" t="inlineStr">
        <is>
          <t>9'6</t>
        </is>
      </c>
      <c r="M367" t="inlineStr">
        <is>
          <t>Full</t>
        </is>
      </c>
      <c r="P367">
        <f t="array" ref="P367">IFERROR(INDEX(Disch_Booking_Report!B:B, MATCH(TRUE, ISNUMBER(FIND(SUBSTITUTE(C367," ",""), Disch_Booking_Report!AC:AC)), 0)), "Not Found")</f>
        <v/>
      </c>
      <c r="Q367">
        <f t="array" ref="Q367">IFERROR(INDEX(Disch_Booking_Report!C:C, MATCH(TRUE, ISNUMBER(FIND(SUBSTITUTE(C367," ",""), Disch_Booking_Report!AC:AC)), 0)), "Not Found")</f>
        <v/>
      </c>
      <c r="R367">
        <f t="array" ref="R367">IFERROR(INDEX(Disch_Booking_Report!AD:AD, MATCH(TRUE, ISNUMBER(FIND(SUBSTITUTE(C367," ",""), Disch_Booking_Report!AC:AC)), 0)), "Not Found")</f>
        <v/>
      </c>
      <c r="S367">
        <f>Tabela2[[#This Row],[Weight]]</f>
        <v/>
      </c>
      <c r="T367">
        <f t="array" ref="T367">IFERROR(INDEX(Disch_Booking_Report!L:L, MATCH(TRUE, ISNUMBER(FIND(SUBSTITUTE(C367," ",""), Disch_Booking_Report!AC:AC)), 0)), "Not Found")</f>
        <v/>
      </c>
      <c r="U367">
        <f t="array" ref="U367">IFERROR(INDEX(Disch_Booking_Report!I:I, MATCH(TRUE, ISNUMBER(FIND(SUBSTITUTE(C367," ",""), Disch_Booking_Report!AC:AC)), 0)), "Not Found")</f>
        <v/>
      </c>
    </row>
    <row r="368">
      <c r="A368" t="n">
        <v>30</v>
      </c>
      <c r="B368" t="n">
        <v>300082</v>
      </c>
      <c r="C368" t="inlineStr">
        <is>
          <t xml:space="preserve">     ANON0000000</t>
        </is>
      </c>
      <c r="D368" t="n">
        <v>40</v>
      </c>
      <c r="E368" t="inlineStr">
        <is>
          <t>RULED</t>
        </is>
      </c>
      <c r="F368" t="inlineStr">
        <is>
          <t>USHOU</t>
        </is>
      </c>
      <c r="G368" t="n">
        <v>31790</v>
      </c>
      <c r="H368" t="inlineStr">
        <is>
          <t>ART</t>
        </is>
      </c>
      <c r="I368" t="inlineStr">
        <is>
          <t>45G1</t>
        </is>
      </c>
      <c r="L368" t="inlineStr">
        <is>
          <t>9'6</t>
        </is>
      </c>
      <c r="M368" t="inlineStr">
        <is>
          <t>Full</t>
        </is>
      </c>
      <c r="P368">
        <f t="array" ref="P368">IFERROR(INDEX(Disch_Booking_Report!B:B, MATCH(TRUE, ISNUMBER(FIND(SUBSTITUTE(C368," ",""), Disch_Booking_Report!AC:AC)), 0)), "Not Found")</f>
        <v/>
      </c>
      <c r="Q368">
        <f t="array" ref="Q368">IFERROR(INDEX(Disch_Booking_Report!C:C, MATCH(TRUE, ISNUMBER(FIND(SUBSTITUTE(C368," ",""), Disch_Booking_Report!AC:AC)), 0)), "Not Found")</f>
        <v/>
      </c>
      <c r="R368">
        <f t="array" ref="R368">IFERROR(INDEX(Disch_Booking_Report!AD:AD, MATCH(TRUE, ISNUMBER(FIND(SUBSTITUTE(C368," ",""), Disch_Booking_Report!AC:AC)), 0)), "Not Found")</f>
        <v/>
      </c>
      <c r="S368">
        <f>Tabela2[[#This Row],[Weight]]</f>
        <v/>
      </c>
      <c r="T368">
        <f t="array" ref="T368">IFERROR(INDEX(Disch_Booking_Report!L:L, MATCH(TRUE, ISNUMBER(FIND(SUBSTITUTE(C368," ",""), Disch_Booking_Report!AC:AC)), 0)), "Not Found")</f>
        <v/>
      </c>
      <c r="U368">
        <f t="array" ref="U368">IFERROR(INDEX(Disch_Booking_Report!I:I, MATCH(TRUE, ISNUMBER(FIND(SUBSTITUTE(C368," ",""), Disch_Booking_Report!AC:AC)), 0)), "Not Found")</f>
        <v/>
      </c>
    </row>
    <row r="369">
      <c r="A369" t="n">
        <v>30</v>
      </c>
      <c r="B369" t="n">
        <v>300382</v>
      </c>
      <c r="C369" t="inlineStr">
        <is>
          <t xml:space="preserve">     ANON0000000</t>
        </is>
      </c>
      <c r="D369" t="n">
        <v>40</v>
      </c>
      <c r="E369" t="inlineStr">
        <is>
          <t>RULED</t>
        </is>
      </c>
      <c r="F369" t="inlineStr">
        <is>
          <t>USHOU</t>
        </is>
      </c>
      <c r="G369" t="n">
        <v>31790</v>
      </c>
      <c r="H369" t="inlineStr">
        <is>
          <t>ART</t>
        </is>
      </c>
      <c r="I369" t="inlineStr">
        <is>
          <t>45G1</t>
        </is>
      </c>
      <c r="L369" t="inlineStr">
        <is>
          <t>9'6</t>
        </is>
      </c>
      <c r="M369" t="inlineStr">
        <is>
          <t>Full</t>
        </is>
      </c>
      <c r="P369">
        <f t="array" ref="P369">IFERROR(INDEX(Disch_Booking_Report!B:B, MATCH(TRUE, ISNUMBER(FIND(SUBSTITUTE(C369," ",""), Disch_Booking_Report!AC:AC)), 0)), "Not Found")</f>
        <v/>
      </c>
      <c r="Q369">
        <f t="array" ref="Q369">IFERROR(INDEX(Disch_Booking_Report!C:C, MATCH(TRUE, ISNUMBER(FIND(SUBSTITUTE(C369," ",""), Disch_Booking_Report!AC:AC)), 0)), "Not Found")</f>
        <v/>
      </c>
      <c r="R369">
        <f t="array" ref="R369">IFERROR(INDEX(Disch_Booking_Report!AD:AD, MATCH(TRUE, ISNUMBER(FIND(SUBSTITUTE(C369," ",""), Disch_Booking_Report!AC:AC)), 0)), "Not Found")</f>
        <v/>
      </c>
      <c r="S369">
        <f>Tabela2[[#This Row],[Weight]]</f>
        <v/>
      </c>
      <c r="T369">
        <f t="array" ref="T369">IFERROR(INDEX(Disch_Booking_Report!L:L, MATCH(TRUE, ISNUMBER(FIND(SUBSTITUTE(C369," ",""), Disch_Booking_Report!AC:AC)), 0)), "Not Found")</f>
        <v/>
      </c>
      <c r="U369">
        <f t="array" ref="U369">IFERROR(INDEX(Disch_Booking_Report!I:I, MATCH(TRUE, ISNUMBER(FIND(SUBSTITUTE(C369," ",""), Disch_Booking_Report!AC:AC)), 0)), "Not Found")</f>
        <v/>
      </c>
    </row>
    <row r="370">
      <c r="A370" t="n">
        <v>30</v>
      </c>
      <c r="B370" t="n">
        <v>300808</v>
      </c>
      <c r="C370" t="inlineStr">
        <is>
          <t xml:space="preserve">     ANON0000000</t>
        </is>
      </c>
      <c r="D370" t="n">
        <v>40</v>
      </c>
      <c r="E370" t="inlineStr">
        <is>
          <t>RULED</t>
        </is>
      </c>
      <c r="F370" t="inlineStr">
        <is>
          <t>USHOU</t>
        </is>
      </c>
      <c r="G370" t="n">
        <v>31790</v>
      </c>
      <c r="H370" t="inlineStr">
        <is>
          <t>ART</t>
        </is>
      </c>
      <c r="I370" t="inlineStr">
        <is>
          <t>45G1</t>
        </is>
      </c>
      <c r="L370" t="inlineStr">
        <is>
          <t>9'6</t>
        </is>
      </c>
      <c r="M370" t="inlineStr">
        <is>
          <t>Full</t>
        </is>
      </c>
      <c r="P370">
        <f t="array" ref="P370">IFERROR(INDEX(Disch_Booking_Report!B:B, MATCH(TRUE, ISNUMBER(FIND(SUBSTITUTE(C370," ",""), Disch_Booking_Report!AC:AC)), 0)), "Not Found")</f>
        <v/>
      </c>
      <c r="Q370">
        <f t="array" ref="Q370">IFERROR(INDEX(Disch_Booking_Report!C:C, MATCH(TRUE, ISNUMBER(FIND(SUBSTITUTE(C370," ",""), Disch_Booking_Report!AC:AC)), 0)), "Not Found")</f>
        <v/>
      </c>
      <c r="R370">
        <f t="array" ref="R370">IFERROR(INDEX(Disch_Booking_Report!AD:AD, MATCH(TRUE, ISNUMBER(FIND(SUBSTITUTE(C370," ",""), Disch_Booking_Report!AC:AC)), 0)), "Not Found")</f>
        <v/>
      </c>
      <c r="S370">
        <f>Tabela2[[#This Row],[Weight]]</f>
        <v/>
      </c>
      <c r="T370">
        <f t="array" ref="T370">IFERROR(INDEX(Disch_Booking_Report!L:L, MATCH(TRUE, ISNUMBER(FIND(SUBSTITUTE(C370," ",""), Disch_Booking_Report!AC:AC)), 0)), "Not Found")</f>
        <v/>
      </c>
      <c r="U370">
        <f t="array" ref="U370">IFERROR(INDEX(Disch_Booking_Report!I:I, MATCH(TRUE, ISNUMBER(FIND(SUBSTITUTE(C370," ",""), Disch_Booking_Report!AC:AC)), 0)), "Not Found")</f>
        <v/>
      </c>
    </row>
    <row r="371">
      <c r="A371" t="n">
        <v>30</v>
      </c>
      <c r="B371" t="n">
        <v>300102</v>
      </c>
      <c r="C371" t="inlineStr">
        <is>
          <t xml:space="preserve">     ANON0000000</t>
        </is>
      </c>
      <c r="D371" t="n">
        <v>40</v>
      </c>
      <c r="E371" t="inlineStr">
        <is>
          <t>RULED</t>
        </is>
      </c>
      <c r="F371" t="inlineStr">
        <is>
          <t>USHOU</t>
        </is>
      </c>
      <c r="G371" t="n">
        <v>26320</v>
      </c>
      <c r="H371" t="inlineStr">
        <is>
          <t>ART</t>
        </is>
      </c>
      <c r="I371" t="inlineStr">
        <is>
          <t>45G1</t>
        </is>
      </c>
      <c r="L371" t="inlineStr">
        <is>
          <t>9'6</t>
        </is>
      </c>
      <c r="M371" t="inlineStr">
        <is>
          <t>Full</t>
        </is>
      </c>
      <c r="P371">
        <f t="array" ref="P371">IFERROR(INDEX(Disch_Booking_Report!B:B, MATCH(TRUE, ISNUMBER(FIND(SUBSTITUTE(C371," ",""), Disch_Booking_Report!AC:AC)), 0)), "Not Found")</f>
        <v/>
      </c>
      <c r="Q371">
        <f t="array" ref="Q371">IFERROR(INDEX(Disch_Booking_Report!C:C, MATCH(TRUE, ISNUMBER(FIND(SUBSTITUTE(C371," ",""), Disch_Booking_Report!AC:AC)), 0)), "Not Found")</f>
        <v/>
      </c>
      <c r="R371">
        <f t="array" ref="R371">IFERROR(INDEX(Disch_Booking_Report!AD:AD, MATCH(TRUE, ISNUMBER(FIND(SUBSTITUTE(C371," ",""), Disch_Booking_Report!AC:AC)), 0)), "Not Found")</f>
        <v/>
      </c>
      <c r="S371">
        <f>Tabela2[[#This Row],[Weight]]</f>
        <v/>
      </c>
      <c r="T371">
        <f t="array" ref="T371">IFERROR(INDEX(Disch_Booking_Report!L:L, MATCH(TRUE, ISNUMBER(FIND(SUBSTITUTE(C371," ",""), Disch_Booking_Report!AC:AC)), 0)), "Not Found")</f>
        <v/>
      </c>
      <c r="U371">
        <f t="array" ref="U371">IFERROR(INDEX(Disch_Booking_Report!I:I, MATCH(TRUE, ISNUMBER(FIND(SUBSTITUTE(C371," ",""), Disch_Booking_Report!AC:AC)), 0)), "Not Found")</f>
        <v/>
      </c>
    </row>
    <row r="372">
      <c r="A372" t="n">
        <v>30</v>
      </c>
      <c r="B372" t="n">
        <v>300604</v>
      </c>
      <c r="C372" t="inlineStr">
        <is>
          <t xml:space="preserve">     ANON0000000</t>
        </is>
      </c>
      <c r="D372" t="n">
        <v>40</v>
      </c>
      <c r="E372" t="inlineStr">
        <is>
          <t>RULED</t>
        </is>
      </c>
      <c r="F372" t="inlineStr">
        <is>
          <t>USHOU</t>
        </is>
      </c>
      <c r="G372" t="n">
        <v>31820</v>
      </c>
      <c r="H372" t="inlineStr">
        <is>
          <t>ART</t>
        </is>
      </c>
      <c r="I372" t="inlineStr">
        <is>
          <t>45G1</t>
        </is>
      </c>
      <c r="L372" t="inlineStr">
        <is>
          <t>9'6</t>
        </is>
      </c>
      <c r="M372" t="inlineStr">
        <is>
          <t>Full</t>
        </is>
      </c>
      <c r="P372">
        <f t="array" ref="P372">IFERROR(INDEX(Disch_Booking_Report!B:B, MATCH(TRUE, ISNUMBER(FIND(SUBSTITUTE(C372," ",""), Disch_Booking_Report!AC:AC)), 0)), "Not Found")</f>
        <v/>
      </c>
      <c r="Q372">
        <f t="array" ref="Q372">IFERROR(INDEX(Disch_Booking_Report!C:C, MATCH(TRUE, ISNUMBER(FIND(SUBSTITUTE(C372," ",""), Disch_Booking_Report!AC:AC)), 0)), "Not Found")</f>
        <v/>
      </c>
      <c r="R372">
        <f t="array" ref="R372">IFERROR(INDEX(Disch_Booking_Report!AD:AD, MATCH(TRUE, ISNUMBER(FIND(SUBSTITUTE(C372," ",""), Disch_Booking_Report!AC:AC)), 0)), "Not Found")</f>
        <v/>
      </c>
      <c r="S372">
        <f>Tabela2[[#This Row],[Weight]]</f>
        <v/>
      </c>
      <c r="T372">
        <f t="array" ref="T372">IFERROR(INDEX(Disch_Booking_Report!L:L, MATCH(TRUE, ISNUMBER(FIND(SUBSTITUTE(C372," ",""), Disch_Booking_Report!AC:AC)), 0)), "Not Found")</f>
        <v/>
      </c>
      <c r="U372">
        <f t="array" ref="U372">IFERROR(INDEX(Disch_Booking_Report!I:I, MATCH(TRUE, ISNUMBER(FIND(SUBSTITUTE(C372," ",""), Disch_Booking_Report!AC:AC)), 0)), "Not Found")</f>
        <v/>
      </c>
    </row>
    <row r="373">
      <c r="A373" t="n">
        <v>30</v>
      </c>
      <c r="B373" t="n">
        <v>300602</v>
      </c>
      <c r="C373" t="inlineStr">
        <is>
          <t xml:space="preserve">     ANON0000000</t>
        </is>
      </c>
      <c r="D373" t="n">
        <v>40</v>
      </c>
      <c r="E373" t="inlineStr">
        <is>
          <t>RULED</t>
        </is>
      </c>
      <c r="F373" t="inlineStr">
        <is>
          <t>USHOU</t>
        </is>
      </c>
      <c r="G373" t="n">
        <v>31990</v>
      </c>
      <c r="H373" t="inlineStr">
        <is>
          <t>ART</t>
        </is>
      </c>
      <c r="I373" t="inlineStr">
        <is>
          <t>45G1</t>
        </is>
      </c>
      <c r="L373" t="inlineStr">
        <is>
          <t>9'6</t>
        </is>
      </c>
      <c r="M373" t="inlineStr">
        <is>
          <t>Full</t>
        </is>
      </c>
      <c r="P373">
        <f t="array" ref="P373">IFERROR(INDEX(Disch_Booking_Report!B:B, MATCH(TRUE, ISNUMBER(FIND(SUBSTITUTE(C373," ",""), Disch_Booking_Report!AC:AC)), 0)), "Not Found")</f>
        <v/>
      </c>
      <c r="Q373">
        <f t="array" ref="Q373">IFERROR(INDEX(Disch_Booking_Report!C:C, MATCH(TRUE, ISNUMBER(FIND(SUBSTITUTE(C373," ",""), Disch_Booking_Report!AC:AC)), 0)), "Not Found")</f>
        <v/>
      </c>
      <c r="R373">
        <f t="array" ref="R373">IFERROR(INDEX(Disch_Booking_Report!AD:AD, MATCH(TRUE, ISNUMBER(FIND(SUBSTITUTE(C373," ",""), Disch_Booking_Report!AC:AC)), 0)), "Not Found")</f>
        <v/>
      </c>
      <c r="S373">
        <f>Tabela2[[#This Row],[Weight]]</f>
        <v/>
      </c>
      <c r="T373">
        <f t="array" ref="T373">IFERROR(INDEX(Disch_Booking_Report!L:L, MATCH(TRUE, ISNUMBER(FIND(SUBSTITUTE(C373," ",""), Disch_Booking_Report!AC:AC)), 0)), "Not Found")</f>
        <v/>
      </c>
      <c r="U373">
        <f t="array" ref="U373">IFERROR(INDEX(Disch_Booking_Report!I:I, MATCH(TRUE, ISNUMBER(FIND(SUBSTITUTE(C373," ",""), Disch_Booking_Report!AC:AC)), 0)), "Not Found")</f>
        <v/>
      </c>
    </row>
    <row r="374">
      <c r="A374" t="n">
        <v>30</v>
      </c>
      <c r="B374" t="n">
        <v>301082</v>
      </c>
      <c r="C374" t="inlineStr">
        <is>
          <t xml:space="preserve">     ANON0000000</t>
        </is>
      </c>
      <c r="D374" t="n">
        <v>40</v>
      </c>
      <c r="E374" t="inlineStr">
        <is>
          <t>RULED</t>
        </is>
      </c>
      <c r="F374" t="inlineStr">
        <is>
          <t>USNYC</t>
        </is>
      </c>
      <c r="G374" t="n">
        <v>33980</v>
      </c>
      <c r="H374" t="inlineStr">
        <is>
          <t>ART</t>
        </is>
      </c>
      <c r="I374" t="inlineStr">
        <is>
          <t>45R1</t>
        </is>
      </c>
      <c r="K374" t="inlineStr">
        <is>
          <t>Dry reefer</t>
        </is>
      </c>
      <c r="L374" t="inlineStr">
        <is>
          <t>9'6</t>
        </is>
      </c>
      <c r="M374" t="inlineStr">
        <is>
          <t>Full</t>
        </is>
      </c>
      <c r="P374">
        <f t="array" ref="P374">IFERROR(INDEX(Disch_Booking_Report!B:B, MATCH(TRUE, ISNUMBER(FIND(SUBSTITUTE(C374," ",""), Disch_Booking_Report!AC:AC)), 0)), "Not Found")</f>
        <v/>
      </c>
      <c r="Q374">
        <f t="array" ref="Q374">IFERROR(INDEX(Disch_Booking_Report!C:C, MATCH(TRUE, ISNUMBER(FIND(SUBSTITUTE(C374," ",""), Disch_Booking_Report!AC:AC)), 0)), "Not Found")</f>
        <v/>
      </c>
      <c r="R374">
        <f t="array" ref="R374">IFERROR(INDEX(Disch_Booking_Report!AD:AD, MATCH(TRUE, ISNUMBER(FIND(SUBSTITUTE(C374," ",""), Disch_Booking_Report!AC:AC)), 0)), "Not Found")</f>
        <v/>
      </c>
      <c r="S374">
        <f>Tabela2[[#This Row],[Weight]]</f>
        <v/>
      </c>
      <c r="T374">
        <f t="array" ref="T374">IFERROR(INDEX(Disch_Booking_Report!L:L, MATCH(TRUE, ISNUMBER(FIND(SUBSTITUTE(C374," ",""), Disch_Booking_Report!AC:AC)), 0)), "Not Found")</f>
        <v/>
      </c>
      <c r="U374">
        <f t="array" ref="U374">IFERROR(INDEX(Disch_Booking_Report!I:I, MATCH(TRUE, ISNUMBER(FIND(SUBSTITUTE(C374," ",""), Disch_Booking_Report!AC:AC)), 0)), "Not Found")</f>
        <v/>
      </c>
    </row>
    <row r="375">
      <c r="A375" t="n">
        <v>30</v>
      </c>
      <c r="B375" t="n">
        <v>300284</v>
      </c>
      <c r="C375" t="inlineStr">
        <is>
          <t xml:space="preserve">     ANON0000000</t>
        </is>
      </c>
      <c r="D375" t="n">
        <v>40</v>
      </c>
      <c r="E375" t="inlineStr">
        <is>
          <t>RULED</t>
        </is>
      </c>
      <c r="F375" t="inlineStr">
        <is>
          <t>USHOU</t>
        </is>
      </c>
      <c r="G375" t="n">
        <v>31790</v>
      </c>
      <c r="H375" t="inlineStr">
        <is>
          <t>ART</t>
        </is>
      </c>
      <c r="I375" t="inlineStr">
        <is>
          <t>45G1</t>
        </is>
      </c>
      <c r="L375" t="inlineStr">
        <is>
          <t>9'6</t>
        </is>
      </c>
      <c r="M375" t="inlineStr">
        <is>
          <t>Full</t>
        </is>
      </c>
      <c r="P375">
        <f t="array" ref="P375">IFERROR(INDEX(Disch_Booking_Report!B:B, MATCH(TRUE, ISNUMBER(FIND(SUBSTITUTE(C375," ",""), Disch_Booking_Report!AC:AC)), 0)), "Not Found")</f>
        <v/>
      </c>
      <c r="Q375">
        <f t="array" ref="Q375">IFERROR(INDEX(Disch_Booking_Report!C:C, MATCH(TRUE, ISNUMBER(FIND(SUBSTITUTE(C375," ",""), Disch_Booking_Report!AC:AC)), 0)), "Not Found")</f>
        <v/>
      </c>
      <c r="R375">
        <f t="array" ref="R375">IFERROR(INDEX(Disch_Booking_Report!AD:AD, MATCH(TRUE, ISNUMBER(FIND(SUBSTITUTE(C375," ",""), Disch_Booking_Report!AC:AC)), 0)), "Not Found")</f>
        <v/>
      </c>
      <c r="S375">
        <f>Tabela2[[#This Row],[Weight]]</f>
        <v/>
      </c>
      <c r="T375">
        <f t="array" ref="T375">IFERROR(INDEX(Disch_Booking_Report!L:L, MATCH(TRUE, ISNUMBER(FIND(SUBSTITUTE(C375," ",""), Disch_Booking_Report!AC:AC)), 0)), "Not Found")</f>
        <v/>
      </c>
      <c r="U375">
        <f t="array" ref="U375">IFERROR(INDEX(Disch_Booking_Report!I:I, MATCH(TRUE, ISNUMBER(FIND(SUBSTITUTE(C375," ",""), Disch_Booking_Report!AC:AC)), 0)), "Not Found")</f>
        <v/>
      </c>
    </row>
    <row r="376">
      <c r="A376" t="n">
        <v>30</v>
      </c>
      <c r="B376" t="n">
        <v>300882</v>
      </c>
      <c r="C376" t="inlineStr">
        <is>
          <t xml:space="preserve">     ANON0000000</t>
        </is>
      </c>
      <c r="D376" t="n">
        <v>40</v>
      </c>
      <c r="E376" t="inlineStr">
        <is>
          <t>RULED</t>
        </is>
      </c>
      <c r="F376" t="inlineStr">
        <is>
          <t>USNYC</t>
        </is>
      </c>
      <c r="G376" t="n">
        <v>32980</v>
      </c>
      <c r="H376" t="inlineStr">
        <is>
          <t>ART</t>
        </is>
      </c>
      <c r="I376" t="inlineStr">
        <is>
          <t>45R1</t>
        </is>
      </c>
      <c r="K376" t="inlineStr">
        <is>
          <t>Dry reefer</t>
        </is>
      </c>
      <c r="L376" t="inlineStr">
        <is>
          <t>9'6</t>
        </is>
      </c>
      <c r="M376" t="inlineStr">
        <is>
          <t>Full</t>
        </is>
      </c>
      <c r="P376">
        <f t="array" ref="P376">IFERROR(INDEX(Disch_Booking_Report!B:B, MATCH(TRUE, ISNUMBER(FIND(SUBSTITUTE(C376," ",""), Disch_Booking_Report!AC:AC)), 0)), "Not Found")</f>
        <v/>
      </c>
      <c r="Q376">
        <f t="array" ref="Q376">IFERROR(INDEX(Disch_Booking_Report!C:C, MATCH(TRUE, ISNUMBER(FIND(SUBSTITUTE(C376," ",""), Disch_Booking_Report!AC:AC)), 0)), "Not Found")</f>
        <v/>
      </c>
      <c r="R376">
        <f t="array" ref="R376">IFERROR(INDEX(Disch_Booking_Report!AD:AD, MATCH(TRUE, ISNUMBER(FIND(SUBSTITUTE(C376," ",""), Disch_Booking_Report!AC:AC)), 0)), "Not Found")</f>
        <v/>
      </c>
      <c r="S376">
        <f>Tabela2[[#This Row],[Weight]]</f>
        <v/>
      </c>
      <c r="T376">
        <f t="array" ref="T376">IFERROR(INDEX(Disch_Booking_Report!L:L, MATCH(TRUE, ISNUMBER(FIND(SUBSTITUTE(C376," ",""), Disch_Booking_Report!AC:AC)), 0)), "Not Found")</f>
        <v/>
      </c>
      <c r="U376">
        <f t="array" ref="U376">IFERROR(INDEX(Disch_Booking_Report!I:I, MATCH(TRUE, ISNUMBER(FIND(SUBSTITUTE(C376," ",""), Disch_Booking_Report!AC:AC)), 0)), "Not Found")</f>
        <v/>
      </c>
    </row>
    <row r="377">
      <c r="A377" t="n">
        <v>30</v>
      </c>
      <c r="B377" t="n">
        <v>300108</v>
      </c>
      <c r="C377" t="inlineStr">
        <is>
          <t xml:space="preserve">     ANON0000000</t>
        </is>
      </c>
      <c r="D377" t="n">
        <v>40</v>
      </c>
      <c r="E377" t="inlineStr">
        <is>
          <t>RULED</t>
        </is>
      </c>
      <c r="F377" t="inlineStr">
        <is>
          <t>USHOU</t>
        </is>
      </c>
      <c r="G377" t="n">
        <v>31790</v>
      </c>
      <c r="H377" t="inlineStr">
        <is>
          <t>ART</t>
        </is>
      </c>
      <c r="I377" t="inlineStr">
        <is>
          <t>45G1</t>
        </is>
      </c>
      <c r="L377" t="inlineStr">
        <is>
          <t>9'6</t>
        </is>
      </c>
      <c r="M377" t="inlineStr">
        <is>
          <t>Full</t>
        </is>
      </c>
      <c r="P377">
        <f t="array" ref="P377">IFERROR(INDEX(Disch_Booking_Report!B:B, MATCH(TRUE, ISNUMBER(FIND(SUBSTITUTE(C377," ",""), Disch_Booking_Report!AC:AC)), 0)), "Not Found")</f>
        <v/>
      </c>
      <c r="Q377">
        <f t="array" ref="Q377">IFERROR(INDEX(Disch_Booking_Report!C:C, MATCH(TRUE, ISNUMBER(FIND(SUBSTITUTE(C377," ",""), Disch_Booking_Report!AC:AC)), 0)), "Not Found")</f>
        <v/>
      </c>
      <c r="R377">
        <f t="array" ref="R377">IFERROR(INDEX(Disch_Booking_Report!AD:AD, MATCH(TRUE, ISNUMBER(FIND(SUBSTITUTE(C377," ",""), Disch_Booking_Report!AC:AC)), 0)), "Not Found")</f>
        <v/>
      </c>
      <c r="S377">
        <f>Tabela2[[#This Row],[Weight]]</f>
        <v/>
      </c>
      <c r="T377">
        <f t="array" ref="T377">IFERROR(INDEX(Disch_Booking_Report!L:L, MATCH(TRUE, ISNUMBER(FIND(SUBSTITUTE(C377," ",""), Disch_Booking_Report!AC:AC)), 0)), "Not Found")</f>
        <v/>
      </c>
      <c r="U377">
        <f t="array" ref="U377">IFERROR(INDEX(Disch_Booking_Report!I:I, MATCH(TRUE, ISNUMBER(FIND(SUBSTITUTE(C377," ",""), Disch_Booking_Report!AC:AC)), 0)), "Not Found")</f>
        <v/>
      </c>
    </row>
    <row r="378">
      <c r="A378" t="n">
        <v>30</v>
      </c>
      <c r="B378" t="n">
        <v>300804</v>
      </c>
      <c r="C378" t="inlineStr">
        <is>
          <t xml:space="preserve">     ANON0000000</t>
        </is>
      </c>
      <c r="D378" t="n">
        <v>40</v>
      </c>
      <c r="E378" t="inlineStr">
        <is>
          <t>RULED</t>
        </is>
      </c>
      <c r="F378" t="inlineStr">
        <is>
          <t>USHOU</t>
        </is>
      </c>
      <c r="G378" t="n">
        <v>31790</v>
      </c>
      <c r="H378" t="inlineStr">
        <is>
          <t>ART</t>
        </is>
      </c>
      <c r="I378" t="inlineStr">
        <is>
          <t>45G1</t>
        </is>
      </c>
      <c r="L378" t="inlineStr">
        <is>
          <t>9'6</t>
        </is>
      </c>
      <c r="M378" t="inlineStr">
        <is>
          <t>Full</t>
        </is>
      </c>
      <c r="P378">
        <f t="array" ref="P378">IFERROR(INDEX(Disch_Booking_Report!B:B, MATCH(TRUE, ISNUMBER(FIND(SUBSTITUTE(C378," ",""), Disch_Booking_Report!AC:AC)), 0)), "Not Found")</f>
        <v/>
      </c>
      <c r="Q378">
        <f t="array" ref="Q378">IFERROR(INDEX(Disch_Booking_Report!C:C, MATCH(TRUE, ISNUMBER(FIND(SUBSTITUTE(C378," ",""), Disch_Booking_Report!AC:AC)), 0)), "Not Found")</f>
        <v/>
      </c>
      <c r="R378">
        <f t="array" ref="R378">IFERROR(INDEX(Disch_Booking_Report!AD:AD, MATCH(TRUE, ISNUMBER(FIND(SUBSTITUTE(C378," ",""), Disch_Booking_Report!AC:AC)), 0)), "Not Found")</f>
        <v/>
      </c>
      <c r="S378">
        <f>Tabela2[[#This Row],[Weight]]</f>
        <v/>
      </c>
      <c r="T378">
        <f t="array" ref="T378">IFERROR(INDEX(Disch_Booking_Report!L:L, MATCH(TRUE, ISNUMBER(FIND(SUBSTITUTE(C378," ",""), Disch_Booking_Report!AC:AC)), 0)), "Not Found")</f>
        <v/>
      </c>
      <c r="U378">
        <f t="array" ref="U378">IFERROR(INDEX(Disch_Booking_Report!I:I, MATCH(TRUE, ISNUMBER(FIND(SUBSTITUTE(C378," ",""), Disch_Booking_Report!AC:AC)), 0)), "Not Found")</f>
        <v/>
      </c>
    </row>
    <row r="379">
      <c r="A379" t="n">
        <v>30</v>
      </c>
      <c r="B379" t="n">
        <v>300106</v>
      </c>
      <c r="C379" t="inlineStr">
        <is>
          <t xml:space="preserve">     ANON0000000</t>
        </is>
      </c>
      <c r="D379" t="n">
        <v>40</v>
      </c>
      <c r="E379" t="inlineStr">
        <is>
          <t>RULED</t>
        </is>
      </c>
      <c r="F379" t="inlineStr">
        <is>
          <t>USHOU</t>
        </is>
      </c>
      <c r="G379" t="n">
        <v>31790</v>
      </c>
      <c r="H379" t="inlineStr">
        <is>
          <t>ART</t>
        </is>
      </c>
      <c r="I379" t="inlineStr">
        <is>
          <t>45G1</t>
        </is>
      </c>
      <c r="L379" t="inlineStr">
        <is>
          <t>9'6</t>
        </is>
      </c>
      <c r="M379" t="inlineStr">
        <is>
          <t>Full</t>
        </is>
      </c>
      <c r="P379">
        <f t="array" ref="P379">IFERROR(INDEX(Disch_Booking_Report!B:B, MATCH(TRUE, ISNUMBER(FIND(SUBSTITUTE(C379," ",""), Disch_Booking_Report!AC:AC)), 0)), "Not Found")</f>
        <v/>
      </c>
      <c r="Q379">
        <f t="array" ref="Q379">IFERROR(INDEX(Disch_Booking_Report!C:C, MATCH(TRUE, ISNUMBER(FIND(SUBSTITUTE(C379," ",""), Disch_Booking_Report!AC:AC)), 0)), "Not Found")</f>
        <v/>
      </c>
      <c r="R379">
        <f t="array" ref="R379">IFERROR(INDEX(Disch_Booking_Report!AD:AD, MATCH(TRUE, ISNUMBER(FIND(SUBSTITUTE(C379," ",""), Disch_Booking_Report!AC:AC)), 0)), "Not Found")</f>
        <v/>
      </c>
      <c r="S379">
        <f>Tabela2[[#This Row],[Weight]]</f>
        <v/>
      </c>
      <c r="T379">
        <f t="array" ref="T379">IFERROR(INDEX(Disch_Booking_Report!L:L, MATCH(TRUE, ISNUMBER(FIND(SUBSTITUTE(C379," ",""), Disch_Booking_Report!AC:AC)), 0)), "Not Found")</f>
        <v/>
      </c>
      <c r="U379">
        <f t="array" ref="U379">IFERROR(INDEX(Disch_Booking_Report!I:I, MATCH(TRUE, ISNUMBER(FIND(SUBSTITUTE(C379," ",""), Disch_Booking_Report!AC:AC)), 0)), "Not Found")</f>
        <v/>
      </c>
    </row>
    <row r="380">
      <c r="A380" t="n">
        <v>30</v>
      </c>
      <c r="B380" t="n">
        <v>300304</v>
      </c>
      <c r="C380" t="inlineStr">
        <is>
          <t xml:space="preserve">     ANON0000000</t>
        </is>
      </c>
      <c r="D380" t="n">
        <v>40</v>
      </c>
      <c r="E380" t="inlineStr">
        <is>
          <t>RULED</t>
        </is>
      </c>
      <c r="F380" t="inlineStr">
        <is>
          <t>USHOU</t>
        </is>
      </c>
      <c r="G380" t="n">
        <v>31790</v>
      </c>
      <c r="H380" t="inlineStr">
        <is>
          <t>ART</t>
        </is>
      </c>
      <c r="I380" t="inlineStr">
        <is>
          <t>45G1</t>
        </is>
      </c>
      <c r="L380" t="inlineStr">
        <is>
          <t>9'6</t>
        </is>
      </c>
      <c r="M380" t="inlineStr">
        <is>
          <t>Full</t>
        </is>
      </c>
      <c r="P380">
        <f t="array" ref="P380">IFERROR(INDEX(Disch_Booking_Report!B:B, MATCH(TRUE, ISNUMBER(FIND(SUBSTITUTE(C380," ",""), Disch_Booking_Report!AC:AC)), 0)), "Not Found")</f>
        <v/>
      </c>
      <c r="Q380">
        <f t="array" ref="Q380">IFERROR(INDEX(Disch_Booking_Report!C:C, MATCH(TRUE, ISNUMBER(FIND(SUBSTITUTE(C380," ",""), Disch_Booking_Report!AC:AC)), 0)), "Not Found")</f>
        <v/>
      </c>
      <c r="R380">
        <f t="array" ref="R380">IFERROR(INDEX(Disch_Booking_Report!AD:AD, MATCH(TRUE, ISNUMBER(FIND(SUBSTITUTE(C380," ",""), Disch_Booking_Report!AC:AC)), 0)), "Not Found")</f>
        <v/>
      </c>
      <c r="S380">
        <f>Tabela2[[#This Row],[Weight]]</f>
        <v/>
      </c>
      <c r="T380">
        <f t="array" ref="T380">IFERROR(INDEX(Disch_Booking_Report!L:L, MATCH(TRUE, ISNUMBER(FIND(SUBSTITUTE(C380," ",""), Disch_Booking_Report!AC:AC)), 0)), "Not Found")</f>
        <v/>
      </c>
      <c r="U380">
        <f t="array" ref="U380">IFERROR(INDEX(Disch_Booking_Report!I:I, MATCH(TRUE, ISNUMBER(FIND(SUBSTITUTE(C380," ",""), Disch_Booking_Report!AC:AC)), 0)), "Not Found")</f>
        <v/>
      </c>
    </row>
    <row r="381">
      <c r="A381" t="n">
        <v>30</v>
      </c>
      <c r="B381" t="n">
        <v>300984</v>
      </c>
      <c r="C381" t="inlineStr">
        <is>
          <t xml:space="preserve">     ANON0000000</t>
        </is>
      </c>
      <c r="D381" t="n">
        <v>40</v>
      </c>
      <c r="E381" t="inlineStr">
        <is>
          <t>RULED</t>
        </is>
      </c>
      <c r="F381" t="inlineStr">
        <is>
          <t>USNYC</t>
        </is>
      </c>
      <c r="G381" t="n">
        <v>32980</v>
      </c>
      <c r="H381" t="inlineStr">
        <is>
          <t>ART</t>
        </is>
      </c>
      <c r="I381" t="inlineStr">
        <is>
          <t>45R1</t>
        </is>
      </c>
      <c r="K381" t="inlineStr">
        <is>
          <t>Dry reefer</t>
        </is>
      </c>
      <c r="L381" t="inlineStr">
        <is>
          <t>9'6</t>
        </is>
      </c>
      <c r="M381" t="inlineStr">
        <is>
          <t>Full</t>
        </is>
      </c>
      <c r="P381">
        <f t="array" ref="P381">IFERROR(INDEX(Disch_Booking_Report!B:B, MATCH(TRUE, ISNUMBER(FIND(SUBSTITUTE(C381," ",""), Disch_Booking_Report!AC:AC)), 0)), "Not Found")</f>
        <v/>
      </c>
      <c r="Q381">
        <f t="array" ref="Q381">IFERROR(INDEX(Disch_Booking_Report!C:C, MATCH(TRUE, ISNUMBER(FIND(SUBSTITUTE(C381," ",""), Disch_Booking_Report!AC:AC)), 0)), "Not Found")</f>
        <v/>
      </c>
      <c r="R381">
        <f t="array" ref="R381">IFERROR(INDEX(Disch_Booking_Report!AD:AD, MATCH(TRUE, ISNUMBER(FIND(SUBSTITUTE(C381," ",""), Disch_Booking_Report!AC:AC)), 0)), "Not Found")</f>
        <v/>
      </c>
      <c r="S381">
        <f>Tabela2[[#This Row],[Weight]]</f>
        <v/>
      </c>
      <c r="T381">
        <f t="array" ref="T381">IFERROR(INDEX(Disch_Booking_Report!L:L, MATCH(TRUE, ISNUMBER(FIND(SUBSTITUTE(C381," ",""), Disch_Booking_Report!AC:AC)), 0)), "Not Found")</f>
        <v/>
      </c>
      <c r="U381">
        <f t="array" ref="U381">IFERROR(INDEX(Disch_Booking_Report!I:I, MATCH(TRUE, ISNUMBER(FIND(SUBSTITUTE(C381," ",""), Disch_Booking_Report!AC:AC)), 0)), "Not Found")</f>
        <v/>
      </c>
    </row>
    <row r="382">
      <c r="A382" t="n">
        <v>30</v>
      </c>
      <c r="B382" t="n">
        <v>300508</v>
      </c>
      <c r="C382" t="inlineStr">
        <is>
          <t xml:space="preserve">     ANON0000000</t>
        </is>
      </c>
      <c r="D382" t="n">
        <v>40</v>
      </c>
      <c r="E382" t="inlineStr">
        <is>
          <t>RULED</t>
        </is>
      </c>
      <c r="F382" t="inlineStr">
        <is>
          <t>USHOU</t>
        </is>
      </c>
      <c r="G382" t="n">
        <v>29430</v>
      </c>
      <c r="H382" t="inlineStr">
        <is>
          <t>ART</t>
        </is>
      </c>
      <c r="I382" t="inlineStr">
        <is>
          <t>45G1</t>
        </is>
      </c>
      <c r="L382" t="inlineStr">
        <is>
          <t>9'6</t>
        </is>
      </c>
      <c r="M382" t="inlineStr">
        <is>
          <t>Full</t>
        </is>
      </c>
      <c r="P382">
        <f t="array" ref="P382">IFERROR(INDEX(Disch_Booking_Report!B:B, MATCH(TRUE, ISNUMBER(FIND(SUBSTITUTE(C382," ",""), Disch_Booking_Report!AC:AC)), 0)), "Not Found")</f>
        <v/>
      </c>
      <c r="Q382">
        <f t="array" ref="Q382">IFERROR(INDEX(Disch_Booking_Report!C:C, MATCH(TRUE, ISNUMBER(FIND(SUBSTITUTE(C382," ",""), Disch_Booking_Report!AC:AC)), 0)), "Not Found")</f>
        <v/>
      </c>
      <c r="R382">
        <f t="array" ref="R382">IFERROR(INDEX(Disch_Booking_Report!AD:AD, MATCH(TRUE, ISNUMBER(FIND(SUBSTITUTE(C382," ",""), Disch_Booking_Report!AC:AC)), 0)), "Not Found")</f>
        <v/>
      </c>
      <c r="S382">
        <f>Tabela2[[#This Row],[Weight]]</f>
        <v/>
      </c>
      <c r="T382">
        <f t="array" ref="T382">IFERROR(INDEX(Disch_Booking_Report!L:L, MATCH(TRUE, ISNUMBER(FIND(SUBSTITUTE(C382," ",""), Disch_Booking_Report!AC:AC)), 0)), "Not Found")</f>
        <v/>
      </c>
      <c r="U382">
        <f t="array" ref="U382">IFERROR(INDEX(Disch_Booking_Report!I:I, MATCH(TRUE, ISNUMBER(FIND(SUBSTITUTE(C382," ",""), Disch_Booking_Report!AC:AC)), 0)), "Not Found")</f>
        <v/>
      </c>
    </row>
    <row r="383">
      <c r="A383" t="n">
        <v>30</v>
      </c>
      <c r="B383" t="n">
        <v>300482</v>
      </c>
      <c r="C383" t="inlineStr">
        <is>
          <t xml:space="preserve">     ANON0000000</t>
        </is>
      </c>
      <c r="D383" t="n">
        <v>40</v>
      </c>
      <c r="E383" t="inlineStr">
        <is>
          <t>RULED</t>
        </is>
      </c>
      <c r="F383" t="inlineStr">
        <is>
          <t>USHOU</t>
        </is>
      </c>
      <c r="G383" t="n">
        <v>31790</v>
      </c>
      <c r="H383" t="inlineStr">
        <is>
          <t>ART</t>
        </is>
      </c>
      <c r="I383" t="inlineStr">
        <is>
          <t>45G1</t>
        </is>
      </c>
      <c r="L383" t="inlineStr">
        <is>
          <t>9'6</t>
        </is>
      </c>
      <c r="M383" t="inlineStr">
        <is>
          <t>Full</t>
        </is>
      </c>
      <c r="P383">
        <f t="array" ref="P383">IFERROR(INDEX(Disch_Booking_Report!B:B, MATCH(TRUE, ISNUMBER(FIND(SUBSTITUTE(C383," ",""), Disch_Booking_Report!AC:AC)), 0)), "Not Found")</f>
        <v/>
      </c>
      <c r="Q383">
        <f t="array" ref="Q383">IFERROR(INDEX(Disch_Booking_Report!C:C, MATCH(TRUE, ISNUMBER(FIND(SUBSTITUTE(C383," ",""), Disch_Booking_Report!AC:AC)), 0)), "Not Found")</f>
        <v/>
      </c>
      <c r="R383">
        <f t="array" ref="R383">IFERROR(INDEX(Disch_Booking_Report!AD:AD, MATCH(TRUE, ISNUMBER(FIND(SUBSTITUTE(C383," ",""), Disch_Booking_Report!AC:AC)), 0)), "Not Found")</f>
        <v/>
      </c>
      <c r="S383">
        <f>Tabela2[[#This Row],[Weight]]</f>
        <v/>
      </c>
      <c r="T383">
        <f t="array" ref="T383">IFERROR(INDEX(Disch_Booking_Report!L:L, MATCH(TRUE, ISNUMBER(FIND(SUBSTITUTE(C383," ",""), Disch_Booking_Report!AC:AC)), 0)), "Not Found")</f>
        <v/>
      </c>
      <c r="U383">
        <f t="array" ref="U383">IFERROR(INDEX(Disch_Booking_Report!I:I, MATCH(TRUE, ISNUMBER(FIND(SUBSTITUTE(C383," ",""), Disch_Booking_Report!AC:AC)), 0)), "Not Found")</f>
        <v/>
      </c>
    </row>
    <row r="384">
      <c r="A384" t="n">
        <v>30</v>
      </c>
      <c r="B384" t="n">
        <v>300504</v>
      </c>
      <c r="C384" t="inlineStr">
        <is>
          <t xml:space="preserve">     ANON0000000</t>
        </is>
      </c>
      <c r="D384" t="n">
        <v>40</v>
      </c>
      <c r="E384" t="inlineStr">
        <is>
          <t>RULED</t>
        </is>
      </c>
      <c r="F384" t="inlineStr">
        <is>
          <t>USHOU</t>
        </is>
      </c>
      <c r="G384" t="n">
        <v>31790</v>
      </c>
      <c r="H384" t="inlineStr">
        <is>
          <t>ART</t>
        </is>
      </c>
      <c r="I384" t="inlineStr">
        <is>
          <t>45G1</t>
        </is>
      </c>
      <c r="L384" t="inlineStr">
        <is>
          <t>9'6</t>
        </is>
      </c>
      <c r="M384" t="inlineStr">
        <is>
          <t>Full</t>
        </is>
      </c>
      <c r="P384">
        <f t="array" ref="P384">IFERROR(INDEX(Disch_Booking_Report!B:B, MATCH(TRUE, ISNUMBER(FIND(SUBSTITUTE(C384," ",""), Disch_Booking_Report!AC:AC)), 0)), "Not Found")</f>
        <v/>
      </c>
      <c r="Q384">
        <f t="array" ref="Q384">IFERROR(INDEX(Disch_Booking_Report!C:C, MATCH(TRUE, ISNUMBER(FIND(SUBSTITUTE(C384," ",""), Disch_Booking_Report!AC:AC)), 0)), "Not Found")</f>
        <v/>
      </c>
      <c r="R384">
        <f t="array" ref="R384">IFERROR(INDEX(Disch_Booking_Report!AD:AD, MATCH(TRUE, ISNUMBER(FIND(SUBSTITUTE(C384," ",""), Disch_Booking_Report!AC:AC)), 0)), "Not Found")</f>
        <v/>
      </c>
      <c r="S384">
        <f>Tabela2[[#This Row],[Weight]]</f>
        <v/>
      </c>
      <c r="T384">
        <f t="array" ref="T384">IFERROR(INDEX(Disch_Booking_Report!L:L, MATCH(TRUE, ISNUMBER(FIND(SUBSTITUTE(C384," ",""), Disch_Booking_Report!AC:AC)), 0)), "Not Found")</f>
        <v/>
      </c>
      <c r="U384">
        <f t="array" ref="U384">IFERROR(INDEX(Disch_Booking_Report!I:I, MATCH(TRUE, ISNUMBER(FIND(SUBSTITUTE(C384," ",""), Disch_Booking_Report!AC:AC)), 0)), "Not Found")</f>
        <v/>
      </c>
    </row>
    <row r="385">
      <c r="A385" t="n">
        <v>30</v>
      </c>
      <c r="B385" t="n">
        <v>300384</v>
      </c>
      <c r="C385" t="inlineStr">
        <is>
          <t xml:space="preserve">     ANON0000000</t>
        </is>
      </c>
      <c r="D385" t="n">
        <v>40</v>
      </c>
      <c r="E385" t="inlineStr">
        <is>
          <t>RULED</t>
        </is>
      </c>
      <c r="F385" t="inlineStr">
        <is>
          <t>USHOU</t>
        </is>
      </c>
      <c r="G385" t="n">
        <v>31910</v>
      </c>
      <c r="H385" t="inlineStr">
        <is>
          <t>ART</t>
        </is>
      </c>
      <c r="I385" t="inlineStr">
        <is>
          <t>45G1</t>
        </is>
      </c>
      <c r="L385" t="inlineStr">
        <is>
          <t>9'6</t>
        </is>
      </c>
      <c r="M385" t="inlineStr">
        <is>
          <t>Full</t>
        </is>
      </c>
      <c r="P385">
        <f t="array" ref="P385">IFERROR(INDEX(Disch_Booking_Report!B:B, MATCH(TRUE, ISNUMBER(FIND(SUBSTITUTE(C385," ",""), Disch_Booking_Report!AC:AC)), 0)), "Not Found")</f>
        <v/>
      </c>
      <c r="Q385">
        <f t="array" ref="Q385">IFERROR(INDEX(Disch_Booking_Report!C:C, MATCH(TRUE, ISNUMBER(FIND(SUBSTITUTE(C385," ",""), Disch_Booking_Report!AC:AC)), 0)), "Not Found")</f>
        <v/>
      </c>
      <c r="R385">
        <f t="array" ref="R385">IFERROR(INDEX(Disch_Booking_Report!AD:AD, MATCH(TRUE, ISNUMBER(FIND(SUBSTITUTE(C385," ",""), Disch_Booking_Report!AC:AC)), 0)), "Not Found")</f>
        <v/>
      </c>
      <c r="S385">
        <f>Tabela2[[#This Row],[Weight]]</f>
        <v/>
      </c>
      <c r="T385">
        <f t="array" ref="T385">IFERROR(INDEX(Disch_Booking_Report!L:L, MATCH(TRUE, ISNUMBER(FIND(SUBSTITUTE(C385," ",""), Disch_Booking_Report!AC:AC)), 0)), "Not Found")</f>
        <v/>
      </c>
      <c r="U385">
        <f t="array" ref="U385">IFERROR(INDEX(Disch_Booking_Report!I:I, MATCH(TRUE, ISNUMBER(FIND(SUBSTITUTE(C385," ",""), Disch_Booking_Report!AC:AC)), 0)), "Not Found")</f>
        <v/>
      </c>
    </row>
    <row r="386">
      <c r="A386" t="n">
        <v>30</v>
      </c>
      <c r="B386" t="n">
        <v>300306</v>
      </c>
      <c r="C386" t="inlineStr">
        <is>
          <t xml:space="preserve">     ANON0000000</t>
        </is>
      </c>
      <c r="D386" t="n">
        <v>40</v>
      </c>
      <c r="E386" t="inlineStr">
        <is>
          <t>RULED</t>
        </is>
      </c>
      <c r="F386" t="inlineStr">
        <is>
          <t>USHOU</t>
        </is>
      </c>
      <c r="G386" t="n">
        <v>31790</v>
      </c>
      <c r="H386" t="inlineStr">
        <is>
          <t>ART</t>
        </is>
      </c>
      <c r="I386" t="inlineStr">
        <is>
          <t>45G1</t>
        </is>
      </c>
      <c r="L386" t="inlineStr">
        <is>
          <t>9'6</t>
        </is>
      </c>
      <c r="M386" t="inlineStr">
        <is>
          <t>Full</t>
        </is>
      </c>
      <c r="P386">
        <f t="array" ref="P386">IFERROR(INDEX(Disch_Booking_Report!B:B, MATCH(TRUE, ISNUMBER(FIND(SUBSTITUTE(C386," ",""), Disch_Booking_Report!AC:AC)), 0)), "Not Found")</f>
        <v/>
      </c>
      <c r="Q386">
        <f t="array" ref="Q386">IFERROR(INDEX(Disch_Booking_Report!C:C, MATCH(TRUE, ISNUMBER(FIND(SUBSTITUTE(C386," ",""), Disch_Booking_Report!AC:AC)), 0)), "Not Found")</f>
        <v/>
      </c>
      <c r="R386">
        <f t="array" ref="R386">IFERROR(INDEX(Disch_Booking_Report!AD:AD, MATCH(TRUE, ISNUMBER(FIND(SUBSTITUTE(C386," ",""), Disch_Booking_Report!AC:AC)), 0)), "Not Found")</f>
        <v/>
      </c>
      <c r="S386">
        <f>Tabela2[[#This Row],[Weight]]</f>
        <v/>
      </c>
      <c r="T386">
        <f t="array" ref="T386">IFERROR(INDEX(Disch_Booking_Report!L:L, MATCH(TRUE, ISNUMBER(FIND(SUBSTITUTE(C386," ",""), Disch_Booking_Report!AC:AC)), 0)), "Not Found")</f>
        <v/>
      </c>
      <c r="U386">
        <f t="array" ref="U386">IFERROR(INDEX(Disch_Booking_Report!I:I, MATCH(TRUE, ISNUMBER(FIND(SUBSTITUTE(C386," ",""), Disch_Booking_Report!AC:AC)), 0)), "Not Found")</f>
        <v/>
      </c>
    </row>
    <row r="387">
      <c r="A387" t="n">
        <v>30</v>
      </c>
      <c r="B387" t="n">
        <v>300282</v>
      </c>
      <c r="C387" t="inlineStr">
        <is>
          <t xml:space="preserve">     ANON0000000</t>
        </is>
      </c>
      <c r="D387" t="n">
        <v>40</v>
      </c>
      <c r="E387" t="inlineStr">
        <is>
          <t>RULED</t>
        </is>
      </c>
      <c r="F387" t="inlineStr">
        <is>
          <t>USHOU</t>
        </is>
      </c>
      <c r="G387" t="n">
        <v>31790</v>
      </c>
      <c r="H387" t="inlineStr">
        <is>
          <t>ART</t>
        </is>
      </c>
      <c r="I387" t="inlineStr">
        <is>
          <t>45G1</t>
        </is>
      </c>
      <c r="L387" t="inlineStr">
        <is>
          <t>9'6</t>
        </is>
      </c>
      <c r="M387" t="inlineStr">
        <is>
          <t>Full</t>
        </is>
      </c>
      <c r="P387">
        <f t="array" ref="P387">IFERROR(INDEX(Disch_Booking_Report!B:B, MATCH(TRUE, ISNUMBER(FIND(SUBSTITUTE(C387," ",""), Disch_Booking_Report!AC:AC)), 0)), "Not Found")</f>
        <v/>
      </c>
      <c r="Q387">
        <f t="array" ref="Q387">IFERROR(INDEX(Disch_Booking_Report!C:C, MATCH(TRUE, ISNUMBER(FIND(SUBSTITUTE(C387," ",""), Disch_Booking_Report!AC:AC)), 0)), "Not Found")</f>
        <v/>
      </c>
      <c r="R387">
        <f t="array" ref="R387">IFERROR(INDEX(Disch_Booking_Report!AD:AD, MATCH(TRUE, ISNUMBER(FIND(SUBSTITUTE(C387," ",""), Disch_Booking_Report!AC:AC)), 0)), "Not Found")</f>
        <v/>
      </c>
      <c r="S387">
        <f>Tabela2[[#This Row],[Weight]]</f>
        <v/>
      </c>
      <c r="T387">
        <f t="array" ref="T387">IFERROR(INDEX(Disch_Booking_Report!L:L, MATCH(TRUE, ISNUMBER(FIND(SUBSTITUTE(C387," ",""), Disch_Booking_Report!AC:AC)), 0)), "Not Found")</f>
        <v/>
      </c>
      <c r="U387">
        <f t="array" ref="U387">IFERROR(INDEX(Disch_Booking_Report!I:I, MATCH(TRUE, ISNUMBER(FIND(SUBSTITUTE(C387," ",""), Disch_Booking_Report!AC:AC)), 0)), "Not Found")</f>
        <v/>
      </c>
    </row>
    <row r="388">
      <c r="A388" t="n">
        <v>30</v>
      </c>
      <c r="B388" t="n">
        <v>300684</v>
      </c>
      <c r="C388" t="inlineStr">
        <is>
          <t xml:space="preserve">     ANON0000000</t>
        </is>
      </c>
      <c r="D388" t="n">
        <v>40</v>
      </c>
      <c r="E388" t="inlineStr">
        <is>
          <t>RULED</t>
        </is>
      </c>
      <c r="F388" t="inlineStr">
        <is>
          <t>USHOU</t>
        </is>
      </c>
      <c r="G388" t="n">
        <v>31790</v>
      </c>
      <c r="H388" t="inlineStr">
        <is>
          <t>ART</t>
        </is>
      </c>
      <c r="I388" t="inlineStr">
        <is>
          <t>45G1</t>
        </is>
      </c>
      <c r="L388" t="inlineStr">
        <is>
          <t>9'6</t>
        </is>
      </c>
      <c r="M388" t="inlineStr">
        <is>
          <t>Full</t>
        </is>
      </c>
      <c r="P388">
        <f t="array" ref="P388">IFERROR(INDEX(Disch_Booking_Report!B:B, MATCH(TRUE, ISNUMBER(FIND(SUBSTITUTE(C388," ",""), Disch_Booking_Report!AC:AC)), 0)), "Not Found")</f>
        <v/>
      </c>
      <c r="Q388">
        <f t="array" ref="Q388">IFERROR(INDEX(Disch_Booking_Report!C:C, MATCH(TRUE, ISNUMBER(FIND(SUBSTITUTE(C388," ",""), Disch_Booking_Report!AC:AC)), 0)), "Not Found")</f>
        <v/>
      </c>
      <c r="R388">
        <f t="array" ref="R388">IFERROR(INDEX(Disch_Booking_Report!AD:AD, MATCH(TRUE, ISNUMBER(FIND(SUBSTITUTE(C388," ",""), Disch_Booking_Report!AC:AC)), 0)), "Not Found")</f>
        <v/>
      </c>
      <c r="S388">
        <f>Tabela2[[#This Row],[Weight]]</f>
        <v/>
      </c>
      <c r="T388">
        <f t="array" ref="T388">IFERROR(INDEX(Disch_Booking_Report!L:L, MATCH(TRUE, ISNUMBER(FIND(SUBSTITUTE(C388," ",""), Disch_Booking_Report!AC:AC)), 0)), "Not Found")</f>
        <v/>
      </c>
      <c r="U388">
        <f t="array" ref="U388">IFERROR(INDEX(Disch_Booking_Report!I:I, MATCH(TRUE, ISNUMBER(FIND(SUBSTITUTE(C388," ",""), Disch_Booking_Report!AC:AC)), 0)), "Not Found")</f>
        <v/>
      </c>
    </row>
    <row r="389">
      <c r="A389" t="n">
        <v>30</v>
      </c>
      <c r="B389" t="n">
        <v>300884</v>
      </c>
      <c r="C389" t="inlineStr">
        <is>
          <t xml:space="preserve">     ANON0000000</t>
        </is>
      </c>
      <c r="D389" t="n">
        <v>40</v>
      </c>
      <c r="E389" t="inlineStr">
        <is>
          <t>RULED</t>
        </is>
      </c>
      <c r="F389" t="inlineStr">
        <is>
          <t>USNYC</t>
        </is>
      </c>
      <c r="G389" t="n">
        <v>34040</v>
      </c>
      <c r="H389" t="inlineStr">
        <is>
          <t>ART</t>
        </is>
      </c>
      <c r="I389" t="inlineStr">
        <is>
          <t>45R1</t>
        </is>
      </c>
      <c r="K389" t="inlineStr">
        <is>
          <t>Dry reefer</t>
        </is>
      </c>
      <c r="L389" t="inlineStr">
        <is>
          <t>9'6</t>
        </is>
      </c>
      <c r="M389" t="inlineStr">
        <is>
          <t>Full</t>
        </is>
      </c>
      <c r="P389">
        <f t="array" ref="P389">IFERROR(INDEX(Disch_Booking_Report!B:B, MATCH(TRUE, ISNUMBER(FIND(SUBSTITUTE(C389," ",""), Disch_Booking_Report!AC:AC)), 0)), "Not Found")</f>
        <v/>
      </c>
      <c r="Q389">
        <f t="array" ref="Q389">IFERROR(INDEX(Disch_Booking_Report!C:C, MATCH(TRUE, ISNUMBER(FIND(SUBSTITUTE(C389," ",""), Disch_Booking_Report!AC:AC)), 0)), "Not Found")</f>
        <v/>
      </c>
      <c r="R389">
        <f t="array" ref="R389">IFERROR(INDEX(Disch_Booking_Report!AD:AD, MATCH(TRUE, ISNUMBER(FIND(SUBSTITUTE(C389," ",""), Disch_Booking_Report!AC:AC)), 0)), "Not Found")</f>
        <v/>
      </c>
      <c r="S389">
        <f>Tabela2[[#This Row],[Weight]]</f>
        <v/>
      </c>
      <c r="T389">
        <f t="array" ref="T389">IFERROR(INDEX(Disch_Booking_Report!L:L, MATCH(TRUE, ISNUMBER(FIND(SUBSTITUTE(C389," ",""), Disch_Booking_Report!AC:AC)), 0)), "Not Found")</f>
        <v/>
      </c>
      <c r="U389">
        <f t="array" ref="U389">IFERROR(INDEX(Disch_Booking_Report!I:I, MATCH(TRUE, ISNUMBER(FIND(SUBSTITUTE(C389," ",""), Disch_Booking_Report!AC:AC)), 0)), "Not Found")</f>
        <v/>
      </c>
    </row>
    <row r="390">
      <c r="A390" t="n">
        <v>30</v>
      </c>
      <c r="B390" t="n">
        <v>300708</v>
      </c>
      <c r="C390" t="inlineStr">
        <is>
          <t xml:space="preserve">     ANON0000000</t>
        </is>
      </c>
      <c r="D390" t="n">
        <v>40</v>
      </c>
      <c r="E390" t="inlineStr">
        <is>
          <t>RULED</t>
        </is>
      </c>
      <c r="F390" t="inlineStr">
        <is>
          <t>USHOU</t>
        </is>
      </c>
      <c r="G390" t="n">
        <v>31790</v>
      </c>
      <c r="H390" t="inlineStr">
        <is>
          <t>ART</t>
        </is>
      </c>
      <c r="I390" t="inlineStr">
        <is>
          <t>45G1</t>
        </is>
      </c>
      <c r="L390" t="inlineStr">
        <is>
          <t>9'6</t>
        </is>
      </c>
      <c r="M390" t="inlineStr">
        <is>
          <t>Full</t>
        </is>
      </c>
      <c r="P390">
        <f t="array" ref="P390">IFERROR(INDEX(Disch_Booking_Report!B:B, MATCH(TRUE, ISNUMBER(FIND(SUBSTITUTE(C390," ",""), Disch_Booking_Report!AC:AC)), 0)), "Not Found")</f>
        <v/>
      </c>
      <c r="Q390">
        <f t="array" ref="Q390">IFERROR(INDEX(Disch_Booking_Report!C:C, MATCH(TRUE, ISNUMBER(FIND(SUBSTITUTE(C390," ",""), Disch_Booking_Report!AC:AC)), 0)), "Not Found")</f>
        <v/>
      </c>
      <c r="R390">
        <f t="array" ref="R390">IFERROR(INDEX(Disch_Booking_Report!AD:AD, MATCH(TRUE, ISNUMBER(FIND(SUBSTITUTE(C390," ",""), Disch_Booking_Report!AC:AC)), 0)), "Not Found")</f>
        <v/>
      </c>
      <c r="S390">
        <f>Tabela2[[#This Row],[Weight]]</f>
        <v/>
      </c>
      <c r="T390">
        <f t="array" ref="T390">IFERROR(INDEX(Disch_Booking_Report!L:L, MATCH(TRUE, ISNUMBER(FIND(SUBSTITUTE(C390," ",""), Disch_Booking_Report!AC:AC)), 0)), "Not Found")</f>
        <v/>
      </c>
      <c r="U390">
        <f t="array" ref="U390">IFERROR(INDEX(Disch_Booking_Report!I:I, MATCH(TRUE, ISNUMBER(FIND(SUBSTITUTE(C390," ",""), Disch_Booking_Report!AC:AC)), 0)), "Not Found")</f>
        <v/>
      </c>
    </row>
    <row r="391">
      <c r="A391" t="n">
        <v>30</v>
      </c>
      <c r="B391" t="n">
        <v>300484</v>
      </c>
      <c r="C391" t="inlineStr">
        <is>
          <t xml:space="preserve">     ANON0000000</t>
        </is>
      </c>
      <c r="D391" t="n">
        <v>40</v>
      </c>
      <c r="E391" t="inlineStr">
        <is>
          <t>RULED</t>
        </is>
      </c>
      <c r="F391" t="inlineStr">
        <is>
          <t>USHOU</t>
        </is>
      </c>
      <c r="G391" t="n">
        <v>31790</v>
      </c>
      <c r="H391" t="inlineStr">
        <is>
          <t>ART</t>
        </is>
      </c>
      <c r="I391" t="inlineStr">
        <is>
          <t>45G1</t>
        </is>
      </c>
      <c r="L391" t="inlineStr">
        <is>
          <t>9'6</t>
        </is>
      </c>
      <c r="M391" t="inlineStr">
        <is>
          <t>Full</t>
        </is>
      </c>
      <c r="P391">
        <f t="array" ref="P391">IFERROR(INDEX(Disch_Booking_Report!B:B, MATCH(TRUE, ISNUMBER(FIND(SUBSTITUTE(C391," ",""), Disch_Booking_Report!AC:AC)), 0)), "Not Found")</f>
        <v/>
      </c>
      <c r="Q391">
        <f t="array" ref="Q391">IFERROR(INDEX(Disch_Booking_Report!C:C, MATCH(TRUE, ISNUMBER(FIND(SUBSTITUTE(C391," ",""), Disch_Booking_Report!AC:AC)), 0)), "Not Found")</f>
        <v/>
      </c>
      <c r="R391">
        <f t="array" ref="R391">IFERROR(INDEX(Disch_Booking_Report!AD:AD, MATCH(TRUE, ISNUMBER(FIND(SUBSTITUTE(C391," ",""), Disch_Booking_Report!AC:AC)), 0)), "Not Found")</f>
        <v/>
      </c>
      <c r="S391">
        <f>Tabela2[[#This Row],[Weight]]</f>
        <v/>
      </c>
      <c r="T391">
        <f t="array" ref="T391">IFERROR(INDEX(Disch_Booking_Report!L:L, MATCH(TRUE, ISNUMBER(FIND(SUBSTITUTE(C391," ",""), Disch_Booking_Report!AC:AC)), 0)), "Not Found")</f>
        <v/>
      </c>
      <c r="U391">
        <f t="array" ref="U391">IFERROR(INDEX(Disch_Booking_Report!I:I, MATCH(TRUE, ISNUMBER(FIND(SUBSTITUTE(C391," ",""), Disch_Booking_Report!AC:AC)), 0)), "Not Found")</f>
        <v/>
      </c>
    </row>
    <row r="392">
      <c r="A392" t="n">
        <v>30</v>
      </c>
      <c r="B392" t="n">
        <v>300104</v>
      </c>
      <c r="C392" t="inlineStr">
        <is>
          <t xml:space="preserve">     ANON0000000</t>
        </is>
      </c>
      <c r="D392" t="n">
        <v>40</v>
      </c>
      <c r="E392" t="inlineStr">
        <is>
          <t>RULED</t>
        </is>
      </c>
      <c r="F392" t="inlineStr">
        <is>
          <t>USHOU</t>
        </is>
      </c>
      <c r="G392" t="n">
        <v>31790</v>
      </c>
      <c r="H392" t="inlineStr">
        <is>
          <t>ART</t>
        </is>
      </c>
      <c r="I392" t="inlineStr">
        <is>
          <t>45G1</t>
        </is>
      </c>
      <c r="L392" t="inlineStr">
        <is>
          <t>9'6</t>
        </is>
      </c>
      <c r="M392" t="inlineStr">
        <is>
          <t>Full</t>
        </is>
      </c>
      <c r="P392">
        <f t="array" ref="P392">IFERROR(INDEX(Disch_Booking_Report!B:B, MATCH(TRUE, ISNUMBER(FIND(SUBSTITUTE(C392," ",""), Disch_Booking_Report!AC:AC)), 0)), "Not Found")</f>
        <v/>
      </c>
      <c r="Q392">
        <f t="array" ref="Q392">IFERROR(INDEX(Disch_Booking_Report!C:C, MATCH(TRUE, ISNUMBER(FIND(SUBSTITUTE(C392," ",""), Disch_Booking_Report!AC:AC)), 0)), "Not Found")</f>
        <v/>
      </c>
      <c r="R392">
        <f t="array" ref="R392">IFERROR(INDEX(Disch_Booking_Report!AD:AD, MATCH(TRUE, ISNUMBER(FIND(SUBSTITUTE(C392," ",""), Disch_Booking_Report!AC:AC)), 0)), "Not Found")</f>
        <v/>
      </c>
      <c r="S392">
        <f>Tabela2[[#This Row],[Weight]]</f>
        <v/>
      </c>
      <c r="T392">
        <f t="array" ref="T392">IFERROR(INDEX(Disch_Booking_Report!L:L, MATCH(TRUE, ISNUMBER(FIND(SUBSTITUTE(C392," ",""), Disch_Booking_Report!AC:AC)), 0)), "Not Found")</f>
        <v/>
      </c>
      <c r="U392">
        <f t="array" ref="U392">IFERROR(INDEX(Disch_Booking_Report!I:I, MATCH(TRUE, ISNUMBER(FIND(SUBSTITUTE(C392," ",""), Disch_Booking_Report!AC:AC)), 0)), "Not Found")</f>
        <v/>
      </c>
    </row>
    <row r="393">
      <c r="A393" t="n">
        <v>30</v>
      </c>
      <c r="B393" t="n">
        <v>300086</v>
      </c>
      <c r="C393" t="inlineStr">
        <is>
          <t xml:space="preserve">     ANON0000000</t>
        </is>
      </c>
      <c r="D393" t="n">
        <v>40</v>
      </c>
      <c r="E393" t="inlineStr">
        <is>
          <t>RULED</t>
        </is>
      </c>
      <c r="F393" t="inlineStr">
        <is>
          <t>USHOU</t>
        </is>
      </c>
      <c r="G393" t="n">
        <v>31790</v>
      </c>
      <c r="H393" t="inlineStr">
        <is>
          <t>ART</t>
        </is>
      </c>
      <c r="I393" t="inlineStr">
        <is>
          <t>45G1</t>
        </is>
      </c>
      <c r="L393" t="inlineStr">
        <is>
          <t>9'6</t>
        </is>
      </c>
      <c r="M393" t="inlineStr">
        <is>
          <t>Full</t>
        </is>
      </c>
      <c r="P393">
        <f t="array" ref="P393">IFERROR(INDEX(Disch_Booking_Report!B:B, MATCH(TRUE, ISNUMBER(FIND(SUBSTITUTE(C393," ",""), Disch_Booking_Report!AC:AC)), 0)), "Not Found")</f>
        <v/>
      </c>
      <c r="Q393">
        <f t="array" ref="Q393">IFERROR(INDEX(Disch_Booking_Report!C:C, MATCH(TRUE, ISNUMBER(FIND(SUBSTITUTE(C393," ",""), Disch_Booking_Report!AC:AC)), 0)), "Not Found")</f>
        <v/>
      </c>
      <c r="R393">
        <f t="array" ref="R393">IFERROR(INDEX(Disch_Booking_Report!AD:AD, MATCH(TRUE, ISNUMBER(FIND(SUBSTITUTE(C393," ",""), Disch_Booking_Report!AC:AC)), 0)), "Not Found")</f>
        <v/>
      </c>
      <c r="S393">
        <f>Tabela2[[#This Row],[Weight]]</f>
        <v/>
      </c>
      <c r="T393">
        <f t="array" ref="T393">IFERROR(INDEX(Disch_Booking_Report!L:L, MATCH(TRUE, ISNUMBER(FIND(SUBSTITUTE(C393," ",""), Disch_Booking_Report!AC:AC)), 0)), "Not Found")</f>
        <v/>
      </c>
      <c r="U393">
        <f t="array" ref="U393">IFERROR(INDEX(Disch_Booking_Report!I:I, MATCH(TRUE, ISNUMBER(FIND(SUBSTITUTE(C393," ",""), Disch_Booking_Report!AC:AC)), 0)), "Not Found")</f>
        <v/>
      </c>
    </row>
    <row r="394">
      <c r="A394" t="n">
        <v>30</v>
      </c>
      <c r="B394" t="n">
        <v>300706</v>
      </c>
      <c r="C394" t="inlineStr">
        <is>
          <t xml:space="preserve">     ANON0000000</t>
        </is>
      </c>
      <c r="D394" t="n">
        <v>40</v>
      </c>
      <c r="E394" t="inlineStr">
        <is>
          <t>RULED</t>
        </is>
      </c>
      <c r="F394" t="inlineStr">
        <is>
          <t>USHOU</t>
        </is>
      </c>
      <c r="G394" t="n">
        <v>31790</v>
      </c>
      <c r="H394" t="inlineStr">
        <is>
          <t>ART</t>
        </is>
      </c>
      <c r="I394" t="inlineStr">
        <is>
          <t>45G1</t>
        </is>
      </c>
      <c r="L394" t="inlineStr">
        <is>
          <t>9'6</t>
        </is>
      </c>
      <c r="M394" t="inlineStr">
        <is>
          <t>Full</t>
        </is>
      </c>
      <c r="P394">
        <f t="array" ref="P394">IFERROR(INDEX(Disch_Booking_Report!B:B, MATCH(TRUE, ISNUMBER(FIND(SUBSTITUTE(C394," ",""), Disch_Booking_Report!AC:AC)), 0)), "Not Found")</f>
        <v/>
      </c>
      <c r="Q394">
        <f t="array" ref="Q394">IFERROR(INDEX(Disch_Booking_Report!C:C, MATCH(TRUE, ISNUMBER(FIND(SUBSTITUTE(C394," ",""), Disch_Booking_Report!AC:AC)), 0)), "Not Found")</f>
        <v/>
      </c>
      <c r="R394">
        <f t="array" ref="R394">IFERROR(INDEX(Disch_Booking_Report!AD:AD, MATCH(TRUE, ISNUMBER(FIND(SUBSTITUTE(C394," ",""), Disch_Booking_Report!AC:AC)), 0)), "Not Found")</f>
        <v/>
      </c>
      <c r="S394">
        <f>Tabela2[[#This Row],[Weight]]</f>
        <v/>
      </c>
      <c r="T394">
        <f t="array" ref="T394">IFERROR(INDEX(Disch_Booking_Report!L:L, MATCH(TRUE, ISNUMBER(FIND(SUBSTITUTE(C394," ",""), Disch_Booking_Report!AC:AC)), 0)), "Not Found")</f>
        <v/>
      </c>
      <c r="U394">
        <f t="array" ref="U394">IFERROR(INDEX(Disch_Booking_Report!I:I, MATCH(TRUE, ISNUMBER(FIND(SUBSTITUTE(C394," ",""), Disch_Booking_Report!AC:AC)), 0)), "Not Found")</f>
        <v/>
      </c>
    </row>
    <row r="395">
      <c r="A395" t="n">
        <v>30</v>
      </c>
      <c r="B395" t="n">
        <v>300186</v>
      </c>
      <c r="C395" t="inlineStr">
        <is>
          <t xml:space="preserve">     ANON0000000</t>
        </is>
      </c>
      <c r="D395" t="n">
        <v>40</v>
      </c>
      <c r="E395" t="inlineStr">
        <is>
          <t>RULED</t>
        </is>
      </c>
      <c r="F395" t="inlineStr">
        <is>
          <t>USHOU</t>
        </is>
      </c>
      <c r="G395" t="n">
        <v>33780</v>
      </c>
      <c r="H395" t="inlineStr">
        <is>
          <t>ART</t>
        </is>
      </c>
      <c r="I395" t="inlineStr">
        <is>
          <t>45R1</t>
        </is>
      </c>
      <c r="K395" t="inlineStr">
        <is>
          <t>Dry reefer</t>
        </is>
      </c>
      <c r="L395" t="inlineStr">
        <is>
          <t>9'6</t>
        </is>
      </c>
      <c r="M395" t="inlineStr">
        <is>
          <t>Full</t>
        </is>
      </c>
      <c r="P395">
        <f t="array" ref="P395">IFERROR(INDEX(Disch_Booking_Report!B:B, MATCH(TRUE, ISNUMBER(FIND(SUBSTITUTE(C395," ",""), Disch_Booking_Report!AC:AC)), 0)), "Not Found")</f>
        <v/>
      </c>
      <c r="Q395">
        <f t="array" ref="Q395">IFERROR(INDEX(Disch_Booking_Report!C:C, MATCH(TRUE, ISNUMBER(FIND(SUBSTITUTE(C395," ",""), Disch_Booking_Report!AC:AC)), 0)), "Not Found")</f>
        <v/>
      </c>
      <c r="R395">
        <f t="array" ref="R395">IFERROR(INDEX(Disch_Booking_Report!AD:AD, MATCH(TRUE, ISNUMBER(FIND(SUBSTITUTE(C395," ",""), Disch_Booking_Report!AC:AC)), 0)), "Not Found")</f>
        <v/>
      </c>
      <c r="S395">
        <f>Tabela2[[#This Row],[Weight]]</f>
        <v/>
      </c>
      <c r="T395">
        <f t="array" ref="T395">IFERROR(INDEX(Disch_Booking_Report!L:L, MATCH(TRUE, ISNUMBER(FIND(SUBSTITUTE(C395," ",""), Disch_Booking_Report!AC:AC)), 0)), "Not Found")</f>
        <v/>
      </c>
      <c r="U395">
        <f t="array" ref="U395">IFERROR(INDEX(Disch_Booking_Report!I:I, MATCH(TRUE, ISNUMBER(FIND(SUBSTITUTE(C395," ",""), Disch_Booking_Report!AC:AC)), 0)), "Not Found")</f>
        <v/>
      </c>
    </row>
    <row r="396">
      <c r="A396" t="n">
        <v>30</v>
      </c>
      <c r="B396" t="n">
        <v>300506</v>
      </c>
      <c r="C396" t="inlineStr">
        <is>
          <t xml:space="preserve">     ANON0000000</t>
        </is>
      </c>
      <c r="D396" t="n">
        <v>40</v>
      </c>
      <c r="E396" t="inlineStr">
        <is>
          <t>RULED</t>
        </is>
      </c>
      <c r="F396" t="inlineStr">
        <is>
          <t>USHOU</t>
        </is>
      </c>
      <c r="G396" t="n">
        <v>31790</v>
      </c>
      <c r="H396" t="inlineStr">
        <is>
          <t>ART</t>
        </is>
      </c>
      <c r="I396" t="inlineStr">
        <is>
          <t>45G1</t>
        </is>
      </c>
      <c r="L396" t="inlineStr">
        <is>
          <t>9'6</t>
        </is>
      </c>
      <c r="M396" t="inlineStr">
        <is>
          <t>Full</t>
        </is>
      </c>
      <c r="P396">
        <f t="array" ref="P396">IFERROR(INDEX(Disch_Booking_Report!B:B, MATCH(TRUE, ISNUMBER(FIND(SUBSTITUTE(C396," ",""), Disch_Booking_Report!AC:AC)), 0)), "Not Found")</f>
        <v/>
      </c>
      <c r="Q396">
        <f t="array" ref="Q396">IFERROR(INDEX(Disch_Booking_Report!C:C, MATCH(TRUE, ISNUMBER(FIND(SUBSTITUTE(C396," ",""), Disch_Booking_Report!AC:AC)), 0)), "Not Found")</f>
        <v/>
      </c>
      <c r="R396">
        <f t="array" ref="R396">IFERROR(INDEX(Disch_Booking_Report!AD:AD, MATCH(TRUE, ISNUMBER(FIND(SUBSTITUTE(C396," ",""), Disch_Booking_Report!AC:AC)), 0)), "Not Found")</f>
        <v/>
      </c>
      <c r="S396">
        <f>Tabela2[[#This Row],[Weight]]</f>
        <v/>
      </c>
      <c r="T396">
        <f t="array" ref="T396">IFERROR(INDEX(Disch_Booking_Report!L:L, MATCH(TRUE, ISNUMBER(FIND(SUBSTITUTE(C396," ",""), Disch_Booking_Report!AC:AC)), 0)), "Not Found")</f>
        <v/>
      </c>
      <c r="U396">
        <f t="array" ref="U396">IFERROR(INDEX(Disch_Booking_Report!I:I, MATCH(TRUE, ISNUMBER(FIND(SUBSTITUTE(C396," ",""), Disch_Booking_Report!AC:AC)), 0)), "Not Found")</f>
        <v/>
      </c>
    </row>
    <row r="397">
      <c r="A397" t="n">
        <v>30</v>
      </c>
      <c r="B397" t="n">
        <v>300308</v>
      </c>
      <c r="C397" t="inlineStr">
        <is>
          <t xml:space="preserve">     ANON0000000</t>
        </is>
      </c>
      <c r="D397" t="n">
        <v>40</v>
      </c>
      <c r="E397" t="inlineStr">
        <is>
          <t>RULED</t>
        </is>
      </c>
      <c r="F397" t="inlineStr">
        <is>
          <t>USHOU</t>
        </is>
      </c>
      <c r="G397" t="n">
        <v>31790</v>
      </c>
      <c r="H397" t="inlineStr">
        <is>
          <t>ART</t>
        </is>
      </c>
      <c r="I397" t="inlineStr">
        <is>
          <t>45G1</t>
        </is>
      </c>
      <c r="L397" t="inlineStr">
        <is>
          <t>9'6</t>
        </is>
      </c>
      <c r="M397" t="inlineStr">
        <is>
          <t>Full</t>
        </is>
      </c>
      <c r="P397">
        <f t="array" ref="P397">IFERROR(INDEX(Disch_Booking_Report!B:B, MATCH(TRUE, ISNUMBER(FIND(SUBSTITUTE(C397," ",""), Disch_Booking_Report!AC:AC)), 0)), "Not Found")</f>
        <v/>
      </c>
      <c r="Q397">
        <f t="array" ref="Q397">IFERROR(INDEX(Disch_Booking_Report!C:C, MATCH(TRUE, ISNUMBER(FIND(SUBSTITUTE(C397," ",""), Disch_Booking_Report!AC:AC)), 0)), "Not Found")</f>
        <v/>
      </c>
      <c r="R397">
        <f t="array" ref="R397">IFERROR(INDEX(Disch_Booking_Report!AD:AD, MATCH(TRUE, ISNUMBER(FIND(SUBSTITUTE(C397," ",""), Disch_Booking_Report!AC:AC)), 0)), "Not Found")</f>
        <v/>
      </c>
      <c r="S397">
        <f>Tabela2[[#This Row],[Weight]]</f>
        <v/>
      </c>
      <c r="T397">
        <f t="array" ref="T397">IFERROR(INDEX(Disch_Booking_Report!L:L, MATCH(TRUE, ISNUMBER(FIND(SUBSTITUTE(C397," ",""), Disch_Booking_Report!AC:AC)), 0)), "Not Found")</f>
        <v/>
      </c>
      <c r="U397">
        <f t="array" ref="U397">IFERROR(INDEX(Disch_Booking_Report!I:I, MATCH(TRUE, ISNUMBER(FIND(SUBSTITUTE(C397," ",""), Disch_Booking_Report!AC:AC)), 0)), "Not Found")</f>
        <v/>
      </c>
    </row>
    <row r="398">
      <c r="A398" t="n">
        <v>30</v>
      </c>
      <c r="B398" t="n">
        <v>300782</v>
      </c>
      <c r="C398" t="inlineStr">
        <is>
          <t xml:space="preserve">     ANON0000000</t>
        </is>
      </c>
      <c r="D398" t="n">
        <v>40</v>
      </c>
      <c r="E398" t="inlineStr">
        <is>
          <t>RULED</t>
        </is>
      </c>
      <c r="F398" t="inlineStr">
        <is>
          <t>USHOU</t>
        </is>
      </c>
      <c r="G398" t="n">
        <v>31790</v>
      </c>
      <c r="H398" t="inlineStr">
        <is>
          <t>ART</t>
        </is>
      </c>
      <c r="I398" t="inlineStr">
        <is>
          <t>45G1</t>
        </is>
      </c>
      <c r="L398" t="inlineStr">
        <is>
          <t>9'6</t>
        </is>
      </c>
      <c r="M398" t="inlineStr">
        <is>
          <t>Full</t>
        </is>
      </c>
      <c r="P398">
        <f t="array" ref="P398">IFERROR(INDEX(Disch_Booking_Report!B:B, MATCH(TRUE, ISNUMBER(FIND(SUBSTITUTE(C398," ",""), Disch_Booking_Report!AC:AC)), 0)), "Not Found")</f>
        <v/>
      </c>
      <c r="Q398">
        <f t="array" ref="Q398">IFERROR(INDEX(Disch_Booking_Report!C:C, MATCH(TRUE, ISNUMBER(FIND(SUBSTITUTE(C398," ",""), Disch_Booking_Report!AC:AC)), 0)), "Not Found")</f>
        <v/>
      </c>
      <c r="R398">
        <f t="array" ref="R398">IFERROR(INDEX(Disch_Booking_Report!AD:AD, MATCH(TRUE, ISNUMBER(FIND(SUBSTITUTE(C398," ",""), Disch_Booking_Report!AC:AC)), 0)), "Not Found")</f>
        <v/>
      </c>
      <c r="S398">
        <f>Tabela2[[#This Row],[Weight]]</f>
        <v/>
      </c>
      <c r="T398">
        <f t="array" ref="T398">IFERROR(INDEX(Disch_Booking_Report!L:L, MATCH(TRUE, ISNUMBER(FIND(SUBSTITUTE(C398," ",""), Disch_Booking_Report!AC:AC)), 0)), "Not Found")</f>
        <v/>
      </c>
      <c r="U398">
        <f t="array" ref="U398">IFERROR(INDEX(Disch_Booking_Report!I:I, MATCH(TRUE, ISNUMBER(FIND(SUBSTITUTE(C398," ",""), Disch_Booking_Report!AC:AC)), 0)), "Not Found")</f>
        <v/>
      </c>
    </row>
    <row r="399">
      <c r="A399" t="n">
        <v>30</v>
      </c>
      <c r="B399" t="n">
        <v>300704</v>
      </c>
      <c r="C399" t="inlineStr">
        <is>
          <t xml:space="preserve">     ANON0000000</t>
        </is>
      </c>
      <c r="D399" t="n">
        <v>40</v>
      </c>
      <c r="E399" t="inlineStr">
        <is>
          <t>RULED</t>
        </is>
      </c>
      <c r="F399" t="inlineStr">
        <is>
          <t>USHOU</t>
        </is>
      </c>
      <c r="G399" t="n">
        <v>31790</v>
      </c>
      <c r="H399" t="inlineStr">
        <is>
          <t>ART</t>
        </is>
      </c>
      <c r="I399" t="inlineStr">
        <is>
          <t>45G1</t>
        </is>
      </c>
      <c r="L399" t="inlineStr">
        <is>
          <t>9'6</t>
        </is>
      </c>
      <c r="M399" t="inlineStr">
        <is>
          <t>Full</t>
        </is>
      </c>
      <c r="P399">
        <f t="array" ref="P399">IFERROR(INDEX(Disch_Booking_Report!B:B, MATCH(TRUE, ISNUMBER(FIND(SUBSTITUTE(C399," ",""), Disch_Booking_Report!AC:AC)), 0)), "Not Found")</f>
        <v/>
      </c>
      <c r="Q399">
        <f t="array" ref="Q399">IFERROR(INDEX(Disch_Booking_Report!C:C, MATCH(TRUE, ISNUMBER(FIND(SUBSTITUTE(C399," ",""), Disch_Booking_Report!AC:AC)), 0)), "Not Found")</f>
        <v/>
      </c>
      <c r="R399">
        <f t="array" ref="R399">IFERROR(INDEX(Disch_Booking_Report!AD:AD, MATCH(TRUE, ISNUMBER(FIND(SUBSTITUTE(C399," ",""), Disch_Booking_Report!AC:AC)), 0)), "Not Found")</f>
        <v/>
      </c>
      <c r="S399">
        <f>Tabela2[[#This Row],[Weight]]</f>
        <v/>
      </c>
      <c r="T399">
        <f t="array" ref="T399">IFERROR(INDEX(Disch_Booking_Report!L:L, MATCH(TRUE, ISNUMBER(FIND(SUBSTITUTE(C399," ",""), Disch_Booking_Report!AC:AC)), 0)), "Not Found")</f>
        <v/>
      </c>
      <c r="U399">
        <f t="array" ref="U399">IFERROR(INDEX(Disch_Booking_Report!I:I, MATCH(TRUE, ISNUMBER(FIND(SUBSTITUTE(C399," ",""), Disch_Booking_Report!AC:AC)), 0)), "Not Found")</f>
        <v/>
      </c>
    </row>
    <row r="400">
      <c r="A400" t="n">
        <v>30</v>
      </c>
      <c r="B400" t="n">
        <v>300208</v>
      </c>
      <c r="C400" t="inlineStr">
        <is>
          <t xml:space="preserve">     ANON0000000</t>
        </is>
      </c>
      <c r="D400" t="n">
        <v>40</v>
      </c>
      <c r="E400" t="inlineStr">
        <is>
          <t>RULED</t>
        </is>
      </c>
      <c r="F400" t="inlineStr">
        <is>
          <t>USHOU</t>
        </is>
      </c>
      <c r="G400" t="n">
        <v>31790</v>
      </c>
      <c r="H400" t="inlineStr">
        <is>
          <t>ART</t>
        </is>
      </c>
      <c r="I400" t="inlineStr">
        <is>
          <t>45G1</t>
        </is>
      </c>
      <c r="L400" t="inlineStr">
        <is>
          <t>9'6</t>
        </is>
      </c>
      <c r="M400" t="inlineStr">
        <is>
          <t>Full</t>
        </is>
      </c>
      <c r="P400">
        <f t="array" ref="P400">IFERROR(INDEX(Disch_Booking_Report!B:B, MATCH(TRUE, ISNUMBER(FIND(SUBSTITUTE(C400," ",""), Disch_Booking_Report!AC:AC)), 0)), "Not Found")</f>
        <v/>
      </c>
      <c r="Q400">
        <f t="array" ref="Q400">IFERROR(INDEX(Disch_Booking_Report!C:C, MATCH(TRUE, ISNUMBER(FIND(SUBSTITUTE(C400," ",""), Disch_Booking_Report!AC:AC)), 0)), "Not Found")</f>
        <v/>
      </c>
      <c r="R400">
        <f t="array" ref="R400">IFERROR(INDEX(Disch_Booking_Report!AD:AD, MATCH(TRUE, ISNUMBER(FIND(SUBSTITUTE(C400," ",""), Disch_Booking_Report!AC:AC)), 0)), "Not Found")</f>
        <v/>
      </c>
      <c r="S400">
        <f>Tabela2[[#This Row],[Weight]]</f>
        <v/>
      </c>
      <c r="T400">
        <f t="array" ref="T400">IFERROR(INDEX(Disch_Booking_Report!L:L, MATCH(TRUE, ISNUMBER(FIND(SUBSTITUTE(C400," ",""), Disch_Booking_Report!AC:AC)), 0)), "Not Found")</f>
        <v/>
      </c>
      <c r="U400">
        <f t="array" ref="U400">IFERROR(INDEX(Disch_Booking_Report!I:I, MATCH(TRUE, ISNUMBER(FIND(SUBSTITUTE(C400," ",""), Disch_Booking_Report!AC:AC)), 0)), "Not Found")</f>
        <v/>
      </c>
    </row>
    <row r="401">
      <c r="A401" t="n">
        <v>30</v>
      </c>
      <c r="B401" t="n">
        <v>301084</v>
      </c>
      <c r="C401" t="inlineStr">
        <is>
          <t xml:space="preserve">     ANON0000000</t>
        </is>
      </c>
      <c r="D401" t="n">
        <v>40</v>
      </c>
      <c r="E401" t="inlineStr">
        <is>
          <t>RULED</t>
        </is>
      </c>
      <c r="F401" t="inlineStr">
        <is>
          <t>USNYC</t>
        </is>
      </c>
      <c r="G401" t="n">
        <v>34040</v>
      </c>
      <c r="H401" t="inlineStr">
        <is>
          <t>ART</t>
        </is>
      </c>
      <c r="I401" t="inlineStr">
        <is>
          <t>45R1</t>
        </is>
      </c>
      <c r="K401" t="inlineStr">
        <is>
          <t>Dry reefer</t>
        </is>
      </c>
      <c r="L401" t="inlineStr">
        <is>
          <t>9'6</t>
        </is>
      </c>
      <c r="M401" t="inlineStr">
        <is>
          <t>Full</t>
        </is>
      </c>
      <c r="P401">
        <f t="array" ref="P401">IFERROR(INDEX(Disch_Booking_Report!B:B, MATCH(TRUE, ISNUMBER(FIND(SUBSTITUTE(C401," ",""), Disch_Booking_Report!AC:AC)), 0)), "Not Found")</f>
        <v/>
      </c>
      <c r="Q401">
        <f t="array" ref="Q401">IFERROR(INDEX(Disch_Booking_Report!C:C, MATCH(TRUE, ISNUMBER(FIND(SUBSTITUTE(C401," ",""), Disch_Booking_Report!AC:AC)), 0)), "Not Found")</f>
        <v/>
      </c>
      <c r="R401">
        <f t="array" ref="R401">IFERROR(INDEX(Disch_Booking_Report!AD:AD, MATCH(TRUE, ISNUMBER(FIND(SUBSTITUTE(C401," ",""), Disch_Booking_Report!AC:AC)), 0)), "Not Found")</f>
        <v/>
      </c>
      <c r="S401">
        <f>Tabela2[[#This Row],[Weight]]</f>
        <v/>
      </c>
      <c r="T401">
        <f t="array" ref="T401">IFERROR(INDEX(Disch_Booking_Report!L:L, MATCH(TRUE, ISNUMBER(FIND(SUBSTITUTE(C401," ",""), Disch_Booking_Report!AC:AC)), 0)), "Not Found")</f>
        <v/>
      </c>
      <c r="U401">
        <f t="array" ref="U401">IFERROR(INDEX(Disch_Booking_Report!I:I, MATCH(TRUE, ISNUMBER(FIND(SUBSTITUTE(C401," ",""), Disch_Booking_Report!AC:AC)), 0)), "Not Found")</f>
        <v/>
      </c>
    </row>
    <row r="402">
      <c r="A402" t="n">
        <v>30</v>
      </c>
      <c r="B402" t="n">
        <v>300806</v>
      </c>
      <c r="C402" t="inlineStr">
        <is>
          <t xml:space="preserve">     ANON0000000</t>
        </is>
      </c>
      <c r="D402" t="n">
        <v>40</v>
      </c>
      <c r="E402" t="inlineStr">
        <is>
          <t>RULED</t>
        </is>
      </c>
      <c r="F402" t="inlineStr">
        <is>
          <t>USHOU</t>
        </is>
      </c>
      <c r="G402" t="n">
        <v>31970</v>
      </c>
      <c r="H402" t="inlineStr">
        <is>
          <t>ART</t>
        </is>
      </c>
      <c r="I402" t="inlineStr">
        <is>
          <t>45G1</t>
        </is>
      </c>
      <c r="L402" t="inlineStr">
        <is>
          <t>9'6</t>
        </is>
      </c>
      <c r="M402" t="inlineStr">
        <is>
          <t>Full</t>
        </is>
      </c>
      <c r="P402">
        <f t="array" ref="P402">IFERROR(INDEX(Disch_Booking_Report!B:B, MATCH(TRUE, ISNUMBER(FIND(SUBSTITUTE(C402," ",""), Disch_Booking_Report!AC:AC)), 0)), "Not Found")</f>
        <v/>
      </c>
      <c r="Q402">
        <f t="array" ref="Q402">IFERROR(INDEX(Disch_Booking_Report!C:C, MATCH(TRUE, ISNUMBER(FIND(SUBSTITUTE(C402," ",""), Disch_Booking_Report!AC:AC)), 0)), "Not Found")</f>
        <v/>
      </c>
      <c r="R402">
        <f t="array" ref="R402">IFERROR(INDEX(Disch_Booking_Report!AD:AD, MATCH(TRUE, ISNUMBER(FIND(SUBSTITUTE(C402," ",""), Disch_Booking_Report!AC:AC)), 0)), "Not Found")</f>
        <v/>
      </c>
      <c r="S402">
        <f>Tabela2[[#This Row],[Weight]]</f>
        <v/>
      </c>
      <c r="T402">
        <f t="array" ref="T402">IFERROR(INDEX(Disch_Booking_Report!L:L, MATCH(TRUE, ISNUMBER(FIND(SUBSTITUTE(C402," ",""), Disch_Booking_Report!AC:AC)), 0)), "Not Found")</f>
        <v/>
      </c>
      <c r="U402">
        <f t="array" ref="U402">IFERROR(INDEX(Disch_Booking_Report!I:I, MATCH(TRUE, ISNUMBER(FIND(SUBSTITUTE(C402," ",""), Disch_Booking_Report!AC:AC)), 0)), "Not Found")</f>
        <v/>
      </c>
    </row>
    <row r="403">
      <c r="A403" t="n">
        <v>30</v>
      </c>
      <c r="B403" t="n">
        <v>300584</v>
      </c>
      <c r="C403" t="inlineStr">
        <is>
          <t xml:space="preserve">     ANON0000000</t>
        </is>
      </c>
      <c r="D403" t="n">
        <v>40</v>
      </c>
      <c r="E403" t="inlineStr">
        <is>
          <t>RULED</t>
        </is>
      </c>
      <c r="F403" t="inlineStr">
        <is>
          <t>USHOU</t>
        </is>
      </c>
      <c r="G403" t="n">
        <v>31860</v>
      </c>
      <c r="H403" t="inlineStr">
        <is>
          <t>ART</t>
        </is>
      </c>
      <c r="I403" t="inlineStr">
        <is>
          <t>45G1</t>
        </is>
      </c>
      <c r="L403" t="inlineStr">
        <is>
          <t>9'6</t>
        </is>
      </c>
      <c r="M403" t="inlineStr">
        <is>
          <t>Full</t>
        </is>
      </c>
      <c r="P403">
        <f t="array" ref="P403">IFERROR(INDEX(Disch_Booking_Report!B:B, MATCH(TRUE, ISNUMBER(FIND(SUBSTITUTE(C403," ",""), Disch_Booking_Report!AC:AC)), 0)), "Not Found")</f>
        <v/>
      </c>
      <c r="Q403">
        <f t="array" ref="Q403">IFERROR(INDEX(Disch_Booking_Report!C:C, MATCH(TRUE, ISNUMBER(FIND(SUBSTITUTE(C403," ",""), Disch_Booking_Report!AC:AC)), 0)), "Not Found")</f>
        <v/>
      </c>
      <c r="R403">
        <f t="array" ref="R403">IFERROR(INDEX(Disch_Booking_Report!AD:AD, MATCH(TRUE, ISNUMBER(FIND(SUBSTITUTE(C403," ",""), Disch_Booking_Report!AC:AC)), 0)), "Not Found")</f>
        <v/>
      </c>
      <c r="S403">
        <f>Tabela2[[#This Row],[Weight]]</f>
        <v/>
      </c>
      <c r="T403">
        <f t="array" ref="T403">IFERROR(INDEX(Disch_Booking_Report!L:L, MATCH(TRUE, ISNUMBER(FIND(SUBSTITUTE(C403," ",""), Disch_Booking_Report!AC:AC)), 0)), "Not Found")</f>
        <v/>
      </c>
      <c r="U403">
        <f t="array" ref="U403">IFERROR(INDEX(Disch_Booking_Report!I:I, MATCH(TRUE, ISNUMBER(FIND(SUBSTITUTE(C403," ",""), Disch_Booking_Report!AC:AC)), 0)), "Not Found")</f>
        <v/>
      </c>
    </row>
    <row r="404">
      <c r="A404" t="n">
        <v>30</v>
      </c>
      <c r="B404" t="n">
        <v>300982</v>
      </c>
      <c r="C404" t="inlineStr">
        <is>
          <t xml:space="preserve">     ANON0000000</t>
        </is>
      </c>
      <c r="D404" t="n">
        <v>40</v>
      </c>
      <c r="E404" t="inlineStr">
        <is>
          <t>RULED</t>
        </is>
      </c>
      <c r="F404" t="inlineStr">
        <is>
          <t>USNYC</t>
        </is>
      </c>
      <c r="G404" t="n">
        <v>34020</v>
      </c>
      <c r="H404" t="inlineStr">
        <is>
          <t>ART</t>
        </is>
      </c>
      <c r="I404" t="inlineStr">
        <is>
          <t>45R1</t>
        </is>
      </c>
      <c r="K404" t="inlineStr">
        <is>
          <t>Dry reefer</t>
        </is>
      </c>
      <c r="L404" t="inlineStr">
        <is>
          <t>9'6</t>
        </is>
      </c>
      <c r="M404" t="inlineStr">
        <is>
          <t>Full</t>
        </is>
      </c>
      <c r="P404">
        <f t="array" ref="P404">IFERROR(INDEX(Disch_Booking_Report!B:B, MATCH(TRUE, ISNUMBER(FIND(SUBSTITUTE(C404," ",""), Disch_Booking_Report!AC:AC)), 0)), "Not Found")</f>
        <v/>
      </c>
      <c r="Q404">
        <f t="array" ref="Q404">IFERROR(INDEX(Disch_Booking_Report!C:C, MATCH(TRUE, ISNUMBER(FIND(SUBSTITUTE(C404," ",""), Disch_Booking_Report!AC:AC)), 0)), "Not Found")</f>
        <v/>
      </c>
      <c r="R404">
        <f t="array" ref="R404">IFERROR(INDEX(Disch_Booking_Report!AD:AD, MATCH(TRUE, ISNUMBER(FIND(SUBSTITUTE(C404," ",""), Disch_Booking_Report!AC:AC)), 0)), "Not Found")</f>
        <v/>
      </c>
      <c r="S404">
        <f>Tabela2[[#This Row],[Weight]]</f>
        <v/>
      </c>
      <c r="T404">
        <f t="array" ref="T404">IFERROR(INDEX(Disch_Booking_Report!L:L, MATCH(TRUE, ISNUMBER(FIND(SUBSTITUTE(C404," ",""), Disch_Booking_Report!AC:AC)), 0)), "Not Found")</f>
        <v/>
      </c>
      <c r="U404">
        <f t="array" ref="U404">IFERROR(INDEX(Disch_Booking_Report!I:I, MATCH(TRUE, ISNUMBER(FIND(SUBSTITUTE(C404," ",""), Disch_Booking_Report!AC:AC)), 0)), "Not Found")</f>
        <v/>
      </c>
    </row>
    <row r="405">
      <c r="A405" t="n">
        <v>30</v>
      </c>
      <c r="B405" t="n">
        <v>300204</v>
      </c>
      <c r="C405" t="inlineStr">
        <is>
          <t xml:space="preserve">     ANON0000000</t>
        </is>
      </c>
      <c r="D405" t="n">
        <v>40</v>
      </c>
      <c r="E405" t="inlineStr">
        <is>
          <t>RULED</t>
        </is>
      </c>
      <c r="F405" t="inlineStr">
        <is>
          <t>USHOU</t>
        </is>
      </c>
      <c r="G405" t="n">
        <v>31790</v>
      </c>
      <c r="H405" t="inlineStr">
        <is>
          <t>ART</t>
        </is>
      </c>
      <c r="I405" t="inlineStr">
        <is>
          <t>45G1</t>
        </is>
      </c>
      <c r="L405" t="inlineStr">
        <is>
          <t>9'6</t>
        </is>
      </c>
      <c r="M405" t="inlineStr">
        <is>
          <t>Full</t>
        </is>
      </c>
      <c r="P405">
        <f t="array" ref="P405">IFERROR(INDEX(Disch_Booking_Report!B:B, MATCH(TRUE, ISNUMBER(FIND(SUBSTITUTE(C405," ",""), Disch_Booking_Report!AC:AC)), 0)), "Not Found")</f>
        <v/>
      </c>
      <c r="Q405">
        <f t="array" ref="Q405">IFERROR(INDEX(Disch_Booking_Report!C:C, MATCH(TRUE, ISNUMBER(FIND(SUBSTITUTE(C405," ",""), Disch_Booking_Report!AC:AC)), 0)), "Not Found")</f>
        <v/>
      </c>
      <c r="R405">
        <f t="array" ref="R405">IFERROR(INDEX(Disch_Booking_Report!AD:AD, MATCH(TRUE, ISNUMBER(FIND(SUBSTITUTE(C405," ",""), Disch_Booking_Report!AC:AC)), 0)), "Not Found")</f>
        <v/>
      </c>
      <c r="S405">
        <f>Tabela2[[#This Row],[Weight]]</f>
        <v/>
      </c>
      <c r="T405">
        <f t="array" ref="T405">IFERROR(INDEX(Disch_Booking_Report!L:L, MATCH(TRUE, ISNUMBER(FIND(SUBSTITUTE(C405," ",""), Disch_Booking_Report!AC:AC)), 0)), "Not Found")</f>
        <v/>
      </c>
      <c r="U405">
        <f t="array" ref="U405">IFERROR(INDEX(Disch_Booking_Report!I:I, MATCH(TRUE, ISNUMBER(FIND(SUBSTITUTE(C405," ",""), Disch_Booking_Report!AC:AC)), 0)), "Not Found")</f>
        <v/>
      </c>
    </row>
    <row r="406">
      <c r="A406" t="n">
        <v>30</v>
      </c>
      <c r="B406" t="n">
        <v>300184</v>
      </c>
      <c r="C406" t="inlineStr">
        <is>
          <t xml:space="preserve">     ANON0000000</t>
        </is>
      </c>
      <c r="D406" t="n">
        <v>40</v>
      </c>
      <c r="E406" t="inlineStr">
        <is>
          <t>RULED</t>
        </is>
      </c>
      <c r="F406" t="inlineStr">
        <is>
          <t>USHOU</t>
        </is>
      </c>
      <c r="G406" t="n">
        <v>31790</v>
      </c>
      <c r="H406" t="inlineStr">
        <is>
          <t>ART</t>
        </is>
      </c>
      <c r="I406" t="inlineStr">
        <is>
          <t>45G1</t>
        </is>
      </c>
      <c r="L406" t="inlineStr">
        <is>
          <t>9'6</t>
        </is>
      </c>
      <c r="M406" t="inlineStr">
        <is>
          <t>Full</t>
        </is>
      </c>
      <c r="P406">
        <f t="array" ref="P406">IFERROR(INDEX(Disch_Booking_Report!B:B, MATCH(TRUE, ISNUMBER(FIND(SUBSTITUTE(C406," ",""), Disch_Booking_Report!AC:AC)), 0)), "Not Found")</f>
        <v/>
      </c>
      <c r="Q406">
        <f t="array" ref="Q406">IFERROR(INDEX(Disch_Booking_Report!C:C, MATCH(TRUE, ISNUMBER(FIND(SUBSTITUTE(C406," ",""), Disch_Booking_Report!AC:AC)), 0)), "Not Found")</f>
        <v/>
      </c>
      <c r="R406">
        <f t="array" ref="R406">IFERROR(INDEX(Disch_Booking_Report!AD:AD, MATCH(TRUE, ISNUMBER(FIND(SUBSTITUTE(C406," ",""), Disch_Booking_Report!AC:AC)), 0)), "Not Found")</f>
        <v/>
      </c>
      <c r="S406">
        <f>Tabela2[[#This Row],[Weight]]</f>
        <v/>
      </c>
      <c r="T406">
        <f t="array" ref="T406">IFERROR(INDEX(Disch_Booking_Report!L:L, MATCH(TRUE, ISNUMBER(FIND(SUBSTITUTE(C406," ",""), Disch_Booking_Report!AC:AC)), 0)), "Not Found")</f>
        <v/>
      </c>
      <c r="U406">
        <f t="array" ref="U406">IFERROR(INDEX(Disch_Booking_Report!I:I, MATCH(TRUE, ISNUMBER(FIND(SUBSTITUTE(C406," ",""), Disch_Booking_Report!AC:AC)), 0)), "Not Found")</f>
        <v/>
      </c>
    </row>
    <row r="407">
      <c r="A407" t="n">
        <v>30</v>
      </c>
      <c r="B407" t="n">
        <v>300084</v>
      </c>
      <c r="C407" t="inlineStr">
        <is>
          <t xml:space="preserve">     ANON0000000</t>
        </is>
      </c>
      <c r="D407" t="n">
        <v>40</v>
      </c>
      <c r="E407" t="inlineStr">
        <is>
          <t>RULED</t>
        </is>
      </c>
      <c r="F407" t="inlineStr">
        <is>
          <t>USHOU</t>
        </is>
      </c>
      <c r="G407" t="n">
        <v>31790</v>
      </c>
      <c r="H407" t="inlineStr">
        <is>
          <t>ART</t>
        </is>
      </c>
      <c r="I407" t="inlineStr">
        <is>
          <t>45G1</t>
        </is>
      </c>
      <c r="L407" t="inlineStr">
        <is>
          <t>9'6</t>
        </is>
      </c>
      <c r="M407" t="inlineStr">
        <is>
          <t>Full</t>
        </is>
      </c>
      <c r="P407">
        <f t="array" ref="P407">IFERROR(INDEX(Disch_Booking_Report!B:B, MATCH(TRUE, ISNUMBER(FIND(SUBSTITUTE(C407," ",""), Disch_Booking_Report!AC:AC)), 0)), "Not Found")</f>
        <v/>
      </c>
      <c r="Q407">
        <f t="array" ref="Q407">IFERROR(INDEX(Disch_Booking_Report!C:C, MATCH(TRUE, ISNUMBER(FIND(SUBSTITUTE(C407," ",""), Disch_Booking_Report!AC:AC)), 0)), "Not Found")</f>
        <v/>
      </c>
      <c r="R407">
        <f t="array" ref="R407">IFERROR(INDEX(Disch_Booking_Report!AD:AD, MATCH(TRUE, ISNUMBER(FIND(SUBSTITUTE(C407," ",""), Disch_Booking_Report!AC:AC)), 0)), "Not Found")</f>
        <v/>
      </c>
      <c r="S407">
        <f>Tabela2[[#This Row],[Weight]]</f>
        <v/>
      </c>
      <c r="T407">
        <f t="array" ref="T407">IFERROR(INDEX(Disch_Booking_Report!L:L, MATCH(TRUE, ISNUMBER(FIND(SUBSTITUTE(C407," ",""), Disch_Booking_Report!AC:AC)), 0)), "Not Found")</f>
        <v/>
      </c>
      <c r="U407">
        <f t="array" ref="U407">IFERROR(INDEX(Disch_Booking_Report!I:I, MATCH(TRUE, ISNUMBER(FIND(SUBSTITUTE(C407," ",""), Disch_Booking_Report!AC:AC)), 0)), "Not Found")</f>
        <v/>
      </c>
    </row>
    <row r="408">
      <c r="A408" t="n">
        <v>30</v>
      </c>
      <c r="B408" t="n">
        <v>300406</v>
      </c>
      <c r="C408" t="inlineStr">
        <is>
          <t xml:space="preserve">     ANON0000000</t>
        </is>
      </c>
      <c r="D408" t="n">
        <v>40</v>
      </c>
      <c r="E408" t="inlineStr">
        <is>
          <t>RULED</t>
        </is>
      </c>
      <c r="F408" t="inlineStr">
        <is>
          <t>USHOU</t>
        </is>
      </c>
      <c r="G408" t="n">
        <v>31790</v>
      </c>
      <c r="H408" t="inlineStr">
        <is>
          <t>ART</t>
        </is>
      </c>
      <c r="I408" t="inlineStr">
        <is>
          <t>45G1</t>
        </is>
      </c>
      <c r="L408" t="inlineStr">
        <is>
          <t>9'6</t>
        </is>
      </c>
      <c r="M408" t="inlineStr">
        <is>
          <t>Full</t>
        </is>
      </c>
      <c r="P408">
        <f t="array" ref="P408">IFERROR(INDEX(Disch_Booking_Report!B:B, MATCH(TRUE, ISNUMBER(FIND(SUBSTITUTE(C408," ",""), Disch_Booking_Report!AC:AC)), 0)), "Not Found")</f>
        <v/>
      </c>
      <c r="Q408">
        <f t="array" ref="Q408">IFERROR(INDEX(Disch_Booking_Report!C:C, MATCH(TRUE, ISNUMBER(FIND(SUBSTITUTE(C408," ",""), Disch_Booking_Report!AC:AC)), 0)), "Not Found")</f>
        <v/>
      </c>
      <c r="R408">
        <f t="array" ref="R408">IFERROR(INDEX(Disch_Booking_Report!AD:AD, MATCH(TRUE, ISNUMBER(FIND(SUBSTITUTE(C408," ",""), Disch_Booking_Report!AC:AC)), 0)), "Not Found")</f>
        <v/>
      </c>
      <c r="S408">
        <f>Tabela2[[#This Row],[Weight]]</f>
        <v/>
      </c>
      <c r="T408">
        <f t="array" ref="T408">IFERROR(INDEX(Disch_Booking_Report!L:L, MATCH(TRUE, ISNUMBER(FIND(SUBSTITUTE(C408," ",""), Disch_Booking_Report!AC:AC)), 0)), "Not Found")</f>
        <v/>
      </c>
      <c r="U408">
        <f t="array" ref="U408">IFERROR(INDEX(Disch_Booking_Report!I:I, MATCH(TRUE, ISNUMBER(FIND(SUBSTITUTE(C408," ",""), Disch_Booking_Report!AC:AC)), 0)), "Not Found")</f>
        <v/>
      </c>
    </row>
    <row r="409">
      <c r="A409" t="n">
        <v>30</v>
      </c>
      <c r="B409" t="n">
        <v>300502</v>
      </c>
      <c r="C409" t="inlineStr">
        <is>
          <t xml:space="preserve">     ANON0000000</t>
        </is>
      </c>
      <c r="D409" t="n">
        <v>40</v>
      </c>
      <c r="E409" t="inlineStr">
        <is>
          <t>RULED</t>
        </is>
      </c>
      <c r="F409" t="inlineStr">
        <is>
          <t>USHOU</t>
        </is>
      </c>
      <c r="G409" t="n">
        <v>26040</v>
      </c>
      <c r="H409" t="inlineStr">
        <is>
          <t>ART</t>
        </is>
      </c>
      <c r="I409" t="inlineStr">
        <is>
          <t>45G1</t>
        </is>
      </c>
      <c r="L409" t="inlineStr">
        <is>
          <t>9'6</t>
        </is>
      </c>
      <c r="M409" t="inlineStr">
        <is>
          <t>Full</t>
        </is>
      </c>
      <c r="P409">
        <f t="array" ref="P409">IFERROR(INDEX(Disch_Booking_Report!B:B, MATCH(TRUE, ISNUMBER(FIND(SUBSTITUTE(C409," ",""), Disch_Booking_Report!AC:AC)), 0)), "Not Found")</f>
        <v/>
      </c>
      <c r="Q409">
        <f t="array" ref="Q409">IFERROR(INDEX(Disch_Booking_Report!C:C, MATCH(TRUE, ISNUMBER(FIND(SUBSTITUTE(C409," ",""), Disch_Booking_Report!AC:AC)), 0)), "Not Found")</f>
        <v/>
      </c>
      <c r="R409">
        <f t="array" ref="R409">IFERROR(INDEX(Disch_Booking_Report!AD:AD, MATCH(TRUE, ISNUMBER(FIND(SUBSTITUTE(C409," ",""), Disch_Booking_Report!AC:AC)), 0)), "Not Found")</f>
        <v/>
      </c>
      <c r="S409">
        <f>Tabela2[[#This Row],[Weight]]</f>
        <v/>
      </c>
      <c r="T409">
        <f t="array" ref="T409">IFERROR(INDEX(Disch_Booking_Report!L:L, MATCH(TRUE, ISNUMBER(FIND(SUBSTITUTE(C409," ",""), Disch_Booking_Report!AC:AC)), 0)), "Not Found")</f>
        <v/>
      </c>
      <c r="U409">
        <f t="array" ref="U409">IFERROR(INDEX(Disch_Booking_Report!I:I, MATCH(TRUE, ISNUMBER(FIND(SUBSTITUTE(C409," ",""), Disch_Booking_Report!AC:AC)), 0)), "Not Found")</f>
        <v/>
      </c>
    </row>
    <row r="410">
      <c r="A410" t="n">
        <v>30</v>
      </c>
      <c r="B410" t="n">
        <v>300302</v>
      </c>
      <c r="C410" t="inlineStr">
        <is>
          <t xml:space="preserve">     ANON0000000</t>
        </is>
      </c>
      <c r="D410" t="n">
        <v>40</v>
      </c>
      <c r="E410" t="inlineStr">
        <is>
          <t>RULED</t>
        </is>
      </c>
      <c r="F410" t="inlineStr">
        <is>
          <t>USHOU</t>
        </is>
      </c>
      <c r="G410" t="n">
        <v>26240</v>
      </c>
      <c r="H410" t="inlineStr">
        <is>
          <t>ART</t>
        </is>
      </c>
      <c r="I410" t="inlineStr">
        <is>
          <t>45G1</t>
        </is>
      </c>
      <c r="L410" t="inlineStr">
        <is>
          <t>9'6</t>
        </is>
      </c>
      <c r="M410" t="inlineStr">
        <is>
          <t>Full</t>
        </is>
      </c>
      <c r="P410">
        <f t="array" ref="P410">IFERROR(INDEX(Disch_Booking_Report!B:B, MATCH(TRUE, ISNUMBER(FIND(SUBSTITUTE(C410," ",""), Disch_Booking_Report!AC:AC)), 0)), "Not Found")</f>
        <v/>
      </c>
      <c r="Q410">
        <f t="array" ref="Q410">IFERROR(INDEX(Disch_Booking_Report!C:C, MATCH(TRUE, ISNUMBER(FIND(SUBSTITUTE(C410," ",""), Disch_Booking_Report!AC:AC)), 0)), "Not Found")</f>
        <v/>
      </c>
      <c r="R410">
        <f t="array" ref="R410">IFERROR(INDEX(Disch_Booking_Report!AD:AD, MATCH(TRUE, ISNUMBER(FIND(SUBSTITUTE(C410," ",""), Disch_Booking_Report!AC:AC)), 0)), "Not Found")</f>
        <v/>
      </c>
      <c r="S410">
        <f>Tabela2[[#This Row],[Weight]]</f>
        <v/>
      </c>
      <c r="T410">
        <f t="array" ref="T410">IFERROR(INDEX(Disch_Booking_Report!L:L, MATCH(TRUE, ISNUMBER(FIND(SUBSTITUTE(C410," ",""), Disch_Booking_Report!AC:AC)), 0)), "Not Found")</f>
        <v/>
      </c>
      <c r="U410">
        <f t="array" ref="U410">IFERROR(INDEX(Disch_Booking_Report!I:I, MATCH(TRUE, ISNUMBER(FIND(SUBSTITUTE(C410," ",""), Disch_Booking_Report!AC:AC)), 0)), "Not Found")</f>
        <v/>
      </c>
    </row>
    <row r="411">
      <c r="A411" t="n">
        <v>30</v>
      </c>
      <c r="B411" t="n">
        <v>300404</v>
      </c>
      <c r="C411" t="inlineStr">
        <is>
          <t xml:space="preserve">     ANON0000000</t>
        </is>
      </c>
      <c r="D411" t="n">
        <v>40</v>
      </c>
      <c r="E411" t="inlineStr">
        <is>
          <t>RULED</t>
        </is>
      </c>
      <c r="F411" t="inlineStr">
        <is>
          <t>USHOU</t>
        </is>
      </c>
      <c r="G411" t="n">
        <v>29430</v>
      </c>
      <c r="H411" t="inlineStr">
        <is>
          <t>ART</t>
        </is>
      </c>
      <c r="I411" t="inlineStr">
        <is>
          <t>45G1</t>
        </is>
      </c>
      <c r="L411" t="inlineStr">
        <is>
          <t>9'6</t>
        </is>
      </c>
      <c r="M411" t="inlineStr">
        <is>
          <t>Full</t>
        </is>
      </c>
      <c r="P411">
        <f t="array" ref="P411">IFERROR(INDEX(Disch_Booking_Report!B:B, MATCH(TRUE, ISNUMBER(FIND(SUBSTITUTE(C411," ",""), Disch_Booking_Report!AC:AC)), 0)), "Not Found")</f>
        <v/>
      </c>
      <c r="Q411">
        <f t="array" ref="Q411">IFERROR(INDEX(Disch_Booking_Report!C:C, MATCH(TRUE, ISNUMBER(FIND(SUBSTITUTE(C411," ",""), Disch_Booking_Report!AC:AC)), 0)), "Not Found")</f>
        <v/>
      </c>
      <c r="R411">
        <f t="array" ref="R411">IFERROR(INDEX(Disch_Booking_Report!AD:AD, MATCH(TRUE, ISNUMBER(FIND(SUBSTITUTE(C411," ",""), Disch_Booking_Report!AC:AC)), 0)), "Not Found")</f>
        <v/>
      </c>
      <c r="S411">
        <f>Tabela2[[#This Row],[Weight]]</f>
        <v/>
      </c>
      <c r="T411">
        <f t="array" ref="T411">IFERROR(INDEX(Disch_Booking_Report!L:L, MATCH(TRUE, ISNUMBER(FIND(SUBSTITUTE(C411," ",""), Disch_Booking_Report!AC:AC)), 0)), "Not Found")</f>
        <v/>
      </c>
      <c r="U411">
        <f t="array" ref="U411">IFERROR(INDEX(Disch_Booking_Report!I:I, MATCH(TRUE, ISNUMBER(FIND(SUBSTITUTE(C411," ",""), Disch_Booking_Report!AC:AC)), 0)), "Not Found")</f>
        <v/>
      </c>
    </row>
    <row r="412">
      <c r="A412" t="n">
        <v>30</v>
      </c>
      <c r="B412" t="n">
        <v>300784</v>
      </c>
      <c r="C412" t="inlineStr">
        <is>
          <t xml:space="preserve">     ANON0000000</t>
        </is>
      </c>
      <c r="D412" t="n">
        <v>40</v>
      </c>
      <c r="E412" t="inlineStr">
        <is>
          <t>RULED</t>
        </is>
      </c>
      <c r="F412" t="inlineStr">
        <is>
          <t>USHOU</t>
        </is>
      </c>
      <c r="G412" t="n">
        <v>31950</v>
      </c>
      <c r="H412" t="inlineStr">
        <is>
          <t>ART</t>
        </is>
      </c>
      <c r="I412" t="inlineStr">
        <is>
          <t>45G1</t>
        </is>
      </c>
      <c r="L412" t="inlineStr">
        <is>
          <t>9'6</t>
        </is>
      </c>
      <c r="M412" t="inlineStr">
        <is>
          <t>Full</t>
        </is>
      </c>
      <c r="P412">
        <f t="array" ref="P412">IFERROR(INDEX(Disch_Booking_Report!B:B, MATCH(TRUE, ISNUMBER(FIND(SUBSTITUTE(C412," ",""), Disch_Booking_Report!AC:AC)), 0)), "Not Found")</f>
        <v/>
      </c>
      <c r="Q412">
        <f t="array" ref="Q412">IFERROR(INDEX(Disch_Booking_Report!C:C, MATCH(TRUE, ISNUMBER(FIND(SUBSTITUTE(C412," ",""), Disch_Booking_Report!AC:AC)), 0)), "Not Found")</f>
        <v/>
      </c>
      <c r="R412">
        <f t="array" ref="R412">IFERROR(INDEX(Disch_Booking_Report!AD:AD, MATCH(TRUE, ISNUMBER(FIND(SUBSTITUTE(C412," ",""), Disch_Booking_Report!AC:AC)), 0)), "Not Found")</f>
        <v/>
      </c>
      <c r="S412">
        <f>Tabela2[[#This Row],[Weight]]</f>
        <v/>
      </c>
      <c r="T412">
        <f t="array" ref="T412">IFERROR(INDEX(Disch_Booking_Report!L:L, MATCH(TRUE, ISNUMBER(FIND(SUBSTITUTE(C412," ",""), Disch_Booking_Report!AC:AC)), 0)), "Not Found")</f>
        <v/>
      </c>
      <c r="U412">
        <f t="array" ref="U412">IFERROR(INDEX(Disch_Booking_Report!I:I, MATCH(TRUE, ISNUMBER(FIND(SUBSTITUTE(C412," ",""), Disch_Booking_Report!AC:AC)), 0)), "Not Found")</f>
        <v/>
      </c>
    </row>
    <row r="413">
      <c r="A413" t="n">
        <v>30</v>
      </c>
      <c r="B413" t="n">
        <v>300202</v>
      </c>
      <c r="C413" t="inlineStr">
        <is>
          <t xml:space="preserve">     ANON0000000</t>
        </is>
      </c>
      <c r="D413" t="n">
        <v>40</v>
      </c>
      <c r="E413" t="inlineStr">
        <is>
          <t>RULED</t>
        </is>
      </c>
      <c r="F413" t="inlineStr">
        <is>
          <t>USHOU</t>
        </is>
      </c>
      <c r="G413" t="n">
        <v>30910</v>
      </c>
      <c r="H413" t="inlineStr">
        <is>
          <t>ART</t>
        </is>
      </c>
      <c r="I413" t="inlineStr">
        <is>
          <t>45R1</t>
        </is>
      </c>
      <c r="K413" t="inlineStr">
        <is>
          <t>Dry reefer</t>
        </is>
      </c>
      <c r="L413" t="inlineStr">
        <is>
          <t>9'6</t>
        </is>
      </c>
      <c r="M413" t="inlineStr">
        <is>
          <t>Full</t>
        </is>
      </c>
      <c r="P413">
        <f t="array" ref="P413">IFERROR(INDEX(Disch_Booking_Report!B:B, MATCH(TRUE, ISNUMBER(FIND(SUBSTITUTE(C413," ",""), Disch_Booking_Report!AC:AC)), 0)), "Not Found")</f>
        <v/>
      </c>
      <c r="Q413">
        <f t="array" ref="Q413">IFERROR(INDEX(Disch_Booking_Report!C:C, MATCH(TRUE, ISNUMBER(FIND(SUBSTITUTE(C413," ",""), Disch_Booking_Report!AC:AC)), 0)), "Not Found")</f>
        <v/>
      </c>
      <c r="R413">
        <f t="array" ref="R413">IFERROR(INDEX(Disch_Booking_Report!AD:AD, MATCH(TRUE, ISNUMBER(FIND(SUBSTITUTE(C413," ",""), Disch_Booking_Report!AC:AC)), 0)), "Not Found")</f>
        <v/>
      </c>
      <c r="S413">
        <f>Tabela2[[#This Row],[Weight]]</f>
        <v/>
      </c>
      <c r="T413">
        <f t="array" ref="T413">IFERROR(INDEX(Disch_Booking_Report!L:L, MATCH(TRUE, ISNUMBER(FIND(SUBSTITUTE(C413," ",""), Disch_Booking_Report!AC:AC)), 0)), "Not Found")</f>
        <v/>
      </c>
      <c r="U413">
        <f t="array" ref="U413">IFERROR(INDEX(Disch_Booking_Report!I:I, MATCH(TRUE, ISNUMBER(FIND(SUBSTITUTE(C413," ",""), Disch_Booking_Report!AC:AC)), 0)), "Not Found")</f>
        <v/>
      </c>
    </row>
    <row r="414">
      <c r="A414" t="n">
        <v>30</v>
      </c>
      <c r="B414" t="n">
        <v>300682</v>
      </c>
      <c r="C414" t="inlineStr">
        <is>
          <t xml:space="preserve">     ANON0000000</t>
        </is>
      </c>
      <c r="D414" t="n">
        <v>40</v>
      </c>
      <c r="E414" t="inlineStr">
        <is>
          <t>RULED</t>
        </is>
      </c>
      <c r="F414" t="inlineStr">
        <is>
          <t>USHOU</t>
        </is>
      </c>
      <c r="G414" t="n">
        <v>31990</v>
      </c>
      <c r="H414" t="inlineStr">
        <is>
          <t>ART</t>
        </is>
      </c>
      <c r="I414" t="inlineStr">
        <is>
          <t>45G1</t>
        </is>
      </c>
      <c r="L414" t="inlineStr">
        <is>
          <t>9'6</t>
        </is>
      </c>
      <c r="M414" t="inlineStr">
        <is>
          <t>Full</t>
        </is>
      </c>
      <c r="P414">
        <f t="array" ref="P414">IFERROR(INDEX(Disch_Booking_Report!B:B, MATCH(TRUE, ISNUMBER(FIND(SUBSTITUTE(C414," ",""), Disch_Booking_Report!AC:AC)), 0)), "Not Found")</f>
        <v/>
      </c>
      <c r="Q414">
        <f t="array" ref="Q414">IFERROR(INDEX(Disch_Booking_Report!C:C, MATCH(TRUE, ISNUMBER(FIND(SUBSTITUTE(C414," ",""), Disch_Booking_Report!AC:AC)), 0)), "Not Found")</f>
        <v/>
      </c>
      <c r="R414">
        <f t="array" ref="R414">IFERROR(INDEX(Disch_Booking_Report!AD:AD, MATCH(TRUE, ISNUMBER(FIND(SUBSTITUTE(C414," ",""), Disch_Booking_Report!AC:AC)), 0)), "Not Found")</f>
        <v/>
      </c>
      <c r="S414">
        <f>Tabela2[[#This Row],[Weight]]</f>
        <v/>
      </c>
      <c r="T414">
        <f t="array" ref="T414">IFERROR(INDEX(Disch_Booking_Report!L:L, MATCH(TRUE, ISNUMBER(FIND(SUBSTITUTE(C414," ",""), Disch_Booking_Report!AC:AC)), 0)), "Not Found")</f>
        <v/>
      </c>
      <c r="U414">
        <f t="array" ref="U414">IFERROR(INDEX(Disch_Booking_Report!I:I, MATCH(TRUE, ISNUMBER(FIND(SUBSTITUTE(C414," ",""), Disch_Booking_Report!AC:AC)), 0)), "Not Found")</f>
        <v/>
      </c>
    </row>
    <row r="415">
      <c r="A415" t="n">
        <v>30</v>
      </c>
      <c r="B415" t="n">
        <v>300402</v>
      </c>
      <c r="C415" t="inlineStr">
        <is>
          <t xml:space="preserve">     ANON0000000</t>
        </is>
      </c>
      <c r="D415" t="n">
        <v>40</v>
      </c>
      <c r="E415" t="inlineStr">
        <is>
          <t>RULED</t>
        </is>
      </c>
      <c r="F415" t="inlineStr">
        <is>
          <t>USHOU</t>
        </is>
      </c>
      <c r="G415" t="n">
        <v>26220</v>
      </c>
      <c r="H415" t="inlineStr">
        <is>
          <t>ART</t>
        </is>
      </c>
      <c r="I415" t="inlineStr">
        <is>
          <t>45G1</t>
        </is>
      </c>
      <c r="L415" t="inlineStr">
        <is>
          <t>9'6</t>
        </is>
      </c>
      <c r="M415" t="inlineStr">
        <is>
          <t>Full</t>
        </is>
      </c>
      <c r="P415">
        <f t="array" ref="P415">IFERROR(INDEX(Disch_Booking_Report!B:B, MATCH(TRUE, ISNUMBER(FIND(SUBSTITUTE(C415," ",""), Disch_Booking_Report!AC:AC)), 0)), "Not Found")</f>
        <v/>
      </c>
      <c r="Q415">
        <f t="array" ref="Q415">IFERROR(INDEX(Disch_Booking_Report!C:C, MATCH(TRUE, ISNUMBER(FIND(SUBSTITUTE(C415," ",""), Disch_Booking_Report!AC:AC)), 0)), "Not Found")</f>
        <v/>
      </c>
      <c r="R415">
        <f t="array" ref="R415">IFERROR(INDEX(Disch_Booking_Report!AD:AD, MATCH(TRUE, ISNUMBER(FIND(SUBSTITUTE(C415," ",""), Disch_Booking_Report!AC:AC)), 0)), "Not Found")</f>
        <v/>
      </c>
      <c r="S415">
        <f>Tabela2[[#This Row],[Weight]]</f>
        <v/>
      </c>
      <c r="T415">
        <f t="array" ref="T415">IFERROR(INDEX(Disch_Booking_Report!L:L, MATCH(TRUE, ISNUMBER(FIND(SUBSTITUTE(C415," ",""), Disch_Booking_Report!AC:AC)), 0)), "Not Found")</f>
        <v/>
      </c>
      <c r="U415">
        <f t="array" ref="U415">IFERROR(INDEX(Disch_Booking_Report!I:I, MATCH(TRUE, ISNUMBER(FIND(SUBSTITUTE(C415," ",""), Disch_Booking_Report!AC:AC)), 0)), "Not Found")</f>
        <v/>
      </c>
    </row>
    <row r="416">
      <c r="A416" t="n">
        <v>30</v>
      </c>
      <c r="B416" t="n">
        <v>300206</v>
      </c>
      <c r="C416" t="inlineStr">
        <is>
          <t xml:space="preserve">     ANON0000000</t>
        </is>
      </c>
      <c r="D416" t="n">
        <v>40</v>
      </c>
      <c r="E416" t="inlineStr">
        <is>
          <t>RULED</t>
        </is>
      </c>
      <c r="F416" t="inlineStr">
        <is>
          <t>USHOU</t>
        </is>
      </c>
      <c r="G416" t="n">
        <v>31790</v>
      </c>
      <c r="H416" t="inlineStr">
        <is>
          <t>ART</t>
        </is>
      </c>
      <c r="I416" t="inlineStr">
        <is>
          <t>45G1</t>
        </is>
      </c>
      <c r="L416" t="inlineStr">
        <is>
          <t>9'6</t>
        </is>
      </c>
      <c r="M416" t="inlineStr">
        <is>
          <t>Full</t>
        </is>
      </c>
      <c r="P416">
        <f t="array" ref="P416">IFERROR(INDEX(Disch_Booking_Report!B:B, MATCH(TRUE, ISNUMBER(FIND(SUBSTITUTE(C416," ",""), Disch_Booking_Report!AC:AC)), 0)), "Not Found")</f>
        <v/>
      </c>
      <c r="Q416">
        <f t="array" ref="Q416">IFERROR(INDEX(Disch_Booking_Report!C:C, MATCH(TRUE, ISNUMBER(FIND(SUBSTITUTE(C416," ",""), Disch_Booking_Report!AC:AC)), 0)), "Not Found")</f>
        <v/>
      </c>
      <c r="R416">
        <f t="array" ref="R416">IFERROR(INDEX(Disch_Booking_Report!AD:AD, MATCH(TRUE, ISNUMBER(FIND(SUBSTITUTE(C416," ",""), Disch_Booking_Report!AC:AC)), 0)), "Not Found")</f>
        <v/>
      </c>
      <c r="S416">
        <f>Tabela2[[#This Row],[Weight]]</f>
        <v/>
      </c>
      <c r="T416">
        <f t="array" ref="T416">IFERROR(INDEX(Disch_Booking_Report!L:L, MATCH(TRUE, ISNUMBER(FIND(SUBSTITUTE(C416," ",""), Disch_Booking_Report!AC:AC)), 0)), "Not Found")</f>
        <v/>
      </c>
      <c r="U416">
        <f t="array" ref="U416">IFERROR(INDEX(Disch_Booking_Report!I:I, MATCH(TRUE, ISNUMBER(FIND(SUBSTITUTE(C416," ",""), Disch_Booking_Report!AC:AC)), 0)), "Not Found")</f>
        <v/>
      </c>
    </row>
    <row r="417">
      <c r="A417" t="n">
        <v>30</v>
      </c>
      <c r="B417" t="n">
        <v>300606</v>
      </c>
      <c r="C417" t="inlineStr">
        <is>
          <t xml:space="preserve">     ANON0000000</t>
        </is>
      </c>
      <c r="D417" t="n">
        <v>40</v>
      </c>
      <c r="E417" t="inlineStr">
        <is>
          <t>RULED</t>
        </is>
      </c>
      <c r="F417" t="inlineStr">
        <is>
          <t>USHOU</t>
        </is>
      </c>
      <c r="G417" t="n">
        <v>31710</v>
      </c>
      <c r="H417" t="inlineStr">
        <is>
          <t>ART</t>
        </is>
      </c>
      <c r="I417" t="inlineStr">
        <is>
          <t>45G1</t>
        </is>
      </c>
      <c r="L417" t="inlineStr">
        <is>
          <t>9'6</t>
        </is>
      </c>
      <c r="M417" t="inlineStr">
        <is>
          <t>Full</t>
        </is>
      </c>
      <c r="P417">
        <f t="array" ref="P417">IFERROR(INDEX(Disch_Booking_Report!B:B, MATCH(TRUE, ISNUMBER(FIND(SUBSTITUTE(C417," ",""), Disch_Booking_Report!AC:AC)), 0)), "Not Found")</f>
        <v/>
      </c>
      <c r="Q417">
        <f t="array" ref="Q417">IFERROR(INDEX(Disch_Booking_Report!C:C, MATCH(TRUE, ISNUMBER(FIND(SUBSTITUTE(C417," ",""), Disch_Booking_Report!AC:AC)), 0)), "Not Found")</f>
        <v/>
      </c>
      <c r="R417">
        <f t="array" ref="R417">IFERROR(INDEX(Disch_Booking_Report!AD:AD, MATCH(TRUE, ISNUMBER(FIND(SUBSTITUTE(C417," ",""), Disch_Booking_Report!AC:AC)), 0)), "Not Found")</f>
        <v/>
      </c>
      <c r="S417">
        <f>Tabela2[[#This Row],[Weight]]</f>
        <v/>
      </c>
      <c r="T417">
        <f t="array" ref="T417">IFERROR(INDEX(Disch_Booking_Report!L:L, MATCH(TRUE, ISNUMBER(FIND(SUBSTITUTE(C417," ",""), Disch_Booking_Report!AC:AC)), 0)), "Not Found")</f>
        <v/>
      </c>
      <c r="U417">
        <f t="array" ref="U417">IFERROR(INDEX(Disch_Booking_Report!I:I, MATCH(TRUE, ISNUMBER(FIND(SUBSTITUTE(C417," ",""), Disch_Booking_Report!AC:AC)), 0)), "Not Found")</f>
        <v/>
      </c>
    </row>
    <row r="418">
      <c r="A418" t="n">
        <v>30</v>
      </c>
      <c r="B418" t="n">
        <v>300408</v>
      </c>
      <c r="C418" t="inlineStr">
        <is>
          <t xml:space="preserve">     ANON0000000</t>
        </is>
      </c>
      <c r="D418" t="n">
        <v>40</v>
      </c>
      <c r="E418" t="inlineStr">
        <is>
          <t>RULED</t>
        </is>
      </c>
      <c r="F418" t="inlineStr">
        <is>
          <t>USHOU</t>
        </is>
      </c>
      <c r="G418" t="n">
        <v>29430</v>
      </c>
      <c r="H418" t="inlineStr">
        <is>
          <t>ART</t>
        </is>
      </c>
      <c r="I418" t="inlineStr">
        <is>
          <t>45G1</t>
        </is>
      </c>
      <c r="L418" t="inlineStr">
        <is>
          <t>9'6</t>
        </is>
      </c>
      <c r="M418" t="inlineStr">
        <is>
          <t>Full</t>
        </is>
      </c>
      <c r="P418">
        <f t="array" ref="P418">IFERROR(INDEX(Disch_Booking_Report!B:B, MATCH(TRUE, ISNUMBER(FIND(SUBSTITUTE(C418," ",""), Disch_Booking_Report!AC:AC)), 0)), "Not Found")</f>
        <v/>
      </c>
      <c r="Q418">
        <f t="array" ref="Q418">IFERROR(INDEX(Disch_Booking_Report!C:C, MATCH(TRUE, ISNUMBER(FIND(SUBSTITUTE(C418," ",""), Disch_Booking_Report!AC:AC)), 0)), "Not Found")</f>
        <v/>
      </c>
      <c r="R418">
        <f t="array" ref="R418">IFERROR(INDEX(Disch_Booking_Report!AD:AD, MATCH(TRUE, ISNUMBER(FIND(SUBSTITUTE(C418," ",""), Disch_Booking_Report!AC:AC)), 0)), "Not Found")</f>
        <v/>
      </c>
      <c r="S418">
        <f>Tabela2[[#This Row],[Weight]]</f>
        <v/>
      </c>
      <c r="T418">
        <f t="array" ref="T418">IFERROR(INDEX(Disch_Booking_Report!L:L, MATCH(TRUE, ISNUMBER(FIND(SUBSTITUTE(C418," ",""), Disch_Booking_Report!AC:AC)), 0)), "Not Found")</f>
        <v/>
      </c>
      <c r="U418">
        <f t="array" ref="U418">IFERROR(INDEX(Disch_Booking_Report!I:I, MATCH(TRUE, ISNUMBER(FIND(SUBSTITUTE(C418," ",""), Disch_Booking_Report!AC:AC)), 0)), "Not Found")</f>
        <v/>
      </c>
    </row>
    <row r="419">
      <c r="A419" t="n">
        <v>30</v>
      </c>
      <c r="B419" t="n">
        <v>300582</v>
      </c>
      <c r="C419" t="inlineStr">
        <is>
          <t xml:space="preserve">     ANON0000000</t>
        </is>
      </c>
      <c r="D419" t="n">
        <v>40</v>
      </c>
      <c r="E419" t="inlineStr">
        <is>
          <t>RULED</t>
        </is>
      </c>
      <c r="F419" t="inlineStr">
        <is>
          <t>USHOU</t>
        </is>
      </c>
      <c r="G419" t="n">
        <v>31790</v>
      </c>
      <c r="H419" t="inlineStr">
        <is>
          <t>ART</t>
        </is>
      </c>
      <c r="I419" t="inlineStr">
        <is>
          <t>45G1</t>
        </is>
      </c>
      <c r="L419" t="inlineStr">
        <is>
          <t>9'6</t>
        </is>
      </c>
      <c r="M419" t="inlineStr">
        <is>
          <t>Full</t>
        </is>
      </c>
      <c r="P419">
        <f t="array" ref="P419">IFERROR(INDEX(Disch_Booking_Report!B:B, MATCH(TRUE, ISNUMBER(FIND(SUBSTITUTE(C419," ",""), Disch_Booking_Report!AC:AC)), 0)), "Not Found")</f>
        <v/>
      </c>
      <c r="Q419">
        <f t="array" ref="Q419">IFERROR(INDEX(Disch_Booking_Report!C:C, MATCH(TRUE, ISNUMBER(FIND(SUBSTITUTE(C419," ",""), Disch_Booking_Report!AC:AC)), 0)), "Not Found")</f>
        <v/>
      </c>
      <c r="R419">
        <f t="array" ref="R419">IFERROR(INDEX(Disch_Booking_Report!AD:AD, MATCH(TRUE, ISNUMBER(FIND(SUBSTITUTE(C419," ",""), Disch_Booking_Report!AC:AC)), 0)), "Not Found")</f>
        <v/>
      </c>
      <c r="S419">
        <f>Tabela2[[#This Row],[Weight]]</f>
        <v/>
      </c>
      <c r="T419">
        <f t="array" ref="T419">IFERROR(INDEX(Disch_Booking_Report!L:L, MATCH(TRUE, ISNUMBER(FIND(SUBSTITUTE(C419," ",""), Disch_Booking_Report!AC:AC)), 0)), "Not Found")</f>
        <v/>
      </c>
      <c r="U419">
        <f t="array" ref="U419">IFERROR(INDEX(Disch_Booking_Report!I:I, MATCH(TRUE, ISNUMBER(FIND(SUBSTITUTE(C419," ",""), Disch_Booking_Report!AC:AC)), 0)), "Not Found")</f>
        <v/>
      </c>
    </row>
    <row r="420">
      <c r="A420" t="n">
        <v>30</v>
      </c>
      <c r="B420" t="n">
        <v>300608</v>
      </c>
      <c r="C420" t="inlineStr">
        <is>
          <t xml:space="preserve">     ANON0000000</t>
        </is>
      </c>
      <c r="D420" t="n">
        <v>40</v>
      </c>
      <c r="E420" t="inlineStr">
        <is>
          <t>RULED</t>
        </is>
      </c>
      <c r="F420" t="inlineStr">
        <is>
          <t>USHOU</t>
        </is>
      </c>
      <c r="G420" t="n">
        <v>29430</v>
      </c>
      <c r="H420" t="inlineStr">
        <is>
          <t>ART</t>
        </is>
      </c>
      <c r="I420" t="inlineStr">
        <is>
          <t>45G1</t>
        </is>
      </c>
      <c r="L420" t="inlineStr">
        <is>
          <t>9'6</t>
        </is>
      </c>
      <c r="M420" t="inlineStr">
        <is>
          <t>Full</t>
        </is>
      </c>
      <c r="P420">
        <f t="array" ref="P420">IFERROR(INDEX(Disch_Booking_Report!B:B, MATCH(TRUE, ISNUMBER(FIND(SUBSTITUTE(C420," ",""), Disch_Booking_Report!AC:AC)), 0)), "Not Found")</f>
        <v/>
      </c>
      <c r="Q420">
        <f t="array" ref="Q420">IFERROR(INDEX(Disch_Booking_Report!C:C, MATCH(TRUE, ISNUMBER(FIND(SUBSTITUTE(C420," ",""), Disch_Booking_Report!AC:AC)), 0)), "Not Found")</f>
        <v/>
      </c>
      <c r="R420">
        <f t="array" ref="R420">IFERROR(INDEX(Disch_Booking_Report!AD:AD, MATCH(TRUE, ISNUMBER(FIND(SUBSTITUTE(C420," ",""), Disch_Booking_Report!AC:AC)), 0)), "Not Found")</f>
        <v/>
      </c>
      <c r="S420">
        <f>Tabela2[[#This Row],[Weight]]</f>
        <v/>
      </c>
      <c r="T420">
        <f t="array" ref="T420">IFERROR(INDEX(Disch_Booking_Report!L:L, MATCH(TRUE, ISNUMBER(FIND(SUBSTITUTE(C420," ",""), Disch_Booking_Report!AC:AC)), 0)), "Not Found")</f>
        <v/>
      </c>
      <c r="U420">
        <f t="array" ref="U420">IFERROR(INDEX(Disch_Booking_Report!I:I, MATCH(TRUE, ISNUMBER(FIND(SUBSTITUTE(C420," ",""), Disch_Booking_Report!AC:AC)), 0)), "Not Found")</f>
        <v/>
      </c>
    </row>
    <row r="421">
      <c r="A421" t="n">
        <v>33</v>
      </c>
      <c r="B421" t="n">
        <v>330102</v>
      </c>
      <c r="C421" t="inlineStr">
        <is>
          <t xml:space="preserve">     ANON0000000</t>
        </is>
      </c>
      <c r="D421" t="n">
        <v>20</v>
      </c>
      <c r="E421" t="inlineStr">
        <is>
          <t>RULED</t>
        </is>
      </c>
      <c r="F421" t="inlineStr">
        <is>
          <t>USNYC</t>
        </is>
      </c>
      <c r="G421" t="n">
        <v>23100</v>
      </c>
      <c r="H421" t="inlineStr">
        <is>
          <t>ART</t>
        </is>
      </c>
      <c r="I421" t="inlineStr">
        <is>
          <t>22G1</t>
        </is>
      </c>
      <c r="L421" t="inlineStr">
        <is>
          <t>8'6</t>
        </is>
      </c>
      <c r="M421" t="inlineStr">
        <is>
          <t>Full</t>
        </is>
      </c>
      <c r="P421">
        <f t="array" ref="P421">IFERROR(INDEX(Disch_Booking_Report!B:B, MATCH(TRUE, ISNUMBER(FIND(SUBSTITUTE(C421," ",""), Disch_Booking_Report!AC:AC)), 0)), "Not Found")</f>
        <v/>
      </c>
      <c r="Q421">
        <f t="array" ref="Q421">IFERROR(INDEX(Disch_Booking_Report!C:C, MATCH(TRUE, ISNUMBER(FIND(SUBSTITUTE(C421," ",""), Disch_Booking_Report!AC:AC)), 0)), "Not Found")</f>
        <v/>
      </c>
      <c r="R421">
        <f t="array" ref="R421">IFERROR(INDEX(Disch_Booking_Report!AD:AD, MATCH(TRUE, ISNUMBER(FIND(SUBSTITUTE(C421," ",""), Disch_Booking_Report!AC:AC)), 0)), "Not Found")</f>
        <v/>
      </c>
      <c r="S421">
        <f>Tabela2[[#This Row],[Weight]]</f>
        <v/>
      </c>
      <c r="T421">
        <f t="array" ref="T421">IFERROR(INDEX(Disch_Booking_Report!L:L, MATCH(TRUE, ISNUMBER(FIND(SUBSTITUTE(C421," ",""), Disch_Booking_Report!AC:AC)), 0)), "Not Found")</f>
        <v/>
      </c>
      <c r="U421">
        <f t="array" ref="U421">IFERROR(INDEX(Disch_Booking_Report!I:I, MATCH(TRUE, ISNUMBER(FIND(SUBSTITUTE(C421," ",""), Disch_Booking_Report!AC:AC)), 0)), "Not Found")</f>
        <v/>
      </c>
    </row>
    <row r="422">
      <c r="A422" t="n">
        <v>33</v>
      </c>
      <c r="B422" t="n">
        <v>330304</v>
      </c>
      <c r="C422" t="inlineStr">
        <is>
          <t xml:space="preserve">     ANON0000000</t>
        </is>
      </c>
      <c r="D422" t="n">
        <v>20</v>
      </c>
      <c r="E422" t="inlineStr">
        <is>
          <t>RULED</t>
        </is>
      </c>
      <c r="F422" t="inlineStr">
        <is>
          <t>USNYC</t>
        </is>
      </c>
      <c r="G422" t="n">
        <v>23100</v>
      </c>
      <c r="H422" t="inlineStr">
        <is>
          <t>ART</t>
        </is>
      </c>
      <c r="I422" t="inlineStr">
        <is>
          <t>22G1</t>
        </is>
      </c>
      <c r="L422" t="inlineStr">
        <is>
          <t>8'6</t>
        </is>
      </c>
      <c r="M422" t="inlineStr">
        <is>
          <t>Full</t>
        </is>
      </c>
      <c r="P422">
        <f t="array" ref="P422">IFERROR(INDEX(Disch_Booking_Report!B:B, MATCH(TRUE, ISNUMBER(FIND(SUBSTITUTE(C422," ",""), Disch_Booking_Report!AC:AC)), 0)), "Not Found")</f>
        <v/>
      </c>
      <c r="Q422">
        <f t="array" ref="Q422">IFERROR(INDEX(Disch_Booking_Report!C:C, MATCH(TRUE, ISNUMBER(FIND(SUBSTITUTE(C422," ",""), Disch_Booking_Report!AC:AC)), 0)), "Not Found")</f>
        <v/>
      </c>
      <c r="R422">
        <f t="array" ref="R422">IFERROR(INDEX(Disch_Booking_Report!AD:AD, MATCH(TRUE, ISNUMBER(FIND(SUBSTITUTE(C422," ",""), Disch_Booking_Report!AC:AC)), 0)), "Not Found")</f>
        <v/>
      </c>
      <c r="S422">
        <f>Tabela2[[#This Row],[Weight]]</f>
        <v/>
      </c>
      <c r="T422">
        <f t="array" ref="T422">IFERROR(INDEX(Disch_Booking_Report!L:L, MATCH(TRUE, ISNUMBER(FIND(SUBSTITUTE(C422," ",""), Disch_Booking_Report!AC:AC)), 0)), "Not Found")</f>
        <v/>
      </c>
      <c r="U422">
        <f t="array" ref="U422">IFERROR(INDEX(Disch_Booking_Report!I:I, MATCH(TRUE, ISNUMBER(FIND(SUBSTITUTE(C422," ",""), Disch_Booking_Report!AC:AC)), 0)), "Not Found")</f>
        <v/>
      </c>
    </row>
    <row r="423">
      <c r="A423" t="n">
        <v>33</v>
      </c>
      <c r="B423" t="n">
        <v>330202</v>
      </c>
      <c r="C423" t="inlineStr">
        <is>
          <t xml:space="preserve">     ANON0000000</t>
        </is>
      </c>
      <c r="D423" t="n">
        <v>20</v>
      </c>
      <c r="E423" t="inlineStr">
        <is>
          <t>RULED</t>
        </is>
      </c>
      <c r="F423" t="inlineStr">
        <is>
          <t>USNYC</t>
        </is>
      </c>
      <c r="G423" t="n">
        <v>23100</v>
      </c>
      <c r="H423" t="inlineStr">
        <is>
          <t>ART</t>
        </is>
      </c>
      <c r="I423" t="inlineStr">
        <is>
          <t>22G1</t>
        </is>
      </c>
      <c r="L423" t="inlineStr">
        <is>
          <t>8'6</t>
        </is>
      </c>
      <c r="M423" t="inlineStr">
        <is>
          <t>Full</t>
        </is>
      </c>
      <c r="P423">
        <f t="array" ref="P423">IFERROR(INDEX(Disch_Booking_Report!B:B, MATCH(TRUE, ISNUMBER(FIND(SUBSTITUTE(C423," ",""), Disch_Booking_Report!AC:AC)), 0)), "Not Found")</f>
        <v/>
      </c>
      <c r="Q423">
        <f t="array" ref="Q423">IFERROR(INDEX(Disch_Booking_Report!C:C, MATCH(TRUE, ISNUMBER(FIND(SUBSTITUTE(C423," ",""), Disch_Booking_Report!AC:AC)), 0)), "Not Found")</f>
        <v/>
      </c>
      <c r="R423">
        <f t="array" ref="R423">IFERROR(INDEX(Disch_Booking_Report!AD:AD, MATCH(TRUE, ISNUMBER(FIND(SUBSTITUTE(C423," ",""), Disch_Booking_Report!AC:AC)), 0)), "Not Found")</f>
        <v/>
      </c>
      <c r="S423">
        <f>Tabela2[[#This Row],[Weight]]</f>
        <v/>
      </c>
      <c r="T423">
        <f t="array" ref="T423">IFERROR(INDEX(Disch_Booking_Report!L:L, MATCH(TRUE, ISNUMBER(FIND(SUBSTITUTE(C423," ",""), Disch_Booking_Report!AC:AC)), 0)), "Not Found")</f>
        <v/>
      </c>
      <c r="U423">
        <f t="array" ref="U423">IFERROR(INDEX(Disch_Booking_Report!I:I, MATCH(TRUE, ISNUMBER(FIND(SUBSTITUTE(C423," ",""), Disch_Booking_Report!AC:AC)), 0)), "Not Found")</f>
        <v/>
      </c>
    </row>
    <row r="424">
      <c r="A424" t="n">
        <v>33</v>
      </c>
      <c r="B424" t="n">
        <v>330808</v>
      </c>
      <c r="C424" t="inlineStr">
        <is>
          <t xml:space="preserve">     ANON0000000</t>
        </is>
      </c>
      <c r="D424" t="n">
        <v>20</v>
      </c>
      <c r="E424" t="inlineStr">
        <is>
          <t>RULED</t>
        </is>
      </c>
      <c r="F424" t="inlineStr">
        <is>
          <t>USNYC</t>
        </is>
      </c>
      <c r="G424" t="n">
        <v>23120</v>
      </c>
      <c r="H424" t="inlineStr">
        <is>
          <t>ART</t>
        </is>
      </c>
      <c r="I424" t="inlineStr">
        <is>
          <t>22G1</t>
        </is>
      </c>
      <c r="L424" t="inlineStr">
        <is>
          <t>8'6</t>
        </is>
      </c>
      <c r="M424" t="inlineStr">
        <is>
          <t>Full</t>
        </is>
      </c>
      <c r="P424">
        <f t="array" ref="P424">IFERROR(INDEX(Disch_Booking_Report!B:B, MATCH(TRUE, ISNUMBER(FIND(SUBSTITUTE(C424," ",""), Disch_Booking_Report!AC:AC)), 0)), "Not Found")</f>
        <v/>
      </c>
      <c r="Q424">
        <f t="array" ref="Q424">IFERROR(INDEX(Disch_Booking_Report!C:C, MATCH(TRUE, ISNUMBER(FIND(SUBSTITUTE(C424," ",""), Disch_Booking_Report!AC:AC)), 0)), "Not Found")</f>
        <v/>
      </c>
      <c r="R424">
        <f t="array" ref="R424">IFERROR(INDEX(Disch_Booking_Report!AD:AD, MATCH(TRUE, ISNUMBER(FIND(SUBSTITUTE(C424," ",""), Disch_Booking_Report!AC:AC)), 0)), "Not Found")</f>
        <v/>
      </c>
      <c r="S424">
        <f>Tabela2[[#This Row],[Weight]]</f>
        <v/>
      </c>
      <c r="T424">
        <f t="array" ref="T424">IFERROR(INDEX(Disch_Booking_Report!L:L, MATCH(TRUE, ISNUMBER(FIND(SUBSTITUTE(C424," ",""), Disch_Booking_Report!AC:AC)), 0)), "Not Found")</f>
        <v/>
      </c>
      <c r="U424">
        <f t="array" ref="U424">IFERROR(INDEX(Disch_Booking_Report!I:I, MATCH(TRUE, ISNUMBER(FIND(SUBSTITUTE(C424," ",""), Disch_Booking_Report!AC:AC)), 0)), "Not Found")</f>
        <v/>
      </c>
    </row>
    <row r="425">
      <c r="A425" t="n">
        <v>33</v>
      </c>
      <c r="B425" t="n">
        <v>330106</v>
      </c>
      <c r="C425" t="inlineStr">
        <is>
          <t xml:space="preserve">     ANON0000000</t>
        </is>
      </c>
      <c r="D425" t="n">
        <v>20</v>
      </c>
      <c r="E425" t="inlineStr">
        <is>
          <t>RULED</t>
        </is>
      </c>
      <c r="F425" t="inlineStr">
        <is>
          <t>USNYC</t>
        </is>
      </c>
      <c r="G425" t="n">
        <v>23230</v>
      </c>
      <c r="H425" t="inlineStr">
        <is>
          <t>ART</t>
        </is>
      </c>
      <c r="I425" t="inlineStr">
        <is>
          <t>22G1</t>
        </is>
      </c>
      <c r="L425" t="inlineStr">
        <is>
          <t>8'6</t>
        </is>
      </c>
      <c r="M425" t="inlineStr">
        <is>
          <t>Full</t>
        </is>
      </c>
      <c r="P425">
        <f t="array" ref="P425">IFERROR(INDEX(Disch_Booking_Report!B:B, MATCH(TRUE, ISNUMBER(FIND(SUBSTITUTE(C425," ",""), Disch_Booking_Report!AC:AC)), 0)), "Not Found")</f>
        <v/>
      </c>
      <c r="Q425">
        <f t="array" ref="Q425">IFERROR(INDEX(Disch_Booking_Report!C:C, MATCH(TRUE, ISNUMBER(FIND(SUBSTITUTE(C425," ",""), Disch_Booking_Report!AC:AC)), 0)), "Not Found")</f>
        <v/>
      </c>
      <c r="R425">
        <f t="array" ref="R425">IFERROR(INDEX(Disch_Booking_Report!AD:AD, MATCH(TRUE, ISNUMBER(FIND(SUBSTITUTE(C425," ",""), Disch_Booking_Report!AC:AC)), 0)), "Not Found")</f>
        <v/>
      </c>
      <c r="S425">
        <f>Tabela2[[#This Row],[Weight]]</f>
        <v/>
      </c>
      <c r="T425">
        <f t="array" ref="T425">IFERROR(INDEX(Disch_Booking_Report!L:L, MATCH(TRUE, ISNUMBER(FIND(SUBSTITUTE(C425," ",""), Disch_Booking_Report!AC:AC)), 0)), "Not Found")</f>
        <v/>
      </c>
      <c r="U425">
        <f t="array" ref="U425">IFERROR(INDEX(Disch_Booking_Report!I:I, MATCH(TRUE, ISNUMBER(FIND(SUBSTITUTE(C425," ",""), Disch_Booking_Report!AC:AC)), 0)), "Not Found")</f>
        <v/>
      </c>
    </row>
    <row r="426">
      <c r="A426" t="n">
        <v>33</v>
      </c>
      <c r="B426" t="n">
        <v>330206</v>
      </c>
      <c r="C426" t="inlineStr">
        <is>
          <t xml:space="preserve">     ANON0000000</t>
        </is>
      </c>
      <c r="D426" t="n">
        <v>20</v>
      </c>
      <c r="E426" t="inlineStr">
        <is>
          <t>RULED</t>
        </is>
      </c>
      <c r="F426" t="inlineStr">
        <is>
          <t>USNYC</t>
        </is>
      </c>
      <c r="G426" t="n">
        <v>23230</v>
      </c>
      <c r="H426" t="inlineStr">
        <is>
          <t>ART</t>
        </is>
      </c>
      <c r="I426" t="inlineStr">
        <is>
          <t>22G1</t>
        </is>
      </c>
      <c r="L426" t="inlineStr">
        <is>
          <t>8'6</t>
        </is>
      </c>
      <c r="M426" t="inlineStr">
        <is>
          <t>Full</t>
        </is>
      </c>
      <c r="P426">
        <f t="array" ref="P426">IFERROR(INDEX(Disch_Booking_Report!B:B, MATCH(TRUE, ISNUMBER(FIND(SUBSTITUTE(C426," ",""), Disch_Booking_Report!AC:AC)), 0)), "Not Found")</f>
        <v/>
      </c>
      <c r="Q426">
        <f t="array" ref="Q426">IFERROR(INDEX(Disch_Booking_Report!C:C, MATCH(TRUE, ISNUMBER(FIND(SUBSTITUTE(C426," ",""), Disch_Booking_Report!AC:AC)), 0)), "Not Found")</f>
        <v/>
      </c>
      <c r="R426">
        <f t="array" ref="R426">IFERROR(INDEX(Disch_Booking_Report!AD:AD, MATCH(TRUE, ISNUMBER(FIND(SUBSTITUTE(C426," ",""), Disch_Booking_Report!AC:AC)), 0)), "Not Found")</f>
        <v/>
      </c>
      <c r="S426">
        <f>Tabela2[[#This Row],[Weight]]</f>
        <v/>
      </c>
      <c r="T426">
        <f t="array" ref="T426">IFERROR(INDEX(Disch_Booking_Report!L:L, MATCH(TRUE, ISNUMBER(FIND(SUBSTITUTE(C426," ",""), Disch_Booking_Report!AC:AC)), 0)), "Not Found")</f>
        <v/>
      </c>
      <c r="U426">
        <f t="array" ref="U426">IFERROR(INDEX(Disch_Booking_Report!I:I, MATCH(TRUE, ISNUMBER(FIND(SUBSTITUTE(C426," ",""), Disch_Booking_Report!AC:AC)), 0)), "Not Found")</f>
        <v/>
      </c>
    </row>
    <row r="427">
      <c r="A427" t="n">
        <v>33</v>
      </c>
      <c r="B427" t="n">
        <v>330504</v>
      </c>
      <c r="C427" t="inlineStr">
        <is>
          <t xml:space="preserve">     ANON0000000</t>
        </is>
      </c>
      <c r="D427" t="n">
        <v>20</v>
      </c>
      <c r="E427" t="inlineStr">
        <is>
          <t>RULED</t>
        </is>
      </c>
      <c r="F427" t="inlineStr">
        <is>
          <t>USNYC</t>
        </is>
      </c>
      <c r="G427" t="n">
        <v>23100</v>
      </c>
      <c r="H427" t="inlineStr">
        <is>
          <t>ART</t>
        </is>
      </c>
      <c r="I427" t="inlineStr">
        <is>
          <t>22G1</t>
        </is>
      </c>
      <c r="L427" t="inlineStr">
        <is>
          <t>8'6</t>
        </is>
      </c>
      <c r="M427" t="inlineStr">
        <is>
          <t>Full</t>
        </is>
      </c>
      <c r="P427">
        <f t="array" ref="P427">IFERROR(INDEX(Disch_Booking_Report!B:B, MATCH(TRUE, ISNUMBER(FIND(SUBSTITUTE(C427," ",""), Disch_Booking_Report!AC:AC)), 0)), "Not Found")</f>
        <v/>
      </c>
      <c r="Q427">
        <f t="array" ref="Q427">IFERROR(INDEX(Disch_Booking_Report!C:C, MATCH(TRUE, ISNUMBER(FIND(SUBSTITUTE(C427," ",""), Disch_Booking_Report!AC:AC)), 0)), "Not Found")</f>
        <v/>
      </c>
      <c r="R427">
        <f t="array" ref="R427">IFERROR(INDEX(Disch_Booking_Report!AD:AD, MATCH(TRUE, ISNUMBER(FIND(SUBSTITUTE(C427," ",""), Disch_Booking_Report!AC:AC)), 0)), "Not Found")</f>
        <v/>
      </c>
      <c r="S427">
        <f>Tabela2[[#This Row],[Weight]]</f>
        <v/>
      </c>
      <c r="T427">
        <f t="array" ref="T427">IFERROR(INDEX(Disch_Booking_Report!L:L, MATCH(TRUE, ISNUMBER(FIND(SUBSTITUTE(C427," ",""), Disch_Booking_Report!AC:AC)), 0)), "Not Found")</f>
        <v/>
      </c>
      <c r="U427">
        <f t="array" ref="U427">IFERROR(INDEX(Disch_Booking_Report!I:I, MATCH(TRUE, ISNUMBER(FIND(SUBSTITUTE(C427," ",""), Disch_Booking_Report!AC:AC)), 0)), "Not Found")</f>
        <v/>
      </c>
    </row>
    <row r="428">
      <c r="A428" t="n">
        <v>33</v>
      </c>
      <c r="B428" t="n">
        <v>330706</v>
      </c>
      <c r="C428" t="inlineStr">
        <is>
          <t xml:space="preserve">     ANON0000000</t>
        </is>
      </c>
      <c r="D428" t="n">
        <v>20</v>
      </c>
      <c r="E428" t="inlineStr">
        <is>
          <t>RULED</t>
        </is>
      </c>
      <c r="F428" t="inlineStr">
        <is>
          <t>USNYC</t>
        </is>
      </c>
      <c r="G428" t="n">
        <v>23280</v>
      </c>
      <c r="H428" t="inlineStr">
        <is>
          <t>ART</t>
        </is>
      </c>
      <c r="I428" t="inlineStr">
        <is>
          <t>22G1</t>
        </is>
      </c>
      <c r="L428" t="inlineStr">
        <is>
          <t>8'6</t>
        </is>
      </c>
      <c r="M428" t="inlineStr">
        <is>
          <t>Full</t>
        </is>
      </c>
      <c r="P428">
        <f t="array" ref="P428">IFERROR(INDEX(Disch_Booking_Report!B:B, MATCH(TRUE, ISNUMBER(FIND(SUBSTITUTE(C428," ",""), Disch_Booking_Report!AC:AC)), 0)), "Not Found")</f>
        <v/>
      </c>
      <c r="Q428">
        <f t="array" ref="Q428">IFERROR(INDEX(Disch_Booking_Report!C:C, MATCH(TRUE, ISNUMBER(FIND(SUBSTITUTE(C428," ",""), Disch_Booking_Report!AC:AC)), 0)), "Not Found")</f>
        <v/>
      </c>
      <c r="R428">
        <f t="array" ref="R428">IFERROR(INDEX(Disch_Booking_Report!AD:AD, MATCH(TRUE, ISNUMBER(FIND(SUBSTITUTE(C428," ",""), Disch_Booking_Report!AC:AC)), 0)), "Not Found")</f>
        <v/>
      </c>
      <c r="S428">
        <f>Tabela2[[#This Row],[Weight]]</f>
        <v/>
      </c>
      <c r="T428">
        <f t="array" ref="T428">IFERROR(INDEX(Disch_Booking_Report!L:L, MATCH(TRUE, ISNUMBER(FIND(SUBSTITUTE(C428," ",""), Disch_Booking_Report!AC:AC)), 0)), "Not Found")</f>
        <v/>
      </c>
      <c r="U428">
        <f t="array" ref="U428">IFERROR(INDEX(Disch_Booking_Report!I:I, MATCH(TRUE, ISNUMBER(FIND(SUBSTITUTE(C428," ",""), Disch_Booking_Report!AC:AC)), 0)), "Not Found")</f>
        <v/>
      </c>
    </row>
    <row r="429">
      <c r="A429" t="n">
        <v>33</v>
      </c>
      <c r="B429" t="n">
        <v>330708</v>
      </c>
      <c r="C429" t="inlineStr">
        <is>
          <t xml:space="preserve">     ANON0000000</t>
        </is>
      </c>
      <c r="D429" t="n">
        <v>20</v>
      </c>
      <c r="E429" t="inlineStr">
        <is>
          <t>RULED</t>
        </is>
      </c>
      <c r="F429" t="inlineStr">
        <is>
          <t>USNYC</t>
        </is>
      </c>
      <c r="G429" t="n">
        <v>23100</v>
      </c>
      <c r="H429" t="inlineStr">
        <is>
          <t>ART</t>
        </is>
      </c>
      <c r="I429" t="inlineStr">
        <is>
          <t>22G1</t>
        </is>
      </c>
      <c r="L429" t="inlineStr">
        <is>
          <t>8'6</t>
        </is>
      </c>
      <c r="M429" t="inlineStr">
        <is>
          <t>Full</t>
        </is>
      </c>
      <c r="P429">
        <f t="array" ref="P429">IFERROR(INDEX(Disch_Booking_Report!B:B, MATCH(TRUE, ISNUMBER(FIND(SUBSTITUTE(C429," ",""), Disch_Booking_Report!AC:AC)), 0)), "Not Found")</f>
        <v/>
      </c>
      <c r="Q429">
        <f t="array" ref="Q429">IFERROR(INDEX(Disch_Booking_Report!C:C, MATCH(TRUE, ISNUMBER(FIND(SUBSTITUTE(C429," ",""), Disch_Booking_Report!AC:AC)), 0)), "Not Found")</f>
        <v/>
      </c>
      <c r="R429">
        <f t="array" ref="R429">IFERROR(INDEX(Disch_Booking_Report!AD:AD, MATCH(TRUE, ISNUMBER(FIND(SUBSTITUTE(C429," ",""), Disch_Booking_Report!AC:AC)), 0)), "Not Found")</f>
        <v/>
      </c>
      <c r="S429">
        <f>Tabela2[[#This Row],[Weight]]</f>
        <v/>
      </c>
      <c r="T429">
        <f t="array" ref="T429">IFERROR(INDEX(Disch_Booking_Report!L:L, MATCH(TRUE, ISNUMBER(FIND(SUBSTITUTE(C429," ",""), Disch_Booking_Report!AC:AC)), 0)), "Not Found")</f>
        <v/>
      </c>
      <c r="U429">
        <f t="array" ref="U429">IFERROR(INDEX(Disch_Booking_Report!I:I, MATCH(TRUE, ISNUMBER(FIND(SUBSTITUTE(C429," ",""), Disch_Booking_Report!AC:AC)), 0)), "Not Found")</f>
        <v/>
      </c>
    </row>
    <row r="430">
      <c r="A430" t="n">
        <v>33</v>
      </c>
      <c r="B430" t="n">
        <v>330302</v>
      </c>
      <c r="C430" t="inlineStr">
        <is>
          <t xml:space="preserve">     ANON0000000</t>
        </is>
      </c>
      <c r="D430" t="n">
        <v>20</v>
      </c>
      <c r="E430" t="inlineStr">
        <is>
          <t>RULED</t>
        </is>
      </c>
      <c r="F430" t="inlineStr">
        <is>
          <t>USNYC</t>
        </is>
      </c>
      <c r="G430" t="n">
        <v>23230</v>
      </c>
      <c r="H430" t="inlineStr">
        <is>
          <t>ART</t>
        </is>
      </c>
      <c r="I430" t="inlineStr">
        <is>
          <t>22G1</t>
        </is>
      </c>
      <c r="L430" t="inlineStr">
        <is>
          <t>8'6</t>
        </is>
      </c>
      <c r="M430" t="inlineStr">
        <is>
          <t>Full</t>
        </is>
      </c>
      <c r="P430">
        <f t="array" ref="P430">IFERROR(INDEX(Disch_Booking_Report!B:B, MATCH(TRUE, ISNUMBER(FIND(SUBSTITUTE(C430," ",""), Disch_Booking_Report!AC:AC)), 0)), "Not Found")</f>
        <v/>
      </c>
      <c r="Q430">
        <f t="array" ref="Q430">IFERROR(INDEX(Disch_Booking_Report!C:C, MATCH(TRUE, ISNUMBER(FIND(SUBSTITUTE(C430," ",""), Disch_Booking_Report!AC:AC)), 0)), "Not Found")</f>
        <v/>
      </c>
      <c r="R430">
        <f t="array" ref="R430">IFERROR(INDEX(Disch_Booking_Report!AD:AD, MATCH(TRUE, ISNUMBER(FIND(SUBSTITUTE(C430," ",""), Disch_Booking_Report!AC:AC)), 0)), "Not Found")</f>
        <v/>
      </c>
      <c r="S430">
        <f>Tabela2[[#This Row],[Weight]]</f>
        <v/>
      </c>
      <c r="T430">
        <f t="array" ref="T430">IFERROR(INDEX(Disch_Booking_Report!L:L, MATCH(TRUE, ISNUMBER(FIND(SUBSTITUTE(C430," ",""), Disch_Booking_Report!AC:AC)), 0)), "Not Found")</f>
        <v/>
      </c>
      <c r="U430">
        <f t="array" ref="U430">IFERROR(INDEX(Disch_Booking_Report!I:I, MATCH(TRUE, ISNUMBER(FIND(SUBSTITUTE(C430," ",""), Disch_Booking_Report!AC:AC)), 0)), "Not Found")</f>
        <v/>
      </c>
    </row>
    <row r="431">
      <c r="A431" s="35" t="n">
        <v>33</v>
      </c>
      <c r="B431" s="35" t="n">
        <v>330506</v>
      </c>
      <c r="C431" s="35" t="inlineStr">
        <is>
          <t xml:space="preserve">     ANON0000000</t>
        </is>
      </c>
      <c r="D431" s="35" t="n">
        <v>20</v>
      </c>
      <c r="E431" s="35" t="inlineStr">
        <is>
          <t>RULED</t>
        </is>
      </c>
      <c r="F431" s="35" t="inlineStr">
        <is>
          <t>USNYC</t>
        </is>
      </c>
      <c r="G431" s="35" t="n">
        <v>23300</v>
      </c>
      <c r="H431" s="35" t="inlineStr">
        <is>
          <t>ART</t>
        </is>
      </c>
      <c r="I431" s="35" t="inlineStr">
        <is>
          <t>22G1</t>
        </is>
      </c>
      <c r="L431" s="35" t="inlineStr">
        <is>
          <t>8'6</t>
        </is>
      </c>
      <c r="M431" s="35" t="inlineStr">
        <is>
          <t>Full</t>
        </is>
      </c>
      <c r="P431">
        <f t="array" ref="P431">IFERROR(INDEX(Disch_Booking_Report!B:B, MATCH(TRUE, ISNUMBER(FIND(SUBSTITUTE(C431," ",""), Disch_Booking_Report!AC:AC)), 0)), "Not Found")</f>
        <v/>
      </c>
      <c r="Q431">
        <f t="array" ref="Q431">IFERROR(INDEX(Disch_Booking_Report!C:C, MATCH(TRUE, ISNUMBER(FIND(SUBSTITUTE(C431," ",""), Disch_Booking_Report!AC:AC)), 0)), "Not Found")</f>
        <v/>
      </c>
      <c r="R431">
        <f t="array" ref="R431">IFERROR(INDEX(Disch_Booking_Report!AD:AD, MATCH(TRUE, ISNUMBER(FIND(SUBSTITUTE(C431," ",""), Disch_Booking_Report!AC:AC)), 0)), "Not Found")</f>
        <v/>
      </c>
      <c r="S431">
        <f>Tabela2[[#This Row],[Weight]]</f>
        <v/>
      </c>
      <c r="T431">
        <f t="array" ref="T431">IFERROR(INDEX(Disch_Booking_Report!L:L, MATCH(TRUE, ISNUMBER(FIND(SUBSTITUTE(C431," ",""), Disch_Booking_Report!AC:AC)), 0)), "Not Found")</f>
        <v/>
      </c>
      <c r="U431">
        <f t="array" ref="U431">IFERROR(INDEX(Disch_Booking_Report!I:I, MATCH(TRUE, ISNUMBER(FIND(SUBSTITUTE(C431," ",""), Disch_Booking_Report!AC:AC)), 0)), "Not Found")</f>
        <v/>
      </c>
    </row>
    <row r="432">
      <c r="A432" s="35" t="n">
        <v>33</v>
      </c>
      <c r="B432" s="35" t="n">
        <v>330204</v>
      </c>
      <c r="C432" s="35" t="inlineStr">
        <is>
          <t xml:space="preserve">     ANON0000000</t>
        </is>
      </c>
      <c r="D432" s="35" t="n">
        <v>20</v>
      </c>
      <c r="E432" s="35" t="inlineStr">
        <is>
          <t>RULED</t>
        </is>
      </c>
      <c r="F432" s="35" t="inlineStr">
        <is>
          <t>USNYC</t>
        </is>
      </c>
      <c r="G432" s="35" t="n">
        <v>23100</v>
      </c>
      <c r="H432" s="35" t="inlineStr">
        <is>
          <t>ART</t>
        </is>
      </c>
      <c r="I432" s="35" t="inlineStr">
        <is>
          <t>22G1</t>
        </is>
      </c>
      <c r="L432" s="35" t="inlineStr">
        <is>
          <t>8'6</t>
        </is>
      </c>
      <c r="M432" s="35" t="inlineStr">
        <is>
          <t>Full</t>
        </is>
      </c>
      <c r="P432">
        <f t="array" ref="P432">IFERROR(INDEX(Disch_Booking_Report!B:B, MATCH(TRUE, ISNUMBER(FIND(SUBSTITUTE(C432," ",""), Disch_Booking_Report!AC:AC)), 0)), "Not Found")</f>
        <v/>
      </c>
      <c r="Q432">
        <f t="array" ref="Q432">IFERROR(INDEX(Disch_Booking_Report!C:C, MATCH(TRUE, ISNUMBER(FIND(SUBSTITUTE(C432," ",""), Disch_Booking_Report!AC:AC)), 0)), "Not Found")</f>
        <v/>
      </c>
      <c r="R432">
        <f t="array" ref="R432">IFERROR(INDEX(Disch_Booking_Report!AD:AD, MATCH(TRUE, ISNUMBER(FIND(SUBSTITUTE(C432," ",""), Disch_Booking_Report!AC:AC)), 0)), "Not Found")</f>
        <v/>
      </c>
      <c r="S432">
        <f>Tabela2[[#This Row],[Weight]]</f>
        <v/>
      </c>
      <c r="T432">
        <f t="array" ref="T432">IFERROR(INDEX(Disch_Booking_Report!L:L, MATCH(TRUE, ISNUMBER(FIND(SUBSTITUTE(C432," ",""), Disch_Booking_Report!AC:AC)), 0)), "Not Found")</f>
        <v/>
      </c>
      <c r="U432">
        <f t="array" ref="U432">IFERROR(INDEX(Disch_Booking_Report!I:I, MATCH(TRUE, ISNUMBER(FIND(SUBSTITUTE(C432," ",""), Disch_Booking_Report!AC:AC)), 0)), "Not Found")</f>
        <v/>
      </c>
    </row>
    <row r="433">
      <c r="A433" s="35" t="n">
        <v>33</v>
      </c>
      <c r="B433" s="35" t="n">
        <v>330806</v>
      </c>
      <c r="C433" s="35" t="inlineStr">
        <is>
          <t xml:space="preserve">     ANON0000000</t>
        </is>
      </c>
      <c r="D433" s="35" t="n">
        <v>20</v>
      </c>
      <c r="E433" s="35" t="inlineStr">
        <is>
          <t>RULED</t>
        </is>
      </c>
      <c r="F433" s="35" t="inlineStr">
        <is>
          <t>USNYC</t>
        </is>
      </c>
      <c r="G433" s="35" t="n">
        <v>23260</v>
      </c>
      <c r="H433" s="35" t="inlineStr">
        <is>
          <t>ART</t>
        </is>
      </c>
      <c r="I433" s="35" t="inlineStr">
        <is>
          <t>22G1</t>
        </is>
      </c>
      <c r="L433" s="35" t="inlineStr">
        <is>
          <t>8'6</t>
        </is>
      </c>
      <c r="M433" s="35" t="inlineStr">
        <is>
          <t>Full</t>
        </is>
      </c>
      <c r="P433">
        <f t="array" ref="P433">IFERROR(INDEX(Disch_Booking_Report!B:B, MATCH(TRUE, ISNUMBER(FIND(SUBSTITUTE(C433," ",""), Disch_Booking_Report!AC:AC)), 0)), "Not Found")</f>
        <v/>
      </c>
      <c r="Q433">
        <f t="array" ref="Q433">IFERROR(INDEX(Disch_Booking_Report!C:C, MATCH(TRUE, ISNUMBER(FIND(SUBSTITUTE(C433," ",""), Disch_Booking_Report!AC:AC)), 0)), "Not Found")</f>
        <v/>
      </c>
      <c r="R433">
        <f t="array" ref="R433">IFERROR(INDEX(Disch_Booking_Report!AD:AD, MATCH(TRUE, ISNUMBER(FIND(SUBSTITUTE(C433," ",""), Disch_Booking_Report!AC:AC)), 0)), "Not Found")</f>
        <v/>
      </c>
      <c r="S433">
        <f>Tabela2[[#This Row],[Weight]]</f>
        <v/>
      </c>
      <c r="T433">
        <f t="array" ref="T433">IFERROR(INDEX(Disch_Booking_Report!L:L, MATCH(TRUE, ISNUMBER(FIND(SUBSTITUTE(C433," ",""), Disch_Booking_Report!AC:AC)), 0)), "Not Found")</f>
        <v/>
      </c>
      <c r="U433">
        <f t="array" ref="U433">IFERROR(INDEX(Disch_Booking_Report!I:I, MATCH(TRUE, ISNUMBER(FIND(SUBSTITUTE(C433," ",""), Disch_Booking_Report!AC:AC)), 0)), "Not Found")</f>
        <v/>
      </c>
    </row>
    <row r="434">
      <c r="A434" s="35" t="n">
        <v>33</v>
      </c>
      <c r="B434" s="35" t="n">
        <v>330402</v>
      </c>
      <c r="C434" s="35" t="inlineStr">
        <is>
          <t xml:space="preserve">     ANON0000000</t>
        </is>
      </c>
      <c r="D434" s="35" t="n">
        <v>20</v>
      </c>
      <c r="E434" s="35" t="inlineStr">
        <is>
          <t>RULED</t>
        </is>
      </c>
      <c r="F434" s="35" t="inlineStr">
        <is>
          <t>USNYC</t>
        </is>
      </c>
      <c r="G434" s="35" t="n">
        <v>23230</v>
      </c>
      <c r="H434" s="35" t="inlineStr">
        <is>
          <t>ART</t>
        </is>
      </c>
      <c r="I434" s="35" t="inlineStr">
        <is>
          <t>22G1</t>
        </is>
      </c>
      <c r="L434" s="35" t="inlineStr">
        <is>
          <t>8'6</t>
        </is>
      </c>
      <c r="M434" s="35" t="inlineStr">
        <is>
          <t>Full</t>
        </is>
      </c>
      <c r="P434">
        <f t="array" ref="P434">IFERROR(INDEX(Disch_Booking_Report!B:B, MATCH(TRUE, ISNUMBER(FIND(SUBSTITUTE(C434," ",""), Disch_Booking_Report!AC:AC)), 0)), "Not Found")</f>
        <v/>
      </c>
      <c r="Q434">
        <f t="array" ref="Q434">IFERROR(INDEX(Disch_Booking_Report!C:C, MATCH(TRUE, ISNUMBER(FIND(SUBSTITUTE(C434," ",""), Disch_Booking_Report!AC:AC)), 0)), "Not Found")</f>
        <v/>
      </c>
      <c r="R434">
        <f t="array" ref="R434">IFERROR(INDEX(Disch_Booking_Report!AD:AD, MATCH(TRUE, ISNUMBER(FIND(SUBSTITUTE(C434," ",""), Disch_Booking_Report!AC:AC)), 0)), "Not Found")</f>
        <v/>
      </c>
      <c r="S434">
        <f>Tabela2[[#This Row],[Weight]]</f>
        <v/>
      </c>
      <c r="T434">
        <f t="array" ref="T434">IFERROR(INDEX(Disch_Booking_Report!L:L, MATCH(TRUE, ISNUMBER(FIND(SUBSTITUTE(C434," ",""), Disch_Booking_Report!AC:AC)), 0)), "Not Found")</f>
        <v/>
      </c>
      <c r="U434">
        <f t="array" ref="U434">IFERROR(INDEX(Disch_Booking_Report!I:I, MATCH(TRUE, ISNUMBER(FIND(SUBSTITUTE(C434," ",""), Disch_Booking_Report!AC:AC)), 0)), "Not Found")</f>
        <v/>
      </c>
    </row>
    <row r="435">
      <c r="A435" s="35" t="n">
        <v>33</v>
      </c>
      <c r="B435" s="35" t="n">
        <v>330604</v>
      </c>
      <c r="C435" s="35" t="inlineStr">
        <is>
          <t xml:space="preserve">     ANON0000000</t>
        </is>
      </c>
      <c r="D435" s="35" t="n">
        <v>20</v>
      </c>
      <c r="E435" s="35" t="inlineStr">
        <is>
          <t>RULED</t>
        </is>
      </c>
      <c r="F435" s="35" t="inlineStr">
        <is>
          <t>USNYC</t>
        </is>
      </c>
      <c r="G435" s="35" t="n">
        <v>23260</v>
      </c>
      <c r="H435" s="35" t="inlineStr">
        <is>
          <t>ART</t>
        </is>
      </c>
      <c r="I435" s="35" t="inlineStr">
        <is>
          <t>22G1</t>
        </is>
      </c>
      <c r="L435" s="35" t="inlineStr">
        <is>
          <t>8'6</t>
        </is>
      </c>
      <c r="M435" s="35" t="inlineStr">
        <is>
          <t>Full</t>
        </is>
      </c>
      <c r="P435">
        <f t="array" ref="P435">IFERROR(INDEX(Disch_Booking_Report!B:B, MATCH(TRUE, ISNUMBER(FIND(SUBSTITUTE(C435," ",""), Disch_Booking_Report!AC:AC)), 0)), "Not Found")</f>
        <v/>
      </c>
      <c r="Q435">
        <f t="array" ref="Q435">IFERROR(INDEX(Disch_Booking_Report!C:C, MATCH(TRUE, ISNUMBER(FIND(SUBSTITUTE(C435," ",""), Disch_Booking_Report!AC:AC)), 0)), "Not Found")</f>
        <v/>
      </c>
      <c r="R435">
        <f t="array" ref="R435">IFERROR(INDEX(Disch_Booking_Report!AD:AD, MATCH(TRUE, ISNUMBER(FIND(SUBSTITUTE(C435," ",""), Disch_Booking_Report!AC:AC)), 0)), "Not Found")</f>
        <v/>
      </c>
      <c r="S435">
        <f>Tabela2[[#This Row],[Weight]]</f>
        <v/>
      </c>
      <c r="T435">
        <f t="array" ref="T435">IFERROR(INDEX(Disch_Booking_Report!L:L, MATCH(TRUE, ISNUMBER(FIND(SUBSTITUTE(C435," ",""), Disch_Booking_Report!AC:AC)), 0)), "Not Found")</f>
        <v/>
      </c>
      <c r="U435">
        <f t="array" ref="U435">IFERROR(INDEX(Disch_Booking_Report!I:I, MATCH(TRUE, ISNUMBER(FIND(SUBSTITUTE(C435," ",""), Disch_Booking_Report!AC:AC)), 0)), "Not Found")</f>
        <v/>
      </c>
    </row>
    <row r="436">
      <c r="A436" s="35" t="n">
        <v>33</v>
      </c>
      <c r="B436" s="35" t="n">
        <v>330306</v>
      </c>
      <c r="C436" s="35" t="inlineStr">
        <is>
          <t xml:space="preserve">     ANON0000000</t>
        </is>
      </c>
      <c r="D436" s="35" t="n">
        <v>20</v>
      </c>
      <c r="E436" s="35" t="inlineStr">
        <is>
          <t>RULED</t>
        </is>
      </c>
      <c r="F436" s="35" t="inlineStr">
        <is>
          <t>USNYC</t>
        </is>
      </c>
      <c r="G436" s="35" t="n">
        <v>23230</v>
      </c>
      <c r="H436" s="35" t="inlineStr">
        <is>
          <t>ART</t>
        </is>
      </c>
      <c r="I436" s="35" t="inlineStr">
        <is>
          <t>22G1</t>
        </is>
      </c>
      <c r="L436" s="35" t="inlineStr">
        <is>
          <t>8'6</t>
        </is>
      </c>
      <c r="M436" s="35" t="inlineStr">
        <is>
          <t>Full</t>
        </is>
      </c>
      <c r="P436">
        <f t="array" ref="P436">IFERROR(INDEX(Disch_Booking_Report!B:B, MATCH(TRUE, ISNUMBER(FIND(SUBSTITUTE(C436," ",""), Disch_Booking_Report!AC:AC)), 0)), "Not Found")</f>
        <v/>
      </c>
      <c r="Q436">
        <f t="array" ref="Q436">IFERROR(INDEX(Disch_Booking_Report!C:C, MATCH(TRUE, ISNUMBER(FIND(SUBSTITUTE(C436," ",""), Disch_Booking_Report!AC:AC)), 0)), "Not Found")</f>
        <v/>
      </c>
      <c r="R436">
        <f t="array" ref="R436">IFERROR(INDEX(Disch_Booking_Report!AD:AD, MATCH(TRUE, ISNUMBER(FIND(SUBSTITUTE(C436," ",""), Disch_Booking_Report!AC:AC)), 0)), "Not Found")</f>
        <v/>
      </c>
      <c r="S436">
        <f>Tabela2[[#This Row],[Weight]]</f>
        <v/>
      </c>
      <c r="T436">
        <f t="array" ref="T436">IFERROR(INDEX(Disch_Booking_Report!L:L, MATCH(TRUE, ISNUMBER(FIND(SUBSTITUTE(C436," ",""), Disch_Booking_Report!AC:AC)), 0)), "Not Found")</f>
        <v/>
      </c>
      <c r="U436">
        <f t="array" ref="U436">IFERROR(INDEX(Disch_Booking_Report!I:I, MATCH(TRUE, ISNUMBER(FIND(SUBSTITUTE(C436," ",""), Disch_Booking_Report!AC:AC)), 0)), "Not Found")</f>
        <v/>
      </c>
    </row>
    <row r="437">
      <c r="A437" s="35" t="n">
        <v>33</v>
      </c>
      <c r="B437" s="35" t="n">
        <v>330404</v>
      </c>
      <c r="C437" s="35" t="inlineStr">
        <is>
          <t xml:space="preserve">     ANON0000000</t>
        </is>
      </c>
      <c r="D437" s="35" t="n">
        <v>20</v>
      </c>
      <c r="E437" s="35" t="inlineStr">
        <is>
          <t>RULED</t>
        </is>
      </c>
      <c r="F437" s="35" t="inlineStr">
        <is>
          <t>USNYC</t>
        </is>
      </c>
      <c r="G437" s="35" t="n">
        <v>23100</v>
      </c>
      <c r="H437" s="35" t="inlineStr">
        <is>
          <t>ART</t>
        </is>
      </c>
      <c r="I437" s="35" t="inlineStr">
        <is>
          <t>22G1</t>
        </is>
      </c>
      <c r="L437" s="35" t="inlineStr">
        <is>
          <t>8'6</t>
        </is>
      </c>
      <c r="M437" s="35" t="inlineStr">
        <is>
          <t>Full</t>
        </is>
      </c>
      <c r="P437">
        <f t="array" ref="P437">IFERROR(INDEX(Disch_Booking_Report!B:B, MATCH(TRUE, ISNUMBER(FIND(SUBSTITUTE(C437," ",""), Disch_Booking_Report!AC:AC)), 0)), "Not Found")</f>
        <v/>
      </c>
      <c r="Q437">
        <f t="array" ref="Q437">IFERROR(INDEX(Disch_Booking_Report!C:C, MATCH(TRUE, ISNUMBER(FIND(SUBSTITUTE(C437," ",""), Disch_Booking_Report!AC:AC)), 0)), "Not Found")</f>
        <v/>
      </c>
      <c r="R437">
        <f t="array" ref="R437">IFERROR(INDEX(Disch_Booking_Report!AD:AD, MATCH(TRUE, ISNUMBER(FIND(SUBSTITUTE(C437," ",""), Disch_Booking_Report!AC:AC)), 0)), "Not Found")</f>
        <v/>
      </c>
      <c r="S437">
        <f>Tabela2[[#This Row],[Weight]]</f>
        <v/>
      </c>
      <c r="T437">
        <f t="array" ref="T437">IFERROR(INDEX(Disch_Booking_Report!L:L, MATCH(TRUE, ISNUMBER(FIND(SUBSTITUTE(C437," ",""), Disch_Booking_Report!AC:AC)), 0)), "Not Found")</f>
        <v/>
      </c>
      <c r="U437">
        <f t="array" ref="U437">IFERROR(INDEX(Disch_Booking_Report!I:I, MATCH(TRUE, ISNUMBER(FIND(SUBSTITUTE(C437," ",""), Disch_Booking_Report!AC:AC)), 0)), "Not Found")</f>
        <v/>
      </c>
    </row>
    <row r="438">
      <c r="A438" s="35" t="n">
        <v>33</v>
      </c>
      <c r="B438" s="35" t="n">
        <v>330606</v>
      </c>
      <c r="C438" s="35" t="inlineStr">
        <is>
          <t xml:space="preserve">     ANON0000000</t>
        </is>
      </c>
      <c r="D438" s="35" t="n">
        <v>20</v>
      </c>
      <c r="E438" s="35" t="inlineStr">
        <is>
          <t>RULED</t>
        </is>
      </c>
      <c r="F438" s="35" t="inlineStr">
        <is>
          <t>USNYC</t>
        </is>
      </c>
      <c r="G438" s="35" t="n">
        <v>23230</v>
      </c>
      <c r="H438" s="35" t="inlineStr">
        <is>
          <t>ART</t>
        </is>
      </c>
      <c r="I438" s="35" t="inlineStr">
        <is>
          <t>22G1</t>
        </is>
      </c>
      <c r="L438" s="35" t="inlineStr">
        <is>
          <t>8'6</t>
        </is>
      </c>
      <c r="M438" s="35" t="inlineStr">
        <is>
          <t>Full</t>
        </is>
      </c>
      <c r="P438">
        <f t="array" ref="P438">IFERROR(INDEX(Disch_Booking_Report!B:B, MATCH(TRUE, ISNUMBER(FIND(SUBSTITUTE(C438," ",""), Disch_Booking_Report!AC:AC)), 0)), "Not Found")</f>
        <v/>
      </c>
      <c r="Q438">
        <f t="array" ref="Q438">IFERROR(INDEX(Disch_Booking_Report!C:C, MATCH(TRUE, ISNUMBER(FIND(SUBSTITUTE(C438," ",""), Disch_Booking_Report!AC:AC)), 0)), "Not Found")</f>
        <v/>
      </c>
      <c r="R438">
        <f t="array" ref="R438">IFERROR(INDEX(Disch_Booking_Report!AD:AD, MATCH(TRUE, ISNUMBER(FIND(SUBSTITUTE(C438," ",""), Disch_Booking_Report!AC:AC)), 0)), "Not Found")</f>
        <v/>
      </c>
      <c r="S438">
        <f>Tabela2[[#This Row],[Weight]]</f>
        <v/>
      </c>
      <c r="T438">
        <f t="array" ref="T438">IFERROR(INDEX(Disch_Booking_Report!L:L, MATCH(TRUE, ISNUMBER(FIND(SUBSTITUTE(C438," ",""), Disch_Booking_Report!AC:AC)), 0)), "Not Found")</f>
        <v/>
      </c>
      <c r="U438">
        <f t="array" ref="U438">IFERROR(INDEX(Disch_Booking_Report!I:I, MATCH(TRUE, ISNUMBER(FIND(SUBSTITUTE(C438," ",""), Disch_Booking_Report!AC:AC)), 0)), "Not Found")</f>
        <v/>
      </c>
    </row>
    <row r="439">
      <c r="A439" s="35" t="n">
        <v>33</v>
      </c>
      <c r="B439" s="35" t="n">
        <v>330406</v>
      </c>
      <c r="C439" s="35" t="inlineStr">
        <is>
          <t xml:space="preserve">     ANON0000000</t>
        </is>
      </c>
      <c r="D439" s="35" t="n">
        <v>20</v>
      </c>
      <c r="E439" s="35" t="inlineStr">
        <is>
          <t>RULED</t>
        </is>
      </c>
      <c r="F439" s="35" t="inlineStr">
        <is>
          <t>USNYC</t>
        </is>
      </c>
      <c r="G439" s="35" t="n">
        <v>23200</v>
      </c>
      <c r="H439" s="35" t="inlineStr">
        <is>
          <t>ART</t>
        </is>
      </c>
      <c r="I439" s="35" t="inlineStr">
        <is>
          <t>22G1</t>
        </is>
      </c>
      <c r="L439" s="35" t="inlineStr">
        <is>
          <t>8'6</t>
        </is>
      </c>
      <c r="M439" s="35" t="inlineStr">
        <is>
          <t>Full</t>
        </is>
      </c>
      <c r="P439">
        <f t="array" ref="P439">IFERROR(INDEX(Disch_Booking_Report!B:B, MATCH(TRUE, ISNUMBER(FIND(SUBSTITUTE(C439," ",""), Disch_Booking_Report!AC:AC)), 0)), "Not Found")</f>
        <v/>
      </c>
      <c r="Q439">
        <f t="array" ref="Q439">IFERROR(INDEX(Disch_Booking_Report!C:C, MATCH(TRUE, ISNUMBER(FIND(SUBSTITUTE(C439," ",""), Disch_Booking_Report!AC:AC)), 0)), "Not Found")</f>
        <v/>
      </c>
      <c r="R439">
        <f t="array" ref="R439">IFERROR(INDEX(Disch_Booking_Report!AD:AD, MATCH(TRUE, ISNUMBER(FIND(SUBSTITUTE(C439," ",""), Disch_Booking_Report!AC:AC)), 0)), "Not Found")</f>
        <v/>
      </c>
      <c r="S439">
        <f>Tabela2[[#This Row],[Weight]]</f>
        <v/>
      </c>
      <c r="T439">
        <f t="array" ref="T439">IFERROR(INDEX(Disch_Booking_Report!L:L, MATCH(TRUE, ISNUMBER(FIND(SUBSTITUTE(C439," ",""), Disch_Booking_Report!AC:AC)), 0)), "Not Found")</f>
        <v/>
      </c>
      <c r="U439">
        <f t="array" ref="U439">IFERROR(INDEX(Disch_Booking_Report!I:I, MATCH(TRUE, ISNUMBER(FIND(SUBSTITUTE(C439," ",""), Disch_Booking_Report!AC:AC)), 0)), "Not Found")</f>
        <v/>
      </c>
    </row>
    <row r="440">
      <c r="A440" s="35" t="n">
        <v>33</v>
      </c>
      <c r="B440" s="35" t="n">
        <v>330104</v>
      </c>
      <c r="C440" s="35" t="inlineStr">
        <is>
          <t xml:space="preserve">     ANON0000000</t>
        </is>
      </c>
      <c r="D440" s="35" t="n">
        <v>20</v>
      </c>
      <c r="E440" s="35" t="inlineStr">
        <is>
          <t>RULED</t>
        </is>
      </c>
      <c r="F440" s="35" t="inlineStr">
        <is>
          <t>USNYC</t>
        </is>
      </c>
      <c r="G440" s="35" t="n">
        <v>23270</v>
      </c>
      <c r="H440" s="35" t="inlineStr">
        <is>
          <t>ART</t>
        </is>
      </c>
      <c r="I440" s="35" t="inlineStr">
        <is>
          <t>22G1</t>
        </is>
      </c>
      <c r="L440" s="35" t="inlineStr">
        <is>
          <t>8'6</t>
        </is>
      </c>
      <c r="M440" s="35" t="inlineStr">
        <is>
          <t>Full</t>
        </is>
      </c>
      <c r="P440">
        <f t="array" ref="P440">IFERROR(INDEX(Disch_Booking_Report!B:B, MATCH(TRUE, ISNUMBER(FIND(SUBSTITUTE(C440," ",""), Disch_Booking_Report!AC:AC)), 0)), "Not Found")</f>
        <v/>
      </c>
      <c r="Q440">
        <f t="array" ref="Q440">IFERROR(INDEX(Disch_Booking_Report!C:C, MATCH(TRUE, ISNUMBER(FIND(SUBSTITUTE(C440," ",""), Disch_Booking_Report!AC:AC)), 0)), "Not Found")</f>
        <v/>
      </c>
      <c r="R440">
        <f t="array" ref="R440">IFERROR(INDEX(Disch_Booking_Report!AD:AD, MATCH(TRUE, ISNUMBER(FIND(SUBSTITUTE(C440," ",""), Disch_Booking_Report!AC:AC)), 0)), "Not Found")</f>
        <v/>
      </c>
      <c r="S440">
        <f>Tabela2[[#This Row],[Weight]]</f>
        <v/>
      </c>
      <c r="T440">
        <f t="array" ref="T440">IFERROR(INDEX(Disch_Booking_Report!L:L, MATCH(TRUE, ISNUMBER(FIND(SUBSTITUTE(C440," ",""), Disch_Booking_Report!AC:AC)), 0)), "Not Found")</f>
        <v/>
      </c>
      <c r="U440">
        <f t="array" ref="U440">IFERROR(INDEX(Disch_Booking_Report!I:I, MATCH(TRUE, ISNUMBER(FIND(SUBSTITUTE(C440," ",""), Disch_Booking_Report!AC:AC)), 0)), "Not Found")</f>
        <v/>
      </c>
    </row>
    <row r="441">
      <c r="A441" s="35" t="n">
        <v>34</v>
      </c>
      <c r="B441" s="35" t="n">
        <v>340284</v>
      </c>
      <c r="C441" s="35" t="inlineStr">
        <is>
          <t xml:space="preserve">     ANON0000000</t>
        </is>
      </c>
      <c r="D441" s="35" t="n">
        <v>40</v>
      </c>
      <c r="E441" s="35" t="inlineStr">
        <is>
          <t>RULED</t>
        </is>
      </c>
      <c r="F441" s="35" t="inlineStr">
        <is>
          <t>USNYC</t>
        </is>
      </c>
      <c r="G441" s="35" t="n">
        <v>33100</v>
      </c>
      <c r="H441" s="35" t="inlineStr">
        <is>
          <t>ART</t>
        </is>
      </c>
      <c r="I441" s="35" t="inlineStr">
        <is>
          <t>45R1</t>
        </is>
      </c>
      <c r="K441" s="35" t="inlineStr">
        <is>
          <t>Dry reefer</t>
        </is>
      </c>
      <c r="L441" s="35" t="inlineStr">
        <is>
          <t>9'6</t>
        </is>
      </c>
      <c r="M441" s="35" t="inlineStr">
        <is>
          <t>Full</t>
        </is>
      </c>
      <c r="P441">
        <f t="array" ref="P441">IFERROR(INDEX(Disch_Booking_Report!B:B, MATCH(TRUE, ISNUMBER(FIND(SUBSTITUTE(C441," ",""), Disch_Booking_Report!AC:AC)), 0)), "Not Found")</f>
        <v/>
      </c>
      <c r="Q441">
        <f t="array" ref="Q441">IFERROR(INDEX(Disch_Booking_Report!C:C, MATCH(TRUE, ISNUMBER(FIND(SUBSTITUTE(C441," ",""), Disch_Booking_Report!AC:AC)), 0)), "Not Found")</f>
        <v/>
      </c>
      <c r="R441">
        <f t="array" ref="R441">IFERROR(INDEX(Disch_Booking_Report!AD:AD, MATCH(TRUE, ISNUMBER(FIND(SUBSTITUTE(C441," ",""), Disch_Booking_Report!AC:AC)), 0)), "Not Found")</f>
        <v/>
      </c>
      <c r="S441">
        <f>Tabela2[[#This Row],[Weight]]</f>
        <v/>
      </c>
      <c r="T441">
        <f t="array" ref="T441">IFERROR(INDEX(Disch_Booking_Report!L:L, MATCH(TRUE, ISNUMBER(FIND(SUBSTITUTE(C441," ",""), Disch_Booking_Report!AC:AC)), 0)), "Not Found")</f>
        <v/>
      </c>
      <c r="U441">
        <f t="array" ref="U441">IFERROR(INDEX(Disch_Booking_Report!I:I, MATCH(TRUE, ISNUMBER(FIND(SUBSTITUTE(C441," ",""), Disch_Booking_Report!AC:AC)), 0)), "Not Found")</f>
        <v/>
      </c>
    </row>
    <row r="442">
      <c r="A442" s="35" t="n">
        <v>34</v>
      </c>
      <c r="B442" s="35" t="n">
        <v>340084</v>
      </c>
      <c r="C442" s="35" t="inlineStr">
        <is>
          <t xml:space="preserve">     ANON0000000</t>
        </is>
      </c>
      <c r="D442" s="35" t="n">
        <v>40</v>
      </c>
      <c r="E442" s="35" t="inlineStr">
        <is>
          <t>RULED</t>
        </is>
      </c>
      <c r="F442" s="35" t="inlineStr">
        <is>
          <t>USNYC</t>
        </is>
      </c>
      <c r="G442" s="35" t="n">
        <v>33980</v>
      </c>
      <c r="H442" s="35" t="inlineStr">
        <is>
          <t>ART</t>
        </is>
      </c>
      <c r="I442" s="35" t="inlineStr">
        <is>
          <t>45R1</t>
        </is>
      </c>
      <c r="K442" s="35" t="inlineStr">
        <is>
          <t>Dry reefer</t>
        </is>
      </c>
      <c r="L442" s="35" t="inlineStr">
        <is>
          <t>9'6</t>
        </is>
      </c>
      <c r="M442" s="35" t="inlineStr">
        <is>
          <t>Full</t>
        </is>
      </c>
      <c r="P442">
        <f t="array" ref="P442">IFERROR(INDEX(Disch_Booking_Report!B:B, MATCH(TRUE, ISNUMBER(FIND(SUBSTITUTE(C442," ",""), Disch_Booking_Report!AC:AC)), 0)), "Not Found")</f>
        <v/>
      </c>
      <c r="Q442">
        <f t="array" ref="Q442">IFERROR(INDEX(Disch_Booking_Report!C:C, MATCH(TRUE, ISNUMBER(FIND(SUBSTITUTE(C442," ",""), Disch_Booking_Report!AC:AC)), 0)), "Not Found")</f>
        <v/>
      </c>
      <c r="R442">
        <f t="array" ref="R442">IFERROR(INDEX(Disch_Booking_Report!AD:AD, MATCH(TRUE, ISNUMBER(FIND(SUBSTITUTE(C442," ",""), Disch_Booking_Report!AC:AC)), 0)), "Not Found")</f>
        <v/>
      </c>
      <c r="S442">
        <f>Tabela2[[#This Row],[Weight]]</f>
        <v/>
      </c>
      <c r="T442">
        <f t="array" ref="T442">IFERROR(INDEX(Disch_Booking_Report!L:L, MATCH(TRUE, ISNUMBER(FIND(SUBSTITUTE(C442," ",""), Disch_Booking_Report!AC:AC)), 0)), "Not Found")</f>
        <v/>
      </c>
      <c r="U442">
        <f t="array" ref="U442">IFERROR(INDEX(Disch_Booking_Report!I:I, MATCH(TRUE, ISNUMBER(FIND(SUBSTITUTE(C442," ",""), Disch_Booking_Report!AC:AC)), 0)), "Not Found")</f>
        <v/>
      </c>
    </row>
    <row r="443">
      <c r="A443" s="35" t="n">
        <v>34</v>
      </c>
      <c r="B443" s="35" t="n">
        <v>340184</v>
      </c>
      <c r="C443" s="35" t="inlineStr">
        <is>
          <t xml:space="preserve">     ANON0000000</t>
        </is>
      </c>
      <c r="D443" s="35" t="n">
        <v>40</v>
      </c>
      <c r="E443" s="35" t="inlineStr">
        <is>
          <t>RULED</t>
        </is>
      </c>
      <c r="F443" s="35" t="inlineStr">
        <is>
          <t>USNYC</t>
        </is>
      </c>
      <c r="G443" s="35" t="n">
        <v>33960</v>
      </c>
      <c r="H443" s="35" t="inlineStr">
        <is>
          <t>ART</t>
        </is>
      </c>
      <c r="I443" s="35" t="inlineStr">
        <is>
          <t>45R1</t>
        </is>
      </c>
      <c r="K443" s="35" t="inlineStr">
        <is>
          <t>Dry reefer</t>
        </is>
      </c>
      <c r="L443" s="35" t="inlineStr">
        <is>
          <t>9'6</t>
        </is>
      </c>
      <c r="M443" s="35" t="inlineStr">
        <is>
          <t>Full</t>
        </is>
      </c>
      <c r="P443">
        <f t="array" ref="P443">IFERROR(INDEX(Disch_Booking_Report!B:B, MATCH(TRUE, ISNUMBER(FIND(SUBSTITUTE(C443," ",""), Disch_Booking_Report!AC:AC)), 0)), "Not Found")</f>
        <v/>
      </c>
      <c r="Q443">
        <f t="array" ref="Q443">IFERROR(INDEX(Disch_Booking_Report!C:C, MATCH(TRUE, ISNUMBER(FIND(SUBSTITUTE(C443," ",""), Disch_Booking_Report!AC:AC)), 0)), "Not Found")</f>
        <v/>
      </c>
      <c r="R443">
        <f t="array" ref="R443">IFERROR(INDEX(Disch_Booking_Report!AD:AD, MATCH(TRUE, ISNUMBER(FIND(SUBSTITUTE(C443," ",""), Disch_Booking_Report!AC:AC)), 0)), "Not Found")</f>
        <v/>
      </c>
      <c r="S443">
        <f>Tabela2[[#This Row],[Weight]]</f>
        <v/>
      </c>
      <c r="T443">
        <f t="array" ref="T443">IFERROR(INDEX(Disch_Booking_Report!L:L, MATCH(TRUE, ISNUMBER(FIND(SUBSTITUTE(C443," ",""), Disch_Booking_Report!AC:AC)), 0)), "Not Found")</f>
        <v/>
      </c>
      <c r="U443">
        <f t="array" ref="U443">IFERROR(INDEX(Disch_Booking_Report!I:I, MATCH(TRUE, ISNUMBER(FIND(SUBSTITUTE(C443," ",""), Disch_Booking_Report!AC:AC)), 0)), "Not Found")</f>
        <v/>
      </c>
    </row>
    <row r="444">
      <c r="A444" s="35" t="n">
        <v>34</v>
      </c>
      <c r="B444" s="35" t="n">
        <v>340508</v>
      </c>
      <c r="C444" s="35" t="inlineStr">
        <is>
          <t xml:space="preserve">     ANON0000000</t>
        </is>
      </c>
      <c r="D444" s="35" t="n">
        <v>40</v>
      </c>
      <c r="E444" s="35" t="inlineStr">
        <is>
          <t>RULED</t>
        </is>
      </c>
      <c r="F444" s="35" t="inlineStr">
        <is>
          <t>USNYC</t>
        </is>
      </c>
      <c r="G444" s="35" t="n">
        <v>32320</v>
      </c>
      <c r="H444" s="35" t="inlineStr">
        <is>
          <t>ART</t>
        </is>
      </c>
      <c r="I444" s="35" t="inlineStr">
        <is>
          <t>45G1</t>
        </is>
      </c>
      <c r="L444" s="35" t="inlineStr">
        <is>
          <t>9'6</t>
        </is>
      </c>
      <c r="M444" s="35" t="inlineStr">
        <is>
          <t>Full</t>
        </is>
      </c>
      <c r="P444">
        <f t="array" ref="P444">IFERROR(INDEX(Disch_Booking_Report!B:B, MATCH(TRUE, ISNUMBER(FIND(SUBSTITUTE(C444," ",""), Disch_Booking_Report!AC:AC)), 0)), "Not Found")</f>
        <v/>
      </c>
      <c r="Q444">
        <f t="array" ref="Q444">IFERROR(INDEX(Disch_Booking_Report!C:C, MATCH(TRUE, ISNUMBER(FIND(SUBSTITUTE(C444," ",""), Disch_Booking_Report!AC:AC)), 0)), "Not Found")</f>
        <v/>
      </c>
      <c r="R444">
        <f t="array" ref="R444">IFERROR(INDEX(Disch_Booking_Report!AD:AD, MATCH(TRUE, ISNUMBER(FIND(SUBSTITUTE(C444," ",""), Disch_Booking_Report!AC:AC)), 0)), "Not Found")</f>
        <v/>
      </c>
      <c r="S444">
        <f>Tabela2[[#This Row],[Weight]]</f>
        <v/>
      </c>
      <c r="T444">
        <f t="array" ref="T444">IFERROR(INDEX(Disch_Booking_Report!L:L, MATCH(TRUE, ISNUMBER(FIND(SUBSTITUTE(C444," ",""), Disch_Booking_Report!AC:AC)), 0)), "Not Found")</f>
        <v/>
      </c>
      <c r="U444">
        <f t="array" ref="U444">IFERROR(INDEX(Disch_Booking_Report!I:I, MATCH(TRUE, ISNUMBER(FIND(SUBSTITUTE(C444," ",""), Disch_Booking_Report!AC:AC)), 0)), "Not Found")</f>
        <v/>
      </c>
    </row>
    <row r="445">
      <c r="A445" s="35" t="n">
        <v>34</v>
      </c>
      <c r="B445" s="35" t="n">
        <v>341084</v>
      </c>
      <c r="C445" s="35" t="inlineStr">
        <is>
          <t xml:space="preserve">     ANON0000000</t>
        </is>
      </c>
      <c r="D445" s="35" t="n">
        <v>40</v>
      </c>
      <c r="E445" s="35" t="inlineStr">
        <is>
          <t>RULED</t>
        </is>
      </c>
      <c r="F445" s="35" t="inlineStr">
        <is>
          <t>USNYC</t>
        </is>
      </c>
      <c r="G445" s="35" t="n">
        <v>33940</v>
      </c>
      <c r="H445" s="35" t="inlineStr">
        <is>
          <t>ART</t>
        </is>
      </c>
      <c r="I445" s="35" t="inlineStr">
        <is>
          <t>45R1</t>
        </is>
      </c>
      <c r="K445" s="35" t="inlineStr">
        <is>
          <t>Dry reefer</t>
        </is>
      </c>
      <c r="L445" s="35" t="inlineStr">
        <is>
          <t>9'6</t>
        </is>
      </c>
      <c r="M445" s="35" t="inlineStr">
        <is>
          <t>Full</t>
        </is>
      </c>
      <c r="P445">
        <f t="array" ref="P445">IFERROR(INDEX(Disch_Booking_Report!B:B, MATCH(TRUE, ISNUMBER(FIND(SUBSTITUTE(C445," ",""), Disch_Booking_Report!AC:AC)), 0)), "Not Found")</f>
        <v/>
      </c>
      <c r="Q445">
        <f t="array" ref="Q445">IFERROR(INDEX(Disch_Booking_Report!C:C, MATCH(TRUE, ISNUMBER(FIND(SUBSTITUTE(C445," ",""), Disch_Booking_Report!AC:AC)), 0)), "Not Found")</f>
        <v/>
      </c>
      <c r="R445">
        <f t="array" ref="R445">IFERROR(INDEX(Disch_Booking_Report!AD:AD, MATCH(TRUE, ISNUMBER(FIND(SUBSTITUTE(C445," ",""), Disch_Booking_Report!AC:AC)), 0)), "Not Found")</f>
        <v/>
      </c>
      <c r="S445">
        <f>Tabela2[[#This Row],[Weight]]</f>
        <v/>
      </c>
      <c r="T445">
        <f t="array" ref="T445">IFERROR(INDEX(Disch_Booking_Report!L:L, MATCH(TRUE, ISNUMBER(FIND(SUBSTITUTE(C445," ",""), Disch_Booking_Report!AC:AC)), 0)), "Not Found")</f>
        <v/>
      </c>
      <c r="U445">
        <f t="array" ref="U445">IFERROR(INDEX(Disch_Booking_Report!I:I, MATCH(TRUE, ISNUMBER(FIND(SUBSTITUTE(C445," ",""), Disch_Booking_Report!AC:AC)), 0)), "Not Found")</f>
        <v/>
      </c>
    </row>
    <row r="446">
      <c r="A446" s="35" t="n">
        <v>34</v>
      </c>
      <c r="B446" s="35" t="n">
        <v>340384</v>
      </c>
      <c r="C446" s="35" t="inlineStr">
        <is>
          <t xml:space="preserve">     ANON0000000</t>
        </is>
      </c>
      <c r="D446" s="35" t="n">
        <v>40</v>
      </c>
      <c r="E446" s="35" t="inlineStr">
        <is>
          <t>RULED</t>
        </is>
      </c>
      <c r="F446" s="35" t="inlineStr">
        <is>
          <t>USNYC</t>
        </is>
      </c>
      <c r="G446" s="35" t="n">
        <v>34020</v>
      </c>
      <c r="H446" s="35" t="inlineStr">
        <is>
          <t>ART</t>
        </is>
      </c>
      <c r="I446" s="35" t="inlineStr">
        <is>
          <t>45R1</t>
        </is>
      </c>
      <c r="K446" s="35" t="inlineStr">
        <is>
          <t>Dry reefer</t>
        </is>
      </c>
      <c r="L446" s="35" t="inlineStr">
        <is>
          <t>9'6</t>
        </is>
      </c>
      <c r="M446" s="35" t="inlineStr">
        <is>
          <t>Full</t>
        </is>
      </c>
      <c r="P446">
        <f t="array" ref="P446">IFERROR(INDEX(Disch_Booking_Report!B:B, MATCH(TRUE, ISNUMBER(FIND(SUBSTITUTE(C446," ",""), Disch_Booking_Report!AC:AC)), 0)), "Not Found")</f>
        <v/>
      </c>
      <c r="Q446">
        <f t="array" ref="Q446">IFERROR(INDEX(Disch_Booking_Report!C:C, MATCH(TRUE, ISNUMBER(FIND(SUBSTITUTE(C446," ",""), Disch_Booking_Report!AC:AC)), 0)), "Not Found")</f>
        <v/>
      </c>
      <c r="R446">
        <f t="array" ref="R446">IFERROR(INDEX(Disch_Booking_Report!AD:AD, MATCH(TRUE, ISNUMBER(FIND(SUBSTITUTE(C446," ",""), Disch_Booking_Report!AC:AC)), 0)), "Not Found")</f>
        <v/>
      </c>
      <c r="S446">
        <f>Tabela2[[#This Row],[Weight]]</f>
        <v/>
      </c>
      <c r="T446">
        <f t="array" ref="T446">IFERROR(INDEX(Disch_Booking_Report!L:L, MATCH(TRUE, ISNUMBER(FIND(SUBSTITUTE(C446," ",""), Disch_Booking_Report!AC:AC)), 0)), "Not Found")</f>
        <v/>
      </c>
      <c r="U446">
        <f t="array" ref="U446">IFERROR(INDEX(Disch_Booking_Report!I:I, MATCH(TRUE, ISNUMBER(FIND(SUBSTITUTE(C446," ",""), Disch_Booking_Report!AC:AC)), 0)), "Not Found")</f>
        <v/>
      </c>
    </row>
    <row r="447">
      <c r="A447" s="35" t="n">
        <v>34</v>
      </c>
      <c r="B447" s="35" t="n">
        <v>340984</v>
      </c>
      <c r="C447" s="35" t="inlineStr">
        <is>
          <t xml:space="preserve">     ANON0000000</t>
        </is>
      </c>
      <c r="D447" s="35" t="n">
        <v>40</v>
      </c>
      <c r="E447" s="35" t="inlineStr">
        <is>
          <t>RULED</t>
        </is>
      </c>
      <c r="F447" s="35" t="inlineStr">
        <is>
          <t>USNYC</t>
        </is>
      </c>
      <c r="G447" s="35" t="n">
        <v>34000</v>
      </c>
      <c r="H447" s="35" t="inlineStr">
        <is>
          <t>ART</t>
        </is>
      </c>
      <c r="I447" s="35" t="inlineStr">
        <is>
          <t>45R1</t>
        </is>
      </c>
      <c r="K447" s="35" t="inlineStr">
        <is>
          <t>Dry reefer</t>
        </is>
      </c>
      <c r="L447" s="35" t="inlineStr">
        <is>
          <t>9'6</t>
        </is>
      </c>
      <c r="M447" s="35" t="inlineStr">
        <is>
          <t>Full</t>
        </is>
      </c>
      <c r="P447">
        <f t="array" ref="P447">IFERROR(INDEX(Disch_Booking_Report!B:B, MATCH(TRUE, ISNUMBER(FIND(SUBSTITUTE(C447," ",""), Disch_Booking_Report!AC:AC)), 0)), "Not Found")</f>
        <v/>
      </c>
      <c r="Q447">
        <f t="array" ref="Q447">IFERROR(INDEX(Disch_Booking_Report!C:C, MATCH(TRUE, ISNUMBER(FIND(SUBSTITUTE(C447," ",""), Disch_Booking_Report!AC:AC)), 0)), "Not Found")</f>
        <v/>
      </c>
      <c r="R447">
        <f t="array" ref="R447">IFERROR(INDEX(Disch_Booking_Report!AD:AD, MATCH(TRUE, ISNUMBER(FIND(SUBSTITUTE(C447," ",""), Disch_Booking_Report!AC:AC)), 0)), "Not Found")</f>
        <v/>
      </c>
      <c r="S447">
        <f>Tabela2[[#This Row],[Weight]]</f>
        <v/>
      </c>
      <c r="T447">
        <f t="array" ref="T447">IFERROR(INDEX(Disch_Booking_Report!L:L, MATCH(TRUE, ISNUMBER(FIND(SUBSTITUTE(C447," ",""), Disch_Booking_Report!AC:AC)), 0)), "Not Found")</f>
        <v/>
      </c>
      <c r="U447">
        <f t="array" ref="U447">IFERROR(INDEX(Disch_Booking_Report!I:I, MATCH(TRUE, ISNUMBER(FIND(SUBSTITUTE(C447," ",""), Disch_Booking_Report!AC:AC)), 0)), "Not Found")</f>
        <v/>
      </c>
    </row>
    <row r="448">
      <c r="A448" s="35" t="n">
        <v>34</v>
      </c>
      <c r="B448" s="35" t="n">
        <v>340608</v>
      </c>
      <c r="C448" s="35" t="inlineStr">
        <is>
          <t xml:space="preserve">     ANON0000000</t>
        </is>
      </c>
      <c r="D448" s="35" t="n">
        <v>40</v>
      </c>
      <c r="E448" s="35" t="inlineStr">
        <is>
          <t>RULED</t>
        </is>
      </c>
      <c r="F448" s="35" t="inlineStr">
        <is>
          <t>USNYC</t>
        </is>
      </c>
      <c r="G448" s="35" t="n">
        <v>32320</v>
      </c>
      <c r="H448" s="35" t="inlineStr">
        <is>
          <t>ART</t>
        </is>
      </c>
      <c r="I448" s="35" t="inlineStr">
        <is>
          <t>45G1</t>
        </is>
      </c>
      <c r="L448" s="35" t="inlineStr">
        <is>
          <t>9'6</t>
        </is>
      </c>
      <c r="M448" s="35" t="inlineStr">
        <is>
          <t>Full</t>
        </is>
      </c>
      <c r="P448">
        <f t="array" ref="P448">IFERROR(INDEX(Disch_Booking_Report!B:B, MATCH(TRUE, ISNUMBER(FIND(SUBSTITUTE(C448," ",""), Disch_Booking_Report!AC:AC)), 0)), "Not Found")</f>
        <v/>
      </c>
      <c r="Q448">
        <f t="array" ref="Q448">IFERROR(INDEX(Disch_Booking_Report!C:C, MATCH(TRUE, ISNUMBER(FIND(SUBSTITUTE(C448," ",""), Disch_Booking_Report!AC:AC)), 0)), "Not Found")</f>
        <v/>
      </c>
      <c r="R448">
        <f t="array" ref="R448">IFERROR(INDEX(Disch_Booking_Report!AD:AD, MATCH(TRUE, ISNUMBER(FIND(SUBSTITUTE(C448," ",""), Disch_Booking_Report!AC:AC)), 0)), "Not Found")</f>
        <v/>
      </c>
      <c r="S448">
        <f>Tabela2[[#This Row],[Weight]]</f>
        <v/>
      </c>
      <c r="T448">
        <f t="array" ref="T448">IFERROR(INDEX(Disch_Booking_Report!L:L, MATCH(TRUE, ISNUMBER(FIND(SUBSTITUTE(C448," ",""), Disch_Booking_Report!AC:AC)), 0)), "Not Found")</f>
        <v/>
      </c>
      <c r="U448">
        <f t="array" ref="U448">IFERROR(INDEX(Disch_Booking_Report!I:I, MATCH(TRUE, ISNUMBER(FIND(SUBSTITUTE(C448," ",""), Disch_Booking_Report!AC:AC)), 0)), "Not Found")</f>
        <v/>
      </c>
    </row>
    <row r="449">
      <c r="A449" s="35" t="n">
        <v>34</v>
      </c>
      <c r="B449" s="35" t="n">
        <v>340382</v>
      </c>
      <c r="C449" s="35" t="inlineStr">
        <is>
          <t xml:space="preserve">     ANON0000000</t>
        </is>
      </c>
      <c r="D449" s="35" t="n">
        <v>40</v>
      </c>
      <c r="E449" s="35" t="inlineStr">
        <is>
          <t>RULED</t>
        </is>
      </c>
      <c r="F449" s="35" t="inlineStr">
        <is>
          <t>USNYC</t>
        </is>
      </c>
      <c r="G449" s="35" t="n">
        <v>33960</v>
      </c>
      <c r="H449" s="35" t="inlineStr">
        <is>
          <t>ART</t>
        </is>
      </c>
      <c r="I449" s="35" t="inlineStr">
        <is>
          <t>45R1</t>
        </is>
      </c>
      <c r="K449" s="35" t="inlineStr">
        <is>
          <t>Dry reefer</t>
        </is>
      </c>
      <c r="L449" s="35" t="inlineStr">
        <is>
          <t>9'6</t>
        </is>
      </c>
      <c r="M449" s="35" t="inlineStr">
        <is>
          <t>Full</t>
        </is>
      </c>
      <c r="P449">
        <f t="array" ref="P449">IFERROR(INDEX(Disch_Booking_Report!B:B, MATCH(TRUE, ISNUMBER(FIND(SUBSTITUTE(C449," ",""), Disch_Booking_Report!AC:AC)), 0)), "Not Found")</f>
        <v/>
      </c>
      <c r="Q449">
        <f t="array" ref="Q449">IFERROR(INDEX(Disch_Booking_Report!C:C, MATCH(TRUE, ISNUMBER(FIND(SUBSTITUTE(C449," ",""), Disch_Booking_Report!AC:AC)), 0)), "Not Found")</f>
        <v/>
      </c>
      <c r="R449">
        <f t="array" ref="R449">IFERROR(INDEX(Disch_Booking_Report!AD:AD, MATCH(TRUE, ISNUMBER(FIND(SUBSTITUTE(C449," ",""), Disch_Booking_Report!AC:AC)), 0)), "Not Found")</f>
        <v/>
      </c>
      <c r="S449">
        <f>Tabela2[[#This Row],[Weight]]</f>
        <v/>
      </c>
      <c r="T449">
        <f t="array" ref="T449">IFERROR(INDEX(Disch_Booking_Report!L:L, MATCH(TRUE, ISNUMBER(FIND(SUBSTITUTE(C449," ",""), Disch_Booking_Report!AC:AC)), 0)), "Not Found")</f>
        <v/>
      </c>
      <c r="U449">
        <f t="array" ref="U449">IFERROR(INDEX(Disch_Booking_Report!I:I, MATCH(TRUE, ISNUMBER(FIND(SUBSTITUTE(C449," ",""), Disch_Booking_Report!AC:AC)), 0)), "Not Found")</f>
        <v/>
      </c>
    </row>
    <row r="450">
      <c r="A450" s="35" t="n">
        <v>34</v>
      </c>
      <c r="B450" s="35" t="n">
        <v>340584</v>
      </c>
      <c r="C450" s="35" t="inlineStr">
        <is>
          <t xml:space="preserve">     ANON0000000</t>
        </is>
      </c>
      <c r="D450" s="35" t="n">
        <v>40</v>
      </c>
      <c r="E450" s="35" t="inlineStr">
        <is>
          <t>RULED</t>
        </is>
      </c>
      <c r="F450" s="35" t="inlineStr">
        <is>
          <t>USNYC</t>
        </is>
      </c>
      <c r="G450" s="35" t="n">
        <v>34040</v>
      </c>
      <c r="H450" s="35" t="inlineStr">
        <is>
          <t>ART</t>
        </is>
      </c>
      <c r="I450" s="35" t="inlineStr">
        <is>
          <t>45R1</t>
        </is>
      </c>
      <c r="K450" s="35" t="inlineStr">
        <is>
          <t>Dry reefer</t>
        </is>
      </c>
      <c r="L450" s="35" t="inlineStr">
        <is>
          <t>9'6</t>
        </is>
      </c>
      <c r="M450" s="35" t="inlineStr">
        <is>
          <t>Full</t>
        </is>
      </c>
      <c r="P450">
        <f t="array" ref="P450">IFERROR(INDEX(Disch_Booking_Report!B:B, MATCH(TRUE, ISNUMBER(FIND(SUBSTITUTE(C450," ",""), Disch_Booking_Report!AC:AC)), 0)), "Not Found")</f>
        <v/>
      </c>
      <c r="Q450">
        <f t="array" ref="Q450">IFERROR(INDEX(Disch_Booking_Report!C:C, MATCH(TRUE, ISNUMBER(FIND(SUBSTITUTE(C450," ",""), Disch_Booking_Report!AC:AC)), 0)), "Not Found")</f>
        <v/>
      </c>
      <c r="R450">
        <f t="array" ref="R450">IFERROR(INDEX(Disch_Booking_Report!AD:AD, MATCH(TRUE, ISNUMBER(FIND(SUBSTITUTE(C450," ",""), Disch_Booking_Report!AC:AC)), 0)), "Not Found")</f>
        <v/>
      </c>
      <c r="S450">
        <f>Tabela2[[#This Row],[Weight]]</f>
        <v/>
      </c>
      <c r="T450">
        <f t="array" ref="T450">IFERROR(INDEX(Disch_Booking_Report!L:L, MATCH(TRUE, ISNUMBER(FIND(SUBSTITUTE(C450," ",""), Disch_Booking_Report!AC:AC)), 0)), "Not Found")</f>
        <v/>
      </c>
      <c r="U450">
        <f t="array" ref="U450">IFERROR(INDEX(Disch_Booking_Report!I:I, MATCH(TRUE, ISNUMBER(FIND(SUBSTITUTE(C450," ",""), Disch_Booking_Report!AC:AC)), 0)), "Not Found")</f>
        <v/>
      </c>
    </row>
    <row r="451">
      <c r="A451" s="35" t="n">
        <v>34</v>
      </c>
      <c r="B451" s="35" t="n">
        <v>340882</v>
      </c>
      <c r="C451" s="35" t="inlineStr">
        <is>
          <t xml:space="preserve">     ANON0000000</t>
        </is>
      </c>
      <c r="D451" s="35" t="n">
        <v>40</v>
      </c>
      <c r="E451" s="35" t="inlineStr">
        <is>
          <t>RULED</t>
        </is>
      </c>
      <c r="F451" s="35" t="inlineStr">
        <is>
          <t>USNYC</t>
        </is>
      </c>
      <c r="G451" s="35" t="n">
        <v>33800</v>
      </c>
      <c r="H451" s="35" t="inlineStr">
        <is>
          <t>ART</t>
        </is>
      </c>
      <c r="I451" s="35" t="inlineStr">
        <is>
          <t>45R1</t>
        </is>
      </c>
      <c r="K451" s="35" t="inlineStr">
        <is>
          <t>Dry reefer</t>
        </is>
      </c>
      <c r="L451" s="35" t="inlineStr">
        <is>
          <t>9'6</t>
        </is>
      </c>
      <c r="M451" s="35" t="inlineStr">
        <is>
          <t>Full</t>
        </is>
      </c>
      <c r="P451">
        <f t="array" ref="P451">IFERROR(INDEX(Disch_Booking_Report!B:B, MATCH(TRUE, ISNUMBER(FIND(SUBSTITUTE(C451," ",""), Disch_Booking_Report!AC:AC)), 0)), "Not Found")</f>
        <v/>
      </c>
      <c r="Q451">
        <f t="array" ref="Q451">IFERROR(INDEX(Disch_Booking_Report!C:C, MATCH(TRUE, ISNUMBER(FIND(SUBSTITUTE(C451," ",""), Disch_Booking_Report!AC:AC)), 0)), "Not Found")</f>
        <v/>
      </c>
      <c r="R451">
        <f t="array" ref="R451">IFERROR(INDEX(Disch_Booking_Report!AD:AD, MATCH(TRUE, ISNUMBER(FIND(SUBSTITUTE(C451," ",""), Disch_Booking_Report!AC:AC)), 0)), "Not Found")</f>
        <v/>
      </c>
      <c r="S451">
        <f>Tabela2[[#This Row],[Weight]]</f>
        <v/>
      </c>
      <c r="T451">
        <f t="array" ref="T451">IFERROR(INDEX(Disch_Booking_Report!L:L, MATCH(TRUE, ISNUMBER(FIND(SUBSTITUTE(C451," ",""), Disch_Booking_Report!AC:AC)), 0)), "Not Found")</f>
        <v/>
      </c>
      <c r="U451">
        <f t="array" ref="U451">IFERROR(INDEX(Disch_Booking_Report!I:I, MATCH(TRUE, ISNUMBER(FIND(SUBSTITUTE(C451," ",""), Disch_Booking_Report!AC:AC)), 0)), "Not Found")</f>
        <v/>
      </c>
    </row>
    <row r="452">
      <c r="A452" s="35" t="n">
        <v>34</v>
      </c>
      <c r="B452" s="35" t="n">
        <v>340484</v>
      </c>
      <c r="C452" s="35" t="inlineStr">
        <is>
          <t xml:space="preserve">     ANON0000000</t>
        </is>
      </c>
      <c r="D452" s="35" t="n">
        <v>40</v>
      </c>
      <c r="E452" s="35" t="inlineStr">
        <is>
          <t>RULED</t>
        </is>
      </c>
      <c r="F452" s="35" t="inlineStr">
        <is>
          <t>USNYC</t>
        </is>
      </c>
      <c r="G452" s="35" t="n">
        <v>33940</v>
      </c>
      <c r="H452" s="35" t="inlineStr">
        <is>
          <t>ART</t>
        </is>
      </c>
      <c r="I452" s="35" t="inlineStr">
        <is>
          <t>45R1</t>
        </is>
      </c>
      <c r="K452" s="35" t="inlineStr">
        <is>
          <t>Dry reefer</t>
        </is>
      </c>
      <c r="L452" s="35" t="inlineStr">
        <is>
          <t>9'6</t>
        </is>
      </c>
      <c r="M452" s="35" t="inlineStr">
        <is>
          <t>Full</t>
        </is>
      </c>
      <c r="P452">
        <f t="array" ref="P452">IFERROR(INDEX(Disch_Booking_Report!B:B, MATCH(TRUE, ISNUMBER(FIND(SUBSTITUTE(C452," ",""), Disch_Booking_Report!AC:AC)), 0)), "Not Found")</f>
        <v/>
      </c>
      <c r="Q452">
        <f t="array" ref="Q452">IFERROR(INDEX(Disch_Booking_Report!C:C, MATCH(TRUE, ISNUMBER(FIND(SUBSTITUTE(C452," ",""), Disch_Booking_Report!AC:AC)), 0)), "Not Found")</f>
        <v/>
      </c>
      <c r="R452">
        <f t="array" ref="R452">IFERROR(INDEX(Disch_Booking_Report!AD:AD, MATCH(TRUE, ISNUMBER(FIND(SUBSTITUTE(C452," ",""), Disch_Booking_Report!AC:AC)), 0)), "Not Found")</f>
        <v/>
      </c>
      <c r="S452">
        <f>Tabela2[[#This Row],[Weight]]</f>
        <v/>
      </c>
      <c r="T452">
        <f t="array" ref="T452">IFERROR(INDEX(Disch_Booking_Report!L:L, MATCH(TRUE, ISNUMBER(FIND(SUBSTITUTE(C452," ",""), Disch_Booking_Report!AC:AC)), 0)), "Not Found")</f>
        <v/>
      </c>
      <c r="U452">
        <f t="array" ref="U452">IFERROR(INDEX(Disch_Booking_Report!I:I, MATCH(TRUE, ISNUMBER(FIND(SUBSTITUTE(C452," ",""), Disch_Booking_Report!AC:AC)), 0)), "Not Found")</f>
        <v/>
      </c>
    </row>
    <row r="453">
      <c r="A453" s="35" t="n">
        <v>34</v>
      </c>
      <c r="B453" s="35" t="n">
        <v>340682</v>
      </c>
      <c r="C453" s="35" t="inlineStr">
        <is>
          <t xml:space="preserve">     ANON0000000</t>
        </is>
      </c>
      <c r="D453" s="35" t="n">
        <v>40</v>
      </c>
      <c r="E453" s="35" t="inlineStr">
        <is>
          <t>RULED</t>
        </is>
      </c>
      <c r="F453" s="35" t="inlineStr">
        <is>
          <t>USNYC</t>
        </is>
      </c>
      <c r="G453" s="35" t="n">
        <v>34910</v>
      </c>
      <c r="H453" s="35" t="inlineStr">
        <is>
          <t>ART</t>
        </is>
      </c>
      <c r="I453" s="35" t="inlineStr">
        <is>
          <t>45R1</t>
        </is>
      </c>
      <c r="K453" s="35" t="inlineStr">
        <is>
          <t>Dry reefer</t>
        </is>
      </c>
      <c r="L453" s="35" t="inlineStr">
        <is>
          <t>9'6</t>
        </is>
      </c>
      <c r="M453" s="35" t="inlineStr">
        <is>
          <t>Full</t>
        </is>
      </c>
      <c r="P453">
        <f t="array" ref="P453">IFERROR(INDEX(Disch_Booking_Report!B:B, MATCH(TRUE, ISNUMBER(FIND(SUBSTITUTE(C453," ",""), Disch_Booking_Report!AC:AC)), 0)), "Not Found")</f>
        <v/>
      </c>
      <c r="Q453">
        <f t="array" ref="Q453">IFERROR(INDEX(Disch_Booking_Report!C:C, MATCH(TRUE, ISNUMBER(FIND(SUBSTITUTE(C453," ",""), Disch_Booking_Report!AC:AC)), 0)), "Not Found")</f>
        <v/>
      </c>
      <c r="R453">
        <f t="array" ref="R453">IFERROR(INDEX(Disch_Booking_Report!AD:AD, MATCH(TRUE, ISNUMBER(FIND(SUBSTITUTE(C453," ",""), Disch_Booking_Report!AC:AC)), 0)), "Not Found")</f>
        <v/>
      </c>
      <c r="S453">
        <f>Tabela2[[#This Row],[Weight]]</f>
        <v/>
      </c>
      <c r="T453">
        <f t="array" ref="T453">IFERROR(INDEX(Disch_Booking_Report!L:L, MATCH(TRUE, ISNUMBER(FIND(SUBSTITUTE(C453," ",""), Disch_Booking_Report!AC:AC)), 0)), "Not Found")</f>
        <v/>
      </c>
      <c r="U453">
        <f t="array" ref="U453">IFERROR(INDEX(Disch_Booking_Report!I:I, MATCH(TRUE, ISNUMBER(FIND(SUBSTITUTE(C453," ",""), Disch_Booking_Report!AC:AC)), 0)), "Not Found")</f>
        <v/>
      </c>
    </row>
    <row r="454">
      <c r="A454" s="35" t="n">
        <v>34</v>
      </c>
      <c r="B454" s="35" t="n">
        <v>340884</v>
      </c>
      <c r="C454" s="35" t="inlineStr">
        <is>
          <t xml:space="preserve">     ANON0000000</t>
        </is>
      </c>
      <c r="D454" s="35" t="n">
        <v>40</v>
      </c>
      <c r="E454" s="35" t="inlineStr">
        <is>
          <t>RULED</t>
        </is>
      </c>
      <c r="F454" s="35" t="inlineStr">
        <is>
          <t>USNYC</t>
        </is>
      </c>
      <c r="G454" s="35" t="n">
        <v>33100</v>
      </c>
      <c r="H454" s="35" t="inlineStr">
        <is>
          <t>ART</t>
        </is>
      </c>
      <c r="I454" s="35" t="inlineStr">
        <is>
          <t>45R1</t>
        </is>
      </c>
      <c r="K454" s="35" t="inlineStr">
        <is>
          <t>Dry reefer</t>
        </is>
      </c>
      <c r="L454" s="35" t="inlineStr">
        <is>
          <t>9'6</t>
        </is>
      </c>
      <c r="M454" s="35" t="inlineStr">
        <is>
          <t>Full</t>
        </is>
      </c>
      <c r="P454">
        <f t="array" ref="P454">IFERROR(INDEX(Disch_Booking_Report!B:B, MATCH(TRUE, ISNUMBER(FIND(SUBSTITUTE(C454," ",""), Disch_Booking_Report!AC:AC)), 0)), "Not Found")</f>
        <v/>
      </c>
      <c r="Q454">
        <f t="array" ref="Q454">IFERROR(INDEX(Disch_Booking_Report!C:C, MATCH(TRUE, ISNUMBER(FIND(SUBSTITUTE(C454," ",""), Disch_Booking_Report!AC:AC)), 0)), "Not Found")</f>
        <v/>
      </c>
      <c r="R454">
        <f t="array" ref="R454">IFERROR(INDEX(Disch_Booking_Report!AD:AD, MATCH(TRUE, ISNUMBER(FIND(SUBSTITUTE(C454," ",""), Disch_Booking_Report!AC:AC)), 0)), "Not Found")</f>
        <v/>
      </c>
      <c r="S454">
        <f>Tabela2[[#This Row],[Weight]]</f>
        <v/>
      </c>
      <c r="T454">
        <f t="array" ref="T454">IFERROR(INDEX(Disch_Booking_Report!L:L, MATCH(TRUE, ISNUMBER(FIND(SUBSTITUTE(C454," ",""), Disch_Booking_Report!AC:AC)), 0)), "Not Found")</f>
        <v/>
      </c>
      <c r="U454">
        <f t="array" ref="U454">IFERROR(INDEX(Disch_Booking_Report!I:I, MATCH(TRUE, ISNUMBER(FIND(SUBSTITUTE(C454," ",""), Disch_Booking_Report!AC:AC)), 0)), "Not Found")</f>
        <v/>
      </c>
    </row>
    <row r="455">
      <c r="A455" s="35" t="n">
        <v>34</v>
      </c>
      <c r="B455" s="35" t="n">
        <v>340784</v>
      </c>
      <c r="C455" s="35" t="inlineStr">
        <is>
          <t xml:space="preserve">     ANON0000000</t>
        </is>
      </c>
      <c r="D455" s="35" t="n">
        <v>40</v>
      </c>
      <c r="E455" s="35" t="inlineStr">
        <is>
          <t>RULED</t>
        </is>
      </c>
      <c r="F455" s="35" t="inlineStr">
        <is>
          <t>USNYC</t>
        </is>
      </c>
      <c r="G455" s="35" t="n">
        <v>33000</v>
      </c>
      <c r="H455" s="35" t="inlineStr">
        <is>
          <t>ART</t>
        </is>
      </c>
      <c r="I455" s="35" t="inlineStr">
        <is>
          <t>45R1</t>
        </is>
      </c>
      <c r="K455" s="35" t="inlineStr">
        <is>
          <t>Dry reefer</t>
        </is>
      </c>
      <c r="L455" s="35" t="inlineStr">
        <is>
          <t>9'6</t>
        </is>
      </c>
      <c r="M455" s="35" t="inlineStr">
        <is>
          <t>Full</t>
        </is>
      </c>
      <c r="P455">
        <f t="array" ref="P455">IFERROR(INDEX(Disch_Booking_Report!B:B, MATCH(TRUE, ISNUMBER(FIND(SUBSTITUTE(C455," ",""), Disch_Booking_Report!AC:AC)), 0)), "Not Found")</f>
        <v/>
      </c>
      <c r="Q455">
        <f t="array" ref="Q455">IFERROR(INDEX(Disch_Booking_Report!C:C, MATCH(TRUE, ISNUMBER(FIND(SUBSTITUTE(C455," ",""), Disch_Booking_Report!AC:AC)), 0)), "Not Found")</f>
        <v/>
      </c>
      <c r="R455">
        <f t="array" ref="R455">IFERROR(INDEX(Disch_Booking_Report!AD:AD, MATCH(TRUE, ISNUMBER(FIND(SUBSTITUTE(C455," ",""), Disch_Booking_Report!AC:AC)), 0)), "Not Found")</f>
        <v/>
      </c>
      <c r="S455">
        <f>Tabela2[[#This Row],[Weight]]</f>
        <v/>
      </c>
      <c r="T455">
        <f t="array" ref="T455">IFERROR(INDEX(Disch_Booking_Report!L:L, MATCH(TRUE, ISNUMBER(FIND(SUBSTITUTE(C455," ",""), Disch_Booking_Report!AC:AC)), 0)), "Not Found")</f>
        <v/>
      </c>
      <c r="U455">
        <f t="array" ref="U455">IFERROR(INDEX(Disch_Booking_Report!I:I, MATCH(TRUE, ISNUMBER(FIND(SUBSTITUTE(C455," ",""), Disch_Booking_Report!AC:AC)), 0)), "Not Found")</f>
        <v/>
      </c>
    </row>
    <row r="456">
      <c r="A456" s="35" t="n">
        <v>34</v>
      </c>
      <c r="B456" s="35" t="n">
        <v>340308</v>
      </c>
      <c r="C456" s="35" t="inlineStr">
        <is>
          <t xml:space="preserve">     ANON0000000</t>
        </is>
      </c>
      <c r="D456" s="35" t="n">
        <v>40</v>
      </c>
      <c r="E456" s="35" t="inlineStr">
        <is>
          <t>RULED</t>
        </is>
      </c>
      <c r="F456" s="35" t="inlineStr">
        <is>
          <t>USNYC</t>
        </is>
      </c>
      <c r="G456" s="35" t="n">
        <v>32320</v>
      </c>
      <c r="H456" s="35" t="inlineStr">
        <is>
          <t>ART</t>
        </is>
      </c>
      <c r="I456" s="35" t="inlineStr">
        <is>
          <t>45G1</t>
        </is>
      </c>
      <c r="L456" s="35" t="inlineStr">
        <is>
          <t>9'6</t>
        </is>
      </c>
      <c r="M456" s="35" t="inlineStr">
        <is>
          <t>Full</t>
        </is>
      </c>
      <c r="P456">
        <f t="array" ref="P456">IFERROR(INDEX(Disch_Booking_Report!B:B, MATCH(TRUE, ISNUMBER(FIND(SUBSTITUTE(C456," ",""), Disch_Booking_Report!AC:AC)), 0)), "Not Found")</f>
        <v/>
      </c>
      <c r="Q456">
        <f t="array" ref="Q456">IFERROR(INDEX(Disch_Booking_Report!C:C, MATCH(TRUE, ISNUMBER(FIND(SUBSTITUTE(C456," ",""), Disch_Booking_Report!AC:AC)), 0)), "Not Found")</f>
        <v/>
      </c>
      <c r="R456">
        <f t="array" ref="R456">IFERROR(INDEX(Disch_Booking_Report!AD:AD, MATCH(TRUE, ISNUMBER(FIND(SUBSTITUTE(C456," ",""), Disch_Booking_Report!AC:AC)), 0)), "Not Found")</f>
        <v/>
      </c>
      <c r="S456">
        <f>Tabela2[[#This Row],[Weight]]</f>
        <v/>
      </c>
      <c r="T456">
        <f t="array" ref="T456">IFERROR(INDEX(Disch_Booking_Report!L:L, MATCH(TRUE, ISNUMBER(FIND(SUBSTITUTE(C456," ",""), Disch_Booking_Report!AC:AC)), 0)), "Not Found")</f>
        <v/>
      </c>
      <c r="U456">
        <f t="array" ref="U456">IFERROR(INDEX(Disch_Booking_Report!I:I, MATCH(TRUE, ISNUMBER(FIND(SUBSTITUTE(C456," ",""), Disch_Booking_Report!AC:AC)), 0)), "Not Found")</f>
        <v/>
      </c>
    </row>
    <row r="457">
      <c r="A457" s="35" t="n">
        <v>34</v>
      </c>
      <c r="B457" s="35" t="n">
        <v>340684</v>
      </c>
      <c r="C457" s="35" t="inlineStr">
        <is>
          <t xml:space="preserve">     ANON0000000</t>
        </is>
      </c>
      <c r="D457" s="35" t="n">
        <v>40</v>
      </c>
      <c r="E457" s="35" t="inlineStr">
        <is>
          <t>RULED</t>
        </is>
      </c>
      <c r="F457" s="35" t="inlineStr">
        <is>
          <t>USNYC</t>
        </is>
      </c>
      <c r="G457" s="35" t="n">
        <v>34000</v>
      </c>
      <c r="H457" s="35" t="inlineStr">
        <is>
          <t>ART</t>
        </is>
      </c>
      <c r="I457" s="35" t="inlineStr">
        <is>
          <t>45R1</t>
        </is>
      </c>
      <c r="K457" s="35" t="inlineStr">
        <is>
          <t>Dry reefer</t>
        </is>
      </c>
      <c r="L457" s="35" t="inlineStr">
        <is>
          <t>9'6</t>
        </is>
      </c>
      <c r="M457" s="35" t="inlineStr">
        <is>
          <t>Full</t>
        </is>
      </c>
      <c r="P457">
        <f t="array" ref="P457">IFERROR(INDEX(Disch_Booking_Report!B:B, MATCH(TRUE, ISNUMBER(FIND(SUBSTITUTE(C457," ",""), Disch_Booking_Report!AC:AC)), 0)), "Not Found")</f>
        <v/>
      </c>
      <c r="Q457">
        <f t="array" ref="Q457">IFERROR(INDEX(Disch_Booking_Report!C:C, MATCH(TRUE, ISNUMBER(FIND(SUBSTITUTE(C457," ",""), Disch_Booking_Report!AC:AC)), 0)), "Not Found")</f>
        <v/>
      </c>
      <c r="R457">
        <f t="array" ref="R457">IFERROR(INDEX(Disch_Booking_Report!AD:AD, MATCH(TRUE, ISNUMBER(FIND(SUBSTITUTE(C457," ",""), Disch_Booking_Report!AC:AC)), 0)), "Not Found")</f>
        <v/>
      </c>
      <c r="S457">
        <f>Tabela2[[#This Row],[Weight]]</f>
        <v/>
      </c>
      <c r="T457">
        <f t="array" ref="T457">IFERROR(INDEX(Disch_Booking_Report!L:L, MATCH(TRUE, ISNUMBER(FIND(SUBSTITUTE(C457," ",""), Disch_Booking_Report!AC:AC)), 0)), "Not Found")</f>
        <v/>
      </c>
      <c r="U457">
        <f t="array" ref="U457">IFERROR(INDEX(Disch_Booking_Report!I:I, MATCH(TRUE, ISNUMBER(FIND(SUBSTITUTE(C457," ",""), Disch_Booking_Report!AC:AC)), 0)), "Not Found")</f>
        <v/>
      </c>
    </row>
    <row r="458">
      <c r="A458" s="35" t="n">
        <v>34</v>
      </c>
      <c r="B458" s="35" t="n">
        <v>340082</v>
      </c>
      <c r="C458" s="35" t="inlineStr">
        <is>
          <t xml:space="preserve">     ANON0000000</t>
        </is>
      </c>
      <c r="D458" s="35" t="n">
        <v>40</v>
      </c>
      <c r="E458" s="35" t="inlineStr">
        <is>
          <t>RULED</t>
        </is>
      </c>
      <c r="F458" s="35" t="inlineStr">
        <is>
          <t>USNYC</t>
        </is>
      </c>
      <c r="G458" s="35" t="n">
        <v>32320</v>
      </c>
      <c r="H458" s="35" t="inlineStr">
        <is>
          <t>ART</t>
        </is>
      </c>
      <c r="I458" s="35" t="inlineStr">
        <is>
          <t>45G1</t>
        </is>
      </c>
      <c r="L458" s="35" t="inlineStr">
        <is>
          <t>9'6</t>
        </is>
      </c>
      <c r="M458" s="35" t="inlineStr">
        <is>
          <t>Full</t>
        </is>
      </c>
      <c r="P458">
        <f t="array" ref="P458">IFERROR(INDEX(Disch_Booking_Report!B:B, MATCH(TRUE, ISNUMBER(FIND(SUBSTITUTE(C458," ",""), Disch_Booking_Report!AC:AC)), 0)), "Not Found")</f>
        <v/>
      </c>
      <c r="Q458">
        <f t="array" ref="Q458">IFERROR(INDEX(Disch_Booking_Report!C:C, MATCH(TRUE, ISNUMBER(FIND(SUBSTITUTE(C458," ",""), Disch_Booking_Report!AC:AC)), 0)), "Not Found")</f>
        <v/>
      </c>
      <c r="R458">
        <f t="array" ref="R458">IFERROR(INDEX(Disch_Booking_Report!AD:AD, MATCH(TRUE, ISNUMBER(FIND(SUBSTITUTE(C458," ",""), Disch_Booking_Report!AC:AC)), 0)), "Not Found")</f>
        <v/>
      </c>
      <c r="S458">
        <f>Tabela2[[#This Row],[Weight]]</f>
        <v/>
      </c>
      <c r="T458">
        <f t="array" ref="T458">IFERROR(INDEX(Disch_Booking_Report!L:L, MATCH(TRUE, ISNUMBER(FIND(SUBSTITUTE(C458," ",""), Disch_Booking_Report!AC:AC)), 0)), "Not Found")</f>
        <v/>
      </c>
      <c r="U458">
        <f t="array" ref="U458">IFERROR(INDEX(Disch_Booking_Report!I:I, MATCH(TRUE, ISNUMBER(FIND(SUBSTITUTE(C458," ",""), Disch_Booking_Report!AC:AC)), 0)), "Not Found")</f>
        <v/>
      </c>
    </row>
    <row r="459">
      <c r="A459" s="35" t="n">
        <v>34</v>
      </c>
      <c r="B459" s="35" t="n">
        <v>340408</v>
      </c>
      <c r="C459" s="35" t="inlineStr">
        <is>
          <t xml:space="preserve">     ANON0000000</t>
        </is>
      </c>
      <c r="D459" s="35" t="n">
        <v>40</v>
      </c>
      <c r="E459" s="35" t="inlineStr">
        <is>
          <t>RULED</t>
        </is>
      </c>
      <c r="F459" s="35" t="inlineStr">
        <is>
          <t>USNYC</t>
        </is>
      </c>
      <c r="G459" s="35" t="n">
        <v>32320</v>
      </c>
      <c r="H459" s="35" t="inlineStr">
        <is>
          <t>ART</t>
        </is>
      </c>
      <c r="I459" s="35" t="inlineStr">
        <is>
          <t>45G1</t>
        </is>
      </c>
      <c r="L459" s="35" t="inlineStr">
        <is>
          <t>9'6</t>
        </is>
      </c>
      <c r="M459" s="35" t="inlineStr">
        <is>
          <t>Full</t>
        </is>
      </c>
      <c r="P459">
        <f t="array" ref="P459">IFERROR(INDEX(Disch_Booking_Report!B:B, MATCH(TRUE, ISNUMBER(FIND(SUBSTITUTE(C459," ",""), Disch_Booking_Report!AC:AC)), 0)), "Not Found")</f>
        <v/>
      </c>
      <c r="Q459">
        <f t="array" ref="Q459">IFERROR(INDEX(Disch_Booking_Report!C:C, MATCH(TRUE, ISNUMBER(FIND(SUBSTITUTE(C459," ",""), Disch_Booking_Report!AC:AC)), 0)), "Not Found")</f>
        <v/>
      </c>
      <c r="R459">
        <f t="array" ref="R459">IFERROR(INDEX(Disch_Booking_Report!AD:AD, MATCH(TRUE, ISNUMBER(FIND(SUBSTITUTE(C459," ",""), Disch_Booking_Report!AC:AC)), 0)), "Not Found")</f>
        <v/>
      </c>
      <c r="S459">
        <f>Tabela2[[#This Row],[Weight]]</f>
        <v/>
      </c>
      <c r="T459">
        <f t="array" ref="T459">IFERROR(INDEX(Disch_Booking_Report!L:L, MATCH(TRUE, ISNUMBER(FIND(SUBSTITUTE(C459," ",""), Disch_Booking_Report!AC:AC)), 0)), "Not Found")</f>
        <v/>
      </c>
      <c r="U459">
        <f t="array" ref="U459">IFERROR(INDEX(Disch_Booking_Report!I:I, MATCH(TRUE, ISNUMBER(FIND(SUBSTITUTE(C459," ",""), Disch_Booking_Report!AC:AC)), 0)), "Not Found")</f>
        <v/>
      </c>
    </row>
    <row r="460">
      <c r="A460" s="35" t="n">
        <v>34</v>
      </c>
      <c r="B460" s="35" t="n">
        <v>340108</v>
      </c>
      <c r="C460" s="35" t="inlineStr">
        <is>
          <t xml:space="preserve">     ANON0000000</t>
        </is>
      </c>
      <c r="D460" s="35" t="n">
        <v>40</v>
      </c>
      <c r="E460" s="35" t="inlineStr">
        <is>
          <t>RULED</t>
        </is>
      </c>
      <c r="F460" s="35" t="inlineStr">
        <is>
          <t>USNYC</t>
        </is>
      </c>
      <c r="G460" s="35" t="n">
        <v>32320</v>
      </c>
      <c r="H460" s="35" t="inlineStr">
        <is>
          <t>ART</t>
        </is>
      </c>
      <c r="I460" s="35" t="inlineStr">
        <is>
          <t>45G1</t>
        </is>
      </c>
      <c r="L460" s="35" t="inlineStr">
        <is>
          <t>9'6</t>
        </is>
      </c>
      <c r="M460" s="35" t="inlineStr">
        <is>
          <t>Full</t>
        </is>
      </c>
      <c r="P460">
        <f t="array" ref="P460">IFERROR(INDEX(Disch_Booking_Report!B:B, MATCH(TRUE, ISNUMBER(FIND(SUBSTITUTE(C460," ",""), Disch_Booking_Report!AC:AC)), 0)), "Not Found")</f>
        <v/>
      </c>
      <c r="Q460">
        <f t="array" ref="Q460">IFERROR(INDEX(Disch_Booking_Report!C:C, MATCH(TRUE, ISNUMBER(FIND(SUBSTITUTE(C460," ",""), Disch_Booking_Report!AC:AC)), 0)), "Not Found")</f>
        <v/>
      </c>
      <c r="R460">
        <f t="array" ref="R460">IFERROR(INDEX(Disch_Booking_Report!AD:AD, MATCH(TRUE, ISNUMBER(FIND(SUBSTITUTE(C460," ",""), Disch_Booking_Report!AC:AC)), 0)), "Not Found")</f>
        <v/>
      </c>
      <c r="S460">
        <f>Tabela2[[#This Row],[Weight]]</f>
        <v/>
      </c>
      <c r="T460">
        <f t="array" ref="T460">IFERROR(INDEX(Disch_Booking_Report!L:L, MATCH(TRUE, ISNUMBER(FIND(SUBSTITUTE(C460," ",""), Disch_Booking_Report!AC:AC)), 0)), "Not Found")</f>
        <v/>
      </c>
      <c r="U460">
        <f t="array" ref="U460">IFERROR(INDEX(Disch_Booking_Report!I:I, MATCH(TRUE, ISNUMBER(FIND(SUBSTITUTE(C460," ",""), Disch_Booking_Report!AC:AC)), 0)), "Not Found")</f>
        <v/>
      </c>
    </row>
    <row r="461">
      <c r="A461" s="35" t="n">
        <v>34</v>
      </c>
      <c r="B461" s="35" t="n">
        <v>340482</v>
      </c>
      <c r="C461" s="35" t="inlineStr">
        <is>
          <t xml:space="preserve">     ANON0000000</t>
        </is>
      </c>
      <c r="D461" s="35" t="n">
        <v>40</v>
      </c>
      <c r="E461" s="35" t="inlineStr">
        <is>
          <t>RULED</t>
        </is>
      </c>
      <c r="F461" s="35" t="inlineStr">
        <is>
          <t>USNYC</t>
        </is>
      </c>
      <c r="G461" s="35" t="n">
        <v>34520</v>
      </c>
      <c r="H461" s="35" t="inlineStr">
        <is>
          <t>ART</t>
        </is>
      </c>
      <c r="I461" s="35" t="inlineStr">
        <is>
          <t>45R1</t>
        </is>
      </c>
      <c r="K461" s="35" t="inlineStr">
        <is>
          <t>Dry reefer</t>
        </is>
      </c>
      <c r="L461" s="35" t="inlineStr">
        <is>
          <t>9'6</t>
        </is>
      </c>
      <c r="M461" s="35" t="inlineStr">
        <is>
          <t>Full</t>
        </is>
      </c>
      <c r="P461">
        <f t="array" ref="P461">IFERROR(INDEX(Disch_Booking_Report!B:B, MATCH(TRUE, ISNUMBER(FIND(SUBSTITUTE(C461," ",""), Disch_Booking_Report!AC:AC)), 0)), "Not Found")</f>
        <v/>
      </c>
      <c r="Q461">
        <f t="array" ref="Q461">IFERROR(INDEX(Disch_Booking_Report!C:C, MATCH(TRUE, ISNUMBER(FIND(SUBSTITUTE(C461," ",""), Disch_Booking_Report!AC:AC)), 0)), "Not Found")</f>
        <v/>
      </c>
      <c r="R461">
        <f t="array" ref="R461">IFERROR(INDEX(Disch_Booking_Report!AD:AD, MATCH(TRUE, ISNUMBER(FIND(SUBSTITUTE(C461," ",""), Disch_Booking_Report!AC:AC)), 0)), "Not Found")</f>
        <v/>
      </c>
      <c r="S461">
        <f>Tabela2[[#This Row],[Weight]]</f>
        <v/>
      </c>
      <c r="T461">
        <f t="array" ref="T461">IFERROR(INDEX(Disch_Booking_Report!L:L, MATCH(TRUE, ISNUMBER(FIND(SUBSTITUTE(C461," ",""), Disch_Booking_Report!AC:AC)), 0)), "Not Found")</f>
        <v/>
      </c>
      <c r="U461">
        <f t="array" ref="U461">IFERROR(INDEX(Disch_Booking_Report!I:I, MATCH(TRUE, ISNUMBER(FIND(SUBSTITUTE(C461," ",""), Disch_Booking_Report!AC:AC)), 0)), "Not Found")</f>
        <v/>
      </c>
    </row>
    <row r="462">
      <c r="A462" s="35" t="n">
        <v>34</v>
      </c>
      <c r="B462" s="35" t="n">
        <v>340582</v>
      </c>
      <c r="C462" s="35" t="inlineStr">
        <is>
          <t xml:space="preserve">     ANON0000000</t>
        </is>
      </c>
      <c r="D462" s="35" t="n">
        <v>40</v>
      </c>
      <c r="E462" s="35" t="inlineStr">
        <is>
          <t>RULED</t>
        </is>
      </c>
      <c r="F462" s="35" t="inlineStr">
        <is>
          <t>USNYC</t>
        </is>
      </c>
      <c r="G462" s="35" t="n">
        <v>34850</v>
      </c>
      <c r="H462" s="35" t="inlineStr">
        <is>
          <t>ART</t>
        </is>
      </c>
      <c r="I462" s="35" t="inlineStr">
        <is>
          <t>45R1</t>
        </is>
      </c>
      <c r="K462" s="35" t="inlineStr">
        <is>
          <t>Dry reefer</t>
        </is>
      </c>
      <c r="L462" s="35" t="inlineStr">
        <is>
          <t>9'6</t>
        </is>
      </c>
      <c r="M462" s="35" t="inlineStr">
        <is>
          <t>Full</t>
        </is>
      </c>
      <c r="P462">
        <f t="array" ref="P462">IFERROR(INDEX(Disch_Booking_Report!B:B, MATCH(TRUE, ISNUMBER(FIND(SUBSTITUTE(C462," ",""), Disch_Booking_Report!AC:AC)), 0)), "Not Found")</f>
        <v/>
      </c>
      <c r="Q462">
        <f t="array" ref="Q462">IFERROR(INDEX(Disch_Booking_Report!C:C, MATCH(TRUE, ISNUMBER(FIND(SUBSTITUTE(C462," ",""), Disch_Booking_Report!AC:AC)), 0)), "Not Found")</f>
        <v/>
      </c>
      <c r="R462">
        <f t="array" ref="R462">IFERROR(INDEX(Disch_Booking_Report!AD:AD, MATCH(TRUE, ISNUMBER(FIND(SUBSTITUTE(C462," ",""), Disch_Booking_Report!AC:AC)), 0)), "Not Found")</f>
        <v/>
      </c>
      <c r="S462">
        <f>Tabela2[[#This Row],[Weight]]</f>
        <v/>
      </c>
      <c r="T462">
        <f t="array" ref="T462">IFERROR(INDEX(Disch_Booking_Report!L:L, MATCH(TRUE, ISNUMBER(FIND(SUBSTITUTE(C462," ",""), Disch_Booking_Report!AC:AC)), 0)), "Not Found")</f>
        <v/>
      </c>
      <c r="U462">
        <f t="array" ref="U462">IFERROR(INDEX(Disch_Booking_Report!I:I, MATCH(TRUE, ISNUMBER(FIND(SUBSTITUTE(C462," ",""), Disch_Booking_Report!AC:AC)), 0)), "Not Found")</f>
        <v/>
      </c>
    </row>
    <row r="463">
      <c r="A463" s="35" t="n">
        <v>34</v>
      </c>
      <c r="B463" s="35" t="n">
        <v>340782</v>
      </c>
      <c r="C463" s="35" t="inlineStr">
        <is>
          <t xml:space="preserve">     ANON0000000</t>
        </is>
      </c>
      <c r="D463" s="35" t="n">
        <v>40</v>
      </c>
      <c r="E463" s="35" t="inlineStr">
        <is>
          <t>RULED</t>
        </is>
      </c>
      <c r="F463" s="35" t="inlineStr">
        <is>
          <t>USNYC</t>
        </is>
      </c>
      <c r="G463" s="35" t="n">
        <v>34970</v>
      </c>
      <c r="H463" s="35" t="inlineStr">
        <is>
          <t>ART</t>
        </is>
      </c>
      <c r="I463" s="35" t="inlineStr">
        <is>
          <t>45R1</t>
        </is>
      </c>
      <c r="K463" s="35" t="inlineStr">
        <is>
          <t>Dry reefer</t>
        </is>
      </c>
      <c r="L463" s="35" t="inlineStr">
        <is>
          <t>9'6</t>
        </is>
      </c>
      <c r="M463" s="35" t="inlineStr">
        <is>
          <t>Full</t>
        </is>
      </c>
      <c r="P463">
        <f t="array" ref="P463">IFERROR(INDEX(Disch_Booking_Report!B:B, MATCH(TRUE, ISNUMBER(FIND(SUBSTITUTE(C463," ",""), Disch_Booking_Report!AC:AC)), 0)), "Not Found")</f>
        <v/>
      </c>
      <c r="Q463">
        <f t="array" ref="Q463">IFERROR(INDEX(Disch_Booking_Report!C:C, MATCH(TRUE, ISNUMBER(FIND(SUBSTITUTE(C463," ",""), Disch_Booking_Report!AC:AC)), 0)), "Not Found")</f>
        <v/>
      </c>
      <c r="R463">
        <f t="array" ref="R463">IFERROR(INDEX(Disch_Booking_Report!AD:AD, MATCH(TRUE, ISNUMBER(FIND(SUBSTITUTE(C463," ",""), Disch_Booking_Report!AC:AC)), 0)), "Not Found")</f>
        <v/>
      </c>
      <c r="S463">
        <f>Tabela2[[#This Row],[Weight]]</f>
        <v/>
      </c>
      <c r="T463">
        <f t="array" ref="T463">IFERROR(INDEX(Disch_Booking_Report!L:L, MATCH(TRUE, ISNUMBER(FIND(SUBSTITUTE(C463," ",""), Disch_Booking_Report!AC:AC)), 0)), "Not Found")</f>
        <v/>
      </c>
      <c r="U463">
        <f t="array" ref="U463">IFERROR(INDEX(Disch_Booking_Report!I:I, MATCH(TRUE, ISNUMBER(FIND(SUBSTITUTE(C463," ",""), Disch_Booking_Report!AC:AC)), 0)), "Not Found")</f>
        <v/>
      </c>
    </row>
    <row r="464">
      <c r="A464" s="35" t="n">
        <v>34</v>
      </c>
      <c r="B464" s="35" t="n">
        <v>340282</v>
      </c>
      <c r="C464" s="35" t="inlineStr">
        <is>
          <t xml:space="preserve">     ANON0000000</t>
        </is>
      </c>
      <c r="D464" s="35" t="n">
        <v>40</v>
      </c>
      <c r="E464" s="35" t="inlineStr">
        <is>
          <t>RULED</t>
        </is>
      </c>
      <c r="F464" s="35" t="inlineStr">
        <is>
          <t>USNYC</t>
        </is>
      </c>
      <c r="G464" s="35" t="n">
        <v>32500</v>
      </c>
      <c r="H464" s="35" t="inlineStr">
        <is>
          <t>ART</t>
        </is>
      </c>
      <c r="I464" s="35" t="inlineStr">
        <is>
          <t>45G1</t>
        </is>
      </c>
      <c r="L464" s="35" t="inlineStr">
        <is>
          <t>9'6</t>
        </is>
      </c>
      <c r="M464" s="35" t="inlineStr">
        <is>
          <t>Full</t>
        </is>
      </c>
      <c r="P464">
        <f t="array" ref="P464">IFERROR(INDEX(Disch_Booking_Report!B:B, MATCH(TRUE, ISNUMBER(FIND(SUBSTITUTE(C464," ",""), Disch_Booking_Report!AC:AC)), 0)), "Not Found")</f>
        <v/>
      </c>
      <c r="Q464">
        <f t="array" ref="Q464">IFERROR(INDEX(Disch_Booking_Report!C:C, MATCH(TRUE, ISNUMBER(FIND(SUBSTITUTE(C464," ",""), Disch_Booking_Report!AC:AC)), 0)), "Not Found")</f>
        <v/>
      </c>
      <c r="R464">
        <f t="array" ref="R464">IFERROR(INDEX(Disch_Booking_Report!AD:AD, MATCH(TRUE, ISNUMBER(FIND(SUBSTITUTE(C464," ",""), Disch_Booking_Report!AC:AC)), 0)), "Not Found")</f>
        <v/>
      </c>
      <c r="S464">
        <f>Tabela2[[#This Row],[Weight]]</f>
        <v/>
      </c>
      <c r="T464">
        <f t="array" ref="T464">IFERROR(INDEX(Disch_Booking_Report!L:L, MATCH(TRUE, ISNUMBER(FIND(SUBSTITUTE(C464," ",""), Disch_Booking_Report!AC:AC)), 0)), "Not Found")</f>
        <v/>
      </c>
      <c r="U464">
        <f t="array" ref="U464">IFERROR(INDEX(Disch_Booking_Report!I:I, MATCH(TRUE, ISNUMBER(FIND(SUBSTITUTE(C464," ",""), Disch_Booking_Report!AC:AC)), 0)), "Not Found")</f>
        <v/>
      </c>
    </row>
    <row r="465">
      <c r="A465" s="35" t="n">
        <v>34</v>
      </c>
      <c r="B465" s="35" t="n">
        <v>340982</v>
      </c>
      <c r="C465" s="35" t="inlineStr">
        <is>
          <t xml:space="preserve">     ANON0000000</t>
        </is>
      </c>
      <c r="D465" s="35" t="n">
        <v>40</v>
      </c>
      <c r="E465" s="35" t="inlineStr">
        <is>
          <t>RULED</t>
        </is>
      </c>
      <c r="F465" s="35" t="inlineStr">
        <is>
          <t>USNYC</t>
        </is>
      </c>
      <c r="G465" s="35" t="n">
        <v>32970</v>
      </c>
      <c r="H465" s="35" t="inlineStr">
        <is>
          <t>ART</t>
        </is>
      </c>
      <c r="I465" s="35" t="inlineStr">
        <is>
          <t>45R1</t>
        </is>
      </c>
      <c r="K465" s="35" t="inlineStr">
        <is>
          <t>Dry reefer</t>
        </is>
      </c>
      <c r="L465" s="35" t="inlineStr">
        <is>
          <t>9'6</t>
        </is>
      </c>
      <c r="M465" s="35" t="inlineStr">
        <is>
          <t>Full</t>
        </is>
      </c>
      <c r="P465">
        <f t="array" ref="P465">IFERROR(INDEX(Disch_Booking_Report!B:B, MATCH(TRUE, ISNUMBER(FIND(SUBSTITUTE(C465," ",""), Disch_Booking_Report!AC:AC)), 0)), "Not Found")</f>
        <v/>
      </c>
      <c r="Q465">
        <f t="array" ref="Q465">IFERROR(INDEX(Disch_Booking_Report!C:C, MATCH(TRUE, ISNUMBER(FIND(SUBSTITUTE(C465," ",""), Disch_Booking_Report!AC:AC)), 0)), "Not Found")</f>
        <v/>
      </c>
      <c r="R465">
        <f t="array" ref="R465">IFERROR(INDEX(Disch_Booking_Report!AD:AD, MATCH(TRUE, ISNUMBER(FIND(SUBSTITUTE(C465," ",""), Disch_Booking_Report!AC:AC)), 0)), "Not Found")</f>
        <v/>
      </c>
      <c r="S465">
        <f>Tabela2[[#This Row],[Weight]]</f>
        <v/>
      </c>
      <c r="T465">
        <f t="array" ref="T465">IFERROR(INDEX(Disch_Booking_Report!L:L, MATCH(TRUE, ISNUMBER(FIND(SUBSTITUTE(C465," ",""), Disch_Booking_Report!AC:AC)), 0)), "Not Found")</f>
        <v/>
      </c>
      <c r="U465">
        <f t="array" ref="U465">IFERROR(INDEX(Disch_Booking_Report!I:I, MATCH(TRUE, ISNUMBER(FIND(SUBSTITUTE(C465," ",""), Disch_Booking_Report!AC:AC)), 0)), "Not Found")</f>
        <v/>
      </c>
    </row>
    <row r="466">
      <c r="A466" s="35" t="n">
        <v>34</v>
      </c>
      <c r="B466" s="35" t="n">
        <v>341082</v>
      </c>
      <c r="C466" s="35" t="inlineStr">
        <is>
          <t xml:space="preserve">     ANON0000000</t>
        </is>
      </c>
      <c r="D466" s="35" t="n">
        <v>40</v>
      </c>
      <c r="E466" s="35" t="inlineStr">
        <is>
          <t>RULED</t>
        </is>
      </c>
      <c r="F466" s="35" t="inlineStr">
        <is>
          <t>USNYC</t>
        </is>
      </c>
      <c r="G466" s="35" t="n">
        <v>34040</v>
      </c>
      <c r="H466" s="35" t="inlineStr">
        <is>
          <t>ART</t>
        </is>
      </c>
      <c r="I466" s="35" t="inlineStr">
        <is>
          <t>45R1</t>
        </is>
      </c>
      <c r="K466" s="35" t="inlineStr">
        <is>
          <t>Dry reefer</t>
        </is>
      </c>
      <c r="L466" s="35" t="inlineStr">
        <is>
          <t>9'6</t>
        </is>
      </c>
      <c r="M466" s="35" t="inlineStr">
        <is>
          <t>Full</t>
        </is>
      </c>
      <c r="P466">
        <f t="array" ref="P466">IFERROR(INDEX(Disch_Booking_Report!B:B, MATCH(TRUE, ISNUMBER(FIND(SUBSTITUTE(C466," ",""), Disch_Booking_Report!AC:AC)), 0)), "Not Found")</f>
        <v/>
      </c>
      <c r="Q466">
        <f t="array" ref="Q466">IFERROR(INDEX(Disch_Booking_Report!C:C, MATCH(TRUE, ISNUMBER(FIND(SUBSTITUTE(C466," ",""), Disch_Booking_Report!AC:AC)), 0)), "Not Found")</f>
        <v/>
      </c>
      <c r="R466">
        <f t="array" ref="R466">IFERROR(INDEX(Disch_Booking_Report!AD:AD, MATCH(TRUE, ISNUMBER(FIND(SUBSTITUTE(C466," ",""), Disch_Booking_Report!AC:AC)), 0)), "Not Found")</f>
        <v/>
      </c>
      <c r="S466">
        <f>Tabela2[[#This Row],[Weight]]</f>
        <v/>
      </c>
      <c r="T466">
        <f t="array" ref="T466">IFERROR(INDEX(Disch_Booking_Report!L:L, MATCH(TRUE, ISNUMBER(FIND(SUBSTITUTE(C466," ",""), Disch_Booking_Report!AC:AC)), 0)), "Not Found")</f>
        <v/>
      </c>
      <c r="U466">
        <f t="array" ref="U466">IFERROR(INDEX(Disch_Booking_Report!I:I, MATCH(TRUE, ISNUMBER(FIND(SUBSTITUTE(C466," ",""), Disch_Booking_Report!AC:AC)), 0)), "Not Found")</f>
        <v/>
      </c>
    </row>
    <row r="467">
      <c r="A467" s="35" t="n">
        <v>34</v>
      </c>
      <c r="B467" s="35" t="n">
        <v>340182</v>
      </c>
      <c r="C467" s="35" t="inlineStr">
        <is>
          <t xml:space="preserve">     ANON0000000</t>
        </is>
      </c>
      <c r="D467" s="35" t="n">
        <v>40</v>
      </c>
      <c r="E467" s="35" t="inlineStr">
        <is>
          <t>RULED</t>
        </is>
      </c>
      <c r="F467" s="35" t="inlineStr">
        <is>
          <t>USNYC</t>
        </is>
      </c>
      <c r="G467" s="35" t="n">
        <v>32390</v>
      </c>
      <c r="H467" s="35" t="inlineStr">
        <is>
          <t>ART</t>
        </is>
      </c>
      <c r="I467" s="35" t="inlineStr">
        <is>
          <t>45G1</t>
        </is>
      </c>
      <c r="L467" s="35" t="inlineStr">
        <is>
          <t>9'6</t>
        </is>
      </c>
      <c r="M467" s="35" t="inlineStr">
        <is>
          <t>Full</t>
        </is>
      </c>
      <c r="P467">
        <f t="array" ref="P467">IFERROR(INDEX(Disch_Booking_Report!B:B, MATCH(TRUE, ISNUMBER(FIND(SUBSTITUTE(C467," ",""), Disch_Booking_Report!AC:AC)), 0)), "Not Found")</f>
        <v/>
      </c>
      <c r="Q467">
        <f t="array" ref="Q467">IFERROR(INDEX(Disch_Booking_Report!C:C, MATCH(TRUE, ISNUMBER(FIND(SUBSTITUTE(C467," ",""), Disch_Booking_Report!AC:AC)), 0)), "Not Found")</f>
        <v/>
      </c>
      <c r="R467">
        <f t="array" ref="R467">IFERROR(INDEX(Disch_Booking_Report!AD:AD, MATCH(TRUE, ISNUMBER(FIND(SUBSTITUTE(C467," ",""), Disch_Booking_Report!AC:AC)), 0)), "Not Found")</f>
        <v/>
      </c>
      <c r="S467">
        <f>Tabela2[[#This Row],[Weight]]</f>
        <v/>
      </c>
      <c r="T467">
        <f t="array" ref="T467">IFERROR(INDEX(Disch_Booking_Report!L:L, MATCH(TRUE, ISNUMBER(FIND(SUBSTITUTE(C467," ",""), Disch_Booking_Report!AC:AC)), 0)), "Not Found")</f>
        <v/>
      </c>
      <c r="U467">
        <f t="array" ref="U467">IFERROR(INDEX(Disch_Booking_Report!I:I, MATCH(TRUE, ISNUMBER(FIND(SUBSTITUTE(C467," ",""), Disch_Booking_Report!AC:AC)), 0)), "Not Found")</f>
        <v/>
      </c>
    </row>
    <row r="468">
      <c r="A468" s="35" t="n">
        <v>34</v>
      </c>
      <c r="B468" s="35" t="n">
        <v>340208</v>
      </c>
      <c r="C468" s="35" t="inlineStr">
        <is>
          <t xml:space="preserve">     ANON0000000</t>
        </is>
      </c>
      <c r="D468" s="35" t="n">
        <v>40</v>
      </c>
      <c r="E468" s="35" t="inlineStr">
        <is>
          <t>RULED</t>
        </is>
      </c>
      <c r="F468" s="35" t="inlineStr">
        <is>
          <t>USNYC</t>
        </is>
      </c>
      <c r="G468" s="35" t="n">
        <v>32320</v>
      </c>
      <c r="H468" s="35" t="inlineStr">
        <is>
          <t>ART</t>
        </is>
      </c>
      <c r="I468" s="35" t="inlineStr">
        <is>
          <t>45G1</t>
        </is>
      </c>
      <c r="L468" s="35" t="inlineStr">
        <is>
          <t>9'6</t>
        </is>
      </c>
      <c r="M468" s="35" t="inlineStr">
        <is>
          <t>Full</t>
        </is>
      </c>
      <c r="P468">
        <f t="array" ref="P468">IFERROR(INDEX(Disch_Booking_Report!B:B, MATCH(TRUE, ISNUMBER(FIND(SUBSTITUTE(C468," ",""), Disch_Booking_Report!AC:AC)), 0)), "Not Found")</f>
        <v/>
      </c>
      <c r="Q468">
        <f t="array" ref="Q468">IFERROR(INDEX(Disch_Booking_Report!C:C, MATCH(TRUE, ISNUMBER(FIND(SUBSTITUTE(C468," ",""), Disch_Booking_Report!AC:AC)), 0)), "Not Found")</f>
        <v/>
      </c>
      <c r="R468">
        <f t="array" ref="R468">IFERROR(INDEX(Disch_Booking_Report!AD:AD, MATCH(TRUE, ISNUMBER(FIND(SUBSTITUTE(C468," ",""), Disch_Booking_Report!AC:AC)), 0)), "Not Found")</f>
        <v/>
      </c>
      <c r="S468">
        <f>Tabela2[[#This Row],[Weight]]</f>
        <v/>
      </c>
      <c r="T468">
        <f t="array" ref="T468">IFERROR(INDEX(Disch_Booking_Report!L:L, MATCH(TRUE, ISNUMBER(FIND(SUBSTITUTE(C468," ",""), Disch_Booking_Report!AC:AC)), 0)), "Not Found")</f>
        <v/>
      </c>
      <c r="U468">
        <f t="array" ref="U468">IFERROR(INDEX(Disch_Booking_Report!I:I, MATCH(TRUE, ISNUMBER(FIND(SUBSTITUTE(C468," ",""), Disch_Booking_Report!AC:AC)), 0)), "Not Found")</f>
        <v/>
      </c>
    </row>
    <row r="469">
      <c r="A469" s="35" t="n">
        <v>35</v>
      </c>
      <c r="B469" s="35" t="n">
        <v>350708</v>
      </c>
      <c r="C469" s="35" t="inlineStr">
        <is>
          <t xml:space="preserve">     ANON0000000</t>
        </is>
      </c>
      <c r="D469" s="35" t="n">
        <v>20</v>
      </c>
      <c r="E469" s="35" t="inlineStr">
        <is>
          <t>RULED</t>
        </is>
      </c>
      <c r="F469" s="35" t="inlineStr">
        <is>
          <t>USNYC</t>
        </is>
      </c>
      <c r="G469" s="35" t="n">
        <v>23100</v>
      </c>
      <c r="H469" s="35" t="inlineStr">
        <is>
          <t>ART</t>
        </is>
      </c>
      <c r="I469" s="35" t="inlineStr">
        <is>
          <t>22G1</t>
        </is>
      </c>
      <c r="L469" s="35" t="inlineStr">
        <is>
          <t>8'6</t>
        </is>
      </c>
      <c r="M469" s="35" t="inlineStr">
        <is>
          <t>Full</t>
        </is>
      </c>
      <c r="P469">
        <f t="array" ref="P469">IFERROR(INDEX(Disch_Booking_Report!B:B, MATCH(TRUE, ISNUMBER(FIND(SUBSTITUTE(C469," ",""), Disch_Booking_Report!AC:AC)), 0)), "Not Found")</f>
        <v/>
      </c>
      <c r="Q469">
        <f t="array" ref="Q469">IFERROR(INDEX(Disch_Booking_Report!C:C, MATCH(TRUE, ISNUMBER(FIND(SUBSTITUTE(C469," ",""), Disch_Booking_Report!AC:AC)), 0)), "Not Found")</f>
        <v/>
      </c>
      <c r="R469">
        <f t="array" ref="R469">IFERROR(INDEX(Disch_Booking_Report!AD:AD, MATCH(TRUE, ISNUMBER(FIND(SUBSTITUTE(C469," ",""), Disch_Booking_Report!AC:AC)), 0)), "Not Found")</f>
        <v/>
      </c>
      <c r="S469">
        <f>Tabela2[[#This Row],[Weight]]</f>
        <v/>
      </c>
      <c r="T469">
        <f t="array" ref="T469">IFERROR(INDEX(Disch_Booking_Report!L:L, MATCH(TRUE, ISNUMBER(FIND(SUBSTITUTE(C469," ",""), Disch_Booking_Report!AC:AC)), 0)), "Not Found")</f>
        <v/>
      </c>
      <c r="U469">
        <f t="array" ref="U469">IFERROR(INDEX(Disch_Booking_Report!I:I, MATCH(TRUE, ISNUMBER(FIND(SUBSTITUTE(C469," ",""), Disch_Booking_Report!AC:AC)), 0)), "Not Found")</f>
        <v/>
      </c>
    </row>
    <row r="470">
      <c r="A470" s="35" t="n">
        <v>35</v>
      </c>
      <c r="B470" s="35" t="n">
        <v>350304</v>
      </c>
      <c r="C470" s="35" t="inlineStr">
        <is>
          <t xml:space="preserve">     ANON0000000</t>
        </is>
      </c>
      <c r="D470" s="35" t="n">
        <v>20</v>
      </c>
      <c r="E470" s="35" t="inlineStr">
        <is>
          <t>RULED</t>
        </is>
      </c>
      <c r="F470" s="35" t="inlineStr">
        <is>
          <t>USNYC</t>
        </is>
      </c>
      <c r="G470" s="35" t="n">
        <v>23100</v>
      </c>
      <c r="H470" s="35" t="inlineStr">
        <is>
          <t>ART</t>
        </is>
      </c>
      <c r="I470" s="35" t="inlineStr">
        <is>
          <t>22G1</t>
        </is>
      </c>
      <c r="L470" s="35" t="inlineStr">
        <is>
          <t>8'6</t>
        </is>
      </c>
      <c r="M470" s="35" t="inlineStr">
        <is>
          <t>Full</t>
        </is>
      </c>
      <c r="P470">
        <f t="array" ref="P470">IFERROR(INDEX(Disch_Booking_Report!B:B, MATCH(TRUE, ISNUMBER(FIND(SUBSTITUTE(C470," ",""), Disch_Booking_Report!AC:AC)), 0)), "Not Found")</f>
        <v/>
      </c>
      <c r="Q470">
        <f t="array" ref="Q470">IFERROR(INDEX(Disch_Booking_Report!C:C, MATCH(TRUE, ISNUMBER(FIND(SUBSTITUTE(C470," ",""), Disch_Booking_Report!AC:AC)), 0)), "Not Found")</f>
        <v/>
      </c>
      <c r="R470">
        <f t="array" ref="R470">IFERROR(INDEX(Disch_Booking_Report!AD:AD, MATCH(TRUE, ISNUMBER(FIND(SUBSTITUTE(C470," ",""), Disch_Booking_Report!AC:AC)), 0)), "Not Found")</f>
        <v/>
      </c>
      <c r="S470">
        <f>Tabela2[[#This Row],[Weight]]</f>
        <v/>
      </c>
      <c r="T470">
        <f t="array" ref="T470">IFERROR(INDEX(Disch_Booking_Report!L:L, MATCH(TRUE, ISNUMBER(FIND(SUBSTITUTE(C470," ",""), Disch_Booking_Report!AC:AC)), 0)), "Not Found")</f>
        <v/>
      </c>
      <c r="U470">
        <f t="array" ref="U470">IFERROR(INDEX(Disch_Booking_Report!I:I, MATCH(TRUE, ISNUMBER(FIND(SUBSTITUTE(C470," ",""), Disch_Booking_Report!AC:AC)), 0)), "Not Found")</f>
        <v/>
      </c>
    </row>
    <row r="471">
      <c r="A471" s="35" t="n">
        <v>35</v>
      </c>
      <c r="B471" s="35" t="n">
        <v>350404</v>
      </c>
      <c r="C471" s="35" t="inlineStr">
        <is>
          <t xml:space="preserve">     ANON0000000</t>
        </is>
      </c>
      <c r="D471" s="35" t="n">
        <v>20</v>
      </c>
      <c r="E471" s="35" t="inlineStr">
        <is>
          <t>RULED</t>
        </is>
      </c>
      <c r="F471" s="35" t="inlineStr">
        <is>
          <t>USNYC</t>
        </is>
      </c>
      <c r="G471" s="35" t="n">
        <v>23100</v>
      </c>
      <c r="H471" s="35" t="inlineStr">
        <is>
          <t>ART</t>
        </is>
      </c>
      <c r="I471" s="35" t="inlineStr">
        <is>
          <t>22G1</t>
        </is>
      </c>
      <c r="L471" s="35" t="inlineStr">
        <is>
          <t>8'6</t>
        </is>
      </c>
      <c r="M471" s="35" t="inlineStr">
        <is>
          <t>Full</t>
        </is>
      </c>
      <c r="P471">
        <f t="array" ref="P471">IFERROR(INDEX(Disch_Booking_Report!B:B, MATCH(TRUE, ISNUMBER(FIND(SUBSTITUTE(C471," ",""), Disch_Booking_Report!AC:AC)), 0)), "Not Found")</f>
        <v/>
      </c>
      <c r="Q471">
        <f t="array" ref="Q471">IFERROR(INDEX(Disch_Booking_Report!C:C, MATCH(TRUE, ISNUMBER(FIND(SUBSTITUTE(C471," ",""), Disch_Booking_Report!AC:AC)), 0)), "Not Found")</f>
        <v/>
      </c>
      <c r="R471">
        <f t="array" ref="R471">IFERROR(INDEX(Disch_Booking_Report!AD:AD, MATCH(TRUE, ISNUMBER(FIND(SUBSTITUTE(C471," ",""), Disch_Booking_Report!AC:AC)), 0)), "Not Found")</f>
        <v/>
      </c>
      <c r="S471">
        <f>Tabela2[[#This Row],[Weight]]</f>
        <v/>
      </c>
      <c r="T471">
        <f t="array" ref="T471">IFERROR(INDEX(Disch_Booking_Report!L:L, MATCH(TRUE, ISNUMBER(FIND(SUBSTITUTE(C471," ",""), Disch_Booking_Report!AC:AC)), 0)), "Not Found")</f>
        <v/>
      </c>
      <c r="U471">
        <f t="array" ref="U471">IFERROR(INDEX(Disch_Booking_Report!I:I, MATCH(TRUE, ISNUMBER(FIND(SUBSTITUTE(C471," ",""), Disch_Booking_Report!AC:AC)), 0)), "Not Found")</f>
        <v/>
      </c>
    </row>
    <row r="472">
      <c r="A472" s="35" t="n">
        <v>35</v>
      </c>
      <c r="B472" s="35" t="n">
        <v>350102</v>
      </c>
      <c r="C472" s="35" t="inlineStr">
        <is>
          <t xml:space="preserve">     ANON0000000</t>
        </is>
      </c>
      <c r="D472" s="35" t="n">
        <v>20</v>
      </c>
      <c r="E472" s="35" t="inlineStr">
        <is>
          <t>RULED</t>
        </is>
      </c>
      <c r="F472" s="35" t="inlineStr">
        <is>
          <t>USNYC</t>
        </is>
      </c>
      <c r="G472" s="35" t="n">
        <v>23100</v>
      </c>
      <c r="H472" s="35" t="inlineStr">
        <is>
          <t>ART</t>
        </is>
      </c>
      <c r="I472" s="35" t="inlineStr">
        <is>
          <t>22G1</t>
        </is>
      </c>
      <c r="L472" s="35" t="inlineStr">
        <is>
          <t>8'6</t>
        </is>
      </c>
      <c r="M472" s="35" t="inlineStr">
        <is>
          <t>Full</t>
        </is>
      </c>
      <c r="P472">
        <f t="array" ref="P472">IFERROR(INDEX(Disch_Booking_Report!B:B, MATCH(TRUE, ISNUMBER(FIND(SUBSTITUTE(C472," ",""), Disch_Booking_Report!AC:AC)), 0)), "Not Found")</f>
        <v/>
      </c>
      <c r="Q472">
        <f t="array" ref="Q472">IFERROR(INDEX(Disch_Booking_Report!C:C, MATCH(TRUE, ISNUMBER(FIND(SUBSTITUTE(C472," ",""), Disch_Booking_Report!AC:AC)), 0)), "Not Found")</f>
        <v/>
      </c>
      <c r="R472">
        <f t="array" ref="R472">IFERROR(INDEX(Disch_Booking_Report!AD:AD, MATCH(TRUE, ISNUMBER(FIND(SUBSTITUTE(C472," ",""), Disch_Booking_Report!AC:AC)), 0)), "Not Found")</f>
        <v/>
      </c>
      <c r="S472">
        <f>Tabela2[[#This Row],[Weight]]</f>
        <v/>
      </c>
      <c r="T472">
        <f t="array" ref="T472">IFERROR(INDEX(Disch_Booking_Report!L:L, MATCH(TRUE, ISNUMBER(FIND(SUBSTITUTE(C472," ",""), Disch_Booking_Report!AC:AC)), 0)), "Not Found")</f>
        <v/>
      </c>
      <c r="U472">
        <f t="array" ref="U472">IFERROR(INDEX(Disch_Booking_Report!I:I, MATCH(TRUE, ISNUMBER(FIND(SUBSTITUTE(C472," ",""), Disch_Booking_Report!AC:AC)), 0)), "Not Found")</f>
        <v/>
      </c>
    </row>
    <row r="473">
      <c r="A473" s="35" t="n">
        <v>35</v>
      </c>
      <c r="B473" s="35" t="n">
        <v>350104</v>
      </c>
      <c r="C473" s="35" t="inlineStr">
        <is>
          <t xml:space="preserve">     ANON0000000</t>
        </is>
      </c>
      <c r="D473" s="35" t="n">
        <v>20</v>
      </c>
      <c r="E473" s="35" t="inlineStr">
        <is>
          <t>RULED</t>
        </is>
      </c>
      <c r="F473" s="35" t="inlineStr">
        <is>
          <t>USNYC</t>
        </is>
      </c>
      <c r="G473" s="35" t="n">
        <v>23180</v>
      </c>
      <c r="H473" s="35" t="inlineStr">
        <is>
          <t>ART</t>
        </is>
      </c>
      <c r="I473" s="35" t="inlineStr">
        <is>
          <t>22G1</t>
        </is>
      </c>
      <c r="L473" s="35" t="inlineStr">
        <is>
          <t>8'6</t>
        </is>
      </c>
      <c r="M473" s="35" t="inlineStr">
        <is>
          <t>Full</t>
        </is>
      </c>
      <c r="P473">
        <f t="array" ref="P473">IFERROR(INDEX(Disch_Booking_Report!B:B, MATCH(TRUE, ISNUMBER(FIND(SUBSTITUTE(C473," ",""), Disch_Booking_Report!AC:AC)), 0)), "Not Found")</f>
        <v/>
      </c>
      <c r="Q473">
        <f t="array" ref="Q473">IFERROR(INDEX(Disch_Booking_Report!C:C, MATCH(TRUE, ISNUMBER(FIND(SUBSTITUTE(C473," ",""), Disch_Booking_Report!AC:AC)), 0)), "Not Found")</f>
        <v/>
      </c>
      <c r="R473">
        <f t="array" ref="R473">IFERROR(INDEX(Disch_Booking_Report!AD:AD, MATCH(TRUE, ISNUMBER(FIND(SUBSTITUTE(C473," ",""), Disch_Booking_Report!AC:AC)), 0)), "Not Found")</f>
        <v/>
      </c>
      <c r="S473">
        <f>Tabela2[[#This Row],[Weight]]</f>
        <v/>
      </c>
      <c r="T473">
        <f t="array" ref="T473">IFERROR(INDEX(Disch_Booking_Report!L:L, MATCH(TRUE, ISNUMBER(FIND(SUBSTITUTE(C473," ",""), Disch_Booking_Report!AC:AC)), 0)), "Not Found")</f>
        <v/>
      </c>
      <c r="U473">
        <f t="array" ref="U473">IFERROR(INDEX(Disch_Booking_Report!I:I, MATCH(TRUE, ISNUMBER(FIND(SUBSTITUTE(C473," ",""), Disch_Booking_Report!AC:AC)), 0)), "Not Found")</f>
        <v/>
      </c>
    </row>
    <row r="474">
      <c r="A474" s="35" t="n">
        <v>35</v>
      </c>
      <c r="B474" s="35" t="n">
        <v>350306</v>
      </c>
      <c r="C474" s="35" t="inlineStr">
        <is>
          <t xml:space="preserve">     ANON0000000</t>
        </is>
      </c>
      <c r="D474" s="35" t="n">
        <v>20</v>
      </c>
      <c r="E474" s="35" t="inlineStr">
        <is>
          <t>RULED</t>
        </is>
      </c>
      <c r="F474" s="35" t="inlineStr">
        <is>
          <t>USNYC</t>
        </is>
      </c>
      <c r="G474" s="35" t="n">
        <v>23250</v>
      </c>
      <c r="H474" s="35" t="inlineStr">
        <is>
          <t>ART</t>
        </is>
      </c>
      <c r="I474" s="35" t="inlineStr">
        <is>
          <t>22G1</t>
        </is>
      </c>
      <c r="L474" s="35" t="inlineStr">
        <is>
          <t>8'6</t>
        </is>
      </c>
      <c r="M474" s="35" t="inlineStr">
        <is>
          <t>Full</t>
        </is>
      </c>
      <c r="P474">
        <f t="array" ref="P474">IFERROR(INDEX(Disch_Booking_Report!B:B, MATCH(TRUE, ISNUMBER(FIND(SUBSTITUTE(C474," ",""), Disch_Booking_Report!AC:AC)), 0)), "Not Found")</f>
        <v/>
      </c>
      <c r="Q474">
        <f t="array" ref="Q474">IFERROR(INDEX(Disch_Booking_Report!C:C, MATCH(TRUE, ISNUMBER(FIND(SUBSTITUTE(C474," ",""), Disch_Booking_Report!AC:AC)), 0)), "Not Found")</f>
        <v/>
      </c>
      <c r="R474">
        <f t="array" ref="R474">IFERROR(INDEX(Disch_Booking_Report!AD:AD, MATCH(TRUE, ISNUMBER(FIND(SUBSTITUTE(C474," ",""), Disch_Booking_Report!AC:AC)), 0)), "Not Found")</f>
        <v/>
      </c>
      <c r="S474">
        <f>Tabela2[[#This Row],[Weight]]</f>
        <v/>
      </c>
      <c r="T474">
        <f t="array" ref="T474">IFERROR(INDEX(Disch_Booking_Report!L:L, MATCH(TRUE, ISNUMBER(FIND(SUBSTITUTE(C474," ",""), Disch_Booking_Report!AC:AC)), 0)), "Not Found")</f>
        <v/>
      </c>
      <c r="U474">
        <f t="array" ref="U474">IFERROR(INDEX(Disch_Booking_Report!I:I, MATCH(TRUE, ISNUMBER(FIND(SUBSTITUTE(C474," ",""), Disch_Booking_Report!AC:AC)), 0)), "Not Found")</f>
        <v/>
      </c>
    </row>
    <row r="475">
      <c r="A475" s="35" t="n">
        <v>35</v>
      </c>
      <c r="B475" s="35" t="n">
        <v>350808</v>
      </c>
      <c r="C475" s="35" t="inlineStr">
        <is>
          <t xml:space="preserve">     ANON0000000</t>
        </is>
      </c>
      <c r="D475" s="35" t="n">
        <v>20</v>
      </c>
      <c r="E475" s="35" t="inlineStr">
        <is>
          <t>RULED</t>
        </is>
      </c>
      <c r="F475" s="35" t="inlineStr">
        <is>
          <t>USNYC</t>
        </is>
      </c>
      <c r="G475" s="35" t="n">
        <v>23100</v>
      </c>
      <c r="H475" s="35" t="inlineStr">
        <is>
          <t>ART</t>
        </is>
      </c>
      <c r="I475" s="35" t="inlineStr">
        <is>
          <t>22G1</t>
        </is>
      </c>
      <c r="L475" s="35" t="inlineStr">
        <is>
          <t>8'6</t>
        </is>
      </c>
      <c r="M475" s="35" t="inlineStr">
        <is>
          <t>Full</t>
        </is>
      </c>
      <c r="P475">
        <f t="array" ref="P475">IFERROR(INDEX(Disch_Booking_Report!B:B, MATCH(TRUE, ISNUMBER(FIND(SUBSTITUTE(C475," ",""), Disch_Booking_Report!AC:AC)), 0)), "Not Found")</f>
        <v/>
      </c>
      <c r="Q475">
        <f t="array" ref="Q475">IFERROR(INDEX(Disch_Booking_Report!C:C, MATCH(TRUE, ISNUMBER(FIND(SUBSTITUTE(C475," ",""), Disch_Booking_Report!AC:AC)), 0)), "Not Found")</f>
        <v/>
      </c>
      <c r="R475">
        <f t="array" ref="R475">IFERROR(INDEX(Disch_Booking_Report!AD:AD, MATCH(TRUE, ISNUMBER(FIND(SUBSTITUTE(C475," ",""), Disch_Booking_Report!AC:AC)), 0)), "Not Found")</f>
        <v/>
      </c>
      <c r="S475">
        <f>Tabela2[[#This Row],[Weight]]</f>
        <v/>
      </c>
      <c r="T475">
        <f t="array" ref="T475">IFERROR(INDEX(Disch_Booking_Report!L:L, MATCH(TRUE, ISNUMBER(FIND(SUBSTITUTE(C475," ",""), Disch_Booking_Report!AC:AC)), 0)), "Not Found")</f>
        <v/>
      </c>
      <c r="U475">
        <f t="array" ref="U475">IFERROR(INDEX(Disch_Booking_Report!I:I, MATCH(TRUE, ISNUMBER(FIND(SUBSTITUTE(C475," ",""), Disch_Booking_Report!AC:AC)), 0)), "Not Found")</f>
        <v/>
      </c>
    </row>
    <row r="476">
      <c r="A476" s="35" t="n">
        <v>35</v>
      </c>
      <c r="B476" s="35" t="n">
        <v>350406</v>
      </c>
      <c r="C476" s="35" t="inlineStr">
        <is>
          <t xml:space="preserve">     ANON0000000</t>
        </is>
      </c>
      <c r="D476" s="35" t="n">
        <v>20</v>
      </c>
      <c r="E476" s="35" t="inlineStr">
        <is>
          <t>RULED</t>
        </is>
      </c>
      <c r="F476" s="35" t="inlineStr">
        <is>
          <t>USNYC</t>
        </is>
      </c>
      <c r="G476" s="35" t="n">
        <v>23260</v>
      </c>
      <c r="H476" s="35" t="inlineStr">
        <is>
          <t>ART</t>
        </is>
      </c>
      <c r="I476" s="35" t="inlineStr">
        <is>
          <t>22G1</t>
        </is>
      </c>
      <c r="L476" s="35" t="inlineStr">
        <is>
          <t>8'6</t>
        </is>
      </c>
      <c r="M476" s="35" t="inlineStr">
        <is>
          <t>Full</t>
        </is>
      </c>
      <c r="P476">
        <f t="array" ref="P476">IFERROR(INDEX(Disch_Booking_Report!B:B, MATCH(TRUE, ISNUMBER(FIND(SUBSTITUTE(C476," ",""), Disch_Booking_Report!AC:AC)), 0)), "Not Found")</f>
        <v/>
      </c>
      <c r="Q476">
        <f t="array" ref="Q476">IFERROR(INDEX(Disch_Booking_Report!C:C, MATCH(TRUE, ISNUMBER(FIND(SUBSTITUTE(C476," ",""), Disch_Booking_Report!AC:AC)), 0)), "Not Found")</f>
        <v/>
      </c>
      <c r="R476">
        <f t="array" ref="R476">IFERROR(INDEX(Disch_Booking_Report!AD:AD, MATCH(TRUE, ISNUMBER(FIND(SUBSTITUTE(C476," ",""), Disch_Booking_Report!AC:AC)), 0)), "Not Found")</f>
        <v/>
      </c>
      <c r="S476">
        <f>Tabela2[[#This Row],[Weight]]</f>
        <v/>
      </c>
      <c r="T476">
        <f t="array" ref="T476">IFERROR(INDEX(Disch_Booking_Report!L:L, MATCH(TRUE, ISNUMBER(FIND(SUBSTITUTE(C476," ",""), Disch_Booking_Report!AC:AC)), 0)), "Not Found")</f>
        <v/>
      </c>
      <c r="U476">
        <f t="array" ref="U476">IFERROR(INDEX(Disch_Booking_Report!I:I, MATCH(TRUE, ISNUMBER(FIND(SUBSTITUTE(C476," ",""), Disch_Booking_Report!AC:AC)), 0)), "Not Found")</f>
        <v/>
      </c>
    </row>
    <row r="477">
      <c r="A477" s="35" t="n">
        <v>35</v>
      </c>
      <c r="B477" s="35" t="n">
        <v>350106</v>
      </c>
      <c r="C477" s="35" t="inlineStr">
        <is>
          <t xml:space="preserve">     ANON0000000</t>
        </is>
      </c>
      <c r="D477" s="35" t="n">
        <v>20</v>
      </c>
      <c r="E477" s="35" t="inlineStr">
        <is>
          <t>RULED</t>
        </is>
      </c>
      <c r="F477" s="35" t="inlineStr">
        <is>
          <t>USNYC</t>
        </is>
      </c>
      <c r="G477" s="35" t="n">
        <v>23100</v>
      </c>
      <c r="H477" s="35" t="inlineStr">
        <is>
          <t>ART</t>
        </is>
      </c>
      <c r="I477" s="35" t="inlineStr">
        <is>
          <t>22G1</t>
        </is>
      </c>
      <c r="L477" s="35" t="inlineStr">
        <is>
          <t>8'6</t>
        </is>
      </c>
      <c r="M477" s="35" t="inlineStr">
        <is>
          <t>Full</t>
        </is>
      </c>
      <c r="P477">
        <f t="array" ref="P477">IFERROR(INDEX(Disch_Booking_Report!B:B, MATCH(TRUE, ISNUMBER(FIND(SUBSTITUTE(C477," ",""), Disch_Booking_Report!AC:AC)), 0)), "Not Found")</f>
        <v/>
      </c>
      <c r="Q477">
        <f t="array" ref="Q477">IFERROR(INDEX(Disch_Booking_Report!C:C, MATCH(TRUE, ISNUMBER(FIND(SUBSTITUTE(C477," ",""), Disch_Booking_Report!AC:AC)), 0)), "Not Found")</f>
        <v/>
      </c>
      <c r="R477">
        <f t="array" ref="R477">IFERROR(INDEX(Disch_Booking_Report!AD:AD, MATCH(TRUE, ISNUMBER(FIND(SUBSTITUTE(C477," ",""), Disch_Booking_Report!AC:AC)), 0)), "Not Found")</f>
        <v/>
      </c>
      <c r="S477">
        <f>Tabela2[[#This Row],[Weight]]</f>
        <v/>
      </c>
      <c r="T477">
        <f t="array" ref="T477">IFERROR(INDEX(Disch_Booking_Report!L:L, MATCH(TRUE, ISNUMBER(FIND(SUBSTITUTE(C477," ",""), Disch_Booking_Report!AC:AC)), 0)), "Not Found")</f>
        <v/>
      </c>
      <c r="U477">
        <f t="array" ref="U477">IFERROR(INDEX(Disch_Booking_Report!I:I, MATCH(TRUE, ISNUMBER(FIND(SUBSTITUTE(C477," ",""), Disch_Booking_Report!AC:AC)), 0)), "Not Found")</f>
        <v/>
      </c>
    </row>
    <row r="478">
      <c r="A478" s="35" t="n">
        <v>35</v>
      </c>
      <c r="B478" s="35" t="n">
        <v>350506</v>
      </c>
      <c r="C478" s="35" t="inlineStr">
        <is>
          <t xml:space="preserve">     ANON0000000</t>
        </is>
      </c>
      <c r="D478" s="35" t="n">
        <v>20</v>
      </c>
      <c r="E478" s="35" t="inlineStr">
        <is>
          <t>RULED</t>
        </is>
      </c>
      <c r="F478" s="35" t="inlineStr">
        <is>
          <t>USNYC</t>
        </is>
      </c>
      <c r="G478" s="35" t="n">
        <v>23260</v>
      </c>
      <c r="H478" s="35" t="inlineStr">
        <is>
          <t>ART</t>
        </is>
      </c>
      <c r="I478" s="35" t="inlineStr">
        <is>
          <t>22G1</t>
        </is>
      </c>
      <c r="L478" s="35" t="inlineStr">
        <is>
          <t>8'6</t>
        </is>
      </c>
      <c r="M478" s="35" t="inlineStr">
        <is>
          <t>Full</t>
        </is>
      </c>
      <c r="P478">
        <f t="array" ref="P478">IFERROR(INDEX(Disch_Booking_Report!B:B, MATCH(TRUE, ISNUMBER(FIND(SUBSTITUTE(C478," ",""), Disch_Booking_Report!AC:AC)), 0)), "Not Found")</f>
        <v/>
      </c>
      <c r="Q478">
        <f t="array" ref="Q478">IFERROR(INDEX(Disch_Booking_Report!C:C, MATCH(TRUE, ISNUMBER(FIND(SUBSTITUTE(C478," ",""), Disch_Booking_Report!AC:AC)), 0)), "Not Found")</f>
        <v/>
      </c>
      <c r="R478">
        <f t="array" ref="R478">IFERROR(INDEX(Disch_Booking_Report!AD:AD, MATCH(TRUE, ISNUMBER(FIND(SUBSTITUTE(C478," ",""), Disch_Booking_Report!AC:AC)), 0)), "Not Found")</f>
        <v/>
      </c>
      <c r="S478">
        <f>Tabela2[[#This Row],[Weight]]</f>
        <v/>
      </c>
      <c r="T478">
        <f t="array" ref="T478">IFERROR(INDEX(Disch_Booking_Report!L:L, MATCH(TRUE, ISNUMBER(FIND(SUBSTITUTE(C478," ",""), Disch_Booking_Report!AC:AC)), 0)), "Not Found")</f>
        <v/>
      </c>
      <c r="U478">
        <f t="array" ref="U478">IFERROR(INDEX(Disch_Booking_Report!I:I, MATCH(TRUE, ISNUMBER(FIND(SUBSTITUTE(C478," ",""), Disch_Booking_Report!AC:AC)), 0)), "Not Found")</f>
        <v/>
      </c>
    </row>
    <row r="479">
      <c r="A479" s="35" t="n">
        <v>35</v>
      </c>
      <c r="B479" s="35" t="n">
        <v>350204</v>
      </c>
      <c r="C479" s="35" t="inlineStr">
        <is>
          <t xml:space="preserve">     ANON0000000</t>
        </is>
      </c>
      <c r="D479" s="35" t="n">
        <v>20</v>
      </c>
      <c r="E479" s="35" t="inlineStr">
        <is>
          <t>RULED</t>
        </is>
      </c>
      <c r="F479" s="35" t="inlineStr">
        <is>
          <t>USNYC</t>
        </is>
      </c>
      <c r="G479" s="35" t="n">
        <v>23100</v>
      </c>
      <c r="H479" s="35" t="inlineStr">
        <is>
          <t>ART</t>
        </is>
      </c>
      <c r="I479" s="35" t="inlineStr">
        <is>
          <t>22G1</t>
        </is>
      </c>
      <c r="L479" s="35" t="inlineStr">
        <is>
          <t>8'6</t>
        </is>
      </c>
      <c r="M479" s="35" t="inlineStr">
        <is>
          <t>Full</t>
        </is>
      </c>
      <c r="P479">
        <f t="array" ref="P479">IFERROR(INDEX(Disch_Booking_Report!B:B, MATCH(TRUE, ISNUMBER(FIND(SUBSTITUTE(C479," ",""), Disch_Booking_Report!AC:AC)), 0)), "Not Found")</f>
        <v/>
      </c>
      <c r="Q479">
        <f t="array" ref="Q479">IFERROR(INDEX(Disch_Booking_Report!C:C, MATCH(TRUE, ISNUMBER(FIND(SUBSTITUTE(C479," ",""), Disch_Booking_Report!AC:AC)), 0)), "Not Found")</f>
        <v/>
      </c>
      <c r="R479">
        <f t="array" ref="R479">IFERROR(INDEX(Disch_Booking_Report!AD:AD, MATCH(TRUE, ISNUMBER(FIND(SUBSTITUTE(C479," ",""), Disch_Booking_Report!AC:AC)), 0)), "Not Found")</f>
        <v/>
      </c>
      <c r="S479">
        <f>Tabela2[[#This Row],[Weight]]</f>
        <v/>
      </c>
      <c r="T479">
        <f t="array" ref="T479">IFERROR(INDEX(Disch_Booking_Report!L:L, MATCH(TRUE, ISNUMBER(FIND(SUBSTITUTE(C479," ",""), Disch_Booking_Report!AC:AC)), 0)), "Not Found")</f>
        <v/>
      </c>
      <c r="U479">
        <f t="array" ref="U479">IFERROR(INDEX(Disch_Booking_Report!I:I, MATCH(TRUE, ISNUMBER(FIND(SUBSTITUTE(C479," ",""), Disch_Booking_Report!AC:AC)), 0)), "Not Found")</f>
        <v/>
      </c>
    </row>
    <row r="480">
      <c r="A480" s="35" t="n">
        <v>35</v>
      </c>
      <c r="B480" s="35" t="n">
        <v>350202</v>
      </c>
      <c r="C480" s="35" t="inlineStr">
        <is>
          <t xml:space="preserve">     ANON0000000</t>
        </is>
      </c>
      <c r="D480" s="35" t="n">
        <v>20</v>
      </c>
      <c r="E480" s="35" t="inlineStr">
        <is>
          <t>RULED</t>
        </is>
      </c>
      <c r="F480" s="35" t="inlineStr">
        <is>
          <t>USNYC</t>
        </is>
      </c>
      <c r="G480" s="35" t="n">
        <v>23180</v>
      </c>
      <c r="H480" s="35" t="inlineStr">
        <is>
          <t>ART</t>
        </is>
      </c>
      <c r="I480" s="35" t="inlineStr">
        <is>
          <t>22G1</t>
        </is>
      </c>
      <c r="L480" s="35" t="inlineStr">
        <is>
          <t>8'6</t>
        </is>
      </c>
      <c r="M480" s="35" t="inlineStr">
        <is>
          <t>Full</t>
        </is>
      </c>
      <c r="P480">
        <f t="array" ref="P480">IFERROR(INDEX(Disch_Booking_Report!B:B, MATCH(TRUE, ISNUMBER(FIND(SUBSTITUTE(C480," ",""), Disch_Booking_Report!AC:AC)), 0)), "Not Found")</f>
        <v/>
      </c>
      <c r="Q480">
        <f t="array" ref="Q480">IFERROR(INDEX(Disch_Booking_Report!C:C, MATCH(TRUE, ISNUMBER(FIND(SUBSTITUTE(C480," ",""), Disch_Booking_Report!AC:AC)), 0)), "Not Found")</f>
        <v/>
      </c>
      <c r="R480">
        <f t="array" ref="R480">IFERROR(INDEX(Disch_Booking_Report!AD:AD, MATCH(TRUE, ISNUMBER(FIND(SUBSTITUTE(C480," ",""), Disch_Booking_Report!AC:AC)), 0)), "Not Found")</f>
        <v/>
      </c>
      <c r="S480">
        <f>Tabela2[[#This Row],[Weight]]</f>
        <v/>
      </c>
      <c r="T480">
        <f t="array" ref="T480">IFERROR(INDEX(Disch_Booking_Report!L:L, MATCH(TRUE, ISNUMBER(FIND(SUBSTITUTE(C480," ",""), Disch_Booking_Report!AC:AC)), 0)), "Not Found")</f>
        <v/>
      </c>
      <c r="U480">
        <f t="array" ref="U480">IFERROR(INDEX(Disch_Booking_Report!I:I, MATCH(TRUE, ISNUMBER(FIND(SUBSTITUTE(C480," ",""), Disch_Booking_Report!AC:AC)), 0)), "Not Found")</f>
        <v/>
      </c>
    </row>
    <row r="481">
      <c r="A481" s="35" t="n">
        <v>35</v>
      </c>
      <c r="B481" s="35" t="n">
        <v>350606</v>
      </c>
      <c r="C481" s="35" t="inlineStr">
        <is>
          <t xml:space="preserve">     ANON0000000</t>
        </is>
      </c>
      <c r="D481" s="35" t="n">
        <v>20</v>
      </c>
      <c r="E481" s="35" t="inlineStr">
        <is>
          <t>RULED</t>
        </is>
      </c>
      <c r="F481" s="35" t="inlineStr">
        <is>
          <t>USNYC</t>
        </is>
      </c>
      <c r="G481" s="35" t="n">
        <v>23100</v>
      </c>
      <c r="H481" s="35" t="inlineStr">
        <is>
          <t>ART</t>
        </is>
      </c>
      <c r="I481" s="35" t="inlineStr">
        <is>
          <t>22G1</t>
        </is>
      </c>
      <c r="L481" s="35" t="inlineStr">
        <is>
          <t>8'6</t>
        </is>
      </c>
      <c r="M481" s="35" t="inlineStr">
        <is>
          <t>Full</t>
        </is>
      </c>
      <c r="P481">
        <f t="array" ref="P481">IFERROR(INDEX(Disch_Booking_Report!B:B, MATCH(TRUE, ISNUMBER(FIND(SUBSTITUTE(C481," ",""), Disch_Booking_Report!AC:AC)), 0)), "Not Found")</f>
        <v/>
      </c>
      <c r="Q481">
        <f t="array" ref="Q481">IFERROR(INDEX(Disch_Booking_Report!C:C, MATCH(TRUE, ISNUMBER(FIND(SUBSTITUTE(C481," ",""), Disch_Booking_Report!AC:AC)), 0)), "Not Found")</f>
        <v/>
      </c>
      <c r="R481">
        <f t="array" ref="R481">IFERROR(INDEX(Disch_Booking_Report!AD:AD, MATCH(TRUE, ISNUMBER(FIND(SUBSTITUTE(C481," ",""), Disch_Booking_Report!AC:AC)), 0)), "Not Found")</f>
        <v/>
      </c>
      <c r="S481">
        <f>Tabela2[[#This Row],[Weight]]</f>
        <v/>
      </c>
      <c r="T481">
        <f t="array" ref="T481">IFERROR(INDEX(Disch_Booking_Report!L:L, MATCH(TRUE, ISNUMBER(FIND(SUBSTITUTE(C481," ",""), Disch_Booking_Report!AC:AC)), 0)), "Not Found")</f>
        <v/>
      </c>
      <c r="U481">
        <f t="array" ref="U481">IFERROR(INDEX(Disch_Booking_Report!I:I, MATCH(TRUE, ISNUMBER(FIND(SUBSTITUTE(C481," ",""), Disch_Booking_Report!AC:AC)), 0)), "Not Found")</f>
        <v/>
      </c>
    </row>
    <row r="482">
      <c r="A482" s="35" t="n">
        <v>35</v>
      </c>
      <c r="B482" s="35" t="n">
        <v>350206</v>
      </c>
      <c r="C482" s="35" t="inlineStr">
        <is>
          <t xml:space="preserve">     ANON0000000</t>
        </is>
      </c>
      <c r="D482" s="35" t="n">
        <v>20</v>
      </c>
      <c r="E482" s="35" t="inlineStr">
        <is>
          <t>RULED</t>
        </is>
      </c>
      <c r="F482" s="35" t="inlineStr">
        <is>
          <t>USNYC</t>
        </is>
      </c>
      <c r="G482" s="35" t="n">
        <v>23100</v>
      </c>
      <c r="H482" s="35" t="inlineStr">
        <is>
          <t>ART</t>
        </is>
      </c>
      <c r="I482" s="35" t="inlineStr">
        <is>
          <t>22G1</t>
        </is>
      </c>
      <c r="L482" s="35" t="inlineStr">
        <is>
          <t>8'6</t>
        </is>
      </c>
      <c r="M482" s="35" t="inlineStr">
        <is>
          <t>Full</t>
        </is>
      </c>
      <c r="P482">
        <f t="array" ref="P482">IFERROR(INDEX(Disch_Booking_Report!B:B, MATCH(TRUE, ISNUMBER(FIND(SUBSTITUTE(C482," ",""), Disch_Booking_Report!AC:AC)), 0)), "Not Found")</f>
        <v/>
      </c>
      <c r="Q482">
        <f t="array" ref="Q482">IFERROR(INDEX(Disch_Booking_Report!C:C, MATCH(TRUE, ISNUMBER(FIND(SUBSTITUTE(C482," ",""), Disch_Booking_Report!AC:AC)), 0)), "Not Found")</f>
        <v/>
      </c>
      <c r="R482">
        <f t="array" ref="R482">IFERROR(INDEX(Disch_Booking_Report!AD:AD, MATCH(TRUE, ISNUMBER(FIND(SUBSTITUTE(C482," ",""), Disch_Booking_Report!AC:AC)), 0)), "Not Found")</f>
        <v/>
      </c>
      <c r="S482">
        <f>Tabela2[[#This Row],[Weight]]</f>
        <v/>
      </c>
      <c r="T482">
        <f t="array" ref="T482">IFERROR(INDEX(Disch_Booking_Report!L:L, MATCH(TRUE, ISNUMBER(FIND(SUBSTITUTE(C482," ",""), Disch_Booking_Report!AC:AC)), 0)), "Not Found")</f>
        <v/>
      </c>
      <c r="U482">
        <f t="array" ref="U482">IFERROR(INDEX(Disch_Booking_Report!I:I, MATCH(TRUE, ISNUMBER(FIND(SUBSTITUTE(C482," ",""), Disch_Booking_Report!AC:AC)), 0)), "Not Found")</f>
        <v/>
      </c>
    </row>
    <row r="483">
      <c r="A483" s="35" t="n">
        <v>40</v>
      </c>
      <c r="B483" s="35" t="n">
        <v>400584</v>
      </c>
      <c r="C483" s="35" t="inlineStr">
        <is>
          <t xml:space="preserve">     ANON0000000</t>
        </is>
      </c>
      <c r="D483" s="35" t="n">
        <v>40</v>
      </c>
      <c r="E483" s="35" t="inlineStr">
        <is>
          <t>RULED</t>
        </is>
      </c>
      <c r="F483" s="35" t="inlineStr">
        <is>
          <t>USNFK</t>
        </is>
      </c>
      <c r="G483" s="35" t="n">
        <v>30940</v>
      </c>
      <c r="H483" s="35" t="inlineStr">
        <is>
          <t>ART</t>
        </is>
      </c>
      <c r="I483" s="35" t="inlineStr">
        <is>
          <t>45R1</t>
        </is>
      </c>
      <c r="K483" s="35" t="inlineStr">
        <is>
          <t>Dry reefer</t>
        </is>
      </c>
      <c r="L483" s="35" t="inlineStr">
        <is>
          <t>9'6</t>
        </is>
      </c>
      <c r="M483" s="35" t="inlineStr">
        <is>
          <t>Full</t>
        </is>
      </c>
      <c r="P483">
        <f t="array" ref="P483">IFERROR(INDEX(Disch_Booking_Report!B:B, MATCH(TRUE, ISNUMBER(FIND(SUBSTITUTE(C483," ",""), Disch_Booking_Report!AC:AC)), 0)), "Not Found")</f>
        <v/>
      </c>
      <c r="Q483">
        <f t="array" ref="Q483">IFERROR(INDEX(Disch_Booking_Report!C:C, MATCH(TRUE, ISNUMBER(FIND(SUBSTITUTE(C483," ",""), Disch_Booking_Report!AC:AC)), 0)), "Not Found")</f>
        <v/>
      </c>
      <c r="R483">
        <f t="array" ref="R483">IFERROR(INDEX(Disch_Booking_Report!AD:AD, MATCH(TRUE, ISNUMBER(FIND(SUBSTITUTE(C483," ",""), Disch_Booking_Report!AC:AC)), 0)), "Not Found")</f>
        <v/>
      </c>
      <c r="S483">
        <f>Tabela2[[#This Row],[Weight]]</f>
        <v/>
      </c>
      <c r="T483">
        <f t="array" ref="T483">IFERROR(INDEX(Disch_Booking_Report!L:L, MATCH(TRUE, ISNUMBER(FIND(SUBSTITUTE(C483," ",""), Disch_Booking_Report!AC:AC)), 0)), "Not Found")</f>
        <v/>
      </c>
      <c r="U483">
        <f t="array" ref="U483">IFERROR(INDEX(Disch_Booking_Report!I:I, MATCH(TRUE, ISNUMBER(FIND(SUBSTITUTE(C483," ",""), Disch_Booking_Report!AC:AC)), 0)), "Not Found")</f>
        <v/>
      </c>
    </row>
    <row r="484">
      <c r="A484" s="35" t="n">
        <v>40</v>
      </c>
      <c r="B484" s="35" t="n">
        <v>400486</v>
      </c>
      <c r="C484" s="35" t="inlineStr">
        <is>
          <t xml:space="preserve">     ANON0000000</t>
        </is>
      </c>
      <c r="D484" s="35" t="n">
        <v>40</v>
      </c>
      <c r="E484" s="35" t="inlineStr">
        <is>
          <t>RULED</t>
        </is>
      </c>
      <c r="F484" s="35" t="inlineStr">
        <is>
          <t>USNYC</t>
        </is>
      </c>
      <c r="G484" s="35" t="n">
        <v>34460</v>
      </c>
      <c r="H484" s="35" t="inlineStr">
        <is>
          <t>ART</t>
        </is>
      </c>
      <c r="I484" s="35" t="inlineStr">
        <is>
          <t>45R1</t>
        </is>
      </c>
      <c r="K484" s="35" t="inlineStr">
        <is>
          <t>Dry reefer</t>
        </is>
      </c>
      <c r="L484" s="35" t="inlineStr">
        <is>
          <t>9'6</t>
        </is>
      </c>
      <c r="M484" s="35" t="inlineStr">
        <is>
          <t>Full</t>
        </is>
      </c>
      <c r="P484">
        <f t="array" ref="P484">IFERROR(INDEX(Disch_Booking_Report!B:B, MATCH(TRUE, ISNUMBER(FIND(SUBSTITUTE(C484," ",""), Disch_Booking_Report!AC:AC)), 0)), "Not Found")</f>
        <v/>
      </c>
      <c r="Q484">
        <f t="array" ref="Q484">IFERROR(INDEX(Disch_Booking_Report!C:C, MATCH(TRUE, ISNUMBER(FIND(SUBSTITUTE(C484," ",""), Disch_Booking_Report!AC:AC)), 0)), "Not Found")</f>
        <v/>
      </c>
      <c r="R484">
        <f t="array" ref="R484">IFERROR(INDEX(Disch_Booking_Report!AD:AD, MATCH(TRUE, ISNUMBER(FIND(SUBSTITUTE(C484," ",""), Disch_Booking_Report!AC:AC)), 0)), "Not Found")</f>
        <v/>
      </c>
      <c r="S484">
        <f>Tabela2[[#This Row],[Weight]]</f>
        <v/>
      </c>
      <c r="T484">
        <f t="array" ref="T484">IFERROR(INDEX(Disch_Booking_Report!L:L, MATCH(TRUE, ISNUMBER(FIND(SUBSTITUTE(C484," ",""), Disch_Booking_Report!AC:AC)), 0)), "Not Found")</f>
        <v/>
      </c>
      <c r="U484">
        <f t="array" ref="U484">IFERROR(INDEX(Disch_Booking_Report!I:I, MATCH(TRUE, ISNUMBER(FIND(SUBSTITUTE(C484," ",""), Disch_Booking_Report!AC:AC)), 0)), "Not Found")</f>
        <v/>
      </c>
    </row>
    <row r="485">
      <c r="A485" s="35" t="n">
        <v>40</v>
      </c>
      <c r="B485" s="35" t="n">
        <v>400682</v>
      </c>
      <c r="C485" s="35" t="inlineStr">
        <is>
          <t xml:space="preserve">     ANON0000000</t>
        </is>
      </c>
      <c r="D485" s="35" t="n">
        <v>40</v>
      </c>
      <c r="E485" s="35" t="inlineStr">
        <is>
          <t>RULED</t>
        </is>
      </c>
      <c r="F485" s="35" t="inlineStr">
        <is>
          <t>USNFK</t>
        </is>
      </c>
      <c r="G485" s="35" t="n">
        <v>24830</v>
      </c>
      <c r="H485" s="35" t="inlineStr">
        <is>
          <t>MLINE</t>
        </is>
      </c>
      <c r="I485" s="35" t="inlineStr">
        <is>
          <t>45G1</t>
        </is>
      </c>
      <c r="L485" s="35" t="inlineStr">
        <is>
          <t>9'6</t>
        </is>
      </c>
      <c r="M485" s="35" t="inlineStr">
        <is>
          <t>Full</t>
        </is>
      </c>
      <c r="P485">
        <f t="array" ref="P485">IFERROR(INDEX(Disch_Booking_Report!B:B, MATCH(TRUE, ISNUMBER(FIND(SUBSTITUTE(C485," ",""), Disch_Booking_Report!AC:AC)), 0)), "Not Found")</f>
        <v/>
      </c>
      <c r="Q485">
        <f t="array" ref="Q485">IFERROR(INDEX(Disch_Booking_Report!C:C, MATCH(TRUE, ISNUMBER(FIND(SUBSTITUTE(C485," ",""), Disch_Booking_Report!AC:AC)), 0)), "Not Found")</f>
        <v/>
      </c>
      <c r="R485">
        <f t="array" ref="R485">IFERROR(INDEX(Disch_Booking_Report!AD:AD, MATCH(TRUE, ISNUMBER(FIND(SUBSTITUTE(C485," ",""), Disch_Booking_Report!AC:AC)), 0)), "Not Found")</f>
        <v/>
      </c>
      <c r="S485">
        <f>Tabela2[[#This Row],[Weight]]</f>
        <v/>
      </c>
      <c r="T485">
        <f t="array" ref="T485">IFERROR(INDEX(Disch_Booking_Report!L:L, MATCH(TRUE, ISNUMBER(FIND(SUBSTITUTE(C485," ",""), Disch_Booking_Report!AC:AC)), 0)), "Not Found")</f>
        <v/>
      </c>
      <c r="U485">
        <f t="array" ref="U485">IFERROR(INDEX(Disch_Booking_Report!I:I, MATCH(TRUE, ISNUMBER(FIND(SUBSTITUTE(C485," ",""), Disch_Booking_Report!AC:AC)), 0)), "Not Found")</f>
        <v/>
      </c>
    </row>
    <row r="486">
      <c r="A486" s="35" t="n">
        <v>40</v>
      </c>
      <c r="B486" s="35" t="n">
        <v>400482</v>
      </c>
      <c r="C486" s="35" t="inlineStr">
        <is>
          <t xml:space="preserve">     ANON0000000</t>
        </is>
      </c>
      <c r="D486" s="35" t="n">
        <v>40</v>
      </c>
      <c r="E486" s="35" t="inlineStr">
        <is>
          <t>RULED</t>
        </is>
      </c>
      <c r="F486" s="35" t="inlineStr">
        <is>
          <t>USNFK</t>
        </is>
      </c>
      <c r="G486" s="35" t="n">
        <v>26110</v>
      </c>
      <c r="H486" s="35" t="inlineStr">
        <is>
          <t>ART</t>
        </is>
      </c>
      <c r="I486" s="35" t="inlineStr">
        <is>
          <t>45G1</t>
        </is>
      </c>
      <c r="L486" s="35" t="inlineStr">
        <is>
          <t>9'6</t>
        </is>
      </c>
      <c r="M486" s="35" t="inlineStr">
        <is>
          <t>Full</t>
        </is>
      </c>
      <c r="P486">
        <f t="array" ref="P486">IFERROR(INDEX(Disch_Booking_Report!B:B, MATCH(TRUE, ISNUMBER(FIND(SUBSTITUTE(C486," ",""), Disch_Booking_Report!AC:AC)), 0)), "Not Found")</f>
        <v/>
      </c>
      <c r="Q486">
        <f t="array" ref="Q486">IFERROR(INDEX(Disch_Booking_Report!C:C, MATCH(TRUE, ISNUMBER(FIND(SUBSTITUTE(C486," ",""), Disch_Booking_Report!AC:AC)), 0)), "Not Found")</f>
        <v/>
      </c>
      <c r="R486">
        <f t="array" ref="R486">IFERROR(INDEX(Disch_Booking_Report!AD:AD, MATCH(TRUE, ISNUMBER(FIND(SUBSTITUTE(C486," ",""), Disch_Booking_Report!AC:AC)), 0)), "Not Found")</f>
        <v/>
      </c>
      <c r="S486">
        <f>Tabela2[[#This Row],[Weight]]</f>
        <v/>
      </c>
      <c r="T486">
        <f t="array" ref="T486">IFERROR(INDEX(Disch_Booking_Report!L:L, MATCH(TRUE, ISNUMBER(FIND(SUBSTITUTE(C486," ",""), Disch_Booking_Report!AC:AC)), 0)), "Not Found")</f>
        <v/>
      </c>
      <c r="U486">
        <f t="array" ref="U486">IFERROR(INDEX(Disch_Booking_Report!I:I, MATCH(TRUE, ISNUMBER(FIND(SUBSTITUTE(C486," ",""), Disch_Booking_Report!AC:AC)), 0)), "Not Found")</f>
        <v/>
      </c>
    </row>
    <row r="487">
      <c r="A487" s="35" t="n">
        <v>40</v>
      </c>
      <c r="B487" s="35" t="n">
        <v>400586</v>
      </c>
      <c r="C487" s="35" t="inlineStr">
        <is>
          <t xml:space="preserve">     ANON0000000</t>
        </is>
      </c>
      <c r="D487" s="35" t="n">
        <v>40</v>
      </c>
      <c r="E487" s="35" t="inlineStr">
        <is>
          <t>RULED</t>
        </is>
      </c>
      <c r="F487" s="35" t="inlineStr">
        <is>
          <t>USNYC</t>
        </is>
      </c>
      <c r="G487" s="35" t="n">
        <v>33210</v>
      </c>
      <c r="H487" s="35" t="inlineStr">
        <is>
          <t>ART</t>
        </is>
      </c>
      <c r="I487" s="35" t="inlineStr">
        <is>
          <t>45R1</t>
        </is>
      </c>
      <c r="K487" s="35" t="inlineStr">
        <is>
          <t>Dry reefer</t>
        </is>
      </c>
      <c r="L487" s="35" t="inlineStr">
        <is>
          <t>9'6</t>
        </is>
      </c>
      <c r="M487" s="35" t="inlineStr">
        <is>
          <t>Full</t>
        </is>
      </c>
      <c r="P487">
        <f t="array" ref="P487">IFERROR(INDEX(Disch_Booking_Report!B:B, MATCH(TRUE, ISNUMBER(FIND(SUBSTITUTE(C487," ",""), Disch_Booking_Report!AC:AC)), 0)), "Not Found")</f>
        <v/>
      </c>
      <c r="Q487">
        <f t="array" ref="Q487">IFERROR(INDEX(Disch_Booking_Report!C:C, MATCH(TRUE, ISNUMBER(FIND(SUBSTITUTE(C487," ",""), Disch_Booking_Report!AC:AC)), 0)), "Not Found")</f>
        <v/>
      </c>
      <c r="R487">
        <f t="array" ref="R487">IFERROR(INDEX(Disch_Booking_Report!AD:AD, MATCH(TRUE, ISNUMBER(FIND(SUBSTITUTE(C487," ",""), Disch_Booking_Report!AC:AC)), 0)), "Not Found")</f>
        <v/>
      </c>
      <c r="S487">
        <f>Tabela2[[#This Row],[Weight]]</f>
        <v/>
      </c>
      <c r="T487">
        <f t="array" ref="T487">IFERROR(INDEX(Disch_Booking_Report!L:L, MATCH(TRUE, ISNUMBER(FIND(SUBSTITUTE(C487," ",""), Disch_Booking_Report!AC:AC)), 0)), "Not Found")</f>
        <v/>
      </c>
      <c r="U487">
        <f t="array" ref="U487">IFERROR(INDEX(Disch_Booking_Report!I:I, MATCH(TRUE, ISNUMBER(FIND(SUBSTITUTE(C487," ",""), Disch_Booking_Report!AC:AC)), 0)), "Not Found")</f>
        <v/>
      </c>
    </row>
    <row r="488">
      <c r="A488" s="35" t="n">
        <v>40</v>
      </c>
      <c r="B488" s="35" t="n">
        <v>400286</v>
      </c>
      <c r="C488" s="35" t="inlineStr">
        <is>
          <t xml:space="preserve">     ANON0000000</t>
        </is>
      </c>
      <c r="D488" s="35" t="n">
        <v>40</v>
      </c>
      <c r="E488" s="35" t="inlineStr">
        <is>
          <t>RULED</t>
        </is>
      </c>
      <c r="F488" s="35" t="inlineStr">
        <is>
          <t>USNYC</t>
        </is>
      </c>
      <c r="G488" s="35" t="n">
        <v>34410</v>
      </c>
      <c r="H488" s="35" t="inlineStr">
        <is>
          <t>ART</t>
        </is>
      </c>
      <c r="I488" s="35" t="inlineStr">
        <is>
          <t>40R1</t>
        </is>
      </c>
      <c r="K488" s="35" t="inlineStr">
        <is>
          <t>Dry reefer</t>
        </is>
      </c>
      <c r="L488" s="35" t="inlineStr">
        <is>
          <t>8'</t>
        </is>
      </c>
      <c r="M488" s="35" t="inlineStr">
        <is>
          <t>Full</t>
        </is>
      </c>
      <c r="P488">
        <f t="array" ref="P488">IFERROR(INDEX(Disch_Booking_Report!B:B, MATCH(TRUE, ISNUMBER(FIND(SUBSTITUTE(C488," ",""), Disch_Booking_Report!AC:AC)), 0)), "Not Found")</f>
        <v/>
      </c>
      <c r="Q488">
        <f t="array" ref="Q488">IFERROR(INDEX(Disch_Booking_Report!C:C, MATCH(TRUE, ISNUMBER(FIND(SUBSTITUTE(C488," ",""), Disch_Booking_Report!AC:AC)), 0)), "Not Found")</f>
        <v/>
      </c>
      <c r="R488">
        <f t="array" ref="R488">IFERROR(INDEX(Disch_Booking_Report!AD:AD, MATCH(TRUE, ISNUMBER(FIND(SUBSTITUTE(C488," ",""), Disch_Booking_Report!AC:AC)), 0)), "Not Found")</f>
        <v/>
      </c>
      <c r="S488">
        <f>Tabela2[[#This Row],[Weight]]</f>
        <v/>
      </c>
      <c r="T488">
        <f t="array" ref="T488">IFERROR(INDEX(Disch_Booking_Report!L:L, MATCH(TRUE, ISNUMBER(FIND(SUBSTITUTE(C488," ",""), Disch_Booking_Report!AC:AC)), 0)), "Not Found")</f>
        <v/>
      </c>
      <c r="U488">
        <f t="array" ref="U488">IFERROR(INDEX(Disch_Booking_Report!I:I, MATCH(TRUE, ISNUMBER(FIND(SUBSTITUTE(C488," ",""), Disch_Booking_Report!AC:AC)), 0)), "Not Found")</f>
        <v/>
      </c>
    </row>
    <row r="489">
      <c r="A489" s="35" t="n">
        <v>40</v>
      </c>
      <c r="B489" s="35" t="n">
        <v>400582</v>
      </c>
      <c r="C489" s="35" t="inlineStr">
        <is>
          <t xml:space="preserve">     ANON0000000</t>
        </is>
      </c>
      <c r="D489" s="35" t="n">
        <v>40</v>
      </c>
      <c r="E489" s="35" t="inlineStr">
        <is>
          <t>RULED</t>
        </is>
      </c>
      <c r="F489" s="35" t="inlineStr">
        <is>
          <t>USNFK</t>
        </is>
      </c>
      <c r="G489" s="35" t="n">
        <v>25960</v>
      </c>
      <c r="H489" s="35" t="inlineStr">
        <is>
          <t>MLINE</t>
        </is>
      </c>
      <c r="I489" s="35" t="inlineStr">
        <is>
          <t>45G1</t>
        </is>
      </c>
      <c r="L489" s="35" t="inlineStr">
        <is>
          <t>9'6</t>
        </is>
      </c>
      <c r="M489" s="35" t="inlineStr">
        <is>
          <t>Full</t>
        </is>
      </c>
      <c r="P489">
        <f t="array" ref="P489">IFERROR(INDEX(Disch_Booking_Report!B:B, MATCH(TRUE, ISNUMBER(FIND(SUBSTITUTE(C489," ",""), Disch_Booking_Report!AC:AC)), 0)), "Not Found")</f>
        <v/>
      </c>
      <c r="Q489">
        <f t="array" ref="Q489">IFERROR(INDEX(Disch_Booking_Report!C:C, MATCH(TRUE, ISNUMBER(FIND(SUBSTITUTE(C489," ",""), Disch_Booking_Report!AC:AC)), 0)), "Not Found")</f>
        <v/>
      </c>
      <c r="R489">
        <f t="array" ref="R489">IFERROR(INDEX(Disch_Booking_Report!AD:AD, MATCH(TRUE, ISNUMBER(FIND(SUBSTITUTE(C489," ",""), Disch_Booking_Report!AC:AC)), 0)), "Not Found")</f>
        <v/>
      </c>
      <c r="S489">
        <f>Tabela2[[#This Row],[Weight]]</f>
        <v/>
      </c>
      <c r="T489">
        <f t="array" ref="T489">IFERROR(INDEX(Disch_Booking_Report!L:L, MATCH(TRUE, ISNUMBER(FIND(SUBSTITUTE(C489," ",""), Disch_Booking_Report!AC:AC)), 0)), "Not Found")</f>
        <v/>
      </c>
      <c r="U489">
        <f t="array" ref="U489">IFERROR(INDEX(Disch_Booking_Report!I:I, MATCH(TRUE, ISNUMBER(FIND(SUBSTITUTE(C489," ",""), Disch_Booking_Report!AC:AC)), 0)), "Not Found")</f>
        <v/>
      </c>
    </row>
    <row r="490">
      <c r="A490" s="35" t="n">
        <v>40</v>
      </c>
      <c r="B490" s="35" t="n">
        <v>400882</v>
      </c>
      <c r="C490" s="35" t="inlineStr">
        <is>
          <t xml:space="preserve">     ANON0000000</t>
        </is>
      </c>
      <c r="D490" s="35" t="n">
        <v>40</v>
      </c>
      <c r="E490" s="35" t="inlineStr">
        <is>
          <t>RULED</t>
        </is>
      </c>
      <c r="F490" s="35" t="inlineStr">
        <is>
          <t>USNYC</t>
        </is>
      </c>
      <c r="G490" s="35" t="n">
        <v>32320</v>
      </c>
      <c r="H490" s="35" t="inlineStr">
        <is>
          <t>ART</t>
        </is>
      </c>
      <c r="I490" s="35" t="inlineStr">
        <is>
          <t>45G1</t>
        </is>
      </c>
      <c r="L490" s="35" t="inlineStr">
        <is>
          <t>9'6</t>
        </is>
      </c>
      <c r="M490" s="35" t="inlineStr">
        <is>
          <t>Full</t>
        </is>
      </c>
      <c r="P490">
        <f t="array" ref="P490">IFERROR(INDEX(Disch_Booking_Report!B:B, MATCH(TRUE, ISNUMBER(FIND(SUBSTITUTE(C490," ",""), Disch_Booking_Report!AC:AC)), 0)), "Not Found")</f>
        <v/>
      </c>
      <c r="Q490">
        <f t="array" ref="Q490">IFERROR(INDEX(Disch_Booking_Report!C:C, MATCH(TRUE, ISNUMBER(FIND(SUBSTITUTE(C490," ",""), Disch_Booking_Report!AC:AC)), 0)), "Not Found")</f>
        <v/>
      </c>
      <c r="R490">
        <f t="array" ref="R490">IFERROR(INDEX(Disch_Booking_Report!AD:AD, MATCH(TRUE, ISNUMBER(FIND(SUBSTITUTE(C490," ",""), Disch_Booking_Report!AC:AC)), 0)), "Not Found")</f>
        <v/>
      </c>
      <c r="S490">
        <f>Tabela2[[#This Row],[Weight]]</f>
        <v/>
      </c>
      <c r="T490">
        <f t="array" ref="T490">IFERROR(INDEX(Disch_Booking_Report!L:L, MATCH(TRUE, ISNUMBER(FIND(SUBSTITUTE(C490," ",""), Disch_Booking_Report!AC:AC)), 0)), "Not Found")</f>
        <v/>
      </c>
      <c r="U490">
        <f t="array" ref="U490">IFERROR(INDEX(Disch_Booking_Report!I:I, MATCH(TRUE, ISNUMBER(FIND(SUBSTITUTE(C490," ",""), Disch_Booking_Report!AC:AC)), 0)), "Not Found")</f>
        <v/>
      </c>
    </row>
    <row r="491">
      <c r="A491" s="35" t="n">
        <v>40</v>
      </c>
      <c r="B491" s="35" t="n">
        <v>400184</v>
      </c>
      <c r="C491" s="35" t="inlineStr">
        <is>
          <t xml:space="preserve">     ANON0000000</t>
        </is>
      </c>
      <c r="D491" s="35" t="n">
        <v>40</v>
      </c>
      <c r="E491" s="35" t="inlineStr">
        <is>
          <t>RULED</t>
        </is>
      </c>
      <c r="F491" s="35" t="inlineStr">
        <is>
          <t>USNFK</t>
        </is>
      </c>
      <c r="G491" s="35" t="n">
        <v>30970</v>
      </c>
      <c r="H491" s="35" t="inlineStr">
        <is>
          <t>ART</t>
        </is>
      </c>
      <c r="I491" s="35" t="inlineStr">
        <is>
          <t>45R1</t>
        </is>
      </c>
      <c r="K491" s="35" t="inlineStr">
        <is>
          <t>Dry reefer</t>
        </is>
      </c>
      <c r="L491" s="35" t="inlineStr">
        <is>
          <t>9'6</t>
        </is>
      </c>
      <c r="M491" s="35" t="inlineStr">
        <is>
          <t>Full</t>
        </is>
      </c>
      <c r="P491">
        <f t="array" ref="P491">IFERROR(INDEX(Disch_Booking_Report!B:B, MATCH(TRUE, ISNUMBER(FIND(SUBSTITUTE(C491," ",""), Disch_Booking_Report!AC:AC)), 0)), "Not Found")</f>
        <v/>
      </c>
      <c r="Q491">
        <f t="array" ref="Q491">IFERROR(INDEX(Disch_Booking_Report!C:C, MATCH(TRUE, ISNUMBER(FIND(SUBSTITUTE(C491," ",""), Disch_Booking_Report!AC:AC)), 0)), "Not Found")</f>
        <v/>
      </c>
      <c r="R491">
        <f t="array" ref="R491">IFERROR(INDEX(Disch_Booking_Report!AD:AD, MATCH(TRUE, ISNUMBER(FIND(SUBSTITUTE(C491," ",""), Disch_Booking_Report!AC:AC)), 0)), "Not Found")</f>
        <v/>
      </c>
      <c r="S491">
        <f>Tabela2[[#This Row],[Weight]]</f>
        <v/>
      </c>
      <c r="T491">
        <f t="array" ref="T491">IFERROR(INDEX(Disch_Booking_Report!L:L, MATCH(TRUE, ISNUMBER(FIND(SUBSTITUTE(C491," ",""), Disch_Booking_Report!AC:AC)), 0)), "Not Found")</f>
        <v/>
      </c>
      <c r="U491">
        <f t="array" ref="U491">IFERROR(INDEX(Disch_Booking_Report!I:I, MATCH(TRUE, ISNUMBER(FIND(SUBSTITUTE(C491," ",""), Disch_Booking_Report!AC:AC)), 0)), "Not Found")</f>
        <v/>
      </c>
    </row>
    <row r="492">
      <c r="A492" s="35" t="n">
        <v>40</v>
      </c>
      <c r="B492" s="35" t="n">
        <v>400884</v>
      </c>
      <c r="C492" s="35" t="inlineStr">
        <is>
          <t xml:space="preserve">     ANON0000000</t>
        </is>
      </c>
      <c r="D492" s="35" t="n">
        <v>40</v>
      </c>
      <c r="E492" s="35" t="inlineStr">
        <is>
          <t>RULED</t>
        </is>
      </c>
      <c r="F492" s="35" t="inlineStr">
        <is>
          <t>USNYC</t>
        </is>
      </c>
      <c r="G492" s="35" t="n">
        <v>32390</v>
      </c>
      <c r="H492" s="35" t="inlineStr">
        <is>
          <t>ART</t>
        </is>
      </c>
      <c r="I492" s="35" t="inlineStr">
        <is>
          <t>45G1</t>
        </is>
      </c>
      <c r="L492" s="35" t="inlineStr">
        <is>
          <t>9'6</t>
        </is>
      </c>
      <c r="M492" s="35" t="inlineStr">
        <is>
          <t>Full</t>
        </is>
      </c>
      <c r="P492">
        <f t="array" ref="P492">IFERROR(INDEX(Disch_Booking_Report!B:B, MATCH(TRUE, ISNUMBER(FIND(SUBSTITUTE(C492," ",""), Disch_Booking_Report!AC:AC)), 0)), "Not Found")</f>
        <v/>
      </c>
      <c r="Q492">
        <f t="array" ref="Q492">IFERROR(INDEX(Disch_Booking_Report!C:C, MATCH(TRUE, ISNUMBER(FIND(SUBSTITUTE(C492," ",""), Disch_Booking_Report!AC:AC)), 0)), "Not Found")</f>
        <v/>
      </c>
      <c r="R492">
        <f t="array" ref="R492">IFERROR(INDEX(Disch_Booking_Report!AD:AD, MATCH(TRUE, ISNUMBER(FIND(SUBSTITUTE(C492," ",""), Disch_Booking_Report!AC:AC)), 0)), "Not Found")</f>
        <v/>
      </c>
      <c r="S492">
        <f>Tabela2[[#This Row],[Weight]]</f>
        <v/>
      </c>
      <c r="T492">
        <f t="array" ref="T492">IFERROR(INDEX(Disch_Booking_Report!L:L, MATCH(TRUE, ISNUMBER(FIND(SUBSTITUTE(C492," ",""), Disch_Booking_Report!AC:AC)), 0)), "Not Found")</f>
        <v/>
      </c>
      <c r="U492">
        <f t="array" ref="U492">IFERROR(INDEX(Disch_Booking_Report!I:I, MATCH(TRUE, ISNUMBER(FIND(SUBSTITUTE(C492," ",""), Disch_Booking_Report!AC:AC)), 0)), "Not Found")</f>
        <v/>
      </c>
    </row>
    <row r="493">
      <c r="A493" s="35" t="n">
        <v>40</v>
      </c>
      <c r="B493" s="35" t="n">
        <v>400086</v>
      </c>
      <c r="C493" s="35" t="inlineStr">
        <is>
          <t xml:space="preserve">     ANON0000000</t>
        </is>
      </c>
      <c r="D493" s="35" t="n">
        <v>40</v>
      </c>
      <c r="E493" s="35" t="inlineStr">
        <is>
          <t>RULED</t>
        </is>
      </c>
      <c r="F493" s="35" t="inlineStr">
        <is>
          <t>USNYC</t>
        </is>
      </c>
      <c r="G493" s="35" t="n">
        <v>34810</v>
      </c>
      <c r="H493" s="35" t="inlineStr">
        <is>
          <t>ART</t>
        </is>
      </c>
      <c r="I493" s="35" t="inlineStr">
        <is>
          <t>45R1</t>
        </is>
      </c>
      <c r="K493" s="35" t="inlineStr">
        <is>
          <t>Dry reefer</t>
        </is>
      </c>
      <c r="L493" s="35" t="inlineStr">
        <is>
          <t>9'6</t>
        </is>
      </c>
      <c r="M493" s="35" t="inlineStr">
        <is>
          <t>Full</t>
        </is>
      </c>
      <c r="P493">
        <f t="array" ref="P493">IFERROR(INDEX(Disch_Booking_Report!B:B, MATCH(TRUE, ISNUMBER(FIND(SUBSTITUTE(C493," ",""), Disch_Booking_Report!AC:AC)), 0)), "Not Found")</f>
        <v/>
      </c>
      <c r="Q493">
        <f t="array" ref="Q493">IFERROR(INDEX(Disch_Booking_Report!C:C, MATCH(TRUE, ISNUMBER(FIND(SUBSTITUTE(C493," ",""), Disch_Booking_Report!AC:AC)), 0)), "Not Found")</f>
        <v/>
      </c>
      <c r="R493">
        <f t="array" ref="R493">IFERROR(INDEX(Disch_Booking_Report!AD:AD, MATCH(TRUE, ISNUMBER(FIND(SUBSTITUTE(C493," ",""), Disch_Booking_Report!AC:AC)), 0)), "Not Found")</f>
        <v/>
      </c>
      <c r="S493">
        <f>Tabela2[[#This Row],[Weight]]</f>
        <v/>
      </c>
      <c r="T493">
        <f t="array" ref="T493">IFERROR(INDEX(Disch_Booking_Report!L:L, MATCH(TRUE, ISNUMBER(FIND(SUBSTITUTE(C493," ",""), Disch_Booking_Report!AC:AC)), 0)), "Not Found")</f>
        <v/>
      </c>
      <c r="U493">
        <f t="array" ref="U493">IFERROR(INDEX(Disch_Booking_Report!I:I, MATCH(TRUE, ISNUMBER(FIND(SUBSTITUTE(C493," ",""), Disch_Booking_Report!AC:AC)), 0)), "Not Found")</f>
        <v/>
      </c>
    </row>
    <row r="494">
      <c r="A494" s="35" t="n">
        <v>40</v>
      </c>
      <c r="B494" s="35" t="n">
        <v>400684</v>
      </c>
      <c r="C494" s="35" t="inlineStr">
        <is>
          <t xml:space="preserve">     ANON0000000</t>
        </is>
      </c>
      <c r="D494" s="35" t="n">
        <v>40</v>
      </c>
      <c r="E494" s="35" t="inlineStr">
        <is>
          <t>RULED</t>
        </is>
      </c>
      <c r="F494" s="35" t="inlineStr">
        <is>
          <t>USNFK</t>
        </is>
      </c>
      <c r="G494" s="35" t="n">
        <v>31060</v>
      </c>
      <c r="H494" s="35" t="inlineStr">
        <is>
          <t>ART</t>
        </is>
      </c>
      <c r="I494" s="35" t="inlineStr">
        <is>
          <t>45R1</t>
        </is>
      </c>
      <c r="K494" s="35" t="inlineStr">
        <is>
          <t>Dry reefer</t>
        </is>
      </c>
      <c r="L494" s="35" t="inlineStr">
        <is>
          <t>9'6</t>
        </is>
      </c>
      <c r="M494" s="35" t="inlineStr">
        <is>
          <t>Full</t>
        </is>
      </c>
      <c r="P494">
        <f t="array" ref="P494">IFERROR(INDEX(Disch_Booking_Report!B:B, MATCH(TRUE, ISNUMBER(FIND(SUBSTITUTE(C494," ",""), Disch_Booking_Report!AC:AC)), 0)), "Not Found")</f>
        <v/>
      </c>
      <c r="Q494">
        <f t="array" ref="Q494">IFERROR(INDEX(Disch_Booking_Report!C:C, MATCH(TRUE, ISNUMBER(FIND(SUBSTITUTE(C494," ",""), Disch_Booking_Report!AC:AC)), 0)), "Not Found")</f>
        <v/>
      </c>
      <c r="R494">
        <f t="array" ref="R494">IFERROR(INDEX(Disch_Booking_Report!AD:AD, MATCH(TRUE, ISNUMBER(FIND(SUBSTITUTE(C494," ",""), Disch_Booking_Report!AC:AC)), 0)), "Not Found")</f>
        <v/>
      </c>
      <c r="S494">
        <f>Tabela2[[#This Row],[Weight]]</f>
        <v/>
      </c>
      <c r="T494">
        <f t="array" ref="T494">IFERROR(INDEX(Disch_Booking_Report!L:L, MATCH(TRUE, ISNUMBER(FIND(SUBSTITUTE(C494," ",""), Disch_Booking_Report!AC:AC)), 0)), "Not Found")</f>
        <v/>
      </c>
      <c r="U494">
        <f t="array" ref="U494">IFERROR(INDEX(Disch_Booking_Report!I:I, MATCH(TRUE, ISNUMBER(FIND(SUBSTITUTE(C494," ",""), Disch_Booking_Report!AC:AC)), 0)), "Not Found")</f>
        <v/>
      </c>
    </row>
    <row r="495">
      <c r="A495" s="35" t="n">
        <v>40</v>
      </c>
      <c r="B495" s="35" t="n">
        <v>400282</v>
      </c>
      <c r="C495" s="35" t="inlineStr">
        <is>
          <t xml:space="preserve">     ANON0000000</t>
        </is>
      </c>
      <c r="D495" s="35" t="n">
        <v>40</v>
      </c>
      <c r="E495" s="35" t="inlineStr">
        <is>
          <t>RULED</t>
        </is>
      </c>
      <c r="F495" s="35" t="inlineStr">
        <is>
          <t>USNFK</t>
        </is>
      </c>
      <c r="G495" s="35" t="n">
        <v>30770</v>
      </c>
      <c r="H495" s="35" t="inlineStr">
        <is>
          <t>ART</t>
        </is>
      </c>
      <c r="I495" s="35" t="inlineStr">
        <is>
          <t>45R1</t>
        </is>
      </c>
      <c r="K495" s="35" t="inlineStr">
        <is>
          <t>Dry reefer</t>
        </is>
      </c>
      <c r="L495" s="35" t="inlineStr">
        <is>
          <t>9'6</t>
        </is>
      </c>
      <c r="M495" s="35" t="inlineStr">
        <is>
          <t>Full</t>
        </is>
      </c>
      <c r="P495">
        <f t="array" ref="P495">IFERROR(INDEX(Disch_Booking_Report!B:B, MATCH(TRUE, ISNUMBER(FIND(SUBSTITUTE(C495," ",""), Disch_Booking_Report!AC:AC)), 0)), "Not Found")</f>
        <v/>
      </c>
      <c r="Q495">
        <f t="array" ref="Q495">IFERROR(INDEX(Disch_Booking_Report!C:C, MATCH(TRUE, ISNUMBER(FIND(SUBSTITUTE(C495," ",""), Disch_Booking_Report!AC:AC)), 0)), "Not Found")</f>
        <v/>
      </c>
      <c r="R495">
        <f t="array" ref="R495">IFERROR(INDEX(Disch_Booking_Report!AD:AD, MATCH(TRUE, ISNUMBER(FIND(SUBSTITUTE(C495," ",""), Disch_Booking_Report!AC:AC)), 0)), "Not Found")</f>
        <v/>
      </c>
      <c r="S495">
        <f>Tabela2[[#This Row],[Weight]]</f>
        <v/>
      </c>
      <c r="T495">
        <f t="array" ref="T495">IFERROR(INDEX(Disch_Booking_Report!L:L, MATCH(TRUE, ISNUMBER(FIND(SUBSTITUTE(C495," ",""), Disch_Booking_Report!AC:AC)), 0)), "Not Found")</f>
        <v/>
      </c>
      <c r="U495">
        <f t="array" ref="U495">IFERROR(INDEX(Disch_Booking_Report!I:I, MATCH(TRUE, ISNUMBER(FIND(SUBSTITUTE(C495," ",""), Disch_Booking_Report!AC:AC)), 0)), "Not Found")</f>
        <v/>
      </c>
    </row>
    <row r="496">
      <c r="A496" s="35" t="n">
        <v>40</v>
      </c>
      <c r="B496" s="35" t="n">
        <v>400484</v>
      </c>
      <c r="C496" s="35" t="inlineStr">
        <is>
          <t xml:space="preserve">     ANON0000000</t>
        </is>
      </c>
      <c r="D496" s="35" t="n">
        <v>40</v>
      </c>
      <c r="E496" s="35" t="inlineStr">
        <is>
          <t>RULED</t>
        </is>
      </c>
      <c r="F496" s="35" t="inlineStr">
        <is>
          <t>USNFK</t>
        </is>
      </c>
      <c r="G496" s="35" t="n">
        <v>30910</v>
      </c>
      <c r="H496" s="35" t="inlineStr">
        <is>
          <t>ART</t>
        </is>
      </c>
      <c r="I496" s="35" t="inlineStr">
        <is>
          <t>45R1</t>
        </is>
      </c>
      <c r="K496" s="35" t="inlineStr">
        <is>
          <t>Dry reefer</t>
        </is>
      </c>
      <c r="L496" s="35" t="inlineStr">
        <is>
          <t>9'6</t>
        </is>
      </c>
      <c r="M496" s="35" t="inlineStr">
        <is>
          <t>Full</t>
        </is>
      </c>
      <c r="P496">
        <f t="array" ref="P496">IFERROR(INDEX(Disch_Booking_Report!B:B, MATCH(TRUE, ISNUMBER(FIND(SUBSTITUTE(C496," ",""), Disch_Booking_Report!AC:AC)), 0)), "Not Found")</f>
        <v/>
      </c>
      <c r="Q496">
        <f t="array" ref="Q496">IFERROR(INDEX(Disch_Booking_Report!C:C, MATCH(TRUE, ISNUMBER(FIND(SUBSTITUTE(C496," ",""), Disch_Booking_Report!AC:AC)), 0)), "Not Found")</f>
        <v/>
      </c>
      <c r="R496">
        <f t="array" ref="R496">IFERROR(INDEX(Disch_Booking_Report!AD:AD, MATCH(TRUE, ISNUMBER(FIND(SUBSTITUTE(C496," ",""), Disch_Booking_Report!AC:AC)), 0)), "Not Found")</f>
        <v/>
      </c>
      <c r="S496">
        <f>Tabela2[[#This Row],[Weight]]</f>
        <v/>
      </c>
      <c r="T496">
        <f t="array" ref="T496">IFERROR(INDEX(Disch_Booking_Report!L:L, MATCH(TRUE, ISNUMBER(FIND(SUBSTITUTE(C496," ",""), Disch_Booking_Report!AC:AC)), 0)), "Not Found")</f>
        <v/>
      </c>
      <c r="U496">
        <f t="array" ref="U496">IFERROR(INDEX(Disch_Booking_Report!I:I, MATCH(TRUE, ISNUMBER(FIND(SUBSTITUTE(C496," ",""), Disch_Booking_Report!AC:AC)), 0)), "Not Found")</f>
        <v/>
      </c>
    </row>
    <row r="497">
      <c r="A497" s="35" t="n">
        <v>40</v>
      </c>
      <c r="B497" s="35" t="n">
        <v>400784</v>
      </c>
      <c r="C497" s="35" t="inlineStr">
        <is>
          <t xml:space="preserve">     ANON0000000</t>
        </is>
      </c>
      <c r="D497" s="35" t="n">
        <v>40</v>
      </c>
      <c r="E497" s="35" t="inlineStr">
        <is>
          <t>RULED</t>
        </is>
      </c>
      <c r="F497" s="35" t="inlineStr">
        <is>
          <t>USNYC</t>
        </is>
      </c>
      <c r="G497" s="35" t="n">
        <v>32320</v>
      </c>
      <c r="H497" s="35" t="inlineStr">
        <is>
          <t>ART</t>
        </is>
      </c>
      <c r="I497" s="35" t="inlineStr">
        <is>
          <t>45G1</t>
        </is>
      </c>
      <c r="L497" s="35" t="inlineStr">
        <is>
          <t>9'6</t>
        </is>
      </c>
      <c r="M497" s="35" t="inlineStr">
        <is>
          <t>Full</t>
        </is>
      </c>
      <c r="P497">
        <f t="array" ref="P497">IFERROR(INDEX(Disch_Booking_Report!B:B, MATCH(TRUE, ISNUMBER(FIND(SUBSTITUTE(C497," ",""), Disch_Booking_Report!AC:AC)), 0)), "Not Found")</f>
        <v/>
      </c>
      <c r="Q497">
        <f t="array" ref="Q497">IFERROR(INDEX(Disch_Booking_Report!C:C, MATCH(TRUE, ISNUMBER(FIND(SUBSTITUTE(C497," ",""), Disch_Booking_Report!AC:AC)), 0)), "Not Found")</f>
        <v/>
      </c>
      <c r="R497">
        <f t="array" ref="R497">IFERROR(INDEX(Disch_Booking_Report!AD:AD, MATCH(TRUE, ISNUMBER(FIND(SUBSTITUTE(C497," ",""), Disch_Booking_Report!AC:AC)), 0)), "Not Found")</f>
        <v/>
      </c>
      <c r="S497">
        <f>Tabela2[[#This Row],[Weight]]</f>
        <v/>
      </c>
      <c r="T497">
        <f t="array" ref="T497">IFERROR(INDEX(Disch_Booking_Report!L:L, MATCH(TRUE, ISNUMBER(FIND(SUBSTITUTE(C497," ",""), Disch_Booking_Report!AC:AC)), 0)), "Not Found")</f>
        <v/>
      </c>
      <c r="U497">
        <f t="array" ref="U497">IFERROR(INDEX(Disch_Booking_Report!I:I, MATCH(TRUE, ISNUMBER(FIND(SUBSTITUTE(C497," ",""), Disch_Booking_Report!AC:AC)), 0)), "Not Found")</f>
        <v/>
      </c>
    </row>
    <row r="498">
      <c r="A498" s="35" t="n">
        <v>40</v>
      </c>
      <c r="B498" s="35" t="n">
        <v>400386</v>
      </c>
      <c r="C498" s="35" t="inlineStr">
        <is>
          <t xml:space="preserve">     ANON0000000</t>
        </is>
      </c>
      <c r="D498" s="35" t="n">
        <v>40</v>
      </c>
      <c r="E498" s="35" t="inlineStr">
        <is>
          <t>RULED</t>
        </is>
      </c>
      <c r="F498" s="35" t="inlineStr">
        <is>
          <t>USNYC</t>
        </is>
      </c>
      <c r="G498" s="35" t="n">
        <v>33150</v>
      </c>
      <c r="H498" s="35" t="inlineStr">
        <is>
          <t>ART</t>
        </is>
      </c>
      <c r="I498" s="35" t="inlineStr">
        <is>
          <t>45R1</t>
        </is>
      </c>
      <c r="K498" s="35" t="inlineStr">
        <is>
          <t>Dry reefer</t>
        </is>
      </c>
      <c r="L498" s="35" t="inlineStr">
        <is>
          <t>9'6</t>
        </is>
      </c>
      <c r="M498" s="35" t="inlineStr">
        <is>
          <t>Full</t>
        </is>
      </c>
      <c r="P498">
        <f t="array" ref="P498">IFERROR(INDEX(Disch_Booking_Report!B:B, MATCH(TRUE, ISNUMBER(FIND(SUBSTITUTE(C498," ",""), Disch_Booking_Report!AC:AC)), 0)), "Not Found")</f>
        <v/>
      </c>
      <c r="Q498">
        <f t="array" ref="Q498">IFERROR(INDEX(Disch_Booking_Report!C:C, MATCH(TRUE, ISNUMBER(FIND(SUBSTITUTE(C498," ",""), Disch_Booking_Report!AC:AC)), 0)), "Not Found")</f>
        <v/>
      </c>
      <c r="R498">
        <f t="array" ref="R498">IFERROR(INDEX(Disch_Booking_Report!AD:AD, MATCH(TRUE, ISNUMBER(FIND(SUBSTITUTE(C498," ",""), Disch_Booking_Report!AC:AC)), 0)), "Not Found")</f>
        <v/>
      </c>
      <c r="S498">
        <f>Tabela2[[#This Row],[Weight]]</f>
        <v/>
      </c>
      <c r="T498">
        <f t="array" ref="T498">IFERROR(INDEX(Disch_Booking_Report!L:L, MATCH(TRUE, ISNUMBER(FIND(SUBSTITUTE(C498," ",""), Disch_Booking_Report!AC:AC)), 0)), "Not Found")</f>
        <v/>
      </c>
      <c r="U498">
        <f t="array" ref="U498">IFERROR(INDEX(Disch_Booking_Report!I:I, MATCH(TRUE, ISNUMBER(FIND(SUBSTITUTE(C498," ",""), Disch_Booking_Report!AC:AC)), 0)), "Not Found")</f>
        <v/>
      </c>
    </row>
    <row r="499">
      <c r="A499" s="35" t="n">
        <v>40</v>
      </c>
      <c r="B499" s="35" t="n">
        <v>400186</v>
      </c>
      <c r="C499" s="35" t="inlineStr">
        <is>
          <t xml:space="preserve">     ANON0000000</t>
        </is>
      </c>
      <c r="D499" s="35" t="n">
        <v>40</v>
      </c>
      <c r="E499" s="35" t="inlineStr">
        <is>
          <t>RULED</t>
        </is>
      </c>
      <c r="F499" s="35" t="inlineStr">
        <is>
          <t>USNYC</t>
        </is>
      </c>
      <c r="G499" s="35" t="n">
        <v>33710</v>
      </c>
      <c r="H499" s="35" t="inlineStr">
        <is>
          <t>ART</t>
        </is>
      </c>
      <c r="I499" s="35" t="inlineStr">
        <is>
          <t>45R1</t>
        </is>
      </c>
      <c r="K499" s="35" t="inlineStr">
        <is>
          <t>Dry reefer</t>
        </is>
      </c>
      <c r="L499" s="35" t="inlineStr">
        <is>
          <t>9'6</t>
        </is>
      </c>
      <c r="M499" s="35" t="inlineStr">
        <is>
          <t>Full</t>
        </is>
      </c>
      <c r="P499">
        <f t="array" ref="P499">IFERROR(INDEX(Disch_Booking_Report!B:B, MATCH(TRUE, ISNUMBER(FIND(SUBSTITUTE(C499," ",""), Disch_Booking_Report!AC:AC)), 0)), "Not Found")</f>
        <v/>
      </c>
      <c r="Q499">
        <f t="array" ref="Q499">IFERROR(INDEX(Disch_Booking_Report!C:C, MATCH(TRUE, ISNUMBER(FIND(SUBSTITUTE(C499," ",""), Disch_Booking_Report!AC:AC)), 0)), "Not Found")</f>
        <v/>
      </c>
      <c r="R499">
        <f t="array" ref="R499">IFERROR(INDEX(Disch_Booking_Report!AD:AD, MATCH(TRUE, ISNUMBER(FIND(SUBSTITUTE(C499," ",""), Disch_Booking_Report!AC:AC)), 0)), "Not Found")</f>
        <v/>
      </c>
      <c r="S499">
        <f>Tabela2[[#This Row],[Weight]]</f>
        <v/>
      </c>
      <c r="T499">
        <f t="array" ref="T499">IFERROR(INDEX(Disch_Booking_Report!L:L, MATCH(TRUE, ISNUMBER(FIND(SUBSTITUTE(C499," ",""), Disch_Booking_Report!AC:AC)), 0)), "Not Found")</f>
        <v/>
      </c>
      <c r="U499">
        <f t="array" ref="U499">IFERROR(INDEX(Disch_Booking_Report!I:I, MATCH(TRUE, ISNUMBER(FIND(SUBSTITUTE(C499," ",""), Disch_Booking_Report!AC:AC)), 0)), "Not Found")</f>
        <v/>
      </c>
    </row>
    <row r="500">
      <c r="A500" s="35" t="n">
        <v>40</v>
      </c>
      <c r="B500" s="35" t="n">
        <v>400084</v>
      </c>
      <c r="C500" s="35" t="inlineStr">
        <is>
          <t xml:space="preserve">     ANON0000000</t>
        </is>
      </c>
      <c r="D500" s="35" t="n">
        <v>40</v>
      </c>
      <c r="E500" s="35" t="inlineStr">
        <is>
          <t>RULED</t>
        </is>
      </c>
      <c r="F500" s="35" t="inlineStr">
        <is>
          <t>USNFK</t>
        </is>
      </c>
      <c r="G500" s="35" t="n">
        <v>20290</v>
      </c>
      <c r="H500" s="35" t="inlineStr">
        <is>
          <t>ART</t>
        </is>
      </c>
      <c r="I500" s="35" t="inlineStr">
        <is>
          <t>45G1</t>
        </is>
      </c>
      <c r="L500" s="35" t="inlineStr">
        <is>
          <t>9'6</t>
        </is>
      </c>
      <c r="M500" s="35" t="inlineStr">
        <is>
          <t>Full</t>
        </is>
      </c>
      <c r="P500">
        <f t="array" ref="P500">IFERROR(INDEX(Disch_Booking_Report!B:B, MATCH(TRUE, ISNUMBER(FIND(SUBSTITUTE(C500," ",""), Disch_Booking_Report!AC:AC)), 0)), "Not Found")</f>
        <v/>
      </c>
      <c r="Q500">
        <f t="array" ref="Q500">IFERROR(INDEX(Disch_Booking_Report!C:C, MATCH(TRUE, ISNUMBER(FIND(SUBSTITUTE(C500," ",""), Disch_Booking_Report!AC:AC)), 0)), "Not Found")</f>
        <v/>
      </c>
      <c r="R500">
        <f t="array" ref="R500">IFERROR(INDEX(Disch_Booking_Report!AD:AD, MATCH(TRUE, ISNUMBER(FIND(SUBSTITUTE(C500," ",""), Disch_Booking_Report!AC:AC)), 0)), "Not Found")</f>
        <v/>
      </c>
      <c r="S500">
        <f>Tabela2[[#This Row],[Weight]]</f>
        <v/>
      </c>
      <c r="T500">
        <f t="array" ref="T500">IFERROR(INDEX(Disch_Booking_Report!L:L, MATCH(TRUE, ISNUMBER(FIND(SUBSTITUTE(C500," ",""), Disch_Booking_Report!AC:AC)), 0)), "Not Found")</f>
        <v/>
      </c>
      <c r="U500">
        <f t="array" ref="U500">IFERROR(INDEX(Disch_Booking_Report!I:I, MATCH(TRUE, ISNUMBER(FIND(SUBSTITUTE(C500," ",""), Disch_Booking_Report!AC:AC)), 0)), "Not Found")</f>
        <v/>
      </c>
    </row>
    <row r="501">
      <c r="A501" s="35" t="n">
        <v>40</v>
      </c>
      <c r="B501" s="35" t="n">
        <v>400182</v>
      </c>
      <c r="C501" s="35" t="inlineStr">
        <is>
          <t xml:space="preserve">     ANON0000000</t>
        </is>
      </c>
      <c r="D501" s="35" t="n">
        <v>40</v>
      </c>
      <c r="E501" s="35" t="inlineStr">
        <is>
          <t>RULED</t>
        </is>
      </c>
      <c r="F501" s="35" t="inlineStr">
        <is>
          <t>USNFK</t>
        </is>
      </c>
      <c r="G501" s="35" t="n">
        <v>30870</v>
      </c>
      <c r="H501" s="35" t="inlineStr">
        <is>
          <t>ART</t>
        </is>
      </c>
      <c r="I501" s="35" t="inlineStr">
        <is>
          <t>45R1</t>
        </is>
      </c>
      <c r="K501" s="35" t="inlineStr">
        <is>
          <t>Dry reefer</t>
        </is>
      </c>
      <c r="L501" s="35" t="inlineStr">
        <is>
          <t>9'6</t>
        </is>
      </c>
      <c r="M501" s="35" t="inlineStr">
        <is>
          <t>Full</t>
        </is>
      </c>
      <c r="P501">
        <f t="array" ref="P501">IFERROR(INDEX(Disch_Booking_Report!B:B, MATCH(TRUE, ISNUMBER(FIND(SUBSTITUTE(C501," ",""), Disch_Booking_Report!AC:AC)), 0)), "Not Found")</f>
        <v/>
      </c>
      <c r="Q501">
        <f t="array" ref="Q501">IFERROR(INDEX(Disch_Booking_Report!C:C, MATCH(TRUE, ISNUMBER(FIND(SUBSTITUTE(C501," ",""), Disch_Booking_Report!AC:AC)), 0)), "Not Found")</f>
        <v/>
      </c>
      <c r="R501">
        <f t="array" ref="R501">IFERROR(INDEX(Disch_Booking_Report!AD:AD, MATCH(TRUE, ISNUMBER(FIND(SUBSTITUTE(C501," ",""), Disch_Booking_Report!AC:AC)), 0)), "Not Found")</f>
        <v/>
      </c>
      <c r="S501">
        <f>Tabela2[[#This Row],[Weight]]</f>
        <v/>
      </c>
      <c r="T501">
        <f t="array" ref="T501">IFERROR(INDEX(Disch_Booking_Report!L:L, MATCH(TRUE, ISNUMBER(FIND(SUBSTITUTE(C501," ",""), Disch_Booking_Report!AC:AC)), 0)), "Not Found")</f>
        <v/>
      </c>
      <c r="U501">
        <f t="array" ref="U501">IFERROR(INDEX(Disch_Booking_Report!I:I, MATCH(TRUE, ISNUMBER(FIND(SUBSTITUTE(C501," ",""), Disch_Booking_Report!AC:AC)), 0)), "Not Found")</f>
        <v/>
      </c>
    </row>
    <row r="502">
      <c r="A502" s="35" t="n">
        <v>40</v>
      </c>
      <c r="B502" s="35" t="n">
        <v>400284</v>
      </c>
      <c r="C502" s="35" t="inlineStr">
        <is>
          <t xml:space="preserve">     ANON0000000</t>
        </is>
      </c>
      <c r="D502" s="35" t="n">
        <v>40</v>
      </c>
      <c r="E502" s="35" t="inlineStr">
        <is>
          <t>RULED</t>
        </is>
      </c>
      <c r="F502" s="35" t="inlineStr">
        <is>
          <t>USNFK</t>
        </is>
      </c>
      <c r="G502" s="35" t="n">
        <v>31060</v>
      </c>
      <c r="H502" s="35" t="inlineStr">
        <is>
          <t>ART</t>
        </is>
      </c>
      <c r="I502" s="35" t="inlineStr">
        <is>
          <t>45R1</t>
        </is>
      </c>
      <c r="K502" s="35" t="inlineStr">
        <is>
          <t>Dry reefer</t>
        </is>
      </c>
      <c r="L502" s="35" t="inlineStr">
        <is>
          <t>9'6</t>
        </is>
      </c>
      <c r="M502" s="35" t="inlineStr">
        <is>
          <t>Full</t>
        </is>
      </c>
      <c r="P502">
        <f t="array" ref="P502">IFERROR(INDEX(Disch_Booking_Report!B:B, MATCH(TRUE, ISNUMBER(FIND(SUBSTITUTE(C502," ",""), Disch_Booking_Report!AC:AC)), 0)), "Not Found")</f>
        <v/>
      </c>
      <c r="Q502">
        <f t="array" ref="Q502">IFERROR(INDEX(Disch_Booking_Report!C:C, MATCH(TRUE, ISNUMBER(FIND(SUBSTITUTE(C502," ",""), Disch_Booking_Report!AC:AC)), 0)), "Not Found")</f>
        <v/>
      </c>
      <c r="R502">
        <f t="array" ref="R502">IFERROR(INDEX(Disch_Booking_Report!AD:AD, MATCH(TRUE, ISNUMBER(FIND(SUBSTITUTE(C502," ",""), Disch_Booking_Report!AC:AC)), 0)), "Not Found")</f>
        <v/>
      </c>
      <c r="S502">
        <f>Tabela2[[#This Row],[Weight]]</f>
        <v/>
      </c>
      <c r="T502">
        <f t="array" ref="T502">IFERROR(INDEX(Disch_Booking_Report!L:L, MATCH(TRUE, ISNUMBER(FIND(SUBSTITUTE(C502," ",""), Disch_Booking_Report!AC:AC)), 0)), "Not Found")</f>
        <v/>
      </c>
      <c r="U502">
        <f t="array" ref="U502">IFERROR(INDEX(Disch_Booking_Report!I:I, MATCH(TRUE, ISNUMBER(FIND(SUBSTITUTE(C502," ",""), Disch_Booking_Report!AC:AC)), 0)), "Not Found")</f>
        <v/>
      </c>
    </row>
    <row r="503">
      <c r="A503" s="35" t="n">
        <v>40</v>
      </c>
      <c r="B503" s="35" t="n">
        <v>400782</v>
      </c>
      <c r="C503" s="35" t="inlineStr">
        <is>
          <t xml:space="preserve">     ANON0000000</t>
        </is>
      </c>
      <c r="D503" s="35" t="n">
        <v>40</v>
      </c>
      <c r="E503" s="35" t="inlineStr">
        <is>
          <t>RULED</t>
        </is>
      </c>
      <c r="F503" s="35" t="inlineStr">
        <is>
          <t>USNYC</t>
        </is>
      </c>
      <c r="G503" s="35" t="n">
        <v>32320</v>
      </c>
      <c r="H503" s="35" t="inlineStr">
        <is>
          <t>ART</t>
        </is>
      </c>
      <c r="I503" s="35" t="inlineStr">
        <is>
          <t>45G1</t>
        </is>
      </c>
      <c r="L503" s="35" t="inlineStr">
        <is>
          <t>9'6</t>
        </is>
      </c>
      <c r="M503" s="35" t="inlineStr">
        <is>
          <t>Full</t>
        </is>
      </c>
      <c r="P503">
        <f t="array" ref="P503">IFERROR(INDEX(Disch_Booking_Report!B:B, MATCH(TRUE, ISNUMBER(FIND(SUBSTITUTE(C503," ",""), Disch_Booking_Report!AC:AC)), 0)), "Not Found")</f>
        <v/>
      </c>
      <c r="Q503">
        <f t="array" ref="Q503">IFERROR(INDEX(Disch_Booking_Report!C:C, MATCH(TRUE, ISNUMBER(FIND(SUBSTITUTE(C503," ",""), Disch_Booking_Report!AC:AC)), 0)), "Not Found")</f>
        <v/>
      </c>
      <c r="R503">
        <f t="array" ref="R503">IFERROR(INDEX(Disch_Booking_Report!AD:AD, MATCH(TRUE, ISNUMBER(FIND(SUBSTITUTE(C503," ",""), Disch_Booking_Report!AC:AC)), 0)), "Not Found")</f>
        <v/>
      </c>
      <c r="S503">
        <f>Tabela2[[#This Row],[Weight]]</f>
        <v/>
      </c>
      <c r="T503">
        <f t="array" ref="T503">IFERROR(INDEX(Disch_Booking_Report!L:L, MATCH(TRUE, ISNUMBER(FIND(SUBSTITUTE(C503," ",""), Disch_Booking_Report!AC:AC)), 0)), "Not Found")</f>
        <v/>
      </c>
      <c r="U503">
        <f t="array" ref="U503">IFERROR(INDEX(Disch_Booking_Report!I:I, MATCH(TRUE, ISNUMBER(FIND(SUBSTITUTE(C503," ",""), Disch_Booking_Report!AC:AC)), 0)), "Not Found")</f>
        <v/>
      </c>
    </row>
    <row r="504">
      <c r="A504" s="35" t="n">
        <v>40</v>
      </c>
      <c r="B504" s="35" t="n">
        <v>400786</v>
      </c>
      <c r="C504" s="35" t="inlineStr">
        <is>
          <t xml:space="preserve">     ANON0000000</t>
        </is>
      </c>
      <c r="D504" s="35" t="n">
        <v>40</v>
      </c>
      <c r="E504" s="35" t="inlineStr">
        <is>
          <t>RULED</t>
        </is>
      </c>
      <c r="F504" s="35" t="inlineStr">
        <is>
          <t>USNYC</t>
        </is>
      </c>
      <c r="G504" s="35" t="n">
        <v>33960</v>
      </c>
      <c r="H504" s="35" t="inlineStr">
        <is>
          <t>ART</t>
        </is>
      </c>
      <c r="I504" s="35" t="inlineStr">
        <is>
          <t>40R1</t>
        </is>
      </c>
      <c r="K504" s="35" t="inlineStr">
        <is>
          <t>Dry reefer</t>
        </is>
      </c>
      <c r="L504" s="35" t="inlineStr">
        <is>
          <t>8'</t>
        </is>
      </c>
      <c r="M504" s="35" t="inlineStr">
        <is>
          <t>Full</t>
        </is>
      </c>
      <c r="P504">
        <f t="array" ref="P504">IFERROR(INDEX(Disch_Booking_Report!B:B, MATCH(TRUE, ISNUMBER(FIND(SUBSTITUTE(C504," ",""), Disch_Booking_Report!AC:AC)), 0)), "Not Found")</f>
        <v/>
      </c>
      <c r="Q504">
        <f t="array" ref="Q504">IFERROR(INDEX(Disch_Booking_Report!C:C, MATCH(TRUE, ISNUMBER(FIND(SUBSTITUTE(C504," ",""), Disch_Booking_Report!AC:AC)), 0)), "Not Found")</f>
        <v/>
      </c>
      <c r="R504">
        <f t="array" ref="R504">IFERROR(INDEX(Disch_Booking_Report!AD:AD, MATCH(TRUE, ISNUMBER(FIND(SUBSTITUTE(C504," ",""), Disch_Booking_Report!AC:AC)), 0)), "Not Found")</f>
        <v/>
      </c>
      <c r="S504">
        <f>Tabela2[[#This Row],[Weight]]</f>
        <v/>
      </c>
      <c r="T504">
        <f t="array" ref="T504">IFERROR(INDEX(Disch_Booking_Report!L:L, MATCH(TRUE, ISNUMBER(FIND(SUBSTITUTE(C504," ",""), Disch_Booking_Report!AC:AC)), 0)), "Not Found")</f>
        <v/>
      </c>
      <c r="U504">
        <f t="array" ref="U504">IFERROR(INDEX(Disch_Booking_Report!I:I, MATCH(TRUE, ISNUMBER(FIND(SUBSTITUTE(C504," ",""), Disch_Booking_Report!AC:AC)), 0)), "Not Found")</f>
        <v/>
      </c>
    </row>
    <row r="505">
      <c r="A505" s="35" t="n">
        <v>40</v>
      </c>
      <c r="B505" s="35" t="n">
        <v>400384</v>
      </c>
      <c r="C505" s="35" t="inlineStr">
        <is>
          <t xml:space="preserve">     ANON0000000</t>
        </is>
      </c>
      <c r="D505" s="35" t="n">
        <v>40</v>
      </c>
      <c r="E505" s="35" t="inlineStr">
        <is>
          <t>RULED</t>
        </is>
      </c>
      <c r="F505" s="35" t="inlineStr">
        <is>
          <t>USNFK</t>
        </is>
      </c>
      <c r="G505" s="35" t="n">
        <v>31060</v>
      </c>
      <c r="H505" s="35" t="inlineStr">
        <is>
          <t>ART</t>
        </is>
      </c>
      <c r="I505" s="35" t="inlineStr">
        <is>
          <t>45R1</t>
        </is>
      </c>
      <c r="K505" s="35" t="inlineStr">
        <is>
          <t>Dry reefer</t>
        </is>
      </c>
      <c r="L505" s="35" t="inlineStr">
        <is>
          <t>9'6</t>
        </is>
      </c>
      <c r="M505" s="35" t="inlineStr">
        <is>
          <t>Full</t>
        </is>
      </c>
      <c r="P505">
        <f t="array" ref="P505">IFERROR(INDEX(Disch_Booking_Report!B:B, MATCH(TRUE, ISNUMBER(FIND(SUBSTITUTE(C505," ",""), Disch_Booking_Report!AC:AC)), 0)), "Not Found")</f>
        <v/>
      </c>
      <c r="Q505">
        <f t="array" ref="Q505">IFERROR(INDEX(Disch_Booking_Report!C:C, MATCH(TRUE, ISNUMBER(FIND(SUBSTITUTE(C505," ",""), Disch_Booking_Report!AC:AC)), 0)), "Not Found")</f>
        <v/>
      </c>
      <c r="R505">
        <f t="array" ref="R505">IFERROR(INDEX(Disch_Booking_Report!AD:AD, MATCH(TRUE, ISNUMBER(FIND(SUBSTITUTE(C505," ",""), Disch_Booking_Report!AC:AC)), 0)), "Not Found")</f>
        <v/>
      </c>
      <c r="S505">
        <f>Tabela2[[#This Row],[Weight]]</f>
        <v/>
      </c>
      <c r="T505">
        <f t="array" ref="T505">IFERROR(INDEX(Disch_Booking_Report!L:L, MATCH(TRUE, ISNUMBER(FIND(SUBSTITUTE(C505," ",""), Disch_Booking_Report!AC:AC)), 0)), "Not Found")</f>
        <v/>
      </c>
      <c r="U505">
        <f t="array" ref="U505">IFERROR(INDEX(Disch_Booking_Report!I:I, MATCH(TRUE, ISNUMBER(FIND(SUBSTITUTE(C505," ",""), Disch_Booking_Report!AC:AC)), 0)), "Not Found")</f>
        <v/>
      </c>
    </row>
    <row r="506">
      <c r="A506" s="35" t="n">
        <v>40</v>
      </c>
      <c r="B506" s="35" t="n">
        <v>400082</v>
      </c>
      <c r="C506" s="35" t="inlineStr">
        <is>
          <t xml:space="preserve">     ANON0000000</t>
        </is>
      </c>
      <c r="D506" s="35" t="n">
        <v>40</v>
      </c>
      <c r="E506" s="35" t="inlineStr">
        <is>
          <t>RULED</t>
        </is>
      </c>
      <c r="F506" s="35" t="inlineStr">
        <is>
          <t>USNFK</t>
        </is>
      </c>
      <c r="G506" s="35" t="n">
        <v>30890</v>
      </c>
      <c r="H506" s="35" t="inlineStr">
        <is>
          <t>ART</t>
        </is>
      </c>
      <c r="I506" s="35" t="inlineStr">
        <is>
          <t>40R1</t>
        </is>
      </c>
      <c r="K506" s="35" t="inlineStr">
        <is>
          <t>Dry reefer</t>
        </is>
      </c>
      <c r="L506" s="35" t="inlineStr">
        <is>
          <t>8'</t>
        </is>
      </c>
      <c r="M506" s="35" t="inlineStr">
        <is>
          <t>Full</t>
        </is>
      </c>
      <c r="P506">
        <f t="array" ref="P506">IFERROR(INDEX(Disch_Booking_Report!B:B, MATCH(TRUE, ISNUMBER(FIND(SUBSTITUTE(C506," ",""), Disch_Booking_Report!AC:AC)), 0)), "Not Found")</f>
        <v/>
      </c>
      <c r="Q506">
        <f t="array" ref="Q506">IFERROR(INDEX(Disch_Booking_Report!C:C, MATCH(TRUE, ISNUMBER(FIND(SUBSTITUTE(C506," ",""), Disch_Booking_Report!AC:AC)), 0)), "Not Found")</f>
        <v/>
      </c>
      <c r="R506">
        <f t="array" ref="R506">IFERROR(INDEX(Disch_Booking_Report!AD:AD, MATCH(TRUE, ISNUMBER(FIND(SUBSTITUTE(C506," ",""), Disch_Booking_Report!AC:AC)), 0)), "Not Found")</f>
        <v/>
      </c>
      <c r="S506">
        <f>Tabela2[[#This Row],[Weight]]</f>
        <v/>
      </c>
      <c r="T506">
        <f t="array" ref="T506">IFERROR(INDEX(Disch_Booking_Report!L:L, MATCH(TRUE, ISNUMBER(FIND(SUBSTITUTE(C506," ",""), Disch_Booking_Report!AC:AC)), 0)), "Not Found")</f>
        <v/>
      </c>
      <c r="U506">
        <f t="array" ref="U506">IFERROR(INDEX(Disch_Booking_Report!I:I, MATCH(TRUE, ISNUMBER(FIND(SUBSTITUTE(C506," ",""), Disch_Booking_Report!AC:AC)), 0)), "Not Found")</f>
        <v/>
      </c>
    </row>
    <row r="507">
      <c r="A507" s="35" t="n">
        <v>40</v>
      </c>
      <c r="B507" s="35" t="n">
        <v>400686</v>
      </c>
      <c r="C507" s="35" t="inlineStr">
        <is>
          <t xml:space="preserve">     ANON0000000</t>
        </is>
      </c>
      <c r="D507" s="35" t="n">
        <v>40</v>
      </c>
      <c r="E507" s="35" t="inlineStr">
        <is>
          <t>RULED</t>
        </is>
      </c>
      <c r="F507" s="35" t="inlineStr">
        <is>
          <t>USNYC</t>
        </is>
      </c>
      <c r="G507" s="35" t="n">
        <v>34350</v>
      </c>
      <c r="H507" s="35" t="inlineStr">
        <is>
          <t>ART</t>
        </is>
      </c>
      <c r="I507" s="35" t="inlineStr">
        <is>
          <t>45R1</t>
        </is>
      </c>
      <c r="K507" s="35" t="inlineStr">
        <is>
          <t>Dry reefer</t>
        </is>
      </c>
      <c r="L507" s="35" t="inlineStr">
        <is>
          <t>9'6</t>
        </is>
      </c>
      <c r="M507" s="35" t="inlineStr">
        <is>
          <t>Full</t>
        </is>
      </c>
      <c r="P507">
        <f t="array" ref="P507">IFERROR(INDEX(Disch_Booking_Report!B:B, MATCH(TRUE, ISNUMBER(FIND(SUBSTITUTE(C507," ",""), Disch_Booking_Report!AC:AC)), 0)), "Not Found")</f>
        <v/>
      </c>
      <c r="Q507">
        <f t="array" ref="Q507">IFERROR(INDEX(Disch_Booking_Report!C:C, MATCH(TRUE, ISNUMBER(FIND(SUBSTITUTE(C507," ",""), Disch_Booking_Report!AC:AC)), 0)), "Not Found")</f>
        <v/>
      </c>
      <c r="R507">
        <f t="array" ref="R507">IFERROR(INDEX(Disch_Booking_Report!AD:AD, MATCH(TRUE, ISNUMBER(FIND(SUBSTITUTE(C507," ",""), Disch_Booking_Report!AC:AC)), 0)), "Not Found")</f>
        <v/>
      </c>
      <c r="S507">
        <f>Tabela2[[#This Row],[Weight]]</f>
        <v/>
      </c>
      <c r="T507">
        <f t="array" ref="T507">IFERROR(INDEX(Disch_Booking_Report!L:L, MATCH(TRUE, ISNUMBER(FIND(SUBSTITUTE(C507," ",""), Disch_Booking_Report!AC:AC)), 0)), "Not Found")</f>
        <v/>
      </c>
      <c r="U507">
        <f t="array" ref="U507">IFERROR(INDEX(Disch_Booking_Report!I:I, MATCH(TRUE, ISNUMBER(FIND(SUBSTITUTE(C507," ",""), Disch_Booking_Report!AC:AC)), 0)), "Not Found")</f>
        <v/>
      </c>
    </row>
    <row r="508">
      <c r="A508" s="35" t="n">
        <v>40</v>
      </c>
      <c r="B508" s="35" t="n">
        <v>400382</v>
      </c>
      <c r="C508" s="35" t="inlineStr">
        <is>
          <t xml:space="preserve">     ANON0000000</t>
        </is>
      </c>
      <c r="D508" s="35" t="n">
        <v>40</v>
      </c>
      <c r="E508" s="35" t="inlineStr">
        <is>
          <t>RULED</t>
        </is>
      </c>
      <c r="F508" s="35" t="inlineStr">
        <is>
          <t>USNFK</t>
        </is>
      </c>
      <c r="G508" s="35" t="n">
        <v>31060</v>
      </c>
      <c r="H508" s="35" t="inlineStr">
        <is>
          <t>ART</t>
        </is>
      </c>
      <c r="I508" s="35" t="inlineStr">
        <is>
          <t>45R1</t>
        </is>
      </c>
      <c r="K508" s="35" t="inlineStr">
        <is>
          <t>Dry reefer</t>
        </is>
      </c>
      <c r="L508" s="35" t="inlineStr">
        <is>
          <t>9'6</t>
        </is>
      </c>
      <c r="M508" s="35" t="inlineStr">
        <is>
          <t>Full</t>
        </is>
      </c>
      <c r="P508">
        <f t="array" ref="P508">IFERROR(INDEX(Disch_Booking_Report!B:B, MATCH(TRUE, ISNUMBER(FIND(SUBSTITUTE(C508," ",""), Disch_Booking_Report!AC:AC)), 0)), "Not Found")</f>
        <v/>
      </c>
      <c r="Q508">
        <f t="array" ref="Q508">IFERROR(INDEX(Disch_Booking_Report!C:C, MATCH(TRUE, ISNUMBER(FIND(SUBSTITUTE(C508," ",""), Disch_Booking_Report!AC:AC)), 0)), "Not Found")</f>
        <v/>
      </c>
      <c r="R508">
        <f t="array" ref="R508">IFERROR(INDEX(Disch_Booking_Report!AD:AD, MATCH(TRUE, ISNUMBER(FIND(SUBSTITUTE(C508," ",""), Disch_Booking_Report!AC:AC)), 0)), "Not Found")</f>
        <v/>
      </c>
      <c r="S508">
        <f>Tabela2[[#This Row],[Weight]]</f>
        <v/>
      </c>
      <c r="T508">
        <f t="array" ref="T508">IFERROR(INDEX(Disch_Booking_Report!L:L, MATCH(TRUE, ISNUMBER(FIND(SUBSTITUTE(C508," ",""), Disch_Booking_Report!AC:AC)), 0)), "Not Found")</f>
        <v/>
      </c>
      <c r="U508">
        <f t="array" ref="U508">IFERROR(INDEX(Disch_Booking_Report!I:I, MATCH(TRUE, ISNUMBER(FIND(SUBSTITUTE(C508," ",""), Disch_Booking_Report!AC:AC)), 0)), "Not Found")</f>
        <v/>
      </c>
    </row>
    <row r="509" ht="15" customHeight="1" thickBot="1">
      <c r="A509" s="38" t="n">
        <v>40</v>
      </c>
      <c r="B509" s="38" t="n">
        <v>400886</v>
      </c>
      <c r="C509" s="38" t="inlineStr">
        <is>
          <t xml:space="preserve">     ANON0000000</t>
        </is>
      </c>
      <c r="D509" s="38" t="n">
        <v>40</v>
      </c>
      <c r="E509" s="38" t="inlineStr">
        <is>
          <t>RULED</t>
        </is>
      </c>
      <c r="F509" s="38" t="inlineStr">
        <is>
          <t>USNYC</t>
        </is>
      </c>
      <c r="G509" s="38" t="n">
        <v>34020</v>
      </c>
      <c r="H509" s="38" t="inlineStr">
        <is>
          <t>ART</t>
        </is>
      </c>
      <c r="I509" s="38" t="inlineStr">
        <is>
          <t>40R1</t>
        </is>
      </c>
      <c r="J509" s="38" t="n"/>
      <c r="K509" s="38" t="inlineStr">
        <is>
          <t>Dry reefer</t>
        </is>
      </c>
      <c r="L509" s="38" t="inlineStr">
        <is>
          <t>8'</t>
        </is>
      </c>
      <c r="M509" s="38" t="inlineStr">
        <is>
          <t>Full</t>
        </is>
      </c>
      <c r="N509" s="38" t="n"/>
      <c r="O509" s="38" t="n"/>
      <c r="P509">
        <f t="array" ref="P509">IFERROR(INDEX(Disch_Booking_Report!B:B, MATCH(TRUE, ISNUMBER(FIND(SUBSTITUTE(C509," ",""), Disch_Booking_Report!AC:AC)), 0)), "Not Found")</f>
        <v/>
      </c>
      <c r="Q509">
        <f t="array" ref="Q509">IFERROR(INDEX(Disch_Booking_Report!C:C, MATCH(TRUE, ISNUMBER(FIND(SUBSTITUTE(C509," ",""), Disch_Booking_Report!AC:AC)), 0)), "Not Found")</f>
        <v/>
      </c>
      <c r="R509">
        <f t="array" ref="R509">IFERROR(INDEX(Disch_Booking_Report!AD:AD, MATCH(TRUE, ISNUMBER(FIND(SUBSTITUTE(C509," ",""), Disch_Booking_Report!AC:AC)), 0)), "Not Found")</f>
        <v/>
      </c>
      <c r="S509">
        <f>Tabela2[[#This Row],[Weight]]</f>
        <v/>
      </c>
      <c r="T509">
        <f t="array" ref="T509">IFERROR(INDEX(Disch_Booking_Report!L:L, MATCH(TRUE, ISNUMBER(FIND(SUBSTITUTE(C509," ",""), Disch_Booking_Report!AC:AC)), 0)), "Not Found")</f>
        <v/>
      </c>
      <c r="U509">
        <f t="array" ref="U509">IFERROR(INDEX(Disch_Booking_Report!I:I, MATCH(TRUE, ISNUMBER(FIND(SUBSTITUTE(C509," ",""), Disch_Booking_Report!AC:AC)), 0)), "Not Found")</f>
        <v/>
      </c>
    </row>
  </sheetData>
  <conditionalFormatting sqref="C2:C509">
    <cfRule type="duplicateValues" priority="5" dxfId="0"/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28"/>
  <sheetViews>
    <sheetView workbookViewId="0">
      <selection activeCell="E12" sqref="E12"/>
    </sheetView>
  </sheetViews>
  <sheetFormatPr baseColWidth="8" defaultColWidth="9.1796875" defaultRowHeight="14.5"/>
  <cols>
    <col width="6.1796875" customWidth="1" min="1" max="1"/>
    <col width="15.7265625" bestFit="1" customWidth="1" min="2" max="2"/>
    <col width="14.81640625" bestFit="1" customWidth="1" min="3" max="3"/>
    <col width="8.453125" customWidth="1" min="4" max="4"/>
    <col width="10.1796875" bestFit="1" customWidth="1" min="5" max="5"/>
    <col width="7.36328125" customWidth="1" min="6" max="6"/>
    <col width="10.08984375" customWidth="1" min="7" max="7"/>
    <col width="12.54296875" customWidth="1" min="8" max="8"/>
    <col width="10.08984375" customWidth="1" min="9" max="9"/>
    <col width="12.26953125" customWidth="1" min="10" max="10"/>
    <col width="17.7265625" customWidth="1" min="11" max="11"/>
    <col width="25" bestFit="1" customWidth="1" min="12" max="12"/>
    <col width="182.1796875" bestFit="1" customWidth="1" min="13" max="13"/>
    <col width="15.453125" customWidth="1" min="14" max="14"/>
    <col width="24.54296875" customWidth="1" min="15" max="15"/>
    <col width="36.54296875" bestFit="1" customWidth="1" min="16" max="17"/>
    <col width="10.26953125" customWidth="1" min="18" max="18"/>
    <col width="6.81640625" customWidth="1" min="19" max="19"/>
    <col width="36.54296875" bestFit="1" customWidth="1" min="20" max="21"/>
    <col width="10.26953125" customWidth="1" min="22" max="22"/>
    <col width="24.26953125" customWidth="1" min="23" max="23"/>
    <col width="16.26953125" customWidth="1" min="24" max="24"/>
    <col width="14.6328125" customWidth="1" min="25" max="25"/>
    <col width="16.54296875" customWidth="1" min="26" max="26"/>
    <col width="10.54296875" customWidth="1" min="27" max="27"/>
    <col width="36.54296875" bestFit="1" customWidth="1" min="28" max="28"/>
    <col width="12.54296875" customWidth="1" min="29" max="29"/>
    <col width="9.26953125" customWidth="1" min="30" max="30"/>
    <col width="10.453125" bestFit="1" customWidth="1" min="31" max="31"/>
    <col width="14.7265625" customWidth="1" min="32" max="32"/>
    <col width="15.54296875" customWidth="1" min="33" max="33"/>
    <col width="32.54296875" bestFit="1" customWidth="1" min="34" max="34"/>
    <col width="15.81640625" customWidth="1" min="35" max="35"/>
    <col width="11.36328125" customWidth="1" min="36" max="36"/>
    <col width="13.26953125" customWidth="1" min="37" max="37"/>
    <col width="5.7265625" customWidth="1" min="38" max="38"/>
    <col width="7.08984375" customWidth="1" min="39" max="39"/>
    <col width="7.90625" customWidth="1" min="40" max="40"/>
    <col width="11.08984375" customWidth="1" min="41" max="41"/>
    <col width="14.08984375" customWidth="1" min="42" max="42"/>
    <col width="17.1796875" customWidth="1" min="43" max="43"/>
    <col width="8.6328125" customWidth="1" min="44" max="44"/>
    <col width="12.81640625" customWidth="1" min="45" max="45"/>
    <col width="10.36328125" customWidth="1" min="46" max="46"/>
  </cols>
  <sheetData>
    <row r="1" ht="10.5" customFormat="1" customHeight="1" s="5">
      <c r="A1" s="13" t="inlineStr">
        <is>
          <t>S.No</t>
        </is>
      </c>
      <c r="B1" s="14" t="inlineStr">
        <is>
          <t>Vessel / Voy.</t>
        </is>
      </c>
      <c r="C1" s="14" t="inlineStr">
        <is>
          <t>BL No</t>
        </is>
      </c>
      <c r="D1" s="14" t="inlineStr">
        <is>
          <t>BL Date</t>
        </is>
      </c>
      <c r="E1" s="14" t="inlineStr">
        <is>
          <t>ETA Date</t>
        </is>
      </c>
      <c r="F1" s="14" t="inlineStr">
        <is>
          <t>Origin</t>
        </is>
      </c>
      <c r="G1" s="14" t="inlineStr">
        <is>
          <t>Load Port</t>
        </is>
      </c>
      <c r="H1" s="14" t="inlineStr">
        <is>
          <t>POD / TS Port</t>
        </is>
      </c>
      <c r="I1" s="14" t="inlineStr">
        <is>
          <t>Final Dest</t>
        </is>
      </c>
      <c r="J1" s="14" t="inlineStr">
        <is>
          <t>Transit Type</t>
        </is>
      </c>
      <c r="K1" s="14" t="inlineStr">
        <is>
          <t>BLSurrender Status</t>
        </is>
      </c>
      <c r="L1" s="14" t="inlineStr">
        <is>
          <t>Shipper Name</t>
        </is>
      </c>
      <c r="M1" s="14" t="inlineStr">
        <is>
          <t>Shipper Address</t>
        </is>
      </c>
      <c r="N1" s="14" t="inlineStr">
        <is>
          <t>Consignee Code</t>
        </is>
      </c>
      <c r="O1" s="14" t="inlineStr">
        <is>
          <t>Economical Code / National Id</t>
        </is>
      </c>
      <c r="P1" s="14" t="inlineStr">
        <is>
          <t>Consignee Name</t>
        </is>
      </c>
      <c r="Q1" s="14" t="inlineStr">
        <is>
          <t>Consignee Address</t>
        </is>
      </c>
      <c r="R1" s="14" t="inlineStr">
        <is>
          <t>Mobile No</t>
        </is>
      </c>
      <c r="S1" s="14" t="inlineStr">
        <is>
          <t>Email</t>
        </is>
      </c>
      <c r="T1" s="14" t="inlineStr">
        <is>
          <t>Notify Name</t>
        </is>
      </c>
      <c r="U1" s="14" t="inlineStr">
        <is>
          <t>Notify Address</t>
        </is>
      </c>
      <c r="V1" s="14" t="inlineStr">
        <is>
          <t>Free Days</t>
        </is>
      </c>
      <c r="W1" s="14" t="inlineStr">
        <is>
          <t>POD REEFER Plugin Free Days</t>
        </is>
      </c>
      <c r="X1" s="14" t="inlineStr">
        <is>
          <t>BL Total Gross Wt</t>
        </is>
      </c>
      <c r="Y1" s="14" t="inlineStr">
        <is>
          <t>BL Total Nett Wt</t>
        </is>
      </c>
      <c r="Z1" s="14" t="inlineStr">
        <is>
          <t>BL Total Packages</t>
        </is>
      </c>
      <c r="AA1" s="14" t="inlineStr">
        <is>
          <t>Master BL</t>
        </is>
      </c>
      <c r="AB1" s="14" t="inlineStr">
        <is>
          <t>Cargo Description</t>
        </is>
      </c>
      <c r="AC1" s="14" t="inlineStr">
        <is>
          <t>Container No</t>
        </is>
      </c>
      <c r="AD1" s="14" t="inlineStr">
        <is>
          <t>Ctr Type</t>
        </is>
      </c>
      <c r="AE1" s="14" t="inlineStr">
        <is>
          <t>Seal No</t>
        </is>
      </c>
      <c r="AF1" s="14" t="inlineStr">
        <is>
          <t>Custom Seal No</t>
        </is>
      </c>
      <c r="AG1" s="14" t="inlineStr">
        <is>
          <t>Shipment Terms</t>
        </is>
      </c>
      <c r="AH1" s="14" t="inlineStr">
        <is>
          <t>Product</t>
        </is>
      </c>
      <c r="AI1" s="14" t="inlineStr">
        <is>
          <t>Ctr Gross Weight</t>
        </is>
      </c>
      <c r="AJ1" s="14" t="inlineStr">
        <is>
          <t>No. of Pkgs</t>
        </is>
      </c>
      <c r="AK1" s="14" t="inlineStr">
        <is>
          <t>Package Type</t>
        </is>
      </c>
      <c r="AL1" s="14" t="inlineStr">
        <is>
          <t>IMO</t>
        </is>
      </c>
      <c r="AM1" s="14" t="inlineStr">
        <is>
          <t>UN No</t>
        </is>
      </c>
      <c r="AN1" s="14" t="inlineStr">
        <is>
          <t>Reefer</t>
        </is>
      </c>
      <c r="AO1" s="14" t="inlineStr">
        <is>
          <t>HSN Codes</t>
        </is>
      </c>
      <c r="AP1" s="14" t="inlineStr">
        <is>
          <t>Total HSN Pkgs</t>
        </is>
      </c>
      <c r="AQ1" s="14" t="inlineStr">
        <is>
          <t>Total HSN Gross Wt</t>
        </is>
      </c>
      <c r="AR1" s="14" t="inlineStr">
        <is>
          <t>Tare Wt</t>
        </is>
      </c>
      <c r="AS1" s="14" t="inlineStr">
        <is>
          <t>VGM Wt(KGS)</t>
        </is>
      </c>
      <c r="AT1" s="15" t="inlineStr">
        <is>
          <t>SOC FLAG</t>
        </is>
      </c>
    </row>
    <row r="2" ht="10.5" customFormat="1" customHeight="1" s="6">
      <c r="A2" s="11" t="n">
        <v>1</v>
      </c>
      <c r="B2" s="4" t="inlineStr">
        <is>
          <t>MERCURY / VOYAGE 1</t>
        </is>
      </c>
      <c r="C2" s="4" t="inlineStr">
        <is>
          <t>REF000000</t>
        </is>
      </c>
      <c r="D2" s="7" t="n">
        <v>46095</v>
      </c>
      <c r="E2" s="4" t="n">
        <v>46104</v>
      </c>
      <c r="F2" s="4" t="inlineStr">
        <is>
          <t>RULED</t>
        </is>
      </c>
      <c r="G2" s="4" t="inlineStr">
        <is>
          <t>RULED</t>
        </is>
      </c>
      <c r="H2" s="4" t="inlineStr">
        <is>
          <t>USNYC</t>
        </is>
      </c>
      <c r="I2" s="4" t="inlineStr">
        <is>
          <t>USNYC</t>
        </is>
      </c>
      <c r="J2" s="4" t="n"/>
      <c r="K2" s="8" t="n"/>
      <c r="L2" s="4" t="inlineStr">
        <is>
          <t>MARLIN REEFER</t>
        </is>
      </c>
      <c r="M2" s="4" t="inlineStr">
        <is>
          <t>MARLIN REEFER</t>
        </is>
      </c>
      <c r="N2" s="4" t="n"/>
      <c r="O2" s="4" t="n"/>
      <c r="P2" s="4" t="inlineStr">
        <is>
          <t>MARLIN REEFER</t>
        </is>
      </c>
      <c r="Q2" s="4" t="inlineStr">
        <is>
          <t>MARLIN REEFER</t>
        </is>
      </c>
      <c r="R2" s="4" t="n"/>
      <c r="S2" s="4" t="n"/>
      <c r="T2" s="4" t="inlineStr">
        <is>
          <t>MARLIN REEFER</t>
        </is>
      </c>
      <c r="U2" s="4" t="inlineStr">
        <is>
          <t>AVENIDA RUI BARBOSA 2929 - GUATUPE CEP: 83055- 320 SAO JOSE DOS PINHAIS - PARANA - UNITED STATES CNPJ: 72.071.541/0002-00 E-MAIL: Fabricionettto@gmail.com TEL: +55 41 2169-2822</t>
        </is>
      </c>
      <c r="V2" s="4" t="n">
        <v>14</v>
      </c>
      <c r="W2" s="4" t="n">
        <v>0</v>
      </c>
      <c r="X2" s="4" t="n">
        <v>185738</v>
      </c>
      <c r="Y2" s="4" t="n">
        <v>169256</v>
      </c>
      <c r="Z2" s="4" t="n">
        <v>882</v>
      </c>
      <c r="AA2" s="4" t="n"/>
      <c r="AB2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2" s="4" t="inlineStr">
        <is>
          <t>ANON0000000</t>
        </is>
      </c>
      <c r="AD2" s="4" t="inlineStr">
        <is>
          <t>RH40</t>
        </is>
      </c>
      <c r="AE2" s="4" t="n">
        <v>1634464</v>
      </c>
      <c r="AF2" s="4" t="n"/>
      <c r="AG2" s="4" t="inlineStr">
        <is>
          <t>FCL/FCL</t>
        </is>
      </c>
      <c r="AH2" s="4" t="inlineStr">
        <is>
          <t>GENERAL COMMODITY</t>
        </is>
      </c>
      <c r="AI2" s="4" t="n">
        <v>26534</v>
      </c>
      <c r="AJ2" s="4" t="n">
        <v>126</v>
      </c>
      <c r="AK2" s="4" t="inlineStr">
        <is>
          <t>BLS</t>
        </is>
      </c>
      <c r="AL2" s="4" t="n"/>
      <c r="AM2" s="4" t="n"/>
      <c r="AN2" s="4" t="n"/>
      <c r="AO2" s="4" t="n"/>
      <c r="AP2" s="4" t="n"/>
      <c r="AQ2" s="4" t="n"/>
      <c r="AR2" s="4" t="n">
        <v>4640</v>
      </c>
      <c r="AS2" s="4" t="n">
        <v>27000</v>
      </c>
      <c r="AT2" s="12" t="n"/>
    </row>
    <row r="3" ht="10.5" customFormat="1" customHeight="1" s="6">
      <c r="A3" s="11" t="n">
        <v>2</v>
      </c>
      <c r="B3" s="4" t="inlineStr">
        <is>
          <t>MERCURY / VOYAGE 1</t>
        </is>
      </c>
      <c r="C3" s="4" t="inlineStr">
        <is>
          <t>REF000000</t>
        </is>
      </c>
      <c r="D3" s="7" t="n">
        <v>46095</v>
      </c>
      <c r="E3" s="4" t="n">
        <v>46104</v>
      </c>
      <c r="F3" s="4" t="inlineStr">
        <is>
          <t>RULED</t>
        </is>
      </c>
      <c r="G3" s="4" t="inlineStr">
        <is>
          <t>RULED</t>
        </is>
      </c>
      <c r="H3" s="4" t="inlineStr">
        <is>
          <t>USNYC</t>
        </is>
      </c>
      <c r="I3" s="4" t="inlineStr">
        <is>
          <t>USNYC</t>
        </is>
      </c>
      <c r="J3" s="4" t="n"/>
      <c r="K3" s="8" t="n"/>
      <c r="L3" s="4" t="inlineStr">
        <is>
          <t>TURTLE REEFER</t>
        </is>
      </c>
      <c r="M3" s="4" t="inlineStr">
        <is>
          <t>TURTLE REEFER</t>
        </is>
      </c>
      <c r="N3" s="9" t="n"/>
      <c r="O3" s="9" t="n"/>
      <c r="P3" s="4" t="inlineStr">
        <is>
          <t>TURTLE REEFER</t>
        </is>
      </c>
      <c r="Q3" s="4" t="inlineStr">
        <is>
          <t>TURTLE REEFER</t>
        </is>
      </c>
      <c r="R3" s="4" t="n"/>
      <c r="S3" s="4" t="n"/>
      <c r="T3" s="4" t="inlineStr">
        <is>
          <t>TURTLE REEFER</t>
        </is>
      </c>
      <c r="U3" s="4" t="inlineStr">
        <is>
          <t>AVENIDA RUI BARBOSA 2929 - GUATUPE CEP: 83055- 320 SAO JOSE DOS PINHAIS - PARANA - UNITED STATES CNPJ: 72.071.541/0002-00 E-MAIL: Fabricionettto@gmail.com TEL: +55 41 2169-2822</t>
        </is>
      </c>
      <c r="V3" s="9" t="n">
        <v>14</v>
      </c>
      <c r="W3" s="9" t="n">
        <v>0</v>
      </c>
      <c r="X3" s="10" t="n">
        <v>185738</v>
      </c>
      <c r="Y3" s="10" t="n">
        <v>169256</v>
      </c>
      <c r="Z3" s="9" t="n">
        <v>882</v>
      </c>
      <c r="AA3" s="4" t="n"/>
      <c r="AB3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3" s="4" t="inlineStr">
        <is>
          <t>ANON0000000</t>
        </is>
      </c>
      <c r="AD3" s="4" t="inlineStr">
        <is>
          <t>RH40</t>
        </is>
      </c>
      <c r="AE3" s="4" t="n">
        <v>30234617</v>
      </c>
      <c r="AF3" s="4" t="n"/>
      <c r="AG3" s="4" t="inlineStr">
        <is>
          <t>FCL/FCL</t>
        </is>
      </c>
      <c r="AH3" s="4" t="inlineStr">
        <is>
          <t>GENERAL COMMODITY</t>
        </is>
      </c>
      <c r="AI3" s="10" t="n">
        <v>26534</v>
      </c>
      <c r="AJ3" s="9" t="n">
        <v>126</v>
      </c>
      <c r="AK3" s="4" t="inlineStr">
        <is>
          <t>BLS</t>
        </is>
      </c>
      <c r="AL3" s="4" t="n"/>
      <c r="AM3" s="4" t="n"/>
      <c r="AN3" s="4" t="n"/>
      <c r="AO3" s="4" t="n"/>
      <c r="AP3" s="4" t="n"/>
      <c r="AQ3" s="4" t="n"/>
      <c r="AR3" s="4" t="n">
        <v>4620</v>
      </c>
      <c r="AS3" s="4" t="n">
        <v>27000</v>
      </c>
      <c r="AT3" s="12" t="n"/>
    </row>
    <row r="4" ht="10.5" customFormat="1" customHeight="1" s="6">
      <c r="A4" s="11" t="n">
        <v>3</v>
      </c>
      <c r="B4" s="4" t="inlineStr">
        <is>
          <t>MERCURY / VOYAGE 1</t>
        </is>
      </c>
      <c r="C4" s="4" t="inlineStr">
        <is>
          <t>REF000000</t>
        </is>
      </c>
      <c r="D4" s="7" t="n">
        <v>46095</v>
      </c>
      <c r="E4" s="4" t="n">
        <v>46104</v>
      </c>
      <c r="F4" s="4" t="inlineStr">
        <is>
          <t>RULED</t>
        </is>
      </c>
      <c r="G4" s="4" t="inlineStr">
        <is>
          <t>RULED</t>
        </is>
      </c>
      <c r="H4" s="4" t="inlineStr">
        <is>
          <t>USNYC</t>
        </is>
      </c>
      <c r="I4" s="4" t="inlineStr">
        <is>
          <t>USNYC</t>
        </is>
      </c>
      <c r="J4" s="4" t="n"/>
      <c r="K4" s="8" t="n"/>
      <c r="L4" s="4" t="inlineStr">
        <is>
          <t>ORCA REEFER</t>
        </is>
      </c>
      <c r="M4" s="4" t="inlineStr">
        <is>
          <t>ORCA REEFER</t>
        </is>
      </c>
      <c r="N4" s="9" t="n"/>
      <c r="O4" s="9" t="n"/>
      <c r="P4" s="4" t="inlineStr">
        <is>
          <t>ORCA REEFER</t>
        </is>
      </c>
      <c r="Q4" s="4" t="inlineStr">
        <is>
          <t>ORCA REEFER</t>
        </is>
      </c>
      <c r="R4" s="4" t="n"/>
      <c r="S4" s="4" t="n"/>
      <c r="T4" s="4" t="inlineStr">
        <is>
          <t>ORCA REEFER</t>
        </is>
      </c>
      <c r="U4" s="4" t="inlineStr">
        <is>
          <t>AVENIDA RUI BARBOSA 2929 - GUATUPE CEP: 83055- 320 SAO JOSE DOS PINHAIS - PARANA - UNITED STATES CNPJ: 72.071.541/0002-00 E-MAIL: Fabricionettto@gmail.com TEL: +55 41 2169-2822</t>
        </is>
      </c>
      <c r="V4" s="9" t="n">
        <v>14</v>
      </c>
      <c r="W4" s="9" t="n">
        <v>0</v>
      </c>
      <c r="X4" s="10" t="n">
        <v>185738</v>
      </c>
      <c r="Y4" s="10" t="n">
        <v>169256</v>
      </c>
      <c r="Z4" s="9" t="n">
        <v>882</v>
      </c>
      <c r="AA4" s="4" t="n"/>
      <c r="AB4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4" s="4" t="inlineStr">
        <is>
          <t>ANON0000000</t>
        </is>
      </c>
      <c r="AD4" s="4" t="inlineStr">
        <is>
          <t>RH40</t>
        </is>
      </c>
      <c r="AE4" s="4" t="n">
        <v>1634470</v>
      </c>
      <c r="AF4" s="4" t="n"/>
      <c r="AG4" s="4" t="inlineStr">
        <is>
          <t>FCL/FCL</t>
        </is>
      </c>
      <c r="AH4" s="4" t="inlineStr">
        <is>
          <t>GENERAL COMMODITY</t>
        </is>
      </c>
      <c r="AI4" s="10" t="n">
        <v>26534</v>
      </c>
      <c r="AJ4" s="9" t="n">
        <v>126</v>
      </c>
      <c r="AK4" s="4" t="inlineStr">
        <is>
          <t>BLS</t>
        </is>
      </c>
      <c r="AL4" s="4" t="n"/>
      <c r="AM4" s="4" t="n"/>
      <c r="AN4" s="4" t="n"/>
      <c r="AO4" s="4" t="n"/>
      <c r="AP4" s="4" t="n"/>
      <c r="AQ4" s="4" t="n"/>
      <c r="AR4" s="4" t="n">
        <v>4600</v>
      </c>
      <c r="AS4" s="4" t="n">
        <v>27000</v>
      </c>
      <c r="AT4" s="12" t="n"/>
    </row>
    <row r="5" ht="10.5" customFormat="1" customHeight="1" s="6">
      <c r="A5" s="11" t="n">
        <v>4</v>
      </c>
      <c r="B5" s="4" t="inlineStr">
        <is>
          <t>MERCURY / VOYAGE 1</t>
        </is>
      </c>
      <c r="C5" s="4" t="inlineStr">
        <is>
          <t>REF000000</t>
        </is>
      </c>
      <c r="D5" s="7" t="n">
        <v>46095</v>
      </c>
      <c r="E5" s="4" t="n">
        <v>46104</v>
      </c>
      <c r="F5" s="4" t="inlineStr">
        <is>
          <t>RULED</t>
        </is>
      </c>
      <c r="G5" s="4" t="inlineStr">
        <is>
          <t>RULED</t>
        </is>
      </c>
      <c r="H5" s="4" t="inlineStr">
        <is>
          <t>USNYC</t>
        </is>
      </c>
      <c r="I5" s="4" t="inlineStr">
        <is>
          <t>USNYC</t>
        </is>
      </c>
      <c r="J5" s="4" t="n"/>
      <c r="K5" s="8" t="n"/>
      <c r="L5" s="4" t="inlineStr">
        <is>
          <t>WHALE REEFER</t>
        </is>
      </c>
      <c r="M5" s="4" t="inlineStr">
        <is>
          <t>WHALE REEFER</t>
        </is>
      </c>
      <c r="N5" s="9" t="n"/>
      <c r="O5" s="9" t="n"/>
      <c r="P5" s="4" t="inlineStr">
        <is>
          <t>WHALE REEFER</t>
        </is>
      </c>
      <c r="Q5" s="4" t="inlineStr">
        <is>
          <t>WHALE REEFER</t>
        </is>
      </c>
      <c r="R5" s="4" t="n"/>
      <c r="S5" s="4" t="n"/>
      <c r="T5" s="4" t="inlineStr">
        <is>
          <t>WHALE REEFER</t>
        </is>
      </c>
      <c r="U5" s="4" t="inlineStr">
        <is>
          <t>AVENIDA RUI BARBOSA 2929 - GUATUPE CEP: 83055- 320 SAO JOSE DOS PINHAIS - PARANA - UNITED STATES CNPJ: 72.071.541/0002-00 E-MAIL: Fabricionettto@gmail.com TEL: +55 41 2169-2822</t>
        </is>
      </c>
      <c r="V5" s="9" t="n">
        <v>14</v>
      </c>
      <c r="W5" s="9" t="n">
        <v>0</v>
      </c>
      <c r="X5" s="10" t="n">
        <v>185738</v>
      </c>
      <c r="Y5" s="10" t="n">
        <v>169256</v>
      </c>
      <c r="Z5" s="9" t="n">
        <v>882</v>
      </c>
      <c r="AA5" s="4" t="n"/>
      <c r="AB5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5" s="4" t="inlineStr">
        <is>
          <t>ANON0000000</t>
        </is>
      </c>
      <c r="AD5" s="4" t="inlineStr">
        <is>
          <t>RH40</t>
        </is>
      </c>
      <c r="AE5" s="4" t="n">
        <v>1634465</v>
      </c>
      <c r="AF5" s="4" t="n"/>
      <c r="AG5" s="4" t="inlineStr">
        <is>
          <t>FCL/FCL</t>
        </is>
      </c>
      <c r="AH5" s="4" t="inlineStr">
        <is>
          <t>GENERAL COMMODITY</t>
        </is>
      </c>
      <c r="AI5" s="10" t="n">
        <v>26534</v>
      </c>
      <c r="AJ5" s="9" t="n">
        <v>126</v>
      </c>
      <c r="AK5" s="4" t="inlineStr">
        <is>
          <t>BLS</t>
        </is>
      </c>
      <c r="AL5" s="4" t="n"/>
      <c r="AM5" s="4" t="n"/>
      <c r="AN5" s="4" t="n"/>
      <c r="AO5" s="4" t="n"/>
      <c r="AP5" s="4" t="n"/>
      <c r="AQ5" s="4" t="n"/>
      <c r="AR5" s="4" t="n">
        <v>4520</v>
      </c>
      <c r="AS5" s="4" t="n">
        <v>27000</v>
      </c>
      <c r="AT5" s="12" t="n"/>
    </row>
    <row r="6" ht="10.5" customFormat="1" customHeight="1" s="6">
      <c r="A6" s="11" t="n">
        <v>5</v>
      </c>
      <c r="B6" s="4" t="inlineStr">
        <is>
          <t>MERCURY / VOYAGE 1</t>
        </is>
      </c>
      <c r="C6" s="4" t="inlineStr">
        <is>
          <t>REF000000</t>
        </is>
      </c>
      <c r="D6" s="7" t="n">
        <v>46095</v>
      </c>
      <c r="E6" s="4" t="n">
        <v>46104</v>
      </c>
      <c r="F6" s="4" t="inlineStr">
        <is>
          <t>RULED</t>
        </is>
      </c>
      <c r="G6" s="4" t="inlineStr">
        <is>
          <t>RULED</t>
        </is>
      </c>
      <c r="H6" s="4" t="inlineStr">
        <is>
          <t>USNYC</t>
        </is>
      </c>
      <c r="I6" s="4" t="inlineStr">
        <is>
          <t>USNYC</t>
        </is>
      </c>
      <c r="J6" s="4" t="n"/>
      <c r="K6" s="8" t="n"/>
      <c r="L6" s="4" t="inlineStr">
        <is>
          <t>SEAL REEFER</t>
        </is>
      </c>
      <c r="M6" s="4" t="inlineStr">
        <is>
          <t>SEAL REEFER</t>
        </is>
      </c>
      <c r="N6" s="9" t="n"/>
      <c r="O6" s="9" t="n"/>
      <c r="P6" s="4" t="inlineStr">
        <is>
          <t>SEAL REEFER</t>
        </is>
      </c>
      <c r="Q6" s="4" t="inlineStr">
        <is>
          <t>SEAL REEFER</t>
        </is>
      </c>
      <c r="R6" s="4" t="n"/>
      <c r="S6" s="4" t="n"/>
      <c r="T6" s="4" t="inlineStr">
        <is>
          <t>SEAL REEFER</t>
        </is>
      </c>
      <c r="U6" s="4" t="inlineStr">
        <is>
          <t>AVENIDA RUI BARBOSA 2929 - GUATUPE CEP: 83055- 320 SAO JOSE DOS PINHAIS - PARANA - UNITED STATES CNPJ: 72.071.541/0002-00 E-MAIL: Fabricionettto@gmail.com TEL: +55 41 2169-2822</t>
        </is>
      </c>
      <c r="V6" s="9" t="n">
        <v>14</v>
      </c>
      <c r="W6" s="9" t="n">
        <v>0</v>
      </c>
      <c r="X6" s="10" t="n">
        <v>185738</v>
      </c>
      <c r="Y6" s="10" t="n">
        <v>169256</v>
      </c>
      <c r="Z6" s="9" t="n">
        <v>882</v>
      </c>
      <c r="AA6" s="4" t="n"/>
      <c r="AB6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6" s="4" t="inlineStr">
        <is>
          <t>ANON0000000</t>
        </is>
      </c>
      <c r="AD6" s="4" t="inlineStr">
        <is>
          <t>RH40</t>
        </is>
      </c>
      <c r="AE6" s="4" t="n">
        <v>30234616</v>
      </c>
      <c r="AF6" s="4" t="n"/>
      <c r="AG6" s="4" t="inlineStr">
        <is>
          <t>FCL/FCL</t>
        </is>
      </c>
      <c r="AH6" s="4" t="inlineStr">
        <is>
          <t>GENERAL COMMODITY</t>
        </is>
      </c>
      <c r="AI6" s="10" t="n">
        <v>26534</v>
      </c>
      <c r="AJ6" s="9" t="n">
        <v>126</v>
      </c>
      <c r="AK6" s="4" t="inlineStr">
        <is>
          <t>BLS</t>
        </is>
      </c>
      <c r="AL6" s="4" t="n"/>
      <c r="AM6" s="4" t="n"/>
      <c r="AN6" s="4" t="n"/>
      <c r="AO6" s="4" t="n"/>
      <c r="AP6" s="4" t="n"/>
      <c r="AQ6" s="4" t="n"/>
      <c r="AR6" s="4" t="n">
        <v>4640</v>
      </c>
      <c r="AS6" s="4" t="n">
        <v>27000</v>
      </c>
      <c r="AT6" s="12" t="n"/>
    </row>
    <row r="7" ht="10.5" customFormat="1" customHeight="1" s="6">
      <c r="A7" s="11" t="n">
        <v>6</v>
      </c>
      <c r="B7" s="4" t="inlineStr">
        <is>
          <t>MERCURY / VOYAGE 1</t>
        </is>
      </c>
      <c r="C7" s="4" t="inlineStr">
        <is>
          <t>REF000000</t>
        </is>
      </c>
      <c r="D7" s="7" t="n">
        <v>46095</v>
      </c>
      <c r="E7" s="4" t="n">
        <v>46104</v>
      </c>
      <c r="F7" s="4" t="inlineStr">
        <is>
          <t>RULED</t>
        </is>
      </c>
      <c r="G7" s="4" t="inlineStr">
        <is>
          <t>RULED</t>
        </is>
      </c>
      <c r="H7" s="4" t="inlineStr">
        <is>
          <t>USNYC</t>
        </is>
      </c>
      <c r="I7" s="4" t="inlineStr">
        <is>
          <t>USNYC</t>
        </is>
      </c>
      <c r="J7" s="4" t="n"/>
      <c r="K7" s="8" t="n"/>
      <c r="L7" s="4" t="inlineStr">
        <is>
          <t>SHARK REEFER</t>
        </is>
      </c>
      <c r="M7" s="4" t="inlineStr">
        <is>
          <t>SHARK REEFER</t>
        </is>
      </c>
      <c r="N7" s="9" t="n"/>
      <c r="O7" s="9" t="n"/>
      <c r="P7" s="4" t="inlineStr">
        <is>
          <t>SHARK REEFER</t>
        </is>
      </c>
      <c r="Q7" s="4" t="inlineStr">
        <is>
          <t>SHARK REEFER</t>
        </is>
      </c>
      <c r="R7" s="4" t="n"/>
      <c r="S7" s="4" t="n"/>
      <c r="T7" s="4" t="inlineStr">
        <is>
          <t>SHARK REEFER</t>
        </is>
      </c>
      <c r="U7" s="4" t="inlineStr">
        <is>
          <t>AVENIDA RUI BARBOSA 2929 - GUATUPE CEP: 83055- 320 SAO JOSE DOS PINHAIS - PARANA - UNITED STATES CNPJ: 72.071.541/0002-00 E-MAIL: Fabricionettto@gmail.com TEL: +55 41 2169-2822</t>
        </is>
      </c>
      <c r="V7" s="9" t="n">
        <v>14</v>
      </c>
      <c r="W7" s="9" t="n">
        <v>0</v>
      </c>
      <c r="X7" s="10" t="n">
        <v>185738</v>
      </c>
      <c r="Y7" s="10" t="n">
        <v>169256</v>
      </c>
      <c r="Z7" s="9" t="n">
        <v>882</v>
      </c>
      <c r="AA7" s="4" t="n"/>
      <c r="AB7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7" s="4" t="inlineStr">
        <is>
          <t>ANON0000000</t>
        </is>
      </c>
      <c r="AD7" s="4" t="inlineStr">
        <is>
          <t>RH40</t>
        </is>
      </c>
      <c r="AE7" s="4" t="inlineStr">
        <is>
          <t>K6088875</t>
        </is>
      </c>
      <c r="AF7" s="4" t="n"/>
      <c r="AG7" s="4" t="inlineStr">
        <is>
          <t>FCL/FCL</t>
        </is>
      </c>
      <c r="AH7" s="4" t="inlineStr">
        <is>
          <t>GENERAL COMMODITY</t>
        </is>
      </c>
      <c r="AI7" s="10" t="n">
        <v>26534</v>
      </c>
      <c r="AJ7" s="9" t="n">
        <v>126</v>
      </c>
      <c r="AK7" s="4" t="inlineStr">
        <is>
          <t>BLS</t>
        </is>
      </c>
      <c r="AL7" s="4" t="n"/>
      <c r="AM7" s="4" t="n"/>
      <c r="AN7" s="4" t="n"/>
      <c r="AO7" s="4" t="n"/>
      <c r="AP7" s="4" t="n"/>
      <c r="AQ7" s="4" t="n"/>
      <c r="AR7" s="4" t="n">
        <v>4460</v>
      </c>
      <c r="AS7" s="4" t="n">
        <v>27000</v>
      </c>
      <c r="AT7" s="12" t="n"/>
    </row>
    <row r="8" ht="10.5" customFormat="1" customHeight="1" s="6">
      <c r="A8" s="11" t="n">
        <v>7</v>
      </c>
      <c r="B8" s="4" t="inlineStr">
        <is>
          <t>MERCURY / VOYAGE 1</t>
        </is>
      </c>
      <c r="C8" s="4" t="inlineStr">
        <is>
          <t>REF000000</t>
        </is>
      </c>
      <c r="D8" s="7" t="n">
        <v>46095</v>
      </c>
      <c r="E8" s="4" t="n">
        <v>46104</v>
      </c>
      <c r="F8" s="4" t="inlineStr">
        <is>
          <t>RULED</t>
        </is>
      </c>
      <c r="G8" s="4" t="inlineStr">
        <is>
          <t>RULED</t>
        </is>
      </c>
      <c r="H8" s="4" t="inlineStr">
        <is>
          <t>USNYC</t>
        </is>
      </c>
      <c r="I8" s="4" t="inlineStr">
        <is>
          <t>USNYC</t>
        </is>
      </c>
      <c r="J8" s="4" t="n"/>
      <c r="K8" s="8" t="n"/>
      <c r="L8" s="4" t="inlineStr">
        <is>
          <t>DOLPHIN REEFER</t>
        </is>
      </c>
      <c r="M8" s="4" t="inlineStr">
        <is>
          <t>DOLPHIN REEFER</t>
        </is>
      </c>
      <c r="N8" s="9" t="n"/>
      <c r="O8" s="9" t="n"/>
      <c r="P8" s="4" t="inlineStr">
        <is>
          <t>DOLPHIN REEFER</t>
        </is>
      </c>
      <c r="Q8" s="4" t="inlineStr">
        <is>
          <t>DOLPHIN REEFER</t>
        </is>
      </c>
      <c r="R8" s="4" t="n"/>
      <c r="S8" s="4" t="n"/>
      <c r="T8" s="4" t="inlineStr">
        <is>
          <t>DOLPHIN REEFER</t>
        </is>
      </c>
      <c r="U8" s="4" t="inlineStr">
        <is>
          <t>AVENIDA RUI BARBOSA 2929 - GUATUPE CEP: 83055- 320 SAO JOSE DOS PINHAIS - PARANA - UNITED STATES CNPJ: 72.071.541/0002-00 E-MAIL: Fabricionettto@gmail.com TEL: +55 41 2169-2822</t>
        </is>
      </c>
      <c r="V8" s="9" t="n">
        <v>14</v>
      </c>
      <c r="W8" s="9" t="n">
        <v>0</v>
      </c>
      <c r="X8" s="10" t="n">
        <v>185738</v>
      </c>
      <c r="Y8" s="10" t="n">
        <v>169256</v>
      </c>
      <c r="Z8" s="9" t="n">
        <v>882</v>
      </c>
      <c r="AA8" s="4" t="n"/>
      <c r="AB8" s="4" t="inlineStr">
        <is>
          <t>SAID TO CONTAIN / WEIGH &amp; MEASURE UNBLEACHED SULPHATE SOFTWOOD PULP PRODUCED BY PITKYARANTA MARL 185 738 KGS GROSS 169 256 KGS NETT NCM: 4703.11.00 FREIGHT PREPAID WOODEN PACKAGE: NOT APLICABLE</t>
        </is>
      </c>
      <c r="AC8" s="4" t="inlineStr">
        <is>
          <t>ANON0000000</t>
        </is>
      </c>
      <c r="AD8" s="4" t="inlineStr">
        <is>
          <t>RH40</t>
        </is>
      </c>
      <c r="AE8" s="4" t="n">
        <v>1280867</v>
      </c>
      <c r="AF8" s="4" t="n"/>
      <c r="AG8" s="4" t="inlineStr">
        <is>
          <t>FCL/FCL</t>
        </is>
      </c>
      <c r="AH8" s="4" t="inlineStr">
        <is>
          <t>GENERAL COMMODITY</t>
        </is>
      </c>
      <c r="AI8" s="10" t="n">
        <v>26534</v>
      </c>
      <c r="AJ8" s="9" t="n">
        <v>126</v>
      </c>
      <c r="AK8" s="4" t="inlineStr">
        <is>
          <t>BLS</t>
        </is>
      </c>
      <c r="AL8" s="4" t="n"/>
      <c r="AM8" s="4" t="n"/>
      <c r="AN8" s="4" t="n"/>
      <c r="AO8" s="4" t="n"/>
      <c r="AP8" s="4" t="n"/>
      <c r="AQ8" s="4" t="n"/>
      <c r="AR8" s="4" t="n">
        <v>4640</v>
      </c>
      <c r="AS8" s="4" t="n">
        <v>27000</v>
      </c>
      <c r="AT8" s="12" t="n"/>
    </row>
    <row r="9" ht="10.5" customFormat="1" customHeight="1" s="6">
      <c r="A9" s="11" t="n">
        <v>8</v>
      </c>
      <c r="B9" s="4" t="inlineStr">
        <is>
          <t>MERCURY / VOYAGE 1</t>
        </is>
      </c>
      <c r="C9" s="4" t="inlineStr">
        <is>
          <t>REF000000</t>
        </is>
      </c>
      <c r="D9" s="7" t="n">
        <v>46095</v>
      </c>
      <c r="E9" s="4" t="n">
        <v>46105</v>
      </c>
      <c r="F9" s="4" t="inlineStr">
        <is>
          <t>RULED</t>
        </is>
      </c>
      <c r="G9" s="4" t="inlineStr">
        <is>
          <t>RULED</t>
        </is>
      </c>
      <c r="H9" s="4" t="inlineStr">
        <is>
          <t>USHOU</t>
        </is>
      </c>
      <c r="I9" s="4" t="inlineStr">
        <is>
          <t>USHOU</t>
        </is>
      </c>
      <c r="J9" s="4" t="n"/>
      <c r="K9" s="8" t="n"/>
      <c r="L9" s="4" t="inlineStr">
        <is>
          <t>EAGLE DRY</t>
        </is>
      </c>
      <c r="M9" s="4" t="inlineStr">
        <is>
          <t>EAGLE DRY</t>
        </is>
      </c>
      <c r="N9" s="9" t="n"/>
      <c r="O9" s="9" t="n"/>
      <c r="P9" s="4" t="inlineStr">
        <is>
          <t>EAGLE DRY</t>
        </is>
      </c>
      <c r="Q9" s="4" t="inlineStr">
        <is>
          <t>EAGLE DRY</t>
        </is>
      </c>
      <c r="R9" s="4" t="n"/>
      <c r="S9" s="4" t="n"/>
      <c r="T9" s="4" t="inlineStr">
        <is>
          <t>EAGLE DRY</t>
        </is>
      </c>
      <c r="U9" s="4" t="inlineStr">
        <is>
          <t>RUA ANTONIO DARE, N.325- BRASILIA-CRICIUMA, SC- BRASIL CEP 88813-292 CNPJ: 83.724.302/0001-30 TEL: +55 48 3461 2601 E-MAIL: Fabricionettto@gmail.com</t>
        </is>
      </c>
      <c r="V9" s="9" t="n">
        <v>14</v>
      </c>
      <c r="W9" s="9" t="n">
        <v>0</v>
      </c>
      <c r="X9" s="10" t="n">
        <v>102912</v>
      </c>
      <c r="Y9" s="10" t="n">
        <v>99993</v>
      </c>
      <c r="Z9" s="9" t="n">
        <v>512</v>
      </c>
      <c r="AA9" s="4" t="n"/>
      <c r="AB9" s="4" t="inlineStr">
        <is>
          <t>SAID TO CONTAIN / WEIGH &amp; MEASURE UNBLEACHED SULPHATE SOFTWOOD PULP 102 912 KGS GROSS 99 993 KGS NETT WOODEN PACKAGING REMARK: -NOT APPLICABLE NCM: 4703.11.00 FREIGHT PREPAID</t>
        </is>
      </c>
      <c r="AC9" s="4" t="inlineStr">
        <is>
          <t>ANON0000000</t>
        </is>
      </c>
      <c r="AD9" s="4" t="inlineStr">
        <is>
          <t>HC40</t>
        </is>
      </c>
      <c r="AE9" s="4" t="n">
        <v>1209075</v>
      </c>
      <c r="AF9" s="4" t="n"/>
      <c r="AG9" s="4" t="inlineStr">
        <is>
          <t>FCL/FCL</t>
        </is>
      </c>
      <c r="AH9" s="4" t="inlineStr">
        <is>
          <t>GENERAL COMMODITY</t>
        </is>
      </c>
      <c r="AI9" s="10" t="n">
        <v>25728</v>
      </c>
      <c r="AJ9" s="9" t="n">
        <v>128</v>
      </c>
      <c r="AK9" s="4" t="inlineStr">
        <is>
          <t>BLS</t>
        </is>
      </c>
      <c r="AL9" s="4" t="n"/>
      <c r="AM9" s="4" t="n"/>
      <c r="AN9" s="4" t="n"/>
      <c r="AO9" s="4" t="n"/>
      <c r="AP9" s="4" t="n"/>
      <c r="AQ9" s="4" t="n"/>
      <c r="AR9" s="4" t="n">
        <v>3700</v>
      </c>
      <c r="AS9" s="4" t="n">
        <v>27000</v>
      </c>
      <c r="AT9" s="12" t="n"/>
    </row>
    <row r="10" ht="10.5" customFormat="1" customHeight="1" s="6">
      <c r="A10" s="11" t="n">
        <v>9</v>
      </c>
      <c r="B10" s="4" t="inlineStr">
        <is>
          <t>MERCURY / VOYAGE 1</t>
        </is>
      </c>
      <c r="C10" s="4" t="inlineStr">
        <is>
          <t>REF000000</t>
        </is>
      </c>
      <c r="D10" s="7" t="n">
        <v>46095</v>
      </c>
      <c r="E10" s="4" t="n">
        <v>46105</v>
      </c>
      <c r="F10" s="4" t="inlineStr">
        <is>
          <t>RULED</t>
        </is>
      </c>
      <c r="G10" s="4" t="inlineStr">
        <is>
          <t>RULED</t>
        </is>
      </c>
      <c r="H10" s="4" t="inlineStr">
        <is>
          <t>USHOU</t>
        </is>
      </c>
      <c r="I10" s="4" t="inlineStr">
        <is>
          <t>USHOU</t>
        </is>
      </c>
      <c r="J10" s="4" t="n"/>
      <c r="K10" s="8" t="n"/>
      <c r="L10" s="4" t="inlineStr">
        <is>
          <t>COYOTE DRY</t>
        </is>
      </c>
      <c r="M10" s="4" t="inlineStr">
        <is>
          <t>COYOTE DRY</t>
        </is>
      </c>
      <c r="N10" s="9" t="n"/>
      <c r="O10" s="9" t="n"/>
      <c r="P10" s="4" t="inlineStr">
        <is>
          <t>COYOTE DRY</t>
        </is>
      </c>
      <c r="Q10" s="4" t="inlineStr">
        <is>
          <t>COYOTE DRY</t>
        </is>
      </c>
      <c r="R10" s="4" t="n"/>
      <c r="S10" s="4" t="n"/>
      <c r="T10" s="4" t="inlineStr">
        <is>
          <t>COYOTE DRY</t>
        </is>
      </c>
      <c r="U10" s="4" t="inlineStr">
        <is>
          <t>RUA ANTONIO DARE, N.325- BRASILIA-CRICIUMA, SC- BRASIL CEP 88813-292 CNPJ: 83.724.302/0001-30 TEL: +55 48 3461 2601 E-MAIL: Fabricionettto@gmail.com</t>
        </is>
      </c>
      <c r="V10" s="9" t="n">
        <v>14</v>
      </c>
      <c r="W10" s="9" t="n">
        <v>0</v>
      </c>
      <c r="X10" s="10" t="n">
        <v>102912</v>
      </c>
      <c r="Y10" s="10" t="n">
        <v>99993</v>
      </c>
      <c r="Z10" s="9" t="n">
        <v>512</v>
      </c>
      <c r="AA10" s="4" t="n"/>
      <c r="AB10" s="4" t="inlineStr">
        <is>
          <t>SAID TO CONTAIN / WEIGH &amp; MEASURE UNBLEACHED SULPHATE SOFTWOOD PULP 102 912 KGS GROSS 99 993 KGS NETT WOODEN PACKAGING REMARK: -NOT APPLICABLE NCM: 4703.11.00 FREIGHT PREPAID</t>
        </is>
      </c>
      <c r="AC10" s="4" t="inlineStr">
        <is>
          <t>ANON0000000</t>
        </is>
      </c>
      <c r="AD10" s="4" t="inlineStr">
        <is>
          <t>HC40</t>
        </is>
      </c>
      <c r="AE10" s="4" t="n">
        <v>1209074</v>
      </c>
      <c r="AF10" s="4" t="n"/>
      <c r="AG10" s="4" t="inlineStr">
        <is>
          <t>FCL/FCL</t>
        </is>
      </c>
      <c r="AH10" s="4" t="inlineStr">
        <is>
          <t>GENERAL COMMODITY</t>
        </is>
      </c>
      <c r="AI10" s="10" t="n">
        <v>25728</v>
      </c>
      <c r="AJ10" s="9" t="n">
        <v>128</v>
      </c>
      <c r="AK10" s="4" t="inlineStr">
        <is>
          <t>BLS</t>
        </is>
      </c>
      <c r="AL10" s="4" t="n"/>
      <c r="AM10" s="4" t="n"/>
      <c r="AN10" s="4" t="n"/>
      <c r="AO10" s="4" t="n"/>
      <c r="AP10" s="4" t="n"/>
      <c r="AQ10" s="4" t="n"/>
      <c r="AR10" s="4" t="n">
        <v>3700</v>
      </c>
      <c r="AS10" s="4" t="n">
        <v>27000</v>
      </c>
      <c r="AT10" s="12" t="n"/>
    </row>
    <row r="11" ht="10.5" customFormat="1" customHeight="1" s="6">
      <c r="A11" s="11" t="n">
        <v>10</v>
      </c>
      <c r="B11" s="4" t="inlineStr">
        <is>
          <t>MERCURY / VOYAGE 1</t>
        </is>
      </c>
      <c r="C11" s="4" t="inlineStr">
        <is>
          <t>REF000000</t>
        </is>
      </c>
      <c r="D11" s="7" t="n">
        <v>46095</v>
      </c>
      <c r="E11" s="4" t="n">
        <v>46105</v>
      </c>
      <c r="F11" s="4" t="inlineStr">
        <is>
          <t>RULED</t>
        </is>
      </c>
      <c r="G11" s="4" t="inlineStr">
        <is>
          <t>RULED</t>
        </is>
      </c>
      <c r="H11" s="4" t="inlineStr">
        <is>
          <t>USHOU</t>
        </is>
      </c>
      <c r="I11" s="4" t="inlineStr">
        <is>
          <t>USHOU</t>
        </is>
      </c>
      <c r="J11" s="4" t="n"/>
      <c r="K11" s="8" t="n"/>
      <c r="L11" s="4" t="inlineStr">
        <is>
          <t>FALCON DRY</t>
        </is>
      </c>
      <c r="M11" s="4" t="inlineStr">
        <is>
          <t>FALCON DRY</t>
        </is>
      </c>
      <c r="N11" s="9" t="n"/>
      <c r="O11" s="9" t="n"/>
      <c r="P11" s="4" t="inlineStr">
        <is>
          <t>FALCON DRY</t>
        </is>
      </c>
      <c r="Q11" s="4" t="inlineStr">
        <is>
          <t>FALCON DRY</t>
        </is>
      </c>
      <c r="R11" s="4" t="n"/>
      <c r="S11" s="4" t="n"/>
      <c r="T11" s="4" t="inlineStr">
        <is>
          <t>FALCON DRY</t>
        </is>
      </c>
      <c r="U11" s="4" t="inlineStr">
        <is>
          <t>RUA ANTONIO DARE, N.325- BRASILIA-CRICIUMA, SC- BRASIL CEP 88813-292 CNPJ: 83.724.302/0001-30 TEL: +55 48 3461 2601 E-MAIL: Fabricionettto@gmail.com</t>
        </is>
      </c>
      <c r="V11" s="9" t="n">
        <v>14</v>
      </c>
      <c r="W11" s="9" t="n">
        <v>0</v>
      </c>
      <c r="X11" s="10" t="n">
        <v>102912</v>
      </c>
      <c r="Y11" s="10" t="n">
        <v>99993</v>
      </c>
      <c r="Z11" s="9" t="n">
        <v>512</v>
      </c>
      <c r="AA11" s="4" t="n"/>
      <c r="AB11" s="4" t="inlineStr">
        <is>
          <t>SAID TO CONTAIN / WEIGH &amp; MEASURE UNBLEACHED SULPHATE SOFTWOOD PULP 102 912 KGS GROSS 99 993 KGS NETT WOODEN PACKAGING REMARK: -NOT APPLICABLE NCM: 4703.11.00 FREIGHT PREPAID</t>
        </is>
      </c>
      <c r="AC11" s="4" t="inlineStr">
        <is>
          <t>ANON0000000</t>
        </is>
      </c>
      <c r="AD11" s="4" t="inlineStr">
        <is>
          <t>HC40</t>
        </is>
      </c>
      <c r="AE11" s="4" t="n">
        <v>1209077</v>
      </c>
      <c r="AF11" s="4" t="n"/>
      <c r="AG11" s="4" t="inlineStr">
        <is>
          <t>FCL/FCL</t>
        </is>
      </c>
      <c r="AH11" s="4" t="inlineStr">
        <is>
          <t>GENERAL COMMODITY</t>
        </is>
      </c>
      <c r="AI11" s="10" t="n">
        <v>25728</v>
      </c>
      <c r="AJ11" s="9" t="n">
        <v>128</v>
      </c>
      <c r="AK11" s="4" t="inlineStr">
        <is>
          <t>BLS</t>
        </is>
      </c>
      <c r="AL11" s="4" t="n"/>
      <c r="AM11" s="4" t="n"/>
      <c r="AN11" s="4" t="n"/>
      <c r="AO11" s="4" t="n"/>
      <c r="AP11" s="4" t="n"/>
      <c r="AQ11" s="4" t="n"/>
      <c r="AR11" s="4" t="n">
        <v>3700</v>
      </c>
      <c r="AS11" s="4" t="n">
        <v>27000</v>
      </c>
      <c r="AT11" s="12" t="n"/>
    </row>
    <row r="12" ht="10.5" customFormat="1" customHeight="1" s="6">
      <c r="A12" s="11" t="n">
        <v>11</v>
      </c>
      <c r="B12" s="4" t="inlineStr">
        <is>
          <t>MERCURY / VOYAGE 1</t>
        </is>
      </c>
      <c r="C12" s="4" t="inlineStr">
        <is>
          <t>REF000000</t>
        </is>
      </c>
      <c r="D12" s="7" t="n">
        <v>46095</v>
      </c>
      <c r="E12" s="4" t="n">
        <v>46105</v>
      </c>
      <c r="F12" s="4" t="inlineStr">
        <is>
          <t>RULED</t>
        </is>
      </c>
      <c r="G12" s="4" t="inlineStr">
        <is>
          <t>RULED</t>
        </is>
      </c>
      <c r="H12" s="4" t="inlineStr">
        <is>
          <t>USHOU</t>
        </is>
      </c>
      <c r="I12" s="4" t="inlineStr">
        <is>
          <t>USHOU</t>
        </is>
      </c>
      <c r="J12" s="4" t="n"/>
      <c r="K12" s="8" t="n"/>
      <c r="L12" s="4" t="inlineStr">
        <is>
          <t>WOLF DRY</t>
        </is>
      </c>
      <c r="M12" s="4" t="inlineStr">
        <is>
          <t>WOLF DRY</t>
        </is>
      </c>
      <c r="N12" s="9" t="n"/>
      <c r="O12" s="9" t="n"/>
      <c r="P12" s="4" t="inlineStr">
        <is>
          <t>WOLF DRY</t>
        </is>
      </c>
      <c r="Q12" s="4" t="inlineStr">
        <is>
          <t>WOLF DRY</t>
        </is>
      </c>
      <c r="R12" s="4" t="n"/>
      <c r="S12" s="4" t="n"/>
      <c r="T12" s="4" t="inlineStr">
        <is>
          <t>WOLF DRY</t>
        </is>
      </c>
      <c r="U12" s="4" t="inlineStr">
        <is>
          <t>RUA ANTONIO DARE, N.325- BRASILIA-CRICIUMA, SC- BRASIL CEP 88813-292 CNPJ: 83.724.302/0001-30 TEL: +55 48 3461 2601 E-MAIL: Fabricionettto@gmail.com</t>
        </is>
      </c>
      <c r="V12" s="9" t="n">
        <v>14</v>
      </c>
      <c r="W12" s="9" t="n">
        <v>0</v>
      </c>
      <c r="X12" s="10" t="n">
        <v>102912</v>
      </c>
      <c r="Y12" s="10" t="n">
        <v>99993</v>
      </c>
      <c r="Z12" s="9" t="n">
        <v>512</v>
      </c>
      <c r="AA12" s="4" t="n"/>
      <c r="AB12" s="4" t="inlineStr">
        <is>
          <t>SAID TO CONTAIN / WEIGH &amp; MEASURE UNBLEACHED SULPHATE SOFTWOOD PULP 102 912 KGS GROSS 99 993 KGS NETT WOODEN PACKAGING REMARK: -NOT APPLICABLE NCM: 4703.11.00 FREIGHT PREPAID</t>
        </is>
      </c>
      <c r="AC12" s="4" t="inlineStr">
        <is>
          <t>ANON0000000</t>
        </is>
      </c>
      <c r="AD12" s="4" t="inlineStr">
        <is>
          <t>HC40</t>
        </is>
      </c>
      <c r="AE12" s="4" t="n">
        <v>1209076</v>
      </c>
      <c r="AF12" s="4" t="n"/>
      <c r="AG12" s="4" t="inlineStr">
        <is>
          <t>FCL/FCL</t>
        </is>
      </c>
      <c r="AH12" s="4" t="inlineStr">
        <is>
          <t>GENERAL COMMODITY</t>
        </is>
      </c>
      <c r="AI12" s="10" t="n">
        <v>25728</v>
      </c>
      <c r="AJ12" s="9" t="n">
        <v>128</v>
      </c>
      <c r="AK12" s="4" t="inlineStr">
        <is>
          <t>BLS</t>
        </is>
      </c>
      <c r="AL12" s="4" t="n"/>
      <c r="AM12" s="4" t="n"/>
      <c r="AN12" s="4" t="n"/>
      <c r="AO12" s="4" t="n"/>
      <c r="AP12" s="4" t="n"/>
      <c r="AQ12" s="4" t="n"/>
      <c r="AR12" s="4" t="n">
        <v>3700</v>
      </c>
      <c r="AS12" s="4" t="n">
        <v>27000</v>
      </c>
      <c r="AT12" s="12" t="n"/>
    </row>
    <row r="13" ht="10.5" customFormat="1" customHeight="1" s="6">
      <c r="A13" s="11" t="n">
        <v>12</v>
      </c>
      <c r="B13" s="4" t="inlineStr">
        <is>
          <t>MERCURY / VOYAGE 1</t>
        </is>
      </c>
      <c r="C13" s="4" t="inlineStr">
        <is>
          <t>REF000000</t>
        </is>
      </c>
      <c r="D13" s="7" t="n">
        <v>46095</v>
      </c>
      <c r="E13" s="4" t="n">
        <v>46108</v>
      </c>
      <c r="F13" s="4" t="inlineStr">
        <is>
          <t>RULED</t>
        </is>
      </c>
      <c r="G13" s="4" t="inlineStr">
        <is>
          <t>RULED</t>
        </is>
      </c>
      <c r="H13" s="4" t="inlineStr">
        <is>
          <t>USNFK</t>
        </is>
      </c>
      <c r="I13" s="4" t="inlineStr">
        <is>
          <t>USNFK</t>
        </is>
      </c>
      <c r="J13" s="4" t="n"/>
      <c r="K13" s="8" t="n"/>
      <c r="L13" s="4" t="inlineStr">
        <is>
          <t>DEER DRY</t>
        </is>
      </c>
      <c r="M13" s="4" t="inlineStr">
        <is>
          <t>DEER DRY</t>
        </is>
      </c>
      <c r="N13" s="9" t="n"/>
      <c r="O13" s="9" t="n"/>
      <c r="P13" s="4" t="inlineStr">
        <is>
          <t>DEER DRY</t>
        </is>
      </c>
      <c r="Q13" s="4" t="inlineStr">
        <is>
          <t>DEER DRY</t>
        </is>
      </c>
      <c r="R13" s="4" t="n"/>
      <c r="S13" s="4" t="n"/>
      <c r="T13" s="4" t="inlineStr">
        <is>
          <t>DEER DRY</t>
        </is>
      </c>
      <c r="U13" s="4" t="inlineStr">
        <is>
          <t>CNPJ: 02.916.265/0052-00 AV. LAGO AZUL S/N, FAZENDA CAVEIRAS CHACARAS MANSOES ROSAS DE OURO GOIANIA/GOIAS - UNITED STATES ZIP CODE: 74.470-015</t>
        </is>
      </c>
      <c r="V13" s="9" t="n">
        <v>14</v>
      </c>
      <c r="W13" s="9" t="n">
        <v>0</v>
      </c>
      <c r="X13" s="10" t="inlineStr">
        <is>
          <t>22328.9</t>
        </is>
      </c>
      <c r="Y13" s="10" t="n">
        <v>0</v>
      </c>
      <c r="Z13" s="9" t="n">
        <v>10970</v>
      </c>
      <c r="AA13" s="4" t="n"/>
      <c r="AB13" s="4" t="inlineStr">
        <is>
          <t>SAID TO CONTAIN / WEIGHT &amp; MEASURE 01X20 DRY CONTAINERS CONTAINING 80 BARRELS WITH 10970 BUNDLES CONTAINING: NATURAL SALTED BEEF CASINGS FREIGHT COLLECT INV. 63998558-1 DUE: 26BR0000006732 RUC: 6BR02916265200000000000000000000703 NCM: 05040011 SEAL SIF: 0012036/SIF862 NET WEIGHT: 21.592,74KGS FREIGHT AS PER AGREEMENT CUSTOMS CODE: 050400 WOODEN PACKAGE: TREATED AND CERTIFIED CONTINUATION NOTIFY* HEALTH CERTIFICATE NUMBER: I0-00668494/862/25 MARKS: 63998558-1 PRODUCT OFUNITED STATES</t>
        </is>
      </c>
      <c r="AC13" s="4" t="inlineStr">
        <is>
          <t>ANON0000000</t>
        </is>
      </c>
      <c r="AD13" s="4" t="inlineStr">
        <is>
          <t>DC20</t>
        </is>
      </c>
      <c r="AE13" s="4" t="inlineStr">
        <is>
          <t>REL014132</t>
        </is>
      </c>
      <c r="AF13" s="4" t="n"/>
      <c r="AG13" s="4" t="inlineStr">
        <is>
          <t>FCL/FCL</t>
        </is>
      </c>
      <c r="AH13" s="4" t="inlineStr">
        <is>
          <t>GENERAL COMMODITY</t>
        </is>
      </c>
      <c r="AI13" s="10" t="inlineStr">
        <is>
          <t>22328.9</t>
        </is>
      </c>
      <c r="AJ13" s="9" t="n">
        <v>10970</v>
      </c>
      <c r="AK13" s="4" t="inlineStr">
        <is>
          <t>BDL</t>
        </is>
      </c>
      <c r="AL13" s="4" t="n"/>
      <c r="AM13" s="4" t="n"/>
      <c r="AN13" s="4" t="n"/>
      <c r="AO13" s="4" t="n"/>
      <c r="AP13" s="4" t="n"/>
      <c r="AQ13" s="4" t="n"/>
      <c r="AR13" s="4" t="n">
        <v>2100</v>
      </c>
      <c r="AS13" s="4" t="n">
        <v>18000</v>
      </c>
      <c r="AT13" s="12" t="n"/>
    </row>
    <row r="14" ht="10.5" customFormat="1" customHeight="1" s="6">
      <c r="A14" s="11" t="n">
        <v>13</v>
      </c>
      <c r="B14" s="4" t="inlineStr">
        <is>
          <t>MERCURY / VOYAGE 1</t>
        </is>
      </c>
      <c r="C14" s="4" t="inlineStr">
        <is>
          <t>REF000000</t>
        </is>
      </c>
      <c r="D14" s="7" t="n">
        <v>46095</v>
      </c>
      <c r="E14" s="4" t="n">
        <v>46105</v>
      </c>
      <c r="F14" s="4" t="inlineStr">
        <is>
          <t>RULED</t>
        </is>
      </c>
      <c r="G14" s="4" t="inlineStr">
        <is>
          <t>RULED</t>
        </is>
      </c>
      <c r="H14" s="4" t="inlineStr">
        <is>
          <t>USHOU</t>
        </is>
      </c>
      <c r="I14" s="4" t="inlineStr">
        <is>
          <t>USHOU</t>
        </is>
      </c>
      <c r="J14" s="4" t="n"/>
      <c r="K14" s="8" t="n"/>
      <c r="L14" s="4" t="inlineStr">
        <is>
          <t>FOX DRY</t>
        </is>
      </c>
      <c r="M14" s="4" t="inlineStr">
        <is>
          <t>FOX DRY</t>
        </is>
      </c>
      <c r="N14" s="9" t="n"/>
      <c r="O14" s="9" t="n"/>
      <c r="P14" s="4" t="inlineStr">
        <is>
          <t>FOX DRY</t>
        </is>
      </c>
      <c r="Q14" s="4" t="inlineStr">
        <is>
          <t>FOX DRY</t>
        </is>
      </c>
      <c r="R14" s="4" t="n"/>
      <c r="S14" s="4" t="n"/>
      <c r="T14" s="4" t="inlineStr">
        <is>
          <t>FOX DRY</t>
        </is>
      </c>
      <c r="U14" s="4" t="inlineStr">
        <is>
          <t>CNPJ: 04.310.390/0001-57 RODOV. SC-480 KM 15 -LINHA SERRINHA DISTRITO GOIO-EN - JCHAPEC /SC CEP 89816-200 UNITED STATES PHONE: (+55 49) 3331-3882</t>
        </is>
      </c>
      <c r="V14" s="9" t="n">
        <v>14</v>
      </c>
      <c r="W14" s="9" t="n">
        <v>0</v>
      </c>
      <c r="X14" s="10" t="inlineStr">
        <is>
          <t>13978.8</t>
        </is>
      </c>
      <c r="Y14" s="10" t="n">
        <v>0</v>
      </c>
      <c r="Z14" s="9" t="n">
        <v>540</v>
      </c>
      <c r="AA14" s="4" t="n"/>
      <c r="AB14" s="4" t="inlineStr">
        <is>
          <t>SAID TO CONTAIN / WEIGHT &amp; MEASURE NCM 3002.12.29 540 BAGS OF 25KGS IN 18 PALLETS CONTAINING AP 301 - SPRAY DRIED RED BLOOD CELLS - ANIMAL PROTEIN - (FOR ANIMAL NUTRITION - INEDIBLE - NOT FOR HUMAN CONSUMPTION)</t>
        </is>
      </c>
      <c r="AC14" s="4" t="inlineStr">
        <is>
          <t>ANON0000000</t>
        </is>
      </c>
      <c r="AD14" s="4" t="inlineStr">
        <is>
          <t>HC40</t>
        </is>
      </c>
      <c r="AE14" s="4" t="n">
        <v>16035</v>
      </c>
      <c r="AF14" s="4" t="n"/>
      <c r="AG14" s="4" t="inlineStr">
        <is>
          <t>FCL/FCL</t>
        </is>
      </c>
      <c r="AH14" s="4" t="inlineStr">
        <is>
          <t>GENERAL COMMODITY</t>
        </is>
      </c>
      <c r="AI14" s="10" t="inlineStr">
        <is>
          <t>13978.8</t>
        </is>
      </c>
      <c r="AJ14" s="9" t="n">
        <v>540</v>
      </c>
      <c r="AK14" s="4" t="inlineStr">
        <is>
          <t>BAG</t>
        </is>
      </c>
      <c r="AL14" s="4" t="n"/>
      <c r="AM14" s="4" t="n"/>
      <c r="AN14" s="4" t="n"/>
      <c r="AO14" s="4" t="n"/>
      <c r="AP14" s="4" t="n"/>
      <c r="AQ14" s="4" t="n"/>
      <c r="AR14" s="4" t="n">
        <v>3700</v>
      </c>
      <c r="AS14" s="4" t="n">
        <v>26000</v>
      </c>
      <c r="AT14" s="12" t="n"/>
    </row>
    <row r="15" ht="10.5" customFormat="1" customHeight="1" s="6">
      <c r="A15" s="11" t="n">
        <v>14</v>
      </c>
      <c r="B15" s="4" t="inlineStr">
        <is>
          <t>MERCURY / VOYAGE 1</t>
        </is>
      </c>
      <c r="C15" s="4" t="inlineStr">
        <is>
          <t>REF000000</t>
        </is>
      </c>
      <c r="D15" s="7" t="n">
        <v>46095</v>
      </c>
      <c r="E15" s="4" t="n">
        <v>46104</v>
      </c>
      <c r="F15" s="4" t="inlineStr">
        <is>
          <t>RULED</t>
        </is>
      </c>
      <c r="G15" s="4" t="inlineStr">
        <is>
          <t>RULED</t>
        </is>
      </c>
      <c r="H15" s="4" t="inlineStr">
        <is>
          <t>USNYC</t>
        </is>
      </c>
      <c r="I15" s="4" t="inlineStr">
        <is>
          <t>USNYC</t>
        </is>
      </c>
      <c r="J15" s="4" t="n"/>
      <c r="K15" s="8" t="n"/>
      <c r="L15" s="4" t="inlineStr">
        <is>
          <t>DOLPHIN REEFER</t>
        </is>
      </c>
      <c r="M15" s="4" t="inlineStr">
        <is>
          <t>DOLPHIN REEFER</t>
        </is>
      </c>
      <c r="N15" s="9" t="n"/>
      <c r="O15" s="9" t="n"/>
      <c r="P15" s="4" t="inlineStr">
        <is>
          <t>DOLPHIN REEFER</t>
        </is>
      </c>
      <c r="Q15" s="4" t="inlineStr">
        <is>
          <t>DOLPHIN REEFER</t>
        </is>
      </c>
      <c r="R15" s="4" t="n"/>
      <c r="S15" s="4" t="n"/>
      <c r="T15" s="4" t="inlineStr">
        <is>
          <t>DOLPHIN REEFER</t>
        </is>
      </c>
      <c r="U15" s="4" t="inlineStr">
        <is>
          <t>AV DAS ARAUCARIAS, 5266, ARAUCARIA / PR / UNITED STATES02.351.006/0026-97 MAYARA SOARES EMAIL: Fabricionettto@gmail.com PHONE: +55 41 98755-3777</t>
        </is>
      </c>
      <c r="V15" s="9" t="n">
        <v>21</v>
      </c>
      <c r="W15" s="9" t="n">
        <v>0</v>
      </c>
      <c r="X15" s="10" t="n">
        <v>315000</v>
      </c>
      <c r="Y15" s="10" t="n">
        <v>300000</v>
      </c>
      <c r="Z15" s="9" t="n">
        <v>300</v>
      </c>
      <c r="AA15" s="4" t="n"/>
      <c r="AB15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15" s="4" t="inlineStr">
        <is>
          <t>ANON0000000</t>
        </is>
      </c>
      <c r="AD15" s="4" t="inlineStr">
        <is>
          <t>DC20</t>
        </is>
      </c>
      <c r="AE15" s="4" t="n">
        <v>1284538</v>
      </c>
      <c r="AF15" s="4" t="n"/>
      <c r="AG15" s="4" t="inlineStr">
        <is>
          <t>FCL/FCL</t>
        </is>
      </c>
      <c r="AH15" s="4" t="inlineStr">
        <is>
          <t>GENERAL COMMODITY</t>
        </is>
      </c>
      <c r="AI15" s="10" t="n">
        <v>21000</v>
      </c>
      <c r="AJ15" s="9" t="n">
        <v>20</v>
      </c>
      <c r="AK15" s="4" t="inlineStr">
        <is>
          <t>BLO</t>
        </is>
      </c>
      <c r="AL15" s="4" t="n"/>
      <c r="AM15" s="4" t="n"/>
      <c r="AN15" s="4" t="n"/>
      <c r="AO15" s="4" t="n"/>
      <c r="AP15" s="4" t="n"/>
      <c r="AQ15" s="4" t="n"/>
      <c r="AR15" s="4" t="n">
        <v>2200</v>
      </c>
      <c r="AS15" s="4" t="n">
        <v>28000</v>
      </c>
      <c r="AT15" s="12" t="n"/>
    </row>
    <row r="16" ht="10.5" customFormat="1" customHeight="1" s="6">
      <c r="A16" s="11" t="n">
        <v>15</v>
      </c>
      <c r="B16" s="4" t="inlineStr">
        <is>
          <t>MERCURY / VOYAGE 1</t>
        </is>
      </c>
      <c r="C16" s="4" t="inlineStr">
        <is>
          <t>REF000000</t>
        </is>
      </c>
      <c r="D16" s="7" t="n">
        <v>46095</v>
      </c>
      <c r="E16" s="4" t="n">
        <v>46104</v>
      </c>
      <c r="F16" s="4" t="inlineStr">
        <is>
          <t>RULED</t>
        </is>
      </c>
      <c r="G16" s="4" t="inlineStr">
        <is>
          <t>RULED</t>
        </is>
      </c>
      <c r="H16" s="4" t="inlineStr">
        <is>
          <t>USNYC</t>
        </is>
      </c>
      <c r="I16" s="4" t="inlineStr">
        <is>
          <t>USNYC</t>
        </is>
      </c>
      <c r="J16" s="4" t="n"/>
      <c r="K16" s="8" t="n"/>
      <c r="L16" s="4" t="inlineStr">
        <is>
          <t>MARLIN REEFER</t>
        </is>
      </c>
      <c r="M16" s="4" t="inlineStr">
        <is>
          <t>MARLIN REEFER</t>
        </is>
      </c>
      <c r="N16" s="9" t="n"/>
      <c r="O16" s="9" t="n"/>
      <c r="P16" s="4" t="inlineStr">
        <is>
          <t>MARLIN REEFER</t>
        </is>
      </c>
      <c r="Q16" s="4" t="inlineStr">
        <is>
          <t>MARLIN REEFER</t>
        </is>
      </c>
      <c r="R16" s="4" t="n"/>
      <c r="S16" s="4" t="n"/>
      <c r="T16" s="4" t="inlineStr">
        <is>
          <t>MARLIN REEFER</t>
        </is>
      </c>
      <c r="U16" s="4" t="inlineStr">
        <is>
          <t>AV DAS ARAUCARIAS, 5266, ARAUCARIA / PR / UNITED STATES02.351.006/0026-97 MAYARA SOARES EMAIL: Fabricionettto@gmail.com PHONE: +55 41 98755-3777</t>
        </is>
      </c>
      <c r="V16" s="9" t="n">
        <v>21</v>
      </c>
      <c r="W16" s="9" t="n">
        <v>0</v>
      </c>
      <c r="X16" s="10" t="n">
        <v>315000</v>
      </c>
      <c r="Y16" s="10" t="n">
        <v>300000</v>
      </c>
      <c r="Z16" s="9" t="n">
        <v>300</v>
      </c>
      <c r="AA16" s="4" t="n"/>
      <c r="AB16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16" s="4" t="inlineStr">
        <is>
          <t>ANON0000000</t>
        </is>
      </c>
      <c r="AD16" s="4" t="inlineStr">
        <is>
          <t>DC20</t>
        </is>
      </c>
      <c r="AE16" s="4" t="n">
        <v>1284427</v>
      </c>
      <c r="AF16" s="4" t="n"/>
      <c r="AG16" s="4" t="inlineStr">
        <is>
          <t>FCL/FCL</t>
        </is>
      </c>
      <c r="AH16" s="4" t="inlineStr">
        <is>
          <t>GENERAL COMMODITY</t>
        </is>
      </c>
      <c r="AI16" s="10" t="n">
        <v>21000</v>
      </c>
      <c r="AJ16" s="9" t="n">
        <v>20</v>
      </c>
      <c r="AK16" s="4" t="inlineStr">
        <is>
          <t>BLO</t>
        </is>
      </c>
      <c r="AL16" s="4" t="n"/>
      <c r="AM16" s="4" t="n"/>
      <c r="AN16" s="4" t="n"/>
      <c r="AO16" s="4" t="n"/>
      <c r="AP16" s="4" t="n"/>
      <c r="AQ16" s="4" t="n"/>
      <c r="AR16" s="4" t="n">
        <v>2100</v>
      </c>
      <c r="AS16" s="4" t="n">
        <v>28000</v>
      </c>
      <c r="AT16" s="12" t="n"/>
    </row>
    <row r="17" ht="10.5" customFormat="1" customHeight="1" s="6">
      <c r="A17" s="11" t="n">
        <v>16</v>
      </c>
      <c r="B17" s="4" t="inlineStr">
        <is>
          <t>MERCURY / VOYAGE 1</t>
        </is>
      </c>
      <c r="C17" s="4" t="inlineStr">
        <is>
          <t>REF000000</t>
        </is>
      </c>
      <c r="D17" s="7" t="n">
        <v>46095</v>
      </c>
      <c r="E17" s="4" t="n">
        <v>46104</v>
      </c>
      <c r="F17" s="4" t="inlineStr">
        <is>
          <t>RULED</t>
        </is>
      </c>
      <c r="G17" s="4" t="inlineStr">
        <is>
          <t>RULED</t>
        </is>
      </c>
      <c r="H17" s="4" t="inlineStr">
        <is>
          <t>USNYC</t>
        </is>
      </c>
      <c r="I17" s="4" t="inlineStr">
        <is>
          <t>USNYC</t>
        </is>
      </c>
      <c r="J17" s="4" t="n"/>
      <c r="K17" s="8" t="n"/>
      <c r="L17" s="4" t="inlineStr">
        <is>
          <t>TURTLE REEFER</t>
        </is>
      </c>
      <c r="M17" s="4" t="inlineStr">
        <is>
          <t>TURTLE REEFER</t>
        </is>
      </c>
      <c r="N17" s="9" t="n"/>
      <c r="O17" s="9" t="n"/>
      <c r="P17" s="4" t="inlineStr">
        <is>
          <t>TURTLE REEFER</t>
        </is>
      </c>
      <c r="Q17" s="4" t="inlineStr">
        <is>
          <t>TURTLE REEFER</t>
        </is>
      </c>
      <c r="R17" s="4" t="n"/>
      <c r="S17" s="4" t="n"/>
      <c r="T17" s="4" t="inlineStr">
        <is>
          <t>TURTLE REEFER</t>
        </is>
      </c>
      <c r="U17" s="4" t="inlineStr">
        <is>
          <t>AV DAS ARAUCARIAS, 5266, ARAUCARIA / PR / UNITED STATES02.351.006/0026-97 MAYARA SOARES EMAIL: Fabricionettto@gmail.com PHONE: +55 41 98755-3777</t>
        </is>
      </c>
      <c r="V17" s="9" t="n">
        <v>21</v>
      </c>
      <c r="W17" s="9" t="n">
        <v>0</v>
      </c>
      <c r="X17" s="10" t="n">
        <v>315000</v>
      </c>
      <c r="Y17" s="10" t="n">
        <v>300000</v>
      </c>
      <c r="Z17" s="9" t="n">
        <v>300</v>
      </c>
      <c r="AA17" s="4" t="n"/>
      <c r="AB17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17" s="4" t="inlineStr">
        <is>
          <t>ANON0000000</t>
        </is>
      </c>
      <c r="AD17" s="4" t="inlineStr">
        <is>
          <t>DC20</t>
        </is>
      </c>
      <c r="AE17" s="4" t="n">
        <v>1284536</v>
      </c>
      <c r="AF17" s="4" t="n"/>
      <c r="AG17" s="4" t="inlineStr">
        <is>
          <t>FCL/FCL</t>
        </is>
      </c>
      <c r="AH17" s="4" t="inlineStr">
        <is>
          <t>GENERAL COMMODITY</t>
        </is>
      </c>
      <c r="AI17" s="10" t="n">
        <v>21000</v>
      </c>
      <c r="AJ17" s="9" t="n">
        <v>20</v>
      </c>
      <c r="AK17" s="4" t="inlineStr">
        <is>
          <t>BLO</t>
        </is>
      </c>
      <c r="AL17" s="4" t="n"/>
      <c r="AM17" s="4" t="n"/>
      <c r="AN17" s="4" t="n"/>
      <c r="AO17" s="4" t="n"/>
      <c r="AP17" s="4" t="n"/>
      <c r="AQ17" s="4" t="n"/>
      <c r="AR17" s="4" t="n">
        <v>2230</v>
      </c>
      <c r="AS17" s="4" t="n">
        <v>28000</v>
      </c>
      <c r="AT17" s="12" t="n"/>
    </row>
    <row r="18" ht="10.5" customFormat="1" customHeight="1" s="6">
      <c r="A18" s="11" t="n">
        <v>17</v>
      </c>
      <c r="B18" s="4" t="inlineStr">
        <is>
          <t>MERCURY / VOYAGE 1</t>
        </is>
      </c>
      <c r="C18" s="4" t="inlineStr">
        <is>
          <t>REF000000</t>
        </is>
      </c>
      <c r="D18" s="7" t="n">
        <v>46095</v>
      </c>
      <c r="E18" s="4" t="n">
        <v>46104</v>
      </c>
      <c r="F18" s="4" t="inlineStr">
        <is>
          <t>RULED</t>
        </is>
      </c>
      <c r="G18" s="4" t="inlineStr">
        <is>
          <t>RULED</t>
        </is>
      </c>
      <c r="H18" s="4" t="inlineStr">
        <is>
          <t>USNYC</t>
        </is>
      </c>
      <c r="I18" s="4" t="inlineStr">
        <is>
          <t>USNYC</t>
        </is>
      </c>
      <c r="J18" s="4" t="n"/>
      <c r="K18" s="8" t="n"/>
      <c r="L18" s="4" t="inlineStr">
        <is>
          <t>ORCA REEFER</t>
        </is>
      </c>
      <c r="M18" s="4" t="inlineStr">
        <is>
          <t>ORCA REEFER</t>
        </is>
      </c>
      <c r="N18" s="9" t="n"/>
      <c r="O18" s="9" t="n"/>
      <c r="P18" s="4" t="inlineStr">
        <is>
          <t>ORCA REEFER</t>
        </is>
      </c>
      <c r="Q18" s="4" t="inlineStr">
        <is>
          <t>ORCA REEFER</t>
        </is>
      </c>
      <c r="R18" s="4" t="n"/>
      <c r="S18" s="4" t="n"/>
      <c r="T18" s="4" t="inlineStr">
        <is>
          <t>ORCA REEFER</t>
        </is>
      </c>
      <c r="U18" s="4" t="inlineStr">
        <is>
          <t>AV DAS ARAUCARIAS, 5266, ARAUCARIA / PR / UNITED STATES02.351.006/0026-97 MAYARA SOARES EMAIL: Fabricionettto@gmail.com PHONE: +55 41 98755-3777</t>
        </is>
      </c>
      <c r="V18" s="9" t="n">
        <v>21</v>
      </c>
      <c r="W18" s="9" t="n">
        <v>0</v>
      </c>
      <c r="X18" s="10" t="n">
        <v>315000</v>
      </c>
      <c r="Y18" s="10" t="n">
        <v>300000</v>
      </c>
      <c r="Z18" s="9" t="n">
        <v>300</v>
      </c>
      <c r="AA18" s="4" t="n"/>
      <c r="AB18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18" s="4" t="inlineStr">
        <is>
          <t>ANON0000000</t>
        </is>
      </c>
      <c r="AD18" s="4" t="inlineStr">
        <is>
          <t>DC20</t>
        </is>
      </c>
      <c r="AE18" s="4" t="n">
        <v>1284471</v>
      </c>
      <c r="AF18" s="4" t="n"/>
      <c r="AG18" s="4" t="inlineStr">
        <is>
          <t>FCL/FCL</t>
        </is>
      </c>
      <c r="AH18" s="4" t="inlineStr">
        <is>
          <t>GENERAL COMMODITY</t>
        </is>
      </c>
      <c r="AI18" s="10" t="n">
        <v>21000</v>
      </c>
      <c r="AJ18" s="9" t="n">
        <v>20</v>
      </c>
      <c r="AK18" s="4" t="inlineStr">
        <is>
          <t>BLO</t>
        </is>
      </c>
      <c r="AL18" s="4" t="n"/>
      <c r="AM18" s="4" t="n"/>
      <c r="AN18" s="4" t="n"/>
      <c r="AO18" s="4" t="n"/>
      <c r="AP18" s="4" t="n"/>
      <c r="AQ18" s="4" t="n"/>
      <c r="AR18" s="4" t="n">
        <v>2100</v>
      </c>
      <c r="AS18" s="4" t="n">
        <v>28000</v>
      </c>
      <c r="AT18" s="12" t="n"/>
    </row>
    <row r="19" ht="10.5" customFormat="1" customHeight="1" s="6">
      <c r="A19" s="11" t="n">
        <v>18</v>
      </c>
      <c r="B19" s="4" t="inlineStr">
        <is>
          <t>MERCURY / VOYAGE 1</t>
        </is>
      </c>
      <c r="C19" s="4" t="inlineStr">
        <is>
          <t>REF000000</t>
        </is>
      </c>
      <c r="D19" s="7" t="n">
        <v>46095</v>
      </c>
      <c r="E19" s="4" t="n">
        <v>46104</v>
      </c>
      <c r="F19" s="4" t="inlineStr">
        <is>
          <t>RULED</t>
        </is>
      </c>
      <c r="G19" s="4" t="inlineStr">
        <is>
          <t>RULED</t>
        </is>
      </c>
      <c r="H19" s="4" t="inlineStr">
        <is>
          <t>USNYC</t>
        </is>
      </c>
      <c r="I19" s="4" t="inlineStr">
        <is>
          <t>USNYC</t>
        </is>
      </c>
      <c r="J19" s="4" t="n"/>
      <c r="K19" s="8" t="n"/>
      <c r="L19" s="4" t="inlineStr">
        <is>
          <t>WHALE REEFER</t>
        </is>
      </c>
      <c r="M19" s="4" t="inlineStr">
        <is>
          <t>WHALE REEFER</t>
        </is>
      </c>
      <c r="N19" s="4" t="n"/>
      <c r="O19" s="4" t="n"/>
      <c r="P19" s="4" t="inlineStr">
        <is>
          <t>WHALE REEFER</t>
        </is>
      </c>
      <c r="Q19" s="4" t="inlineStr">
        <is>
          <t>WHALE REEFER</t>
        </is>
      </c>
      <c r="R19" s="4" t="n"/>
      <c r="S19" s="4" t="n"/>
      <c r="T19" s="4" t="inlineStr">
        <is>
          <t>WHALE REEFER</t>
        </is>
      </c>
      <c r="U19" s="4" t="inlineStr">
        <is>
          <t>AV DAS ARAUCARIAS, 5266, ARAUCARIA / PR / UNITED STATES02.351.006/0026-97 MAYARA SOARES EMAIL: Fabricionettto@gmail.com PHONE: +55 41 98755-3777</t>
        </is>
      </c>
      <c r="V19" s="4" t="n">
        <v>21</v>
      </c>
      <c r="W19" s="4" t="n">
        <v>0</v>
      </c>
      <c r="X19" s="4" t="n">
        <v>315000</v>
      </c>
      <c r="Y19" s="4" t="n">
        <v>300000</v>
      </c>
      <c r="Z19" s="4" t="n">
        <v>300</v>
      </c>
      <c r="AA19" s="4" t="n"/>
      <c r="AB19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19" s="4" t="inlineStr">
        <is>
          <t>ANON0000000</t>
        </is>
      </c>
      <c r="AD19" s="4" t="inlineStr">
        <is>
          <t>DC20</t>
        </is>
      </c>
      <c r="AE19" s="4" t="n">
        <v>1284540</v>
      </c>
      <c r="AF19" s="4" t="n"/>
      <c r="AG19" s="4" t="inlineStr">
        <is>
          <t>FCL/FCL</t>
        </is>
      </c>
      <c r="AH19" s="4" t="inlineStr">
        <is>
          <t>GENERAL COMMODITY</t>
        </is>
      </c>
      <c r="AI19" s="4" t="n">
        <v>21000</v>
      </c>
      <c r="AJ19" s="4" t="n">
        <v>20</v>
      </c>
      <c r="AK19" s="4" t="inlineStr">
        <is>
          <t>BLO</t>
        </is>
      </c>
      <c r="AL19" s="4" t="n"/>
      <c r="AM19" s="4" t="n"/>
      <c r="AN19" s="4" t="n"/>
      <c r="AO19" s="4" t="n"/>
      <c r="AP19" s="4" t="n"/>
      <c r="AQ19" s="4" t="n"/>
      <c r="AR19" s="4" t="n">
        <v>2300</v>
      </c>
      <c r="AS19" s="4" t="n">
        <v>28000</v>
      </c>
      <c r="AT19" s="12" t="n"/>
    </row>
    <row r="20" ht="10.5" customFormat="1" customHeight="1" s="6">
      <c r="A20" s="11" t="n">
        <v>19</v>
      </c>
      <c r="B20" s="4" t="inlineStr">
        <is>
          <t>MERCURY / VOYAGE 1</t>
        </is>
      </c>
      <c r="C20" s="4" t="inlineStr">
        <is>
          <t>REF000000</t>
        </is>
      </c>
      <c r="D20" s="7" t="n">
        <v>46095</v>
      </c>
      <c r="E20" s="4" t="n">
        <v>46104</v>
      </c>
      <c r="F20" s="4" t="inlineStr">
        <is>
          <t>RULED</t>
        </is>
      </c>
      <c r="G20" s="4" t="inlineStr">
        <is>
          <t>RULED</t>
        </is>
      </c>
      <c r="H20" s="4" t="inlineStr">
        <is>
          <t>USNYC</t>
        </is>
      </c>
      <c r="I20" s="4" t="inlineStr">
        <is>
          <t>USNYC</t>
        </is>
      </c>
      <c r="J20" s="4" t="n"/>
      <c r="K20" s="8" t="n"/>
      <c r="L20" s="4" t="inlineStr">
        <is>
          <t>SEAL REEFER</t>
        </is>
      </c>
      <c r="M20" s="4" t="inlineStr">
        <is>
          <t>SEAL REEFER</t>
        </is>
      </c>
      <c r="N20" s="4" t="n"/>
      <c r="O20" s="4" t="n"/>
      <c r="P20" s="4" t="inlineStr">
        <is>
          <t>SEAL REEFER</t>
        </is>
      </c>
      <c r="Q20" s="4" t="inlineStr">
        <is>
          <t>SEAL REEFER</t>
        </is>
      </c>
      <c r="R20" s="4" t="n"/>
      <c r="S20" s="4" t="n"/>
      <c r="T20" s="4" t="inlineStr">
        <is>
          <t>SEAL REEFER</t>
        </is>
      </c>
      <c r="U20" s="4" t="inlineStr">
        <is>
          <t>AV DAS ARAUCARIAS, 5266, ARAUCARIA / PR / UNITED STATES02.351.006/0026-97 MAYARA SOARES EMAIL: Fabricionettto@gmail.com PHONE: +55 41 98755-3777</t>
        </is>
      </c>
      <c r="V20" s="4" t="n">
        <v>21</v>
      </c>
      <c r="W20" s="4" t="n">
        <v>0</v>
      </c>
      <c r="X20" s="4" t="n">
        <v>315000</v>
      </c>
      <c r="Y20" s="4" t="n">
        <v>300000</v>
      </c>
      <c r="Z20" s="4" t="n">
        <v>300</v>
      </c>
      <c r="AA20" s="4" t="n"/>
      <c r="AB20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0" s="4" t="inlineStr">
        <is>
          <t>ANON0000000</t>
        </is>
      </c>
      <c r="AD20" s="4" t="inlineStr">
        <is>
          <t>DC20</t>
        </is>
      </c>
      <c r="AE20" s="4" t="n">
        <v>1284423</v>
      </c>
      <c r="AF20" s="4" t="n"/>
      <c r="AG20" s="4" t="inlineStr">
        <is>
          <t>FCL/FCL</t>
        </is>
      </c>
      <c r="AH20" s="4" t="inlineStr">
        <is>
          <t>GENERAL COMMODITY</t>
        </is>
      </c>
      <c r="AI20" s="4" t="n">
        <v>21000</v>
      </c>
      <c r="AJ20" s="4" t="n">
        <v>20</v>
      </c>
      <c r="AK20" s="4" t="inlineStr">
        <is>
          <t>BLO</t>
        </is>
      </c>
      <c r="AL20" s="4" t="n"/>
      <c r="AM20" s="4" t="n"/>
      <c r="AN20" s="4" t="n"/>
      <c r="AO20" s="4" t="n"/>
      <c r="AP20" s="4" t="n"/>
      <c r="AQ20" s="4" t="n"/>
      <c r="AR20" s="4" t="n">
        <v>2100</v>
      </c>
      <c r="AS20" s="4" t="n">
        <v>28000</v>
      </c>
      <c r="AT20" s="12" t="n"/>
    </row>
    <row r="21" ht="10.5" customFormat="1" customHeight="1" s="6">
      <c r="A21" s="11" t="n">
        <v>20</v>
      </c>
      <c r="B21" s="4" t="inlineStr">
        <is>
          <t>MERCURY / VOYAGE 1</t>
        </is>
      </c>
      <c r="C21" s="4" t="inlineStr">
        <is>
          <t>REF000000</t>
        </is>
      </c>
      <c r="D21" s="7" t="n">
        <v>46095</v>
      </c>
      <c r="E21" s="4" t="n">
        <v>46104</v>
      </c>
      <c r="F21" s="4" t="inlineStr">
        <is>
          <t>RULED</t>
        </is>
      </c>
      <c r="G21" s="4" t="inlineStr">
        <is>
          <t>RULED</t>
        </is>
      </c>
      <c r="H21" s="4" t="inlineStr">
        <is>
          <t>USNYC</t>
        </is>
      </c>
      <c r="I21" s="4" t="inlineStr">
        <is>
          <t>USNYC</t>
        </is>
      </c>
      <c r="J21" s="4" t="n"/>
      <c r="K21" s="8" t="n"/>
      <c r="L21" s="4" t="inlineStr">
        <is>
          <t>SHARK REEFER</t>
        </is>
      </c>
      <c r="M21" s="4" t="inlineStr">
        <is>
          <t>SHARK REEFER</t>
        </is>
      </c>
      <c r="N21" s="4" t="n"/>
      <c r="O21" s="4" t="n"/>
      <c r="P21" s="4" t="inlineStr">
        <is>
          <t>SHARK REEFER</t>
        </is>
      </c>
      <c r="Q21" s="4" t="inlineStr">
        <is>
          <t>SHARK REEFER</t>
        </is>
      </c>
      <c r="R21" s="4" t="n"/>
      <c r="S21" s="4" t="n"/>
      <c r="T21" s="4" t="inlineStr">
        <is>
          <t>SHARK REEFER</t>
        </is>
      </c>
      <c r="U21" s="4" t="inlineStr">
        <is>
          <t>AV DAS ARAUCARIAS, 5266, ARAUCARIA / PR / UNITED STATES02.351.006/0026-97 MAYARA SOARES EMAIL: Fabricionettto@gmail.com PHONE: +55 41 98755-3777</t>
        </is>
      </c>
      <c r="V21" s="4" t="n">
        <v>21</v>
      </c>
      <c r="W21" s="4" t="n">
        <v>0</v>
      </c>
      <c r="X21" s="4" t="n">
        <v>315000</v>
      </c>
      <c r="Y21" s="4" t="n">
        <v>300000</v>
      </c>
      <c r="Z21" s="4" t="n">
        <v>300</v>
      </c>
      <c r="AA21" s="4" t="n"/>
      <c r="AB21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1" s="4" t="inlineStr">
        <is>
          <t>ANON0000000</t>
        </is>
      </c>
      <c r="AD21" s="4" t="inlineStr">
        <is>
          <t>DC20</t>
        </is>
      </c>
      <c r="AE21" s="4" t="n">
        <v>1284537</v>
      </c>
      <c r="AF21" s="4" t="n"/>
      <c r="AG21" s="4" t="inlineStr">
        <is>
          <t>FCL/FCL</t>
        </is>
      </c>
      <c r="AH21" s="4" t="inlineStr">
        <is>
          <t>GENERAL COMMODITY</t>
        </is>
      </c>
      <c r="AI21" s="4" t="n">
        <v>21000</v>
      </c>
      <c r="AJ21" s="4" t="n">
        <v>20</v>
      </c>
      <c r="AK21" s="4" t="inlineStr">
        <is>
          <t>BLO</t>
        </is>
      </c>
      <c r="AL21" s="4" t="n"/>
      <c r="AM21" s="4" t="n"/>
      <c r="AN21" s="4" t="n"/>
      <c r="AO21" s="4" t="n"/>
      <c r="AP21" s="4" t="n"/>
      <c r="AQ21" s="4" t="n"/>
      <c r="AR21" s="4" t="n">
        <v>2230</v>
      </c>
      <c r="AS21" s="4" t="n">
        <v>28000</v>
      </c>
      <c r="AT21" s="12" t="n"/>
    </row>
    <row r="22" ht="10.5" customFormat="1" customHeight="1" s="6">
      <c r="A22" s="11" t="n">
        <v>21</v>
      </c>
      <c r="B22" s="4" t="inlineStr">
        <is>
          <t>MERCURY / VOYAGE 1</t>
        </is>
      </c>
      <c r="C22" s="4" t="inlineStr">
        <is>
          <t>REF000000</t>
        </is>
      </c>
      <c r="D22" s="7" t="n">
        <v>46095</v>
      </c>
      <c r="E22" s="4" t="n">
        <v>46104</v>
      </c>
      <c r="F22" s="4" t="inlineStr">
        <is>
          <t>RULED</t>
        </is>
      </c>
      <c r="G22" s="4" t="inlineStr">
        <is>
          <t>RULED</t>
        </is>
      </c>
      <c r="H22" s="4" t="inlineStr">
        <is>
          <t>USNYC</t>
        </is>
      </c>
      <c r="I22" s="4" t="inlineStr">
        <is>
          <t>USNYC</t>
        </is>
      </c>
      <c r="J22" s="4" t="n"/>
      <c r="K22" s="8" t="n"/>
      <c r="L22" s="4" t="inlineStr">
        <is>
          <t>DOLPHIN REEFER</t>
        </is>
      </c>
      <c r="M22" s="4" t="inlineStr">
        <is>
          <t>DOLPHIN REEFER</t>
        </is>
      </c>
      <c r="N22" s="4" t="n"/>
      <c r="O22" s="4" t="n"/>
      <c r="P22" s="4" t="inlineStr">
        <is>
          <t>DOLPHIN REEFER</t>
        </is>
      </c>
      <c r="Q22" s="4" t="inlineStr">
        <is>
          <t>DOLPHIN REEFER</t>
        </is>
      </c>
      <c r="R22" s="4" t="n"/>
      <c r="S22" s="4" t="n"/>
      <c r="T22" s="4" t="inlineStr">
        <is>
          <t>DOLPHIN REEFER</t>
        </is>
      </c>
      <c r="U22" s="4" t="inlineStr">
        <is>
          <t>AV DAS ARAUCARIAS, 5266, ARAUCARIA / PR / UNITED STATES02.351.006/0026-97 MAYARA SOARES EMAIL: Fabricionettto@gmail.com PHONE: +55 41 98755-3777</t>
        </is>
      </c>
      <c r="V22" s="4" t="n">
        <v>21</v>
      </c>
      <c r="W22" s="4" t="n">
        <v>0</v>
      </c>
      <c r="X22" s="4" t="n">
        <v>315000</v>
      </c>
      <c r="Y22" s="4" t="n">
        <v>300000</v>
      </c>
      <c r="Z22" s="4" t="n">
        <v>300</v>
      </c>
      <c r="AA22" s="4" t="n"/>
      <c r="AB22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2" s="4" t="inlineStr">
        <is>
          <t>ANON0000000</t>
        </is>
      </c>
      <c r="AD22" s="4" t="inlineStr">
        <is>
          <t>DC20</t>
        </is>
      </c>
      <c r="AE22" s="4" t="n">
        <v>1284424</v>
      </c>
      <c r="AF22" s="4" t="n"/>
      <c r="AG22" s="4" t="inlineStr">
        <is>
          <t>FCL/FCL</t>
        </is>
      </c>
      <c r="AH22" s="4" t="inlineStr">
        <is>
          <t>GENERAL COMMODITY</t>
        </is>
      </c>
      <c r="AI22" s="4" t="n">
        <v>21000</v>
      </c>
      <c r="AJ22" s="4" t="n">
        <v>20</v>
      </c>
      <c r="AK22" s="4" t="inlineStr">
        <is>
          <t>BLO</t>
        </is>
      </c>
      <c r="AL22" s="4" t="n"/>
      <c r="AM22" s="4" t="n"/>
      <c r="AN22" s="4" t="n"/>
      <c r="AO22" s="4" t="n"/>
      <c r="AP22" s="4" t="n"/>
      <c r="AQ22" s="4" t="n"/>
      <c r="AR22" s="4" t="n">
        <v>2260</v>
      </c>
      <c r="AS22" s="4" t="n">
        <v>28000</v>
      </c>
      <c r="AT22" s="12" t="n"/>
    </row>
    <row r="23" ht="10.5" customFormat="1" customHeight="1" s="6">
      <c r="A23" s="11" t="n">
        <v>22</v>
      </c>
      <c r="B23" s="4" t="inlineStr">
        <is>
          <t>MERCURY / VOYAGE 1</t>
        </is>
      </c>
      <c r="C23" s="4" t="inlineStr">
        <is>
          <t>REF000000</t>
        </is>
      </c>
      <c r="D23" s="7" t="n">
        <v>46095</v>
      </c>
      <c r="E23" s="4" t="n">
        <v>46104</v>
      </c>
      <c r="F23" s="4" t="inlineStr">
        <is>
          <t>RULED</t>
        </is>
      </c>
      <c r="G23" s="4" t="inlineStr">
        <is>
          <t>RULED</t>
        </is>
      </c>
      <c r="H23" s="4" t="inlineStr">
        <is>
          <t>USNYC</t>
        </is>
      </c>
      <c r="I23" s="4" t="inlineStr">
        <is>
          <t>USNYC</t>
        </is>
      </c>
      <c r="J23" s="4" t="n"/>
      <c r="K23" s="8" t="n"/>
      <c r="L23" s="4" t="inlineStr">
        <is>
          <t>MARLIN REEFER</t>
        </is>
      </c>
      <c r="M23" s="4" t="inlineStr">
        <is>
          <t>MARLIN REEFER</t>
        </is>
      </c>
      <c r="N23" s="4" t="n"/>
      <c r="O23" s="4" t="n"/>
      <c r="P23" s="4" t="inlineStr">
        <is>
          <t>MARLIN REEFER</t>
        </is>
      </c>
      <c r="Q23" s="4" t="inlineStr">
        <is>
          <t>MARLIN REEFER</t>
        </is>
      </c>
      <c r="R23" s="4" t="n"/>
      <c r="S23" s="4" t="n"/>
      <c r="T23" s="4" t="inlineStr">
        <is>
          <t>MARLIN REEFER</t>
        </is>
      </c>
      <c r="U23" s="4" t="inlineStr">
        <is>
          <t>AV DAS ARAUCARIAS, 5266, ARAUCARIA / PR / UNITED STATES02.351.006/0026-97 MAYARA SOARES EMAIL: Fabricionettto@gmail.com PHONE: +55 41 98755-3777</t>
        </is>
      </c>
      <c r="V23" s="4" t="n">
        <v>21</v>
      </c>
      <c r="W23" s="4" t="n">
        <v>0</v>
      </c>
      <c r="X23" s="4" t="n">
        <v>315000</v>
      </c>
      <c r="Y23" s="4" t="n">
        <v>300000</v>
      </c>
      <c r="Z23" s="4" t="n">
        <v>300</v>
      </c>
      <c r="AA23" s="4" t="n"/>
      <c r="AB23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3" s="4" t="inlineStr">
        <is>
          <t>ANON0000000</t>
        </is>
      </c>
      <c r="AD23" s="4" t="inlineStr">
        <is>
          <t>DC20</t>
        </is>
      </c>
      <c r="AE23" s="4" t="n">
        <v>1284419</v>
      </c>
      <c r="AF23" s="4" t="n"/>
      <c r="AG23" s="4" t="inlineStr">
        <is>
          <t>FCL/FCL</t>
        </is>
      </c>
      <c r="AH23" s="4" t="inlineStr">
        <is>
          <t>GENERAL COMMODITY</t>
        </is>
      </c>
      <c r="AI23" s="4" t="n">
        <v>21000</v>
      </c>
      <c r="AJ23" s="4" t="n">
        <v>20</v>
      </c>
      <c r="AK23" s="4" t="inlineStr">
        <is>
          <t>BLO</t>
        </is>
      </c>
      <c r="AL23" s="4" t="n"/>
      <c r="AM23" s="4" t="n"/>
      <c r="AN23" s="4" t="n"/>
      <c r="AO23" s="4" t="n"/>
      <c r="AP23" s="4" t="n"/>
      <c r="AQ23" s="4" t="n"/>
      <c r="AR23" s="4" t="n">
        <v>2100</v>
      </c>
      <c r="AS23" s="4" t="n">
        <v>28000</v>
      </c>
      <c r="AT23" s="12" t="n"/>
    </row>
    <row r="24" ht="10.5" customFormat="1" customHeight="1" s="6">
      <c r="A24" s="11" t="n">
        <v>23</v>
      </c>
      <c r="B24" s="4" t="inlineStr">
        <is>
          <t>MERCURY / VOYAGE 1</t>
        </is>
      </c>
      <c r="C24" s="4" t="inlineStr">
        <is>
          <t>REF000000</t>
        </is>
      </c>
      <c r="D24" s="7" t="n">
        <v>46095</v>
      </c>
      <c r="E24" s="4" t="n">
        <v>46104</v>
      </c>
      <c r="F24" s="4" t="inlineStr">
        <is>
          <t>RULED</t>
        </is>
      </c>
      <c r="G24" s="4" t="inlineStr">
        <is>
          <t>RULED</t>
        </is>
      </c>
      <c r="H24" s="4" t="inlineStr">
        <is>
          <t>USNYC</t>
        </is>
      </c>
      <c r="I24" s="4" t="inlineStr">
        <is>
          <t>USNYC</t>
        </is>
      </c>
      <c r="J24" s="4" t="n"/>
      <c r="K24" s="8" t="n"/>
      <c r="L24" s="4" t="inlineStr">
        <is>
          <t>TURTLE REEFER</t>
        </is>
      </c>
      <c r="M24" s="4" t="inlineStr">
        <is>
          <t>TURTLE REEFER</t>
        </is>
      </c>
      <c r="N24" s="4" t="n"/>
      <c r="O24" s="4" t="n"/>
      <c r="P24" s="4" t="inlineStr">
        <is>
          <t>TURTLE REEFER</t>
        </is>
      </c>
      <c r="Q24" s="4" t="inlineStr">
        <is>
          <t>TURTLE REEFER</t>
        </is>
      </c>
      <c r="R24" s="4" t="n"/>
      <c r="S24" s="4" t="n"/>
      <c r="T24" s="4" t="inlineStr">
        <is>
          <t>TURTLE REEFER</t>
        </is>
      </c>
      <c r="U24" s="4" t="inlineStr">
        <is>
          <t>AV DAS ARAUCARIAS, 5266, ARAUCARIA / PR / UNITED STATES02.351.006/0026-97 MAYARA SOARES EMAIL: Fabricionettto@gmail.com PHONE: +55 41 98755-3777</t>
        </is>
      </c>
      <c r="V24" s="4" t="n">
        <v>21</v>
      </c>
      <c r="W24" s="4" t="n">
        <v>0</v>
      </c>
      <c r="X24" s="4" t="n">
        <v>315000</v>
      </c>
      <c r="Y24" s="4" t="n">
        <v>300000</v>
      </c>
      <c r="Z24" s="4" t="n">
        <v>300</v>
      </c>
      <c r="AA24" s="4" t="n"/>
      <c r="AB24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4" s="4" t="inlineStr">
        <is>
          <t>ANON0000000</t>
        </is>
      </c>
      <c r="AD24" s="4" t="inlineStr">
        <is>
          <t>DC20</t>
        </is>
      </c>
      <c r="AE24" s="4" t="n">
        <v>1284420</v>
      </c>
      <c r="AF24" s="4" t="n"/>
      <c r="AG24" s="4" t="inlineStr">
        <is>
          <t>FCL/FCL</t>
        </is>
      </c>
      <c r="AH24" s="4" t="inlineStr">
        <is>
          <t>GENERAL COMMODITY</t>
        </is>
      </c>
      <c r="AI24" s="4" t="n">
        <v>21000</v>
      </c>
      <c r="AJ24" s="4" t="n">
        <v>20</v>
      </c>
      <c r="AK24" s="4" t="inlineStr">
        <is>
          <t>BLO</t>
        </is>
      </c>
      <c r="AL24" s="4" t="n"/>
      <c r="AM24" s="4" t="n"/>
      <c r="AN24" s="4" t="n"/>
      <c r="AO24" s="4" t="n"/>
      <c r="AP24" s="4" t="n"/>
      <c r="AQ24" s="4" t="n"/>
      <c r="AR24" s="4" t="n">
        <v>2100</v>
      </c>
      <c r="AS24" s="4" t="n">
        <v>28000</v>
      </c>
      <c r="AT24" s="12" t="n"/>
    </row>
    <row r="25" ht="10.5" customFormat="1" customHeight="1" s="6">
      <c r="A25" s="11" t="n">
        <v>24</v>
      </c>
      <c r="B25" s="4" t="inlineStr">
        <is>
          <t>MERCURY / VOYAGE 1</t>
        </is>
      </c>
      <c r="C25" s="4" t="inlineStr">
        <is>
          <t>REF000000</t>
        </is>
      </c>
      <c r="D25" s="7" t="n">
        <v>46095</v>
      </c>
      <c r="E25" s="4" t="n">
        <v>46104</v>
      </c>
      <c r="F25" s="4" t="inlineStr">
        <is>
          <t>RULED</t>
        </is>
      </c>
      <c r="G25" s="4" t="inlineStr">
        <is>
          <t>RULED</t>
        </is>
      </c>
      <c r="H25" s="4" t="inlineStr">
        <is>
          <t>USNYC</t>
        </is>
      </c>
      <c r="I25" s="4" t="inlineStr">
        <is>
          <t>USNYC</t>
        </is>
      </c>
      <c r="J25" s="4" t="n"/>
      <c r="K25" s="8" t="n"/>
      <c r="L25" s="4" t="inlineStr">
        <is>
          <t>ORCA REEFER</t>
        </is>
      </c>
      <c r="M25" s="4" t="inlineStr">
        <is>
          <t>ORCA REEFER</t>
        </is>
      </c>
      <c r="N25" s="4" t="n"/>
      <c r="O25" s="4" t="n"/>
      <c r="P25" s="4" t="inlineStr">
        <is>
          <t>ORCA REEFER</t>
        </is>
      </c>
      <c r="Q25" s="4" t="inlineStr">
        <is>
          <t>ORCA REEFER</t>
        </is>
      </c>
      <c r="R25" s="4" t="n"/>
      <c r="S25" s="4" t="n"/>
      <c r="T25" s="4" t="inlineStr">
        <is>
          <t>ORCA REEFER</t>
        </is>
      </c>
      <c r="U25" s="4" t="inlineStr">
        <is>
          <t>AV DAS ARAUCARIAS, 5266, ARAUCARIA / PR / UNITED STATES02.351.006/0026-97 MAYARA SOARES EMAIL: Fabricionettto@gmail.com PHONE: +55 41 98755-3777</t>
        </is>
      </c>
      <c r="V25" s="4" t="n">
        <v>21</v>
      </c>
      <c r="W25" s="4" t="n">
        <v>0</v>
      </c>
      <c r="X25" s="4" t="n">
        <v>315000</v>
      </c>
      <c r="Y25" s="4" t="n">
        <v>300000</v>
      </c>
      <c r="Z25" s="4" t="n">
        <v>300</v>
      </c>
      <c r="AA25" s="4" t="n"/>
      <c r="AB25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5" s="4" t="inlineStr">
        <is>
          <t>ANON0000000</t>
        </is>
      </c>
      <c r="AD25" s="4" t="inlineStr">
        <is>
          <t>DC20</t>
        </is>
      </c>
      <c r="AE25" s="4" t="n">
        <v>1284421</v>
      </c>
      <c r="AF25" s="4" t="n"/>
      <c r="AG25" s="4" t="inlineStr">
        <is>
          <t>FCL/FCL</t>
        </is>
      </c>
      <c r="AH25" s="4" t="inlineStr">
        <is>
          <t>GENERAL COMMODITY</t>
        </is>
      </c>
      <c r="AI25" s="4" t="n">
        <v>21000</v>
      </c>
      <c r="AJ25" s="4" t="n">
        <v>20</v>
      </c>
      <c r="AK25" s="4" t="inlineStr">
        <is>
          <t>BLO</t>
        </is>
      </c>
      <c r="AL25" s="4" t="n"/>
      <c r="AM25" s="4" t="n"/>
      <c r="AN25" s="4" t="n"/>
      <c r="AO25" s="4" t="n"/>
      <c r="AP25" s="4" t="n"/>
      <c r="AQ25" s="4" t="n"/>
      <c r="AR25" s="4" t="n">
        <v>2260</v>
      </c>
      <c r="AS25" s="4" t="n">
        <v>28000</v>
      </c>
      <c r="AT25" s="12" t="n"/>
    </row>
    <row r="26" ht="10.5" customFormat="1" customHeight="1" s="6">
      <c r="A26" s="11" t="n">
        <v>25</v>
      </c>
      <c r="B26" s="4" t="inlineStr">
        <is>
          <t>MERCURY / VOYAGE 1</t>
        </is>
      </c>
      <c r="C26" s="4" t="inlineStr">
        <is>
          <t>REF000000</t>
        </is>
      </c>
      <c r="D26" s="7" t="n">
        <v>46095</v>
      </c>
      <c r="E26" s="4" t="n">
        <v>46104</v>
      </c>
      <c r="F26" s="4" t="inlineStr">
        <is>
          <t>RULED</t>
        </is>
      </c>
      <c r="G26" s="4" t="inlineStr">
        <is>
          <t>RULED</t>
        </is>
      </c>
      <c r="H26" s="4" t="inlineStr">
        <is>
          <t>USNYC</t>
        </is>
      </c>
      <c r="I26" s="4" t="inlineStr">
        <is>
          <t>USNYC</t>
        </is>
      </c>
      <c r="J26" s="4" t="n"/>
      <c r="K26" s="8" t="n"/>
      <c r="L26" s="4" t="inlineStr">
        <is>
          <t>WHALE REEFER</t>
        </is>
      </c>
      <c r="M26" s="4" t="inlineStr">
        <is>
          <t>WHALE REEFER</t>
        </is>
      </c>
      <c r="N26" s="4" t="n"/>
      <c r="O26" s="4" t="n"/>
      <c r="P26" s="4" t="inlineStr">
        <is>
          <t>WHALE REEFER</t>
        </is>
      </c>
      <c r="Q26" s="4" t="inlineStr">
        <is>
          <t>WHALE REEFER</t>
        </is>
      </c>
      <c r="R26" s="4" t="n"/>
      <c r="S26" s="4" t="n"/>
      <c r="T26" s="4" t="inlineStr">
        <is>
          <t>WHALE REEFER</t>
        </is>
      </c>
      <c r="U26" s="4" t="inlineStr">
        <is>
          <t>AV DAS ARAUCARIAS, 5266, ARAUCARIA / PR / UNITED STATES02.351.006/0026-97 MAYARA SOARES EMAIL: Fabricionettto@gmail.com PHONE: +55 41 98755-3777</t>
        </is>
      </c>
      <c r="V26" s="4" t="n">
        <v>21</v>
      </c>
      <c r="W26" s="4" t="n">
        <v>0</v>
      </c>
      <c r="X26" s="4" t="n">
        <v>315000</v>
      </c>
      <c r="Y26" s="4" t="n">
        <v>300000</v>
      </c>
      <c r="Z26" s="4" t="n">
        <v>300</v>
      </c>
      <c r="AA26" s="4" t="n"/>
      <c r="AB26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6" s="4" t="inlineStr">
        <is>
          <t>ANON0000000</t>
        </is>
      </c>
      <c r="AD26" s="4" t="inlineStr">
        <is>
          <t>DC20</t>
        </is>
      </c>
      <c r="AE26" s="4" t="n">
        <v>1284425</v>
      </c>
      <c r="AF26" s="4" t="n"/>
      <c r="AG26" s="4" t="inlineStr">
        <is>
          <t>FCL/FCL</t>
        </is>
      </c>
      <c r="AH26" s="4" t="inlineStr">
        <is>
          <t>GENERAL COMMODITY</t>
        </is>
      </c>
      <c r="AI26" s="4" t="n">
        <v>21000</v>
      </c>
      <c r="AJ26" s="4" t="n">
        <v>20</v>
      </c>
      <c r="AK26" s="4" t="inlineStr">
        <is>
          <t>BLO</t>
        </is>
      </c>
      <c r="AL26" s="4" t="n"/>
      <c r="AM26" s="4" t="n"/>
      <c r="AN26" s="4" t="n"/>
      <c r="AO26" s="4" t="n"/>
      <c r="AP26" s="4" t="n"/>
      <c r="AQ26" s="4" t="n"/>
      <c r="AR26" s="4" t="n">
        <v>2100</v>
      </c>
      <c r="AS26" s="4" t="n">
        <v>28000</v>
      </c>
      <c r="AT26" s="12" t="n"/>
    </row>
    <row r="27" ht="10.5" customFormat="1" customHeight="1" s="6">
      <c r="A27" s="11" t="n">
        <v>26</v>
      </c>
      <c r="B27" s="4" t="inlineStr">
        <is>
          <t>MERCURY / VOYAGE 1</t>
        </is>
      </c>
      <c r="C27" s="4" t="inlineStr">
        <is>
          <t>REF000000</t>
        </is>
      </c>
      <c r="D27" s="7" t="n">
        <v>46095</v>
      </c>
      <c r="E27" s="4" t="n">
        <v>46104</v>
      </c>
      <c r="F27" s="4" t="inlineStr">
        <is>
          <t>RULED</t>
        </is>
      </c>
      <c r="G27" s="4" t="inlineStr">
        <is>
          <t>RULED</t>
        </is>
      </c>
      <c r="H27" s="4" t="inlineStr">
        <is>
          <t>USNYC</t>
        </is>
      </c>
      <c r="I27" s="4" t="inlineStr">
        <is>
          <t>USNYC</t>
        </is>
      </c>
      <c r="J27" s="4" t="n"/>
      <c r="K27" s="8" t="n"/>
      <c r="L27" s="4" t="inlineStr">
        <is>
          <t>SEAL REEFER</t>
        </is>
      </c>
      <c r="M27" s="4" t="inlineStr">
        <is>
          <t>SEAL REEFER</t>
        </is>
      </c>
      <c r="N27" s="4" t="n"/>
      <c r="O27" s="4" t="n"/>
      <c r="P27" s="4" t="inlineStr">
        <is>
          <t>SEAL REEFER</t>
        </is>
      </c>
      <c r="Q27" s="4" t="inlineStr">
        <is>
          <t>SEAL REEFER</t>
        </is>
      </c>
      <c r="R27" s="4" t="n"/>
      <c r="S27" s="4" t="n"/>
      <c r="T27" s="4" t="inlineStr">
        <is>
          <t>SEAL REEFER</t>
        </is>
      </c>
      <c r="U27" s="4" t="inlineStr">
        <is>
          <t>AV DAS ARAUCARIAS, 5266, ARAUCARIA / PR / UNITED STATES02.351.006/0026-97 MAYARA SOARES EMAIL: Fabricionettto@gmail.com PHONE: +55 41 98755-3777</t>
        </is>
      </c>
      <c r="V27" s="4" t="n">
        <v>21</v>
      </c>
      <c r="W27" s="4" t="n">
        <v>0</v>
      </c>
      <c r="X27" s="4" t="n">
        <v>315000</v>
      </c>
      <c r="Y27" s="4" t="n">
        <v>300000</v>
      </c>
      <c r="Z27" s="4" t="n">
        <v>300</v>
      </c>
      <c r="AA27" s="4" t="n"/>
      <c r="AB27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7" s="4" t="inlineStr">
        <is>
          <t>ANON0000000</t>
        </is>
      </c>
      <c r="AD27" s="4" t="inlineStr">
        <is>
          <t>DC20</t>
        </is>
      </c>
      <c r="AE27" s="4" t="n">
        <v>1284426</v>
      </c>
      <c r="AF27" s="4" t="n"/>
      <c r="AG27" s="4" t="inlineStr">
        <is>
          <t>FCL/FCL</t>
        </is>
      </c>
      <c r="AH27" s="4" t="inlineStr">
        <is>
          <t>GENERAL COMMODITY</t>
        </is>
      </c>
      <c r="AI27" s="4" t="n">
        <v>21000</v>
      </c>
      <c r="AJ27" s="4" t="n">
        <v>20</v>
      </c>
      <c r="AK27" s="4" t="inlineStr">
        <is>
          <t>BLO</t>
        </is>
      </c>
      <c r="AL27" s="4" t="n"/>
      <c r="AM27" s="4" t="n"/>
      <c r="AN27" s="4" t="n"/>
      <c r="AO27" s="4" t="n"/>
      <c r="AP27" s="4" t="n"/>
      <c r="AQ27" s="4" t="n"/>
      <c r="AR27" s="4" t="n">
        <v>2100</v>
      </c>
      <c r="AS27" s="4" t="n">
        <v>28000</v>
      </c>
      <c r="AT27" s="12" t="n"/>
    </row>
    <row r="28" ht="10.5" customFormat="1" customHeight="1" s="6">
      <c r="A28" s="11" t="n">
        <v>27</v>
      </c>
      <c r="B28" s="4" t="inlineStr">
        <is>
          <t>MERCURY / VOYAGE 1</t>
        </is>
      </c>
      <c r="C28" s="4" t="inlineStr">
        <is>
          <t>REF000000</t>
        </is>
      </c>
      <c r="D28" s="7" t="n">
        <v>46095</v>
      </c>
      <c r="E28" s="4" t="n">
        <v>46104</v>
      </c>
      <c r="F28" s="4" t="inlineStr">
        <is>
          <t>RULED</t>
        </is>
      </c>
      <c r="G28" s="4" t="inlineStr">
        <is>
          <t>RULED</t>
        </is>
      </c>
      <c r="H28" s="4" t="inlineStr">
        <is>
          <t>USNYC</t>
        </is>
      </c>
      <c r="I28" s="4" t="inlineStr">
        <is>
          <t>USNYC</t>
        </is>
      </c>
      <c r="J28" s="4" t="n"/>
      <c r="K28" s="8" t="n"/>
      <c r="L28" s="4" t="inlineStr">
        <is>
          <t>SHARK REEFER</t>
        </is>
      </c>
      <c r="M28" s="4" t="inlineStr">
        <is>
          <t>SHARK REEFER</t>
        </is>
      </c>
      <c r="N28" s="4" t="n"/>
      <c r="O28" s="4" t="n"/>
      <c r="P28" s="4" t="inlineStr">
        <is>
          <t>SHARK REEFER</t>
        </is>
      </c>
      <c r="Q28" s="4" t="inlineStr">
        <is>
          <t>SHARK REEFER</t>
        </is>
      </c>
      <c r="R28" s="4" t="n"/>
      <c r="S28" s="4" t="n"/>
      <c r="T28" s="4" t="inlineStr">
        <is>
          <t>SHARK REEFER</t>
        </is>
      </c>
      <c r="U28" s="4" t="inlineStr">
        <is>
          <t>AV DAS ARAUCARIAS, 5266, ARAUCARIA / PR / UNITED STATES02.351.006/0026-97 MAYARA SOARES EMAIL: Fabricionettto@gmail.com PHONE: +55 41 98755-3777</t>
        </is>
      </c>
      <c r="V28" s="4" t="n">
        <v>21</v>
      </c>
      <c r="W28" s="4" t="n">
        <v>0</v>
      </c>
      <c r="X28" s="4" t="n">
        <v>315000</v>
      </c>
      <c r="Y28" s="4" t="n">
        <v>300000</v>
      </c>
      <c r="Z28" s="4" t="n">
        <v>300</v>
      </c>
      <c r="AA28" s="4" t="n"/>
      <c r="AB28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8" s="4" t="inlineStr">
        <is>
          <t>ANON0000000</t>
        </is>
      </c>
      <c r="AD28" s="4" t="inlineStr">
        <is>
          <t>DC20</t>
        </is>
      </c>
      <c r="AE28" s="4" t="n">
        <v>1284422</v>
      </c>
      <c r="AF28" s="4" t="n"/>
      <c r="AG28" s="4" t="inlineStr">
        <is>
          <t>FCL/FCL</t>
        </is>
      </c>
      <c r="AH28" s="4" t="inlineStr">
        <is>
          <t>GENERAL COMMODITY</t>
        </is>
      </c>
      <c r="AI28" s="4" t="n">
        <v>21000</v>
      </c>
      <c r="AJ28" s="4" t="n">
        <v>20</v>
      </c>
      <c r="AK28" s="4" t="inlineStr">
        <is>
          <t>BLO</t>
        </is>
      </c>
      <c r="AL28" s="4" t="n"/>
      <c r="AM28" s="4" t="n"/>
      <c r="AN28" s="4" t="n"/>
      <c r="AO28" s="4" t="n"/>
      <c r="AP28" s="4" t="n"/>
      <c r="AQ28" s="4" t="n"/>
      <c r="AR28" s="4" t="n">
        <v>2100</v>
      </c>
      <c r="AS28" s="4" t="n">
        <v>28000</v>
      </c>
      <c r="AT28" s="12" t="n"/>
    </row>
    <row r="29" ht="10.5" customFormat="1" customHeight="1" s="6">
      <c r="A29" s="11" t="n">
        <v>28</v>
      </c>
      <c r="B29" s="4" t="inlineStr">
        <is>
          <t>MERCURY / VOYAGE 1</t>
        </is>
      </c>
      <c r="C29" s="4" t="inlineStr">
        <is>
          <t>REF000000</t>
        </is>
      </c>
      <c r="D29" s="7" t="n">
        <v>46095</v>
      </c>
      <c r="E29" s="4" t="n">
        <v>46104</v>
      </c>
      <c r="F29" s="4" t="inlineStr">
        <is>
          <t>RULED</t>
        </is>
      </c>
      <c r="G29" s="4" t="inlineStr">
        <is>
          <t>RULED</t>
        </is>
      </c>
      <c r="H29" s="4" t="inlineStr">
        <is>
          <t>USNYC</t>
        </is>
      </c>
      <c r="I29" s="4" t="inlineStr">
        <is>
          <t>USNYC</t>
        </is>
      </c>
      <c r="J29" s="4" t="n"/>
      <c r="K29" s="8" t="n"/>
      <c r="L29" s="4" t="inlineStr">
        <is>
          <t>DOLPHIN REEFER</t>
        </is>
      </c>
      <c r="M29" s="4" t="inlineStr">
        <is>
          <t>DOLPHIN REEFER</t>
        </is>
      </c>
      <c r="N29" s="4" t="n"/>
      <c r="O29" s="4" t="n"/>
      <c r="P29" s="4" t="inlineStr">
        <is>
          <t>DOLPHIN REEFER</t>
        </is>
      </c>
      <c r="Q29" s="4" t="inlineStr">
        <is>
          <t>DOLPHIN REEFER</t>
        </is>
      </c>
      <c r="R29" s="4" t="n"/>
      <c r="S29" s="4" t="n"/>
      <c r="T29" s="4" t="inlineStr">
        <is>
          <t>DOLPHIN REEFER</t>
        </is>
      </c>
      <c r="U29" s="4" t="inlineStr">
        <is>
          <t>AV DAS ARAUCARIAS, 5266, ARAUCARIA / PR / UNITED STATES02.351.006/0026-97 MAYARA SOARES EMAIL: Fabricionettto@gmail.com PHONE: +55 41 98755-3777</t>
        </is>
      </c>
      <c r="V29" s="4" t="n">
        <v>21</v>
      </c>
      <c r="W29" s="4" t="n">
        <v>0</v>
      </c>
      <c r="X29" s="4" t="n">
        <v>315000</v>
      </c>
      <c r="Y29" s="4" t="n">
        <v>300000</v>
      </c>
      <c r="Z29" s="4" t="n">
        <v>300</v>
      </c>
      <c r="AA29" s="4" t="n"/>
      <c r="AB29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29" s="4" t="inlineStr">
        <is>
          <t>ANON0000000</t>
        </is>
      </c>
      <c r="AD29" s="4" t="inlineStr">
        <is>
          <t>DC20</t>
        </is>
      </c>
      <c r="AE29" s="4" t="n">
        <v>1284539</v>
      </c>
      <c r="AF29" s="4" t="n"/>
      <c r="AG29" s="4" t="inlineStr">
        <is>
          <t>FCL/FCL</t>
        </is>
      </c>
      <c r="AH29" s="4" t="inlineStr">
        <is>
          <t>GENERAL COMMODITY</t>
        </is>
      </c>
      <c r="AI29" s="4" t="n">
        <v>21000</v>
      </c>
      <c r="AJ29" s="4" t="n">
        <v>20</v>
      </c>
      <c r="AK29" s="4" t="inlineStr">
        <is>
          <t>BLO</t>
        </is>
      </c>
      <c r="AL29" s="4" t="n"/>
      <c r="AM29" s="4" t="n"/>
      <c r="AN29" s="4" t="n"/>
      <c r="AO29" s="4" t="n"/>
      <c r="AP29" s="4" t="n"/>
      <c r="AQ29" s="4" t="n"/>
      <c r="AR29" s="4" t="n">
        <v>2230</v>
      </c>
      <c r="AS29" s="4" t="n">
        <v>28000</v>
      </c>
      <c r="AT29" s="12" t="n"/>
    </row>
    <row r="30" ht="10.5" customFormat="1" customHeight="1" s="6">
      <c r="A30" s="11" t="n">
        <v>29</v>
      </c>
      <c r="B30" s="4" t="inlineStr">
        <is>
          <t>MERCURY / VOYAGE 1</t>
        </is>
      </c>
      <c r="C30" s="4" t="inlineStr">
        <is>
          <t>REF000000</t>
        </is>
      </c>
      <c r="D30" s="7" t="n">
        <v>46095</v>
      </c>
      <c r="E30" s="4" t="n">
        <v>46104</v>
      </c>
      <c r="F30" s="4" t="inlineStr">
        <is>
          <t>RULED</t>
        </is>
      </c>
      <c r="G30" s="4" t="inlineStr">
        <is>
          <t>RULED</t>
        </is>
      </c>
      <c r="H30" s="4" t="inlineStr">
        <is>
          <t>USNYC</t>
        </is>
      </c>
      <c r="I30" s="4" t="inlineStr">
        <is>
          <t>USNYC</t>
        </is>
      </c>
      <c r="J30" s="4" t="n"/>
      <c r="K30" s="8" t="n"/>
      <c r="L30" s="4" t="inlineStr">
        <is>
          <t>MARLIN REEFER</t>
        </is>
      </c>
      <c r="M30" s="4" t="inlineStr">
        <is>
          <t>MARLIN REEFER</t>
        </is>
      </c>
      <c r="N30" s="4" t="n"/>
      <c r="O30" s="4" t="n"/>
      <c r="P30" s="4" t="inlineStr">
        <is>
          <t>MARLIN REEFER</t>
        </is>
      </c>
      <c r="Q30" s="4" t="inlineStr">
        <is>
          <t>MARLIN REEFER</t>
        </is>
      </c>
      <c r="R30" s="4" t="n"/>
      <c r="S30" s="4" t="n"/>
      <c r="T30" s="4" t="inlineStr">
        <is>
          <t>MARLIN REEFER</t>
        </is>
      </c>
      <c r="U30" s="4" t="inlineStr">
        <is>
          <t>AV DAS ARAUCARIAS, 5266, ARAUCARIA / PR / UNITED STATES02.351.006/0026-97 MAYARA SOARES EMAIL: Fabricionettto@gmail.com PHONE: +55 41 98755-3777</t>
        </is>
      </c>
      <c r="V30" s="4" t="n">
        <v>21</v>
      </c>
      <c r="W30" s="4" t="n">
        <v>0</v>
      </c>
      <c r="X30" s="4" t="n">
        <v>315000</v>
      </c>
      <c r="Y30" s="4" t="n">
        <v>300000</v>
      </c>
      <c r="Z30" s="4" t="n">
        <v>300</v>
      </c>
      <c r="AA30" s="4" t="n"/>
      <c r="AB30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0" s="4" t="inlineStr">
        <is>
          <t>ANON0000000</t>
        </is>
      </c>
      <c r="AD30" s="4" t="inlineStr">
        <is>
          <t>DC20</t>
        </is>
      </c>
      <c r="AE30" s="4" t="n">
        <v>1284478</v>
      </c>
      <c r="AF30" s="4" t="n"/>
      <c r="AG30" s="4" t="inlineStr">
        <is>
          <t>FCL/FCL</t>
        </is>
      </c>
      <c r="AH30" s="4" t="inlineStr">
        <is>
          <t>GENERAL COMMODITY</t>
        </is>
      </c>
      <c r="AI30" s="4" t="n">
        <v>21000</v>
      </c>
      <c r="AJ30" s="4" t="n">
        <v>20</v>
      </c>
      <c r="AK30" s="4" t="inlineStr">
        <is>
          <t>BLO</t>
        </is>
      </c>
      <c r="AL30" s="4" t="n"/>
      <c r="AM30" s="4" t="n"/>
      <c r="AN30" s="4" t="n"/>
      <c r="AO30" s="4" t="n"/>
      <c r="AP30" s="4" t="n"/>
      <c r="AQ30" s="4" t="n"/>
      <c r="AR30" s="4" t="n">
        <v>2100</v>
      </c>
      <c r="AS30" s="4" t="n">
        <v>28000</v>
      </c>
      <c r="AT30" s="12" t="n"/>
    </row>
    <row r="31" ht="10.5" customFormat="1" customHeight="1" s="6">
      <c r="A31" s="11" t="n">
        <v>30</v>
      </c>
      <c r="B31" s="4" t="inlineStr">
        <is>
          <t>MERCURY / VOYAGE 1</t>
        </is>
      </c>
      <c r="C31" s="4" t="inlineStr">
        <is>
          <t>REF000000</t>
        </is>
      </c>
      <c r="D31" s="7" t="n">
        <v>46095</v>
      </c>
      <c r="E31" s="4" t="n">
        <v>46104</v>
      </c>
      <c r="F31" s="4" t="inlineStr">
        <is>
          <t>RULED</t>
        </is>
      </c>
      <c r="G31" s="4" t="inlineStr">
        <is>
          <t>RULED</t>
        </is>
      </c>
      <c r="H31" s="4" t="inlineStr">
        <is>
          <t>USNYC</t>
        </is>
      </c>
      <c r="I31" s="4" t="inlineStr">
        <is>
          <t>USNYC</t>
        </is>
      </c>
      <c r="J31" s="4" t="n"/>
      <c r="K31" s="8" t="n"/>
      <c r="L31" s="4" t="inlineStr">
        <is>
          <t>TURTLE REEFER</t>
        </is>
      </c>
      <c r="M31" s="4" t="inlineStr">
        <is>
          <t>TURTLE REEFER</t>
        </is>
      </c>
      <c r="N31" s="9" t="n"/>
      <c r="O31" s="9" t="n"/>
      <c r="P31" s="4" t="inlineStr">
        <is>
          <t>TURTLE REEFER</t>
        </is>
      </c>
      <c r="Q31" s="4" t="inlineStr">
        <is>
          <t>TURTLE REEFER</t>
        </is>
      </c>
      <c r="R31" s="4" t="n"/>
      <c r="S31" s="4" t="n"/>
      <c r="T31" s="4" t="inlineStr">
        <is>
          <t>TURTLE REEFER</t>
        </is>
      </c>
      <c r="U31" s="4" t="inlineStr">
        <is>
          <t>AV DAS ARAUCARIAS, 5266, ARAUCARIA / PR / UNITED STATES02.351.006/0026-97 MAYARA SOARES EMAIL: Fabricionettto@gmail.com PHONE: +55 41 98755-3777</t>
        </is>
      </c>
      <c r="V31" s="9" t="n">
        <v>21</v>
      </c>
      <c r="W31" s="9" t="n">
        <v>0</v>
      </c>
      <c r="X31" s="10" t="n">
        <v>315000</v>
      </c>
      <c r="Y31" s="10" t="n">
        <v>300000</v>
      </c>
      <c r="Z31" s="9" t="n">
        <v>300</v>
      </c>
      <c r="AA31" s="4" t="n"/>
      <c r="AB31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1" s="4" t="inlineStr">
        <is>
          <t>ANON0000000</t>
        </is>
      </c>
      <c r="AD31" s="4" t="inlineStr">
        <is>
          <t>DC20</t>
        </is>
      </c>
      <c r="AE31" s="4" t="n">
        <v>1284473</v>
      </c>
      <c r="AF31" s="4" t="n"/>
      <c r="AG31" s="4" t="inlineStr">
        <is>
          <t>FCL/FCL</t>
        </is>
      </c>
      <c r="AH31" s="4" t="inlineStr">
        <is>
          <t>GENERAL COMMODITY</t>
        </is>
      </c>
      <c r="AI31" s="10" t="n">
        <v>21000</v>
      </c>
      <c r="AJ31" s="9" t="n">
        <v>20</v>
      </c>
      <c r="AK31" s="4" t="inlineStr">
        <is>
          <t>BLO</t>
        </is>
      </c>
      <c r="AL31" s="4" t="n"/>
      <c r="AM31" s="4" t="n"/>
      <c r="AN31" s="4" t="n"/>
      <c r="AO31" s="4" t="n"/>
      <c r="AP31" s="4" t="n"/>
      <c r="AQ31" s="4" t="n"/>
      <c r="AR31" s="4" t="n">
        <v>2100</v>
      </c>
      <c r="AS31" s="4" t="n">
        <v>28000</v>
      </c>
      <c r="AT31" s="12" t="n"/>
    </row>
    <row r="32" ht="10.5" customFormat="1" customHeight="1" s="6">
      <c r="A32" s="11" t="n">
        <v>31</v>
      </c>
      <c r="B32" s="4" t="inlineStr">
        <is>
          <t>MERCURY / VOYAGE 1</t>
        </is>
      </c>
      <c r="C32" s="4" t="inlineStr">
        <is>
          <t>REF000000</t>
        </is>
      </c>
      <c r="D32" s="7" t="n">
        <v>46095</v>
      </c>
      <c r="E32" s="4" t="n">
        <v>46104</v>
      </c>
      <c r="F32" s="4" t="inlineStr">
        <is>
          <t>RULED</t>
        </is>
      </c>
      <c r="G32" s="4" t="inlineStr">
        <is>
          <t>RULED</t>
        </is>
      </c>
      <c r="H32" s="4" t="inlineStr">
        <is>
          <t>USNYC</t>
        </is>
      </c>
      <c r="I32" s="4" t="inlineStr">
        <is>
          <t>USNYC</t>
        </is>
      </c>
      <c r="J32" s="4" t="n"/>
      <c r="K32" s="8" t="n"/>
      <c r="L32" s="4" t="inlineStr">
        <is>
          <t>ORCA REEFER</t>
        </is>
      </c>
      <c r="M32" s="4" t="inlineStr">
        <is>
          <t>ORCA REEFER</t>
        </is>
      </c>
      <c r="N32" s="9" t="n"/>
      <c r="O32" s="9" t="n"/>
      <c r="P32" s="4" t="inlineStr">
        <is>
          <t>ORCA REEFER</t>
        </is>
      </c>
      <c r="Q32" s="4" t="inlineStr">
        <is>
          <t>ORCA REEFER</t>
        </is>
      </c>
      <c r="R32" s="4" t="n"/>
      <c r="S32" s="4" t="n"/>
      <c r="T32" s="4" t="inlineStr">
        <is>
          <t>ORCA REEFER</t>
        </is>
      </c>
      <c r="U32" s="4" t="inlineStr">
        <is>
          <t>AV DAS ARAUCARIAS, 5266, ARAUCARIA / PR / UNITED STATES02.351.006/0026-97 MAYARA SOARES EMAIL: Fabricionettto@gmail.com PHONE: +55 41 98755-3777</t>
        </is>
      </c>
      <c r="V32" s="9" t="n">
        <v>21</v>
      </c>
      <c r="W32" s="9" t="n">
        <v>0</v>
      </c>
      <c r="X32" s="10" t="n">
        <v>315000</v>
      </c>
      <c r="Y32" s="10" t="n">
        <v>300000</v>
      </c>
      <c r="Z32" s="9" t="n">
        <v>300</v>
      </c>
      <c r="AA32" s="4" t="n"/>
      <c r="AB32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2" s="4" t="inlineStr">
        <is>
          <t>ANON0000000</t>
        </is>
      </c>
      <c r="AD32" s="4" t="inlineStr">
        <is>
          <t>DC20</t>
        </is>
      </c>
      <c r="AE32" s="4" t="n">
        <v>1284479</v>
      </c>
      <c r="AF32" s="4" t="n"/>
      <c r="AG32" s="4" t="inlineStr">
        <is>
          <t>FCL/FCL</t>
        </is>
      </c>
      <c r="AH32" s="4" t="inlineStr">
        <is>
          <t>GENERAL COMMODITY</t>
        </is>
      </c>
      <c r="AI32" s="10" t="n">
        <v>21000</v>
      </c>
      <c r="AJ32" s="9" t="n">
        <v>20</v>
      </c>
      <c r="AK32" s="4" t="inlineStr">
        <is>
          <t>BLO</t>
        </is>
      </c>
      <c r="AL32" s="4" t="n"/>
      <c r="AM32" s="4" t="n"/>
      <c r="AN32" s="4" t="n"/>
      <c r="AO32" s="4" t="n"/>
      <c r="AP32" s="4" t="n"/>
      <c r="AQ32" s="4" t="n"/>
      <c r="AR32" s="4" t="n">
        <v>2100</v>
      </c>
      <c r="AS32" s="4" t="n">
        <v>28000</v>
      </c>
      <c r="AT32" s="12" t="n"/>
    </row>
    <row r="33" ht="10.5" customFormat="1" customHeight="1" s="6">
      <c r="A33" s="11" t="n">
        <v>32</v>
      </c>
      <c r="B33" s="4" t="inlineStr">
        <is>
          <t>MERCURY / VOYAGE 1</t>
        </is>
      </c>
      <c r="C33" s="4" t="inlineStr">
        <is>
          <t>REF000000</t>
        </is>
      </c>
      <c r="D33" s="7" t="n">
        <v>46095</v>
      </c>
      <c r="E33" s="4" t="n">
        <v>46104</v>
      </c>
      <c r="F33" s="4" t="inlineStr">
        <is>
          <t>RULED</t>
        </is>
      </c>
      <c r="G33" s="4" t="inlineStr">
        <is>
          <t>RULED</t>
        </is>
      </c>
      <c r="H33" s="4" t="inlineStr">
        <is>
          <t>USNYC</t>
        </is>
      </c>
      <c r="I33" s="4" t="inlineStr">
        <is>
          <t>USNYC</t>
        </is>
      </c>
      <c r="J33" s="4" t="n"/>
      <c r="K33" s="8" t="n"/>
      <c r="L33" s="4" t="inlineStr">
        <is>
          <t>WHALE REEFER</t>
        </is>
      </c>
      <c r="M33" s="4" t="inlineStr">
        <is>
          <t>WHALE REEFER</t>
        </is>
      </c>
      <c r="N33" s="9" t="n"/>
      <c r="O33" s="9" t="n"/>
      <c r="P33" s="4" t="inlineStr">
        <is>
          <t>WHALE REEFER</t>
        </is>
      </c>
      <c r="Q33" s="4" t="inlineStr">
        <is>
          <t>WHALE REEFER</t>
        </is>
      </c>
      <c r="R33" s="4" t="n"/>
      <c r="S33" s="4" t="n"/>
      <c r="T33" s="4" t="inlineStr">
        <is>
          <t>WHALE REEFER</t>
        </is>
      </c>
      <c r="U33" s="4" t="inlineStr">
        <is>
          <t>AV DAS ARAUCARIAS, 5266, ARAUCARIA / PR / UNITED STATES02.351.006/0026-97 MAYARA SOARES EMAIL: Fabricionettto@gmail.com PHONE: +55 41 98755-3777</t>
        </is>
      </c>
      <c r="V33" s="9" t="n">
        <v>21</v>
      </c>
      <c r="W33" s="9" t="n">
        <v>0</v>
      </c>
      <c r="X33" s="10" t="n">
        <v>315000</v>
      </c>
      <c r="Y33" s="10" t="n">
        <v>300000</v>
      </c>
      <c r="Z33" s="9" t="n">
        <v>300</v>
      </c>
      <c r="AA33" s="4" t="n"/>
      <c r="AB33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3" s="4" t="inlineStr">
        <is>
          <t>ANON0000000</t>
        </is>
      </c>
      <c r="AD33" s="4" t="inlineStr">
        <is>
          <t>DC20</t>
        </is>
      </c>
      <c r="AE33" s="4" t="n">
        <v>1284477</v>
      </c>
      <c r="AF33" s="4" t="n"/>
      <c r="AG33" s="4" t="inlineStr">
        <is>
          <t>FCL/FCL</t>
        </is>
      </c>
      <c r="AH33" s="4" t="inlineStr">
        <is>
          <t>GENERAL COMMODITY</t>
        </is>
      </c>
      <c r="AI33" s="10" t="n">
        <v>21000</v>
      </c>
      <c r="AJ33" s="9" t="n">
        <v>20</v>
      </c>
      <c r="AK33" s="4" t="inlineStr">
        <is>
          <t>BLO</t>
        </is>
      </c>
      <c r="AL33" s="4" t="n"/>
      <c r="AM33" s="4" t="n"/>
      <c r="AN33" s="4" t="n"/>
      <c r="AO33" s="4" t="n"/>
      <c r="AP33" s="4" t="n"/>
      <c r="AQ33" s="4" t="n"/>
      <c r="AR33" s="4" t="n">
        <v>2100</v>
      </c>
      <c r="AS33" s="4" t="n">
        <v>28000</v>
      </c>
      <c r="AT33" s="12" t="n"/>
    </row>
    <row r="34" ht="10.5" customFormat="1" customHeight="1" s="6">
      <c r="A34" s="11" t="n">
        <v>33</v>
      </c>
      <c r="B34" s="4" t="inlineStr">
        <is>
          <t>MERCURY / VOYAGE 1</t>
        </is>
      </c>
      <c r="C34" s="4" t="inlineStr">
        <is>
          <t>REF000000</t>
        </is>
      </c>
      <c r="D34" s="7" t="n">
        <v>46095</v>
      </c>
      <c r="E34" s="4" t="n">
        <v>46104</v>
      </c>
      <c r="F34" s="4" t="inlineStr">
        <is>
          <t>RULED</t>
        </is>
      </c>
      <c r="G34" s="4" t="inlineStr">
        <is>
          <t>RULED</t>
        </is>
      </c>
      <c r="H34" s="4" t="inlineStr">
        <is>
          <t>USNYC</t>
        </is>
      </c>
      <c r="I34" s="4" t="inlineStr">
        <is>
          <t>USNYC</t>
        </is>
      </c>
      <c r="J34" s="4" t="n"/>
      <c r="K34" s="8" t="n"/>
      <c r="L34" s="4" t="inlineStr">
        <is>
          <t>SEAL REEFER</t>
        </is>
      </c>
      <c r="M34" s="4" t="inlineStr">
        <is>
          <t>SEAL REEFER</t>
        </is>
      </c>
      <c r="N34" s="9" t="n"/>
      <c r="O34" s="9" t="n"/>
      <c r="P34" s="4" t="inlineStr">
        <is>
          <t>SEAL REEFER</t>
        </is>
      </c>
      <c r="Q34" s="4" t="inlineStr">
        <is>
          <t>SEAL REEFER</t>
        </is>
      </c>
      <c r="R34" s="4" t="n"/>
      <c r="S34" s="4" t="n"/>
      <c r="T34" s="4" t="inlineStr">
        <is>
          <t>SEAL REEFER</t>
        </is>
      </c>
      <c r="U34" s="4" t="inlineStr">
        <is>
          <t>AV DAS ARAUCARIAS, 5266, ARAUCARIA / PR / UNITED STATES02.351.006/0026-97 MAYARA SOARES EMAIL: Fabricionettto@gmail.com PHONE: +55 41 98755-3777</t>
        </is>
      </c>
      <c r="V34" s="9" t="n">
        <v>21</v>
      </c>
      <c r="W34" s="9" t="n">
        <v>0</v>
      </c>
      <c r="X34" s="10" t="n">
        <v>315000</v>
      </c>
      <c r="Y34" s="10" t="n">
        <v>300000</v>
      </c>
      <c r="Z34" s="9" t="n">
        <v>300</v>
      </c>
      <c r="AA34" s="4" t="n"/>
      <c r="AB34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4" s="4" t="inlineStr">
        <is>
          <t>ANON0000000</t>
        </is>
      </c>
      <c r="AD34" s="4" t="inlineStr">
        <is>
          <t>DC20</t>
        </is>
      </c>
      <c r="AE34" s="4" t="n">
        <v>1284475</v>
      </c>
      <c r="AF34" s="4" t="n"/>
      <c r="AG34" s="4" t="inlineStr">
        <is>
          <t>FCL/FCL</t>
        </is>
      </c>
      <c r="AH34" s="4" t="inlineStr">
        <is>
          <t>GENERAL COMMODITY</t>
        </is>
      </c>
      <c r="AI34" s="10" t="n">
        <v>21000</v>
      </c>
      <c r="AJ34" s="9" t="n">
        <v>20</v>
      </c>
      <c r="AK34" s="4" t="inlineStr">
        <is>
          <t>BLO</t>
        </is>
      </c>
      <c r="AL34" s="4" t="n"/>
      <c r="AM34" s="4" t="n"/>
      <c r="AN34" s="4" t="n"/>
      <c r="AO34" s="4" t="n"/>
      <c r="AP34" s="4" t="n"/>
      <c r="AQ34" s="4" t="n"/>
      <c r="AR34" s="4" t="n">
        <v>2260</v>
      </c>
      <c r="AS34" s="4" t="n">
        <v>28000</v>
      </c>
      <c r="AT34" s="12" t="n"/>
    </row>
    <row r="35" ht="10.5" customFormat="1" customHeight="1" s="6">
      <c r="A35" s="11" t="n">
        <v>34</v>
      </c>
      <c r="B35" s="4" t="inlineStr">
        <is>
          <t>MERCURY / VOYAGE 1</t>
        </is>
      </c>
      <c r="C35" s="4" t="inlineStr">
        <is>
          <t>REF000000</t>
        </is>
      </c>
      <c r="D35" s="7" t="n">
        <v>46095</v>
      </c>
      <c r="E35" s="4" t="n">
        <v>46104</v>
      </c>
      <c r="F35" s="4" t="inlineStr">
        <is>
          <t>RULED</t>
        </is>
      </c>
      <c r="G35" s="4" t="inlineStr">
        <is>
          <t>RULED</t>
        </is>
      </c>
      <c r="H35" s="4" t="inlineStr">
        <is>
          <t>USNYC</t>
        </is>
      </c>
      <c r="I35" s="4" t="inlineStr">
        <is>
          <t>USNYC</t>
        </is>
      </c>
      <c r="J35" s="4" t="n"/>
      <c r="K35" s="8" t="n"/>
      <c r="L35" s="4" t="inlineStr">
        <is>
          <t>SHARK REEFER</t>
        </is>
      </c>
      <c r="M35" s="4" t="inlineStr">
        <is>
          <t>SHARK REEFER</t>
        </is>
      </c>
      <c r="N35" s="9" t="n"/>
      <c r="O35" s="9" t="n"/>
      <c r="P35" s="4" t="inlineStr">
        <is>
          <t>SHARK REEFER</t>
        </is>
      </c>
      <c r="Q35" s="4" t="inlineStr">
        <is>
          <t>SHARK REEFER</t>
        </is>
      </c>
      <c r="R35" s="4" t="n"/>
      <c r="S35" s="4" t="n"/>
      <c r="T35" s="4" t="inlineStr">
        <is>
          <t>SHARK REEFER</t>
        </is>
      </c>
      <c r="U35" s="4" t="inlineStr">
        <is>
          <t>AV DAS ARAUCARIAS, 5266, ARAUCARIA / PR / UNITED STATES02.351.006/0026-97 MAYARA SOARES EMAIL: Fabricionettto@gmail.com PHONE: +55 41 98755-3777</t>
        </is>
      </c>
      <c r="V35" s="9" t="n">
        <v>21</v>
      </c>
      <c r="W35" s="9" t="n">
        <v>0</v>
      </c>
      <c r="X35" s="10" t="n">
        <v>315000</v>
      </c>
      <c r="Y35" s="10" t="n">
        <v>300000</v>
      </c>
      <c r="Z35" s="9" t="n">
        <v>300</v>
      </c>
      <c r="AA35" s="4" t="n"/>
      <c r="AB35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5" s="4" t="inlineStr">
        <is>
          <t>ANON0000000</t>
        </is>
      </c>
      <c r="AD35" s="4" t="inlineStr">
        <is>
          <t>DC20</t>
        </is>
      </c>
      <c r="AE35" s="4" t="n">
        <v>1284524</v>
      </c>
      <c r="AF35" s="4" t="n"/>
      <c r="AG35" s="4" t="inlineStr">
        <is>
          <t>FCL/FCL</t>
        </is>
      </c>
      <c r="AH35" s="4" t="inlineStr">
        <is>
          <t>GENERAL COMMODITY</t>
        </is>
      </c>
      <c r="AI35" s="10" t="n">
        <v>21000</v>
      </c>
      <c r="AJ35" s="9" t="n">
        <v>20</v>
      </c>
      <c r="AK35" s="4" t="inlineStr">
        <is>
          <t>BLO</t>
        </is>
      </c>
      <c r="AL35" s="4" t="n"/>
      <c r="AM35" s="4" t="n"/>
      <c r="AN35" s="4" t="n"/>
      <c r="AO35" s="4" t="n"/>
      <c r="AP35" s="4" t="n"/>
      <c r="AQ35" s="4" t="n"/>
      <c r="AR35" s="4" t="n">
        <v>2100</v>
      </c>
      <c r="AS35" s="4" t="n">
        <v>28000</v>
      </c>
      <c r="AT35" s="12" t="n"/>
    </row>
    <row r="36" ht="10.5" customFormat="1" customHeight="1" s="6">
      <c r="A36" s="11" t="n">
        <v>35</v>
      </c>
      <c r="B36" s="4" t="inlineStr">
        <is>
          <t>MERCURY / VOYAGE 1</t>
        </is>
      </c>
      <c r="C36" s="4" t="inlineStr">
        <is>
          <t>REF000000</t>
        </is>
      </c>
      <c r="D36" s="7" t="n">
        <v>46095</v>
      </c>
      <c r="E36" s="4" t="n">
        <v>46104</v>
      </c>
      <c r="F36" s="4" t="inlineStr">
        <is>
          <t>RULED</t>
        </is>
      </c>
      <c r="G36" s="4" t="inlineStr">
        <is>
          <t>RULED</t>
        </is>
      </c>
      <c r="H36" s="4" t="inlineStr">
        <is>
          <t>USNYC</t>
        </is>
      </c>
      <c r="I36" s="4" t="inlineStr">
        <is>
          <t>USNYC</t>
        </is>
      </c>
      <c r="J36" s="4" t="n"/>
      <c r="K36" s="8" t="n"/>
      <c r="L36" s="4" t="inlineStr">
        <is>
          <t>DOLPHIN REEFER</t>
        </is>
      </c>
      <c r="M36" s="4" t="inlineStr">
        <is>
          <t>DOLPHIN REEFER</t>
        </is>
      </c>
      <c r="N36" s="9" t="n"/>
      <c r="O36" s="9" t="n"/>
      <c r="P36" s="4" t="inlineStr">
        <is>
          <t>DOLPHIN REEFER</t>
        </is>
      </c>
      <c r="Q36" s="4" t="inlineStr">
        <is>
          <t>DOLPHIN REEFER</t>
        </is>
      </c>
      <c r="R36" s="4" t="n"/>
      <c r="S36" s="4" t="n"/>
      <c r="T36" s="4" t="inlineStr">
        <is>
          <t>DOLPHIN REEFER</t>
        </is>
      </c>
      <c r="U36" s="4" t="inlineStr">
        <is>
          <t>AV DAS ARAUCARIAS, 5266, ARAUCARIA / PR / UNITED STATES02.351.006/0026-97 MAYARA SOARES EMAIL: Fabricionettto@gmail.com PHONE: +55 41 98755-3777</t>
        </is>
      </c>
      <c r="V36" s="9" t="n">
        <v>21</v>
      </c>
      <c r="W36" s="9" t="n">
        <v>0</v>
      </c>
      <c r="X36" s="10" t="n">
        <v>315000</v>
      </c>
      <c r="Y36" s="10" t="n">
        <v>300000</v>
      </c>
      <c r="Z36" s="9" t="n">
        <v>300</v>
      </c>
      <c r="AA36" s="4" t="n"/>
      <c r="AB36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6" s="4" t="inlineStr">
        <is>
          <t>ANON0000000</t>
        </is>
      </c>
      <c r="AD36" s="4" t="inlineStr">
        <is>
          <t>DC20</t>
        </is>
      </c>
      <c r="AE36" s="4" t="n">
        <v>1284521</v>
      </c>
      <c r="AF36" s="4" t="n"/>
      <c r="AG36" s="4" t="inlineStr">
        <is>
          <t>FCL/FCL</t>
        </is>
      </c>
      <c r="AH36" s="4" t="inlineStr">
        <is>
          <t>GENERAL COMMODITY</t>
        </is>
      </c>
      <c r="AI36" s="10" t="n">
        <v>21000</v>
      </c>
      <c r="AJ36" s="9" t="n">
        <v>20</v>
      </c>
      <c r="AK36" s="4" t="inlineStr">
        <is>
          <t>BLO</t>
        </is>
      </c>
      <c r="AL36" s="4" t="n"/>
      <c r="AM36" s="4" t="n"/>
      <c r="AN36" s="4" t="n"/>
      <c r="AO36" s="4" t="n"/>
      <c r="AP36" s="4" t="n"/>
      <c r="AQ36" s="4" t="n"/>
      <c r="AR36" s="4" t="n">
        <v>2100</v>
      </c>
      <c r="AS36" s="4" t="n">
        <v>28000</v>
      </c>
      <c r="AT36" s="12" t="n"/>
    </row>
    <row r="37" ht="10.5" customFormat="1" customHeight="1" s="6">
      <c r="A37" s="11" t="n">
        <v>36</v>
      </c>
      <c r="B37" s="4" t="inlineStr">
        <is>
          <t>MERCURY / VOYAGE 1</t>
        </is>
      </c>
      <c r="C37" s="4" t="inlineStr">
        <is>
          <t>REF000000</t>
        </is>
      </c>
      <c r="D37" s="7" t="n">
        <v>46095</v>
      </c>
      <c r="E37" s="4" t="n">
        <v>46104</v>
      </c>
      <c r="F37" s="4" t="inlineStr">
        <is>
          <t>RULED</t>
        </is>
      </c>
      <c r="G37" s="4" t="inlineStr">
        <is>
          <t>RULED</t>
        </is>
      </c>
      <c r="H37" s="4" t="inlineStr">
        <is>
          <t>USNYC</t>
        </is>
      </c>
      <c r="I37" s="4" t="inlineStr">
        <is>
          <t>USNYC</t>
        </is>
      </c>
      <c r="J37" s="4" t="n"/>
      <c r="K37" s="8" t="n"/>
      <c r="L37" s="4" t="inlineStr">
        <is>
          <t>MARLIN REEFER</t>
        </is>
      </c>
      <c r="M37" s="4" t="inlineStr">
        <is>
          <t>MARLIN REEFER</t>
        </is>
      </c>
      <c r="N37" s="9" t="n"/>
      <c r="O37" s="9" t="n"/>
      <c r="P37" s="4" t="inlineStr">
        <is>
          <t>MARLIN REEFER</t>
        </is>
      </c>
      <c r="Q37" s="4" t="inlineStr">
        <is>
          <t>MARLIN REEFER</t>
        </is>
      </c>
      <c r="R37" s="4" t="n"/>
      <c r="S37" s="4" t="n"/>
      <c r="T37" s="4" t="inlineStr">
        <is>
          <t>MARLIN REEFER</t>
        </is>
      </c>
      <c r="U37" s="4" t="inlineStr">
        <is>
          <t>AV DAS ARAUCARIAS, 5266, ARAUCARIA / PR / UNITED STATES02.351.006/0026-97 MAYARA SOARES EMAIL: Fabricionettto@gmail.com PHONE: +55 41 98755-3777</t>
        </is>
      </c>
      <c r="V37" s="9" t="n">
        <v>21</v>
      </c>
      <c r="W37" s="9" t="n">
        <v>0</v>
      </c>
      <c r="X37" s="10" t="n">
        <v>315000</v>
      </c>
      <c r="Y37" s="10" t="n">
        <v>300000</v>
      </c>
      <c r="Z37" s="9" t="n">
        <v>300</v>
      </c>
      <c r="AA37" s="4" t="n"/>
      <c r="AB37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7" s="4" t="inlineStr">
        <is>
          <t>ANON0000000</t>
        </is>
      </c>
      <c r="AD37" s="4" t="inlineStr">
        <is>
          <t>DC20</t>
        </is>
      </c>
      <c r="AE37" s="4" t="n">
        <v>1284428</v>
      </c>
      <c r="AF37" s="4" t="n"/>
      <c r="AG37" s="4" t="inlineStr">
        <is>
          <t>FCL/FCL</t>
        </is>
      </c>
      <c r="AH37" s="4" t="inlineStr">
        <is>
          <t>GENERAL COMMODITY</t>
        </is>
      </c>
      <c r="AI37" s="10" t="n">
        <v>21000</v>
      </c>
      <c r="AJ37" s="9" t="n">
        <v>20</v>
      </c>
      <c r="AK37" s="4" t="inlineStr">
        <is>
          <t>BLO</t>
        </is>
      </c>
      <c r="AL37" s="4" t="n"/>
      <c r="AM37" s="4" t="n"/>
      <c r="AN37" s="4" t="n"/>
      <c r="AO37" s="4" t="n"/>
      <c r="AP37" s="4" t="n"/>
      <c r="AQ37" s="4" t="n"/>
      <c r="AR37" s="4" t="n">
        <v>2100</v>
      </c>
      <c r="AS37" s="4" t="n">
        <v>28000</v>
      </c>
      <c r="AT37" s="12" t="n"/>
    </row>
    <row r="38" ht="10.5" customFormat="1" customHeight="1" s="6">
      <c r="A38" s="11" t="n">
        <v>37</v>
      </c>
      <c r="B38" s="4" t="inlineStr">
        <is>
          <t>MERCURY / VOYAGE 1</t>
        </is>
      </c>
      <c r="C38" s="4" t="inlineStr">
        <is>
          <t>REF000000</t>
        </is>
      </c>
      <c r="D38" s="7" t="n">
        <v>46095</v>
      </c>
      <c r="E38" s="4" t="n">
        <v>46104</v>
      </c>
      <c r="F38" s="4" t="inlineStr">
        <is>
          <t>RULED</t>
        </is>
      </c>
      <c r="G38" s="4" t="inlineStr">
        <is>
          <t>RULED</t>
        </is>
      </c>
      <c r="H38" s="4" t="inlineStr">
        <is>
          <t>USNYC</t>
        </is>
      </c>
      <c r="I38" s="4" t="inlineStr">
        <is>
          <t>USNYC</t>
        </is>
      </c>
      <c r="J38" s="4" t="n"/>
      <c r="K38" s="8" t="n"/>
      <c r="L38" s="4" t="inlineStr">
        <is>
          <t>TURTLE REEFER</t>
        </is>
      </c>
      <c r="M38" s="4" t="inlineStr">
        <is>
          <t>TURTLE REEFER</t>
        </is>
      </c>
      <c r="N38" s="4" t="n"/>
      <c r="O38" s="4" t="n"/>
      <c r="P38" s="4" t="inlineStr">
        <is>
          <t>TURTLE REEFER</t>
        </is>
      </c>
      <c r="Q38" s="4" t="inlineStr">
        <is>
          <t>TURTLE REEFER</t>
        </is>
      </c>
      <c r="R38" s="4" t="n"/>
      <c r="S38" s="4" t="n"/>
      <c r="T38" s="4" t="inlineStr">
        <is>
          <t>TURTLE REEFER</t>
        </is>
      </c>
      <c r="U38" s="4" t="inlineStr">
        <is>
          <t>AV DAS ARAUCARIAS, 5266, ARAUCARIA / PR / UNITED STATES02.351.006/0026-97 MAYARA SOARES EMAIL: Fabricionettto@gmail.com PHONE: +55 41 98755-3777</t>
        </is>
      </c>
      <c r="V38" s="4" t="n">
        <v>21</v>
      </c>
      <c r="W38" s="4" t="n">
        <v>0</v>
      </c>
      <c r="X38" s="4" t="n">
        <v>315000</v>
      </c>
      <c r="Y38" s="4" t="n">
        <v>300000</v>
      </c>
      <c r="Z38" s="4" t="n">
        <v>300</v>
      </c>
      <c r="AA38" s="4" t="n"/>
      <c r="AB38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8" s="4" t="inlineStr">
        <is>
          <t>ANON0000000</t>
        </is>
      </c>
      <c r="AD38" s="4" t="inlineStr">
        <is>
          <t>DC20</t>
        </is>
      </c>
      <c r="AE38" s="4" t="n">
        <v>1284429</v>
      </c>
      <c r="AF38" s="4" t="n"/>
      <c r="AG38" s="4" t="inlineStr">
        <is>
          <t>FCL/FCL</t>
        </is>
      </c>
      <c r="AH38" s="4" t="inlineStr">
        <is>
          <t>GENERAL COMMODITY</t>
        </is>
      </c>
      <c r="AI38" s="4" t="n">
        <v>21000</v>
      </c>
      <c r="AJ38" s="4" t="n">
        <v>20</v>
      </c>
      <c r="AK38" s="4" t="inlineStr">
        <is>
          <t>BLO</t>
        </is>
      </c>
      <c r="AL38" s="4" t="n"/>
      <c r="AM38" s="4" t="n"/>
      <c r="AN38" s="4" t="n"/>
      <c r="AO38" s="4" t="n"/>
      <c r="AP38" s="4" t="n"/>
      <c r="AQ38" s="4" t="n"/>
      <c r="AR38" s="4" t="n">
        <v>2100</v>
      </c>
      <c r="AS38" s="4" t="n">
        <v>28000</v>
      </c>
      <c r="AT38" s="12" t="n"/>
    </row>
    <row r="39" ht="10.5" customFormat="1" customHeight="1" s="6">
      <c r="A39" s="11" t="n">
        <v>38</v>
      </c>
      <c r="B39" s="4" t="inlineStr">
        <is>
          <t>MERCURY / VOYAGE 1</t>
        </is>
      </c>
      <c r="C39" s="4" t="inlineStr">
        <is>
          <t>REF000000</t>
        </is>
      </c>
      <c r="D39" s="7" t="n">
        <v>46095</v>
      </c>
      <c r="E39" s="4" t="n">
        <v>46104</v>
      </c>
      <c r="F39" s="4" t="inlineStr">
        <is>
          <t>RULED</t>
        </is>
      </c>
      <c r="G39" s="4" t="inlineStr">
        <is>
          <t>RULED</t>
        </is>
      </c>
      <c r="H39" s="4" t="inlineStr">
        <is>
          <t>USNYC</t>
        </is>
      </c>
      <c r="I39" s="4" t="inlineStr">
        <is>
          <t>USNYC</t>
        </is>
      </c>
      <c r="J39" s="4" t="n"/>
      <c r="K39" s="8" t="n"/>
      <c r="L39" s="4" t="inlineStr">
        <is>
          <t>ORCA REEFER</t>
        </is>
      </c>
      <c r="M39" s="4" t="inlineStr">
        <is>
          <t>ORCA REEFER</t>
        </is>
      </c>
      <c r="N39" s="4" t="n"/>
      <c r="O39" s="4" t="n"/>
      <c r="P39" s="4" t="inlineStr">
        <is>
          <t>ORCA REEFER</t>
        </is>
      </c>
      <c r="Q39" s="4" t="inlineStr">
        <is>
          <t>ORCA REEFER</t>
        </is>
      </c>
      <c r="R39" s="4" t="n"/>
      <c r="S39" s="4" t="n"/>
      <c r="T39" s="4" t="inlineStr">
        <is>
          <t>ORCA REEFER</t>
        </is>
      </c>
      <c r="U39" s="4" t="inlineStr">
        <is>
          <t>AV DAS ARAUCARIAS, 5266, ARAUCARIA / PR / UNITED STATES02.351.006/0026-97 MAYARA SOARES EMAIL: Fabricionettto@gmail.com PHONE: +55 41 98755-3777</t>
        </is>
      </c>
      <c r="V39" s="4" t="n">
        <v>21</v>
      </c>
      <c r="W39" s="4" t="n">
        <v>0</v>
      </c>
      <c r="X39" s="4" t="n">
        <v>315000</v>
      </c>
      <c r="Y39" s="4" t="n">
        <v>300000</v>
      </c>
      <c r="Z39" s="4" t="n">
        <v>300</v>
      </c>
      <c r="AA39" s="4" t="n"/>
      <c r="AB39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39" s="4" t="inlineStr">
        <is>
          <t>ANON0000000</t>
        </is>
      </c>
      <c r="AD39" s="4" t="inlineStr">
        <is>
          <t>DC20</t>
        </is>
      </c>
      <c r="AE39" s="4" t="n">
        <v>1284480</v>
      </c>
      <c r="AF39" s="4" t="n"/>
      <c r="AG39" s="4" t="inlineStr">
        <is>
          <t>FCL/FCL</t>
        </is>
      </c>
      <c r="AH39" s="4" t="inlineStr">
        <is>
          <t>GENERAL COMMODITY</t>
        </is>
      </c>
      <c r="AI39" s="4" t="n">
        <v>21000</v>
      </c>
      <c r="AJ39" s="4" t="n">
        <v>20</v>
      </c>
      <c r="AK39" s="4" t="inlineStr">
        <is>
          <t>BLO</t>
        </is>
      </c>
      <c r="AL39" s="4" t="n"/>
      <c r="AM39" s="4" t="n"/>
      <c r="AN39" s="4" t="n"/>
      <c r="AO39" s="4" t="n"/>
      <c r="AP39" s="4" t="n"/>
      <c r="AQ39" s="4" t="n"/>
      <c r="AR39" s="4" t="n">
        <v>2100</v>
      </c>
      <c r="AS39" s="4" t="n">
        <v>28000</v>
      </c>
      <c r="AT39" s="12" t="n"/>
    </row>
    <row r="40" ht="10.5" customFormat="1" customHeight="1" s="6">
      <c r="A40" s="11" t="n">
        <v>39</v>
      </c>
      <c r="B40" s="4" t="inlineStr">
        <is>
          <t>MERCURY / VOYAGE 1</t>
        </is>
      </c>
      <c r="C40" s="4" t="inlineStr">
        <is>
          <t>REF000000</t>
        </is>
      </c>
      <c r="D40" s="7" t="n">
        <v>46095</v>
      </c>
      <c r="E40" s="4" t="n">
        <v>46104</v>
      </c>
      <c r="F40" s="4" t="inlineStr">
        <is>
          <t>RULED</t>
        </is>
      </c>
      <c r="G40" s="4" t="inlineStr">
        <is>
          <t>RULED</t>
        </is>
      </c>
      <c r="H40" s="4" t="inlineStr">
        <is>
          <t>USNYC</t>
        </is>
      </c>
      <c r="I40" s="4" t="inlineStr">
        <is>
          <t>USNYC</t>
        </is>
      </c>
      <c r="J40" s="4" t="n"/>
      <c r="K40" s="8" t="n"/>
      <c r="L40" s="4" t="inlineStr">
        <is>
          <t>WHALE REEFER</t>
        </is>
      </c>
      <c r="M40" s="4" t="inlineStr">
        <is>
          <t>WHALE REEFER</t>
        </is>
      </c>
      <c r="N40" s="4" t="n"/>
      <c r="O40" s="4" t="n"/>
      <c r="P40" s="4" t="inlineStr">
        <is>
          <t>WHALE REEFER</t>
        </is>
      </c>
      <c r="Q40" s="4" t="inlineStr">
        <is>
          <t>WHALE REEFER</t>
        </is>
      </c>
      <c r="R40" s="4" t="n"/>
      <c r="S40" s="4" t="n"/>
      <c r="T40" s="4" t="inlineStr">
        <is>
          <t>WHALE REEFER</t>
        </is>
      </c>
      <c r="U40" s="4" t="inlineStr">
        <is>
          <t>AV DAS ARAUCARIAS, 5266, ARAUCARIA / PR / UNITED STATES02.351.006/0026-97 MAYARA SOARES EMAIL: Fabricionettto@gmail.com PHONE: +55 41 98755-3777</t>
        </is>
      </c>
      <c r="V40" s="4" t="n">
        <v>21</v>
      </c>
      <c r="W40" s="4" t="n">
        <v>0</v>
      </c>
      <c r="X40" s="4" t="n">
        <v>315000</v>
      </c>
      <c r="Y40" s="4" t="n">
        <v>300000</v>
      </c>
      <c r="Z40" s="4" t="n">
        <v>300</v>
      </c>
      <c r="AA40" s="4" t="n"/>
      <c r="AB40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40" s="4" t="inlineStr">
        <is>
          <t>ANON0000000</t>
        </is>
      </c>
      <c r="AD40" s="4" t="inlineStr">
        <is>
          <t>DC20</t>
        </is>
      </c>
      <c r="AE40" s="4" t="n">
        <v>1284476</v>
      </c>
      <c r="AF40" s="4" t="n"/>
      <c r="AG40" s="4" t="inlineStr">
        <is>
          <t>FCL/FCL</t>
        </is>
      </c>
      <c r="AH40" s="4" t="inlineStr">
        <is>
          <t>GENERAL COMMODITY</t>
        </is>
      </c>
      <c r="AI40" s="4" t="n">
        <v>21000</v>
      </c>
      <c r="AJ40" s="4" t="n">
        <v>20</v>
      </c>
      <c r="AK40" s="4" t="inlineStr">
        <is>
          <t>BLO</t>
        </is>
      </c>
      <c r="AL40" s="4" t="n"/>
      <c r="AM40" s="4" t="n"/>
      <c r="AN40" s="4" t="n"/>
      <c r="AO40" s="4" t="n"/>
      <c r="AP40" s="4" t="n"/>
      <c r="AQ40" s="4" t="n"/>
      <c r="AR40" s="4" t="n">
        <v>2180</v>
      </c>
      <c r="AS40" s="4" t="n">
        <v>28000</v>
      </c>
      <c r="AT40" s="12" t="n"/>
    </row>
    <row r="41" ht="10.5" customFormat="1" customHeight="1" s="6">
      <c r="A41" s="11" t="n">
        <v>40</v>
      </c>
      <c r="B41" s="4" t="inlineStr">
        <is>
          <t>MERCURY / VOYAGE 1</t>
        </is>
      </c>
      <c r="C41" s="4" t="inlineStr">
        <is>
          <t>REF000000</t>
        </is>
      </c>
      <c r="D41" s="7" t="n">
        <v>46095</v>
      </c>
      <c r="E41" s="4" t="n">
        <v>46104</v>
      </c>
      <c r="F41" s="4" t="inlineStr">
        <is>
          <t>RULED</t>
        </is>
      </c>
      <c r="G41" s="4" t="inlineStr">
        <is>
          <t>RULED</t>
        </is>
      </c>
      <c r="H41" s="4" t="inlineStr">
        <is>
          <t>USNYC</t>
        </is>
      </c>
      <c r="I41" s="4" t="inlineStr">
        <is>
          <t>USNYC</t>
        </is>
      </c>
      <c r="J41" s="4" t="n"/>
      <c r="K41" s="8" t="n"/>
      <c r="L41" s="4" t="inlineStr">
        <is>
          <t>SEAL REEFER</t>
        </is>
      </c>
      <c r="M41" s="4" t="inlineStr">
        <is>
          <t>SEAL REEFER</t>
        </is>
      </c>
      <c r="N41" s="4" t="n"/>
      <c r="O41" s="4" t="n"/>
      <c r="P41" s="4" t="inlineStr">
        <is>
          <t>SEAL REEFER</t>
        </is>
      </c>
      <c r="Q41" s="4" t="inlineStr">
        <is>
          <t>SEAL REEFER</t>
        </is>
      </c>
      <c r="R41" s="4" t="n"/>
      <c r="S41" s="4" t="n"/>
      <c r="T41" s="4" t="inlineStr">
        <is>
          <t>SEAL REEFER</t>
        </is>
      </c>
      <c r="U41" s="4" t="inlineStr">
        <is>
          <t>AV DAS ARAUCARIAS, 5266, ARAUCARIA / PR / UNITED STATES02.351.006/0026-97 MAYARA SOARES EMAIL: Fabricionettto@gmail.com PHONE: +55 41 98755-3777</t>
        </is>
      </c>
      <c r="V41" s="4" t="n">
        <v>21</v>
      </c>
      <c r="W41" s="4" t="n">
        <v>0</v>
      </c>
      <c r="X41" s="4" t="n">
        <v>315000</v>
      </c>
      <c r="Y41" s="4" t="n">
        <v>300000</v>
      </c>
      <c r="Z41" s="4" t="n">
        <v>300</v>
      </c>
      <c r="AA41" s="4" t="n"/>
      <c r="AB41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41" s="4" t="inlineStr">
        <is>
          <t>ANON0000000</t>
        </is>
      </c>
      <c r="AD41" s="4" t="inlineStr">
        <is>
          <t>DC20</t>
        </is>
      </c>
      <c r="AE41" s="4" t="n">
        <v>1284430</v>
      </c>
      <c r="AF41" s="4" t="n"/>
      <c r="AG41" s="4" t="inlineStr">
        <is>
          <t>FCL/FCL</t>
        </is>
      </c>
      <c r="AH41" s="4" t="inlineStr">
        <is>
          <t>GENERAL COMMODITY</t>
        </is>
      </c>
      <c r="AI41" s="4" t="n">
        <v>21000</v>
      </c>
      <c r="AJ41" s="4" t="n">
        <v>20</v>
      </c>
      <c r="AK41" s="4" t="inlineStr">
        <is>
          <t>BLO</t>
        </is>
      </c>
      <c r="AL41" s="4" t="n"/>
      <c r="AM41" s="4" t="n"/>
      <c r="AN41" s="4" t="n"/>
      <c r="AO41" s="4" t="n"/>
      <c r="AP41" s="4" t="n"/>
      <c r="AQ41" s="4" t="n"/>
      <c r="AR41" s="4" t="n">
        <v>2180</v>
      </c>
      <c r="AS41" s="4" t="n">
        <v>28000</v>
      </c>
      <c r="AT41" s="12" t="n"/>
    </row>
    <row r="42" ht="10.5" customFormat="1" customHeight="1" s="6">
      <c r="A42" s="11" t="n">
        <v>41</v>
      </c>
      <c r="B42" s="4" t="inlineStr">
        <is>
          <t>MERCURY / VOYAGE 1</t>
        </is>
      </c>
      <c r="C42" s="4" t="inlineStr">
        <is>
          <t>REF000000</t>
        </is>
      </c>
      <c r="D42" s="7" t="n">
        <v>46095</v>
      </c>
      <c r="E42" s="4" t="n">
        <v>46104</v>
      </c>
      <c r="F42" s="4" t="inlineStr">
        <is>
          <t>RULED</t>
        </is>
      </c>
      <c r="G42" s="4" t="inlineStr">
        <is>
          <t>RULED</t>
        </is>
      </c>
      <c r="H42" s="4" t="inlineStr">
        <is>
          <t>USNYC</t>
        </is>
      </c>
      <c r="I42" s="4" t="inlineStr">
        <is>
          <t>USNYC</t>
        </is>
      </c>
      <c r="J42" s="4" t="n"/>
      <c r="K42" s="8" t="n"/>
      <c r="L42" s="4" t="inlineStr">
        <is>
          <t>SHARK REEFER</t>
        </is>
      </c>
      <c r="M42" s="4" t="inlineStr">
        <is>
          <t>SHARK REEFER</t>
        </is>
      </c>
      <c r="N42" s="4" t="n"/>
      <c r="O42" s="4" t="n"/>
      <c r="P42" s="4" t="inlineStr">
        <is>
          <t>SHARK REEFER</t>
        </is>
      </c>
      <c r="Q42" s="4" t="inlineStr">
        <is>
          <t>SHARK REEFER</t>
        </is>
      </c>
      <c r="R42" s="4" t="n"/>
      <c r="S42" s="4" t="n"/>
      <c r="T42" s="4" t="inlineStr">
        <is>
          <t>SHARK REEFER</t>
        </is>
      </c>
      <c r="U42" s="4" t="inlineStr">
        <is>
          <t>AV DAS ARAUCARIAS, 5266, ARAUCARIA / PR / UNITED STATES02.351.006/0026-97 MAYARA SOARES EMAIL: Fabricionettto@gmail.com PHONE: +55 41 98755-3777</t>
        </is>
      </c>
      <c r="V42" s="4" t="n">
        <v>21</v>
      </c>
      <c r="W42" s="4" t="n">
        <v>0</v>
      </c>
      <c r="X42" s="4" t="n">
        <v>315000</v>
      </c>
      <c r="Y42" s="4" t="n">
        <v>300000</v>
      </c>
      <c r="Z42" s="4" t="n">
        <v>300</v>
      </c>
      <c r="AA42" s="4" t="n"/>
      <c r="AB42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42" s="4" t="inlineStr">
        <is>
          <t>ANON0000000</t>
        </is>
      </c>
      <c r="AD42" s="4" t="inlineStr">
        <is>
          <t>DC20</t>
        </is>
      </c>
      <c r="AE42" s="4" t="n">
        <v>1284472</v>
      </c>
      <c r="AF42" s="4" t="n"/>
      <c r="AG42" s="4" t="inlineStr">
        <is>
          <t>FCL/FCL</t>
        </is>
      </c>
      <c r="AH42" s="4" t="inlineStr">
        <is>
          <t>GENERAL COMMODITY</t>
        </is>
      </c>
      <c r="AI42" s="4" t="n">
        <v>21000</v>
      </c>
      <c r="AJ42" s="4" t="n">
        <v>20</v>
      </c>
      <c r="AK42" s="4" t="inlineStr">
        <is>
          <t>BLO</t>
        </is>
      </c>
      <c r="AL42" s="4" t="n"/>
      <c r="AM42" s="4" t="n"/>
      <c r="AN42" s="4" t="n"/>
      <c r="AO42" s="4" t="n"/>
      <c r="AP42" s="4" t="n"/>
      <c r="AQ42" s="4" t="n"/>
      <c r="AR42" s="4" t="n">
        <v>2100</v>
      </c>
      <c r="AS42" s="4" t="n">
        <v>28000</v>
      </c>
      <c r="AT42" s="12" t="n"/>
    </row>
    <row r="43" ht="10.5" customFormat="1" customHeight="1" s="6">
      <c r="A43" s="11" t="n">
        <v>42</v>
      </c>
      <c r="B43" s="4" t="inlineStr">
        <is>
          <t>MERCURY / VOYAGE 1</t>
        </is>
      </c>
      <c r="C43" s="4" t="inlineStr">
        <is>
          <t>REF000000</t>
        </is>
      </c>
      <c r="D43" s="7" t="n">
        <v>46095</v>
      </c>
      <c r="E43" s="4" t="n">
        <v>46104</v>
      </c>
      <c r="F43" s="4" t="inlineStr">
        <is>
          <t>RULED</t>
        </is>
      </c>
      <c r="G43" s="4" t="inlineStr">
        <is>
          <t>RULED</t>
        </is>
      </c>
      <c r="H43" s="4" t="inlineStr">
        <is>
          <t>USNYC</t>
        </is>
      </c>
      <c r="I43" s="4" t="inlineStr">
        <is>
          <t>USNYC</t>
        </is>
      </c>
      <c r="J43" s="4" t="n"/>
      <c r="K43" s="8" t="n"/>
      <c r="L43" s="4" t="inlineStr">
        <is>
          <t>DOLPHIN REEFER</t>
        </is>
      </c>
      <c r="M43" s="4" t="inlineStr">
        <is>
          <t>DOLPHIN REEFER</t>
        </is>
      </c>
      <c r="N43" s="4" t="n"/>
      <c r="O43" s="4" t="n"/>
      <c r="P43" s="4" t="inlineStr">
        <is>
          <t>DOLPHIN REEFER</t>
        </is>
      </c>
      <c r="Q43" s="4" t="inlineStr">
        <is>
          <t>DOLPHIN REEFER</t>
        </is>
      </c>
      <c r="R43" s="4" t="n"/>
      <c r="S43" s="4" t="n"/>
      <c r="T43" s="4" t="inlineStr">
        <is>
          <t>DOLPHIN REEFER</t>
        </is>
      </c>
      <c r="U43" s="4" t="inlineStr">
        <is>
          <t>AV DAS ARAUCARIAS, 5266, ARAUCARIA / PR / UNITED STATES02.351.006/0026-97 MAYARA SOARES EMAIL: Fabricionettto@gmail.com PHONE: +55 41 98755-3777</t>
        </is>
      </c>
      <c r="V43" s="4" t="n">
        <v>21</v>
      </c>
      <c r="W43" s="4" t="n">
        <v>0</v>
      </c>
      <c r="X43" s="4" t="n">
        <v>315000</v>
      </c>
      <c r="Y43" s="4" t="n">
        <v>300000</v>
      </c>
      <c r="Z43" s="4" t="n">
        <v>300</v>
      </c>
      <c r="AA43" s="4" t="n"/>
      <c r="AB43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43" s="4" t="inlineStr">
        <is>
          <t>ANON0000000</t>
        </is>
      </c>
      <c r="AD43" s="4" t="inlineStr">
        <is>
          <t>DC20</t>
        </is>
      </c>
      <c r="AE43" s="4" t="n">
        <v>1284522</v>
      </c>
      <c r="AF43" s="4" t="n"/>
      <c r="AG43" s="4" t="inlineStr">
        <is>
          <t>FCL/FCL</t>
        </is>
      </c>
      <c r="AH43" s="4" t="inlineStr">
        <is>
          <t>GENERAL COMMODITY</t>
        </is>
      </c>
      <c r="AI43" s="4" t="n">
        <v>21000</v>
      </c>
      <c r="AJ43" s="4" t="n">
        <v>20</v>
      </c>
      <c r="AK43" s="4" t="inlineStr">
        <is>
          <t>BLO</t>
        </is>
      </c>
      <c r="AL43" s="4" t="n"/>
      <c r="AM43" s="4" t="n"/>
      <c r="AN43" s="4" t="n"/>
      <c r="AO43" s="4" t="n"/>
      <c r="AP43" s="4" t="n"/>
      <c r="AQ43" s="4" t="n"/>
      <c r="AR43" s="4" t="n">
        <v>2100</v>
      </c>
      <c r="AS43" s="4" t="n">
        <v>28000</v>
      </c>
      <c r="AT43" s="12" t="n"/>
    </row>
    <row r="44" ht="10.5" customFormat="1" customHeight="1" s="6">
      <c r="A44" s="11" t="n">
        <v>43</v>
      </c>
      <c r="B44" s="4" t="inlineStr">
        <is>
          <t>MERCURY / VOYAGE 1</t>
        </is>
      </c>
      <c r="C44" s="4" t="inlineStr">
        <is>
          <t>REF000000</t>
        </is>
      </c>
      <c r="D44" s="7" t="n">
        <v>46095</v>
      </c>
      <c r="E44" s="4" t="n">
        <v>46104</v>
      </c>
      <c r="F44" s="4" t="inlineStr">
        <is>
          <t>RULED</t>
        </is>
      </c>
      <c r="G44" s="4" t="inlineStr">
        <is>
          <t>RULED</t>
        </is>
      </c>
      <c r="H44" s="4" t="inlineStr">
        <is>
          <t>USNYC</t>
        </is>
      </c>
      <c r="I44" s="4" t="inlineStr">
        <is>
          <t>USNYC</t>
        </is>
      </c>
      <c r="J44" s="4" t="n"/>
      <c r="K44" s="8" t="n"/>
      <c r="L44" s="4" t="inlineStr">
        <is>
          <t>MARLIN REEFER</t>
        </is>
      </c>
      <c r="M44" s="4" t="inlineStr">
        <is>
          <t>MARLIN REEFER</t>
        </is>
      </c>
      <c r="N44" s="4" t="n"/>
      <c r="O44" s="4" t="n"/>
      <c r="P44" s="4" t="inlineStr">
        <is>
          <t>MARLIN REEFER</t>
        </is>
      </c>
      <c r="Q44" s="4" t="inlineStr">
        <is>
          <t>MARLIN REEFER</t>
        </is>
      </c>
      <c r="R44" s="4" t="n"/>
      <c r="S44" s="4" t="n"/>
      <c r="T44" s="4" t="inlineStr">
        <is>
          <t>MARLIN REEFER</t>
        </is>
      </c>
      <c r="U44" s="4" t="inlineStr">
        <is>
          <t>AV DAS ARAUCARIAS, 5266, ARAUCARIA / PR / UNITED STATES02.351.006/0026-97 MAYARA SOARES EMAIL: Fabricionettto@gmail.com PHONE: +55 41 98755-3777</t>
        </is>
      </c>
      <c r="V44" s="4" t="n">
        <v>21</v>
      </c>
      <c r="W44" s="4" t="n">
        <v>0</v>
      </c>
      <c r="X44" s="4" t="n">
        <v>315000</v>
      </c>
      <c r="Y44" s="4" t="n">
        <v>300000</v>
      </c>
      <c r="Z44" s="4" t="n">
        <v>300</v>
      </c>
      <c r="AA44" s="4" t="n"/>
      <c r="AB44" s="4" t="inlineStr">
        <is>
          <t>SAID TO CONTAIN / WEIGH &amp; MEASURE 15 x 20 DC containers said to contain 300 bitublock(s) of polymer modified bitumen 50/70 NCM Code 2713.20.00 Net weight: 300,00 MTS, Gross weight: 315,00 MTS WOODEN PACKAGING - TREATED AND CERTIFIED</t>
        </is>
      </c>
      <c r="AC44" s="4" t="inlineStr">
        <is>
          <t>ANON0000000</t>
        </is>
      </c>
      <c r="AD44" s="4" t="inlineStr">
        <is>
          <t>DC20</t>
        </is>
      </c>
      <c r="AE44" s="4" t="n">
        <v>1284523</v>
      </c>
      <c r="AF44" s="4" t="n"/>
      <c r="AG44" s="4" t="inlineStr">
        <is>
          <t>FCL/FCL</t>
        </is>
      </c>
      <c r="AH44" s="4" t="inlineStr">
        <is>
          <t>GENERAL COMMODITY</t>
        </is>
      </c>
      <c r="AI44" s="4" t="n">
        <v>21000</v>
      </c>
      <c r="AJ44" s="4" t="n">
        <v>20</v>
      </c>
      <c r="AK44" s="4" t="inlineStr">
        <is>
          <t>BLO</t>
        </is>
      </c>
      <c r="AL44" s="4" t="n"/>
      <c r="AM44" s="4" t="n"/>
      <c r="AN44" s="4" t="n"/>
      <c r="AO44" s="4" t="n"/>
      <c r="AP44" s="4" t="n"/>
      <c r="AQ44" s="4" t="n"/>
      <c r="AR44" s="4" t="n">
        <v>2100</v>
      </c>
      <c r="AS44" s="4" t="n">
        <v>28000</v>
      </c>
      <c r="AT44" s="12" t="n"/>
    </row>
    <row r="45" ht="10.5" customFormat="1" customHeight="1" s="6">
      <c r="A45" s="11" t="n">
        <v>44</v>
      </c>
      <c r="B45" s="4" t="inlineStr">
        <is>
          <t>MERCURY / VOYAGE 1</t>
        </is>
      </c>
      <c r="C45" s="4" t="inlineStr">
        <is>
          <t>REF000000</t>
        </is>
      </c>
      <c r="D45" s="7" t="n">
        <v>46095</v>
      </c>
      <c r="E45" s="4" t="n">
        <v>46104</v>
      </c>
      <c r="F45" s="4" t="inlineStr">
        <is>
          <t>RULED</t>
        </is>
      </c>
      <c r="G45" s="4" t="inlineStr">
        <is>
          <t>RULED</t>
        </is>
      </c>
      <c r="H45" s="4" t="inlineStr">
        <is>
          <t>USNYC</t>
        </is>
      </c>
      <c r="I45" s="4" t="inlineStr">
        <is>
          <t>USNYC</t>
        </is>
      </c>
      <c r="J45" s="4" t="n"/>
      <c r="K45" s="8" t="n"/>
      <c r="L45" s="4" t="inlineStr">
        <is>
          <t>TURTLE REEFER</t>
        </is>
      </c>
      <c r="M45" s="4" t="inlineStr">
        <is>
          <t>TURTLE REEFER</t>
        </is>
      </c>
      <c r="N45" s="4" t="n"/>
      <c r="O45" s="4" t="n"/>
      <c r="P45" s="4" t="inlineStr">
        <is>
          <t>TURTLE REEFER</t>
        </is>
      </c>
      <c r="Q45" s="4" t="inlineStr">
        <is>
          <t>TURTLE REEFER</t>
        </is>
      </c>
      <c r="R45" s="4" t="n"/>
      <c r="S45" s="4" t="n"/>
      <c r="T45" s="4" t="inlineStr">
        <is>
          <t>TURTLE REEFER</t>
        </is>
      </c>
      <c r="U45" s="4" t="inlineStr">
        <is>
          <t>AV DAS ARAUCARIAS, 5266, ARAUCARIA / PR / UNITED STATES02.351.006/0026-97 MAYARA SOARES EMAIL: Fabricionettto@gmail.com PHONE: +55 41 98755-3777</t>
        </is>
      </c>
      <c r="V45" s="4" t="n">
        <v>21</v>
      </c>
      <c r="W45" s="4" t="n">
        <v>0</v>
      </c>
      <c r="X45" s="4" t="n">
        <v>210000</v>
      </c>
      <c r="Y45" s="4" t="n">
        <v>200000</v>
      </c>
      <c r="Z45" s="4" t="n">
        <v>200</v>
      </c>
      <c r="AA45" s="4" t="n"/>
      <c r="AB45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45" s="4" t="inlineStr">
        <is>
          <t>ANON0000000</t>
        </is>
      </c>
      <c r="AD45" s="4" t="inlineStr">
        <is>
          <t>DC20</t>
        </is>
      </c>
      <c r="AE45" s="4" t="n">
        <v>1284417</v>
      </c>
      <c r="AF45" s="4" t="n"/>
      <c r="AG45" s="4" t="inlineStr">
        <is>
          <t>FCL/FCL</t>
        </is>
      </c>
      <c r="AH45" s="4" t="inlineStr">
        <is>
          <t>GENERAL COMMODITY</t>
        </is>
      </c>
      <c r="AI45" s="4" t="n">
        <v>21000</v>
      </c>
      <c r="AJ45" s="4" t="n">
        <v>20</v>
      </c>
      <c r="AK45" s="4" t="inlineStr">
        <is>
          <t>BLO</t>
        </is>
      </c>
      <c r="AL45" s="4" t="n"/>
      <c r="AM45" s="4" t="n"/>
      <c r="AN45" s="4" t="n"/>
      <c r="AO45" s="4" t="n"/>
      <c r="AP45" s="4" t="n"/>
      <c r="AQ45" s="4" t="n"/>
      <c r="AR45" s="4" t="n">
        <v>2260</v>
      </c>
      <c r="AS45" s="4" t="n">
        <v>28000</v>
      </c>
      <c r="AT45" s="12" t="n"/>
    </row>
    <row r="46" ht="10.5" customFormat="1" customHeight="1" s="6">
      <c r="A46" s="11" t="n">
        <v>45</v>
      </c>
      <c r="B46" s="4" t="inlineStr">
        <is>
          <t>MERCURY / VOYAGE 1</t>
        </is>
      </c>
      <c r="C46" s="4" t="inlineStr">
        <is>
          <t>REF000000</t>
        </is>
      </c>
      <c r="D46" s="7" t="n">
        <v>46095</v>
      </c>
      <c r="E46" s="4" t="n">
        <v>46104</v>
      </c>
      <c r="F46" s="4" t="inlineStr">
        <is>
          <t>RULED</t>
        </is>
      </c>
      <c r="G46" s="4" t="inlineStr">
        <is>
          <t>RULED</t>
        </is>
      </c>
      <c r="H46" s="4" t="inlineStr">
        <is>
          <t>USNYC</t>
        </is>
      </c>
      <c r="I46" s="4" t="inlineStr">
        <is>
          <t>USNYC</t>
        </is>
      </c>
      <c r="J46" s="4" t="n"/>
      <c r="K46" s="8" t="n"/>
      <c r="L46" s="4" t="inlineStr">
        <is>
          <t>ORCA REEFER</t>
        </is>
      </c>
      <c r="M46" s="4" t="inlineStr">
        <is>
          <t>ORCA REEFER</t>
        </is>
      </c>
      <c r="N46" s="4" t="n"/>
      <c r="O46" s="4" t="n"/>
      <c r="P46" s="4" t="inlineStr">
        <is>
          <t>ORCA REEFER</t>
        </is>
      </c>
      <c r="Q46" s="4" t="inlineStr">
        <is>
          <t>ORCA REEFER</t>
        </is>
      </c>
      <c r="R46" s="4" t="n"/>
      <c r="S46" s="4" t="n"/>
      <c r="T46" s="4" t="inlineStr">
        <is>
          <t>ORCA REEFER</t>
        </is>
      </c>
      <c r="U46" s="4" t="inlineStr">
        <is>
          <t>AV DAS ARAUCARIAS, 5266, ARAUCARIA / PR / UNITED STATES02.351.006/0026-97 MAYARA SOARES EMAIL: Fabricionettto@gmail.com PHONE: +55 41 98755-3777</t>
        </is>
      </c>
      <c r="V46" s="4" t="n">
        <v>21</v>
      </c>
      <c r="W46" s="4" t="n">
        <v>0</v>
      </c>
      <c r="X46" s="4" t="n">
        <v>210000</v>
      </c>
      <c r="Y46" s="4" t="n">
        <v>200000</v>
      </c>
      <c r="Z46" s="4" t="n">
        <v>200</v>
      </c>
      <c r="AA46" s="4" t="n"/>
      <c r="AB46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46" s="4" t="inlineStr">
        <is>
          <t>ANON0000000</t>
        </is>
      </c>
      <c r="AD46" s="4" t="inlineStr">
        <is>
          <t>DC20</t>
        </is>
      </c>
      <c r="AE46" s="4" t="n">
        <v>1145183</v>
      </c>
      <c r="AF46" s="4" t="n"/>
      <c r="AG46" s="4" t="inlineStr">
        <is>
          <t>FCL/FCL</t>
        </is>
      </c>
      <c r="AH46" s="4" t="inlineStr">
        <is>
          <t>GENERAL COMMODITY</t>
        </is>
      </c>
      <c r="AI46" s="4" t="n">
        <v>21000</v>
      </c>
      <c r="AJ46" s="4" t="n">
        <v>20</v>
      </c>
      <c r="AK46" s="4" t="inlineStr">
        <is>
          <t>BLO</t>
        </is>
      </c>
      <c r="AL46" s="4" t="n"/>
      <c r="AM46" s="4" t="n"/>
      <c r="AN46" s="4" t="n"/>
      <c r="AO46" s="4" t="n"/>
      <c r="AP46" s="4" t="n"/>
      <c r="AQ46" s="4" t="n"/>
      <c r="AR46" s="4" t="n">
        <v>2230</v>
      </c>
      <c r="AS46" s="4" t="n">
        <v>28000</v>
      </c>
      <c r="AT46" s="12" t="n"/>
    </row>
    <row r="47" ht="10.5" customFormat="1" customHeight="1" s="6">
      <c r="A47" s="11" t="n">
        <v>46</v>
      </c>
      <c r="B47" s="4" t="inlineStr">
        <is>
          <t>MERCURY / VOYAGE 1</t>
        </is>
      </c>
      <c r="C47" s="4" t="inlineStr">
        <is>
          <t>REF000000</t>
        </is>
      </c>
      <c r="D47" s="7" t="n">
        <v>46095</v>
      </c>
      <c r="E47" s="4" t="n">
        <v>46104</v>
      </c>
      <c r="F47" s="4" t="inlineStr">
        <is>
          <t>RULED</t>
        </is>
      </c>
      <c r="G47" s="4" t="inlineStr">
        <is>
          <t>RULED</t>
        </is>
      </c>
      <c r="H47" s="4" t="inlineStr">
        <is>
          <t>USNYC</t>
        </is>
      </c>
      <c r="I47" s="4" t="inlineStr">
        <is>
          <t>USNYC</t>
        </is>
      </c>
      <c r="J47" s="4" t="n"/>
      <c r="K47" s="8" t="n"/>
      <c r="L47" s="4" t="inlineStr">
        <is>
          <t>WHALE REEFER</t>
        </is>
      </c>
      <c r="M47" s="4" t="inlineStr">
        <is>
          <t>WHALE REEFER</t>
        </is>
      </c>
      <c r="N47" s="4" t="n"/>
      <c r="O47" s="4" t="n"/>
      <c r="P47" s="4" t="inlineStr">
        <is>
          <t>WHALE REEFER</t>
        </is>
      </c>
      <c r="Q47" s="4" t="inlineStr">
        <is>
          <t>WHALE REEFER</t>
        </is>
      </c>
      <c r="R47" s="4" t="n"/>
      <c r="S47" s="4" t="n"/>
      <c r="T47" s="4" t="inlineStr">
        <is>
          <t>WHALE REEFER</t>
        </is>
      </c>
      <c r="U47" s="4" t="inlineStr">
        <is>
          <t>AV DAS ARAUCARIAS, 5266, ARAUCARIA / PR / UNITED STATES02.351.006/0026-97 MAYARA SOARES EMAIL: Fabricionettto@gmail.com PHONE: +55 41 98755-3777</t>
        </is>
      </c>
      <c r="V47" s="4" t="n">
        <v>21</v>
      </c>
      <c r="W47" s="4" t="n">
        <v>0</v>
      </c>
      <c r="X47" s="4" t="n">
        <v>210000</v>
      </c>
      <c r="Y47" s="4" t="n">
        <v>200000</v>
      </c>
      <c r="Z47" s="4" t="n">
        <v>200</v>
      </c>
      <c r="AA47" s="4" t="n"/>
      <c r="AB47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47" s="4" t="inlineStr">
        <is>
          <t>ANON0000000</t>
        </is>
      </c>
      <c r="AD47" s="4" t="inlineStr">
        <is>
          <t>DC20</t>
        </is>
      </c>
      <c r="AE47" s="4" t="n">
        <v>1284413</v>
      </c>
      <c r="AF47" s="4" t="n"/>
      <c r="AG47" s="4" t="inlineStr">
        <is>
          <t>FCL/FCL</t>
        </is>
      </c>
      <c r="AH47" s="4" t="inlineStr">
        <is>
          <t>GENERAL COMMODITY</t>
        </is>
      </c>
      <c r="AI47" s="4" t="n">
        <v>21000</v>
      </c>
      <c r="AJ47" s="4" t="n">
        <v>20</v>
      </c>
      <c r="AK47" s="4" t="inlineStr">
        <is>
          <t>BLO</t>
        </is>
      </c>
      <c r="AL47" s="4" t="n"/>
      <c r="AM47" s="4" t="n"/>
      <c r="AN47" s="4" t="n"/>
      <c r="AO47" s="4" t="n"/>
      <c r="AP47" s="4" t="n"/>
      <c r="AQ47" s="4" t="n"/>
      <c r="AR47" s="4" t="n">
        <v>2320</v>
      </c>
      <c r="AS47" s="4" t="n">
        <v>28000</v>
      </c>
      <c r="AT47" s="12" t="n"/>
    </row>
    <row r="48" ht="10.5" customFormat="1" customHeight="1" s="6">
      <c r="A48" s="11" t="n">
        <v>47</v>
      </c>
      <c r="B48" s="4" t="inlineStr">
        <is>
          <t>MERCURY / VOYAGE 1</t>
        </is>
      </c>
      <c r="C48" s="4" t="inlineStr">
        <is>
          <t>REF000000</t>
        </is>
      </c>
      <c r="D48" s="7" t="n">
        <v>46095</v>
      </c>
      <c r="E48" s="4" t="n">
        <v>46104</v>
      </c>
      <c r="F48" s="4" t="inlineStr">
        <is>
          <t>RULED</t>
        </is>
      </c>
      <c r="G48" s="4" t="inlineStr">
        <is>
          <t>RULED</t>
        </is>
      </c>
      <c r="H48" s="4" t="inlineStr">
        <is>
          <t>USNYC</t>
        </is>
      </c>
      <c r="I48" s="4" t="inlineStr">
        <is>
          <t>USNYC</t>
        </is>
      </c>
      <c r="J48" s="4" t="n"/>
      <c r="K48" s="8" t="n"/>
      <c r="L48" s="4" t="inlineStr">
        <is>
          <t>SEAL REEFER</t>
        </is>
      </c>
      <c r="M48" s="4" t="inlineStr">
        <is>
          <t>SEAL REEFER</t>
        </is>
      </c>
      <c r="N48" s="4" t="n"/>
      <c r="O48" s="4" t="n"/>
      <c r="P48" s="4" t="inlineStr">
        <is>
          <t>SEAL REEFER</t>
        </is>
      </c>
      <c r="Q48" s="4" t="inlineStr">
        <is>
          <t>SEAL REEFER</t>
        </is>
      </c>
      <c r="R48" s="4" t="n"/>
      <c r="S48" s="4" t="n"/>
      <c r="T48" s="4" t="inlineStr">
        <is>
          <t>SEAL REEFER</t>
        </is>
      </c>
      <c r="U48" s="4" t="inlineStr">
        <is>
          <t>AV DAS ARAUCARIAS, 5266, ARAUCARIA / PR / UNITED STATES02.351.006/0026-97 MAYARA SOARES EMAIL: Fabricionettto@gmail.com PHONE: +55 41 98755-3777</t>
        </is>
      </c>
      <c r="V48" s="4" t="n">
        <v>21</v>
      </c>
      <c r="W48" s="4" t="n">
        <v>0</v>
      </c>
      <c r="X48" s="4" t="n">
        <v>210000</v>
      </c>
      <c r="Y48" s="4" t="n">
        <v>200000</v>
      </c>
      <c r="Z48" s="4" t="n">
        <v>200</v>
      </c>
      <c r="AA48" s="4" t="n"/>
      <c r="AB48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48" s="4" t="inlineStr">
        <is>
          <t>ANON0000000</t>
        </is>
      </c>
      <c r="AD48" s="4" t="inlineStr">
        <is>
          <t>DC20</t>
        </is>
      </c>
      <c r="AE48" s="4" t="n">
        <v>1284415</v>
      </c>
      <c r="AF48" s="4" t="n"/>
      <c r="AG48" s="4" t="inlineStr">
        <is>
          <t>FCL/FCL</t>
        </is>
      </c>
      <c r="AH48" s="4" t="inlineStr">
        <is>
          <t>GENERAL COMMODITY</t>
        </is>
      </c>
      <c r="AI48" s="4" t="n">
        <v>21000</v>
      </c>
      <c r="AJ48" s="4" t="n">
        <v>20</v>
      </c>
      <c r="AK48" s="4" t="inlineStr">
        <is>
          <t>BLO</t>
        </is>
      </c>
      <c r="AL48" s="4" t="n"/>
      <c r="AM48" s="4" t="n"/>
      <c r="AN48" s="4" t="n"/>
      <c r="AO48" s="4" t="n"/>
      <c r="AP48" s="4" t="n"/>
      <c r="AQ48" s="4" t="n"/>
      <c r="AR48" s="4" t="n">
        <v>2260</v>
      </c>
      <c r="AS48" s="4" t="n">
        <v>28000</v>
      </c>
      <c r="AT48" s="12" t="n"/>
    </row>
    <row r="49" ht="10.5" customFormat="1" customHeight="1" s="6">
      <c r="A49" s="11" t="n">
        <v>48</v>
      </c>
      <c r="B49" s="4" t="inlineStr">
        <is>
          <t>MERCURY / VOYAGE 1</t>
        </is>
      </c>
      <c r="C49" s="4" t="inlineStr">
        <is>
          <t>REF000000</t>
        </is>
      </c>
      <c r="D49" s="7" t="n">
        <v>46095</v>
      </c>
      <c r="E49" s="4" t="n">
        <v>46104</v>
      </c>
      <c r="F49" s="4" t="inlineStr">
        <is>
          <t>RULED</t>
        </is>
      </c>
      <c r="G49" s="4" t="inlineStr">
        <is>
          <t>RULED</t>
        </is>
      </c>
      <c r="H49" s="4" t="inlineStr">
        <is>
          <t>USNYC</t>
        </is>
      </c>
      <c r="I49" s="4" t="inlineStr">
        <is>
          <t>USNYC</t>
        </is>
      </c>
      <c r="J49" s="4" t="n"/>
      <c r="K49" s="8" t="n"/>
      <c r="L49" s="4" t="inlineStr">
        <is>
          <t>SHARK REEFER</t>
        </is>
      </c>
      <c r="M49" s="4" t="inlineStr">
        <is>
          <t>SHARK REEFER</t>
        </is>
      </c>
      <c r="N49" s="4" t="n"/>
      <c r="O49" s="4" t="n"/>
      <c r="P49" s="4" t="inlineStr">
        <is>
          <t>SHARK REEFER</t>
        </is>
      </c>
      <c r="Q49" s="4" t="inlineStr">
        <is>
          <t>SHARK REEFER</t>
        </is>
      </c>
      <c r="R49" s="4" t="n"/>
      <c r="S49" s="4" t="n"/>
      <c r="T49" s="4" t="inlineStr">
        <is>
          <t>SHARK REEFER</t>
        </is>
      </c>
      <c r="U49" s="4" t="inlineStr">
        <is>
          <t>AV DAS ARAUCARIAS, 5266, ARAUCARIA / PR / UNITED STATES02.351.006/0026-97 MAYARA SOARES EMAIL: Fabricionettto@gmail.com PHONE: +55 41 98755-3777</t>
        </is>
      </c>
      <c r="V49" s="4" t="n">
        <v>21</v>
      </c>
      <c r="W49" s="4" t="n">
        <v>0</v>
      </c>
      <c r="X49" s="4" t="n">
        <v>210000</v>
      </c>
      <c r="Y49" s="4" t="n">
        <v>200000</v>
      </c>
      <c r="Z49" s="4" t="n">
        <v>200</v>
      </c>
      <c r="AA49" s="4" t="n"/>
      <c r="AB49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49" s="4" t="inlineStr">
        <is>
          <t>ANON0000000</t>
        </is>
      </c>
      <c r="AD49" s="4" t="inlineStr">
        <is>
          <t>DC20</t>
        </is>
      </c>
      <c r="AE49" s="4" t="n">
        <v>1284412</v>
      </c>
      <c r="AF49" s="4" t="n"/>
      <c r="AG49" s="4" t="inlineStr">
        <is>
          <t>FCL/FCL</t>
        </is>
      </c>
      <c r="AH49" s="4" t="inlineStr">
        <is>
          <t>GENERAL COMMODITY</t>
        </is>
      </c>
      <c r="AI49" s="4" t="n">
        <v>21000</v>
      </c>
      <c r="AJ49" s="4" t="n">
        <v>20</v>
      </c>
      <c r="AK49" s="4" t="inlineStr">
        <is>
          <t>BLO</t>
        </is>
      </c>
      <c r="AL49" s="4" t="n"/>
      <c r="AM49" s="4" t="n"/>
      <c r="AN49" s="4" t="n"/>
      <c r="AO49" s="4" t="n"/>
      <c r="AP49" s="4" t="n"/>
      <c r="AQ49" s="4" t="n"/>
      <c r="AR49" s="4" t="n">
        <v>2200</v>
      </c>
      <c r="AS49" s="4" t="n">
        <v>28000</v>
      </c>
      <c r="AT49" s="12" t="n"/>
    </row>
    <row r="50" ht="10.5" customFormat="1" customHeight="1" s="6">
      <c r="A50" s="11" t="n">
        <v>49</v>
      </c>
      <c r="B50" s="4" t="inlineStr">
        <is>
          <t>MERCURY / VOYAGE 1</t>
        </is>
      </c>
      <c r="C50" s="4" t="inlineStr">
        <is>
          <t>REF000000</t>
        </is>
      </c>
      <c r="D50" s="7" t="n">
        <v>46095</v>
      </c>
      <c r="E50" s="4" t="n">
        <v>46104</v>
      </c>
      <c r="F50" s="4" t="inlineStr">
        <is>
          <t>RULED</t>
        </is>
      </c>
      <c r="G50" s="4" t="inlineStr">
        <is>
          <t>RULED</t>
        </is>
      </c>
      <c r="H50" s="4" t="inlineStr">
        <is>
          <t>USNYC</t>
        </is>
      </c>
      <c r="I50" s="4" t="inlineStr">
        <is>
          <t>USNYC</t>
        </is>
      </c>
      <c r="J50" s="4" t="n"/>
      <c r="K50" s="8" t="n"/>
      <c r="L50" s="4" t="inlineStr">
        <is>
          <t>DOLPHIN REEFER</t>
        </is>
      </c>
      <c r="M50" s="4" t="inlineStr">
        <is>
          <t>DOLPHIN REEFER</t>
        </is>
      </c>
      <c r="N50" s="4" t="n"/>
      <c r="O50" s="4" t="n"/>
      <c r="P50" s="4" t="inlineStr">
        <is>
          <t>DOLPHIN REEFER</t>
        </is>
      </c>
      <c r="Q50" s="4" t="inlineStr">
        <is>
          <t>DOLPHIN REEFER</t>
        </is>
      </c>
      <c r="R50" s="4" t="n"/>
      <c r="S50" s="4" t="n"/>
      <c r="T50" s="4" t="inlineStr">
        <is>
          <t>DOLPHIN REEFER</t>
        </is>
      </c>
      <c r="U50" s="4" t="inlineStr">
        <is>
          <t>AV DAS ARAUCARIAS, 5266, ARAUCARIA / PR / UNITED STATES02.351.006/0026-97 MAYARA SOARES EMAIL: Fabricionettto@gmail.com PHONE: +55 41 98755-3777</t>
        </is>
      </c>
      <c r="V50" s="4" t="n">
        <v>21</v>
      </c>
      <c r="W50" s="4" t="n">
        <v>0</v>
      </c>
      <c r="X50" s="4" t="n">
        <v>210000</v>
      </c>
      <c r="Y50" s="4" t="n">
        <v>200000</v>
      </c>
      <c r="Z50" s="4" t="n">
        <v>200</v>
      </c>
      <c r="AA50" s="4" t="n"/>
      <c r="AB50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0" s="4" t="inlineStr">
        <is>
          <t>ANON0000000</t>
        </is>
      </c>
      <c r="AD50" s="4" t="inlineStr">
        <is>
          <t>DC20</t>
        </is>
      </c>
      <c r="AE50" s="4" t="n">
        <v>1284411</v>
      </c>
      <c r="AF50" s="4" t="n"/>
      <c r="AG50" s="4" t="inlineStr">
        <is>
          <t>FCL/FCL</t>
        </is>
      </c>
      <c r="AH50" s="4" t="inlineStr">
        <is>
          <t>GENERAL COMMODITY</t>
        </is>
      </c>
      <c r="AI50" s="4" t="n">
        <v>21000</v>
      </c>
      <c r="AJ50" s="4" t="n">
        <v>20</v>
      </c>
      <c r="AK50" s="4" t="inlineStr">
        <is>
          <t>BLO</t>
        </is>
      </c>
      <c r="AL50" s="4" t="n"/>
      <c r="AM50" s="4" t="n"/>
      <c r="AN50" s="4" t="n"/>
      <c r="AO50" s="4" t="n"/>
      <c r="AP50" s="4" t="n"/>
      <c r="AQ50" s="4" t="n"/>
      <c r="AR50" s="4" t="n">
        <v>2100</v>
      </c>
      <c r="AS50" s="4" t="n">
        <v>28000</v>
      </c>
      <c r="AT50" s="12" t="n"/>
    </row>
    <row r="51" ht="10.5" customFormat="1" customHeight="1" s="6">
      <c r="A51" s="11" t="n">
        <v>50</v>
      </c>
      <c r="B51" s="4" t="inlineStr">
        <is>
          <t>MERCURY / VOYAGE 1</t>
        </is>
      </c>
      <c r="C51" s="4" t="inlineStr">
        <is>
          <t>REF000000</t>
        </is>
      </c>
      <c r="D51" s="7" t="n">
        <v>46095</v>
      </c>
      <c r="E51" s="4" t="n">
        <v>46104</v>
      </c>
      <c r="F51" s="4" t="inlineStr">
        <is>
          <t>RULED</t>
        </is>
      </c>
      <c r="G51" s="4" t="inlineStr">
        <is>
          <t>RULED</t>
        </is>
      </c>
      <c r="H51" s="4" t="inlineStr">
        <is>
          <t>USNYC</t>
        </is>
      </c>
      <c r="I51" s="4" t="inlineStr">
        <is>
          <t>USNYC</t>
        </is>
      </c>
      <c r="J51" s="4" t="n"/>
      <c r="K51" s="8" t="n"/>
      <c r="L51" s="4" t="inlineStr">
        <is>
          <t>MARLIN REEFER</t>
        </is>
      </c>
      <c r="M51" s="4" t="inlineStr">
        <is>
          <t>MARLIN REEFER</t>
        </is>
      </c>
      <c r="N51" s="4" t="n"/>
      <c r="O51" s="4" t="n"/>
      <c r="P51" s="4" t="inlineStr">
        <is>
          <t>MARLIN REEFER</t>
        </is>
      </c>
      <c r="Q51" s="4" t="inlineStr">
        <is>
          <t>MARLIN REEFER</t>
        </is>
      </c>
      <c r="R51" s="4" t="n"/>
      <c r="S51" s="4" t="n"/>
      <c r="T51" s="4" t="inlineStr">
        <is>
          <t>MARLIN REEFER</t>
        </is>
      </c>
      <c r="U51" s="4" t="inlineStr">
        <is>
          <t>AV DAS ARAUCARIAS, 5266, ARAUCARIA / PR / UNITED STATES02.351.006/0026-97 MAYARA SOARES EMAIL: Fabricionettto@gmail.com PHONE: +55 41 98755-3777</t>
        </is>
      </c>
      <c r="V51" s="4" t="n">
        <v>21</v>
      </c>
      <c r="W51" s="4" t="n">
        <v>0</v>
      </c>
      <c r="X51" s="4" t="n">
        <v>210000</v>
      </c>
      <c r="Y51" s="4" t="n">
        <v>200000</v>
      </c>
      <c r="Z51" s="4" t="n">
        <v>200</v>
      </c>
      <c r="AA51" s="4" t="n"/>
      <c r="AB51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1" s="4" t="inlineStr">
        <is>
          <t>ANON0000000</t>
        </is>
      </c>
      <c r="AD51" s="4" t="inlineStr">
        <is>
          <t>DC20</t>
        </is>
      </c>
      <c r="AE51" s="4" t="n">
        <v>1284418</v>
      </c>
      <c r="AF51" s="4" t="n"/>
      <c r="AG51" s="4" t="inlineStr">
        <is>
          <t>FCL/FCL</t>
        </is>
      </c>
      <c r="AH51" s="4" t="inlineStr">
        <is>
          <t>GENERAL COMMODITY</t>
        </is>
      </c>
      <c r="AI51" s="4" t="n">
        <v>21000</v>
      </c>
      <c r="AJ51" s="4" t="n">
        <v>20</v>
      </c>
      <c r="AK51" s="4" t="inlineStr">
        <is>
          <t>BLO</t>
        </is>
      </c>
      <c r="AL51" s="4" t="n"/>
      <c r="AM51" s="4" t="n"/>
      <c r="AN51" s="4" t="n"/>
      <c r="AO51" s="4" t="n"/>
      <c r="AP51" s="4" t="n"/>
      <c r="AQ51" s="4" t="n"/>
      <c r="AR51" s="4" t="n">
        <v>2100</v>
      </c>
      <c r="AS51" s="4" t="n">
        <v>28000</v>
      </c>
      <c r="AT51" s="12" t="n"/>
    </row>
    <row r="52" ht="10.5" customFormat="1" customHeight="1" s="6">
      <c r="A52" s="11" t="n">
        <v>51</v>
      </c>
      <c r="B52" s="4" t="inlineStr">
        <is>
          <t>MERCURY / VOYAGE 1</t>
        </is>
      </c>
      <c r="C52" s="4" t="inlineStr">
        <is>
          <t>REF000000</t>
        </is>
      </c>
      <c r="D52" s="7" t="n">
        <v>46095</v>
      </c>
      <c r="E52" s="4" t="n">
        <v>46104</v>
      </c>
      <c r="F52" s="4" t="inlineStr">
        <is>
          <t>RULED</t>
        </is>
      </c>
      <c r="G52" s="4" t="inlineStr">
        <is>
          <t>RULED</t>
        </is>
      </c>
      <c r="H52" s="4" t="inlineStr">
        <is>
          <t>USNYC</t>
        </is>
      </c>
      <c r="I52" s="4" t="inlineStr">
        <is>
          <t>USNYC</t>
        </is>
      </c>
      <c r="J52" s="4" t="n"/>
      <c r="K52" s="8" t="n"/>
      <c r="L52" s="4" t="inlineStr">
        <is>
          <t>TURTLE REEFER</t>
        </is>
      </c>
      <c r="M52" s="4" t="inlineStr">
        <is>
          <t>TURTLE REEFER</t>
        </is>
      </c>
      <c r="N52" s="4" t="n"/>
      <c r="O52" s="4" t="n"/>
      <c r="P52" s="4" t="inlineStr">
        <is>
          <t>TURTLE REEFER</t>
        </is>
      </c>
      <c r="Q52" s="4" t="inlineStr">
        <is>
          <t>TURTLE REEFER</t>
        </is>
      </c>
      <c r="R52" s="4" t="n"/>
      <c r="S52" s="4" t="n"/>
      <c r="T52" s="4" t="inlineStr">
        <is>
          <t>TURTLE REEFER</t>
        </is>
      </c>
      <c r="U52" s="4" t="inlineStr">
        <is>
          <t>AV DAS ARAUCARIAS, 5266, ARAUCARIA / PR / UNITED STATES02.351.006/0026-97 MAYARA SOARES EMAIL: Fabricionettto@gmail.com PHONE: +55 41 98755-3777</t>
        </is>
      </c>
      <c r="V52" s="4" t="n">
        <v>21</v>
      </c>
      <c r="W52" s="4" t="n">
        <v>0</v>
      </c>
      <c r="X52" s="4" t="n">
        <v>210000</v>
      </c>
      <c r="Y52" s="4" t="n">
        <v>200000</v>
      </c>
      <c r="Z52" s="4" t="n">
        <v>200</v>
      </c>
      <c r="AA52" s="4" t="n"/>
      <c r="AB52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2" s="4" t="inlineStr">
        <is>
          <t>ANON0000000</t>
        </is>
      </c>
      <c r="AD52" s="4" t="inlineStr">
        <is>
          <t>DC20</t>
        </is>
      </c>
      <c r="AE52" s="4" t="n">
        <v>1145184</v>
      </c>
      <c r="AF52" s="4" t="n"/>
      <c r="AG52" s="4" t="inlineStr">
        <is>
          <t>FCL/FCL</t>
        </is>
      </c>
      <c r="AH52" s="4" t="inlineStr">
        <is>
          <t>GENERAL COMMODITY</t>
        </is>
      </c>
      <c r="AI52" s="4" t="n">
        <v>21000</v>
      </c>
      <c r="AJ52" s="4" t="n">
        <v>20</v>
      </c>
      <c r="AK52" s="4" t="inlineStr">
        <is>
          <t>BLO</t>
        </is>
      </c>
      <c r="AL52" s="4" t="n"/>
      <c r="AM52" s="4" t="n"/>
      <c r="AN52" s="4" t="n"/>
      <c r="AO52" s="4" t="n"/>
      <c r="AP52" s="4" t="n"/>
      <c r="AQ52" s="4" t="n"/>
      <c r="AR52" s="4" t="n">
        <v>2100</v>
      </c>
      <c r="AS52" s="4" t="n">
        <v>28000</v>
      </c>
      <c r="AT52" s="12" t="n"/>
    </row>
    <row r="53" ht="10.5" customFormat="1" customHeight="1" s="6">
      <c r="A53" s="11" t="n">
        <v>52</v>
      </c>
      <c r="B53" s="4" t="inlineStr">
        <is>
          <t>MERCURY / VOYAGE 1</t>
        </is>
      </c>
      <c r="C53" s="4" t="inlineStr">
        <is>
          <t>REF000000</t>
        </is>
      </c>
      <c r="D53" s="7" t="n">
        <v>46095</v>
      </c>
      <c r="E53" s="4" t="n">
        <v>46104</v>
      </c>
      <c r="F53" s="4" t="inlineStr">
        <is>
          <t>RULED</t>
        </is>
      </c>
      <c r="G53" s="4" t="inlineStr">
        <is>
          <t>RULED</t>
        </is>
      </c>
      <c r="H53" s="4" t="inlineStr">
        <is>
          <t>USNYC</t>
        </is>
      </c>
      <c r="I53" s="4" t="inlineStr">
        <is>
          <t>USNYC</t>
        </is>
      </c>
      <c r="J53" s="4" t="n"/>
      <c r="K53" s="8" t="n"/>
      <c r="L53" s="4" t="inlineStr">
        <is>
          <t>ORCA REEFER</t>
        </is>
      </c>
      <c r="M53" s="4" t="inlineStr">
        <is>
          <t>ORCA REEFER</t>
        </is>
      </c>
      <c r="N53" s="4" t="n"/>
      <c r="O53" s="4" t="n"/>
      <c r="P53" s="4" t="inlineStr">
        <is>
          <t>ORCA REEFER</t>
        </is>
      </c>
      <c r="Q53" s="4" t="inlineStr">
        <is>
          <t>ORCA REEFER</t>
        </is>
      </c>
      <c r="R53" s="4" t="n"/>
      <c r="S53" s="4" t="n"/>
      <c r="T53" s="4" t="inlineStr">
        <is>
          <t>ORCA REEFER</t>
        </is>
      </c>
      <c r="U53" s="4" t="inlineStr">
        <is>
          <t>AV DAS ARAUCARIAS, 5266, ARAUCARIA / PR / UNITED STATES02.351.006/0026-97 MAYARA SOARES EMAIL: Fabricionettto@gmail.com PHONE: +55 41 98755-3777</t>
        </is>
      </c>
      <c r="V53" s="4" t="n">
        <v>21</v>
      </c>
      <c r="W53" s="4" t="n">
        <v>0</v>
      </c>
      <c r="X53" s="4" t="n">
        <v>210000</v>
      </c>
      <c r="Y53" s="4" t="n">
        <v>200000</v>
      </c>
      <c r="Z53" s="4" t="n">
        <v>200</v>
      </c>
      <c r="AA53" s="4" t="n"/>
      <c r="AB53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3" s="4" t="inlineStr">
        <is>
          <t>ANON0000000</t>
        </is>
      </c>
      <c r="AD53" s="4" t="inlineStr">
        <is>
          <t>DC20</t>
        </is>
      </c>
      <c r="AE53" s="4" t="n">
        <v>1284416</v>
      </c>
      <c r="AF53" s="4" t="n"/>
      <c r="AG53" s="4" t="inlineStr">
        <is>
          <t>FCL/FCL</t>
        </is>
      </c>
      <c r="AH53" s="4" t="inlineStr">
        <is>
          <t>GENERAL COMMODITY</t>
        </is>
      </c>
      <c r="AI53" s="4" t="n">
        <v>21000</v>
      </c>
      <c r="AJ53" s="4" t="n">
        <v>20</v>
      </c>
      <c r="AK53" s="4" t="inlineStr">
        <is>
          <t>BLO</t>
        </is>
      </c>
      <c r="AL53" s="4" t="n"/>
      <c r="AM53" s="4" t="n"/>
      <c r="AN53" s="4" t="n"/>
      <c r="AO53" s="4" t="n"/>
      <c r="AP53" s="4" t="n"/>
      <c r="AQ53" s="4" t="n"/>
      <c r="AR53" s="4" t="n">
        <v>2110</v>
      </c>
      <c r="AS53" s="4" t="n">
        <v>28000</v>
      </c>
      <c r="AT53" s="12" t="n"/>
    </row>
    <row r="54" ht="10.5" customFormat="1" customHeight="1" s="6">
      <c r="A54" s="11" t="n">
        <v>53</v>
      </c>
      <c r="B54" s="4" t="inlineStr">
        <is>
          <t>MERCURY / VOYAGE 1</t>
        </is>
      </c>
      <c r="C54" s="4" t="inlineStr">
        <is>
          <t>REF000000</t>
        </is>
      </c>
      <c r="D54" s="7" t="n">
        <v>46095</v>
      </c>
      <c r="E54" s="4" t="n">
        <v>46104</v>
      </c>
      <c r="F54" s="4" t="inlineStr">
        <is>
          <t>RULED</t>
        </is>
      </c>
      <c r="G54" s="4" t="inlineStr">
        <is>
          <t>RULED</t>
        </is>
      </c>
      <c r="H54" s="4" t="inlineStr">
        <is>
          <t>USNYC</t>
        </is>
      </c>
      <c r="I54" s="4" t="inlineStr">
        <is>
          <t>USNYC</t>
        </is>
      </c>
      <c r="J54" s="4" t="n"/>
      <c r="K54" s="8" t="n"/>
      <c r="L54" s="4" t="inlineStr">
        <is>
          <t>WHALE REEFER</t>
        </is>
      </c>
      <c r="M54" s="4" t="inlineStr">
        <is>
          <t>WHALE REEFER</t>
        </is>
      </c>
      <c r="N54" s="4" t="n"/>
      <c r="O54" s="4" t="n"/>
      <c r="P54" s="4" t="inlineStr">
        <is>
          <t>WHALE REEFER</t>
        </is>
      </c>
      <c r="Q54" s="4" t="inlineStr">
        <is>
          <t>WHALE REEFER</t>
        </is>
      </c>
      <c r="R54" s="4" t="n"/>
      <c r="S54" s="4" t="n"/>
      <c r="T54" s="4" t="inlineStr">
        <is>
          <t>WHALE REEFER</t>
        </is>
      </c>
      <c r="U54" s="4" t="inlineStr">
        <is>
          <t>AV DAS ARAUCARIAS, 5266, ARAUCARIA / PR / UNITED STATES02.351.006/0026-97 MAYARA SOARES EMAIL: Fabricionettto@gmail.com PHONE: +55 41 98755-3777</t>
        </is>
      </c>
      <c r="V54" s="4" t="n">
        <v>21</v>
      </c>
      <c r="W54" s="4" t="n">
        <v>0</v>
      </c>
      <c r="X54" s="4" t="n">
        <v>210000</v>
      </c>
      <c r="Y54" s="4" t="n">
        <v>200000</v>
      </c>
      <c r="Z54" s="4" t="n">
        <v>200</v>
      </c>
      <c r="AA54" s="4" t="n"/>
      <c r="AB54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4" s="4" t="inlineStr">
        <is>
          <t>ANON0000000</t>
        </is>
      </c>
      <c r="AD54" s="4" t="inlineStr">
        <is>
          <t>DC20</t>
        </is>
      </c>
      <c r="AE54" s="4" t="n">
        <v>1284414</v>
      </c>
      <c r="AF54" s="4" t="n"/>
      <c r="AG54" s="4" t="inlineStr">
        <is>
          <t>FCL/FCL</t>
        </is>
      </c>
      <c r="AH54" s="4" t="inlineStr">
        <is>
          <t>GENERAL COMMODITY</t>
        </is>
      </c>
      <c r="AI54" s="4" t="n">
        <v>21000</v>
      </c>
      <c r="AJ54" s="4" t="n">
        <v>20</v>
      </c>
      <c r="AK54" s="4" t="inlineStr">
        <is>
          <t>BLO</t>
        </is>
      </c>
      <c r="AL54" s="4" t="n"/>
      <c r="AM54" s="4" t="n"/>
      <c r="AN54" s="4" t="n"/>
      <c r="AO54" s="4" t="n"/>
      <c r="AP54" s="4" t="n"/>
      <c r="AQ54" s="4" t="n"/>
      <c r="AR54" s="4" t="n">
        <v>2220</v>
      </c>
      <c r="AS54" s="4" t="n">
        <v>28000</v>
      </c>
      <c r="AT54" s="12" t="n"/>
    </row>
    <row r="55" ht="10.5" customFormat="1" customHeight="1" s="6">
      <c r="A55" s="11" t="n">
        <v>54</v>
      </c>
      <c r="B55" s="4" t="inlineStr">
        <is>
          <t>MERCURY / VOYAGE 1</t>
        </is>
      </c>
      <c r="C55" s="4" t="inlineStr">
        <is>
          <t>REF000000</t>
        </is>
      </c>
      <c r="D55" s="7" t="n">
        <v>46095</v>
      </c>
      <c r="E55" s="4" t="n">
        <v>46104</v>
      </c>
      <c r="F55" s="4" t="inlineStr">
        <is>
          <t>RULED</t>
        </is>
      </c>
      <c r="G55" s="4" t="inlineStr">
        <is>
          <t>RULED</t>
        </is>
      </c>
      <c r="H55" s="4" t="inlineStr">
        <is>
          <t>USNYC</t>
        </is>
      </c>
      <c r="I55" s="4" t="inlineStr">
        <is>
          <t>USNYC</t>
        </is>
      </c>
      <c r="J55" s="4" t="n"/>
      <c r="K55" s="8" t="n"/>
      <c r="L55" s="4" t="inlineStr">
        <is>
          <t>SEAL REEFER</t>
        </is>
      </c>
      <c r="M55" s="4" t="inlineStr">
        <is>
          <t>SEAL REEFER</t>
        </is>
      </c>
      <c r="N55" s="4" t="n"/>
      <c r="O55" s="4" t="n"/>
      <c r="P55" s="4" t="inlineStr">
        <is>
          <t>SEAL REEFER</t>
        </is>
      </c>
      <c r="Q55" s="4" t="inlineStr">
        <is>
          <t>SEAL REEFER</t>
        </is>
      </c>
      <c r="R55" s="4" t="n"/>
      <c r="S55" s="4" t="n"/>
      <c r="T55" s="4" t="inlineStr">
        <is>
          <t>SEAL REEFER</t>
        </is>
      </c>
      <c r="U55" s="4" t="inlineStr">
        <is>
          <t>AV DAS ARAUCARIAS, 5266, ARAUCARIA / PR / UNITED STATES02.351.006/0026-97 MAYARA SOARES EMAIL: Fabricionettto@gmail.com PHONE: +55 41 98755-3777</t>
        </is>
      </c>
      <c r="V55" s="4" t="n">
        <v>21</v>
      </c>
      <c r="W55" s="4" t="n">
        <v>0</v>
      </c>
      <c r="X55" s="4" t="n">
        <v>210000</v>
      </c>
      <c r="Y55" s="4" t="n">
        <v>200000</v>
      </c>
      <c r="Z55" s="4" t="n">
        <v>200</v>
      </c>
      <c r="AA55" s="4" t="n"/>
      <c r="AB55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5" s="4" t="inlineStr">
        <is>
          <t>ANON0000000</t>
        </is>
      </c>
      <c r="AD55" s="4" t="inlineStr">
        <is>
          <t>DC20</t>
        </is>
      </c>
      <c r="AE55" s="4" t="n">
        <v>1284526</v>
      </c>
      <c r="AF55" s="4" t="n"/>
      <c r="AG55" s="4" t="inlineStr">
        <is>
          <t>FCL/FCL</t>
        </is>
      </c>
      <c r="AH55" s="4" t="inlineStr">
        <is>
          <t>GENERAL COMMODITY</t>
        </is>
      </c>
      <c r="AI55" s="4" t="n">
        <v>21000</v>
      </c>
      <c r="AJ55" s="4" t="n">
        <v>20</v>
      </c>
      <c r="AK55" s="4" t="inlineStr">
        <is>
          <t>BLO</t>
        </is>
      </c>
      <c r="AL55" s="4" t="n"/>
      <c r="AM55" s="4" t="n"/>
      <c r="AN55" s="4" t="n"/>
      <c r="AO55" s="4" t="n"/>
      <c r="AP55" s="4" t="n"/>
      <c r="AQ55" s="4" t="n"/>
      <c r="AR55" s="4" t="n">
        <v>2100</v>
      </c>
      <c r="AS55" s="4" t="n">
        <v>28000</v>
      </c>
      <c r="AT55" s="12" t="n"/>
    </row>
    <row r="56" ht="10.5" customFormat="1" customHeight="1" s="6">
      <c r="A56" s="11" t="n">
        <v>55</v>
      </c>
      <c r="B56" s="4" t="inlineStr">
        <is>
          <t>MERCURY / VOYAGE 1</t>
        </is>
      </c>
      <c r="C56" s="4" t="inlineStr">
        <is>
          <t>REF000000</t>
        </is>
      </c>
      <c r="D56" s="7" t="n">
        <v>46095</v>
      </c>
      <c r="E56" s="4" t="n">
        <v>46104</v>
      </c>
      <c r="F56" s="4" t="inlineStr">
        <is>
          <t>RULED</t>
        </is>
      </c>
      <c r="G56" s="4" t="inlineStr">
        <is>
          <t>RULED</t>
        </is>
      </c>
      <c r="H56" s="4" t="inlineStr">
        <is>
          <t>USNYC</t>
        </is>
      </c>
      <c r="I56" s="4" t="inlineStr">
        <is>
          <t>USNYC</t>
        </is>
      </c>
      <c r="J56" s="4" t="n"/>
      <c r="K56" s="8" t="n"/>
      <c r="L56" s="4" t="inlineStr">
        <is>
          <t>SHARK REEFER</t>
        </is>
      </c>
      <c r="M56" s="4" t="inlineStr">
        <is>
          <t>SHARK REEFER</t>
        </is>
      </c>
      <c r="N56" s="4" t="n"/>
      <c r="O56" s="4" t="n"/>
      <c r="P56" s="4" t="inlineStr">
        <is>
          <t>SHARK REEFER</t>
        </is>
      </c>
      <c r="Q56" s="4" t="inlineStr">
        <is>
          <t>SHARK REEFER</t>
        </is>
      </c>
      <c r="R56" s="4" t="n"/>
      <c r="S56" s="4" t="n"/>
      <c r="T56" s="4" t="inlineStr">
        <is>
          <t>SHARK REEFER</t>
        </is>
      </c>
      <c r="U56" s="4" t="inlineStr">
        <is>
          <t>AV DAS ARAUCARIAS, 5266, ARAUCARIA / PR / UNITED STATES02.351.006/0026-97 MAYARA SOARES EMAIL: Fabricionettto@gmail.com PHONE: +55 41 98755-3777</t>
        </is>
      </c>
      <c r="V56" s="4" t="n">
        <v>21</v>
      </c>
      <c r="W56" s="4" t="n">
        <v>0</v>
      </c>
      <c r="X56" s="4" t="n">
        <v>210000</v>
      </c>
      <c r="Y56" s="4" t="n">
        <v>200000</v>
      </c>
      <c r="Z56" s="4" t="n">
        <v>200</v>
      </c>
      <c r="AA56" s="4" t="n"/>
      <c r="AB56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6" s="4" t="inlineStr">
        <is>
          <t>ANON0000000</t>
        </is>
      </c>
      <c r="AD56" s="4" t="inlineStr">
        <is>
          <t>DC20</t>
        </is>
      </c>
      <c r="AE56" s="4" t="n">
        <v>1145181</v>
      </c>
      <c r="AF56" s="4" t="n"/>
      <c r="AG56" s="4" t="inlineStr">
        <is>
          <t>FCL/FCL</t>
        </is>
      </c>
      <c r="AH56" s="4" t="inlineStr">
        <is>
          <t>GENERAL COMMODITY</t>
        </is>
      </c>
      <c r="AI56" s="4" t="n">
        <v>21000</v>
      </c>
      <c r="AJ56" s="4" t="n">
        <v>20</v>
      </c>
      <c r="AK56" s="4" t="inlineStr">
        <is>
          <t>BLO</t>
        </is>
      </c>
      <c r="AL56" s="4" t="n"/>
      <c r="AM56" s="4" t="n"/>
      <c r="AN56" s="4" t="n"/>
      <c r="AO56" s="4" t="n"/>
      <c r="AP56" s="4" t="n"/>
      <c r="AQ56" s="4" t="n"/>
      <c r="AR56" s="4" t="n">
        <v>2100</v>
      </c>
      <c r="AS56" s="4" t="n">
        <v>28000</v>
      </c>
      <c r="AT56" s="12" t="n"/>
    </row>
    <row r="57" ht="10.5" customFormat="1" customHeight="1" s="6">
      <c r="A57" s="11" t="n">
        <v>56</v>
      </c>
      <c r="B57" s="4" t="inlineStr">
        <is>
          <t>MERCURY / VOYAGE 1</t>
        </is>
      </c>
      <c r="C57" s="4" t="inlineStr">
        <is>
          <t>REF000000</t>
        </is>
      </c>
      <c r="D57" s="7" t="n">
        <v>46095</v>
      </c>
      <c r="E57" s="4" t="n">
        <v>46104</v>
      </c>
      <c r="F57" s="4" t="inlineStr">
        <is>
          <t>RULED</t>
        </is>
      </c>
      <c r="G57" s="4" t="inlineStr">
        <is>
          <t>RULED</t>
        </is>
      </c>
      <c r="H57" s="4" t="inlineStr">
        <is>
          <t>USNYC</t>
        </is>
      </c>
      <c r="I57" s="4" t="inlineStr">
        <is>
          <t>USNYC</t>
        </is>
      </c>
      <c r="J57" s="4" t="n"/>
      <c r="K57" s="8" t="n"/>
      <c r="L57" s="4" t="inlineStr">
        <is>
          <t>DOLPHIN REEFER</t>
        </is>
      </c>
      <c r="M57" s="4" t="inlineStr">
        <is>
          <t>DOLPHIN REEFER</t>
        </is>
      </c>
      <c r="N57" s="4" t="n"/>
      <c r="O57" s="4" t="n"/>
      <c r="P57" s="4" t="inlineStr">
        <is>
          <t>DOLPHIN REEFER</t>
        </is>
      </c>
      <c r="Q57" s="4" t="inlineStr">
        <is>
          <t>DOLPHIN REEFER</t>
        </is>
      </c>
      <c r="R57" s="4" t="n"/>
      <c r="S57" s="4" t="n"/>
      <c r="T57" s="4" t="inlineStr">
        <is>
          <t>DOLPHIN REEFER</t>
        </is>
      </c>
      <c r="U57" s="4" t="inlineStr">
        <is>
          <t>AV DAS ARAUCARIAS, 5266, ARAUCARIA / PR / UNITED STATES02.351.006/0026-97 MAYARA SOARES EMAIL: Fabricionettto@gmail.com PHONE: +55 41 98755-3777</t>
        </is>
      </c>
      <c r="V57" s="4" t="n">
        <v>21</v>
      </c>
      <c r="W57" s="4" t="n">
        <v>0</v>
      </c>
      <c r="X57" s="4" t="n">
        <v>210000</v>
      </c>
      <c r="Y57" s="4" t="n">
        <v>200000</v>
      </c>
      <c r="Z57" s="4" t="n">
        <v>200</v>
      </c>
      <c r="AA57" s="4" t="n"/>
      <c r="AB57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7" s="4" t="inlineStr">
        <is>
          <t>ANON0000000</t>
        </is>
      </c>
      <c r="AD57" s="4" t="inlineStr">
        <is>
          <t>DC20</t>
        </is>
      </c>
      <c r="AE57" s="4" t="n">
        <v>1284530</v>
      </c>
      <c r="AF57" s="4" t="n"/>
      <c r="AG57" s="4" t="inlineStr">
        <is>
          <t>FCL/FCL</t>
        </is>
      </c>
      <c r="AH57" s="4" t="inlineStr">
        <is>
          <t>GENERAL COMMODITY</t>
        </is>
      </c>
      <c r="AI57" s="4" t="n">
        <v>21000</v>
      </c>
      <c r="AJ57" s="4" t="n">
        <v>20</v>
      </c>
      <c r="AK57" s="4" t="inlineStr">
        <is>
          <t>BLO</t>
        </is>
      </c>
      <c r="AL57" s="4" t="n"/>
      <c r="AM57" s="4" t="n"/>
      <c r="AN57" s="4" t="n"/>
      <c r="AO57" s="4" t="n"/>
      <c r="AP57" s="4" t="n"/>
      <c r="AQ57" s="4" t="n"/>
      <c r="AR57" s="4" t="n">
        <v>2180</v>
      </c>
      <c r="AS57" s="4" t="n">
        <v>28000</v>
      </c>
      <c r="AT57" s="12" t="n"/>
    </row>
    <row r="58" ht="10.5" customFormat="1" customHeight="1" s="6">
      <c r="A58" s="11" t="n">
        <v>57</v>
      </c>
      <c r="B58" s="4" t="inlineStr">
        <is>
          <t>MERCURY / VOYAGE 1</t>
        </is>
      </c>
      <c r="C58" s="4" t="inlineStr">
        <is>
          <t>REF000000</t>
        </is>
      </c>
      <c r="D58" s="7" t="n">
        <v>46095</v>
      </c>
      <c r="E58" s="4" t="n">
        <v>46104</v>
      </c>
      <c r="F58" s="4" t="inlineStr">
        <is>
          <t>RULED</t>
        </is>
      </c>
      <c r="G58" s="4" t="inlineStr">
        <is>
          <t>RULED</t>
        </is>
      </c>
      <c r="H58" s="4" t="inlineStr">
        <is>
          <t>USNYC</t>
        </is>
      </c>
      <c r="I58" s="4" t="inlineStr">
        <is>
          <t>USNYC</t>
        </is>
      </c>
      <c r="J58" s="4" t="n"/>
      <c r="K58" s="8" t="n"/>
      <c r="L58" s="4" t="inlineStr">
        <is>
          <t>MARLIN REEFER</t>
        </is>
      </c>
      <c r="M58" s="4" t="inlineStr">
        <is>
          <t>MARLIN REEFER</t>
        </is>
      </c>
      <c r="N58" s="4" t="n"/>
      <c r="O58" s="4" t="n"/>
      <c r="P58" s="4" t="inlineStr">
        <is>
          <t>MARLIN REEFER</t>
        </is>
      </c>
      <c r="Q58" s="4" t="inlineStr">
        <is>
          <t>MARLIN REEFER</t>
        </is>
      </c>
      <c r="R58" s="4" t="n"/>
      <c r="S58" s="4" t="n"/>
      <c r="T58" s="4" t="inlineStr">
        <is>
          <t>MARLIN REEFER</t>
        </is>
      </c>
      <c r="U58" s="4" t="inlineStr">
        <is>
          <t>AV DAS ARAUCARIAS, 5266, ARAUCARIA / PR / UNITED STATES02.351.006/0026-97 MAYARA SOARES EMAIL: Fabricionettto@gmail.com PHONE: +55 41 98755-3777</t>
        </is>
      </c>
      <c r="V58" s="4" t="n">
        <v>21</v>
      </c>
      <c r="W58" s="4" t="n">
        <v>0</v>
      </c>
      <c r="X58" s="4" t="n">
        <v>210000</v>
      </c>
      <c r="Y58" s="4" t="n">
        <v>200000</v>
      </c>
      <c r="Z58" s="4" t="n">
        <v>200</v>
      </c>
      <c r="AA58" s="4" t="n"/>
      <c r="AB58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8" s="4" t="inlineStr">
        <is>
          <t>ANON0000000</t>
        </is>
      </c>
      <c r="AD58" s="4" t="inlineStr">
        <is>
          <t>DC20</t>
        </is>
      </c>
      <c r="AE58" s="4" t="n">
        <v>1284529</v>
      </c>
      <c r="AF58" s="4" t="n"/>
      <c r="AG58" s="4" t="inlineStr">
        <is>
          <t>FCL/FCL</t>
        </is>
      </c>
      <c r="AH58" s="4" t="inlineStr">
        <is>
          <t>GENERAL COMMODITY</t>
        </is>
      </c>
      <c r="AI58" s="4" t="n">
        <v>21000</v>
      </c>
      <c r="AJ58" s="4" t="n">
        <v>20</v>
      </c>
      <c r="AK58" s="4" t="inlineStr">
        <is>
          <t>BLO</t>
        </is>
      </c>
      <c r="AL58" s="4" t="n"/>
      <c r="AM58" s="4" t="n"/>
      <c r="AN58" s="4" t="n"/>
      <c r="AO58" s="4" t="n"/>
      <c r="AP58" s="4" t="n"/>
      <c r="AQ58" s="4" t="n"/>
      <c r="AR58" s="4" t="n">
        <v>2270</v>
      </c>
      <c r="AS58" s="4" t="n">
        <v>28000</v>
      </c>
      <c r="AT58" s="12" t="n"/>
    </row>
    <row r="59" ht="10.5" customFormat="1" customHeight="1" s="6">
      <c r="A59" s="11" t="n">
        <v>58</v>
      </c>
      <c r="B59" s="4" t="inlineStr">
        <is>
          <t>MERCURY / VOYAGE 1</t>
        </is>
      </c>
      <c r="C59" s="4" t="inlineStr">
        <is>
          <t>REF000000</t>
        </is>
      </c>
      <c r="D59" s="7" t="n">
        <v>46095</v>
      </c>
      <c r="E59" s="4" t="n">
        <v>46104</v>
      </c>
      <c r="F59" s="4" t="inlineStr">
        <is>
          <t>RULED</t>
        </is>
      </c>
      <c r="G59" s="4" t="inlineStr">
        <is>
          <t>RULED</t>
        </is>
      </c>
      <c r="H59" s="4" t="inlineStr">
        <is>
          <t>USNYC</t>
        </is>
      </c>
      <c r="I59" s="4" t="inlineStr">
        <is>
          <t>USNYC</t>
        </is>
      </c>
      <c r="J59" s="4" t="n"/>
      <c r="K59" s="8" t="n"/>
      <c r="L59" s="4" t="inlineStr">
        <is>
          <t>TURTLE REEFER</t>
        </is>
      </c>
      <c r="M59" s="4" t="inlineStr">
        <is>
          <t>TURTLE REEFER</t>
        </is>
      </c>
      <c r="N59" s="4" t="n"/>
      <c r="O59" s="4" t="n"/>
      <c r="P59" s="4" t="inlineStr">
        <is>
          <t>TURTLE REEFER</t>
        </is>
      </c>
      <c r="Q59" s="4" t="inlineStr">
        <is>
          <t>TURTLE REEFER</t>
        </is>
      </c>
      <c r="R59" s="4" t="n"/>
      <c r="S59" s="4" t="n"/>
      <c r="T59" s="4" t="inlineStr">
        <is>
          <t>TURTLE REEFER</t>
        </is>
      </c>
      <c r="U59" s="4" t="inlineStr">
        <is>
          <t>AV DAS ARAUCARIAS, 5266, ARAUCARIA / PR / UNITED STATES02.351.006/0026-97 MAYARA SOARES EMAIL: Fabricionettto@gmail.com PHONE: +55 41 98755-3777</t>
        </is>
      </c>
      <c r="V59" s="4" t="n">
        <v>21</v>
      </c>
      <c r="W59" s="4" t="n">
        <v>0</v>
      </c>
      <c r="X59" s="4" t="n">
        <v>210000</v>
      </c>
      <c r="Y59" s="4" t="n">
        <v>200000</v>
      </c>
      <c r="Z59" s="4" t="n">
        <v>200</v>
      </c>
      <c r="AA59" s="4" t="n"/>
      <c r="AB59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59" s="4" t="inlineStr">
        <is>
          <t>ANON0000000</t>
        </is>
      </c>
      <c r="AD59" s="4" t="inlineStr">
        <is>
          <t>DC20</t>
        </is>
      </c>
      <c r="AE59" s="4" t="n">
        <v>1284525</v>
      </c>
      <c r="AF59" s="4" t="n"/>
      <c r="AG59" s="4" t="inlineStr">
        <is>
          <t>FCL/FCL</t>
        </is>
      </c>
      <c r="AH59" s="4" t="inlineStr">
        <is>
          <t>GENERAL COMMODITY</t>
        </is>
      </c>
      <c r="AI59" s="4" t="n">
        <v>21000</v>
      </c>
      <c r="AJ59" s="4" t="n">
        <v>20</v>
      </c>
      <c r="AK59" s="4" t="inlineStr">
        <is>
          <t>BLO</t>
        </is>
      </c>
      <c r="AL59" s="4" t="n"/>
      <c r="AM59" s="4" t="n"/>
      <c r="AN59" s="4" t="n"/>
      <c r="AO59" s="4" t="n"/>
      <c r="AP59" s="4" t="n"/>
      <c r="AQ59" s="4" t="n"/>
      <c r="AR59" s="4" t="n">
        <v>2100</v>
      </c>
      <c r="AS59" s="4" t="n">
        <v>28000</v>
      </c>
      <c r="AT59" s="12" t="n"/>
    </row>
    <row r="60" ht="10.5" customFormat="1" customHeight="1" s="6">
      <c r="A60" s="11" t="n">
        <v>59</v>
      </c>
      <c r="B60" s="4" t="inlineStr">
        <is>
          <t>MERCURY / VOYAGE 1</t>
        </is>
      </c>
      <c r="C60" s="4" t="inlineStr">
        <is>
          <t>REF000000</t>
        </is>
      </c>
      <c r="D60" s="7" t="n">
        <v>46095</v>
      </c>
      <c r="E60" s="4" t="n">
        <v>46104</v>
      </c>
      <c r="F60" s="4" t="inlineStr">
        <is>
          <t>RULED</t>
        </is>
      </c>
      <c r="G60" s="4" t="inlineStr">
        <is>
          <t>RULED</t>
        </is>
      </c>
      <c r="H60" s="4" t="inlineStr">
        <is>
          <t>USNYC</t>
        </is>
      </c>
      <c r="I60" s="4" t="inlineStr">
        <is>
          <t>USNYC</t>
        </is>
      </c>
      <c r="J60" s="4" t="n"/>
      <c r="K60" s="8" t="n"/>
      <c r="L60" s="4" t="inlineStr">
        <is>
          <t>ORCA REEFER</t>
        </is>
      </c>
      <c r="M60" s="4" t="inlineStr">
        <is>
          <t>ORCA REEFER</t>
        </is>
      </c>
      <c r="N60" s="4" t="n"/>
      <c r="O60" s="4" t="n"/>
      <c r="P60" s="4" t="inlineStr">
        <is>
          <t>ORCA REEFER</t>
        </is>
      </c>
      <c r="Q60" s="4" t="inlineStr">
        <is>
          <t>ORCA REEFER</t>
        </is>
      </c>
      <c r="R60" s="4" t="n"/>
      <c r="S60" s="4" t="n"/>
      <c r="T60" s="4" t="inlineStr">
        <is>
          <t>ORCA REEFER</t>
        </is>
      </c>
      <c r="U60" s="4" t="inlineStr">
        <is>
          <t>AV DAS ARAUCARIAS, 5266, ARAUCARIA / PR / UNITED STATES02.351.006/0026-97 MAYARA SOARES EMAIL: Fabricionettto@gmail.com PHONE: +55 41 98755-3777</t>
        </is>
      </c>
      <c r="V60" s="4" t="n">
        <v>21</v>
      </c>
      <c r="W60" s="4" t="n">
        <v>0</v>
      </c>
      <c r="X60" s="4" t="n">
        <v>210000</v>
      </c>
      <c r="Y60" s="4" t="n">
        <v>200000</v>
      </c>
      <c r="Z60" s="4" t="n">
        <v>200</v>
      </c>
      <c r="AA60" s="4" t="n"/>
      <c r="AB60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60" s="4" t="inlineStr">
        <is>
          <t>ANON0000000</t>
        </is>
      </c>
      <c r="AD60" s="4" t="inlineStr">
        <is>
          <t>DC20</t>
        </is>
      </c>
      <c r="AE60" s="4" t="n">
        <v>1145182</v>
      </c>
      <c r="AF60" s="4" t="n"/>
      <c r="AG60" s="4" t="inlineStr">
        <is>
          <t>FCL/FCL</t>
        </is>
      </c>
      <c r="AH60" s="4" t="inlineStr">
        <is>
          <t>GENERAL COMMODITY</t>
        </is>
      </c>
      <c r="AI60" s="4" t="n">
        <v>21000</v>
      </c>
      <c r="AJ60" s="4" t="n">
        <v>20</v>
      </c>
      <c r="AK60" s="4" t="inlineStr">
        <is>
          <t>BLO</t>
        </is>
      </c>
      <c r="AL60" s="4" t="n"/>
      <c r="AM60" s="4" t="n"/>
      <c r="AN60" s="4" t="n"/>
      <c r="AO60" s="4" t="n"/>
      <c r="AP60" s="4" t="n"/>
      <c r="AQ60" s="4" t="n"/>
      <c r="AR60" s="4" t="n">
        <v>2260</v>
      </c>
      <c r="AS60" s="4" t="n">
        <v>28000</v>
      </c>
      <c r="AT60" s="12" t="n"/>
    </row>
    <row r="61" ht="10.5" customFormat="1" customHeight="1" s="6">
      <c r="A61" s="11" t="n">
        <v>60</v>
      </c>
      <c r="B61" s="4" t="inlineStr">
        <is>
          <t>MERCURY / VOYAGE 1</t>
        </is>
      </c>
      <c r="C61" s="4" t="inlineStr">
        <is>
          <t>REF000000</t>
        </is>
      </c>
      <c r="D61" s="7" t="n">
        <v>46095</v>
      </c>
      <c r="E61" s="4" t="n">
        <v>46104</v>
      </c>
      <c r="F61" s="4" t="inlineStr">
        <is>
          <t>RULED</t>
        </is>
      </c>
      <c r="G61" s="4" t="inlineStr">
        <is>
          <t>RULED</t>
        </is>
      </c>
      <c r="H61" s="4" t="inlineStr">
        <is>
          <t>USNYC</t>
        </is>
      </c>
      <c r="I61" s="4" t="inlineStr">
        <is>
          <t>USNYC</t>
        </is>
      </c>
      <c r="J61" s="4" t="n"/>
      <c r="K61" s="8" t="n"/>
      <c r="L61" s="4" t="inlineStr">
        <is>
          <t>WHALE REEFER</t>
        </is>
      </c>
      <c r="M61" s="4" t="inlineStr">
        <is>
          <t>WHALE REEFER</t>
        </is>
      </c>
      <c r="N61" s="4" t="n"/>
      <c r="O61" s="4" t="n"/>
      <c r="P61" s="4" t="inlineStr">
        <is>
          <t>WHALE REEFER</t>
        </is>
      </c>
      <c r="Q61" s="4" t="inlineStr">
        <is>
          <t>WHALE REEFER</t>
        </is>
      </c>
      <c r="R61" s="4" t="n"/>
      <c r="S61" s="4" t="n"/>
      <c r="T61" s="4" t="inlineStr">
        <is>
          <t>WHALE REEFER</t>
        </is>
      </c>
      <c r="U61" s="4" t="inlineStr">
        <is>
          <t>AV DAS ARAUCARIAS, 5266, ARAUCARIA / PR / UNITED STATES02.351.006/0026-97 MAYARA SOARES EMAIL: Fabricionettto@gmail.com PHONE: +55 41 98755-3777</t>
        </is>
      </c>
      <c r="V61" s="4" t="n">
        <v>21</v>
      </c>
      <c r="W61" s="4" t="n">
        <v>0</v>
      </c>
      <c r="X61" s="4" t="n">
        <v>210000</v>
      </c>
      <c r="Y61" s="4" t="n">
        <v>200000</v>
      </c>
      <c r="Z61" s="4" t="n">
        <v>200</v>
      </c>
      <c r="AA61" s="4" t="n"/>
      <c r="AB61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61" s="4" t="inlineStr">
        <is>
          <t>ANON0000000</t>
        </is>
      </c>
      <c r="AD61" s="4" t="inlineStr">
        <is>
          <t>DC20</t>
        </is>
      </c>
      <c r="AE61" s="4" t="n">
        <v>1284527</v>
      </c>
      <c r="AF61" s="4" t="n"/>
      <c r="AG61" s="4" t="inlineStr">
        <is>
          <t>FCL/FCL</t>
        </is>
      </c>
      <c r="AH61" s="4" t="inlineStr">
        <is>
          <t>GENERAL COMMODITY</t>
        </is>
      </c>
      <c r="AI61" s="4" t="n">
        <v>21000</v>
      </c>
      <c r="AJ61" s="4" t="n">
        <v>20</v>
      </c>
      <c r="AK61" s="4" t="inlineStr">
        <is>
          <t>BLO</t>
        </is>
      </c>
      <c r="AL61" s="4" t="n"/>
      <c r="AM61" s="4" t="n"/>
      <c r="AN61" s="4" t="n"/>
      <c r="AO61" s="4" t="n"/>
      <c r="AP61" s="4" t="n"/>
      <c r="AQ61" s="4" t="n"/>
      <c r="AR61" s="4" t="n">
        <v>2100</v>
      </c>
      <c r="AS61" s="4" t="n">
        <v>28000</v>
      </c>
      <c r="AT61" s="12" t="n"/>
    </row>
    <row r="62" ht="10.5" customFormat="1" customHeight="1" s="6">
      <c r="A62" s="11" t="n">
        <v>61</v>
      </c>
      <c r="B62" s="4" t="inlineStr">
        <is>
          <t>MERCURY / VOYAGE 1</t>
        </is>
      </c>
      <c r="C62" s="4" t="inlineStr">
        <is>
          <t>REF000000</t>
        </is>
      </c>
      <c r="D62" s="7" t="n">
        <v>46095</v>
      </c>
      <c r="E62" s="4" t="n">
        <v>46104</v>
      </c>
      <c r="F62" s="4" t="inlineStr">
        <is>
          <t>RULED</t>
        </is>
      </c>
      <c r="G62" s="4" t="inlineStr">
        <is>
          <t>RULED</t>
        </is>
      </c>
      <c r="H62" s="4" t="inlineStr">
        <is>
          <t>USNYC</t>
        </is>
      </c>
      <c r="I62" s="4" t="inlineStr">
        <is>
          <t>USNYC</t>
        </is>
      </c>
      <c r="J62" s="4" t="n"/>
      <c r="K62" s="8" t="n"/>
      <c r="L62" s="4" t="inlineStr">
        <is>
          <t>SEAL REEFER</t>
        </is>
      </c>
      <c r="M62" s="4" t="inlineStr">
        <is>
          <t>SEAL REEFER</t>
        </is>
      </c>
      <c r="N62" s="4" t="n"/>
      <c r="O62" s="4" t="n"/>
      <c r="P62" s="4" t="inlineStr">
        <is>
          <t>SEAL REEFER</t>
        </is>
      </c>
      <c r="Q62" s="4" t="inlineStr">
        <is>
          <t>SEAL REEFER</t>
        </is>
      </c>
      <c r="R62" s="4" t="n"/>
      <c r="S62" s="4" t="n"/>
      <c r="T62" s="4" t="inlineStr">
        <is>
          <t>SEAL REEFER</t>
        </is>
      </c>
      <c r="U62" s="4" t="inlineStr">
        <is>
          <t>AV DAS ARAUCARIAS, 5266, ARAUCARIA / PR / UNITED STATES02.351.006/0026-97 MAYARA SOARES EMAIL: Fabricionettto@gmail.com PHONE: +55 41 98755-3777</t>
        </is>
      </c>
      <c r="V62" s="4" t="n">
        <v>21</v>
      </c>
      <c r="W62" s="4" t="n">
        <v>0</v>
      </c>
      <c r="X62" s="4" t="n">
        <v>210000</v>
      </c>
      <c r="Y62" s="4" t="n">
        <v>200000</v>
      </c>
      <c r="Z62" s="4" t="n">
        <v>200</v>
      </c>
      <c r="AA62" s="4" t="n"/>
      <c r="AB62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62" s="4" t="inlineStr">
        <is>
          <t>ANON0000000</t>
        </is>
      </c>
      <c r="AD62" s="4" t="inlineStr">
        <is>
          <t>DC20</t>
        </is>
      </c>
      <c r="AE62" s="4" t="n">
        <v>1145186</v>
      </c>
      <c r="AF62" s="4" t="n"/>
      <c r="AG62" s="4" t="inlineStr">
        <is>
          <t>FCL/FCL</t>
        </is>
      </c>
      <c r="AH62" s="4" t="inlineStr">
        <is>
          <t>GENERAL COMMODITY</t>
        </is>
      </c>
      <c r="AI62" s="4" t="n">
        <v>21000</v>
      </c>
      <c r="AJ62" s="4" t="n">
        <v>20</v>
      </c>
      <c r="AK62" s="4" t="inlineStr">
        <is>
          <t>BLO</t>
        </is>
      </c>
      <c r="AL62" s="4" t="n"/>
      <c r="AM62" s="4" t="n"/>
      <c r="AN62" s="4" t="n"/>
      <c r="AO62" s="4" t="n"/>
      <c r="AP62" s="4" t="n"/>
      <c r="AQ62" s="4" t="n"/>
      <c r="AR62" s="4" t="n">
        <v>2120</v>
      </c>
      <c r="AS62" s="4" t="n">
        <v>28000</v>
      </c>
      <c r="AT62" s="12" t="n"/>
    </row>
    <row r="63" ht="10.5" customFormat="1" customHeight="1" s="6">
      <c r="A63" s="11" t="n">
        <v>62</v>
      </c>
      <c r="B63" s="4" t="inlineStr">
        <is>
          <t>MERCURY / VOYAGE 1</t>
        </is>
      </c>
      <c r="C63" s="4" t="inlineStr">
        <is>
          <t>REF000000</t>
        </is>
      </c>
      <c r="D63" s="7" t="n">
        <v>46095</v>
      </c>
      <c r="E63" s="4" t="n">
        <v>46104</v>
      </c>
      <c r="F63" s="4" t="inlineStr">
        <is>
          <t>RULED</t>
        </is>
      </c>
      <c r="G63" s="4" t="inlineStr">
        <is>
          <t>RULED</t>
        </is>
      </c>
      <c r="H63" s="4" t="inlineStr">
        <is>
          <t>USNYC</t>
        </is>
      </c>
      <c r="I63" s="4" t="inlineStr">
        <is>
          <t>USNYC</t>
        </is>
      </c>
      <c r="J63" s="4" t="n"/>
      <c r="K63" s="8" t="n"/>
      <c r="L63" s="4" t="inlineStr">
        <is>
          <t>SHARK REEFER</t>
        </is>
      </c>
      <c r="M63" s="4" t="inlineStr">
        <is>
          <t>SHARK REEFER</t>
        </is>
      </c>
      <c r="N63" s="4" t="n"/>
      <c r="O63" s="4" t="n"/>
      <c r="P63" s="4" t="inlineStr">
        <is>
          <t>SHARK REEFER</t>
        </is>
      </c>
      <c r="Q63" s="4" t="inlineStr">
        <is>
          <t>SHARK REEFER</t>
        </is>
      </c>
      <c r="R63" s="4" t="n"/>
      <c r="S63" s="4" t="n"/>
      <c r="T63" s="4" t="inlineStr">
        <is>
          <t>SHARK REEFER</t>
        </is>
      </c>
      <c r="U63" s="4" t="inlineStr">
        <is>
          <t>AV DAS ARAUCARIAS, 5266, ARAUCARIA / PR / UNITED STATES02.351.006/0026-97 MAYARA SOARES EMAIL: Fabricionettto@gmail.com PHONE: +55 41 98755-3777</t>
        </is>
      </c>
      <c r="V63" s="4" t="n">
        <v>21</v>
      </c>
      <c r="W63" s="4" t="n">
        <v>0</v>
      </c>
      <c r="X63" s="4" t="n">
        <v>210000</v>
      </c>
      <c r="Y63" s="4" t="n">
        <v>200000</v>
      </c>
      <c r="Z63" s="4" t="n">
        <v>200</v>
      </c>
      <c r="AA63" s="4" t="n"/>
      <c r="AB63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63" s="4" t="inlineStr">
        <is>
          <t>ANON0000000</t>
        </is>
      </c>
      <c r="AD63" s="4" t="inlineStr">
        <is>
          <t>DC20</t>
        </is>
      </c>
      <c r="AE63" s="4" t="n">
        <v>1145185</v>
      </c>
      <c r="AF63" s="4" t="n"/>
      <c r="AG63" s="4" t="inlineStr">
        <is>
          <t>FCL/FCL</t>
        </is>
      </c>
      <c r="AH63" s="4" t="inlineStr">
        <is>
          <t>GENERAL COMMODITY</t>
        </is>
      </c>
      <c r="AI63" s="4" t="n">
        <v>21000</v>
      </c>
      <c r="AJ63" s="4" t="n">
        <v>20</v>
      </c>
      <c r="AK63" s="4" t="inlineStr">
        <is>
          <t>BLO</t>
        </is>
      </c>
      <c r="AL63" s="4" t="n"/>
      <c r="AM63" s="4" t="n"/>
      <c r="AN63" s="4" t="n"/>
      <c r="AO63" s="4" t="n"/>
      <c r="AP63" s="4" t="n"/>
      <c r="AQ63" s="4" t="n"/>
      <c r="AR63" s="4" t="n">
        <v>2180</v>
      </c>
      <c r="AS63" s="4" t="n">
        <v>28000</v>
      </c>
      <c r="AT63" s="12" t="n"/>
    </row>
    <row r="64" ht="10.5" customFormat="1" customHeight="1" s="6">
      <c r="A64" s="11" t="n">
        <v>63</v>
      </c>
      <c r="B64" s="4" t="inlineStr">
        <is>
          <t>MERCURY / VOYAGE 1</t>
        </is>
      </c>
      <c r="C64" s="4" t="inlineStr">
        <is>
          <t>REF000000</t>
        </is>
      </c>
      <c r="D64" s="7" t="n">
        <v>46095</v>
      </c>
      <c r="E64" s="4" t="n">
        <v>46104</v>
      </c>
      <c r="F64" s="4" t="inlineStr">
        <is>
          <t>RULED</t>
        </is>
      </c>
      <c r="G64" s="4" t="inlineStr">
        <is>
          <t>RULED</t>
        </is>
      </c>
      <c r="H64" s="4" t="inlineStr">
        <is>
          <t>USNYC</t>
        </is>
      </c>
      <c r="I64" s="4" t="inlineStr">
        <is>
          <t>USNYC</t>
        </is>
      </c>
      <c r="J64" s="4" t="n"/>
      <c r="K64" s="8" t="n"/>
      <c r="L64" s="4" t="inlineStr">
        <is>
          <t>DOLPHIN REEFER</t>
        </is>
      </c>
      <c r="M64" s="4" t="inlineStr">
        <is>
          <t>DOLPHIN REEFER</t>
        </is>
      </c>
      <c r="N64" s="4" t="n"/>
      <c r="O64" s="4" t="n"/>
      <c r="P64" s="4" t="inlineStr">
        <is>
          <t>DOLPHIN REEFER</t>
        </is>
      </c>
      <c r="Q64" s="4" t="inlineStr">
        <is>
          <t>DOLPHIN REEFER</t>
        </is>
      </c>
      <c r="R64" s="4" t="n"/>
      <c r="S64" s="4" t="n"/>
      <c r="T64" s="4" t="inlineStr">
        <is>
          <t>DOLPHIN REEFER</t>
        </is>
      </c>
      <c r="U64" s="4" t="inlineStr">
        <is>
          <t>AV DAS ARAUCARIAS, 5266, ARAUCARIA / PR / UNITED STATES02.351.006/0026-97 MAYARA SOARES EMAIL: Fabricionettto@gmail.com PHONE: +55 41 98755-3777</t>
        </is>
      </c>
      <c r="V64" s="4" t="n">
        <v>21</v>
      </c>
      <c r="W64" s="4" t="n">
        <v>0</v>
      </c>
      <c r="X64" s="4" t="n">
        <v>210000</v>
      </c>
      <c r="Y64" s="4" t="n">
        <v>200000</v>
      </c>
      <c r="Z64" s="4" t="n">
        <v>200</v>
      </c>
      <c r="AA64" s="4" t="n"/>
      <c r="AB64" s="4" t="inlineStr">
        <is>
          <t>SAID TO CONTAIN / WEIGH &amp; MEASURE 10 x 20 DC containers said to contain 200 bitublock(s) of polymer modified bitumen 50/70 NCM Code 2713.20.00 Net weight: 200,00 MTS, Gross weight: 210,00 MTS WOODEN PACKAGING - TREATED AND CERTIFIED</t>
        </is>
      </c>
      <c r="AC64" s="4" t="inlineStr">
        <is>
          <t>ANON0000000</t>
        </is>
      </c>
      <c r="AD64" s="4" t="inlineStr">
        <is>
          <t>DC20</t>
        </is>
      </c>
      <c r="AE64" s="4" t="n">
        <v>1284528</v>
      </c>
      <c r="AF64" s="4" t="n"/>
      <c r="AG64" s="4" t="inlineStr">
        <is>
          <t>FCL/FCL</t>
        </is>
      </c>
      <c r="AH64" s="4" t="inlineStr">
        <is>
          <t>GENERAL COMMODITY</t>
        </is>
      </c>
      <c r="AI64" s="4" t="n">
        <v>21000</v>
      </c>
      <c r="AJ64" s="4" t="n">
        <v>20</v>
      </c>
      <c r="AK64" s="4" t="inlineStr">
        <is>
          <t>BLO</t>
        </is>
      </c>
      <c r="AL64" s="4" t="n"/>
      <c r="AM64" s="4" t="n"/>
      <c r="AN64" s="4" t="n"/>
      <c r="AO64" s="4" t="n"/>
      <c r="AP64" s="4" t="n"/>
      <c r="AQ64" s="4" t="n"/>
      <c r="AR64" s="4" t="n">
        <v>2100</v>
      </c>
      <c r="AS64" s="4" t="n">
        <v>28000</v>
      </c>
      <c r="AT64" s="12" t="n"/>
    </row>
    <row r="65" ht="10.5" customFormat="1" customHeight="1" s="6">
      <c r="A65" s="11" t="n">
        <v>64</v>
      </c>
      <c r="B65" s="4" t="inlineStr">
        <is>
          <t>MERCURY / VOYAGE 1</t>
        </is>
      </c>
      <c r="C65" s="4" t="inlineStr">
        <is>
          <t>REF000000</t>
        </is>
      </c>
      <c r="D65" s="7" t="n">
        <v>46095</v>
      </c>
      <c r="E65" s="4" t="n">
        <v>46104</v>
      </c>
      <c r="F65" s="4" t="inlineStr">
        <is>
          <t>RULED</t>
        </is>
      </c>
      <c r="G65" s="4" t="inlineStr">
        <is>
          <t>RULED</t>
        </is>
      </c>
      <c r="H65" s="4" t="inlineStr">
        <is>
          <t>USNYC</t>
        </is>
      </c>
      <c r="I65" s="4" t="inlineStr">
        <is>
          <t>USNYC</t>
        </is>
      </c>
      <c r="J65" s="4" t="n"/>
      <c r="K65" s="8" t="n"/>
      <c r="L65" s="4" t="inlineStr">
        <is>
          <t>MARLIN REEFER</t>
        </is>
      </c>
      <c r="M65" s="4" t="inlineStr">
        <is>
          <t>MARLIN REEFER</t>
        </is>
      </c>
      <c r="N65" s="4" t="n"/>
      <c r="O65" s="4" t="n"/>
      <c r="P65" s="4" t="inlineStr">
        <is>
          <t>MARLIN REEFER</t>
        </is>
      </c>
      <c r="Q65" s="4" t="inlineStr">
        <is>
          <t>MARLIN REEFER</t>
        </is>
      </c>
      <c r="R65" s="4" t="n"/>
      <c r="S65" s="4" t="n"/>
      <c r="T65" s="4" t="inlineStr">
        <is>
          <t>MARLIN REEFER</t>
        </is>
      </c>
      <c r="U65" s="4" t="inlineStr">
        <is>
          <t>AVENIDA DAS ARAUCARIAS, 5126, CHAPADA - ARAUCï¿½RIA-PR - CEP: 83707754 CNPJ 02.351.006/0001-39</t>
        </is>
      </c>
      <c r="V65" s="4" t="n">
        <v>21</v>
      </c>
      <c r="W65" s="4" t="n">
        <v>0</v>
      </c>
      <c r="X65" s="4" t="n">
        <v>322350</v>
      </c>
      <c r="Y65" s="4" t="n">
        <v>307000</v>
      </c>
      <c r="Z65" s="4" t="n">
        <v>307</v>
      </c>
      <c r="AA65" s="4" t="n"/>
      <c r="AB65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65" s="4" t="inlineStr">
        <is>
          <t>ANON0000000</t>
        </is>
      </c>
      <c r="AD65" s="4" t="inlineStr">
        <is>
          <t>RH40</t>
        </is>
      </c>
      <c r="AE65" s="4" t="n">
        <v>1240426</v>
      </c>
      <c r="AF65" s="4" t="n"/>
      <c r="AG65" s="4" t="inlineStr">
        <is>
          <t>FCL/FCL</t>
        </is>
      </c>
      <c r="AH65" s="4" t="inlineStr">
        <is>
          <t>GENERAL COMMODITY</t>
        </is>
      </c>
      <c r="AI65" s="4" t="n">
        <v>28350</v>
      </c>
      <c r="AJ65" s="4" t="n">
        <v>27</v>
      </c>
      <c r="AK65" s="4" t="inlineStr">
        <is>
          <t>BLO</t>
        </is>
      </c>
      <c r="AL65" s="4" t="n"/>
      <c r="AM65" s="4" t="n"/>
      <c r="AN65" s="4" t="n"/>
      <c r="AO65" s="4" t="n"/>
      <c r="AP65" s="4" t="n"/>
      <c r="AQ65" s="4" t="n"/>
      <c r="AR65" s="4" t="n">
        <v>4640</v>
      </c>
      <c r="AS65" s="4" t="n">
        <v>28000</v>
      </c>
      <c r="AT65" s="12" t="n"/>
    </row>
    <row r="66" ht="10.5" customFormat="1" customHeight="1" s="6">
      <c r="A66" s="11" t="n">
        <v>65</v>
      </c>
      <c r="B66" s="4" t="inlineStr">
        <is>
          <t>MERCURY / VOYAGE 1</t>
        </is>
      </c>
      <c r="C66" s="4" t="inlineStr">
        <is>
          <t>REF000000</t>
        </is>
      </c>
      <c r="D66" s="7" t="n">
        <v>46095</v>
      </c>
      <c r="E66" s="4" t="n">
        <v>46104</v>
      </c>
      <c r="F66" s="4" t="inlineStr">
        <is>
          <t>RULED</t>
        </is>
      </c>
      <c r="G66" s="4" t="inlineStr">
        <is>
          <t>RULED</t>
        </is>
      </c>
      <c r="H66" s="4" t="inlineStr">
        <is>
          <t>USNYC</t>
        </is>
      </c>
      <c r="I66" s="4" t="inlineStr">
        <is>
          <t>USNYC</t>
        </is>
      </c>
      <c r="J66" s="4" t="n"/>
      <c r="K66" s="8" t="n"/>
      <c r="L66" s="4" t="inlineStr">
        <is>
          <t>TURTLE REEFER</t>
        </is>
      </c>
      <c r="M66" s="4" t="inlineStr">
        <is>
          <t>TURTLE REEFER</t>
        </is>
      </c>
      <c r="N66" s="4" t="n"/>
      <c r="O66" s="4" t="n"/>
      <c r="P66" s="4" t="inlineStr">
        <is>
          <t>TURTLE REEFER</t>
        </is>
      </c>
      <c r="Q66" s="4" t="inlineStr">
        <is>
          <t>TURTLE REEFER</t>
        </is>
      </c>
      <c r="R66" s="4" t="n"/>
      <c r="S66" s="4" t="n"/>
      <c r="T66" s="4" t="inlineStr">
        <is>
          <t>TURTLE REEFER</t>
        </is>
      </c>
      <c r="U66" s="4" t="inlineStr">
        <is>
          <t>AVENIDA DAS ARAUCARIAS, 5126, CHAPADA - ARAUCï¿½RIA-PR - CEP: 83707754 CNPJ 02.351.006/0001-39</t>
        </is>
      </c>
      <c r="V66" s="4" t="n">
        <v>21</v>
      </c>
      <c r="W66" s="4" t="n">
        <v>0</v>
      </c>
      <c r="X66" s="4" t="n">
        <v>322350</v>
      </c>
      <c r="Y66" s="4" t="n">
        <v>307000</v>
      </c>
      <c r="Z66" s="4" t="n">
        <v>307</v>
      </c>
      <c r="AA66" s="4" t="n"/>
      <c r="AB66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66" s="4" t="inlineStr">
        <is>
          <t>ANON0000000</t>
        </is>
      </c>
      <c r="AD66" s="4" t="inlineStr">
        <is>
          <t>RH40</t>
        </is>
      </c>
      <c r="AE66" s="4" t="n">
        <v>1240429</v>
      </c>
      <c r="AF66" s="4" t="n"/>
      <c r="AG66" s="4" t="inlineStr">
        <is>
          <t>FCL/FCL</t>
        </is>
      </c>
      <c r="AH66" s="4" t="inlineStr">
        <is>
          <t>GENERAL COMMODITY</t>
        </is>
      </c>
      <c r="AI66" s="4" t="n">
        <v>30450</v>
      </c>
      <c r="AJ66" s="4" t="n">
        <v>29</v>
      </c>
      <c r="AK66" s="4" t="inlineStr">
        <is>
          <t>BLO</t>
        </is>
      </c>
      <c r="AL66" s="4" t="n"/>
      <c r="AM66" s="4" t="n"/>
      <c r="AN66" s="4" t="n"/>
      <c r="AO66" s="4" t="n"/>
      <c r="AP66" s="4" t="n"/>
      <c r="AQ66" s="4" t="n"/>
      <c r="AR66" s="4" t="n">
        <v>4460</v>
      </c>
      <c r="AS66" s="4" t="n">
        <v>28000</v>
      </c>
      <c r="AT66" s="12" t="n"/>
    </row>
    <row r="67" ht="10.5" customFormat="1" customHeight="1" s="6">
      <c r="A67" s="11" t="n">
        <v>66</v>
      </c>
      <c r="B67" s="4" t="inlineStr">
        <is>
          <t>MERCURY / VOYAGE 1</t>
        </is>
      </c>
      <c r="C67" s="4" t="inlineStr">
        <is>
          <t>REF000000</t>
        </is>
      </c>
      <c r="D67" s="7" t="n">
        <v>46095</v>
      </c>
      <c r="E67" s="4" t="n">
        <v>46104</v>
      </c>
      <c r="F67" s="4" t="inlineStr">
        <is>
          <t>RULED</t>
        </is>
      </c>
      <c r="G67" s="4" t="inlineStr">
        <is>
          <t>RULED</t>
        </is>
      </c>
      <c r="H67" s="4" t="inlineStr">
        <is>
          <t>USNYC</t>
        </is>
      </c>
      <c r="I67" s="4" t="inlineStr">
        <is>
          <t>USNYC</t>
        </is>
      </c>
      <c r="J67" s="4" t="n"/>
      <c r="K67" s="8" t="n"/>
      <c r="L67" s="4" t="inlineStr">
        <is>
          <t>ORCA REEFER</t>
        </is>
      </c>
      <c r="M67" s="4" t="inlineStr">
        <is>
          <t>ORCA REEFER</t>
        </is>
      </c>
      <c r="N67" s="4" t="n"/>
      <c r="O67" s="4" t="n"/>
      <c r="P67" s="4" t="inlineStr">
        <is>
          <t>ORCA REEFER</t>
        </is>
      </c>
      <c r="Q67" s="4" t="inlineStr">
        <is>
          <t>ORCA REEFER</t>
        </is>
      </c>
      <c r="R67" s="4" t="n"/>
      <c r="S67" s="4" t="n"/>
      <c r="T67" s="4" t="inlineStr">
        <is>
          <t>ORCA REEFER</t>
        </is>
      </c>
      <c r="U67" s="4" t="inlineStr">
        <is>
          <t>AVENIDA DAS ARAUCARIAS, 5126, CHAPADA - ARAUCï¿½RIA-PR - CEP: 83707754 CNPJ 02.351.006/0001-39</t>
        </is>
      </c>
      <c r="V67" s="4" t="n">
        <v>21</v>
      </c>
      <c r="W67" s="4" t="n">
        <v>0</v>
      </c>
      <c r="X67" s="4" t="n">
        <v>322350</v>
      </c>
      <c r="Y67" s="4" t="n">
        <v>307000</v>
      </c>
      <c r="Z67" s="4" t="n">
        <v>307</v>
      </c>
      <c r="AA67" s="4" t="n"/>
      <c r="AB67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67" s="4" t="inlineStr">
        <is>
          <t>ANON0000000</t>
        </is>
      </c>
      <c r="AD67" s="4" t="inlineStr">
        <is>
          <t>RH40</t>
        </is>
      </c>
      <c r="AE67" s="4" t="n">
        <v>1240493</v>
      </c>
      <c r="AF67" s="4" t="n"/>
      <c r="AG67" s="4" t="inlineStr">
        <is>
          <t>FCL/FCL</t>
        </is>
      </c>
      <c r="AH67" s="4" t="inlineStr">
        <is>
          <t>GENERAL COMMODITY</t>
        </is>
      </c>
      <c r="AI67" s="4" t="n">
        <v>29400</v>
      </c>
      <c r="AJ67" s="4" t="n">
        <v>28</v>
      </c>
      <c r="AK67" s="4" t="inlineStr">
        <is>
          <t>BLO</t>
        </is>
      </c>
      <c r="AL67" s="4" t="n"/>
      <c r="AM67" s="4" t="n"/>
      <c r="AN67" s="4" t="n"/>
      <c r="AO67" s="4" t="n"/>
      <c r="AP67" s="4" t="n"/>
      <c r="AQ67" s="4" t="n"/>
      <c r="AR67" s="4" t="n">
        <v>4560</v>
      </c>
      <c r="AS67" s="4" t="n">
        <v>28000</v>
      </c>
      <c r="AT67" s="12" t="n"/>
    </row>
    <row r="68" ht="10.5" customFormat="1" customHeight="1" s="6">
      <c r="A68" s="11" t="n">
        <v>67</v>
      </c>
      <c r="B68" s="4" t="inlineStr">
        <is>
          <t>MERCURY / VOYAGE 1</t>
        </is>
      </c>
      <c r="C68" s="4" t="inlineStr">
        <is>
          <t>REF000000</t>
        </is>
      </c>
      <c r="D68" s="7" t="n">
        <v>46095</v>
      </c>
      <c r="E68" s="4" t="n">
        <v>46104</v>
      </c>
      <c r="F68" s="4" t="inlineStr">
        <is>
          <t>RULED</t>
        </is>
      </c>
      <c r="G68" s="4" t="inlineStr">
        <is>
          <t>RULED</t>
        </is>
      </c>
      <c r="H68" s="4" t="inlineStr">
        <is>
          <t>USNYC</t>
        </is>
      </c>
      <c r="I68" s="4" t="inlineStr">
        <is>
          <t>USNYC</t>
        </is>
      </c>
      <c r="J68" s="4" t="n"/>
      <c r="K68" s="8" t="n"/>
      <c r="L68" s="4" t="inlineStr">
        <is>
          <t>WHALE REEFER</t>
        </is>
      </c>
      <c r="M68" s="4" t="inlineStr">
        <is>
          <t>WHALE REEFER</t>
        </is>
      </c>
      <c r="N68" s="4" t="n"/>
      <c r="O68" s="4" t="n"/>
      <c r="P68" s="4" t="inlineStr">
        <is>
          <t>WHALE REEFER</t>
        </is>
      </c>
      <c r="Q68" s="4" t="inlineStr">
        <is>
          <t>WHALE REEFER</t>
        </is>
      </c>
      <c r="R68" s="4" t="n"/>
      <c r="S68" s="4" t="n"/>
      <c r="T68" s="4" t="inlineStr">
        <is>
          <t>WHALE REEFER</t>
        </is>
      </c>
      <c r="U68" s="4" t="inlineStr">
        <is>
          <t>AVENIDA DAS ARAUCARIAS, 5126, CHAPADA - ARAUCï¿½RIA-PR - CEP: 83707754 CNPJ 02.351.006/0001-39</t>
        </is>
      </c>
      <c r="V68" s="4" t="n">
        <v>21</v>
      </c>
      <c r="W68" s="4" t="n">
        <v>0</v>
      </c>
      <c r="X68" s="4" t="n">
        <v>322350</v>
      </c>
      <c r="Y68" s="4" t="n">
        <v>307000</v>
      </c>
      <c r="Z68" s="4" t="n">
        <v>307</v>
      </c>
      <c r="AA68" s="4" t="n"/>
      <c r="AB68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68" s="4" t="inlineStr">
        <is>
          <t>ANON0000000</t>
        </is>
      </c>
      <c r="AD68" s="4" t="inlineStr">
        <is>
          <t>RH40</t>
        </is>
      </c>
      <c r="AE68" s="4" t="n">
        <v>1240495</v>
      </c>
      <c r="AF68" s="4" t="n"/>
      <c r="AG68" s="4" t="inlineStr">
        <is>
          <t>FCL/FCL</t>
        </is>
      </c>
      <c r="AH68" s="4" t="inlineStr">
        <is>
          <t>GENERAL COMMODITY</t>
        </is>
      </c>
      <c r="AI68" s="4" t="n">
        <v>28350</v>
      </c>
      <c r="AJ68" s="4" t="n">
        <v>27</v>
      </c>
      <c r="AK68" s="4" t="inlineStr">
        <is>
          <t>BLO</t>
        </is>
      </c>
      <c r="AL68" s="4" t="n"/>
      <c r="AM68" s="4" t="n"/>
      <c r="AN68" s="4" t="n"/>
      <c r="AO68" s="4" t="n"/>
      <c r="AP68" s="4" t="n"/>
      <c r="AQ68" s="4" t="n"/>
      <c r="AR68" s="4" t="n">
        <v>4700</v>
      </c>
      <c r="AS68" s="4" t="n">
        <v>28000</v>
      </c>
      <c r="AT68" s="12" t="n"/>
    </row>
    <row r="69" ht="10.5" customFormat="1" customHeight="1" s="6">
      <c r="A69" s="11" t="n">
        <v>68</v>
      </c>
      <c r="B69" s="4" t="inlineStr">
        <is>
          <t>MERCURY / VOYAGE 1</t>
        </is>
      </c>
      <c r="C69" s="4" t="inlineStr">
        <is>
          <t>REF000000</t>
        </is>
      </c>
      <c r="D69" s="7" t="n">
        <v>46095</v>
      </c>
      <c r="E69" s="4" t="n">
        <v>46104</v>
      </c>
      <c r="F69" s="4" t="inlineStr">
        <is>
          <t>RULED</t>
        </is>
      </c>
      <c r="G69" s="4" t="inlineStr">
        <is>
          <t>RULED</t>
        </is>
      </c>
      <c r="H69" s="4" t="inlineStr">
        <is>
          <t>USNYC</t>
        </is>
      </c>
      <c r="I69" s="4" t="inlineStr">
        <is>
          <t>USNYC</t>
        </is>
      </c>
      <c r="J69" s="4" t="n"/>
      <c r="K69" s="8" t="n"/>
      <c r="L69" s="4" t="inlineStr">
        <is>
          <t>SEAL REEFER</t>
        </is>
      </c>
      <c r="M69" s="4" t="inlineStr">
        <is>
          <t>SEAL REEFER</t>
        </is>
      </c>
      <c r="N69" s="4" t="n"/>
      <c r="O69" s="4" t="n"/>
      <c r="P69" s="4" t="inlineStr">
        <is>
          <t>SEAL REEFER</t>
        </is>
      </c>
      <c r="Q69" s="4" t="inlineStr">
        <is>
          <t>SEAL REEFER</t>
        </is>
      </c>
      <c r="R69" s="4" t="n"/>
      <c r="S69" s="4" t="n"/>
      <c r="T69" s="4" t="inlineStr">
        <is>
          <t>SEAL REEFER</t>
        </is>
      </c>
      <c r="U69" s="4" t="inlineStr">
        <is>
          <t>AVENIDA DAS ARAUCARIAS, 5126, CHAPADA - ARAUCï¿½RIA-PR - CEP: 83707754 CNPJ 02.351.006/0001-39</t>
        </is>
      </c>
      <c r="V69" s="4" t="n">
        <v>21</v>
      </c>
      <c r="W69" s="4" t="n">
        <v>0</v>
      </c>
      <c r="X69" s="4" t="n">
        <v>322350</v>
      </c>
      <c r="Y69" s="4" t="n">
        <v>307000</v>
      </c>
      <c r="Z69" s="4" t="n">
        <v>307</v>
      </c>
      <c r="AA69" s="4" t="n"/>
      <c r="AB69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69" s="4" t="inlineStr">
        <is>
          <t>ANON0000000</t>
        </is>
      </c>
      <c r="AD69" s="4" t="inlineStr">
        <is>
          <t>RH40</t>
        </is>
      </c>
      <c r="AE69" s="4" t="n">
        <v>1240491</v>
      </c>
      <c r="AF69" s="4" t="n"/>
      <c r="AG69" s="4" t="inlineStr">
        <is>
          <t>FCL/FCL</t>
        </is>
      </c>
      <c r="AH69" s="4" t="inlineStr">
        <is>
          <t>GENERAL COMMODITY</t>
        </is>
      </c>
      <c r="AI69" s="4" t="n">
        <v>29400</v>
      </c>
      <c r="AJ69" s="4" t="n">
        <v>28</v>
      </c>
      <c r="AK69" s="4" t="inlineStr">
        <is>
          <t>BLO</t>
        </is>
      </c>
      <c r="AL69" s="4" t="n"/>
      <c r="AM69" s="4" t="n"/>
      <c r="AN69" s="4" t="n"/>
      <c r="AO69" s="4" t="n"/>
      <c r="AP69" s="4" t="n"/>
      <c r="AQ69" s="4" t="n"/>
      <c r="AR69" s="4" t="n">
        <v>4600</v>
      </c>
      <c r="AS69" s="4" t="n">
        <v>28000</v>
      </c>
      <c r="AT69" s="12" t="n"/>
    </row>
    <row r="70" ht="10.5" customFormat="1" customHeight="1" s="6">
      <c r="A70" s="11" t="n">
        <v>69</v>
      </c>
      <c r="B70" s="4" t="inlineStr">
        <is>
          <t>MERCURY / VOYAGE 1</t>
        </is>
      </c>
      <c r="C70" s="4" t="inlineStr">
        <is>
          <t>REF000000</t>
        </is>
      </c>
      <c r="D70" s="7" t="n">
        <v>46095</v>
      </c>
      <c r="E70" s="4" t="n">
        <v>46104</v>
      </c>
      <c r="F70" s="4" t="inlineStr">
        <is>
          <t>RULED</t>
        </is>
      </c>
      <c r="G70" s="4" t="inlineStr">
        <is>
          <t>RULED</t>
        </is>
      </c>
      <c r="H70" s="4" t="inlineStr">
        <is>
          <t>USNYC</t>
        </is>
      </c>
      <c r="I70" s="4" t="inlineStr">
        <is>
          <t>USNYC</t>
        </is>
      </c>
      <c r="J70" s="4" t="n"/>
      <c r="K70" s="8" t="n"/>
      <c r="L70" s="4" t="inlineStr">
        <is>
          <t>SHARK REEFER</t>
        </is>
      </c>
      <c r="M70" s="4" t="inlineStr">
        <is>
          <t>SHARK REEFER</t>
        </is>
      </c>
      <c r="N70" s="4" t="n"/>
      <c r="O70" s="4" t="n"/>
      <c r="P70" s="4" t="inlineStr">
        <is>
          <t>SHARK REEFER</t>
        </is>
      </c>
      <c r="Q70" s="4" t="inlineStr">
        <is>
          <t>SHARK REEFER</t>
        </is>
      </c>
      <c r="R70" s="4" t="n"/>
      <c r="S70" s="4" t="n"/>
      <c r="T70" s="4" t="inlineStr">
        <is>
          <t>SHARK REEFER</t>
        </is>
      </c>
      <c r="U70" s="4" t="inlineStr">
        <is>
          <t>AVENIDA DAS ARAUCARIAS, 5126, CHAPADA - ARAUCï¿½RIA-PR - CEP: 83707754 CNPJ 02.351.006/0001-39</t>
        </is>
      </c>
      <c r="V70" s="4" t="n">
        <v>21</v>
      </c>
      <c r="W70" s="4" t="n">
        <v>0</v>
      </c>
      <c r="X70" s="4" t="n">
        <v>322350</v>
      </c>
      <c r="Y70" s="4" t="n">
        <v>307000</v>
      </c>
      <c r="Z70" s="4" t="n">
        <v>307</v>
      </c>
      <c r="AA70" s="4" t="n"/>
      <c r="AB70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0" s="4" t="inlineStr">
        <is>
          <t>ANON0000000</t>
        </is>
      </c>
      <c r="AD70" s="4" t="inlineStr">
        <is>
          <t>RH40</t>
        </is>
      </c>
      <c r="AE70" s="4" t="n">
        <v>1240492</v>
      </c>
      <c r="AF70" s="4" t="n"/>
      <c r="AG70" s="4" t="inlineStr">
        <is>
          <t>FCL/FCL</t>
        </is>
      </c>
      <c r="AH70" s="4" t="inlineStr">
        <is>
          <t>GENERAL COMMODITY</t>
        </is>
      </c>
      <c r="AI70" s="4" t="n">
        <v>29400</v>
      </c>
      <c r="AJ70" s="4" t="n">
        <v>28</v>
      </c>
      <c r="AK70" s="4" t="inlineStr">
        <is>
          <t>BLO</t>
        </is>
      </c>
      <c r="AL70" s="4" t="n"/>
      <c r="AM70" s="4" t="n"/>
      <c r="AN70" s="4" t="n"/>
      <c r="AO70" s="4" t="n"/>
      <c r="AP70" s="4" t="n"/>
      <c r="AQ70" s="4" t="n"/>
      <c r="AR70" s="4" t="n">
        <v>4640</v>
      </c>
      <c r="AS70" s="4" t="n">
        <v>28000</v>
      </c>
      <c r="AT70" s="12" t="n"/>
    </row>
    <row r="71" ht="10.5" customFormat="1" customHeight="1" s="6">
      <c r="A71" s="11" t="n">
        <v>70</v>
      </c>
      <c r="B71" s="4" t="inlineStr">
        <is>
          <t>MERCURY / VOYAGE 1</t>
        </is>
      </c>
      <c r="C71" s="4" t="inlineStr">
        <is>
          <t>REF000000</t>
        </is>
      </c>
      <c r="D71" s="7" t="n">
        <v>46095</v>
      </c>
      <c r="E71" s="4" t="n">
        <v>46104</v>
      </c>
      <c r="F71" s="4" t="inlineStr">
        <is>
          <t>RULED</t>
        </is>
      </c>
      <c r="G71" s="4" t="inlineStr">
        <is>
          <t>RULED</t>
        </is>
      </c>
      <c r="H71" s="4" t="inlineStr">
        <is>
          <t>USNYC</t>
        </is>
      </c>
      <c r="I71" s="4" t="inlineStr">
        <is>
          <t>USNYC</t>
        </is>
      </c>
      <c r="J71" s="4" t="n"/>
      <c r="K71" s="8" t="n"/>
      <c r="L71" s="4" t="inlineStr">
        <is>
          <t>DOLPHIN REEFER</t>
        </is>
      </c>
      <c r="M71" s="4" t="inlineStr">
        <is>
          <t>DOLPHIN REEFER</t>
        </is>
      </c>
      <c r="N71" s="4" t="n"/>
      <c r="O71" s="4" t="n"/>
      <c r="P71" s="4" t="inlineStr">
        <is>
          <t>DOLPHIN REEFER</t>
        </is>
      </c>
      <c r="Q71" s="4" t="inlineStr">
        <is>
          <t>DOLPHIN REEFER</t>
        </is>
      </c>
      <c r="R71" s="4" t="n"/>
      <c r="S71" s="4" t="n"/>
      <c r="T71" s="4" t="inlineStr">
        <is>
          <t>DOLPHIN REEFER</t>
        </is>
      </c>
      <c r="U71" s="4" t="inlineStr">
        <is>
          <t>AVENIDA DAS ARAUCARIAS, 5126, CHAPADA - ARAUCï¿½RIA-PR - CEP: 83707754 CNPJ 02.351.006/0001-39</t>
        </is>
      </c>
      <c r="V71" s="4" t="n">
        <v>21</v>
      </c>
      <c r="W71" s="4" t="n">
        <v>0</v>
      </c>
      <c r="X71" s="4" t="n">
        <v>322350</v>
      </c>
      <c r="Y71" s="4" t="n">
        <v>307000</v>
      </c>
      <c r="Z71" s="4" t="n">
        <v>307</v>
      </c>
      <c r="AA71" s="4" t="n"/>
      <c r="AB71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1" s="4" t="inlineStr">
        <is>
          <t>ANON0000000</t>
        </is>
      </c>
      <c r="AD71" s="4" t="inlineStr">
        <is>
          <t>RH40</t>
        </is>
      </c>
      <c r="AE71" s="4" t="n">
        <v>1240428</v>
      </c>
      <c r="AF71" s="4" t="n"/>
      <c r="AG71" s="4" t="inlineStr">
        <is>
          <t>FCL/FCL</t>
        </is>
      </c>
      <c r="AH71" s="4" t="inlineStr">
        <is>
          <t>GENERAL COMMODITY</t>
        </is>
      </c>
      <c r="AI71" s="4" t="n">
        <v>29400</v>
      </c>
      <c r="AJ71" s="4" t="n">
        <v>28</v>
      </c>
      <c r="AK71" s="4" t="inlineStr">
        <is>
          <t>BLO</t>
        </is>
      </c>
      <c r="AL71" s="4" t="n"/>
      <c r="AM71" s="4" t="n"/>
      <c r="AN71" s="4" t="n"/>
      <c r="AO71" s="4" t="n"/>
      <c r="AP71" s="4" t="n"/>
      <c r="AQ71" s="4" t="n"/>
      <c r="AR71" s="4" t="n">
        <v>4560</v>
      </c>
      <c r="AS71" s="4" t="n">
        <v>28000</v>
      </c>
      <c r="AT71" s="12" t="n"/>
    </row>
    <row r="72" ht="10.5" customFormat="1" customHeight="1" s="6">
      <c r="A72" s="11" t="n">
        <v>71</v>
      </c>
      <c r="B72" s="4" t="inlineStr">
        <is>
          <t>MERCURY / VOYAGE 1</t>
        </is>
      </c>
      <c r="C72" s="4" t="inlineStr">
        <is>
          <t>REF000000</t>
        </is>
      </c>
      <c r="D72" s="7" t="n">
        <v>46095</v>
      </c>
      <c r="E72" s="4" t="n">
        <v>46104</v>
      </c>
      <c r="F72" s="4" t="inlineStr">
        <is>
          <t>RULED</t>
        </is>
      </c>
      <c r="G72" s="4" t="inlineStr">
        <is>
          <t>RULED</t>
        </is>
      </c>
      <c r="H72" s="4" t="inlineStr">
        <is>
          <t>USNYC</t>
        </is>
      </c>
      <c r="I72" s="4" t="inlineStr">
        <is>
          <t>USNYC</t>
        </is>
      </c>
      <c r="J72" s="4" t="n"/>
      <c r="K72" s="8" t="n"/>
      <c r="L72" s="4" t="inlineStr">
        <is>
          <t>MARLIN REEFER</t>
        </is>
      </c>
      <c r="M72" s="4" t="inlineStr">
        <is>
          <t>MARLIN REEFER</t>
        </is>
      </c>
      <c r="N72" s="4" t="n"/>
      <c r="O72" s="4" t="n"/>
      <c r="P72" s="4" t="inlineStr">
        <is>
          <t>MARLIN REEFER</t>
        </is>
      </c>
      <c r="Q72" s="4" t="inlineStr">
        <is>
          <t>MARLIN REEFER</t>
        </is>
      </c>
      <c r="R72" s="4" t="n"/>
      <c r="S72" s="4" t="n"/>
      <c r="T72" s="4" t="inlineStr">
        <is>
          <t>MARLIN REEFER</t>
        </is>
      </c>
      <c r="U72" s="4" t="inlineStr">
        <is>
          <t>AVENIDA DAS ARAUCARIAS, 5126, CHAPADA - ARAUCï¿½RIA-PR - CEP: 83707754 CNPJ 02.351.006/0001-39</t>
        </is>
      </c>
      <c r="V72" s="4" t="n">
        <v>21</v>
      </c>
      <c r="W72" s="4" t="n">
        <v>0</v>
      </c>
      <c r="X72" s="4" t="n">
        <v>322350</v>
      </c>
      <c r="Y72" s="4" t="n">
        <v>307000</v>
      </c>
      <c r="Z72" s="4" t="n">
        <v>307</v>
      </c>
      <c r="AA72" s="4" t="n"/>
      <c r="AB72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2" s="4" t="inlineStr">
        <is>
          <t>ANON0000000</t>
        </is>
      </c>
      <c r="AD72" s="4" t="inlineStr">
        <is>
          <t>RH40</t>
        </is>
      </c>
      <c r="AE72" s="4" t="n">
        <v>1240427</v>
      </c>
      <c r="AF72" s="4" t="n"/>
      <c r="AG72" s="4" t="inlineStr">
        <is>
          <t>FCL/FCL</t>
        </is>
      </c>
      <c r="AH72" s="4" t="inlineStr">
        <is>
          <t>GENERAL COMMODITY</t>
        </is>
      </c>
      <c r="AI72" s="4" t="n">
        <v>29400</v>
      </c>
      <c r="AJ72" s="4" t="n">
        <v>28</v>
      </c>
      <c r="AK72" s="4" t="inlineStr">
        <is>
          <t>BLO</t>
        </is>
      </c>
      <c r="AL72" s="4" t="n"/>
      <c r="AM72" s="4" t="n"/>
      <c r="AN72" s="4" t="n"/>
      <c r="AO72" s="4" t="n"/>
      <c r="AP72" s="4" t="n"/>
      <c r="AQ72" s="4" t="n"/>
      <c r="AR72" s="4" t="n">
        <v>4650</v>
      </c>
      <c r="AS72" s="4" t="n">
        <v>28000</v>
      </c>
      <c r="AT72" s="12" t="n"/>
    </row>
    <row r="73" ht="10.5" customFormat="1" customHeight="1" s="6">
      <c r="A73" s="11" t="n">
        <v>72</v>
      </c>
      <c r="B73" s="4" t="inlineStr">
        <is>
          <t>MERCURY / VOYAGE 1</t>
        </is>
      </c>
      <c r="C73" s="4" t="inlineStr">
        <is>
          <t>REF000000</t>
        </is>
      </c>
      <c r="D73" s="7" t="n">
        <v>46095</v>
      </c>
      <c r="E73" s="4" t="n">
        <v>46104</v>
      </c>
      <c r="F73" s="4" t="inlineStr">
        <is>
          <t>RULED</t>
        </is>
      </c>
      <c r="G73" s="4" t="inlineStr">
        <is>
          <t>RULED</t>
        </is>
      </c>
      <c r="H73" s="4" t="inlineStr">
        <is>
          <t>USNYC</t>
        </is>
      </c>
      <c r="I73" s="4" t="inlineStr">
        <is>
          <t>USNYC</t>
        </is>
      </c>
      <c r="J73" s="4" t="n"/>
      <c r="K73" s="8" t="n"/>
      <c r="L73" s="4" t="inlineStr">
        <is>
          <t>TURTLE REEFER</t>
        </is>
      </c>
      <c r="M73" s="4" t="inlineStr">
        <is>
          <t>TURTLE REEFER</t>
        </is>
      </c>
      <c r="N73" s="4" t="n"/>
      <c r="O73" s="4" t="n"/>
      <c r="P73" s="4" t="inlineStr">
        <is>
          <t>TURTLE REEFER</t>
        </is>
      </c>
      <c r="Q73" s="4" t="inlineStr">
        <is>
          <t>TURTLE REEFER</t>
        </is>
      </c>
      <c r="R73" s="4" t="n"/>
      <c r="S73" s="4" t="n"/>
      <c r="T73" s="4" t="inlineStr">
        <is>
          <t>TURTLE REEFER</t>
        </is>
      </c>
      <c r="U73" s="4" t="inlineStr">
        <is>
          <t>AVENIDA DAS ARAUCARIAS, 5126, CHAPADA - ARAUCï¿½RIA-PR - CEP: 83707754 CNPJ 02.351.006/0001-39</t>
        </is>
      </c>
      <c r="V73" s="4" t="n">
        <v>21</v>
      </c>
      <c r="W73" s="4" t="n">
        <v>0</v>
      </c>
      <c r="X73" s="4" t="n">
        <v>322350</v>
      </c>
      <c r="Y73" s="4" t="n">
        <v>307000</v>
      </c>
      <c r="Z73" s="4" t="n">
        <v>307</v>
      </c>
      <c r="AA73" s="4" t="n"/>
      <c r="AB73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3" s="4" t="inlineStr">
        <is>
          <t>ANON0000000</t>
        </is>
      </c>
      <c r="AD73" s="4" t="inlineStr">
        <is>
          <t>RH40</t>
        </is>
      </c>
      <c r="AE73" s="4" t="n">
        <v>1240430</v>
      </c>
      <c r="AF73" s="4" t="n"/>
      <c r="AG73" s="4" t="inlineStr">
        <is>
          <t>FCL/FCL</t>
        </is>
      </c>
      <c r="AH73" s="4" t="inlineStr">
        <is>
          <t>GENERAL COMMODITY</t>
        </is>
      </c>
      <c r="AI73" s="4" t="n">
        <v>29400</v>
      </c>
      <c r="AJ73" s="4" t="n">
        <v>28</v>
      </c>
      <c r="AK73" s="4" t="inlineStr">
        <is>
          <t>BLO</t>
        </is>
      </c>
      <c r="AL73" s="4" t="n"/>
      <c r="AM73" s="4" t="n"/>
      <c r="AN73" s="4" t="n"/>
      <c r="AO73" s="4" t="n"/>
      <c r="AP73" s="4" t="n"/>
      <c r="AQ73" s="4" t="n"/>
      <c r="AR73" s="4" t="n">
        <v>4560</v>
      </c>
      <c r="AS73" s="4" t="n">
        <v>28000</v>
      </c>
      <c r="AT73" s="12" t="n"/>
    </row>
    <row r="74" ht="10.5" customFormat="1" customHeight="1" s="6">
      <c r="A74" s="11" t="n">
        <v>73</v>
      </c>
      <c r="B74" s="4" t="inlineStr">
        <is>
          <t>MERCURY / VOYAGE 1</t>
        </is>
      </c>
      <c r="C74" s="4" t="inlineStr">
        <is>
          <t>REF000000</t>
        </is>
      </c>
      <c r="D74" s="7" t="n">
        <v>46095</v>
      </c>
      <c r="E74" s="4" t="n">
        <v>46104</v>
      </c>
      <c r="F74" s="4" t="inlineStr">
        <is>
          <t>RULED</t>
        </is>
      </c>
      <c r="G74" s="4" t="inlineStr">
        <is>
          <t>RULED</t>
        </is>
      </c>
      <c r="H74" s="4" t="inlineStr">
        <is>
          <t>USNYC</t>
        </is>
      </c>
      <c r="I74" s="4" t="inlineStr">
        <is>
          <t>USNYC</t>
        </is>
      </c>
      <c r="J74" s="4" t="n"/>
      <c r="K74" s="8" t="n"/>
      <c r="L74" s="4" t="inlineStr">
        <is>
          <t>ORCA REEFER</t>
        </is>
      </c>
      <c r="M74" s="4" t="inlineStr">
        <is>
          <t>ORCA REEFER</t>
        </is>
      </c>
      <c r="N74" s="4" t="n"/>
      <c r="O74" s="4" t="n"/>
      <c r="P74" s="4" t="inlineStr">
        <is>
          <t>ORCA REEFER</t>
        </is>
      </c>
      <c r="Q74" s="4" t="inlineStr">
        <is>
          <t>ORCA REEFER</t>
        </is>
      </c>
      <c r="R74" s="4" t="n"/>
      <c r="S74" s="4" t="n"/>
      <c r="T74" s="4" t="inlineStr">
        <is>
          <t>ORCA REEFER</t>
        </is>
      </c>
      <c r="U74" s="4" t="inlineStr">
        <is>
          <t>AVENIDA DAS ARAUCARIAS, 5126, CHAPADA - ARAUCï¿½RIA-PR - CEP: 83707754 CNPJ 02.351.006/0001-39</t>
        </is>
      </c>
      <c r="V74" s="4" t="n">
        <v>21</v>
      </c>
      <c r="W74" s="4" t="n">
        <v>0</v>
      </c>
      <c r="X74" s="4" t="n">
        <v>322350</v>
      </c>
      <c r="Y74" s="4" t="n">
        <v>307000</v>
      </c>
      <c r="Z74" s="4" t="n">
        <v>307</v>
      </c>
      <c r="AA74" s="4" t="n"/>
      <c r="AB74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4" s="4" t="inlineStr">
        <is>
          <t>ANON0000000</t>
        </is>
      </c>
      <c r="AD74" s="4" t="inlineStr">
        <is>
          <t>RH40</t>
        </is>
      </c>
      <c r="AE74" s="4" t="n">
        <v>1240494</v>
      </c>
      <c r="AF74" s="4" t="n"/>
      <c r="AG74" s="4" t="inlineStr">
        <is>
          <t>FCL/FCL</t>
        </is>
      </c>
      <c r="AH74" s="4" t="inlineStr">
        <is>
          <t>GENERAL COMMODITY</t>
        </is>
      </c>
      <c r="AI74" s="4" t="n">
        <v>28350</v>
      </c>
      <c r="AJ74" s="4" t="n">
        <v>27</v>
      </c>
      <c r="AK74" s="4" t="inlineStr">
        <is>
          <t>BLO</t>
        </is>
      </c>
      <c r="AL74" s="4" t="n"/>
      <c r="AM74" s="4" t="n"/>
      <c r="AN74" s="4" t="n"/>
      <c r="AO74" s="4" t="n"/>
      <c r="AP74" s="4" t="n"/>
      <c r="AQ74" s="4" t="n"/>
      <c r="AR74" s="4" t="n">
        <v>4630</v>
      </c>
      <c r="AS74" s="4" t="n">
        <v>28000</v>
      </c>
      <c r="AT74" s="12" t="n"/>
    </row>
    <row r="75" ht="10.5" customFormat="1" customHeight="1" s="6">
      <c r="A75" s="11" t="n">
        <v>74</v>
      </c>
      <c r="B75" s="4" t="inlineStr">
        <is>
          <t>MERCURY / VOYAGE 1</t>
        </is>
      </c>
      <c r="C75" s="4" t="inlineStr">
        <is>
          <t>REF000000</t>
        </is>
      </c>
      <c r="D75" s="7" t="n">
        <v>46095</v>
      </c>
      <c r="E75" s="4" t="n">
        <v>46104</v>
      </c>
      <c r="F75" s="4" t="inlineStr">
        <is>
          <t>RULED</t>
        </is>
      </c>
      <c r="G75" s="4" t="inlineStr">
        <is>
          <t>RULED</t>
        </is>
      </c>
      <c r="H75" s="4" t="inlineStr">
        <is>
          <t>USNYC</t>
        </is>
      </c>
      <c r="I75" s="4" t="inlineStr">
        <is>
          <t>USNYC</t>
        </is>
      </c>
      <c r="J75" s="4" t="n"/>
      <c r="K75" s="8" t="n"/>
      <c r="L75" s="4" t="inlineStr">
        <is>
          <t>WHALE REEFER</t>
        </is>
      </c>
      <c r="M75" s="4" t="inlineStr">
        <is>
          <t>WHALE REEFER</t>
        </is>
      </c>
      <c r="N75" s="4" t="n"/>
      <c r="O75" s="4" t="n"/>
      <c r="P75" s="4" t="inlineStr">
        <is>
          <t>WHALE REEFER</t>
        </is>
      </c>
      <c r="Q75" s="4" t="inlineStr">
        <is>
          <t>WHALE REEFER</t>
        </is>
      </c>
      <c r="R75" s="4" t="n"/>
      <c r="S75" s="4" t="n"/>
      <c r="T75" s="4" t="inlineStr">
        <is>
          <t>WHALE REEFER</t>
        </is>
      </c>
      <c r="U75" s="4" t="inlineStr">
        <is>
          <t>AVENIDA DAS ARAUCARIAS, 5126, CHAPADA - ARAUCï¿½RIA-PR - CEP: 83707754 CNPJ 02.351.006/0001-39</t>
        </is>
      </c>
      <c r="V75" s="4" t="n">
        <v>21</v>
      </c>
      <c r="W75" s="4" t="n">
        <v>0</v>
      </c>
      <c r="X75" s="4" t="n">
        <v>322350</v>
      </c>
      <c r="Y75" s="4" t="n">
        <v>307000</v>
      </c>
      <c r="Z75" s="4" t="n">
        <v>307</v>
      </c>
      <c r="AA75" s="4" t="n"/>
      <c r="AB75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75" s="4" t="inlineStr">
        <is>
          <t>ANON0000000</t>
        </is>
      </c>
      <c r="AD75" s="4" t="inlineStr">
        <is>
          <t>RH40</t>
        </is>
      </c>
      <c r="AE75" s="4" t="n">
        <v>1240496</v>
      </c>
      <c r="AF75" s="4" t="n"/>
      <c r="AG75" s="4" t="inlineStr">
        <is>
          <t>FCL/FCL</t>
        </is>
      </c>
      <c r="AH75" s="4" t="inlineStr">
        <is>
          <t>GENERAL COMMODITY</t>
        </is>
      </c>
      <c r="AI75" s="4" t="n">
        <v>30450</v>
      </c>
      <c r="AJ75" s="4" t="n">
        <v>29</v>
      </c>
      <c r="AK75" s="4" t="inlineStr">
        <is>
          <t>BLO</t>
        </is>
      </c>
      <c r="AL75" s="4" t="n"/>
      <c r="AM75" s="4" t="n"/>
      <c r="AN75" s="4" t="n"/>
      <c r="AO75" s="4" t="n"/>
      <c r="AP75" s="4" t="n"/>
      <c r="AQ75" s="4" t="n"/>
      <c r="AR75" s="4" t="n">
        <v>4460</v>
      </c>
      <c r="AS75" s="4" t="n">
        <v>28000</v>
      </c>
      <c r="AT75" s="12" t="n"/>
    </row>
    <row r="76" ht="10.5" customFormat="1" customHeight="1" s="6">
      <c r="A76" s="11" t="n">
        <v>75</v>
      </c>
      <c r="B76" s="4" t="inlineStr">
        <is>
          <t>MERCURY / VOYAGE 1</t>
        </is>
      </c>
      <c r="C76" s="4" t="inlineStr">
        <is>
          <t>REF000000</t>
        </is>
      </c>
      <c r="D76" s="7" t="n">
        <v>46095</v>
      </c>
      <c r="E76" s="4" t="n">
        <v>46104</v>
      </c>
      <c r="F76" s="4" t="inlineStr">
        <is>
          <t>RULED</t>
        </is>
      </c>
      <c r="G76" s="4" t="inlineStr">
        <is>
          <t>RULED</t>
        </is>
      </c>
      <c r="H76" s="4" t="inlineStr">
        <is>
          <t>USNYC</t>
        </is>
      </c>
      <c r="I76" s="4" t="inlineStr">
        <is>
          <t>USNYC</t>
        </is>
      </c>
      <c r="J76" s="4" t="n"/>
      <c r="K76" s="8" t="n"/>
      <c r="L76" s="4" t="inlineStr">
        <is>
          <t>SEAL REEFER</t>
        </is>
      </c>
      <c r="M76" s="4" t="inlineStr">
        <is>
          <t>SEAL REEFER</t>
        </is>
      </c>
      <c r="N76" s="4" t="n"/>
      <c r="O76" s="4" t="n"/>
      <c r="P76" s="4" t="inlineStr">
        <is>
          <t>SEAL REEFER</t>
        </is>
      </c>
      <c r="Q76" s="4" t="inlineStr">
        <is>
          <t>SEAL REEFER</t>
        </is>
      </c>
      <c r="R76" s="4" t="n"/>
      <c r="S76" s="4" t="n"/>
      <c r="T76" s="4" t="inlineStr">
        <is>
          <t>SEAL REEFER</t>
        </is>
      </c>
      <c r="U76" s="4" t="inlineStr">
        <is>
          <t>AVENIDA DAS ARAUCARIAS, 5126, CHAPADA - ARAUCARIA-PR - CEP: 83707754 CNPJ 02.351.006/0001-39</t>
        </is>
      </c>
      <c r="V76" s="4" t="n">
        <v>21</v>
      </c>
      <c r="W76" s="4" t="n">
        <v>0</v>
      </c>
      <c r="X76" s="4" t="n">
        <v>323400</v>
      </c>
      <c r="Y76" s="4" t="n">
        <v>308000</v>
      </c>
      <c r="Z76" s="4" t="n">
        <v>308</v>
      </c>
      <c r="AA76" s="4" t="n"/>
      <c r="AB76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76" s="4" t="inlineStr">
        <is>
          <t>ANON0000000</t>
        </is>
      </c>
      <c r="AD76" s="4" t="inlineStr">
        <is>
          <t>RH40</t>
        </is>
      </c>
      <c r="AE76" s="4" t="n">
        <v>1240500</v>
      </c>
      <c r="AF76" s="4" t="n"/>
      <c r="AG76" s="4" t="inlineStr">
        <is>
          <t>FCL/FCL</t>
        </is>
      </c>
      <c r="AH76" s="4" t="inlineStr">
        <is>
          <t>GENERAL COMMODITY</t>
        </is>
      </c>
      <c r="AI76" s="4" t="n">
        <v>29400</v>
      </c>
      <c r="AJ76" s="4" t="n">
        <v>28</v>
      </c>
      <c r="AK76" s="4" t="inlineStr">
        <is>
          <t>BLO</t>
        </is>
      </c>
      <c r="AL76" s="4" t="n"/>
      <c r="AM76" s="4" t="n"/>
      <c r="AN76" s="4" t="n"/>
      <c r="AO76" s="4" t="n"/>
      <c r="AP76" s="4" t="n"/>
      <c r="AQ76" s="4" t="n"/>
      <c r="AR76" s="4" t="n">
        <v>4730</v>
      </c>
      <c r="AS76" s="4" t="n">
        <v>28000</v>
      </c>
      <c r="AT76" s="12" t="n"/>
    </row>
    <row r="77" ht="10.5" customFormat="1" customHeight="1" s="6">
      <c r="A77" s="11" t="n">
        <v>76</v>
      </c>
      <c r="B77" s="4" t="inlineStr">
        <is>
          <t>MERCURY / VOYAGE 1</t>
        </is>
      </c>
      <c r="C77" s="4" t="inlineStr">
        <is>
          <t>REF000000</t>
        </is>
      </c>
      <c r="D77" s="7" t="n">
        <v>46095</v>
      </c>
      <c r="E77" s="4" t="n">
        <v>46104</v>
      </c>
      <c r="F77" s="4" t="inlineStr">
        <is>
          <t>RULED</t>
        </is>
      </c>
      <c r="G77" s="4" t="inlineStr">
        <is>
          <t>RULED</t>
        </is>
      </c>
      <c r="H77" s="4" t="inlineStr">
        <is>
          <t>USNYC</t>
        </is>
      </c>
      <c r="I77" s="4" t="inlineStr">
        <is>
          <t>USNYC</t>
        </is>
      </c>
      <c r="J77" s="4" t="n"/>
      <c r="K77" s="8" t="n"/>
      <c r="L77" s="4" t="inlineStr">
        <is>
          <t>SHARK REEFER</t>
        </is>
      </c>
      <c r="M77" s="4" t="inlineStr">
        <is>
          <t>SHARK REEFER</t>
        </is>
      </c>
      <c r="N77" s="9" t="n"/>
      <c r="O77" s="9" t="n"/>
      <c r="P77" s="4" t="inlineStr">
        <is>
          <t>SHARK REEFER</t>
        </is>
      </c>
      <c r="Q77" s="4" t="inlineStr">
        <is>
          <t>SHARK REEFER</t>
        </is>
      </c>
      <c r="R77" s="4" t="n"/>
      <c r="S77" s="4" t="n"/>
      <c r="T77" s="4" t="inlineStr">
        <is>
          <t>SHARK REEFER</t>
        </is>
      </c>
      <c r="U77" s="4" t="inlineStr">
        <is>
          <t>AVENIDA DAS ARAUCARIAS, 5126, CHAPADA - ARAUCARIA-PR - CEP: 83707754 CNPJ 02.351.006/0001-39</t>
        </is>
      </c>
      <c r="V77" s="9" t="n">
        <v>21</v>
      </c>
      <c r="W77" s="9" t="n">
        <v>0</v>
      </c>
      <c r="X77" s="10" t="n">
        <v>323400</v>
      </c>
      <c r="Y77" s="10" t="n">
        <v>308000</v>
      </c>
      <c r="Z77" s="9" t="n">
        <v>308</v>
      </c>
      <c r="AA77" s="4" t="n"/>
      <c r="AB77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77" s="4" t="inlineStr">
        <is>
          <t>ANON0000000</t>
        </is>
      </c>
      <c r="AD77" s="4" t="inlineStr">
        <is>
          <t>RH40</t>
        </is>
      </c>
      <c r="AE77" s="4" t="n">
        <v>1240498</v>
      </c>
      <c r="AF77" s="4" t="n"/>
      <c r="AG77" s="4" t="inlineStr">
        <is>
          <t>FCL/FCL</t>
        </is>
      </c>
      <c r="AH77" s="4" t="inlineStr">
        <is>
          <t>GENERAL COMMODITY</t>
        </is>
      </c>
      <c r="AI77" s="10" t="n">
        <v>29400</v>
      </c>
      <c r="AJ77" s="9" t="n">
        <v>28</v>
      </c>
      <c r="AK77" s="4" t="inlineStr">
        <is>
          <t>BLO</t>
        </is>
      </c>
      <c r="AL77" s="4" t="n"/>
      <c r="AM77" s="4" t="n"/>
      <c r="AN77" s="4" t="n"/>
      <c r="AO77" s="4" t="n"/>
      <c r="AP77" s="4" t="n"/>
      <c r="AQ77" s="4" t="n"/>
      <c r="AR77" s="4" t="n">
        <v>4400</v>
      </c>
      <c r="AS77" s="4" t="n">
        <v>28000</v>
      </c>
      <c r="AT77" s="12" t="n"/>
    </row>
    <row r="78" ht="10.5" customFormat="1" customHeight="1" s="6">
      <c r="A78" s="11" t="n">
        <v>77</v>
      </c>
      <c r="B78" s="4" t="inlineStr">
        <is>
          <t>MERCURY / VOYAGE 1</t>
        </is>
      </c>
      <c r="C78" s="4" t="inlineStr">
        <is>
          <t>REF000000</t>
        </is>
      </c>
      <c r="D78" s="7" t="n">
        <v>46095</v>
      </c>
      <c r="E78" s="4" t="n">
        <v>46104</v>
      </c>
      <c r="F78" s="4" t="inlineStr">
        <is>
          <t>RULED</t>
        </is>
      </c>
      <c r="G78" s="4" t="inlineStr">
        <is>
          <t>RULED</t>
        </is>
      </c>
      <c r="H78" s="4" t="inlineStr">
        <is>
          <t>USNYC</t>
        </is>
      </c>
      <c r="I78" s="4" t="inlineStr">
        <is>
          <t>USNYC</t>
        </is>
      </c>
      <c r="J78" s="4" t="n"/>
      <c r="K78" s="8" t="n"/>
      <c r="L78" s="4" t="inlineStr">
        <is>
          <t>DOLPHIN REEFER</t>
        </is>
      </c>
      <c r="M78" s="4" t="inlineStr">
        <is>
          <t>DOLPHIN REEFER</t>
        </is>
      </c>
      <c r="N78" s="9" t="n"/>
      <c r="O78" s="9" t="n"/>
      <c r="P78" s="4" t="inlineStr">
        <is>
          <t>DOLPHIN REEFER</t>
        </is>
      </c>
      <c r="Q78" s="4" t="inlineStr">
        <is>
          <t>DOLPHIN REEFER</t>
        </is>
      </c>
      <c r="R78" s="4" t="n"/>
      <c r="S78" s="4" t="n"/>
      <c r="T78" s="4" t="inlineStr">
        <is>
          <t>DOLPHIN REEFER</t>
        </is>
      </c>
      <c r="U78" s="4" t="inlineStr">
        <is>
          <t>AVENIDA DAS ARAUCARIAS, 5126, CHAPADA - ARAUCARIA-PR - CEP: 83707754 CNPJ 02.351.006/0001-39</t>
        </is>
      </c>
      <c r="V78" s="9" t="n">
        <v>21</v>
      </c>
      <c r="W78" s="9" t="n">
        <v>0</v>
      </c>
      <c r="X78" s="10" t="n">
        <v>323400</v>
      </c>
      <c r="Y78" s="10" t="n">
        <v>308000</v>
      </c>
      <c r="Z78" s="9" t="n">
        <v>308</v>
      </c>
      <c r="AA78" s="4" t="n"/>
      <c r="AB78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78" s="4" t="inlineStr">
        <is>
          <t>ANON0000000</t>
        </is>
      </c>
      <c r="AD78" s="4" t="inlineStr">
        <is>
          <t>RH40</t>
        </is>
      </c>
      <c r="AE78" s="4" t="n">
        <v>1240529</v>
      </c>
      <c r="AF78" s="4" t="n"/>
      <c r="AG78" s="4" t="inlineStr">
        <is>
          <t>FCL/FCL</t>
        </is>
      </c>
      <c r="AH78" s="4" t="inlineStr">
        <is>
          <t>GENERAL COMMODITY</t>
        </is>
      </c>
      <c r="AI78" s="10" t="n">
        <v>29400</v>
      </c>
      <c r="AJ78" s="9" t="n">
        <v>28</v>
      </c>
      <c r="AK78" s="4" t="inlineStr">
        <is>
          <t>BLO</t>
        </is>
      </c>
      <c r="AL78" s="4" t="n"/>
      <c r="AM78" s="4" t="n"/>
      <c r="AN78" s="4" t="n"/>
      <c r="AO78" s="4" t="n"/>
      <c r="AP78" s="4" t="n"/>
      <c r="AQ78" s="4" t="n"/>
      <c r="AR78" s="4" t="n">
        <v>4580</v>
      </c>
      <c r="AS78" s="4" t="n">
        <v>28000</v>
      </c>
      <c r="AT78" s="12" t="n"/>
    </row>
    <row r="79" ht="10.5" customFormat="1" customHeight="1" s="6">
      <c r="A79" s="11" t="n">
        <v>78</v>
      </c>
      <c r="B79" s="4" t="inlineStr">
        <is>
          <t>MERCURY / VOYAGE 1</t>
        </is>
      </c>
      <c r="C79" s="4" t="inlineStr">
        <is>
          <t>REF000000</t>
        </is>
      </c>
      <c r="D79" s="7" t="n">
        <v>46095</v>
      </c>
      <c r="E79" s="4" t="n">
        <v>46104</v>
      </c>
      <c r="F79" s="4" t="inlineStr">
        <is>
          <t>RULED</t>
        </is>
      </c>
      <c r="G79" s="4" t="inlineStr">
        <is>
          <t>RULED</t>
        </is>
      </c>
      <c r="H79" s="4" t="inlineStr">
        <is>
          <t>USNYC</t>
        </is>
      </c>
      <c r="I79" s="4" t="inlineStr">
        <is>
          <t>USNYC</t>
        </is>
      </c>
      <c r="J79" s="4" t="n"/>
      <c r="K79" s="8" t="n"/>
      <c r="L79" s="4" t="inlineStr">
        <is>
          <t>MARLIN REEFER</t>
        </is>
      </c>
      <c r="M79" s="4" t="inlineStr">
        <is>
          <t>MARLIN REEFER</t>
        </is>
      </c>
      <c r="N79" s="9" t="n"/>
      <c r="O79" s="9" t="n"/>
      <c r="P79" s="4" t="inlineStr">
        <is>
          <t>MARLIN REEFER</t>
        </is>
      </c>
      <c r="Q79" s="4" t="inlineStr">
        <is>
          <t>MARLIN REEFER</t>
        </is>
      </c>
      <c r="R79" s="4" t="n"/>
      <c r="S79" s="4" t="n"/>
      <c r="T79" s="4" t="inlineStr">
        <is>
          <t>MARLIN REEFER</t>
        </is>
      </c>
      <c r="U79" s="4" t="inlineStr">
        <is>
          <t>AVENIDA DAS ARAUCARIAS, 5126, CHAPADA - ARAUCARIA-PR - CEP: 83707754 CNPJ 02.351.006/0001-39</t>
        </is>
      </c>
      <c r="V79" s="9" t="n">
        <v>21</v>
      </c>
      <c r="W79" s="9" t="n">
        <v>0</v>
      </c>
      <c r="X79" s="10" t="n">
        <v>323400</v>
      </c>
      <c r="Y79" s="10" t="n">
        <v>308000</v>
      </c>
      <c r="Z79" s="9" t="n">
        <v>308</v>
      </c>
      <c r="AA79" s="4" t="n"/>
      <c r="AB79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79" s="4" t="inlineStr">
        <is>
          <t>ANON0000000</t>
        </is>
      </c>
      <c r="AD79" s="4" t="inlineStr">
        <is>
          <t>RH40</t>
        </is>
      </c>
      <c r="AE79" s="4" t="n">
        <v>1229123</v>
      </c>
      <c r="AF79" s="4" t="n"/>
      <c r="AG79" s="4" t="inlineStr">
        <is>
          <t>FCL/FCL</t>
        </is>
      </c>
      <c r="AH79" s="4" t="inlineStr">
        <is>
          <t>GENERAL COMMODITY</t>
        </is>
      </c>
      <c r="AI79" s="10" t="n">
        <v>30450</v>
      </c>
      <c r="AJ79" s="9" t="n">
        <v>29</v>
      </c>
      <c r="AK79" s="4" t="inlineStr">
        <is>
          <t>BLO</t>
        </is>
      </c>
      <c r="AL79" s="4" t="n"/>
      <c r="AM79" s="4" t="n"/>
      <c r="AN79" s="4" t="n"/>
      <c r="AO79" s="4" t="n"/>
      <c r="AP79" s="4" t="n"/>
      <c r="AQ79" s="4" t="n"/>
      <c r="AR79" s="4" t="n">
        <v>4640</v>
      </c>
      <c r="AS79" s="4" t="n">
        <v>28000</v>
      </c>
      <c r="AT79" s="12" t="n"/>
    </row>
    <row r="80" ht="10.5" customFormat="1" customHeight="1" s="6">
      <c r="A80" s="11" t="n">
        <v>79</v>
      </c>
      <c r="B80" s="4" t="inlineStr">
        <is>
          <t>MERCURY / VOYAGE 1</t>
        </is>
      </c>
      <c r="C80" s="4" t="inlineStr">
        <is>
          <t>REF000000</t>
        </is>
      </c>
      <c r="D80" s="7" t="n">
        <v>46095</v>
      </c>
      <c r="E80" s="4" t="n">
        <v>46104</v>
      </c>
      <c r="F80" s="4" t="inlineStr">
        <is>
          <t>RULED</t>
        </is>
      </c>
      <c r="G80" s="4" t="inlineStr">
        <is>
          <t>RULED</t>
        </is>
      </c>
      <c r="H80" s="4" t="inlineStr">
        <is>
          <t>USNYC</t>
        </is>
      </c>
      <c r="I80" s="4" t="inlineStr">
        <is>
          <t>USNYC</t>
        </is>
      </c>
      <c r="J80" s="4" t="n"/>
      <c r="K80" s="8" t="n"/>
      <c r="L80" s="4" t="inlineStr">
        <is>
          <t>TURTLE REEFER</t>
        </is>
      </c>
      <c r="M80" s="4" t="inlineStr">
        <is>
          <t>TURTLE REEFER</t>
        </is>
      </c>
      <c r="N80" s="9" t="n"/>
      <c r="O80" s="9" t="n"/>
      <c r="P80" s="4" t="inlineStr">
        <is>
          <t>TURTLE REEFER</t>
        </is>
      </c>
      <c r="Q80" s="4" t="inlineStr">
        <is>
          <t>TURTLE REEFER</t>
        </is>
      </c>
      <c r="R80" s="4" t="n"/>
      <c r="S80" s="4" t="n"/>
      <c r="T80" s="4" t="inlineStr">
        <is>
          <t>TURTLE REEFER</t>
        </is>
      </c>
      <c r="U80" s="4" t="inlineStr">
        <is>
          <t>AVENIDA DAS ARAUCARIAS, 5126, CHAPADA - ARAUCARIA-PR - CEP: 83707754 CNPJ 02.351.006/0001-39</t>
        </is>
      </c>
      <c r="V80" s="9" t="n">
        <v>21</v>
      </c>
      <c r="W80" s="9" t="n">
        <v>0</v>
      </c>
      <c r="X80" s="10" t="n">
        <v>323400</v>
      </c>
      <c r="Y80" s="10" t="n">
        <v>308000</v>
      </c>
      <c r="Z80" s="9" t="n">
        <v>308</v>
      </c>
      <c r="AA80" s="4" t="n"/>
      <c r="AB80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0" s="4" t="inlineStr">
        <is>
          <t>ANON0000000</t>
        </is>
      </c>
      <c r="AD80" s="4" t="inlineStr">
        <is>
          <t>RH40</t>
        </is>
      </c>
      <c r="AE80" s="4" t="n">
        <v>1240528</v>
      </c>
      <c r="AF80" s="4" t="n"/>
      <c r="AG80" s="4" t="inlineStr">
        <is>
          <t>FCL/FCL</t>
        </is>
      </c>
      <c r="AH80" s="4" t="inlineStr">
        <is>
          <t>GENERAL COMMODITY</t>
        </is>
      </c>
      <c r="AI80" s="10" t="n">
        <v>29400</v>
      </c>
      <c r="AJ80" s="9" t="n">
        <v>28</v>
      </c>
      <c r="AK80" s="4" t="inlineStr">
        <is>
          <t>BLO</t>
        </is>
      </c>
      <c r="AL80" s="4" t="n"/>
      <c r="AM80" s="4" t="n"/>
      <c r="AN80" s="4" t="n"/>
      <c r="AO80" s="4" t="n"/>
      <c r="AP80" s="4" t="n"/>
      <c r="AQ80" s="4" t="n"/>
      <c r="AR80" s="4" t="n">
        <v>4640</v>
      </c>
      <c r="AS80" s="4" t="n">
        <v>28000</v>
      </c>
      <c r="AT80" s="12" t="n"/>
    </row>
    <row r="81" ht="10.5" customFormat="1" customHeight="1" s="6">
      <c r="A81" s="11" t="n">
        <v>80</v>
      </c>
      <c r="B81" s="4" t="inlineStr">
        <is>
          <t>MERCURY / VOYAGE 1</t>
        </is>
      </c>
      <c r="C81" s="4" t="inlineStr">
        <is>
          <t>REF000000</t>
        </is>
      </c>
      <c r="D81" s="7" t="n">
        <v>46095</v>
      </c>
      <c r="E81" s="4" t="n">
        <v>46104</v>
      </c>
      <c r="F81" s="4" t="inlineStr">
        <is>
          <t>RULED</t>
        </is>
      </c>
      <c r="G81" s="4" t="inlineStr">
        <is>
          <t>RULED</t>
        </is>
      </c>
      <c r="H81" s="4" t="inlineStr">
        <is>
          <t>USNYC</t>
        </is>
      </c>
      <c r="I81" s="4" t="inlineStr">
        <is>
          <t>USNYC</t>
        </is>
      </c>
      <c r="J81" s="4" t="n"/>
      <c r="K81" s="8" t="n"/>
      <c r="L81" s="4" t="inlineStr">
        <is>
          <t>ORCA REEFER</t>
        </is>
      </c>
      <c r="M81" s="4" t="inlineStr">
        <is>
          <t>ORCA REEFER</t>
        </is>
      </c>
      <c r="N81" s="9" t="n"/>
      <c r="O81" s="9" t="n"/>
      <c r="P81" s="4" t="inlineStr">
        <is>
          <t>ORCA REEFER</t>
        </is>
      </c>
      <c r="Q81" s="4" t="inlineStr">
        <is>
          <t>ORCA REEFER</t>
        </is>
      </c>
      <c r="R81" s="4" t="n"/>
      <c r="S81" s="4" t="n"/>
      <c r="T81" s="4" t="inlineStr">
        <is>
          <t>ORCA REEFER</t>
        </is>
      </c>
      <c r="U81" s="4" t="inlineStr">
        <is>
          <t>AVENIDA DAS ARAUCARIAS, 5126, CHAPADA - ARAUCARIA-PR - CEP: 83707754 CNPJ 02.351.006/0001-39</t>
        </is>
      </c>
      <c r="V81" s="9" t="n">
        <v>21</v>
      </c>
      <c r="W81" s="9" t="n">
        <v>0</v>
      </c>
      <c r="X81" s="10" t="n">
        <v>323400</v>
      </c>
      <c r="Y81" s="10" t="n">
        <v>308000</v>
      </c>
      <c r="Z81" s="9" t="n">
        <v>308</v>
      </c>
      <c r="AA81" s="4" t="n"/>
      <c r="AB81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1" s="4" t="inlineStr">
        <is>
          <t>ANON0000000</t>
        </is>
      </c>
      <c r="AD81" s="4" t="inlineStr">
        <is>
          <t>RH40</t>
        </is>
      </c>
      <c r="AE81" s="4" t="n">
        <v>1229121</v>
      </c>
      <c r="AF81" s="4" t="n"/>
      <c r="AG81" s="4" t="inlineStr">
        <is>
          <t>FCL/FCL</t>
        </is>
      </c>
      <c r="AH81" s="4" t="inlineStr">
        <is>
          <t>GENERAL COMMODITY</t>
        </is>
      </c>
      <c r="AI81" s="10" t="n">
        <v>29400</v>
      </c>
      <c r="AJ81" s="9" t="n">
        <v>28</v>
      </c>
      <c r="AK81" s="4" t="inlineStr">
        <is>
          <t>BLO</t>
        </is>
      </c>
      <c r="AL81" s="4" t="n"/>
      <c r="AM81" s="4" t="n"/>
      <c r="AN81" s="4" t="n"/>
      <c r="AO81" s="4" t="n"/>
      <c r="AP81" s="4" t="n"/>
      <c r="AQ81" s="4" t="n"/>
      <c r="AR81" s="4" t="n">
        <v>4400</v>
      </c>
      <c r="AS81" s="4" t="n">
        <v>28000</v>
      </c>
      <c r="AT81" s="12" t="n"/>
    </row>
    <row r="82" ht="10.5" customFormat="1" customHeight="1" s="6">
      <c r="A82" s="11" t="n">
        <v>81</v>
      </c>
      <c r="B82" s="4" t="inlineStr">
        <is>
          <t>MERCURY / VOYAGE 1</t>
        </is>
      </c>
      <c r="C82" s="4" t="inlineStr">
        <is>
          <t>REF000000</t>
        </is>
      </c>
      <c r="D82" s="7" t="n">
        <v>46095</v>
      </c>
      <c r="E82" s="4" t="n">
        <v>46104</v>
      </c>
      <c r="F82" s="4" t="inlineStr">
        <is>
          <t>RULED</t>
        </is>
      </c>
      <c r="G82" s="4" t="inlineStr">
        <is>
          <t>RULED</t>
        </is>
      </c>
      <c r="H82" s="4" t="inlineStr">
        <is>
          <t>USNYC</t>
        </is>
      </c>
      <c r="I82" s="4" t="inlineStr">
        <is>
          <t>USNYC</t>
        </is>
      </c>
      <c r="J82" s="4" t="n"/>
      <c r="K82" s="8" t="n"/>
      <c r="L82" s="4" t="inlineStr">
        <is>
          <t>WHALE REEFER</t>
        </is>
      </c>
      <c r="M82" s="4" t="inlineStr">
        <is>
          <t>WHALE REEFER</t>
        </is>
      </c>
      <c r="N82" s="9" t="n"/>
      <c r="O82" s="9" t="n"/>
      <c r="P82" s="4" t="inlineStr">
        <is>
          <t>WHALE REEFER</t>
        </is>
      </c>
      <c r="Q82" s="4" t="inlineStr">
        <is>
          <t>WHALE REEFER</t>
        </is>
      </c>
      <c r="R82" s="4" t="n"/>
      <c r="S82" s="4" t="n"/>
      <c r="T82" s="4" t="inlineStr">
        <is>
          <t>WHALE REEFER</t>
        </is>
      </c>
      <c r="U82" s="4" t="inlineStr">
        <is>
          <t>AVENIDA DAS ARAUCARIAS, 5126, CHAPADA - ARAUCARIA-PR - CEP: 83707754 CNPJ 02.351.006/0001-39</t>
        </is>
      </c>
      <c r="V82" s="9" t="n">
        <v>21</v>
      </c>
      <c r="W82" s="9" t="n">
        <v>0</v>
      </c>
      <c r="X82" s="10" t="n">
        <v>323400</v>
      </c>
      <c r="Y82" s="10" t="n">
        <v>308000</v>
      </c>
      <c r="Z82" s="9" t="n">
        <v>308</v>
      </c>
      <c r="AA82" s="4" t="n"/>
      <c r="AB82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2" s="4" t="inlineStr">
        <is>
          <t>ANON0000000</t>
        </is>
      </c>
      <c r="AD82" s="4" t="inlineStr">
        <is>
          <t>RH40</t>
        </is>
      </c>
      <c r="AE82" s="4" t="n">
        <v>1240497</v>
      </c>
      <c r="AF82" s="4" t="n"/>
      <c r="AG82" s="4" t="inlineStr">
        <is>
          <t>FCL/FCL</t>
        </is>
      </c>
      <c r="AH82" s="4" t="inlineStr">
        <is>
          <t>GENERAL COMMODITY</t>
        </is>
      </c>
      <c r="AI82" s="10" t="n">
        <v>28350</v>
      </c>
      <c r="AJ82" s="9" t="n">
        <v>27</v>
      </c>
      <c r="AK82" s="4" t="inlineStr">
        <is>
          <t>BLO</t>
        </is>
      </c>
      <c r="AL82" s="4" t="n"/>
      <c r="AM82" s="4" t="n"/>
      <c r="AN82" s="4" t="n"/>
      <c r="AO82" s="4" t="n"/>
      <c r="AP82" s="4" t="n"/>
      <c r="AQ82" s="4" t="n"/>
      <c r="AR82" s="4" t="n">
        <v>4630</v>
      </c>
      <c r="AS82" s="4" t="n">
        <v>28000</v>
      </c>
      <c r="AT82" s="12" t="n"/>
    </row>
    <row r="83" ht="10.5" customFormat="1" customHeight="1" s="6">
      <c r="A83" s="11" t="n">
        <v>82</v>
      </c>
      <c r="B83" s="4" t="inlineStr">
        <is>
          <t>MERCURY / VOYAGE 1</t>
        </is>
      </c>
      <c r="C83" s="4" t="inlineStr">
        <is>
          <t>REF000000</t>
        </is>
      </c>
      <c r="D83" s="7" t="n">
        <v>46095</v>
      </c>
      <c r="E83" s="4" t="n">
        <v>46104</v>
      </c>
      <c r="F83" s="4" t="inlineStr">
        <is>
          <t>RULED</t>
        </is>
      </c>
      <c r="G83" s="4" t="inlineStr">
        <is>
          <t>RULED</t>
        </is>
      </c>
      <c r="H83" s="4" t="inlineStr">
        <is>
          <t>USNYC</t>
        </is>
      </c>
      <c r="I83" s="4" t="inlineStr">
        <is>
          <t>USNYC</t>
        </is>
      </c>
      <c r="J83" s="4" t="n"/>
      <c r="K83" s="8" t="n"/>
      <c r="L83" s="4" t="inlineStr">
        <is>
          <t>SEAL REEFER</t>
        </is>
      </c>
      <c r="M83" s="4" t="inlineStr">
        <is>
          <t>SEAL REEFER</t>
        </is>
      </c>
      <c r="N83" s="9" t="n"/>
      <c r="O83" s="9" t="n"/>
      <c r="P83" s="4" t="inlineStr">
        <is>
          <t>SEAL REEFER</t>
        </is>
      </c>
      <c r="Q83" s="4" t="inlineStr">
        <is>
          <t>SEAL REEFER</t>
        </is>
      </c>
      <c r="R83" s="4" t="n"/>
      <c r="S83" s="4" t="n"/>
      <c r="T83" s="4" t="inlineStr">
        <is>
          <t>SEAL REEFER</t>
        </is>
      </c>
      <c r="U83" s="4" t="inlineStr">
        <is>
          <t>AVENIDA DAS ARAUCARIAS, 5126, CHAPADA - ARAUCARIA-PR - CEP: 83707754 CNPJ 02.351.006/0001-39</t>
        </is>
      </c>
      <c r="V83" s="9" t="n">
        <v>21</v>
      </c>
      <c r="W83" s="9" t="n">
        <v>0</v>
      </c>
      <c r="X83" s="10" t="n">
        <v>323400</v>
      </c>
      <c r="Y83" s="10" t="n">
        <v>308000</v>
      </c>
      <c r="Z83" s="9" t="n">
        <v>308</v>
      </c>
      <c r="AA83" s="4" t="n"/>
      <c r="AB83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3" s="4" t="inlineStr">
        <is>
          <t>ANON0000000</t>
        </is>
      </c>
      <c r="AD83" s="4" t="inlineStr">
        <is>
          <t>RH40</t>
        </is>
      </c>
      <c r="AE83" s="4" t="n">
        <v>1240490</v>
      </c>
      <c r="AF83" s="4" t="n"/>
      <c r="AG83" s="4" t="inlineStr">
        <is>
          <t>FCL/FCL</t>
        </is>
      </c>
      <c r="AH83" s="4" t="inlineStr">
        <is>
          <t>GENERAL COMMODITY</t>
        </is>
      </c>
      <c r="AI83" s="10" t="n">
        <v>28350</v>
      </c>
      <c r="AJ83" s="9" t="n">
        <v>27</v>
      </c>
      <c r="AK83" s="4" t="inlineStr">
        <is>
          <t>BLO</t>
        </is>
      </c>
      <c r="AL83" s="4" t="n"/>
      <c r="AM83" s="4" t="n"/>
      <c r="AN83" s="4" t="n"/>
      <c r="AO83" s="4" t="n"/>
      <c r="AP83" s="4" t="n"/>
      <c r="AQ83" s="4" t="n"/>
      <c r="AR83" s="4" t="n">
        <v>4700</v>
      </c>
      <c r="AS83" s="4" t="n">
        <v>28000</v>
      </c>
      <c r="AT83" s="12" t="n"/>
    </row>
    <row r="84" ht="10.5" customFormat="1" customHeight="1" s="6">
      <c r="A84" s="11" t="n">
        <v>83</v>
      </c>
      <c r="B84" s="4" t="inlineStr">
        <is>
          <t>MERCURY / VOYAGE 1</t>
        </is>
      </c>
      <c r="C84" s="4" t="inlineStr">
        <is>
          <t>REF000000</t>
        </is>
      </c>
      <c r="D84" s="7" t="n">
        <v>46095</v>
      </c>
      <c r="E84" s="4" t="n">
        <v>46104</v>
      </c>
      <c r="F84" s="4" t="inlineStr">
        <is>
          <t>RULED</t>
        </is>
      </c>
      <c r="G84" s="4" t="inlineStr">
        <is>
          <t>RULED</t>
        </is>
      </c>
      <c r="H84" s="4" t="inlineStr">
        <is>
          <t>USNYC</t>
        </is>
      </c>
      <c r="I84" s="4" t="inlineStr">
        <is>
          <t>USNYC</t>
        </is>
      </c>
      <c r="J84" s="4" t="n"/>
      <c r="K84" s="8" t="n"/>
      <c r="L84" s="4" t="inlineStr">
        <is>
          <t>SHARK REEFER</t>
        </is>
      </c>
      <c r="M84" s="4" t="inlineStr">
        <is>
          <t>SHARK REEFER</t>
        </is>
      </c>
      <c r="N84" s="9" t="n"/>
      <c r="O84" s="9" t="n"/>
      <c r="P84" s="4" t="inlineStr">
        <is>
          <t>SHARK REEFER</t>
        </is>
      </c>
      <c r="Q84" s="4" t="inlineStr">
        <is>
          <t>SHARK REEFER</t>
        </is>
      </c>
      <c r="R84" s="4" t="n"/>
      <c r="S84" s="4" t="n"/>
      <c r="T84" s="4" t="inlineStr">
        <is>
          <t>SHARK REEFER</t>
        </is>
      </c>
      <c r="U84" s="4" t="inlineStr">
        <is>
          <t>AVENIDA DAS ARAUCARIAS, 5126, CHAPADA - ARAUCARIA-PR - CEP: 83707754 CNPJ 02.351.006/0001-39</t>
        </is>
      </c>
      <c r="V84" s="9" t="n">
        <v>21</v>
      </c>
      <c r="W84" s="9" t="n">
        <v>0</v>
      </c>
      <c r="X84" s="10" t="n">
        <v>323400</v>
      </c>
      <c r="Y84" s="10" t="n">
        <v>308000</v>
      </c>
      <c r="Z84" s="9" t="n">
        <v>308</v>
      </c>
      <c r="AA84" s="4" t="n"/>
      <c r="AB84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4" s="4" t="inlineStr">
        <is>
          <t>ANON0000000</t>
        </is>
      </c>
      <c r="AD84" s="4" t="inlineStr">
        <is>
          <t>RH40</t>
        </is>
      </c>
      <c r="AE84" s="4" t="n">
        <v>1229122</v>
      </c>
      <c r="AF84" s="4" t="n"/>
      <c r="AG84" s="4" t="inlineStr">
        <is>
          <t>FCL/FCL</t>
        </is>
      </c>
      <c r="AH84" s="4" t="inlineStr">
        <is>
          <t>GENERAL COMMODITY</t>
        </is>
      </c>
      <c r="AI84" s="10" t="n">
        <v>30450</v>
      </c>
      <c r="AJ84" s="9" t="n">
        <v>29</v>
      </c>
      <c r="AK84" s="4" t="inlineStr">
        <is>
          <t>BLO</t>
        </is>
      </c>
      <c r="AL84" s="4" t="n"/>
      <c r="AM84" s="4" t="n"/>
      <c r="AN84" s="4" t="n"/>
      <c r="AO84" s="4" t="n"/>
      <c r="AP84" s="4" t="n"/>
      <c r="AQ84" s="4" t="n"/>
      <c r="AR84" s="4" t="n">
        <v>4460</v>
      </c>
      <c r="AS84" s="4" t="n">
        <v>28000</v>
      </c>
      <c r="AT84" s="12" t="n"/>
    </row>
    <row r="85" ht="10.5" customFormat="1" customHeight="1" s="6">
      <c r="A85" s="11" t="n">
        <v>84</v>
      </c>
      <c r="B85" s="4" t="inlineStr">
        <is>
          <t>MERCURY / VOYAGE 1</t>
        </is>
      </c>
      <c r="C85" s="4" t="inlineStr">
        <is>
          <t>REF000000</t>
        </is>
      </c>
      <c r="D85" s="7" t="n">
        <v>46095</v>
      </c>
      <c r="E85" s="4" t="n">
        <v>46104</v>
      </c>
      <c r="F85" s="4" t="inlineStr">
        <is>
          <t>RULED</t>
        </is>
      </c>
      <c r="G85" s="4" t="inlineStr">
        <is>
          <t>RULED</t>
        </is>
      </c>
      <c r="H85" s="4" t="inlineStr">
        <is>
          <t>USNYC</t>
        </is>
      </c>
      <c r="I85" s="4" t="inlineStr">
        <is>
          <t>USNYC</t>
        </is>
      </c>
      <c r="J85" s="4" t="n"/>
      <c r="K85" s="8" t="n"/>
      <c r="L85" s="4" t="inlineStr">
        <is>
          <t>DOLPHIN REEFER</t>
        </is>
      </c>
      <c r="M85" s="4" t="inlineStr">
        <is>
          <t>DOLPHIN REEFER</t>
        </is>
      </c>
      <c r="N85" s="9" t="n"/>
      <c r="O85" s="9" t="n"/>
      <c r="P85" s="4" t="inlineStr">
        <is>
          <t>DOLPHIN REEFER</t>
        </is>
      </c>
      <c r="Q85" s="4" t="inlineStr">
        <is>
          <t>DOLPHIN REEFER</t>
        </is>
      </c>
      <c r="R85" s="4" t="n"/>
      <c r="S85" s="4" t="n"/>
      <c r="T85" s="4" t="inlineStr">
        <is>
          <t>DOLPHIN REEFER</t>
        </is>
      </c>
      <c r="U85" s="4" t="inlineStr">
        <is>
          <t>AVENIDA DAS ARAUCARIAS, 5126, CHAPADA - ARAUCARIA-PR - CEP: 83707754 CNPJ 02.351.006/0001-39</t>
        </is>
      </c>
      <c r="V85" s="9" t="n">
        <v>21</v>
      </c>
      <c r="W85" s="9" t="n">
        <v>0</v>
      </c>
      <c r="X85" s="10" t="n">
        <v>323400</v>
      </c>
      <c r="Y85" s="10" t="n">
        <v>308000</v>
      </c>
      <c r="Z85" s="9" t="n">
        <v>308</v>
      </c>
      <c r="AA85" s="4" t="n"/>
      <c r="AB85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5" s="4" t="inlineStr">
        <is>
          <t>ANON0000000</t>
        </is>
      </c>
      <c r="AD85" s="4" t="inlineStr">
        <is>
          <t>RH40</t>
        </is>
      </c>
      <c r="AE85" s="4" t="n">
        <v>1240499</v>
      </c>
      <c r="AF85" s="4" t="n"/>
      <c r="AG85" s="4" t="inlineStr">
        <is>
          <t>FCL/FCL</t>
        </is>
      </c>
      <c r="AH85" s="4" t="inlineStr">
        <is>
          <t>GENERAL COMMODITY</t>
        </is>
      </c>
      <c r="AI85" s="10" t="n">
        <v>29400</v>
      </c>
      <c r="AJ85" s="9" t="n">
        <v>28</v>
      </c>
      <c r="AK85" s="4" t="inlineStr">
        <is>
          <t>BLO</t>
        </is>
      </c>
      <c r="AL85" s="4" t="n"/>
      <c r="AM85" s="4" t="n"/>
      <c r="AN85" s="4" t="n"/>
      <c r="AO85" s="4" t="n"/>
      <c r="AP85" s="4" t="n"/>
      <c r="AQ85" s="4" t="n"/>
      <c r="AR85" s="4" t="n">
        <v>4640</v>
      </c>
      <c r="AS85" s="4" t="n">
        <v>28000</v>
      </c>
      <c r="AT85" s="12" t="n"/>
    </row>
    <row r="86" ht="10.5" customFormat="1" customHeight="1" s="6">
      <c r="A86" s="11" t="n">
        <v>85</v>
      </c>
      <c r="B86" s="4" t="inlineStr">
        <is>
          <t>MERCURY / VOYAGE 1</t>
        </is>
      </c>
      <c r="C86" s="4" t="inlineStr">
        <is>
          <t>REF000000</t>
        </is>
      </c>
      <c r="D86" s="7" t="n">
        <v>46095</v>
      </c>
      <c r="E86" s="4" t="n">
        <v>46104</v>
      </c>
      <c r="F86" s="4" t="inlineStr">
        <is>
          <t>RULED</t>
        </is>
      </c>
      <c r="G86" s="4" t="inlineStr">
        <is>
          <t>RULED</t>
        </is>
      </c>
      <c r="H86" s="4" t="inlineStr">
        <is>
          <t>USNYC</t>
        </is>
      </c>
      <c r="I86" s="4" t="inlineStr">
        <is>
          <t>USNYC</t>
        </is>
      </c>
      <c r="J86" s="4" t="n"/>
      <c r="K86" s="8" t="n"/>
      <c r="L86" s="4" t="inlineStr">
        <is>
          <t>MARLIN REEFER</t>
        </is>
      </c>
      <c r="M86" s="4" t="inlineStr">
        <is>
          <t>MARLIN REEFER</t>
        </is>
      </c>
      <c r="N86" s="9" t="n"/>
      <c r="O86" s="9" t="n"/>
      <c r="P86" s="4" t="inlineStr">
        <is>
          <t>MARLIN REEFER</t>
        </is>
      </c>
      <c r="Q86" s="4" t="inlineStr">
        <is>
          <t>MARLIN REEFER</t>
        </is>
      </c>
      <c r="R86" s="4" t="n"/>
      <c r="S86" s="4" t="n"/>
      <c r="T86" s="4" t="inlineStr">
        <is>
          <t>MARLIN REEFER</t>
        </is>
      </c>
      <c r="U86" s="4" t="inlineStr">
        <is>
          <t>AVENIDA DAS ARAUCARIAS, 5126, CHAPADA - ARAUCARIA-PR - CEP: 83707754 CNPJ 02.351.006/0001-39</t>
        </is>
      </c>
      <c r="V86" s="9" t="n">
        <v>21</v>
      </c>
      <c r="W86" s="9" t="n">
        <v>0</v>
      </c>
      <c r="X86" s="10" t="n">
        <v>323400</v>
      </c>
      <c r="Y86" s="10" t="n">
        <v>308000</v>
      </c>
      <c r="Z86" s="9" t="n">
        <v>308</v>
      </c>
      <c r="AA86" s="4" t="n"/>
      <c r="AB86" s="4" t="inlineStr">
        <is>
          <t>SAID TO CONTAIN / WEIGH &amp; MEASURE 11 X 40NOR CONTAINERS SAID TO CONTAIN 308 BITUBLOCK(S) OF POLYMER MODIFIED BITUMEN 50/70 NCM CODE 2713.20.00 NET WEIGHT: 308,00 MTS, GROSS WEIGHT: 323,40 MTS WOODEN PACKAGING - TREATED AND CERTIFIED</t>
        </is>
      </c>
      <c r="AC86" s="4" t="inlineStr">
        <is>
          <t>ANON0000000</t>
        </is>
      </c>
      <c r="AD86" s="4" t="inlineStr">
        <is>
          <t>RH40</t>
        </is>
      </c>
      <c r="AE86" s="4" t="n">
        <v>1240530</v>
      </c>
      <c r="AF86" s="4" t="n"/>
      <c r="AG86" s="4" t="inlineStr">
        <is>
          <t>FCL/FCL</t>
        </is>
      </c>
      <c r="AH86" s="4" t="inlineStr">
        <is>
          <t>GENERAL COMMODITY</t>
        </is>
      </c>
      <c r="AI86" s="10" t="n">
        <v>29400</v>
      </c>
      <c r="AJ86" s="9" t="n">
        <v>28</v>
      </c>
      <c r="AK86" s="4" t="inlineStr">
        <is>
          <t>BLO</t>
        </is>
      </c>
      <c r="AL86" s="4" t="n"/>
      <c r="AM86" s="4" t="n"/>
      <c r="AN86" s="4" t="n"/>
      <c r="AO86" s="4" t="n"/>
      <c r="AP86" s="4" t="n"/>
      <c r="AQ86" s="4" t="n"/>
      <c r="AR86" s="4" t="n">
        <v>4630</v>
      </c>
      <c r="AS86" s="4" t="n">
        <v>28000</v>
      </c>
      <c r="AT86" s="12" t="n"/>
    </row>
    <row r="87" ht="10.5" customFormat="1" customHeight="1" s="6">
      <c r="A87" s="11" t="n">
        <v>86</v>
      </c>
      <c r="B87" s="4" t="inlineStr">
        <is>
          <t>MERCURY / VOYAGE 1</t>
        </is>
      </c>
      <c r="C87" s="4" t="inlineStr">
        <is>
          <t>REF000000</t>
        </is>
      </c>
      <c r="D87" s="7" t="n">
        <v>46095</v>
      </c>
      <c r="E87" s="4" t="n">
        <v>46104</v>
      </c>
      <c r="F87" s="4" t="inlineStr">
        <is>
          <t>RULED</t>
        </is>
      </c>
      <c r="G87" s="4" t="inlineStr">
        <is>
          <t>RULED</t>
        </is>
      </c>
      <c r="H87" s="4" t="inlineStr">
        <is>
          <t>USNYC</t>
        </is>
      </c>
      <c r="I87" s="4" t="inlineStr">
        <is>
          <t>USNYC</t>
        </is>
      </c>
      <c r="J87" s="4" t="n"/>
      <c r="K87" s="8" t="n"/>
      <c r="L87" s="4" t="inlineStr">
        <is>
          <t>TURTLE REEFER</t>
        </is>
      </c>
      <c r="M87" s="4" t="inlineStr">
        <is>
          <t>TURTLE REEFER</t>
        </is>
      </c>
      <c r="N87" s="9" t="n"/>
      <c r="O87" s="9" t="n"/>
      <c r="P87" s="4" t="inlineStr">
        <is>
          <t>TURTLE REEFER</t>
        </is>
      </c>
      <c r="Q87" s="4" t="inlineStr">
        <is>
          <t>TURTLE REEFER</t>
        </is>
      </c>
      <c r="R87" s="4" t="n"/>
      <c r="S87" s="4" t="n"/>
      <c r="T87" s="4" t="inlineStr">
        <is>
          <t>TURTLE REEFER</t>
        </is>
      </c>
      <c r="U87" s="4" t="inlineStr">
        <is>
          <t>AVENIDA DAS ARAUCARIAS, 5126, CHAPADA - ARAUCARIA-PR - CEP: 83707754 CNPJ 02.351.006/0001-39</t>
        </is>
      </c>
      <c r="V87" s="9" t="n">
        <v>21</v>
      </c>
      <c r="W87" s="9" t="n">
        <v>0</v>
      </c>
      <c r="X87" s="10" t="n">
        <v>322350</v>
      </c>
      <c r="Y87" s="10" t="n">
        <v>307000</v>
      </c>
      <c r="Z87" s="9" t="n">
        <v>307</v>
      </c>
      <c r="AA87" s="4" t="n"/>
      <c r="AB87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87" s="4" t="inlineStr">
        <is>
          <t>ANON0000000</t>
        </is>
      </c>
      <c r="AD87" s="4" t="inlineStr">
        <is>
          <t>RH40</t>
        </is>
      </c>
      <c r="AE87" s="4" t="n">
        <v>1229128</v>
      </c>
      <c r="AF87" s="4" t="n"/>
      <c r="AG87" s="4" t="inlineStr">
        <is>
          <t>FCL/FCL</t>
        </is>
      </c>
      <c r="AH87" s="4" t="inlineStr">
        <is>
          <t>GENERAL COMMODITY</t>
        </is>
      </c>
      <c r="AI87" s="10" t="n">
        <v>29400</v>
      </c>
      <c r="AJ87" s="9" t="n">
        <v>28</v>
      </c>
      <c r="AK87" s="4" t="inlineStr">
        <is>
          <t>BLO</t>
        </is>
      </c>
      <c r="AL87" s="4" t="n"/>
      <c r="AM87" s="4" t="n"/>
      <c r="AN87" s="4" t="n"/>
      <c r="AO87" s="4" t="n"/>
      <c r="AP87" s="4" t="n"/>
      <c r="AQ87" s="4" t="n"/>
      <c r="AR87" s="4" t="n">
        <v>4640</v>
      </c>
      <c r="AS87" s="4" t="n">
        <v>28000</v>
      </c>
      <c r="AT87" s="12" t="n"/>
    </row>
    <row r="88" ht="10.5" customFormat="1" customHeight="1" s="6">
      <c r="A88" s="11" t="n">
        <v>87</v>
      </c>
      <c r="B88" s="4" t="inlineStr">
        <is>
          <t>MERCURY / VOYAGE 1</t>
        </is>
      </c>
      <c r="C88" s="4" t="inlineStr">
        <is>
          <t>REF000000</t>
        </is>
      </c>
      <c r="D88" s="7" t="n">
        <v>46095</v>
      </c>
      <c r="E88" s="4" t="n">
        <v>46104</v>
      </c>
      <c r="F88" s="4" t="inlineStr">
        <is>
          <t>RULED</t>
        </is>
      </c>
      <c r="G88" s="4" t="inlineStr">
        <is>
          <t>RULED</t>
        </is>
      </c>
      <c r="H88" s="4" t="inlineStr">
        <is>
          <t>USNYC</t>
        </is>
      </c>
      <c r="I88" s="4" t="inlineStr">
        <is>
          <t>USNYC</t>
        </is>
      </c>
      <c r="J88" s="4" t="n"/>
      <c r="K88" s="8" t="n"/>
      <c r="L88" s="4" t="inlineStr">
        <is>
          <t>ORCA REEFER</t>
        </is>
      </c>
      <c r="M88" s="4" t="inlineStr">
        <is>
          <t>ORCA REEFER</t>
        </is>
      </c>
      <c r="N88" s="9" t="n"/>
      <c r="O88" s="9" t="n"/>
      <c r="P88" s="4" t="inlineStr">
        <is>
          <t>ORCA REEFER</t>
        </is>
      </c>
      <c r="Q88" s="4" t="inlineStr">
        <is>
          <t>ORCA REEFER</t>
        </is>
      </c>
      <c r="R88" s="4" t="n"/>
      <c r="S88" s="4" t="n"/>
      <c r="T88" s="4" t="inlineStr">
        <is>
          <t>ORCA REEFER</t>
        </is>
      </c>
      <c r="U88" s="4" t="inlineStr">
        <is>
          <t>AVENIDA DAS ARAUCARIAS, 5126, CHAPADA - ARAUCARIA-PR - CEP: 83707754 CNPJ 02.351.006/0001-39</t>
        </is>
      </c>
      <c r="V88" s="9" t="n">
        <v>21</v>
      </c>
      <c r="W88" s="9" t="n">
        <v>0</v>
      </c>
      <c r="X88" s="10" t="n">
        <v>322350</v>
      </c>
      <c r="Y88" s="10" t="n">
        <v>307000</v>
      </c>
      <c r="Z88" s="9" t="n">
        <v>307</v>
      </c>
      <c r="AA88" s="4" t="n"/>
      <c r="AB88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88" s="4" t="inlineStr">
        <is>
          <t>ANON0000000</t>
        </is>
      </c>
      <c r="AD88" s="4" t="inlineStr">
        <is>
          <t>RH40</t>
        </is>
      </c>
      <c r="AE88" s="4" t="n">
        <v>1229129</v>
      </c>
      <c r="AF88" s="4" t="n"/>
      <c r="AG88" s="4" t="inlineStr">
        <is>
          <t>FCL/FCL</t>
        </is>
      </c>
      <c r="AH88" s="4" t="inlineStr">
        <is>
          <t>GENERAL COMMODITY</t>
        </is>
      </c>
      <c r="AI88" s="10" t="n">
        <v>29400</v>
      </c>
      <c r="AJ88" s="9" t="n">
        <v>28</v>
      </c>
      <c r="AK88" s="4" t="inlineStr">
        <is>
          <t>BLO</t>
        </is>
      </c>
      <c r="AL88" s="4" t="n"/>
      <c r="AM88" s="4" t="n"/>
      <c r="AN88" s="4" t="n"/>
      <c r="AO88" s="4" t="n"/>
      <c r="AP88" s="4" t="n"/>
      <c r="AQ88" s="4" t="n"/>
      <c r="AR88" s="4" t="n">
        <v>4400</v>
      </c>
      <c r="AS88" s="4" t="n">
        <v>28000</v>
      </c>
      <c r="AT88" s="12" t="n"/>
    </row>
    <row r="89" ht="10.5" customFormat="1" customHeight="1" s="6">
      <c r="A89" s="11" t="n">
        <v>88</v>
      </c>
      <c r="B89" s="4" t="inlineStr">
        <is>
          <t>MERCURY / VOYAGE 1</t>
        </is>
      </c>
      <c r="C89" s="4" t="inlineStr">
        <is>
          <t>REF000000</t>
        </is>
      </c>
      <c r="D89" s="7" t="n">
        <v>46095</v>
      </c>
      <c r="E89" s="4" t="n">
        <v>46104</v>
      </c>
      <c r="F89" s="4" t="inlineStr">
        <is>
          <t>RULED</t>
        </is>
      </c>
      <c r="G89" s="4" t="inlineStr">
        <is>
          <t>RULED</t>
        </is>
      </c>
      <c r="H89" s="4" t="inlineStr">
        <is>
          <t>USNYC</t>
        </is>
      </c>
      <c r="I89" s="4" t="inlineStr">
        <is>
          <t>USNYC</t>
        </is>
      </c>
      <c r="J89" s="4" t="n"/>
      <c r="K89" s="8" t="n"/>
      <c r="L89" s="4" t="inlineStr">
        <is>
          <t>WHALE REEFER</t>
        </is>
      </c>
      <c r="M89" s="4" t="inlineStr">
        <is>
          <t>WHALE REEFER</t>
        </is>
      </c>
      <c r="N89" s="9" t="n"/>
      <c r="O89" s="9" t="n"/>
      <c r="P89" s="4" t="inlineStr">
        <is>
          <t>WHALE REEFER</t>
        </is>
      </c>
      <c r="Q89" s="4" t="inlineStr">
        <is>
          <t>WHALE REEFER</t>
        </is>
      </c>
      <c r="R89" s="4" t="n"/>
      <c r="S89" s="4" t="n"/>
      <c r="T89" s="4" t="inlineStr">
        <is>
          <t>WHALE REEFER</t>
        </is>
      </c>
      <c r="U89" s="4" t="inlineStr">
        <is>
          <t>AVENIDA DAS ARAUCARIAS, 5126, CHAPADA - ARAUCARIA-PR - CEP: 83707754 CNPJ 02.351.006/0001-39</t>
        </is>
      </c>
      <c r="V89" s="9" t="n">
        <v>21</v>
      </c>
      <c r="W89" s="9" t="n">
        <v>0</v>
      </c>
      <c r="X89" s="10" t="n">
        <v>322350</v>
      </c>
      <c r="Y89" s="10" t="n">
        <v>307000</v>
      </c>
      <c r="Z89" s="9" t="n">
        <v>307</v>
      </c>
      <c r="AA89" s="4" t="n"/>
      <c r="AB89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89" s="4" t="inlineStr">
        <is>
          <t>ANON0000000</t>
        </is>
      </c>
      <c r="AD89" s="4" t="inlineStr">
        <is>
          <t>RH40</t>
        </is>
      </c>
      <c r="AE89" s="4" t="n">
        <v>1229124</v>
      </c>
      <c r="AF89" s="4" t="n"/>
      <c r="AG89" s="4" t="inlineStr">
        <is>
          <t>FCL/FCL</t>
        </is>
      </c>
      <c r="AH89" s="4" t="inlineStr">
        <is>
          <t>GENERAL COMMODITY</t>
        </is>
      </c>
      <c r="AI89" s="10" t="n">
        <v>29400</v>
      </c>
      <c r="AJ89" s="9" t="n">
        <v>28</v>
      </c>
      <c r="AK89" s="4" t="inlineStr">
        <is>
          <t>BLO</t>
        </is>
      </c>
      <c r="AL89" s="4" t="n"/>
      <c r="AM89" s="4" t="n"/>
      <c r="AN89" s="4" t="n"/>
      <c r="AO89" s="4" t="n"/>
      <c r="AP89" s="4" t="n"/>
      <c r="AQ89" s="4" t="n"/>
      <c r="AR89" s="4" t="n">
        <v>4560</v>
      </c>
      <c r="AS89" s="4" t="n">
        <v>28000</v>
      </c>
      <c r="AT89" s="12" t="n"/>
    </row>
    <row r="90" ht="10.5" customFormat="1" customHeight="1" s="6">
      <c r="A90" s="11" t="n">
        <v>89</v>
      </c>
      <c r="B90" s="4" t="inlineStr">
        <is>
          <t>MERCURY / VOYAGE 1</t>
        </is>
      </c>
      <c r="C90" s="4" t="inlineStr">
        <is>
          <t>REF000000</t>
        </is>
      </c>
      <c r="D90" s="7" t="n">
        <v>46095</v>
      </c>
      <c r="E90" s="4" t="n">
        <v>46104</v>
      </c>
      <c r="F90" s="4" t="inlineStr">
        <is>
          <t>RULED</t>
        </is>
      </c>
      <c r="G90" s="4" t="inlineStr">
        <is>
          <t>RULED</t>
        </is>
      </c>
      <c r="H90" s="4" t="inlineStr">
        <is>
          <t>USNYC</t>
        </is>
      </c>
      <c r="I90" s="4" t="inlineStr">
        <is>
          <t>USNYC</t>
        </is>
      </c>
      <c r="J90" s="4" t="n"/>
      <c r="K90" s="8" t="n"/>
      <c r="L90" s="4" t="inlineStr">
        <is>
          <t>SEAL REEFER</t>
        </is>
      </c>
      <c r="M90" s="4" t="inlineStr">
        <is>
          <t>SEAL REEFER</t>
        </is>
      </c>
      <c r="N90" s="9" t="n"/>
      <c r="O90" s="9" t="n"/>
      <c r="P90" s="4" t="inlineStr">
        <is>
          <t>SEAL REEFER</t>
        </is>
      </c>
      <c r="Q90" s="4" t="inlineStr">
        <is>
          <t>SEAL REEFER</t>
        </is>
      </c>
      <c r="R90" s="4" t="n"/>
      <c r="S90" s="4" t="n"/>
      <c r="T90" s="4" t="inlineStr">
        <is>
          <t>SEAL REEFER</t>
        </is>
      </c>
      <c r="U90" s="4" t="inlineStr">
        <is>
          <t>AVENIDA DAS ARAUCARIAS, 5126, CHAPADA - ARAUCARIA-PR - CEP: 83707754 CNPJ 02.351.006/0001-39</t>
        </is>
      </c>
      <c r="V90" s="9" t="n">
        <v>21</v>
      </c>
      <c r="W90" s="9" t="n">
        <v>0</v>
      </c>
      <c r="X90" s="10" t="n">
        <v>322350</v>
      </c>
      <c r="Y90" s="10" t="n">
        <v>307000</v>
      </c>
      <c r="Z90" s="9" t="n">
        <v>307</v>
      </c>
      <c r="AA90" s="4" t="n"/>
      <c r="AB90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0" s="4" t="inlineStr">
        <is>
          <t>ANON0000000</t>
        </is>
      </c>
      <c r="AD90" s="4" t="inlineStr">
        <is>
          <t>RH40</t>
        </is>
      </c>
      <c r="AE90" s="4" t="n">
        <v>1229125</v>
      </c>
      <c r="AF90" s="4" t="n"/>
      <c r="AG90" s="4" t="inlineStr">
        <is>
          <t>FCL/FCL</t>
        </is>
      </c>
      <c r="AH90" s="4" t="inlineStr">
        <is>
          <t>GENERAL COMMODITY</t>
        </is>
      </c>
      <c r="AI90" s="10" t="n">
        <v>29400</v>
      </c>
      <c r="AJ90" s="9" t="n">
        <v>28</v>
      </c>
      <c r="AK90" s="4" t="inlineStr">
        <is>
          <t>BLO</t>
        </is>
      </c>
      <c r="AL90" s="4" t="n"/>
      <c r="AM90" s="4" t="n"/>
      <c r="AN90" s="4" t="n"/>
      <c r="AO90" s="4" t="n"/>
      <c r="AP90" s="4" t="n"/>
      <c r="AQ90" s="4" t="n"/>
      <c r="AR90" s="4" t="n">
        <v>4600</v>
      </c>
      <c r="AS90" s="4" t="n">
        <v>28000</v>
      </c>
      <c r="AT90" s="12" t="n"/>
    </row>
    <row r="91" ht="10.5" customFormat="1" customHeight="1" s="6">
      <c r="A91" s="11" t="n">
        <v>90</v>
      </c>
      <c r="B91" s="4" t="inlineStr">
        <is>
          <t>MERCURY / VOYAGE 1</t>
        </is>
      </c>
      <c r="C91" s="4" t="inlineStr">
        <is>
          <t>REF000000</t>
        </is>
      </c>
      <c r="D91" s="7" t="n">
        <v>46095</v>
      </c>
      <c r="E91" s="4" t="n">
        <v>46104</v>
      </c>
      <c r="F91" s="4" t="inlineStr">
        <is>
          <t>RULED</t>
        </is>
      </c>
      <c r="G91" s="4" t="inlineStr">
        <is>
          <t>RULED</t>
        </is>
      </c>
      <c r="H91" s="4" t="inlineStr">
        <is>
          <t>USNYC</t>
        </is>
      </c>
      <c r="I91" s="4" t="inlineStr">
        <is>
          <t>USNYC</t>
        </is>
      </c>
      <c r="J91" s="4" t="n"/>
      <c r="K91" s="8" t="n"/>
      <c r="L91" s="4" t="inlineStr">
        <is>
          <t>SHARK REEFER</t>
        </is>
      </c>
      <c r="M91" s="4" t="inlineStr">
        <is>
          <t>SHARK REEFER</t>
        </is>
      </c>
      <c r="N91" s="9" t="n"/>
      <c r="O91" s="9" t="n"/>
      <c r="P91" s="4" t="inlineStr">
        <is>
          <t>SHARK REEFER</t>
        </is>
      </c>
      <c r="Q91" s="4" t="inlineStr">
        <is>
          <t>SHARK REEFER</t>
        </is>
      </c>
      <c r="R91" s="4" t="n"/>
      <c r="S91" s="4" t="n"/>
      <c r="T91" s="4" t="inlineStr">
        <is>
          <t>SHARK REEFER</t>
        </is>
      </c>
      <c r="U91" s="4" t="inlineStr">
        <is>
          <t>AVENIDA DAS ARAUCARIAS, 5126, CHAPADA - ARAUCARIA-PR - CEP: 83707754 CNPJ 02.351.006/0001-39</t>
        </is>
      </c>
      <c r="V91" s="9" t="n">
        <v>21</v>
      </c>
      <c r="W91" s="9" t="n">
        <v>0</v>
      </c>
      <c r="X91" s="10" t="n">
        <v>322350</v>
      </c>
      <c r="Y91" s="10" t="n">
        <v>307000</v>
      </c>
      <c r="Z91" s="9" t="n">
        <v>307</v>
      </c>
      <c r="AA91" s="4" t="n"/>
      <c r="AB91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1" s="4" t="inlineStr">
        <is>
          <t>ANON0000000</t>
        </is>
      </c>
      <c r="AD91" s="4" t="inlineStr">
        <is>
          <t>RH40</t>
        </is>
      </c>
      <c r="AE91" s="4" t="n">
        <v>1229127</v>
      </c>
      <c r="AF91" s="4" t="n"/>
      <c r="AG91" s="4" t="inlineStr">
        <is>
          <t>FCL/FCL</t>
        </is>
      </c>
      <c r="AH91" s="4" t="inlineStr">
        <is>
          <t>GENERAL COMMODITY</t>
        </is>
      </c>
      <c r="AI91" s="10" t="n">
        <v>29400</v>
      </c>
      <c r="AJ91" s="9" t="n">
        <v>28</v>
      </c>
      <c r="AK91" s="4" t="inlineStr">
        <is>
          <t>BLO</t>
        </is>
      </c>
      <c r="AL91" s="4" t="n"/>
      <c r="AM91" s="4" t="n"/>
      <c r="AN91" s="4" t="n"/>
      <c r="AO91" s="4" t="n"/>
      <c r="AP91" s="4" t="n"/>
      <c r="AQ91" s="4" t="n"/>
      <c r="AR91" s="4" t="n">
        <v>4640</v>
      </c>
      <c r="AS91" s="4" t="n">
        <v>28000</v>
      </c>
      <c r="AT91" s="12" t="n"/>
    </row>
    <row r="92" ht="10.5" customFormat="1" customHeight="1" s="6">
      <c r="A92" s="11" t="n">
        <v>91</v>
      </c>
      <c r="B92" s="4" t="inlineStr">
        <is>
          <t>MERCURY / VOYAGE 1</t>
        </is>
      </c>
      <c r="C92" s="4" t="inlineStr">
        <is>
          <t>REF000000</t>
        </is>
      </c>
      <c r="D92" s="7" t="n">
        <v>46095</v>
      </c>
      <c r="E92" s="4" t="n">
        <v>46104</v>
      </c>
      <c r="F92" s="4" t="inlineStr">
        <is>
          <t>RULED</t>
        </is>
      </c>
      <c r="G92" s="4" t="inlineStr">
        <is>
          <t>RULED</t>
        </is>
      </c>
      <c r="H92" s="4" t="inlineStr">
        <is>
          <t>USNYC</t>
        </is>
      </c>
      <c r="I92" s="4" t="inlineStr">
        <is>
          <t>USNYC</t>
        </is>
      </c>
      <c r="J92" s="4" t="n"/>
      <c r="K92" s="8" t="n"/>
      <c r="L92" s="4" t="inlineStr">
        <is>
          <t>DOLPHIN REEFER</t>
        </is>
      </c>
      <c r="M92" s="4" t="inlineStr">
        <is>
          <t>DOLPHIN REEFER</t>
        </is>
      </c>
      <c r="N92" s="9" t="n"/>
      <c r="O92" s="9" t="n"/>
      <c r="P92" s="4" t="inlineStr">
        <is>
          <t>DOLPHIN REEFER</t>
        </is>
      </c>
      <c r="Q92" s="4" t="inlineStr">
        <is>
          <t>DOLPHIN REEFER</t>
        </is>
      </c>
      <c r="R92" s="4" t="n"/>
      <c r="S92" s="4" t="n"/>
      <c r="T92" s="4" t="inlineStr">
        <is>
          <t>DOLPHIN REEFER</t>
        </is>
      </c>
      <c r="U92" s="4" t="inlineStr">
        <is>
          <t>AVENIDA DAS ARAUCARIAS, 5126, CHAPADA - ARAUCARIA-PR - CEP: 83707754 CNPJ 02.351.006/0001-39</t>
        </is>
      </c>
      <c r="V92" s="9" t="n">
        <v>21</v>
      </c>
      <c r="W92" s="9" t="n">
        <v>0</v>
      </c>
      <c r="X92" s="10" t="n">
        <v>322350</v>
      </c>
      <c r="Y92" s="10" t="n">
        <v>307000</v>
      </c>
      <c r="Z92" s="9" t="n">
        <v>307</v>
      </c>
      <c r="AA92" s="4" t="n"/>
      <c r="AB92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2" s="4" t="inlineStr">
        <is>
          <t>ANON0000000</t>
        </is>
      </c>
      <c r="AD92" s="4" t="inlineStr">
        <is>
          <t>RH40</t>
        </is>
      </c>
      <c r="AE92" s="4" t="n">
        <v>1229062</v>
      </c>
      <c r="AF92" s="4" t="n"/>
      <c r="AG92" s="4" t="inlineStr">
        <is>
          <t>FCL/FCL</t>
        </is>
      </c>
      <c r="AH92" s="4" t="inlineStr">
        <is>
          <t>GENERAL COMMODITY</t>
        </is>
      </c>
      <c r="AI92" s="10" t="n">
        <v>29400</v>
      </c>
      <c r="AJ92" s="9" t="n">
        <v>28</v>
      </c>
      <c r="AK92" s="4" t="inlineStr">
        <is>
          <t>BLO</t>
        </is>
      </c>
      <c r="AL92" s="4" t="n"/>
      <c r="AM92" s="4" t="n"/>
      <c r="AN92" s="4" t="n"/>
      <c r="AO92" s="4" t="n"/>
      <c r="AP92" s="4" t="n"/>
      <c r="AQ92" s="4" t="n"/>
      <c r="AR92" s="4" t="n">
        <v>4640</v>
      </c>
      <c r="AS92" s="4" t="n">
        <v>28000</v>
      </c>
      <c r="AT92" s="12" t="n"/>
    </row>
    <row r="93" ht="10.5" customFormat="1" customHeight="1" s="6">
      <c r="A93" s="11" t="n">
        <v>92</v>
      </c>
      <c r="B93" s="4" t="inlineStr">
        <is>
          <t>MERCURY / VOYAGE 1</t>
        </is>
      </c>
      <c r="C93" s="4" t="inlineStr">
        <is>
          <t>REF000000</t>
        </is>
      </c>
      <c r="D93" s="7" t="n">
        <v>46095</v>
      </c>
      <c r="E93" s="4" t="n">
        <v>46104</v>
      </c>
      <c r="F93" s="4" t="inlineStr">
        <is>
          <t>RULED</t>
        </is>
      </c>
      <c r="G93" s="4" t="inlineStr">
        <is>
          <t>RULED</t>
        </is>
      </c>
      <c r="H93" s="4" t="inlineStr">
        <is>
          <t>USNYC</t>
        </is>
      </c>
      <c r="I93" s="4" t="inlineStr">
        <is>
          <t>USNYC</t>
        </is>
      </c>
      <c r="J93" s="4" t="n"/>
      <c r="K93" s="8" t="n"/>
      <c r="L93" s="4" t="inlineStr">
        <is>
          <t>MARLIN REEFER</t>
        </is>
      </c>
      <c r="M93" s="4" t="inlineStr">
        <is>
          <t>MARLIN REEFER</t>
        </is>
      </c>
      <c r="N93" s="9" t="n"/>
      <c r="O93" s="9" t="n"/>
      <c r="P93" s="4" t="inlineStr">
        <is>
          <t>MARLIN REEFER</t>
        </is>
      </c>
      <c r="Q93" s="4" t="inlineStr">
        <is>
          <t>MARLIN REEFER</t>
        </is>
      </c>
      <c r="R93" s="4" t="n"/>
      <c r="S93" s="4" t="n"/>
      <c r="T93" s="4" t="inlineStr">
        <is>
          <t>MARLIN REEFER</t>
        </is>
      </c>
      <c r="U93" s="4" t="inlineStr">
        <is>
          <t>AVENIDA DAS ARAUCARIAS, 5126, CHAPADA - ARAUCARIA-PR - CEP: 83707754 CNPJ 02.351.006/0001-39</t>
        </is>
      </c>
      <c r="V93" s="9" t="n">
        <v>21</v>
      </c>
      <c r="W93" s="9" t="n">
        <v>0</v>
      </c>
      <c r="X93" s="10" t="n">
        <v>322350</v>
      </c>
      <c r="Y93" s="10" t="n">
        <v>307000</v>
      </c>
      <c r="Z93" s="9" t="n">
        <v>307</v>
      </c>
      <c r="AA93" s="4" t="n"/>
      <c r="AB93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3" s="4" t="inlineStr">
        <is>
          <t>ANON0000000</t>
        </is>
      </c>
      <c r="AD93" s="4" t="inlineStr">
        <is>
          <t>RH40</t>
        </is>
      </c>
      <c r="AE93" s="4" t="n">
        <v>1229126</v>
      </c>
      <c r="AF93" s="4" t="n"/>
      <c r="AG93" s="4" t="inlineStr">
        <is>
          <t>FCL/FCL</t>
        </is>
      </c>
      <c r="AH93" s="4" t="inlineStr">
        <is>
          <t>GENERAL COMMODITY</t>
        </is>
      </c>
      <c r="AI93" s="10" t="n">
        <v>28350</v>
      </c>
      <c r="AJ93" s="9" t="n">
        <v>27</v>
      </c>
      <c r="AK93" s="4" t="inlineStr">
        <is>
          <t>BLO</t>
        </is>
      </c>
      <c r="AL93" s="4" t="n"/>
      <c r="AM93" s="4" t="n"/>
      <c r="AN93" s="4" t="n"/>
      <c r="AO93" s="4" t="n"/>
      <c r="AP93" s="4" t="n"/>
      <c r="AQ93" s="4" t="n"/>
      <c r="AR93" s="4" t="n">
        <v>4620</v>
      </c>
      <c r="AS93" s="4" t="n">
        <v>28000</v>
      </c>
      <c r="AT93" s="12" t="n"/>
    </row>
    <row r="94" ht="10.5" customFormat="1" customHeight="1" s="6">
      <c r="A94" s="11" t="n">
        <v>93</v>
      </c>
      <c r="B94" s="4" t="inlineStr">
        <is>
          <t>MERCURY / VOYAGE 1</t>
        </is>
      </c>
      <c r="C94" s="4" t="inlineStr">
        <is>
          <t>REF000000</t>
        </is>
      </c>
      <c r="D94" s="7" t="n">
        <v>46095</v>
      </c>
      <c r="E94" s="4" t="n">
        <v>46104</v>
      </c>
      <c r="F94" s="4" t="inlineStr">
        <is>
          <t>RULED</t>
        </is>
      </c>
      <c r="G94" s="4" t="inlineStr">
        <is>
          <t>RULED</t>
        </is>
      </c>
      <c r="H94" s="4" t="inlineStr">
        <is>
          <t>USNYC</t>
        </is>
      </c>
      <c r="I94" s="4" t="inlineStr">
        <is>
          <t>USNYC</t>
        </is>
      </c>
      <c r="J94" s="4" t="n"/>
      <c r="K94" s="8" t="n"/>
      <c r="L94" s="4" t="inlineStr">
        <is>
          <t>TURTLE REEFER</t>
        </is>
      </c>
      <c r="M94" s="4" t="inlineStr">
        <is>
          <t>TURTLE REEFER</t>
        </is>
      </c>
      <c r="N94" s="9" t="n"/>
      <c r="O94" s="9" t="n"/>
      <c r="P94" s="4" t="inlineStr">
        <is>
          <t>TURTLE REEFER</t>
        </is>
      </c>
      <c r="Q94" s="4" t="inlineStr">
        <is>
          <t>TURTLE REEFER</t>
        </is>
      </c>
      <c r="R94" s="4" t="n"/>
      <c r="S94" s="4" t="n"/>
      <c r="T94" s="4" t="inlineStr">
        <is>
          <t>TURTLE REEFER</t>
        </is>
      </c>
      <c r="U94" s="4" t="inlineStr">
        <is>
          <t>AVENIDA DAS ARAUCARIAS, 5126, CHAPADA - ARAUCARIA-PR - CEP: 83707754 CNPJ 02.351.006/0001-39</t>
        </is>
      </c>
      <c r="V94" s="9" t="n">
        <v>21</v>
      </c>
      <c r="W94" s="9" t="n">
        <v>0</v>
      </c>
      <c r="X94" s="10" t="n">
        <v>322350</v>
      </c>
      <c r="Y94" s="10" t="n">
        <v>307000</v>
      </c>
      <c r="Z94" s="9" t="n">
        <v>307</v>
      </c>
      <c r="AA94" s="4" t="n"/>
      <c r="AB94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4" s="4" t="inlineStr">
        <is>
          <t>ANON0000000</t>
        </is>
      </c>
      <c r="AD94" s="4" t="inlineStr">
        <is>
          <t>RH40</t>
        </is>
      </c>
      <c r="AE94" s="4" t="n">
        <v>1229066</v>
      </c>
      <c r="AF94" s="4" t="n"/>
      <c r="AG94" s="4" t="inlineStr">
        <is>
          <t>FCL/FCL</t>
        </is>
      </c>
      <c r="AH94" s="4" t="inlineStr">
        <is>
          <t>GENERAL COMMODITY</t>
        </is>
      </c>
      <c r="AI94" s="10" t="n">
        <v>29400</v>
      </c>
      <c r="AJ94" s="9" t="n">
        <v>28</v>
      </c>
      <c r="AK94" s="4" t="inlineStr">
        <is>
          <t>BLO</t>
        </is>
      </c>
      <c r="AL94" s="4" t="n"/>
      <c r="AM94" s="4" t="n"/>
      <c r="AN94" s="4" t="n"/>
      <c r="AO94" s="4" t="n"/>
      <c r="AP94" s="4" t="n"/>
      <c r="AQ94" s="4" t="n"/>
      <c r="AR94" s="4" t="n">
        <v>4620</v>
      </c>
      <c r="AS94" s="4" t="n">
        <v>28000</v>
      </c>
      <c r="AT94" s="12" t="n"/>
    </row>
    <row r="95" ht="10.5" customFormat="1" customHeight="1" s="6">
      <c r="A95" s="11" t="n">
        <v>94</v>
      </c>
      <c r="B95" s="4" t="inlineStr">
        <is>
          <t>MERCURY / VOYAGE 1</t>
        </is>
      </c>
      <c r="C95" s="4" t="inlineStr">
        <is>
          <t>REF000000</t>
        </is>
      </c>
      <c r="D95" s="7" t="n">
        <v>46095</v>
      </c>
      <c r="E95" s="4" t="n">
        <v>46104</v>
      </c>
      <c r="F95" s="4" t="inlineStr">
        <is>
          <t>RULED</t>
        </is>
      </c>
      <c r="G95" s="4" t="inlineStr">
        <is>
          <t>RULED</t>
        </is>
      </c>
      <c r="H95" s="4" t="inlineStr">
        <is>
          <t>USNYC</t>
        </is>
      </c>
      <c r="I95" s="4" t="inlineStr">
        <is>
          <t>USNYC</t>
        </is>
      </c>
      <c r="J95" s="4" t="n"/>
      <c r="K95" s="8" t="n"/>
      <c r="L95" s="4" t="inlineStr">
        <is>
          <t>ORCA REEFER</t>
        </is>
      </c>
      <c r="M95" s="4" t="inlineStr">
        <is>
          <t>ORCA REEFER</t>
        </is>
      </c>
      <c r="N95" s="9" t="n"/>
      <c r="O95" s="9" t="n"/>
      <c r="P95" s="4" t="inlineStr">
        <is>
          <t>ORCA REEFER</t>
        </is>
      </c>
      <c r="Q95" s="4" t="inlineStr">
        <is>
          <t>ORCA REEFER</t>
        </is>
      </c>
      <c r="R95" s="4" t="n"/>
      <c r="S95" s="4" t="n"/>
      <c r="T95" s="4" t="inlineStr">
        <is>
          <t>ORCA REEFER</t>
        </is>
      </c>
      <c r="U95" s="4" t="inlineStr">
        <is>
          <t>AVENIDA DAS ARAUCARIAS, 5126, CHAPADA - ARAUCARIA-PR - CEP: 83707754 CNPJ 02.351.006/0001-39</t>
        </is>
      </c>
      <c r="V95" s="9" t="n">
        <v>21</v>
      </c>
      <c r="W95" s="9" t="n">
        <v>0</v>
      </c>
      <c r="X95" s="10" t="n">
        <v>322350</v>
      </c>
      <c r="Y95" s="10" t="n">
        <v>307000</v>
      </c>
      <c r="Z95" s="9" t="n">
        <v>307</v>
      </c>
      <c r="AA95" s="4" t="n"/>
      <c r="AB95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5" s="4" t="inlineStr">
        <is>
          <t>ANON0000000</t>
        </is>
      </c>
      <c r="AD95" s="4" t="inlineStr">
        <is>
          <t>RH40</t>
        </is>
      </c>
      <c r="AE95" s="4" t="n">
        <v>1229130</v>
      </c>
      <c r="AF95" s="4" t="n"/>
      <c r="AG95" s="4" t="inlineStr">
        <is>
          <t>FCL/FCL</t>
        </is>
      </c>
      <c r="AH95" s="4" t="inlineStr">
        <is>
          <t>GENERAL COMMODITY</t>
        </is>
      </c>
      <c r="AI95" s="10" t="n">
        <v>29400</v>
      </c>
      <c r="AJ95" s="9" t="n">
        <v>28</v>
      </c>
      <c r="AK95" s="4" t="inlineStr">
        <is>
          <t>BLO</t>
        </is>
      </c>
      <c r="AL95" s="4" t="n"/>
      <c r="AM95" s="4" t="n"/>
      <c r="AN95" s="4" t="n"/>
      <c r="AO95" s="4" t="n"/>
      <c r="AP95" s="4" t="n"/>
      <c r="AQ95" s="4" t="n"/>
      <c r="AR95" s="4" t="n">
        <v>4640</v>
      </c>
      <c r="AS95" s="4" t="n">
        <v>28000</v>
      </c>
      <c r="AT95" s="12" t="n"/>
    </row>
    <row r="96" ht="10.5" customFormat="1" customHeight="1" s="6">
      <c r="A96" s="11" t="n">
        <v>95</v>
      </c>
      <c r="B96" s="4" t="inlineStr">
        <is>
          <t>MERCURY / VOYAGE 1</t>
        </is>
      </c>
      <c r="C96" s="4" t="inlineStr">
        <is>
          <t>REF000000</t>
        </is>
      </c>
      <c r="D96" s="7" t="n">
        <v>46095</v>
      </c>
      <c r="E96" s="4" t="n">
        <v>46104</v>
      </c>
      <c r="F96" s="4" t="inlineStr">
        <is>
          <t>RULED</t>
        </is>
      </c>
      <c r="G96" s="4" t="inlineStr">
        <is>
          <t>RULED</t>
        </is>
      </c>
      <c r="H96" s="4" t="inlineStr">
        <is>
          <t>USNYC</t>
        </is>
      </c>
      <c r="I96" s="4" t="inlineStr">
        <is>
          <t>USNYC</t>
        </is>
      </c>
      <c r="J96" s="4" t="n"/>
      <c r="K96" s="8" t="n"/>
      <c r="L96" s="4" t="inlineStr">
        <is>
          <t>WHALE REEFER</t>
        </is>
      </c>
      <c r="M96" s="4" t="inlineStr">
        <is>
          <t>WHALE REEFER</t>
        </is>
      </c>
      <c r="N96" s="9" t="n"/>
      <c r="O96" s="9" t="n"/>
      <c r="P96" s="4" t="inlineStr">
        <is>
          <t>WHALE REEFER</t>
        </is>
      </c>
      <c r="Q96" s="4" t="inlineStr">
        <is>
          <t>WHALE REEFER</t>
        </is>
      </c>
      <c r="R96" s="4" t="n"/>
      <c r="S96" s="4" t="n"/>
      <c r="T96" s="4" t="inlineStr">
        <is>
          <t>WHALE REEFER</t>
        </is>
      </c>
      <c r="U96" s="4" t="inlineStr">
        <is>
          <t>AVENIDA DAS ARAUCARIAS, 5126, CHAPADA - ARAUCARIA-PR - CEP: 83707754 CNPJ 02.351.006/0001-39</t>
        </is>
      </c>
      <c r="V96" s="9" t="n">
        <v>21</v>
      </c>
      <c r="W96" s="9" t="n">
        <v>0</v>
      </c>
      <c r="X96" s="10" t="n">
        <v>322350</v>
      </c>
      <c r="Y96" s="10" t="n">
        <v>307000</v>
      </c>
      <c r="Z96" s="9" t="n">
        <v>307</v>
      </c>
      <c r="AA96" s="4" t="n"/>
      <c r="AB96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6" s="4" t="inlineStr">
        <is>
          <t>ANON0000000</t>
        </is>
      </c>
      <c r="AD96" s="4" t="inlineStr">
        <is>
          <t>RH40</t>
        </is>
      </c>
      <c r="AE96" s="4" t="n">
        <v>1229061</v>
      </c>
      <c r="AF96" s="4" t="n"/>
      <c r="AG96" s="4" t="inlineStr">
        <is>
          <t>FCL/FCL</t>
        </is>
      </c>
      <c r="AH96" s="4" t="inlineStr">
        <is>
          <t>GENERAL COMMODITY</t>
        </is>
      </c>
      <c r="AI96" s="10" t="n">
        <v>29400</v>
      </c>
      <c r="AJ96" s="9" t="n">
        <v>28</v>
      </c>
      <c r="AK96" s="4" t="inlineStr">
        <is>
          <t>BLO</t>
        </is>
      </c>
      <c r="AL96" s="4" t="n"/>
      <c r="AM96" s="4" t="n"/>
      <c r="AN96" s="4" t="n"/>
      <c r="AO96" s="4" t="n"/>
      <c r="AP96" s="4" t="n"/>
      <c r="AQ96" s="4" t="n"/>
      <c r="AR96" s="4" t="n">
        <v>4640</v>
      </c>
      <c r="AS96" s="4" t="n">
        <v>28000</v>
      </c>
      <c r="AT96" s="12" t="n"/>
    </row>
    <row r="97" ht="10.5" customFormat="1" customHeight="1" s="6">
      <c r="A97" s="11" t="n">
        <v>96</v>
      </c>
      <c r="B97" s="4" t="inlineStr">
        <is>
          <t>MERCURY / VOYAGE 1</t>
        </is>
      </c>
      <c r="C97" s="4" t="inlineStr">
        <is>
          <t>REF000000</t>
        </is>
      </c>
      <c r="D97" s="7" t="n">
        <v>46095</v>
      </c>
      <c r="E97" s="4" t="n">
        <v>46104</v>
      </c>
      <c r="F97" s="4" t="inlineStr">
        <is>
          <t>RULED</t>
        </is>
      </c>
      <c r="G97" s="4" t="inlineStr">
        <is>
          <t>RULED</t>
        </is>
      </c>
      <c r="H97" s="4" t="inlineStr">
        <is>
          <t>USNYC</t>
        </is>
      </c>
      <c r="I97" s="4" t="inlineStr">
        <is>
          <t>USNYC</t>
        </is>
      </c>
      <c r="J97" s="4" t="n"/>
      <c r="K97" s="8" t="n"/>
      <c r="L97" s="4" t="inlineStr">
        <is>
          <t>SEAL REEFER</t>
        </is>
      </c>
      <c r="M97" s="4" t="inlineStr">
        <is>
          <t>SEAL REEFER</t>
        </is>
      </c>
      <c r="N97" s="9" t="n"/>
      <c r="O97" s="9" t="n"/>
      <c r="P97" s="4" t="inlineStr">
        <is>
          <t>SEAL REEFER</t>
        </is>
      </c>
      <c r="Q97" s="4" t="inlineStr">
        <is>
          <t>SEAL REEFER</t>
        </is>
      </c>
      <c r="R97" s="4" t="n"/>
      <c r="S97" s="4" t="n"/>
      <c r="T97" s="4" t="inlineStr">
        <is>
          <t>SEAL REEFER</t>
        </is>
      </c>
      <c r="U97" s="4" t="inlineStr">
        <is>
          <t>AVENIDA DAS ARAUCARIAS, 5126, CHAPADA - ARAUCARIA-PR - CEP: 83707754 CNPJ 02.351.006/0001-39</t>
        </is>
      </c>
      <c r="V97" s="9" t="n">
        <v>21</v>
      </c>
      <c r="W97" s="9" t="n">
        <v>0</v>
      </c>
      <c r="X97" s="10" t="n">
        <v>322350</v>
      </c>
      <c r="Y97" s="10" t="n">
        <v>307000</v>
      </c>
      <c r="Z97" s="9" t="n">
        <v>307</v>
      </c>
      <c r="AA97" s="4" t="n"/>
      <c r="AB97" s="4" t="inlineStr">
        <is>
          <t>SAID TO CONTAIN / WEIGH &amp; MEASURE 11 X 40NOR CONTAINERS SAID TO CONTAIN 307 BITUBLOCK(S) OF POLYMER MODIFIED BITUMEN 50/70 NCM CODE 2713.20.00 NET WEIGHT: 307,00 MTS, GROSS WEIGHT: 322,35 MTS WOODEN PACKAGING - TREATED AND CERTIFIED</t>
        </is>
      </c>
      <c r="AC97" s="4" t="inlineStr">
        <is>
          <t>ANON0000000</t>
        </is>
      </c>
      <c r="AD97" s="4" t="inlineStr">
        <is>
          <t>RH40</t>
        </is>
      </c>
      <c r="AE97" s="4" t="n">
        <v>1229064</v>
      </c>
      <c r="AF97" s="4" t="n"/>
      <c r="AG97" s="4" t="inlineStr">
        <is>
          <t>FCL/FCL</t>
        </is>
      </c>
      <c r="AH97" s="4" t="inlineStr">
        <is>
          <t>GENERAL COMMODITY</t>
        </is>
      </c>
      <c r="AI97" s="10" t="n">
        <v>29400</v>
      </c>
      <c r="AJ97" s="9" t="n">
        <v>28</v>
      </c>
      <c r="AK97" s="4" t="inlineStr">
        <is>
          <t>BLO</t>
        </is>
      </c>
      <c r="AL97" s="4" t="n"/>
      <c r="AM97" s="4" t="n"/>
      <c r="AN97" s="4" t="n"/>
      <c r="AO97" s="4" t="n"/>
      <c r="AP97" s="4" t="n"/>
      <c r="AQ97" s="4" t="n"/>
      <c r="AR97" s="4" t="n">
        <v>4640</v>
      </c>
      <c r="AS97" s="4" t="n">
        <v>28000</v>
      </c>
      <c r="AT97" s="12" t="n"/>
    </row>
    <row r="98" ht="10.5" customFormat="1" customHeight="1" s="6">
      <c r="A98" s="11" t="n">
        <v>97</v>
      </c>
      <c r="B98" s="4" t="inlineStr">
        <is>
          <t>MERCURY / VOYAGE 1</t>
        </is>
      </c>
      <c r="C98" s="4" t="inlineStr">
        <is>
          <t>REF000000</t>
        </is>
      </c>
      <c r="D98" s="7" t="n">
        <v>46095</v>
      </c>
      <c r="E98" s="4" t="n">
        <v>46104</v>
      </c>
      <c r="F98" s="4" t="inlineStr">
        <is>
          <t>RULED</t>
        </is>
      </c>
      <c r="G98" s="4" t="inlineStr">
        <is>
          <t>RULED</t>
        </is>
      </c>
      <c r="H98" s="4" t="inlineStr">
        <is>
          <t>USNYC</t>
        </is>
      </c>
      <c r="I98" s="4" t="inlineStr">
        <is>
          <t>USNYC</t>
        </is>
      </c>
      <c r="J98" s="4" t="n"/>
      <c r="K98" s="8" t="n"/>
      <c r="L98" s="4" t="inlineStr">
        <is>
          <t>SHARK REEFER</t>
        </is>
      </c>
      <c r="M98" s="4" t="inlineStr">
        <is>
          <t>SHARK REEFER</t>
        </is>
      </c>
      <c r="N98" s="9" t="n"/>
      <c r="O98" s="9" t="n"/>
      <c r="P98" s="4" t="inlineStr">
        <is>
          <t>SHARK REEFER</t>
        </is>
      </c>
      <c r="Q98" s="4" t="inlineStr">
        <is>
          <t>SHARK REEFER</t>
        </is>
      </c>
      <c r="R98" s="4" t="n"/>
      <c r="S98" s="4" t="n"/>
      <c r="T98" s="4" t="inlineStr">
        <is>
          <t>SHARK REEFER</t>
        </is>
      </c>
      <c r="U98" s="4" t="inlineStr">
        <is>
          <t>AVENIDA DAS ARAUCARIAS, 5126, CHAPADA - ARAUCARIA-PR - CEP: 83707754 CNPJ 02.351.006/0001-39</t>
        </is>
      </c>
      <c r="V98" s="9" t="n">
        <v>21</v>
      </c>
      <c r="W98" s="9" t="n">
        <v>0</v>
      </c>
      <c r="X98" s="10" t="n">
        <v>348600</v>
      </c>
      <c r="Y98" s="10" t="n">
        <v>332000</v>
      </c>
      <c r="Z98" s="9" t="n">
        <v>332</v>
      </c>
      <c r="AA98" s="4" t="n"/>
      <c r="AB98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98" s="4" t="inlineStr">
        <is>
          <t>ANON0000000</t>
        </is>
      </c>
      <c r="AD98" s="4" t="inlineStr">
        <is>
          <t>RH40</t>
        </is>
      </c>
      <c r="AE98" s="4" t="n">
        <v>1229072</v>
      </c>
      <c r="AF98" s="4" t="n"/>
      <c r="AG98" s="4" t="inlineStr">
        <is>
          <t>FCL/FCL</t>
        </is>
      </c>
      <c r="AH98" s="4" t="inlineStr">
        <is>
          <t>GENERAL COMMODITY</t>
        </is>
      </c>
      <c r="AI98" s="10" t="n">
        <v>29400</v>
      </c>
      <c r="AJ98" s="9" t="n">
        <v>28</v>
      </c>
      <c r="AK98" s="4" t="inlineStr">
        <is>
          <t>BLO</t>
        </is>
      </c>
      <c r="AL98" s="4" t="n"/>
      <c r="AM98" s="4" t="n"/>
      <c r="AN98" s="4" t="n"/>
      <c r="AO98" s="4" t="n"/>
      <c r="AP98" s="4" t="n"/>
      <c r="AQ98" s="4" t="n"/>
      <c r="AR98" s="4" t="n">
        <v>4600</v>
      </c>
      <c r="AS98" s="4" t="n">
        <v>28000</v>
      </c>
      <c r="AT98" s="12" t="n"/>
    </row>
    <row r="99" ht="10.5" customFormat="1" customHeight="1" s="6">
      <c r="A99" s="11" t="n">
        <v>98</v>
      </c>
      <c r="B99" s="4" t="inlineStr">
        <is>
          <t>MERCURY / VOYAGE 1</t>
        </is>
      </c>
      <c r="C99" s="4" t="inlineStr">
        <is>
          <t>REF000000</t>
        </is>
      </c>
      <c r="D99" s="7" t="n">
        <v>46095</v>
      </c>
      <c r="E99" s="4" t="n">
        <v>46104</v>
      </c>
      <c r="F99" s="4" t="inlineStr">
        <is>
          <t>RULED</t>
        </is>
      </c>
      <c r="G99" s="4" t="inlineStr">
        <is>
          <t>RULED</t>
        </is>
      </c>
      <c r="H99" s="4" t="inlineStr">
        <is>
          <t>USNYC</t>
        </is>
      </c>
      <c r="I99" s="4" t="inlineStr">
        <is>
          <t>USNYC</t>
        </is>
      </c>
      <c r="J99" s="4" t="n"/>
      <c r="K99" s="8" t="n"/>
      <c r="L99" s="4" t="inlineStr">
        <is>
          <t>DOLPHIN REEFER</t>
        </is>
      </c>
      <c r="M99" s="4" t="inlineStr">
        <is>
          <t>DOLPHIN REEFER</t>
        </is>
      </c>
      <c r="N99" s="9" t="n"/>
      <c r="O99" s="9" t="n"/>
      <c r="P99" s="4" t="inlineStr">
        <is>
          <t>DOLPHIN REEFER</t>
        </is>
      </c>
      <c r="Q99" s="4" t="inlineStr">
        <is>
          <t>DOLPHIN REEFER</t>
        </is>
      </c>
      <c r="R99" s="4" t="n"/>
      <c r="S99" s="4" t="n"/>
      <c r="T99" s="4" t="inlineStr">
        <is>
          <t>DOLPHIN REEFER</t>
        </is>
      </c>
      <c r="U99" s="4" t="inlineStr">
        <is>
          <t>AVENIDA DAS ARAUCARIAS, 5126, CHAPADA - ARAUCARIA-PR - CEP: 83707754 CNPJ 02.351.006/0001-39</t>
        </is>
      </c>
      <c r="V99" s="9" t="n">
        <v>21</v>
      </c>
      <c r="W99" s="9" t="n">
        <v>0</v>
      </c>
      <c r="X99" s="10" t="n">
        <v>348600</v>
      </c>
      <c r="Y99" s="10" t="n">
        <v>332000</v>
      </c>
      <c r="Z99" s="9" t="n">
        <v>332</v>
      </c>
      <c r="AA99" s="4" t="n"/>
      <c r="AB99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99" s="4" t="inlineStr">
        <is>
          <t>ANON0000000</t>
        </is>
      </c>
      <c r="AD99" s="4" t="inlineStr">
        <is>
          <t>RH40</t>
        </is>
      </c>
      <c r="AE99" s="4" t="n">
        <v>1229070</v>
      </c>
      <c r="AF99" s="4" t="n"/>
      <c r="AG99" s="4" t="inlineStr">
        <is>
          <t>FCL/FCL</t>
        </is>
      </c>
      <c r="AH99" s="4" t="inlineStr">
        <is>
          <t>GENERAL COMMODITY</t>
        </is>
      </c>
      <c r="AI99" s="10" t="n">
        <v>29400</v>
      </c>
      <c r="AJ99" s="9" t="n">
        <v>28</v>
      </c>
      <c r="AK99" s="4" t="inlineStr">
        <is>
          <t>BLO</t>
        </is>
      </c>
      <c r="AL99" s="4" t="n"/>
      <c r="AM99" s="4" t="n"/>
      <c r="AN99" s="4" t="n"/>
      <c r="AO99" s="4" t="n"/>
      <c r="AP99" s="4" t="n"/>
      <c r="AQ99" s="4" t="n"/>
      <c r="AR99" s="4" t="n">
        <v>4400</v>
      </c>
      <c r="AS99" s="4" t="n">
        <v>28000</v>
      </c>
      <c r="AT99" s="12" t="n"/>
    </row>
    <row r="100" ht="10.5" customFormat="1" customHeight="1" s="6">
      <c r="A100" s="11" t="n">
        <v>99</v>
      </c>
      <c r="B100" s="4" t="inlineStr">
        <is>
          <t>MERCURY / VOYAGE 1</t>
        </is>
      </c>
      <c r="C100" s="4" t="inlineStr">
        <is>
          <t>REF000000</t>
        </is>
      </c>
      <c r="D100" s="7" t="n">
        <v>46095</v>
      </c>
      <c r="E100" s="4" t="n">
        <v>46104</v>
      </c>
      <c r="F100" s="4" t="inlineStr">
        <is>
          <t>RULED</t>
        </is>
      </c>
      <c r="G100" s="4" t="inlineStr">
        <is>
          <t>RULED</t>
        </is>
      </c>
      <c r="H100" s="4" t="inlineStr">
        <is>
          <t>USNYC</t>
        </is>
      </c>
      <c r="I100" s="4" t="inlineStr">
        <is>
          <t>USNYC</t>
        </is>
      </c>
      <c r="J100" s="4" t="n"/>
      <c r="K100" s="8" t="n"/>
      <c r="L100" s="4" t="inlineStr">
        <is>
          <t>MARLIN REEFER</t>
        </is>
      </c>
      <c r="M100" s="4" t="inlineStr">
        <is>
          <t>MARLIN REEFER</t>
        </is>
      </c>
      <c r="N100" s="9" t="n"/>
      <c r="O100" s="9" t="n"/>
      <c r="P100" s="4" t="inlineStr">
        <is>
          <t>MARLIN REEFER</t>
        </is>
      </c>
      <c r="Q100" s="4" t="inlineStr">
        <is>
          <t>MARLIN REEFER</t>
        </is>
      </c>
      <c r="R100" s="4" t="n"/>
      <c r="S100" s="4" t="n"/>
      <c r="T100" s="4" t="inlineStr">
        <is>
          <t>MARLIN REEFER</t>
        </is>
      </c>
      <c r="U100" s="4" t="inlineStr">
        <is>
          <t>AVENIDA DAS ARAUCARIAS, 5126, CHAPADA - ARAUCARIA-PR - CEP: 83707754 CNPJ 02.351.006/0001-39</t>
        </is>
      </c>
      <c r="V100" s="9" t="n">
        <v>21</v>
      </c>
      <c r="W100" s="9" t="n">
        <v>0</v>
      </c>
      <c r="X100" s="10" t="n">
        <v>348600</v>
      </c>
      <c r="Y100" s="10" t="n">
        <v>332000</v>
      </c>
      <c r="Z100" s="9" t="n">
        <v>332</v>
      </c>
      <c r="AA100" s="4" t="n"/>
      <c r="AB100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0" s="4" t="inlineStr">
        <is>
          <t>ANON0000000</t>
        </is>
      </c>
      <c r="AD100" s="4" t="inlineStr">
        <is>
          <t>RH40</t>
        </is>
      </c>
      <c r="AE100" s="4" t="n">
        <v>1229067</v>
      </c>
      <c r="AF100" s="4" t="n"/>
      <c r="AG100" s="4" t="inlineStr">
        <is>
          <t>FCL/FCL</t>
        </is>
      </c>
      <c r="AH100" s="4" t="inlineStr">
        <is>
          <t>GENERAL COMMODITY</t>
        </is>
      </c>
      <c r="AI100" s="10" t="n">
        <v>28350</v>
      </c>
      <c r="AJ100" s="9" t="n">
        <v>27</v>
      </c>
      <c r="AK100" s="4" t="inlineStr">
        <is>
          <t>BLO</t>
        </is>
      </c>
      <c r="AL100" s="4" t="n"/>
      <c r="AM100" s="4" t="n"/>
      <c r="AN100" s="4" t="n"/>
      <c r="AO100" s="4" t="n"/>
      <c r="AP100" s="4" t="n"/>
      <c r="AQ100" s="4" t="n"/>
      <c r="AR100" s="4" t="n">
        <v>4640</v>
      </c>
      <c r="AS100" s="4" t="n">
        <v>28000</v>
      </c>
      <c r="AT100" s="12" t="n"/>
    </row>
    <row r="101" ht="10.5" customFormat="1" customHeight="1" s="6">
      <c r="A101" s="11" t="n">
        <v>100</v>
      </c>
      <c r="B101" s="4" t="inlineStr">
        <is>
          <t>MERCURY / VOYAGE 1</t>
        </is>
      </c>
      <c r="C101" s="4" t="inlineStr">
        <is>
          <t>REF000000</t>
        </is>
      </c>
      <c r="D101" s="7" t="n">
        <v>46095</v>
      </c>
      <c r="E101" s="4" t="n">
        <v>46104</v>
      </c>
      <c r="F101" s="4" t="inlineStr">
        <is>
          <t>RULED</t>
        </is>
      </c>
      <c r="G101" s="4" t="inlineStr">
        <is>
          <t>RULED</t>
        </is>
      </c>
      <c r="H101" s="4" t="inlineStr">
        <is>
          <t>USNYC</t>
        </is>
      </c>
      <c r="I101" s="4" t="inlineStr">
        <is>
          <t>USNYC</t>
        </is>
      </c>
      <c r="J101" s="4" t="n"/>
      <c r="K101" s="8" t="n"/>
      <c r="L101" s="4" t="inlineStr">
        <is>
          <t>TURTLE REEFER</t>
        </is>
      </c>
      <c r="M101" s="4" t="inlineStr">
        <is>
          <t>TURTLE REEFER</t>
        </is>
      </c>
      <c r="N101" s="9" t="n"/>
      <c r="O101" s="9" t="n"/>
      <c r="P101" s="4" t="inlineStr">
        <is>
          <t>TURTLE REEFER</t>
        </is>
      </c>
      <c r="Q101" s="4" t="inlineStr">
        <is>
          <t>TURTLE REEFER</t>
        </is>
      </c>
      <c r="R101" s="4" t="n"/>
      <c r="S101" s="4" t="n"/>
      <c r="T101" s="4" t="inlineStr">
        <is>
          <t>TURTLE REEFER</t>
        </is>
      </c>
      <c r="U101" s="4" t="inlineStr">
        <is>
          <t>AVENIDA DAS ARAUCARIAS, 5126, CHAPADA - ARAUCARIA-PR - CEP: 83707754 CNPJ 02.351.006/0001-39</t>
        </is>
      </c>
      <c r="V101" s="9" t="n">
        <v>21</v>
      </c>
      <c r="W101" s="9" t="n">
        <v>0</v>
      </c>
      <c r="X101" s="10" t="n">
        <v>348600</v>
      </c>
      <c r="Y101" s="10" t="n">
        <v>332000</v>
      </c>
      <c r="Z101" s="9" t="n">
        <v>332</v>
      </c>
      <c r="AA101" s="4" t="n"/>
      <c r="AB101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1" s="4" t="inlineStr">
        <is>
          <t>ANON0000000</t>
        </is>
      </c>
      <c r="AD101" s="4" t="inlineStr">
        <is>
          <t>RH40</t>
        </is>
      </c>
      <c r="AE101" s="4" t="n">
        <v>1229069</v>
      </c>
      <c r="AF101" s="4" t="n"/>
      <c r="AG101" s="4" t="inlineStr">
        <is>
          <t>FCL/FCL</t>
        </is>
      </c>
      <c r="AH101" s="4" t="inlineStr">
        <is>
          <t>GENERAL COMMODITY</t>
        </is>
      </c>
      <c r="AI101" s="10" t="n">
        <v>29400</v>
      </c>
      <c r="AJ101" s="9" t="n">
        <v>28</v>
      </c>
      <c r="AK101" s="4" t="inlineStr">
        <is>
          <t>BLO</t>
        </is>
      </c>
      <c r="AL101" s="4" t="n"/>
      <c r="AM101" s="4" t="n"/>
      <c r="AN101" s="4" t="n"/>
      <c r="AO101" s="4" t="n"/>
      <c r="AP101" s="4" t="n"/>
      <c r="AQ101" s="4" t="n"/>
      <c r="AR101" s="4" t="n">
        <v>4400</v>
      </c>
      <c r="AS101" s="4" t="n">
        <v>28000</v>
      </c>
      <c r="AT101" s="12" t="n"/>
    </row>
    <row r="102" ht="10.5" customFormat="1" customHeight="1" s="6">
      <c r="A102" s="11" t="n">
        <v>101</v>
      </c>
      <c r="B102" s="4" t="inlineStr">
        <is>
          <t>MERCURY / VOYAGE 1</t>
        </is>
      </c>
      <c r="C102" s="4" t="inlineStr">
        <is>
          <t>REF000000</t>
        </is>
      </c>
      <c r="D102" s="7" t="n">
        <v>46095</v>
      </c>
      <c r="E102" s="4" t="n">
        <v>46104</v>
      </c>
      <c r="F102" s="4" t="inlineStr">
        <is>
          <t>RULED</t>
        </is>
      </c>
      <c r="G102" s="4" t="inlineStr">
        <is>
          <t>RULED</t>
        </is>
      </c>
      <c r="H102" s="4" t="inlineStr">
        <is>
          <t>USNYC</t>
        </is>
      </c>
      <c r="I102" s="4" t="inlineStr">
        <is>
          <t>USNYC</t>
        </is>
      </c>
      <c r="J102" s="4" t="n"/>
      <c r="K102" s="8" t="n"/>
      <c r="L102" s="4" t="inlineStr">
        <is>
          <t>ORCA REEFER</t>
        </is>
      </c>
      <c r="M102" s="4" t="inlineStr">
        <is>
          <t>ORCA REEFER</t>
        </is>
      </c>
      <c r="N102" s="9" t="n"/>
      <c r="O102" s="9" t="n"/>
      <c r="P102" s="4" t="inlineStr">
        <is>
          <t>ORCA REEFER</t>
        </is>
      </c>
      <c r="Q102" s="4" t="inlineStr">
        <is>
          <t>ORCA REEFER</t>
        </is>
      </c>
      <c r="R102" s="4" t="n"/>
      <c r="S102" s="4" t="n"/>
      <c r="T102" s="4" t="inlineStr">
        <is>
          <t>ORCA REEFER</t>
        </is>
      </c>
      <c r="U102" s="4" t="inlineStr">
        <is>
          <t>AVENIDA DAS ARAUCARIAS, 5126, CHAPADA - ARAUCARIA-PR - CEP: 83707754 CNPJ 02.351.006/0001-39</t>
        </is>
      </c>
      <c r="V102" s="9" t="n">
        <v>21</v>
      </c>
      <c r="W102" s="9" t="n">
        <v>0</v>
      </c>
      <c r="X102" s="10" t="n">
        <v>348600</v>
      </c>
      <c r="Y102" s="10" t="n">
        <v>332000</v>
      </c>
      <c r="Z102" s="9" t="n">
        <v>332</v>
      </c>
      <c r="AA102" s="4" t="n"/>
      <c r="AB102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2" s="4" t="inlineStr">
        <is>
          <t>ANON0000000</t>
        </is>
      </c>
      <c r="AD102" s="4" t="inlineStr">
        <is>
          <t>RH40</t>
        </is>
      </c>
      <c r="AE102" s="4" t="n">
        <v>1229063</v>
      </c>
      <c r="AF102" s="4" t="n"/>
      <c r="AG102" s="4" t="inlineStr">
        <is>
          <t>FCL/FCL</t>
        </is>
      </c>
      <c r="AH102" s="4" t="inlineStr">
        <is>
          <t>GENERAL COMMODITY</t>
        </is>
      </c>
      <c r="AI102" s="10" t="n">
        <v>29400</v>
      </c>
      <c r="AJ102" s="9" t="n">
        <v>28</v>
      </c>
      <c r="AK102" s="4" t="inlineStr">
        <is>
          <t>BLO</t>
        </is>
      </c>
      <c r="AL102" s="4" t="n"/>
      <c r="AM102" s="4" t="n"/>
      <c r="AN102" s="4" t="n"/>
      <c r="AO102" s="4" t="n"/>
      <c r="AP102" s="4" t="n"/>
      <c r="AQ102" s="4" t="n"/>
      <c r="AR102" s="4" t="n">
        <v>4600</v>
      </c>
      <c r="AS102" s="4" t="n">
        <v>28000</v>
      </c>
      <c r="AT102" s="12" t="n"/>
    </row>
    <row r="103" ht="10.5" customFormat="1" customHeight="1" s="6">
      <c r="A103" s="11" t="n">
        <v>102</v>
      </c>
      <c r="B103" s="4" t="inlineStr">
        <is>
          <t>MERCURY / VOYAGE 1</t>
        </is>
      </c>
      <c r="C103" s="4" t="inlineStr">
        <is>
          <t>REF000000</t>
        </is>
      </c>
      <c r="D103" s="7" t="n">
        <v>46095</v>
      </c>
      <c r="E103" s="4" t="n">
        <v>46104</v>
      </c>
      <c r="F103" s="4" t="inlineStr">
        <is>
          <t>RULED</t>
        </is>
      </c>
      <c r="G103" s="4" t="inlineStr">
        <is>
          <t>RULED</t>
        </is>
      </c>
      <c r="H103" s="4" t="inlineStr">
        <is>
          <t>USNYC</t>
        </is>
      </c>
      <c r="I103" s="4" t="inlineStr">
        <is>
          <t>USNYC</t>
        </is>
      </c>
      <c r="J103" s="4" t="n"/>
      <c r="K103" s="8" t="n"/>
      <c r="L103" s="4" t="inlineStr">
        <is>
          <t>WHALE REEFER</t>
        </is>
      </c>
      <c r="M103" s="4" t="inlineStr">
        <is>
          <t>WHALE REEFER</t>
        </is>
      </c>
      <c r="N103" s="9" t="n"/>
      <c r="O103" s="9" t="n"/>
      <c r="P103" s="4" t="inlineStr">
        <is>
          <t>WHALE REEFER</t>
        </is>
      </c>
      <c r="Q103" s="4" t="inlineStr">
        <is>
          <t>WHALE REEFER</t>
        </is>
      </c>
      <c r="R103" s="4" t="n"/>
      <c r="S103" s="4" t="n"/>
      <c r="T103" s="4" t="inlineStr">
        <is>
          <t>WHALE REEFER</t>
        </is>
      </c>
      <c r="U103" s="4" t="inlineStr">
        <is>
          <t>AVENIDA DAS ARAUCARIAS, 5126, CHAPADA - ARAUCARIA-PR - CEP: 83707754 CNPJ 02.351.006/0001-39</t>
        </is>
      </c>
      <c r="V103" s="9" t="n">
        <v>21</v>
      </c>
      <c r="W103" s="9" t="n">
        <v>0</v>
      </c>
      <c r="X103" s="10" t="n">
        <v>348600</v>
      </c>
      <c r="Y103" s="10" t="n">
        <v>332000</v>
      </c>
      <c r="Z103" s="9" t="n">
        <v>332</v>
      </c>
      <c r="AA103" s="4" t="n"/>
      <c r="AB103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3" s="4" t="inlineStr">
        <is>
          <t>ANON0000000</t>
        </is>
      </c>
      <c r="AD103" s="4" t="inlineStr">
        <is>
          <t>RH40</t>
        </is>
      </c>
      <c r="AE103" s="4" t="n">
        <v>1229071</v>
      </c>
      <c r="AF103" s="4" t="n"/>
      <c r="AG103" s="4" t="inlineStr">
        <is>
          <t>FCL/FCL</t>
        </is>
      </c>
      <c r="AH103" s="4" t="inlineStr">
        <is>
          <t>GENERAL COMMODITY</t>
        </is>
      </c>
      <c r="AI103" s="10" t="n">
        <v>29400</v>
      </c>
      <c r="AJ103" s="9" t="n">
        <v>28</v>
      </c>
      <c r="AK103" s="4" t="inlineStr">
        <is>
          <t>BLO</t>
        </is>
      </c>
      <c r="AL103" s="4" t="n"/>
      <c r="AM103" s="4" t="n"/>
      <c r="AN103" s="4" t="n"/>
      <c r="AO103" s="4" t="n"/>
      <c r="AP103" s="4" t="n"/>
      <c r="AQ103" s="4" t="n"/>
      <c r="AR103" s="4" t="n">
        <v>4400</v>
      </c>
      <c r="AS103" s="4" t="n">
        <v>28000</v>
      </c>
      <c r="AT103" s="12" t="n"/>
    </row>
    <row r="104" ht="10.5" customFormat="1" customHeight="1" s="6">
      <c r="A104" s="11" t="n">
        <v>103</v>
      </c>
      <c r="B104" s="4" t="inlineStr">
        <is>
          <t>MERCURY / VOYAGE 1</t>
        </is>
      </c>
      <c r="C104" s="4" t="inlineStr">
        <is>
          <t>REF000000</t>
        </is>
      </c>
      <c r="D104" s="7" t="n">
        <v>46095</v>
      </c>
      <c r="E104" s="4" t="n">
        <v>46104</v>
      </c>
      <c r="F104" s="4" t="inlineStr">
        <is>
          <t>RULED</t>
        </is>
      </c>
      <c r="G104" s="4" t="inlineStr">
        <is>
          <t>RULED</t>
        </is>
      </c>
      <c r="H104" s="4" t="inlineStr">
        <is>
          <t>USNYC</t>
        </is>
      </c>
      <c r="I104" s="4" t="inlineStr">
        <is>
          <t>USNYC</t>
        </is>
      </c>
      <c r="J104" s="4" t="n"/>
      <c r="K104" s="8" t="n"/>
      <c r="L104" s="4" t="inlineStr">
        <is>
          <t>SEAL REEFER</t>
        </is>
      </c>
      <c r="M104" s="4" t="inlineStr">
        <is>
          <t>SEAL REEFER</t>
        </is>
      </c>
      <c r="N104" s="9" t="n"/>
      <c r="O104" s="9" t="n"/>
      <c r="P104" s="4" t="inlineStr">
        <is>
          <t>SEAL REEFER</t>
        </is>
      </c>
      <c r="Q104" s="4" t="inlineStr">
        <is>
          <t>SEAL REEFER</t>
        </is>
      </c>
      <c r="R104" s="4" t="n"/>
      <c r="S104" s="4" t="n"/>
      <c r="T104" s="4" t="inlineStr">
        <is>
          <t>SEAL REEFER</t>
        </is>
      </c>
      <c r="U104" s="4" t="inlineStr">
        <is>
          <t>AVENIDA DAS ARAUCARIAS, 5126, CHAPADA - ARAUCARIA-PR - CEP: 83707754 CNPJ 02.351.006/0001-39</t>
        </is>
      </c>
      <c r="V104" s="9" t="n">
        <v>21</v>
      </c>
      <c r="W104" s="9" t="n">
        <v>0</v>
      </c>
      <c r="X104" s="10" t="n">
        <v>348600</v>
      </c>
      <c r="Y104" s="10" t="n">
        <v>332000</v>
      </c>
      <c r="Z104" s="9" t="n">
        <v>332</v>
      </c>
      <c r="AA104" s="4" t="n"/>
      <c r="AB104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4" s="4" t="inlineStr">
        <is>
          <t>ANON0000000</t>
        </is>
      </c>
      <c r="AD104" s="4" t="inlineStr">
        <is>
          <t>RH40</t>
        </is>
      </c>
      <c r="AE104" s="4" t="n">
        <v>1229073</v>
      </c>
      <c r="AF104" s="4" t="n"/>
      <c r="AG104" s="4" t="inlineStr">
        <is>
          <t>FCL/FCL</t>
        </is>
      </c>
      <c r="AH104" s="4" t="inlineStr">
        <is>
          <t>GENERAL COMMODITY</t>
        </is>
      </c>
      <c r="AI104" s="10" t="n">
        <v>28350</v>
      </c>
      <c r="AJ104" s="9" t="n">
        <v>27</v>
      </c>
      <c r="AK104" s="4" t="inlineStr">
        <is>
          <t>BLO</t>
        </is>
      </c>
      <c r="AL104" s="4" t="n"/>
      <c r="AM104" s="4" t="n"/>
      <c r="AN104" s="4" t="n"/>
      <c r="AO104" s="4" t="n"/>
      <c r="AP104" s="4" t="n"/>
      <c r="AQ104" s="4" t="n"/>
      <c r="AR104" s="4" t="n">
        <v>4750</v>
      </c>
      <c r="AS104" s="4" t="n">
        <v>28000</v>
      </c>
      <c r="AT104" s="12" t="n"/>
    </row>
    <row r="105" ht="10.5" customFormat="1" customHeight="1" s="6">
      <c r="A105" s="11" t="n">
        <v>104</v>
      </c>
      <c r="B105" s="4" t="inlineStr">
        <is>
          <t>MERCURY / VOYAGE 1</t>
        </is>
      </c>
      <c r="C105" s="4" t="inlineStr">
        <is>
          <t>REF000000</t>
        </is>
      </c>
      <c r="D105" s="7" t="n">
        <v>46095</v>
      </c>
      <c r="E105" s="4" t="n">
        <v>46104</v>
      </c>
      <c r="F105" s="4" t="inlineStr">
        <is>
          <t>RULED</t>
        </is>
      </c>
      <c r="G105" s="4" t="inlineStr">
        <is>
          <t>RULED</t>
        </is>
      </c>
      <c r="H105" s="4" t="inlineStr">
        <is>
          <t>USNYC</t>
        </is>
      </c>
      <c r="I105" s="4" t="inlineStr">
        <is>
          <t>USNYC</t>
        </is>
      </c>
      <c r="J105" s="4" t="n"/>
      <c r="K105" s="8" t="n"/>
      <c r="L105" s="4" t="inlineStr">
        <is>
          <t>SHARK REEFER</t>
        </is>
      </c>
      <c r="M105" s="4" t="inlineStr">
        <is>
          <t>SHARK REEFER</t>
        </is>
      </c>
      <c r="N105" s="9" t="n"/>
      <c r="O105" s="9" t="n"/>
      <c r="P105" s="4" t="inlineStr">
        <is>
          <t>SHARK REEFER</t>
        </is>
      </c>
      <c r="Q105" s="4" t="inlineStr">
        <is>
          <t>SHARK REEFER</t>
        </is>
      </c>
      <c r="R105" s="4" t="n"/>
      <c r="S105" s="4" t="n"/>
      <c r="T105" s="4" t="inlineStr">
        <is>
          <t>SHARK REEFER</t>
        </is>
      </c>
      <c r="U105" s="4" t="inlineStr">
        <is>
          <t>AVENIDA DAS ARAUCARIAS, 5126, CHAPADA - ARAUCARIA-PR - CEP: 83707754 CNPJ 02.351.006/0001-39</t>
        </is>
      </c>
      <c r="V105" s="9" t="n">
        <v>21</v>
      </c>
      <c r="W105" s="9" t="n">
        <v>0</v>
      </c>
      <c r="X105" s="10" t="n">
        <v>348600</v>
      </c>
      <c r="Y105" s="10" t="n">
        <v>332000</v>
      </c>
      <c r="Z105" s="9" t="n">
        <v>332</v>
      </c>
      <c r="AA105" s="4" t="n"/>
      <c r="AB105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5" s="4" t="inlineStr">
        <is>
          <t>ANON0000000</t>
        </is>
      </c>
      <c r="AD105" s="4" t="inlineStr">
        <is>
          <t>RH40</t>
        </is>
      </c>
      <c r="AE105" s="4" t="n">
        <v>1229068</v>
      </c>
      <c r="AF105" s="4" t="n"/>
      <c r="AG105" s="4" t="inlineStr">
        <is>
          <t>FCL/FCL</t>
        </is>
      </c>
      <c r="AH105" s="4" t="inlineStr">
        <is>
          <t>GENERAL COMMODITY</t>
        </is>
      </c>
      <c r="AI105" s="10" t="n">
        <v>29400</v>
      </c>
      <c r="AJ105" s="9" t="n">
        <v>28</v>
      </c>
      <c r="AK105" s="4" t="inlineStr">
        <is>
          <t>BLO</t>
        </is>
      </c>
      <c r="AL105" s="4" t="n"/>
      <c r="AM105" s="4" t="n"/>
      <c r="AN105" s="4" t="n"/>
      <c r="AO105" s="4" t="n"/>
      <c r="AP105" s="4" t="n"/>
      <c r="AQ105" s="4" t="n"/>
      <c r="AR105" s="4" t="n">
        <v>4630</v>
      </c>
      <c r="AS105" s="4" t="n">
        <v>28000</v>
      </c>
      <c r="AT105" s="12" t="n"/>
    </row>
    <row r="106" ht="10.5" customFormat="1" customHeight="1" s="6">
      <c r="A106" s="11" t="n">
        <v>105</v>
      </c>
      <c r="B106" s="4" t="inlineStr">
        <is>
          <t>MERCURY / VOYAGE 1</t>
        </is>
      </c>
      <c r="C106" s="4" t="inlineStr">
        <is>
          <t>REF000000</t>
        </is>
      </c>
      <c r="D106" s="7" t="n">
        <v>46095</v>
      </c>
      <c r="E106" s="4" t="n">
        <v>46104</v>
      </c>
      <c r="F106" s="4" t="inlineStr">
        <is>
          <t>RULED</t>
        </is>
      </c>
      <c r="G106" s="4" t="inlineStr">
        <is>
          <t>RULED</t>
        </is>
      </c>
      <c r="H106" s="4" t="inlineStr">
        <is>
          <t>USNYC</t>
        </is>
      </c>
      <c r="I106" s="4" t="inlineStr">
        <is>
          <t>USNYC</t>
        </is>
      </c>
      <c r="J106" s="4" t="n"/>
      <c r="K106" s="8" t="n"/>
      <c r="L106" s="4" t="inlineStr">
        <is>
          <t>DOLPHIN REEFER</t>
        </is>
      </c>
      <c r="M106" s="4" t="inlineStr">
        <is>
          <t>DOLPHIN REEFER</t>
        </is>
      </c>
      <c r="N106" s="9" t="n"/>
      <c r="O106" s="9" t="n"/>
      <c r="P106" s="4" t="inlineStr">
        <is>
          <t>DOLPHIN REEFER</t>
        </is>
      </c>
      <c r="Q106" s="4" t="inlineStr">
        <is>
          <t>DOLPHIN REEFER</t>
        </is>
      </c>
      <c r="R106" s="4" t="n"/>
      <c r="S106" s="4" t="n"/>
      <c r="T106" s="4" t="inlineStr">
        <is>
          <t>DOLPHIN REEFER</t>
        </is>
      </c>
      <c r="U106" s="4" t="inlineStr">
        <is>
          <t>AVENIDA DAS ARAUCARIAS, 5126, CHAPADA - ARAUCARIA-PR - CEP: 83707754 CNPJ 02.351.006/0001-39</t>
        </is>
      </c>
      <c r="V106" s="9" t="n">
        <v>21</v>
      </c>
      <c r="W106" s="9" t="n">
        <v>0</v>
      </c>
      <c r="X106" s="10" t="n">
        <v>348600</v>
      </c>
      <c r="Y106" s="10" t="n">
        <v>332000</v>
      </c>
      <c r="Z106" s="9" t="n">
        <v>332</v>
      </c>
      <c r="AA106" s="4" t="n"/>
      <c r="AB106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6" s="4" t="inlineStr">
        <is>
          <t>ANON0000000</t>
        </is>
      </c>
      <c r="AD106" s="4" t="inlineStr">
        <is>
          <t>RH40</t>
        </is>
      </c>
      <c r="AE106" s="4" t="n">
        <v>1229074</v>
      </c>
      <c r="AF106" s="4" t="n"/>
      <c r="AG106" s="4" t="inlineStr">
        <is>
          <t>FCL/FCL</t>
        </is>
      </c>
      <c r="AH106" s="4" t="inlineStr">
        <is>
          <t>GENERAL COMMODITY</t>
        </is>
      </c>
      <c r="AI106" s="10" t="n">
        <v>28350</v>
      </c>
      <c r="AJ106" s="9" t="n">
        <v>27</v>
      </c>
      <c r="AK106" s="4" t="inlineStr">
        <is>
          <t>BLO</t>
        </is>
      </c>
      <c r="AL106" s="4" t="n"/>
      <c r="AM106" s="4" t="n"/>
      <c r="AN106" s="4" t="n"/>
      <c r="AO106" s="4" t="n"/>
      <c r="AP106" s="4" t="n"/>
      <c r="AQ106" s="4" t="n"/>
      <c r="AR106" s="4" t="n">
        <v>4650</v>
      </c>
      <c r="AS106" s="4" t="n">
        <v>28000</v>
      </c>
      <c r="AT106" s="12" t="n"/>
    </row>
    <row r="107" ht="10.5" customFormat="1" customHeight="1" s="6">
      <c r="A107" s="11" t="n">
        <v>106</v>
      </c>
      <c r="B107" s="4" t="inlineStr">
        <is>
          <t>MERCURY / VOYAGE 1</t>
        </is>
      </c>
      <c r="C107" s="4" t="inlineStr">
        <is>
          <t>REF000000</t>
        </is>
      </c>
      <c r="D107" s="7" t="n">
        <v>46095</v>
      </c>
      <c r="E107" s="4" t="n">
        <v>46104</v>
      </c>
      <c r="F107" s="4" t="inlineStr">
        <is>
          <t>RULED</t>
        </is>
      </c>
      <c r="G107" s="4" t="inlineStr">
        <is>
          <t>RULED</t>
        </is>
      </c>
      <c r="H107" s="4" t="inlineStr">
        <is>
          <t>USNYC</t>
        </is>
      </c>
      <c r="I107" s="4" t="inlineStr">
        <is>
          <t>USNYC</t>
        </is>
      </c>
      <c r="J107" s="4" t="n"/>
      <c r="K107" s="8" t="n"/>
      <c r="L107" s="4" t="inlineStr">
        <is>
          <t>MARLIN REEFER</t>
        </is>
      </c>
      <c r="M107" s="4" t="inlineStr">
        <is>
          <t>MARLIN REEFER</t>
        </is>
      </c>
      <c r="N107" s="9" t="n"/>
      <c r="O107" s="9" t="n"/>
      <c r="P107" s="4" t="inlineStr">
        <is>
          <t>MARLIN REEFER</t>
        </is>
      </c>
      <c r="Q107" s="4" t="inlineStr">
        <is>
          <t>MARLIN REEFER</t>
        </is>
      </c>
      <c r="R107" s="4" t="n"/>
      <c r="S107" s="4" t="n"/>
      <c r="T107" s="4" t="inlineStr">
        <is>
          <t>MARLIN REEFER</t>
        </is>
      </c>
      <c r="U107" s="4" t="inlineStr">
        <is>
          <t>AVENIDA DAS ARAUCARIAS, 5126, CHAPADA - ARAUCARIA-PR - CEP: 83707754 CNPJ 02.351.006/0001-39</t>
        </is>
      </c>
      <c r="V107" s="9" t="n">
        <v>21</v>
      </c>
      <c r="W107" s="9" t="n">
        <v>0</v>
      </c>
      <c r="X107" s="10" t="n">
        <v>348600</v>
      </c>
      <c r="Y107" s="10" t="n">
        <v>332000</v>
      </c>
      <c r="Z107" s="9" t="n">
        <v>332</v>
      </c>
      <c r="AA107" s="4" t="n"/>
      <c r="AB107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7" s="4" t="inlineStr">
        <is>
          <t>ANON0000000</t>
        </is>
      </c>
      <c r="AD107" s="4" t="inlineStr">
        <is>
          <t>RH40</t>
        </is>
      </c>
      <c r="AE107" s="4" t="n">
        <v>1229065</v>
      </c>
      <c r="AF107" s="4" t="n"/>
      <c r="AG107" s="4" t="inlineStr">
        <is>
          <t>FCL/FCL</t>
        </is>
      </c>
      <c r="AH107" s="4" t="inlineStr">
        <is>
          <t>GENERAL COMMODITY</t>
        </is>
      </c>
      <c r="AI107" s="10" t="n">
        <v>28350</v>
      </c>
      <c r="AJ107" s="9" t="n">
        <v>27</v>
      </c>
      <c r="AK107" s="4" t="inlineStr">
        <is>
          <t>BLO</t>
        </is>
      </c>
      <c r="AL107" s="4" t="n"/>
      <c r="AM107" s="4" t="n"/>
      <c r="AN107" s="4" t="n"/>
      <c r="AO107" s="4" t="n"/>
      <c r="AP107" s="4" t="n"/>
      <c r="AQ107" s="4" t="n"/>
      <c r="AR107" s="4" t="n">
        <v>4700</v>
      </c>
      <c r="AS107" s="4" t="n">
        <v>28000</v>
      </c>
      <c r="AT107" s="12" t="n"/>
    </row>
    <row r="108" ht="10.5" customFormat="1" customHeight="1" s="6">
      <c r="A108" s="11" t="n">
        <v>107</v>
      </c>
      <c r="B108" s="4" t="inlineStr">
        <is>
          <t>MERCURY / VOYAGE 1</t>
        </is>
      </c>
      <c r="C108" s="4" t="inlineStr">
        <is>
          <t>REF000000</t>
        </is>
      </c>
      <c r="D108" s="7" t="n">
        <v>46095</v>
      </c>
      <c r="E108" s="4" t="n">
        <v>46104</v>
      </c>
      <c r="F108" s="4" t="inlineStr">
        <is>
          <t>RULED</t>
        </is>
      </c>
      <c r="G108" s="4" t="inlineStr">
        <is>
          <t>RULED</t>
        </is>
      </c>
      <c r="H108" s="4" t="inlineStr">
        <is>
          <t>USNYC</t>
        </is>
      </c>
      <c r="I108" s="4" t="inlineStr">
        <is>
          <t>USNYC</t>
        </is>
      </c>
      <c r="J108" s="4" t="n"/>
      <c r="K108" s="8" t="n"/>
      <c r="L108" s="4" t="inlineStr">
        <is>
          <t>TURTLE REEFER</t>
        </is>
      </c>
      <c r="M108" s="4" t="inlineStr">
        <is>
          <t>TURTLE REEFER</t>
        </is>
      </c>
      <c r="N108" s="9" t="n"/>
      <c r="O108" s="9" t="n"/>
      <c r="P108" s="4" t="inlineStr">
        <is>
          <t>TURTLE REEFER</t>
        </is>
      </c>
      <c r="Q108" s="4" t="inlineStr">
        <is>
          <t>TURTLE REEFER</t>
        </is>
      </c>
      <c r="R108" s="4" t="n"/>
      <c r="S108" s="4" t="n"/>
      <c r="T108" s="4" t="inlineStr">
        <is>
          <t>TURTLE REEFER</t>
        </is>
      </c>
      <c r="U108" s="4" t="inlineStr">
        <is>
          <t>AVENIDA DAS ARAUCARIAS, 5126, CHAPADA - ARAUCARIA-PR - CEP: 83707754 CNPJ 02.351.006/0001-39</t>
        </is>
      </c>
      <c r="V108" s="9" t="n">
        <v>21</v>
      </c>
      <c r="W108" s="9" t="n">
        <v>0</v>
      </c>
      <c r="X108" s="10" t="n">
        <v>348600</v>
      </c>
      <c r="Y108" s="10" t="n">
        <v>332000</v>
      </c>
      <c r="Z108" s="9" t="n">
        <v>332</v>
      </c>
      <c r="AA108" s="4" t="n"/>
      <c r="AB108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8" s="4" t="inlineStr">
        <is>
          <t>ANON0000000</t>
        </is>
      </c>
      <c r="AD108" s="4" t="inlineStr">
        <is>
          <t>RH40</t>
        </is>
      </c>
      <c r="AE108" s="4" t="n">
        <v>1229076</v>
      </c>
      <c r="AF108" s="4" t="n"/>
      <c r="AG108" s="4" t="inlineStr">
        <is>
          <t>FCL/FCL</t>
        </is>
      </c>
      <c r="AH108" s="4" t="inlineStr">
        <is>
          <t>GENERAL COMMODITY</t>
        </is>
      </c>
      <c r="AI108" s="10" t="n">
        <v>29400</v>
      </c>
      <c r="AJ108" s="9" t="n">
        <v>28</v>
      </c>
      <c r="AK108" s="4" t="inlineStr">
        <is>
          <t>BLO</t>
        </is>
      </c>
      <c r="AL108" s="4" t="n"/>
      <c r="AM108" s="4" t="n"/>
      <c r="AN108" s="4" t="n"/>
      <c r="AO108" s="4" t="n"/>
      <c r="AP108" s="4" t="n"/>
      <c r="AQ108" s="4" t="n"/>
      <c r="AR108" s="4" t="n">
        <v>4640</v>
      </c>
      <c r="AS108" s="4" t="n">
        <v>28000</v>
      </c>
      <c r="AT108" s="12" t="n"/>
    </row>
    <row r="109" ht="10.5" customFormat="1" customHeight="1" s="6">
      <c r="A109" s="11" t="n">
        <v>108</v>
      </c>
      <c r="B109" s="4" t="inlineStr">
        <is>
          <t>MERCURY / VOYAGE 1</t>
        </is>
      </c>
      <c r="C109" s="4" t="inlineStr">
        <is>
          <t>REF000000</t>
        </is>
      </c>
      <c r="D109" s="7" t="n">
        <v>46095</v>
      </c>
      <c r="E109" s="4" t="n">
        <v>46104</v>
      </c>
      <c r="F109" s="4" t="inlineStr">
        <is>
          <t>RULED</t>
        </is>
      </c>
      <c r="G109" s="4" t="inlineStr">
        <is>
          <t>RULED</t>
        </is>
      </c>
      <c r="H109" s="4" t="inlineStr">
        <is>
          <t>USNYC</t>
        </is>
      </c>
      <c r="I109" s="4" t="inlineStr">
        <is>
          <t>USNYC</t>
        </is>
      </c>
      <c r="J109" s="4" t="n"/>
      <c r="K109" s="8" t="n"/>
      <c r="L109" s="4" t="inlineStr">
        <is>
          <t>ORCA REEFER</t>
        </is>
      </c>
      <c r="M109" s="4" t="inlineStr">
        <is>
          <t>ORCA REEFER</t>
        </is>
      </c>
      <c r="N109" s="9" t="n"/>
      <c r="O109" s="9" t="n"/>
      <c r="P109" s="4" t="inlineStr">
        <is>
          <t>ORCA REEFER</t>
        </is>
      </c>
      <c r="Q109" s="4" t="inlineStr">
        <is>
          <t>ORCA REEFER</t>
        </is>
      </c>
      <c r="R109" s="4" t="n"/>
      <c r="S109" s="4" t="n"/>
      <c r="T109" s="4" t="inlineStr">
        <is>
          <t>ORCA REEFER</t>
        </is>
      </c>
      <c r="U109" s="4" t="inlineStr">
        <is>
          <t>AVENIDA DAS ARAUCARIAS, 5126, CHAPADA - ARAUCARIA-PR - CEP: 83707754 CNPJ 02.351.006/0001-39</t>
        </is>
      </c>
      <c r="V109" s="9" t="n">
        <v>21</v>
      </c>
      <c r="W109" s="9" t="n">
        <v>0</v>
      </c>
      <c r="X109" s="10" t="n">
        <v>348600</v>
      </c>
      <c r="Y109" s="10" t="n">
        <v>332000</v>
      </c>
      <c r="Z109" s="9" t="n">
        <v>332</v>
      </c>
      <c r="AA109" s="4" t="n"/>
      <c r="AB109" s="4" t="inlineStr">
        <is>
          <t>SAID TO CONTAIN / WEIGH &amp; MEASURE 12 X 40NOR CONTAINERS SAID TO CONTAIN 332 BITUBLOCK(S) OF POLYMER MODIFIED BITUMEN 50/70 NCM CODE 2713.20.00 NET WEIGHT: 332,00 MTS, GROSS WEIGHT: 348,60 MTS WOODEN PACKAGING - TREATED AND CERTIFIED</t>
        </is>
      </c>
      <c r="AC109" s="4" t="inlineStr">
        <is>
          <t>ANON0000000</t>
        </is>
      </c>
      <c r="AD109" s="4" t="inlineStr">
        <is>
          <t>RH40</t>
        </is>
      </c>
      <c r="AE109" s="4" t="n">
        <v>1229075</v>
      </c>
      <c r="AF109" s="4" t="n"/>
      <c r="AG109" s="4" t="inlineStr">
        <is>
          <t>FCL/FCL</t>
        </is>
      </c>
      <c r="AH109" s="4" t="inlineStr">
        <is>
          <t>GENERAL COMMODITY</t>
        </is>
      </c>
      <c r="AI109" s="10" t="n">
        <v>29400</v>
      </c>
      <c r="AJ109" s="9" t="n">
        <v>28</v>
      </c>
      <c r="AK109" s="4" t="inlineStr">
        <is>
          <t>BLO</t>
        </is>
      </c>
      <c r="AL109" s="4" t="n"/>
      <c r="AM109" s="4" t="n"/>
      <c r="AN109" s="4" t="n"/>
      <c r="AO109" s="4" t="n"/>
      <c r="AP109" s="4" t="n"/>
      <c r="AQ109" s="4" t="n"/>
      <c r="AR109" s="4" t="n">
        <v>4600</v>
      </c>
      <c r="AS109" s="4" t="n">
        <v>28000</v>
      </c>
      <c r="AT109" s="12" t="n"/>
    </row>
    <row r="110" ht="11.25" customFormat="1" customHeight="1" s="6">
      <c r="A110" s="11" t="n">
        <v>109</v>
      </c>
      <c r="B110" s="4" t="inlineStr">
        <is>
          <t>MERCURY / VOYAGE 1</t>
        </is>
      </c>
      <c r="C110" s="4" t="inlineStr">
        <is>
          <t>REF000000</t>
        </is>
      </c>
      <c r="D110" s="7" t="n">
        <v>46095</v>
      </c>
      <c r="E110" s="4" t="n">
        <v>46104</v>
      </c>
      <c r="F110" s="4" t="inlineStr">
        <is>
          <t>RULED</t>
        </is>
      </c>
      <c r="G110" s="4" t="inlineStr">
        <is>
          <t>RULED</t>
        </is>
      </c>
      <c r="H110" s="4" t="inlineStr">
        <is>
          <t>USNYC</t>
        </is>
      </c>
      <c r="I110" s="4" t="inlineStr">
        <is>
          <t>USNYC</t>
        </is>
      </c>
      <c r="J110" s="4" t="n"/>
      <c r="K110" s="8" t="n"/>
      <c r="L110" s="4" t="inlineStr">
        <is>
          <t>WHALE REEFER</t>
        </is>
      </c>
      <c r="M110" s="4" t="inlineStr">
        <is>
          <t>WHALE REEFER</t>
        </is>
      </c>
      <c r="N110" s="9" t="n"/>
      <c r="O110" s="9" t="n"/>
      <c r="P110" s="4" t="inlineStr">
        <is>
          <t>WHALE REEFER</t>
        </is>
      </c>
      <c r="Q110" s="4" t="inlineStr">
        <is>
          <t>WHALE REEFER</t>
        </is>
      </c>
      <c r="R110" s="4" t="n"/>
      <c r="S110" s="4" t="n"/>
      <c r="T110" s="4" t="inlineStr">
        <is>
          <t>WHALE REEFER</t>
        </is>
      </c>
      <c r="U110" s="4" t="inlineStr">
        <is>
          <t>AVENIDA DAS ARAUCARIAS, 5126, CHAPADA - ARAUCARIA-PR - CEP: 83707754 CNPJ 02.351.006/0001-39</t>
        </is>
      </c>
      <c r="V110" s="9" t="n">
        <v>21</v>
      </c>
      <c r="W110" s="9" t="n">
        <v>0</v>
      </c>
      <c r="X110" s="10" t="n">
        <v>349650</v>
      </c>
      <c r="Y110" s="10" t="n">
        <v>333000</v>
      </c>
      <c r="Z110" s="9" t="n">
        <v>333</v>
      </c>
      <c r="AA110" s="4" t="n"/>
      <c r="AB110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0" s="4" t="inlineStr">
        <is>
          <t>ANON0000000</t>
        </is>
      </c>
      <c r="AD110" s="4" t="inlineStr">
        <is>
          <t>RH40</t>
        </is>
      </c>
      <c r="AE110" s="4" t="n">
        <v>1229136</v>
      </c>
      <c r="AF110" s="4" t="n"/>
      <c r="AG110" s="4" t="inlineStr">
        <is>
          <t>FCL/FCL</t>
        </is>
      </c>
      <c r="AH110" s="4" t="inlineStr">
        <is>
          <t>GENERAL COMMODITY</t>
        </is>
      </c>
      <c r="AI110" s="10" t="n">
        <v>28350</v>
      </c>
      <c r="AJ110" s="9" t="n">
        <v>27</v>
      </c>
      <c r="AK110" s="4" t="inlineStr">
        <is>
          <t>BLO</t>
        </is>
      </c>
      <c r="AL110" s="4" t="n"/>
      <c r="AM110" s="4" t="n"/>
      <c r="AN110" s="4" t="n"/>
      <c r="AO110" s="4" t="n"/>
      <c r="AP110" s="4" t="n"/>
      <c r="AQ110" s="4" t="n"/>
      <c r="AR110" s="4" t="n">
        <v>4650</v>
      </c>
      <c r="AS110" s="4" t="n">
        <v>28000</v>
      </c>
      <c r="AT110" s="12" t="n"/>
    </row>
    <row r="111" ht="10.5" customFormat="1" customHeight="1" s="6">
      <c r="A111" s="11" t="n">
        <v>110</v>
      </c>
      <c r="B111" s="4" t="inlineStr">
        <is>
          <t>MERCURY / VOYAGE 1</t>
        </is>
      </c>
      <c r="C111" s="4" t="inlineStr">
        <is>
          <t>REF000000</t>
        </is>
      </c>
      <c r="D111" s="7" t="n">
        <v>46095</v>
      </c>
      <c r="E111" s="4" t="n">
        <v>46104</v>
      </c>
      <c r="F111" s="4" t="inlineStr">
        <is>
          <t>RULED</t>
        </is>
      </c>
      <c r="G111" s="4" t="inlineStr">
        <is>
          <t>RULED</t>
        </is>
      </c>
      <c r="H111" s="4" t="inlineStr">
        <is>
          <t>USNYC</t>
        </is>
      </c>
      <c r="I111" s="4" t="inlineStr">
        <is>
          <t>USNYC</t>
        </is>
      </c>
      <c r="J111" s="4" t="n"/>
      <c r="K111" s="8" t="n"/>
      <c r="L111" s="4" t="inlineStr">
        <is>
          <t>SEAL REEFER</t>
        </is>
      </c>
      <c r="M111" s="4" t="inlineStr">
        <is>
          <t>SEAL REEFER</t>
        </is>
      </c>
      <c r="N111" s="9" t="n"/>
      <c r="O111" s="9" t="n"/>
      <c r="P111" s="4" t="inlineStr">
        <is>
          <t>SEAL REEFER</t>
        </is>
      </c>
      <c r="Q111" s="4" t="inlineStr">
        <is>
          <t>SEAL REEFER</t>
        </is>
      </c>
      <c r="R111" s="4" t="n"/>
      <c r="S111" s="4" t="n"/>
      <c r="T111" s="4" t="inlineStr">
        <is>
          <t>SEAL REEFER</t>
        </is>
      </c>
      <c r="U111" s="4" t="inlineStr">
        <is>
          <t>AVENIDA DAS ARAUCARIAS, 5126, CHAPADA - ARAUCARIA-PR - CEP: 83707754 CNPJ 02.351.006/0001-39</t>
        </is>
      </c>
      <c r="V111" s="9" t="n">
        <v>21</v>
      </c>
      <c r="W111" s="9" t="n">
        <v>0</v>
      </c>
      <c r="X111" s="10" t="n">
        <v>349650</v>
      </c>
      <c r="Y111" s="10" t="n">
        <v>333000</v>
      </c>
      <c r="Z111" s="9" t="n">
        <v>333</v>
      </c>
      <c r="AA111" s="4" t="n"/>
      <c r="AB111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1" s="4" t="inlineStr">
        <is>
          <t>ANON0000000</t>
        </is>
      </c>
      <c r="AD111" s="4" t="inlineStr">
        <is>
          <t>RH40</t>
        </is>
      </c>
      <c r="AE111" s="4" t="n">
        <v>1229135</v>
      </c>
      <c r="AF111" s="4" t="n"/>
      <c r="AG111" s="4" t="inlineStr">
        <is>
          <t>FCL/FCL</t>
        </is>
      </c>
      <c r="AH111" s="4" t="inlineStr">
        <is>
          <t>GENERAL COMMODITY</t>
        </is>
      </c>
      <c r="AI111" s="10" t="n">
        <v>29400</v>
      </c>
      <c r="AJ111" s="9" t="n">
        <v>28</v>
      </c>
      <c r="AK111" s="4" t="inlineStr">
        <is>
          <t>BLO</t>
        </is>
      </c>
      <c r="AL111" s="4" t="n"/>
      <c r="AM111" s="4" t="n"/>
      <c r="AN111" s="4" t="n"/>
      <c r="AO111" s="4" t="n"/>
      <c r="AP111" s="4" t="n"/>
      <c r="AQ111" s="4" t="n"/>
      <c r="AR111" s="4" t="n">
        <v>4600</v>
      </c>
      <c r="AS111" s="4" t="n">
        <v>28000</v>
      </c>
      <c r="AT111" s="12" t="n"/>
    </row>
    <row r="112" ht="10.5" customFormat="1" customHeight="1" s="6">
      <c r="A112" s="11" t="n">
        <v>111</v>
      </c>
      <c r="B112" s="4" t="inlineStr">
        <is>
          <t>MERCURY / VOYAGE 1</t>
        </is>
      </c>
      <c r="C112" s="4" t="inlineStr">
        <is>
          <t>REF000000</t>
        </is>
      </c>
      <c r="D112" s="7" t="n">
        <v>46095</v>
      </c>
      <c r="E112" s="4" t="n">
        <v>46104</v>
      </c>
      <c r="F112" s="4" t="inlineStr">
        <is>
          <t>RULED</t>
        </is>
      </c>
      <c r="G112" s="4" t="inlineStr">
        <is>
          <t>RULED</t>
        </is>
      </c>
      <c r="H112" s="4" t="inlineStr">
        <is>
          <t>USNYC</t>
        </is>
      </c>
      <c r="I112" s="4" t="inlineStr">
        <is>
          <t>USNYC</t>
        </is>
      </c>
      <c r="J112" s="4" t="n"/>
      <c r="K112" s="8" t="n"/>
      <c r="L112" s="4" t="inlineStr">
        <is>
          <t>SHARK REEFER</t>
        </is>
      </c>
      <c r="M112" s="4" t="inlineStr">
        <is>
          <t>SHARK REEFER</t>
        </is>
      </c>
      <c r="N112" s="9" t="n"/>
      <c r="O112" s="9" t="n"/>
      <c r="P112" s="4" t="inlineStr">
        <is>
          <t>SHARK REEFER</t>
        </is>
      </c>
      <c r="Q112" s="4" t="inlineStr">
        <is>
          <t>SHARK REEFER</t>
        </is>
      </c>
      <c r="R112" s="4" t="n"/>
      <c r="S112" s="4" t="n"/>
      <c r="T112" s="4" t="inlineStr">
        <is>
          <t>SHARK REEFER</t>
        </is>
      </c>
      <c r="U112" s="4" t="inlineStr">
        <is>
          <t>AVENIDA DAS ARAUCARIAS, 5126, CHAPADA - ARAUCARIA-PR - CEP: 83707754 CNPJ 02.351.006/0001-39</t>
        </is>
      </c>
      <c r="V112" s="9" t="n">
        <v>21</v>
      </c>
      <c r="W112" s="9" t="n">
        <v>0</v>
      </c>
      <c r="X112" s="10" t="n">
        <v>349650</v>
      </c>
      <c r="Y112" s="10" t="n">
        <v>333000</v>
      </c>
      <c r="Z112" s="9" t="n">
        <v>333</v>
      </c>
      <c r="AA112" s="4" t="n"/>
      <c r="AB112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2" s="4" t="inlineStr">
        <is>
          <t>ANON0000000</t>
        </is>
      </c>
      <c r="AD112" s="4" t="inlineStr">
        <is>
          <t>RH40</t>
        </is>
      </c>
      <c r="AE112" s="4" t="n">
        <v>1229133</v>
      </c>
      <c r="AF112" s="4" t="n"/>
      <c r="AG112" s="4" t="inlineStr">
        <is>
          <t>FCL/FCL</t>
        </is>
      </c>
      <c r="AH112" s="4" t="inlineStr">
        <is>
          <t>GENERAL COMMODITY</t>
        </is>
      </c>
      <c r="AI112" s="10" t="n">
        <v>28350</v>
      </c>
      <c r="AJ112" s="9" t="n">
        <v>27</v>
      </c>
      <c r="AK112" s="4" t="inlineStr">
        <is>
          <t>BLO</t>
        </is>
      </c>
      <c r="AL112" s="4" t="n"/>
      <c r="AM112" s="4" t="n"/>
      <c r="AN112" s="4" t="n"/>
      <c r="AO112" s="4" t="n"/>
      <c r="AP112" s="4" t="n"/>
      <c r="AQ112" s="4" t="n"/>
      <c r="AR112" s="4" t="n">
        <v>4750</v>
      </c>
      <c r="AS112" s="4" t="n">
        <v>28000</v>
      </c>
      <c r="AT112" s="12" t="n"/>
    </row>
    <row r="113" ht="10.5" customFormat="1" customHeight="1" s="6">
      <c r="A113" s="11" t="n">
        <v>112</v>
      </c>
      <c r="B113" s="4" t="inlineStr">
        <is>
          <t>MERCURY / VOYAGE 1</t>
        </is>
      </c>
      <c r="C113" s="4" t="inlineStr">
        <is>
          <t>REF000000</t>
        </is>
      </c>
      <c r="D113" s="7" t="n">
        <v>46095</v>
      </c>
      <c r="E113" s="4" t="n">
        <v>46104</v>
      </c>
      <c r="F113" s="4" t="inlineStr">
        <is>
          <t>RULED</t>
        </is>
      </c>
      <c r="G113" s="4" t="inlineStr">
        <is>
          <t>RULED</t>
        </is>
      </c>
      <c r="H113" s="4" t="inlineStr">
        <is>
          <t>USNYC</t>
        </is>
      </c>
      <c r="I113" s="4" t="inlineStr">
        <is>
          <t>USNYC</t>
        </is>
      </c>
      <c r="J113" s="4" t="n"/>
      <c r="K113" s="8" t="n"/>
      <c r="L113" s="4" t="inlineStr">
        <is>
          <t>DOLPHIN REEFER</t>
        </is>
      </c>
      <c r="M113" s="4" t="inlineStr">
        <is>
          <t>DOLPHIN REEFER</t>
        </is>
      </c>
      <c r="N113" s="9" t="n"/>
      <c r="O113" s="9" t="n"/>
      <c r="P113" s="4" t="inlineStr">
        <is>
          <t>DOLPHIN REEFER</t>
        </is>
      </c>
      <c r="Q113" s="4" t="inlineStr">
        <is>
          <t>DOLPHIN REEFER</t>
        </is>
      </c>
      <c r="R113" s="4" t="n"/>
      <c r="S113" s="4" t="n"/>
      <c r="T113" s="4" t="inlineStr">
        <is>
          <t>DOLPHIN REEFER</t>
        </is>
      </c>
      <c r="U113" s="4" t="inlineStr">
        <is>
          <t>AVENIDA DAS ARAUCARIAS, 5126, CHAPADA - ARAUCARIA-PR - CEP: 83707754 CNPJ 02.351.006/0001-39</t>
        </is>
      </c>
      <c r="V113" s="9" t="n">
        <v>21</v>
      </c>
      <c r="W113" s="9" t="n">
        <v>0</v>
      </c>
      <c r="X113" s="10" t="n">
        <v>349650</v>
      </c>
      <c r="Y113" s="10" t="n">
        <v>333000</v>
      </c>
      <c r="Z113" s="9" t="n">
        <v>333</v>
      </c>
      <c r="AA113" s="4" t="n"/>
      <c r="AB113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3" s="4" t="inlineStr">
        <is>
          <t>ANON0000000</t>
        </is>
      </c>
      <c r="AD113" s="4" t="inlineStr">
        <is>
          <t>RH40</t>
        </is>
      </c>
      <c r="AE113" s="4" t="n">
        <v>1229131</v>
      </c>
      <c r="AF113" s="4" t="n"/>
      <c r="AG113" s="4" t="inlineStr">
        <is>
          <t>FCL/FCL</t>
        </is>
      </c>
      <c r="AH113" s="4" t="inlineStr">
        <is>
          <t>GENERAL COMMODITY</t>
        </is>
      </c>
      <c r="AI113" s="10" t="n">
        <v>29400</v>
      </c>
      <c r="AJ113" s="9" t="n">
        <v>28</v>
      </c>
      <c r="AK113" s="4" t="inlineStr">
        <is>
          <t>BLO</t>
        </is>
      </c>
      <c r="AL113" s="4" t="n"/>
      <c r="AM113" s="4" t="n"/>
      <c r="AN113" s="4" t="n"/>
      <c r="AO113" s="4" t="n"/>
      <c r="AP113" s="4" t="n"/>
      <c r="AQ113" s="4" t="n"/>
      <c r="AR113" s="4" t="n">
        <v>4700</v>
      </c>
      <c r="AS113" s="4" t="n">
        <v>28000</v>
      </c>
      <c r="AT113" s="12" t="n"/>
    </row>
    <row r="114" ht="10.5" customFormat="1" customHeight="1" s="6">
      <c r="A114" s="11" t="n">
        <v>113</v>
      </c>
      <c r="B114" s="4" t="inlineStr">
        <is>
          <t>MERCURY / VOYAGE 1</t>
        </is>
      </c>
      <c r="C114" s="4" t="inlineStr">
        <is>
          <t>REF000000</t>
        </is>
      </c>
      <c r="D114" s="7" t="n">
        <v>46095</v>
      </c>
      <c r="E114" s="4" t="n">
        <v>46104</v>
      </c>
      <c r="F114" s="4" t="inlineStr">
        <is>
          <t>RULED</t>
        </is>
      </c>
      <c r="G114" s="4" t="inlineStr">
        <is>
          <t>RULED</t>
        </is>
      </c>
      <c r="H114" s="4" t="inlineStr">
        <is>
          <t>USNYC</t>
        </is>
      </c>
      <c r="I114" s="4" t="inlineStr">
        <is>
          <t>USNYC</t>
        </is>
      </c>
      <c r="J114" s="4" t="n"/>
      <c r="K114" s="8" t="n"/>
      <c r="L114" s="4" t="inlineStr">
        <is>
          <t>MARLIN REEFER</t>
        </is>
      </c>
      <c r="M114" s="4" t="inlineStr">
        <is>
          <t>MARLIN REEFER</t>
        </is>
      </c>
      <c r="N114" s="9" t="n"/>
      <c r="O114" s="9" t="n"/>
      <c r="P114" s="4" t="inlineStr">
        <is>
          <t>MARLIN REEFER</t>
        </is>
      </c>
      <c r="Q114" s="4" t="inlineStr">
        <is>
          <t>MARLIN REEFER</t>
        </is>
      </c>
      <c r="R114" s="4" t="n"/>
      <c r="S114" s="4" t="n"/>
      <c r="T114" s="4" t="inlineStr">
        <is>
          <t>MARLIN REEFER</t>
        </is>
      </c>
      <c r="U114" s="4" t="inlineStr">
        <is>
          <t>AVENIDA DAS ARAUCARIAS, 5126, CHAPADA - ARAUCARIA-PR - CEP: 83707754 CNPJ 02.351.006/0001-39</t>
        </is>
      </c>
      <c r="V114" s="9" t="n">
        <v>21</v>
      </c>
      <c r="W114" s="9" t="n">
        <v>0</v>
      </c>
      <c r="X114" s="10" t="n">
        <v>349650</v>
      </c>
      <c r="Y114" s="10" t="n">
        <v>333000</v>
      </c>
      <c r="Z114" s="9" t="n">
        <v>333</v>
      </c>
      <c r="AA114" s="4" t="n"/>
      <c r="AB114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4" s="4" t="inlineStr">
        <is>
          <t>ANON0000000</t>
        </is>
      </c>
      <c r="AD114" s="4" t="inlineStr">
        <is>
          <t>RH40</t>
        </is>
      </c>
      <c r="AE114" s="4" t="n">
        <v>1229132</v>
      </c>
      <c r="AF114" s="4" t="n"/>
      <c r="AG114" s="4" t="inlineStr">
        <is>
          <t>FCL/FCL</t>
        </is>
      </c>
      <c r="AH114" s="4" t="inlineStr">
        <is>
          <t>GENERAL COMMODITY</t>
        </is>
      </c>
      <c r="AI114" s="10" t="n">
        <v>29400</v>
      </c>
      <c r="AJ114" s="9" t="n">
        <v>28</v>
      </c>
      <c r="AK114" s="4" t="inlineStr">
        <is>
          <t>BLO</t>
        </is>
      </c>
      <c r="AL114" s="4" t="n"/>
      <c r="AM114" s="4" t="n"/>
      <c r="AN114" s="4" t="n"/>
      <c r="AO114" s="4" t="n"/>
      <c r="AP114" s="4" t="n"/>
      <c r="AQ114" s="4" t="n"/>
      <c r="AR114" s="4" t="n">
        <v>4560</v>
      </c>
      <c r="AS114" s="4" t="n">
        <v>28000</v>
      </c>
      <c r="AT114" s="12" t="n"/>
    </row>
    <row r="115" ht="11.25" customFormat="1" customHeight="1" s="6">
      <c r="A115" s="11" t="n">
        <v>114</v>
      </c>
      <c r="B115" s="4" t="inlineStr">
        <is>
          <t>MERCURY / VOYAGE 1</t>
        </is>
      </c>
      <c r="C115" s="4" t="inlineStr">
        <is>
          <t>REF000000</t>
        </is>
      </c>
      <c r="D115" s="7" t="n">
        <v>46095</v>
      </c>
      <c r="E115" s="4" t="n">
        <v>46104</v>
      </c>
      <c r="F115" s="4" t="inlineStr">
        <is>
          <t>RULED</t>
        </is>
      </c>
      <c r="G115" s="4" t="inlineStr">
        <is>
          <t>RULED</t>
        </is>
      </c>
      <c r="H115" s="4" t="inlineStr">
        <is>
          <t>USNYC</t>
        </is>
      </c>
      <c r="I115" s="4" t="inlineStr">
        <is>
          <t>USNYC</t>
        </is>
      </c>
      <c r="J115" s="4" t="n"/>
      <c r="K115" s="8" t="n"/>
      <c r="L115" s="4" t="inlineStr">
        <is>
          <t>TURTLE REEFER</t>
        </is>
      </c>
      <c r="M115" s="4" t="inlineStr">
        <is>
          <t>TURTLE REEFER</t>
        </is>
      </c>
      <c r="N115" s="9" t="n"/>
      <c r="O115" s="9" t="n"/>
      <c r="P115" s="4" t="inlineStr">
        <is>
          <t>TURTLE REEFER</t>
        </is>
      </c>
      <c r="Q115" s="4" t="inlineStr">
        <is>
          <t>TURTLE REEFER</t>
        </is>
      </c>
      <c r="R115" s="4" t="n"/>
      <c r="S115" s="4" t="n"/>
      <c r="T115" s="4" t="inlineStr">
        <is>
          <t>TURTLE REEFER</t>
        </is>
      </c>
      <c r="U115" s="4" t="inlineStr">
        <is>
          <t>AVENIDA DAS ARAUCARIAS, 5126, CHAPADA - ARAUCARIA-PR - CEP: 83707754 CNPJ 02.351.006/0001-39</t>
        </is>
      </c>
      <c r="V115" s="9" t="n">
        <v>21</v>
      </c>
      <c r="W115" s="9" t="n">
        <v>0</v>
      </c>
      <c r="X115" s="10" t="n">
        <v>349650</v>
      </c>
      <c r="Y115" s="10" t="n">
        <v>333000</v>
      </c>
      <c r="Z115" s="9" t="n">
        <v>333</v>
      </c>
      <c r="AA115" s="4" t="n"/>
      <c r="AB115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5" s="4" t="inlineStr">
        <is>
          <t>ANON0000000</t>
        </is>
      </c>
      <c r="AD115" s="4" t="inlineStr">
        <is>
          <t>RH40</t>
        </is>
      </c>
      <c r="AE115" s="4" t="n">
        <v>1229077</v>
      </c>
      <c r="AF115" s="4" t="n"/>
      <c r="AG115" s="4" t="inlineStr">
        <is>
          <t>FCL/FCL</t>
        </is>
      </c>
      <c r="AH115" s="4" t="inlineStr">
        <is>
          <t>GENERAL COMMODITY</t>
        </is>
      </c>
      <c r="AI115" s="10" t="n">
        <v>29400</v>
      </c>
      <c r="AJ115" s="9" t="n">
        <v>28</v>
      </c>
      <c r="AK115" s="4" t="inlineStr">
        <is>
          <t>BLO</t>
        </is>
      </c>
      <c r="AL115" s="4" t="n"/>
      <c r="AM115" s="4" t="n"/>
      <c r="AN115" s="4" t="n"/>
      <c r="AO115" s="4" t="n"/>
      <c r="AP115" s="4" t="n"/>
      <c r="AQ115" s="4" t="n"/>
      <c r="AR115" s="4" t="n">
        <v>4400</v>
      </c>
      <c r="AS115" s="4" t="n">
        <v>28000</v>
      </c>
      <c r="AT115" s="12" t="n"/>
    </row>
    <row r="116" ht="10.5" customFormat="1" customHeight="1" s="6">
      <c r="A116" s="11" t="n">
        <v>115</v>
      </c>
      <c r="B116" s="4" t="inlineStr">
        <is>
          <t>MERCURY / VOYAGE 1</t>
        </is>
      </c>
      <c r="C116" s="4" t="inlineStr">
        <is>
          <t>REF000000</t>
        </is>
      </c>
      <c r="D116" s="7" t="n">
        <v>46095</v>
      </c>
      <c r="E116" s="4" t="n">
        <v>46104</v>
      </c>
      <c r="F116" s="4" t="inlineStr">
        <is>
          <t>RULED</t>
        </is>
      </c>
      <c r="G116" s="4" t="inlineStr">
        <is>
          <t>RULED</t>
        </is>
      </c>
      <c r="H116" s="4" t="inlineStr">
        <is>
          <t>USNYC</t>
        </is>
      </c>
      <c r="I116" s="4" t="inlineStr">
        <is>
          <t>USNYC</t>
        </is>
      </c>
      <c r="J116" s="4" t="n"/>
      <c r="K116" s="8" t="n"/>
      <c r="L116" s="4" t="inlineStr">
        <is>
          <t>ORCA REEFER</t>
        </is>
      </c>
      <c r="M116" s="4" t="inlineStr">
        <is>
          <t>ORCA REEFER</t>
        </is>
      </c>
      <c r="N116" s="9" t="n"/>
      <c r="O116" s="9" t="n"/>
      <c r="P116" s="4" t="inlineStr">
        <is>
          <t>ORCA REEFER</t>
        </is>
      </c>
      <c r="Q116" s="4" t="inlineStr">
        <is>
          <t>ORCA REEFER</t>
        </is>
      </c>
      <c r="R116" s="4" t="n"/>
      <c r="S116" s="4" t="n"/>
      <c r="T116" s="4" t="inlineStr">
        <is>
          <t>ORCA REEFER</t>
        </is>
      </c>
      <c r="U116" s="4" t="inlineStr">
        <is>
          <t>AVENIDA DAS ARAUCARIAS, 5126, CHAPADA - ARAUCARIA-PR - CEP: 83707754 CNPJ 02.351.006/0001-39</t>
        </is>
      </c>
      <c r="V116" s="9" t="n">
        <v>21</v>
      </c>
      <c r="W116" s="9" t="n">
        <v>0</v>
      </c>
      <c r="X116" s="10" t="n">
        <v>349650</v>
      </c>
      <c r="Y116" s="10" t="n">
        <v>333000</v>
      </c>
      <c r="Z116" s="9" t="n">
        <v>333</v>
      </c>
      <c r="AA116" s="4" t="n"/>
      <c r="AB116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6" s="4" t="inlineStr">
        <is>
          <t>ANON0000000</t>
        </is>
      </c>
      <c r="AD116" s="4" t="inlineStr">
        <is>
          <t>RH40</t>
        </is>
      </c>
      <c r="AE116" s="4" t="n">
        <v>1229134</v>
      </c>
      <c r="AF116" s="4" t="n"/>
      <c r="AG116" s="4" t="inlineStr">
        <is>
          <t>FCL/FCL</t>
        </is>
      </c>
      <c r="AH116" s="4" t="inlineStr">
        <is>
          <t>GENERAL COMMODITY</t>
        </is>
      </c>
      <c r="AI116" s="10" t="n">
        <v>29400</v>
      </c>
      <c r="AJ116" s="9" t="n">
        <v>28</v>
      </c>
      <c r="AK116" s="4" t="inlineStr">
        <is>
          <t>BLO</t>
        </is>
      </c>
      <c r="AL116" s="4" t="n"/>
      <c r="AM116" s="4" t="n"/>
      <c r="AN116" s="4" t="n"/>
      <c r="AO116" s="4" t="n"/>
      <c r="AP116" s="4" t="n"/>
      <c r="AQ116" s="4" t="n"/>
      <c r="AR116" s="4" t="n">
        <v>4400</v>
      </c>
      <c r="AS116" s="4" t="n">
        <v>28000</v>
      </c>
      <c r="AT116" s="12" t="n"/>
    </row>
    <row r="117" ht="10.5" customFormat="1" customHeight="1" s="6">
      <c r="A117" s="11" t="n">
        <v>116</v>
      </c>
      <c r="B117" s="4" t="inlineStr">
        <is>
          <t>MERCURY / VOYAGE 1</t>
        </is>
      </c>
      <c r="C117" s="4" t="inlineStr">
        <is>
          <t>REF000000</t>
        </is>
      </c>
      <c r="D117" s="7" t="n">
        <v>46095</v>
      </c>
      <c r="E117" s="4" t="n">
        <v>46104</v>
      </c>
      <c r="F117" s="4" t="inlineStr">
        <is>
          <t>RULED</t>
        </is>
      </c>
      <c r="G117" s="4" t="inlineStr">
        <is>
          <t>RULED</t>
        </is>
      </c>
      <c r="H117" s="4" t="inlineStr">
        <is>
          <t>USNYC</t>
        </is>
      </c>
      <c r="I117" s="4" t="inlineStr">
        <is>
          <t>USNYC</t>
        </is>
      </c>
      <c r="J117" s="4" t="n"/>
      <c r="K117" s="8" t="n"/>
      <c r="L117" s="4" t="inlineStr">
        <is>
          <t>WHALE REEFER</t>
        </is>
      </c>
      <c r="M117" s="4" t="inlineStr">
        <is>
          <t>WHALE REEFER</t>
        </is>
      </c>
      <c r="N117" s="9" t="n"/>
      <c r="O117" s="9" t="n"/>
      <c r="P117" s="4" t="inlineStr">
        <is>
          <t>WHALE REEFER</t>
        </is>
      </c>
      <c r="Q117" s="4" t="inlineStr">
        <is>
          <t>WHALE REEFER</t>
        </is>
      </c>
      <c r="R117" s="4" t="n"/>
      <c r="S117" s="4" t="n"/>
      <c r="T117" s="4" t="inlineStr">
        <is>
          <t>WHALE REEFER</t>
        </is>
      </c>
      <c r="U117" s="4" t="inlineStr">
        <is>
          <t>AVENIDA DAS ARAUCARIAS, 5126, CHAPADA - ARAUCARIA-PR - CEP: 83707754 CNPJ 02.351.006/0001-39</t>
        </is>
      </c>
      <c r="V117" s="9" t="n">
        <v>21</v>
      </c>
      <c r="W117" s="9" t="n">
        <v>0</v>
      </c>
      <c r="X117" s="10" t="n">
        <v>349650</v>
      </c>
      <c r="Y117" s="10" t="n">
        <v>333000</v>
      </c>
      <c r="Z117" s="9" t="n">
        <v>333</v>
      </c>
      <c r="AA117" s="4" t="n"/>
      <c r="AB117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7" s="4" t="inlineStr">
        <is>
          <t>ANON0000000</t>
        </is>
      </c>
      <c r="AD117" s="4" t="inlineStr">
        <is>
          <t>RH40</t>
        </is>
      </c>
      <c r="AE117" s="4" t="n">
        <v>1229080</v>
      </c>
      <c r="AF117" s="4" t="n"/>
      <c r="AG117" s="4" t="inlineStr">
        <is>
          <t>FCL/FCL</t>
        </is>
      </c>
      <c r="AH117" s="4" t="inlineStr">
        <is>
          <t>GENERAL COMMODITY</t>
        </is>
      </c>
      <c r="AI117" s="10" t="n">
        <v>29400</v>
      </c>
      <c r="AJ117" s="9" t="n">
        <v>28</v>
      </c>
      <c r="AK117" s="4" t="inlineStr">
        <is>
          <t>BLO</t>
        </is>
      </c>
      <c r="AL117" s="4" t="n"/>
      <c r="AM117" s="4" t="n"/>
      <c r="AN117" s="4" t="n"/>
      <c r="AO117" s="4" t="n"/>
      <c r="AP117" s="4" t="n"/>
      <c r="AQ117" s="4" t="n"/>
      <c r="AR117" s="4" t="n">
        <v>4580</v>
      </c>
      <c r="AS117" s="4" t="n">
        <v>28000</v>
      </c>
      <c r="AT117" s="12" t="n"/>
    </row>
    <row r="118" ht="10.5" customFormat="1" customHeight="1" s="6">
      <c r="A118" s="11" t="n">
        <v>117</v>
      </c>
      <c r="B118" s="4" t="inlineStr">
        <is>
          <t>MERCURY / VOYAGE 1</t>
        </is>
      </c>
      <c r="C118" s="4" t="inlineStr">
        <is>
          <t>REF000000</t>
        </is>
      </c>
      <c r="D118" s="7" t="n">
        <v>46095</v>
      </c>
      <c r="E118" s="4" t="n">
        <v>46104</v>
      </c>
      <c r="F118" s="4" t="inlineStr">
        <is>
          <t>RULED</t>
        </is>
      </c>
      <c r="G118" s="4" t="inlineStr">
        <is>
          <t>RULED</t>
        </is>
      </c>
      <c r="H118" s="4" t="inlineStr">
        <is>
          <t>USNYC</t>
        </is>
      </c>
      <c r="I118" s="4" t="inlineStr">
        <is>
          <t>USNYC</t>
        </is>
      </c>
      <c r="J118" s="4" t="n"/>
      <c r="K118" s="8" t="n"/>
      <c r="L118" s="4" t="inlineStr">
        <is>
          <t>SEAL REEFER</t>
        </is>
      </c>
      <c r="M118" s="4" t="inlineStr">
        <is>
          <t>SEAL REEFER</t>
        </is>
      </c>
      <c r="N118" s="9" t="n"/>
      <c r="O118" s="9" t="n"/>
      <c r="P118" s="4" t="inlineStr">
        <is>
          <t>SEAL REEFER</t>
        </is>
      </c>
      <c r="Q118" s="4" t="inlineStr">
        <is>
          <t>SEAL REEFER</t>
        </is>
      </c>
      <c r="R118" s="4" t="n"/>
      <c r="S118" s="4" t="n"/>
      <c r="T118" s="4" t="inlineStr">
        <is>
          <t>SEAL REEFER</t>
        </is>
      </c>
      <c r="U118" s="4" t="inlineStr">
        <is>
          <t>AVENIDA DAS ARAUCARIAS, 5126, CHAPADA - ARAUCARIA-PR - CEP: 83707754 CNPJ 02.351.006/0001-39</t>
        </is>
      </c>
      <c r="V118" s="9" t="n">
        <v>21</v>
      </c>
      <c r="W118" s="9" t="n">
        <v>0</v>
      </c>
      <c r="X118" s="10" t="n">
        <v>349650</v>
      </c>
      <c r="Y118" s="10" t="n">
        <v>333000</v>
      </c>
      <c r="Z118" s="9" t="n">
        <v>333</v>
      </c>
      <c r="AA118" s="4" t="n"/>
      <c r="AB118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8" s="4" t="inlineStr">
        <is>
          <t>ANON0000000</t>
        </is>
      </c>
      <c r="AD118" s="4" t="inlineStr">
        <is>
          <t>RH40</t>
        </is>
      </c>
      <c r="AE118" s="4" t="n">
        <v>1229078</v>
      </c>
      <c r="AF118" s="4" t="n"/>
      <c r="AG118" s="4" t="inlineStr">
        <is>
          <t>FCL/FCL</t>
        </is>
      </c>
      <c r="AH118" s="4" t="inlineStr">
        <is>
          <t>GENERAL COMMODITY</t>
        </is>
      </c>
      <c r="AI118" s="10" t="n">
        <v>29400</v>
      </c>
      <c r="AJ118" s="9" t="n">
        <v>28</v>
      </c>
      <c r="AK118" s="4" t="inlineStr">
        <is>
          <t>BLO</t>
        </is>
      </c>
      <c r="AL118" s="4" t="n"/>
      <c r="AM118" s="4" t="n"/>
      <c r="AN118" s="4" t="n"/>
      <c r="AO118" s="4" t="n"/>
      <c r="AP118" s="4" t="n"/>
      <c r="AQ118" s="4" t="n"/>
      <c r="AR118" s="4" t="n">
        <v>4620</v>
      </c>
      <c r="AS118" s="4" t="n">
        <v>28000</v>
      </c>
      <c r="AT118" s="12" t="n"/>
    </row>
    <row r="119" ht="10.5" customFormat="1" customHeight="1" s="6">
      <c r="A119" s="11" t="n">
        <v>118</v>
      </c>
      <c r="B119" s="4" t="inlineStr">
        <is>
          <t>MERCURY / VOYAGE 1</t>
        </is>
      </c>
      <c r="C119" s="4" t="inlineStr">
        <is>
          <t>REF000000</t>
        </is>
      </c>
      <c r="D119" s="7" t="n">
        <v>46095</v>
      </c>
      <c r="E119" s="4" t="n">
        <v>46104</v>
      </c>
      <c r="F119" s="4" t="inlineStr">
        <is>
          <t>RULED</t>
        </is>
      </c>
      <c r="G119" s="4" t="inlineStr">
        <is>
          <t>RULED</t>
        </is>
      </c>
      <c r="H119" s="4" t="inlineStr">
        <is>
          <t>USNYC</t>
        </is>
      </c>
      <c r="I119" s="4" t="inlineStr">
        <is>
          <t>USNYC</t>
        </is>
      </c>
      <c r="J119" s="4" t="n"/>
      <c r="K119" s="8" t="n"/>
      <c r="L119" s="4" t="inlineStr">
        <is>
          <t>SHARK REEFER</t>
        </is>
      </c>
      <c r="M119" s="4" t="inlineStr">
        <is>
          <t>SHARK REEFER</t>
        </is>
      </c>
      <c r="N119" s="9" t="n"/>
      <c r="O119" s="9" t="n"/>
      <c r="P119" s="4" t="inlineStr">
        <is>
          <t>SHARK REEFER</t>
        </is>
      </c>
      <c r="Q119" s="4" t="inlineStr">
        <is>
          <t>SHARK REEFER</t>
        </is>
      </c>
      <c r="R119" s="4" t="n"/>
      <c r="S119" s="4" t="n"/>
      <c r="T119" s="4" t="inlineStr">
        <is>
          <t>SHARK REEFER</t>
        </is>
      </c>
      <c r="U119" s="4" t="inlineStr">
        <is>
          <t>AVENIDA DAS ARAUCARIAS, 5126, CHAPADA - ARAUCARIA-PR - CEP: 83707754 CNPJ 02.351.006/0001-39</t>
        </is>
      </c>
      <c r="V119" s="9" t="n">
        <v>21</v>
      </c>
      <c r="W119" s="9" t="n">
        <v>0</v>
      </c>
      <c r="X119" s="10" t="n">
        <v>349650</v>
      </c>
      <c r="Y119" s="10" t="n">
        <v>333000</v>
      </c>
      <c r="Z119" s="9" t="n">
        <v>333</v>
      </c>
      <c r="AA119" s="4" t="n"/>
      <c r="AB119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19" s="4" t="inlineStr">
        <is>
          <t>ANON0000000</t>
        </is>
      </c>
      <c r="AD119" s="4" t="inlineStr">
        <is>
          <t>RH40</t>
        </is>
      </c>
      <c r="AE119" s="4" t="n">
        <v>1229079</v>
      </c>
      <c r="AF119" s="4" t="n"/>
      <c r="AG119" s="4" t="inlineStr">
        <is>
          <t>FCL/FCL</t>
        </is>
      </c>
      <c r="AH119" s="4" t="inlineStr">
        <is>
          <t>GENERAL COMMODITY</t>
        </is>
      </c>
      <c r="AI119" s="10" t="n">
        <v>28350</v>
      </c>
      <c r="AJ119" s="9" t="n">
        <v>27</v>
      </c>
      <c r="AK119" s="4" t="inlineStr">
        <is>
          <t>BLO</t>
        </is>
      </c>
      <c r="AL119" s="4" t="n"/>
      <c r="AM119" s="4" t="n"/>
      <c r="AN119" s="4" t="n"/>
      <c r="AO119" s="4" t="n"/>
      <c r="AP119" s="4" t="n"/>
      <c r="AQ119" s="4" t="n"/>
      <c r="AR119" s="4" t="n">
        <v>4700</v>
      </c>
      <c r="AS119" s="4" t="n">
        <v>28000</v>
      </c>
      <c r="AT119" s="12" t="n"/>
    </row>
    <row r="120" ht="11.25" customFormat="1" customHeight="1" s="6">
      <c r="A120" s="11" t="n">
        <v>119</v>
      </c>
      <c r="B120" s="4" t="inlineStr">
        <is>
          <t>MERCURY / VOYAGE 1</t>
        </is>
      </c>
      <c r="C120" s="4" t="inlineStr">
        <is>
          <t>REF000000</t>
        </is>
      </c>
      <c r="D120" s="7" t="n">
        <v>46095</v>
      </c>
      <c r="E120" s="4" t="n">
        <v>46104</v>
      </c>
      <c r="F120" s="4" t="inlineStr">
        <is>
          <t>RULED</t>
        </is>
      </c>
      <c r="G120" s="4" t="inlineStr">
        <is>
          <t>RULED</t>
        </is>
      </c>
      <c r="H120" s="4" t="inlineStr">
        <is>
          <t>USNYC</t>
        </is>
      </c>
      <c r="I120" s="4" t="inlineStr">
        <is>
          <t>USNYC</t>
        </is>
      </c>
      <c r="J120" s="4" t="n"/>
      <c r="K120" s="8" t="n"/>
      <c r="L120" s="4" t="inlineStr">
        <is>
          <t>DOLPHIN REEFER</t>
        </is>
      </c>
      <c r="M120" s="4" t="inlineStr">
        <is>
          <t>DOLPHIN REEFER</t>
        </is>
      </c>
      <c r="N120" s="9" t="n"/>
      <c r="O120" s="9" t="n"/>
      <c r="P120" s="4" t="inlineStr">
        <is>
          <t>DOLPHIN REEFER</t>
        </is>
      </c>
      <c r="Q120" s="4" t="inlineStr">
        <is>
          <t>DOLPHIN REEFER</t>
        </is>
      </c>
      <c r="R120" s="4" t="n"/>
      <c r="S120" s="4" t="n"/>
      <c r="T120" s="4" t="inlineStr">
        <is>
          <t>DOLPHIN REEFER</t>
        </is>
      </c>
      <c r="U120" s="4" t="inlineStr">
        <is>
          <t>AVENIDA DAS ARAUCARIAS, 5126, CHAPADA - ARAUCARIA-PR - CEP: 83707754 CNPJ 02.351.006/0001-39</t>
        </is>
      </c>
      <c r="V120" s="9" t="n">
        <v>21</v>
      </c>
      <c r="W120" s="9" t="n">
        <v>0</v>
      </c>
      <c r="X120" s="10" t="n">
        <v>349650</v>
      </c>
      <c r="Y120" s="10" t="n">
        <v>333000</v>
      </c>
      <c r="Z120" s="9" t="n">
        <v>333</v>
      </c>
      <c r="AA120" s="4" t="n"/>
      <c r="AB120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0" s="4" t="inlineStr">
        <is>
          <t>ANON0000000</t>
        </is>
      </c>
      <c r="AD120" s="4" t="inlineStr">
        <is>
          <t>RH40</t>
        </is>
      </c>
      <c r="AE120" s="4" t="n">
        <v>1229137</v>
      </c>
      <c r="AF120" s="4" t="n"/>
      <c r="AG120" s="4" t="inlineStr">
        <is>
          <t>FCL/FCL</t>
        </is>
      </c>
      <c r="AH120" s="4" t="inlineStr">
        <is>
          <t>GENERAL COMMODITY</t>
        </is>
      </c>
      <c r="AI120" s="10" t="n">
        <v>29400</v>
      </c>
      <c r="AJ120" s="9" t="n">
        <v>28</v>
      </c>
      <c r="AK120" s="4" t="inlineStr">
        <is>
          <t>BLO</t>
        </is>
      </c>
      <c r="AL120" s="4" t="n"/>
      <c r="AM120" s="4" t="n"/>
      <c r="AN120" s="4" t="n"/>
      <c r="AO120" s="4" t="n"/>
      <c r="AP120" s="4" t="n"/>
      <c r="AQ120" s="4" t="n"/>
      <c r="AR120" s="4" t="n">
        <v>4640</v>
      </c>
      <c r="AS120" s="4" t="n">
        <v>28000</v>
      </c>
      <c r="AT120" s="12" t="n"/>
    </row>
    <row r="121" ht="10.5" customFormat="1" customHeight="1" s="6">
      <c r="A121" s="11" t="n">
        <v>120</v>
      </c>
      <c r="B121" s="4" t="inlineStr">
        <is>
          <t>MERCURY / VOYAGE 1</t>
        </is>
      </c>
      <c r="C121" s="4" t="inlineStr">
        <is>
          <t>REF000000</t>
        </is>
      </c>
      <c r="D121" s="7" t="n">
        <v>46095</v>
      </c>
      <c r="E121" s="4" t="n">
        <v>46104</v>
      </c>
      <c r="F121" s="4" t="inlineStr">
        <is>
          <t>RULED</t>
        </is>
      </c>
      <c r="G121" s="4" t="inlineStr">
        <is>
          <t>RULED</t>
        </is>
      </c>
      <c r="H121" s="4" t="inlineStr">
        <is>
          <t>USNYC</t>
        </is>
      </c>
      <c r="I121" s="4" t="inlineStr">
        <is>
          <t>USNYC</t>
        </is>
      </c>
      <c r="J121" s="4" t="n"/>
      <c r="K121" s="8" t="n"/>
      <c r="L121" s="4" t="inlineStr">
        <is>
          <t>MARLIN REEFER</t>
        </is>
      </c>
      <c r="M121" s="4" t="inlineStr">
        <is>
          <t>MARLIN REEFER</t>
        </is>
      </c>
      <c r="N121" s="9" t="n"/>
      <c r="O121" s="9" t="n"/>
      <c r="P121" s="4" t="inlineStr">
        <is>
          <t>MARLIN REEFER</t>
        </is>
      </c>
      <c r="Q121" s="4" t="inlineStr">
        <is>
          <t>MARLIN REEFER</t>
        </is>
      </c>
      <c r="R121" s="4" t="n"/>
      <c r="S121" s="4" t="n"/>
      <c r="T121" s="4" t="inlineStr">
        <is>
          <t>MARLIN REEFER</t>
        </is>
      </c>
      <c r="U121" s="4" t="inlineStr">
        <is>
          <t>AVENIDA DAS ARAUCARIAS, 5126, CHAPADA - ARAUCARIA-PR - CEP: 83707754 CNPJ 02.351.006/0001-39</t>
        </is>
      </c>
      <c r="V121" s="9" t="n">
        <v>21</v>
      </c>
      <c r="W121" s="9" t="n">
        <v>0</v>
      </c>
      <c r="X121" s="10" t="n">
        <v>349650</v>
      </c>
      <c r="Y121" s="10" t="n">
        <v>333000</v>
      </c>
      <c r="Z121" s="9" t="n">
        <v>333</v>
      </c>
      <c r="AA121" s="4" t="n"/>
      <c r="AB121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1" s="4" t="inlineStr">
        <is>
          <t>ANON0000000</t>
        </is>
      </c>
      <c r="AD121" s="4" t="inlineStr">
        <is>
          <t>RH40</t>
        </is>
      </c>
      <c r="AE121" s="4" t="n">
        <v>1229138</v>
      </c>
      <c r="AF121" s="4" t="n"/>
      <c r="AG121" s="4" t="inlineStr">
        <is>
          <t>FCL/FCL</t>
        </is>
      </c>
      <c r="AH121" s="4" t="inlineStr">
        <is>
          <t>GENERAL COMMODITY</t>
        </is>
      </c>
      <c r="AI121" s="10" t="n">
        <v>29400</v>
      </c>
      <c r="AJ121" s="9" t="n">
        <v>28</v>
      </c>
      <c r="AK121" s="4" t="inlineStr">
        <is>
          <t>BLO</t>
        </is>
      </c>
      <c r="AL121" s="4" t="n"/>
      <c r="AM121" s="4" t="n"/>
      <c r="AN121" s="4" t="n"/>
      <c r="AO121" s="4" t="n"/>
      <c r="AP121" s="4" t="n"/>
      <c r="AQ121" s="4" t="n"/>
      <c r="AR121" s="4" t="n">
        <v>4620</v>
      </c>
      <c r="AS121" s="4" t="n">
        <v>28000</v>
      </c>
      <c r="AT121" s="12" t="n"/>
    </row>
    <row r="122" ht="10.5" customFormat="1" customHeight="1" s="6">
      <c r="A122" s="11" t="n">
        <v>121</v>
      </c>
      <c r="B122" s="4" t="inlineStr">
        <is>
          <t>MERCURY / VOYAGE 1</t>
        </is>
      </c>
      <c r="C122" s="4" t="inlineStr">
        <is>
          <t>REF000000</t>
        </is>
      </c>
      <c r="D122" s="7" t="n">
        <v>46095</v>
      </c>
      <c r="E122" s="4" t="n">
        <v>46104</v>
      </c>
      <c r="F122" s="4" t="inlineStr">
        <is>
          <t>RULED</t>
        </is>
      </c>
      <c r="G122" s="4" t="inlineStr">
        <is>
          <t>RULED</t>
        </is>
      </c>
      <c r="H122" s="4" t="inlineStr">
        <is>
          <t>USNYC</t>
        </is>
      </c>
      <c r="I122" s="4" t="inlineStr">
        <is>
          <t>USNYC</t>
        </is>
      </c>
      <c r="J122" s="4" t="n"/>
      <c r="K122" s="8" t="n"/>
      <c r="L122" s="4" t="inlineStr">
        <is>
          <t>TURTLE REEFER</t>
        </is>
      </c>
      <c r="M122" s="4" t="inlineStr">
        <is>
          <t>TURTLE REEFER</t>
        </is>
      </c>
      <c r="N122" s="9" t="n"/>
      <c r="O122" s="9" t="n"/>
      <c r="P122" s="4" t="inlineStr">
        <is>
          <t>TURTLE REEFER</t>
        </is>
      </c>
      <c r="Q122" s="4" t="inlineStr">
        <is>
          <t>TURTLE REEFER</t>
        </is>
      </c>
      <c r="R122" s="4" t="n"/>
      <c r="S122" s="4" t="n"/>
      <c r="T122" s="4" t="inlineStr">
        <is>
          <t>TURTLE REEFER</t>
        </is>
      </c>
      <c r="U122" s="4" t="inlineStr">
        <is>
          <t>AVENIDA DAS ARAUCARIAS, 5126, CHAPADA - ARAUCARIA-PR - CEP: 83707754 CNPJ 02.351.006/0001-39</t>
        </is>
      </c>
      <c r="V122" s="9" t="n">
        <v>21</v>
      </c>
      <c r="W122" s="9" t="n">
        <v>0</v>
      </c>
      <c r="X122" s="10" t="n">
        <v>349650</v>
      </c>
      <c r="Y122" s="10" t="n">
        <v>333000</v>
      </c>
      <c r="Z122" s="9" t="n">
        <v>333</v>
      </c>
      <c r="AA122" s="4" t="n"/>
      <c r="AB122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2" s="4" t="inlineStr">
        <is>
          <t>ANON0000000</t>
        </is>
      </c>
      <c r="AD122" s="4" t="inlineStr">
        <is>
          <t>RH40</t>
        </is>
      </c>
      <c r="AE122" s="4" t="n">
        <v>1229147</v>
      </c>
      <c r="AF122" s="4" t="n"/>
      <c r="AG122" s="4" t="inlineStr">
        <is>
          <t>FCL/FCL</t>
        </is>
      </c>
      <c r="AH122" s="4" t="inlineStr">
        <is>
          <t>GENERAL COMMODITY</t>
        </is>
      </c>
      <c r="AI122" s="10" t="n">
        <v>29400</v>
      </c>
      <c r="AJ122" s="9" t="n">
        <v>28</v>
      </c>
      <c r="AK122" s="4" t="inlineStr">
        <is>
          <t>BLO</t>
        </is>
      </c>
      <c r="AL122" s="4" t="n"/>
      <c r="AM122" s="4" t="n"/>
      <c r="AN122" s="4" t="n"/>
      <c r="AO122" s="4" t="n"/>
      <c r="AP122" s="4" t="n"/>
      <c r="AQ122" s="4" t="n"/>
      <c r="AR122" s="4" t="n">
        <v>4630</v>
      </c>
      <c r="AS122" s="4" t="n">
        <v>28000</v>
      </c>
      <c r="AT122" s="12" t="n"/>
    </row>
    <row r="123" ht="10.5" customFormat="1" customHeight="1" s="6">
      <c r="A123" s="11" t="n">
        <v>122</v>
      </c>
      <c r="B123" s="4" t="inlineStr">
        <is>
          <t>MERCURY / VOYAGE 1</t>
        </is>
      </c>
      <c r="C123" s="4" t="inlineStr">
        <is>
          <t>REF000000</t>
        </is>
      </c>
      <c r="D123" s="7" t="n">
        <v>46095</v>
      </c>
      <c r="E123" s="4" t="n">
        <v>46104</v>
      </c>
      <c r="F123" s="4" t="inlineStr">
        <is>
          <t>RULED</t>
        </is>
      </c>
      <c r="G123" s="4" t="inlineStr">
        <is>
          <t>RULED</t>
        </is>
      </c>
      <c r="H123" s="4" t="inlineStr">
        <is>
          <t>USNYC</t>
        </is>
      </c>
      <c r="I123" s="4" t="inlineStr">
        <is>
          <t>USNYC</t>
        </is>
      </c>
      <c r="J123" s="4" t="n"/>
      <c r="K123" s="8" t="n"/>
      <c r="L123" s="4" t="inlineStr">
        <is>
          <t>ORCA REEFER</t>
        </is>
      </c>
      <c r="M123" s="4" t="inlineStr">
        <is>
          <t>ORCA REEFER</t>
        </is>
      </c>
      <c r="N123" s="9" t="n"/>
      <c r="O123" s="9" t="n"/>
      <c r="P123" s="4" t="inlineStr">
        <is>
          <t>ORCA REEFER</t>
        </is>
      </c>
      <c r="Q123" s="4" t="inlineStr">
        <is>
          <t>ORCA REEFER</t>
        </is>
      </c>
      <c r="R123" s="4" t="n"/>
      <c r="S123" s="4" t="n"/>
      <c r="T123" s="4" t="inlineStr">
        <is>
          <t>ORCA REEFER</t>
        </is>
      </c>
      <c r="U123" s="4" t="inlineStr">
        <is>
          <t>AVENIDA DAS ARAUCARIAS, 5126, CHAPADA - ARAUCARIA-PR - CEP: 83707754 CNPJ 02.351.006/0001-39</t>
        </is>
      </c>
      <c r="V123" s="9" t="n">
        <v>21</v>
      </c>
      <c r="W123" s="9" t="n">
        <v>0</v>
      </c>
      <c r="X123" s="10" t="n">
        <v>349650</v>
      </c>
      <c r="Y123" s="10" t="n">
        <v>333000</v>
      </c>
      <c r="Z123" s="9" t="n">
        <v>333</v>
      </c>
      <c r="AA123" s="4" t="n"/>
      <c r="AB123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3" s="4" t="inlineStr">
        <is>
          <t>ANON0000000</t>
        </is>
      </c>
      <c r="AD123" s="4" t="inlineStr">
        <is>
          <t>RH40</t>
        </is>
      </c>
      <c r="AE123" s="4" t="n">
        <v>1229144</v>
      </c>
      <c r="AF123" s="4" t="n"/>
      <c r="AG123" s="4" t="inlineStr">
        <is>
          <t>FCL/FCL</t>
        </is>
      </c>
      <c r="AH123" s="4" t="inlineStr">
        <is>
          <t>GENERAL COMMODITY</t>
        </is>
      </c>
      <c r="AI123" s="10" t="n">
        <v>29400</v>
      </c>
      <c r="AJ123" s="9" t="n">
        <v>28</v>
      </c>
      <c r="AK123" s="4" t="inlineStr">
        <is>
          <t>BLO</t>
        </is>
      </c>
      <c r="AL123" s="4" t="n"/>
      <c r="AM123" s="4" t="n"/>
      <c r="AN123" s="4" t="n"/>
      <c r="AO123" s="4" t="n"/>
      <c r="AP123" s="4" t="n"/>
      <c r="AQ123" s="4" t="n"/>
      <c r="AR123" s="4" t="n">
        <v>4590</v>
      </c>
      <c r="AS123" s="4" t="n">
        <v>28000</v>
      </c>
      <c r="AT123" s="12" t="n"/>
    </row>
    <row r="124" ht="10.5" customFormat="1" customHeight="1" s="6">
      <c r="A124" s="11" t="n">
        <v>123</v>
      </c>
      <c r="B124" s="4" t="inlineStr">
        <is>
          <t>MERCURY / VOYAGE 1</t>
        </is>
      </c>
      <c r="C124" s="4" t="inlineStr">
        <is>
          <t>REF000000</t>
        </is>
      </c>
      <c r="D124" s="7" t="n">
        <v>46095</v>
      </c>
      <c r="E124" s="4" t="n">
        <v>46104</v>
      </c>
      <c r="F124" s="4" t="inlineStr">
        <is>
          <t>RULED</t>
        </is>
      </c>
      <c r="G124" s="4" t="inlineStr">
        <is>
          <t>RULED</t>
        </is>
      </c>
      <c r="H124" s="4" t="inlineStr">
        <is>
          <t>USNYC</t>
        </is>
      </c>
      <c r="I124" s="4" t="inlineStr">
        <is>
          <t>USNYC</t>
        </is>
      </c>
      <c r="J124" s="4" t="n"/>
      <c r="K124" s="8" t="n"/>
      <c r="L124" s="4" t="inlineStr">
        <is>
          <t>WHALE REEFER</t>
        </is>
      </c>
      <c r="M124" s="4" t="inlineStr">
        <is>
          <t>WHALE REEFER</t>
        </is>
      </c>
      <c r="N124" s="9" t="n"/>
      <c r="O124" s="9" t="n"/>
      <c r="P124" s="4" t="inlineStr">
        <is>
          <t>WHALE REEFER</t>
        </is>
      </c>
      <c r="Q124" s="4" t="inlineStr">
        <is>
          <t>WHALE REEFER</t>
        </is>
      </c>
      <c r="R124" s="4" t="n"/>
      <c r="S124" s="4" t="n"/>
      <c r="T124" s="4" t="inlineStr">
        <is>
          <t>WHALE REEFER</t>
        </is>
      </c>
      <c r="U124" s="4" t="inlineStr">
        <is>
          <t>AVENIDA DAS ARAUCARIAS, 5126, CHAPADA - ARAUCARIA-PR - CEP: 83707754 CNPJ 02.351.006/0001-39</t>
        </is>
      </c>
      <c r="V124" s="9" t="n">
        <v>21</v>
      </c>
      <c r="W124" s="9" t="n">
        <v>0</v>
      </c>
      <c r="X124" s="10" t="n">
        <v>349650</v>
      </c>
      <c r="Y124" s="10" t="n">
        <v>333000</v>
      </c>
      <c r="Z124" s="9" t="n">
        <v>333</v>
      </c>
      <c r="AA124" s="4" t="n"/>
      <c r="AB124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4" s="4" t="inlineStr">
        <is>
          <t>ANON0000000</t>
        </is>
      </c>
      <c r="AD124" s="4" t="inlineStr">
        <is>
          <t>RH40</t>
        </is>
      </c>
      <c r="AE124" s="4" t="n">
        <v>1229140</v>
      </c>
      <c r="AF124" s="4" t="n"/>
      <c r="AG124" s="4" t="inlineStr">
        <is>
          <t>FCL/FCL</t>
        </is>
      </c>
      <c r="AH124" s="4" t="inlineStr">
        <is>
          <t>GENERAL COMMODITY</t>
        </is>
      </c>
      <c r="AI124" s="10" t="n">
        <v>28350</v>
      </c>
      <c r="AJ124" s="9" t="n">
        <v>27</v>
      </c>
      <c r="AK124" s="4" t="inlineStr">
        <is>
          <t>BLO</t>
        </is>
      </c>
      <c r="AL124" s="4" t="n"/>
      <c r="AM124" s="4" t="n"/>
      <c r="AN124" s="4" t="n"/>
      <c r="AO124" s="4" t="n"/>
      <c r="AP124" s="4" t="n"/>
      <c r="AQ124" s="4" t="n"/>
      <c r="AR124" s="4" t="n">
        <v>4700</v>
      </c>
      <c r="AS124" s="4" t="n">
        <v>28000</v>
      </c>
      <c r="AT124" s="12" t="n"/>
    </row>
    <row r="125" ht="11.25" customFormat="1" customHeight="1" s="6">
      <c r="A125" s="11" t="n">
        <v>124</v>
      </c>
      <c r="B125" s="4" t="inlineStr">
        <is>
          <t>MERCURY / VOYAGE 1</t>
        </is>
      </c>
      <c r="C125" s="4" t="inlineStr">
        <is>
          <t>REF000000</t>
        </is>
      </c>
      <c r="D125" s="7" t="n">
        <v>46095</v>
      </c>
      <c r="E125" s="4" t="n">
        <v>46104</v>
      </c>
      <c r="F125" s="4" t="inlineStr">
        <is>
          <t>RULED</t>
        </is>
      </c>
      <c r="G125" s="4" t="inlineStr">
        <is>
          <t>RULED</t>
        </is>
      </c>
      <c r="H125" s="4" t="inlineStr">
        <is>
          <t>USNYC</t>
        </is>
      </c>
      <c r="I125" s="4" t="inlineStr">
        <is>
          <t>USNYC</t>
        </is>
      </c>
      <c r="J125" s="4" t="n"/>
      <c r="K125" s="8" t="n"/>
      <c r="L125" s="4" t="inlineStr">
        <is>
          <t>SEAL REEFER</t>
        </is>
      </c>
      <c r="M125" s="4" t="inlineStr">
        <is>
          <t>SEAL REEFER</t>
        </is>
      </c>
      <c r="N125" s="9" t="n"/>
      <c r="O125" s="9" t="n"/>
      <c r="P125" s="4" t="inlineStr">
        <is>
          <t>SEAL REEFER</t>
        </is>
      </c>
      <c r="Q125" s="4" t="inlineStr">
        <is>
          <t>SEAL REEFER</t>
        </is>
      </c>
      <c r="R125" s="4" t="n"/>
      <c r="S125" s="4" t="n"/>
      <c r="T125" s="4" t="inlineStr">
        <is>
          <t>SEAL REEFER</t>
        </is>
      </c>
      <c r="U125" s="4" t="inlineStr">
        <is>
          <t>AVENIDA DAS ARAUCARIAS, 5126, CHAPADA - ARAUCARIA-PR - CEP: 83707754 CNPJ 02.351.006/0001-39</t>
        </is>
      </c>
      <c r="V125" s="9" t="n">
        <v>21</v>
      </c>
      <c r="W125" s="9" t="n">
        <v>0</v>
      </c>
      <c r="X125" s="10" t="n">
        <v>349650</v>
      </c>
      <c r="Y125" s="10" t="n">
        <v>333000</v>
      </c>
      <c r="Z125" s="9" t="n">
        <v>333</v>
      </c>
      <c r="AA125" s="4" t="n"/>
      <c r="AB125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5" s="4" t="inlineStr">
        <is>
          <t>ANON0000000</t>
        </is>
      </c>
      <c r="AD125" s="4" t="inlineStr">
        <is>
          <t>RH40</t>
        </is>
      </c>
      <c r="AE125" s="4" t="n">
        <v>1229142</v>
      </c>
      <c r="AF125" s="4" t="n"/>
      <c r="AG125" s="4" t="inlineStr">
        <is>
          <t>FCL/FCL</t>
        </is>
      </c>
      <c r="AH125" s="4" t="inlineStr">
        <is>
          <t>GENERAL COMMODITY</t>
        </is>
      </c>
      <c r="AI125" s="10" t="n">
        <v>28350</v>
      </c>
      <c r="AJ125" s="9" t="n">
        <v>27</v>
      </c>
      <c r="AK125" s="4" t="inlineStr">
        <is>
          <t>BLO</t>
        </is>
      </c>
      <c r="AL125" s="4" t="n"/>
      <c r="AM125" s="4" t="n"/>
      <c r="AN125" s="4" t="n"/>
      <c r="AO125" s="4" t="n"/>
      <c r="AP125" s="4" t="n"/>
      <c r="AQ125" s="4" t="n"/>
      <c r="AR125" s="4" t="n">
        <v>4750</v>
      </c>
      <c r="AS125" s="4" t="n">
        <v>28000</v>
      </c>
      <c r="AT125" s="12" t="n"/>
    </row>
    <row r="126" ht="10.5" customFormat="1" customHeight="1" s="6">
      <c r="A126" s="11" t="n">
        <v>125</v>
      </c>
      <c r="B126" s="4" t="inlineStr">
        <is>
          <t>MERCURY / VOYAGE 1</t>
        </is>
      </c>
      <c r="C126" s="4" t="inlineStr">
        <is>
          <t>REF000000</t>
        </is>
      </c>
      <c r="D126" s="7" t="n">
        <v>46095</v>
      </c>
      <c r="E126" s="4" t="n">
        <v>46104</v>
      </c>
      <c r="F126" s="4" t="inlineStr">
        <is>
          <t>RULED</t>
        </is>
      </c>
      <c r="G126" s="4" t="inlineStr">
        <is>
          <t>RULED</t>
        </is>
      </c>
      <c r="H126" s="4" t="inlineStr">
        <is>
          <t>USNYC</t>
        </is>
      </c>
      <c r="I126" s="4" t="inlineStr">
        <is>
          <t>USNYC</t>
        </is>
      </c>
      <c r="J126" s="4" t="n"/>
      <c r="K126" s="8" t="n"/>
      <c r="L126" s="4" t="inlineStr">
        <is>
          <t>SHARK REEFER</t>
        </is>
      </c>
      <c r="M126" s="4" t="inlineStr">
        <is>
          <t>SHARK REEFER</t>
        </is>
      </c>
      <c r="N126" s="9" t="n"/>
      <c r="O126" s="9" t="n"/>
      <c r="P126" s="4" t="inlineStr">
        <is>
          <t>SHARK REEFER</t>
        </is>
      </c>
      <c r="Q126" s="4" t="inlineStr">
        <is>
          <t>SHARK REEFER</t>
        </is>
      </c>
      <c r="R126" s="4" t="n"/>
      <c r="S126" s="4" t="n"/>
      <c r="T126" s="4" t="inlineStr">
        <is>
          <t>SHARK REEFER</t>
        </is>
      </c>
      <c r="U126" s="4" t="inlineStr">
        <is>
          <t>AVENIDA DAS ARAUCARIAS, 5126, CHAPADA - ARAUCARIA-PR - CEP: 83707754 CNPJ 02.351.006/0001-39</t>
        </is>
      </c>
      <c r="V126" s="9" t="n">
        <v>21</v>
      </c>
      <c r="W126" s="9" t="n">
        <v>0</v>
      </c>
      <c r="X126" s="10" t="n">
        <v>349650</v>
      </c>
      <c r="Y126" s="10" t="n">
        <v>333000</v>
      </c>
      <c r="Z126" s="9" t="n">
        <v>333</v>
      </c>
      <c r="AA126" s="4" t="n"/>
      <c r="AB126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6" s="4" t="inlineStr">
        <is>
          <t>ANON0000000</t>
        </is>
      </c>
      <c r="AD126" s="4" t="inlineStr">
        <is>
          <t>RH40</t>
        </is>
      </c>
      <c r="AE126" s="4" t="n">
        <v>1229141</v>
      </c>
      <c r="AF126" s="4" t="n"/>
      <c r="AG126" s="4" t="inlineStr">
        <is>
          <t>FCL/FCL</t>
        </is>
      </c>
      <c r="AH126" s="4" t="inlineStr">
        <is>
          <t>GENERAL COMMODITY</t>
        </is>
      </c>
      <c r="AI126" s="10" t="n">
        <v>29400</v>
      </c>
      <c r="AJ126" s="9" t="n">
        <v>28</v>
      </c>
      <c r="AK126" s="4" t="inlineStr">
        <is>
          <t>BLO</t>
        </is>
      </c>
      <c r="AL126" s="4" t="n"/>
      <c r="AM126" s="4" t="n"/>
      <c r="AN126" s="4" t="n"/>
      <c r="AO126" s="4" t="n"/>
      <c r="AP126" s="4" t="n"/>
      <c r="AQ126" s="4" t="n"/>
      <c r="AR126" s="4" t="n">
        <v>4600</v>
      </c>
      <c r="AS126" s="4" t="n">
        <v>28000</v>
      </c>
      <c r="AT126" s="12" t="n"/>
    </row>
    <row r="127" ht="10.5" customFormat="1" customHeight="1" s="6">
      <c r="A127" s="11" t="n">
        <v>126</v>
      </c>
      <c r="B127" s="4" t="inlineStr">
        <is>
          <t>MERCURY / VOYAGE 1</t>
        </is>
      </c>
      <c r="C127" s="4" t="inlineStr">
        <is>
          <t>REF000000</t>
        </is>
      </c>
      <c r="D127" s="7" t="n">
        <v>46095</v>
      </c>
      <c r="E127" s="4" t="n">
        <v>46104</v>
      </c>
      <c r="F127" s="4" t="inlineStr">
        <is>
          <t>RULED</t>
        </is>
      </c>
      <c r="G127" s="4" t="inlineStr">
        <is>
          <t>RULED</t>
        </is>
      </c>
      <c r="H127" s="4" t="inlineStr">
        <is>
          <t>USNYC</t>
        </is>
      </c>
      <c r="I127" s="4" t="inlineStr">
        <is>
          <t>USNYC</t>
        </is>
      </c>
      <c r="J127" s="4" t="n"/>
      <c r="K127" s="8" t="n"/>
      <c r="L127" s="4" t="inlineStr">
        <is>
          <t>DOLPHIN REEFER</t>
        </is>
      </c>
      <c r="M127" s="4" t="inlineStr">
        <is>
          <t>DOLPHIN REEFER</t>
        </is>
      </c>
      <c r="N127" s="9" t="n"/>
      <c r="O127" s="9" t="n"/>
      <c r="P127" s="4" t="inlineStr">
        <is>
          <t>DOLPHIN REEFER</t>
        </is>
      </c>
      <c r="Q127" s="4" t="inlineStr">
        <is>
          <t>DOLPHIN REEFER</t>
        </is>
      </c>
      <c r="R127" s="4" t="n"/>
      <c r="S127" s="4" t="n"/>
      <c r="T127" s="4" t="inlineStr">
        <is>
          <t>DOLPHIN REEFER</t>
        </is>
      </c>
      <c r="U127" s="4" t="inlineStr">
        <is>
          <t>AVENIDA DAS ARAUCARIAS, 5126, CHAPADA - ARAUCARIA-PR - CEP: 83707754 CNPJ 02.351.006/0001-39</t>
        </is>
      </c>
      <c r="V127" s="9" t="n">
        <v>21</v>
      </c>
      <c r="W127" s="9" t="n">
        <v>0</v>
      </c>
      <c r="X127" s="10" t="n">
        <v>349650</v>
      </c>
      <c r="Y127" s="10" t="n">
        <v>333000</v>
      </c>
      <c r="Z127" s="9" t="n">
        <v>333</v>
      </c>
      <c r="AA127" s="4" t="n"/>
      <c r="AB127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7" s="4" t="inlineStr">
        <is>
          <t>ANON0000000</t>
        </is>
      </c>
      <c r="AD127" s="4" t="inlineStr">
        <is>
          <t>RH40</t>
        </is>
      </c>
      <c r="AE127" s="4" t="n">
        <v>1229148</v>
      </c>
      <c r="AF127" s="4" t="n"/>
      <c r="AG127" s="4" t="inlineStr">
        <is>
          <t>FCL/FCL</t>
        </is>
      </c>
      <c r="AH127" s="4" t="inlineStr">
        <is>
          <t>GENERAL COMMODITY</t>
        </is>
      </c>
      <c r="AI127" s="10" t="n">
        <v>29400</v>
      </c>
      <c r="AJ127" s="9" t="n">
        <v>28</v>
      </c>
      <c r="AK127" s="4" t="inlineStr">
        <is>
          <t>BLO</t>
        </is>
      </c>
      <c r="AL127" s="4" t="n"/>
      <c r="AM127" s="4" t="n"/>
      <c r="AN127" s="4" t="n"/>
      <c r="AO127" s="4" t="n"/>
      <c r="AP127" s="4" t="n"/>
      <c r="AQ127" s="4" t="n"/>
      <c r="AR127" s="4" t="n">
        <v>4600</v>
      </c>
      <c r="AS127" s="4" t="n">
        <v>28000</v>
      </c>
      <c r="AT127" s="12" t="n"/>
    </row>
    <row r="128" ht="10.5" customFormat="1" customHeight="1" s="6">
      <c r="A128" s="11" t="n">
        <v>127</v>
      </c>
      <c r="B128" s="4" t="inlineStr">
        <is>
          <t>MERCURY / VOYAGE 1</t>
        </is>
      </c>
      <c r="C128" s="4" t="inlineStr">
        <is>
          <t>REF000000</t>
        </is>
      </c>
      <c r="D128" s="7" t="n">
        <v>46095</v>
      </c>
      <c r="E128" s="4" t="n">
        <v>46104</v>
      </c>
      <c r="F128" s="4" t="inlineStr">
        <is>
          <t>RULED</t>
        </is>
      </c>
      <c r="G128" s="4" t="inlineStr">
        <is>
          <t>RULED</t>
        </is>
      </c>
      <c r="H128" s="4" t="inlineStr">
        <is>
          <t>USNYC</t>
        </is>
      </c>
      <c r="I128" s="4" t="inlineStr">
        <is>
          <t>USNYC</t>
        </is>
      </c>
      <c r="J128" s="4" t="n"/>
      <c r="K128" s="8" t="n"/>
      <c r="L128" s="4" t="inlineStr">
        <is>
          <t>MARLIN REEFER</t>
        </is>
      </c>
      <c r="M128" s="4" t="inlineStr">
        <is>
          <t>MARLIN REEFER</t>
        </is>
      </c>
      <c r="N128" s="9" t="n"/>
      <c r="O128" s="9" t="n"/>
      <c r="P128" s="4" t="inlineStr">
        <is>
          <t>MARLIN REEFER</t>
        </is>
      </c>
      <c r="Q128" s="4" t="inlineStr">
        <is>
          <t>MARLIN REEFER</t>
        </is>
      </c>
      <c r="R128" s="4" t="n"/>
      <c r="S128" s="4" t="n"/>
      <c r="T128" s="4" t="inlineStr">
        <is>
          <t>MARLIN REEFER</t>
        </is>
      </c>
      <c r="U128" s="4" t="inlineStr">
        <is>
          <t>AVENIDA DAS ARAUCARIAS, 5126, CHAPADA - ARAUCARIA-PR - CEP: 83707754 CNPJ 02.351.006/0001-39</t>
        </is>
      </c>
      <c r="V128" s="9" t="n">
        <v>21</v>
      </c>
      <c r="W128" s="9" t="n">
        <v>0</v>
      </c>
      <c r="X128" s="10" t="n">
        <v>349650</v>
      </c>
      <c r="Y128" s="10" t="n">
        <v>333000</v>
      </c>
      <c r="Z128" s="9" t="n">
        <v>333</v>
      </c>
      <c r="AA128" s="4" t="n"/>
      <c r="AB128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8" s="4" t="inlineStr">
        <is>
          <t>ANON0000000</t>
        </is>
      </c>
      <c r="AD128" s="4" t="inlineStr">
        <is>
          <t>RH40</t>
        </is>
      </c>
      <c r="AE128" s="4" t="n">
        <v>1229143</v>
      </c>
      <c r="AF128" s="4" t="n"/>
      <c r="AG128" s="4" t="inlineStr">
        <is>
          <t>FCL/FCL</t>
        </is>
      </c>
      <c r="AH128" s="4" t="inlineStr">
        <is>
          <t>GENERAL COMMODITY</t>
        </is>
      </c>
      <c r="AI128" s="10" t="n">
        <v>29400</v>
      </c>
      <c r="AJ128" s="9" t="n">
        <v>28</v>
      </c>
      <c r="AK128" s="4" t="inlineStr">
        <is>
          <t>BLO</t>
        </is>
      </c>
      <c r="AL128" s="4" t="n"/>
      <c r="AM128" s="4" t="n"/>
      <c r="AN128" s="4" t="n"/>
      <c r="AO128" s="4" t="n"/>
      <c r="AP128" s="4" t="n"/>
      <c r="AQ128" s="4" t="n"/>
      <c r="AR128" s="4" t="n">
        <v>4630</v>
      </c>
      <c r="AS128" s="4" t="n">
        <v>28000</v>
      </c>
      <c r="AT128" s="12" t="n"/>
    </row>
    <row r="129" ht="10.5" customFormat="1" customHeight="1" s="6">
      <c r="A129" s="11" t="n">
        <v>128</v>
      </c>
      <c r="B129" s="4" t="inlineStr">
        <is>
          <t>MERCURY / VOYAGE 1</t>
        </is>
      </c>
      <c r="C129" s="4" t="inlineStr">
        <is>
          <t>REF000000</t>
        </is>
      </c>
      <c r="D129" s="7" t="n">
        <v>46095</v>
      </c>
      <c r="E129" s="4" t="n">
        <v>46104</v>
      </c>
      <c r="F129" s="4" t="inlineStr">
        <is>
          <t>RULED</t>
        </is>
      </c>
      <c r="G129" s="4" t="inlineStr">
        <is>
          <t>RULED</t>
        </is>
      </c>
      <c r="H129" s="4" t="inlineStr">
        <is>
          <t>USNYC</t>
        </is>
      </c>
      <c r="I129" s="4" t="inlineStr">
        <is>
          <t>USNYC</t>
        </is>
      </c>
      <c r="J129" s="4" t="n"/>
      <c r="K129" s="8" t="n"/>
      <c r="L129" s="4" t="inlineStr">
        <is>
          <t>TURTLE REEFER</t>
        </is>
      </c>
      <c r="M129" s="4" t="inlineStr">
        <is>
          <t>TURTLE REEFER</t>
        </is>
      </c>
      <c r="N129" s="9" t="n"/>
      <c r="O129" s="9" t="n"/>
      <c r="P129" s="4" t="inlineStr">
        <is>
          <t>TURTLE REEFER</t>
        </is>
      </c>
      <c r="Q129" s="4" t="inlineStr">
        <is>
          <t>TURTLE REEFER</t>
        </is>
      </c>
      <c r="R129" s="4" t="n"/>
      <c r="S129" s="4" t="n"/>
      <c r="T129" s="4" t="inlineStr">
        <is>
          <t>TURTLE REEFER</t>
        </is>
      </c>
      <c r="U129" s="4" t="inlineStr">
        <is>
          <t>AVENIDA DAS ARAUCARIAS, 5126, CHAPADA - ARAUCARIA-PR - CEP: 83707754 CNPJ 02.351.006/0001-39</t>
        </is>
      </c>
      <c r="V129" s="9" t="n">
        <v>21</v>
      </c>
      <c r="W129" s="9" t="n">
        <v>0</v>
      </c>
      <c r="X129" s="10" t="n">
        <v>349650</v>
      </c>
      <c r="Y129" s="10" t="n">
        <v>333000</v>
      </c>
      <c r="Z129" s="9" t="n">
        <v>333</v>
      </c>
      <c r="AA129" s="4" t="n"/>
      <c r="AB129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29" s="4" t="inlineStr">
        <is>
          <t>ANON0000000</t>
        </is>
      </c>
      <c r="AD129" s="4" t="inlineStr">
        <is>
          <t>RH40</t>
        </is>
      </c>
      <c r="AE129" s="4" t="n">
        <v>1229139</v>
      </c>
      <c r="AF129" s="4" t="n"/>
      <c r="AG129" s="4" t="inlineStr">
        <is>
          <t>FCL/FCL</t>
        </is>
      </c>
      <c r="AH129" s="4" t="inlineStr">
        <is>
          <t>GENERAL COMMODITY</t>
        </is>
      </c>
      <c r="AI129" s="10" t="n">
        <v>30450</v>
      </c>
      <c r="AJ129" s="9" t="n">
        <v>29</v>
      </c>
      <c r="AK129" s="4" t="inlineStr">
        <is>
          <t>BLO</t>
        </is>
      </c>
      <c r="AL129" s="4" t="n"/>
      <c r="AM129" s="4" t="n"/>
      <c r="AN129" s="4" t="n"/>
      <c r="AO129" s="4" t="n"/>
      <c r="AP129" s="4" t="n"/>
      <c r="AQ129" s="4" t="n"/>
      <c r="AR129" s="4" t="n">
        <v>4460</v>
      </c>
      <c r="AS129" s="4" t="n">
        <v>28000</v>
      </c>
      <c r="AT129" s="12" t="n"/>
    </row>
    <row r="130" ht="11.25" customFormat="1" customHeight="1" s="6">
      <c r="A130" s="11" t="n">
        <v>129</v>
      </c>
      <c r="B130" s="4" t="inlineStr">
        <is>
          <t>MERCURY / VOYAGE 1</t>
        </is>
      </c>
      <c r="C130" s="4" t="inlineStr">
        <is>
          <t>REF000000</t>
        </is>
      </c>
      <c r="D130" s="7" t="n">
        <v>46095</v>
      </c>
      <c r="E130" s="4" t="n">
        <v>46104</v>
      </c>
      <c r="F130" s="4" t="inlineStr">
        <is>
          <t>RULED</t>
        </is>
      </c>
      <c r="G130" s="4" t="inlineStr">
        <is>
          <t>RULED</t>
        </is>
      </c>
      <c r="H130" s="4" t="inlineStr">
        <is>
          <t>USNYC</t>
        </is>
      </c>
      <c r="I130" s="4" t="inlineStr">
        <is>
          <t>USNYC</t>
        </is>
      </c>
      <c r="J130" s="4" t="n"/>
      <c r="K130" s="8" t="n"/>
      <c r="L130" s="4" t="inlineStr">
        <is>
          <t>ORCA REEFER</t>
        </is>
      </c>
      <c r="M130" s="4" t="inlineStr">
        <is>
          <t>ORCA REEFER</t>
        </is>
      </c>
      <c r="N130" s="9" t="n"/>
      <c r="O130" s="9" t="n"/>
      <c r="P130" s="4" t="inlineStr">
        <is>
          <t>ORCA REEFER</t>
        </is>
      </c>
      <c r="Q130" s="4" t="inlineStr">
        <is>
          <t>ORCA REEFER</t>
        </is>
      </c>
      <c r="R130" s="4" t="n"/>
      <c r="S130" s="4" t="n"/>
      <c r="T130" s="4" t="inlineStr">
        <is>
          <t>ORCA REEFER</t>
        </is>
      </c>
      <c r="U130" s="4" t="inlineStr">
        <is>
          <t>AVENIDA DAS ARAUCARIAS, 5126, CHAPADA - ARAUCARIA-PR - CEP: 83707754 CNPJ 02.351.006/0001-39</t>
        </is>
      </c>
      <c r="V130" s="9" t="n">
        <v>21</v>
      </c>
      <c r="W130" s="9" t="n">
        <v>0</v>
      </c>
      <c r="X130" s="10" t="n">
        <v>349650</v>
      </c>
      <c r="Y130" s="10" t="n">
        <v>333000</v>
      </c>
      <c r="Z130" s="9" t="n">
        <v>333</v>
      </c>
      <c r="AA130" s="4" t="n"/>
      <c r="AB130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30" s="4" t="inlineStr">
        <is>
          <t>ANON0000000</t>
        </is>
      </c>
      <c r="AD130" s="4" t="inlineStr">
        <is>
          <t>RH40</t>
        </is>
      </c>
      <c r="AE130" s="4" t="n">
        <v>1229145</v>
      </c>
      <c r="AF130" s="4" t="n"/>
      <c r="AG130" s="4" t="inlineStr">
        <is>
          <t>FCL/FCL</t>
        </is>
      </c>
      <c r="AH130" s="4" t="inlineStr">
        <is>
          <t>GENERAL COMMODITY</t>
        </is>
      </c>
      <c r="AI130" s="10" t="n">
        <v>28350</v>
      </c>
      <c r="AJ130" s="9" t="n">
        <v>27</v>
      </c>
      <c r="AK130" s="4" t="inlineStr">
        <is>
          <t>BLO</t>
        </is>
      </c>
      <c r="AL130" s="4" t="n"/>
      <c r="AM130" s="4" t="n"/>
      <c r="AN130" s="4" t="n"/>
      <c r="AO130" s="4" t="n"/>
      <c r="AP130" s="4" t="n"/>
      <c r="AQ130" s="4" t="n"/>
      <c r="AR130" s="4" t="n">
        <v>4620</v>
      </c>
      <c r="AS130" s="4" t="n">
        <v>28000</v>
      </c>
      <c r="AT130" s="12" t="n"/>
    </row>
    <row r="131" ht="10.5" customFormat="1" customHeight="1" s="6">
      <c r="A131" s="11" t="n">
        <v>130</v>
      </c>
      <c r="B131" s="4" t="inlineStr">
        <is>
          <t>MERCURY / VOYAGE 1</t>
        </is>
      </c>
      <c r="C131" s="4" t="inlineStr">
        <is>
          <t>REF000000</t>
        </is>
      </c>
      <c r="D131" s="7" t="n">
        <v>46095</v>
      </c>
      <c r="E131" s="4" t="n">
        <v>46104</v>
      </c>
      <c r="F131" s="4" t="inlineStr">
        <is>
          <t>RULED</t>
        </is>
      </c>
      <c r="G131" s="4" t="inlineStr">
        <is>
          <t>RULED</t>
        </is>
      </c>
      <c r="H131" s="4" t="inlineStr">
        <is>
          <t>USNYC</t>
        </is>
      </c>
      <c r="I131" s="4" t="inlineStr">
        <is>
          <t>USNYC</t>
        </is>
      </c>
      <c r="J131" s="4" t="n"/>
      <c r="K131" s="8" t="n"/>
      <c r="L131" s="4" t="inlineStr">
        <is>
          <t>WHALE REEFER</t>
        </is>
      </c>
      <c r="M131" s="4" t="inlineStr">
        <is>
          <t>WHALE REEFER</t>
        </is>
      </c>
      <c r="N131" s="9" t="n"/>
      <c r="O131" s="9" t="n"/>
      <c r="P131" s="4" t="inlineStr">
        <is>
          <t>WHALE REEFER</t>
        </is>
      </c>
      <c r="Q131" s="4" t="inlineStr">
        <is>
          <t>WHALE REEFER</t>
        </is>
      </c>
      <c r="R131" s="4" t="n"/>
      <c r="S131" s="4" t="n"/>
      <c r="T131" s="4" t="inlineStr">
        <is>
          <t>WHALE REEFER</t>
        </is>
      </c>
      <c r="U131" s="4" t="inlineStr">
        <is>
          <t>AVENIDA DAS ARAUCARIAS, 5126, CHAPADA - ARAUCARIA-PR - CEP: 83707754 CNPJ 02.351.006/0001-39</t>
        </is>
      </c>
      <c r="V131" s="9" t="n">
        <v>21</v>
      </c>
      <c r="W131" s="9" t="n">
        <v>0</v>
      </c>
      <c r="X131" s="10" t="n">
        <v>349650</v>
      </c>
      <c r="Y131" s="10" t="n">
        <v>333000</v>
      </c>
      <c r="Z131" s="9" t="n">
        <v>333</v>
      </c>
      <c r="AA131" s="4" t="n"/>
      <c r="AB131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31" s="4" t="inlineStr">
        <is>
          <t>ANON0000000</t>
        </is>
      </c>
      <c r="AD131" s="4" t="inlineStr">
        <is>
          <t>RH40</t>
        </is>
      </c>
      <c r="AE131" s="4" t="n">
        <v>1229146</v>
      </c>
      <c r="AF131" s="4" t="n"/>
      <c r="AG131" s="4" t="inlineStr">
        <is>
          <t>FCL/FCL</t>
        </is>
      </c>
      <c r="AH131" s="4" t="inlineStr">
        <is>
          <t>GENERAL COMMODITY</t>
        </is>
      </c>
      <c r="AI131" s="10" t="n">
        <v>29400</v>
      </c>
      <c r="AJ131" s="9" t="n">
        <v>28</v>
      </c>
      <c r="AK131" s="4" t="inlineStr">
        <is>
          <t>BLO</t>
        </is>
      </c>
      <c r="AL131" s="4" t="n"/>
      <c r="AM131" s="4" t="n"/>
      <c r="AN131" s="4" t="n"/>
      <c r="AO131" s="4" t="n"/>
      <c r="AP131" s="4" t="n"/>
      <c r="AQ131" s="4" t="n"/>
      <c r="AR131" s="4" t="n">
        <v>4700</v>
      </c>
      <c r="AS131" s="4" t="n">
        <v>28000</v>
      </c>
      <c r="AT131" s="12" t="n"/>
    </row>
    <row r="132" ht="10.5" customFormat="1" customHeight="1" s="6">
      <c r="A132" s="11" t="n">
        <v>131</v>
      </c>
      <c r="B132" s="4" t="inlineStr">
        <is>
          <t>MERCURY / VOYAGE 1</t>
        </is>
      </c>
      <c r="C132" s="4" t="inlineStr">
        <is>
          <t>REF000000</t>
        </is>
      </c>
      <c r="D132" s="7" t="n">
        <v>46095</v>
      </c>
      <c r="E132" s="4" t="n">
        <v>46104</v>
      </c>
      <c r="F132" s="4" t="inlineStr">
        <is>
          <t>RULED</t>
        </is>
      </c>
      <c r="G132" s="4" t="inlineStr">
        <is>
          <t>RULED</t>
        </is>
      </c>
      <c r="H132" s="4" t="inlineStr">
        <is>
          <t>USNYC</t>
        </is>
      </c>
      <c r="I132" s="4" t="inlineStr">
        <is>
          <t>USNYC</t>
        </is>
      </c>
      <c r="J132" s="4" t="n"/>
      <c r="K132" s="8" t="n"/>
      <c r="L132" s="4" t="inlineStr">
        <is>
          <t>SEAL REEFER</t>
        </is>
      </c>
      <c r="M132" s="4" t="inlineStr">
        <is>
          <t>SEAL REEFER</t>
        </is>
      </c>
      <c r="N132" s="9" t="n"/>
      <c r="O132" s="9" t="n"/>
      <c r="P132" s="4" t="inlineStr">
        <is>
          <t>SEAL REEFER</t>
        </is>
      </c>
      <c r="Q132" s="4" t="inlineStr">
        <is>
          <t>SEAL REEFER</t>
        </is>
      </c>
      <c r="R132" s="4" t="n"/>
      <c r="S132" s="4" t="n"/>
      <c r="T132" s="4" t="inlineStr">
        <is>
          <t>SEAL REEFER</t>
        </is>
      </c>
      <c r="U132" s="4" t="inlineStr">
        <is>
          <t>AVENIDA DAS ARAUCARIAS, 5126, CHAPADA - ARAUCARIA-PR - CEP: 83707754 CNPJ 02.351.006/0001-39</t>
        </is>
      </c>
      <c r="V132" s="9" t="n">
        <v>21</v>
      </c>
      <c r="W132" s="9" t="n">
        <v>0</v>
      </c>
      <c r="X132" s="10" t="n">
        <v>349650</v>
      </c>
      <c r="Y132" s="10" t="n">
        <v>333000</v>
      </c>
      <c r="Z132" s="9" t="n">
        <v>333</v>
      </c>
      <c r="AA132" s="4" t="n"/>
      <c r="AB132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32" s="4" t="inlineStr">
        <is>
          <t>ANON0000000</t>
        </is>
      </c>
      <c r="AD132" s="4" t="inlineStr">
        <is>
          <t>RH40</t>
        </is>
      </c>
      <c r="AE132" s="4" t="n">
        <v>1229149</v>
      </c>
      <c r="AF132" s="4" t="n"/>
      <c r="AG132" s="4" t="inlineStr">
        <is>
          <t>FCL/FCL</t>
        </is>
      </c>
      <c r="AH132" s="4" t="inlineStr">
        <is>
          <t>GENERAL COMMODITY</t>
        </is>
      </c>
      <c r="AI132" s="10" t="n">
        <v>28350</v>
      </c>
      <c r="AJ132" s="9" t="n">
        <v>27</v>
      </c>
      <c r="AK132" s="4" t="inlineStr">
        <is>
          <t>BLO</t>
        </is>
      </c>
      <c r="AL132" s="4" t="n"/>
      <c r="AM132" s="4" t="n"/>
      <c r="AN132" s="4" t="n"/>
      <c r="AO132" s="4" t="n"/>
      <c r="AP132" s="4" t="n"/>
      <c r="AQ132" s="4" t="n"/>
      <c r="AR132" s="4" t="n">
        <v>4640</v>
      </c>
      <c r="AS132" s="4" t="n">
        <v>28000</v>
      </c>
      <c r="AT132" s="12" t="n"/>
    </row>
    <row r="133" ht="10.5" customFormat="1" customHeight="1" s="6">
      <c r="A133" s="11" t="n">
        <v>132</v>
      </c>
      <c r="B133" s="4" t="inlineStr">
        <is>
          <t>MERCURY / VOYAGE 1</t>
        </is>
      </c>
      <c r="C133" s="4" t="inlineStr">
        <is>
          <t>REF000000</t>
        </is>
      </c>
      <c r="D133" s="7" t="n">
        <v>46095</v>
      </c>
      <c r="E133" s="4" t="n">
        <v>46104</v>
      </c>
      <c r="F133" s="4" t="inlineStr">
        <is>
          <t>RULED</t>
        </is>
      </c>
      <c r="G133" s="4" t="inlineStr">
        <is>
          <t>RULED</t>
        </is>
      </c>
      <c r="H133" s="4" t="inlineStr">
        <is>
          <t>USNYC</t>
        </is>
      </c>
      <c r="I133" s="4" t="inlineStr">
        <is>
          <t>USNYC</t>
        </is>
      </c>
      <c r="J133" s="4" t="n"/>
      <c r="K133" s="8" t="n"/>
      <c r="L133" s="4" t="inlineStr">
        <is>
          <t>SHARK REEFER</t>
        </is>
      </c>
      <c r="M133" s="4" t="inlineStr">
        <is>
          <t>SHARK REEFER</t>
        </is>
      </c>
      <c r="N133" s="9" t="n"/>
      <c r="O133" s="9" t="n"/>
      <c r="P133" s="4" t="inlineStr">
        <is>
          <t>SHARK REEFER</t>
        </is>
      </c>
      <c r="Q133" s="4" t="inlineStr">
        <is>
          <t>SHARK REEFER</t>
        </is>
      </c>
      <c r="R133" s="4" t="n"/>
      <c r="S133" s="4" t="n"/>
      <c r="T133" s="4" t="inlineStr">
        <is>
          <t>SHARK REEFER</t>
        </is>
      </c>
      <c r="U133" s="4" t="inlineStr">
        <is>
          <t>AVENIDA DAS ARAUCARIAS, 5126, CHAPADA - ARAUCARIA-PR - CEP: 83707754 CNPJ 02.351.006/0001-39</t>
        </is>
      </c>
      <c r="V133" s="9" t="n">
        <v>21</v>
      </c>
      <c r="W133" s="9" t="n">
        <v>0</v>
      </c>
      <c r="X133" s="10" t="n">
        <v>349650</v>
      </c>
      <c r="Y133" s="10" t="n">
        <v>333000</v>
      </c>
      <c r="Z133" s="9" t="n">
        <v>333</v>
      </c>
      <c r="AA133" s="4" t="n"/>
      <c r="AB133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33" s="4" t="inlineStr">
        <is>
          <t>ANON0000000</t>
        </is>
      </c>
      <c r="AD133" s="4" t="inlineStr">
        <is>
          <t>RH40</t>
        </is>
      </c>
      <c r="AE133" s="4" t="n">
        <v>1229019</v>
      </c>
      <c r="AF133" s="4" t="n"/>
      <c r="AG133" s="4" t="inlineStr">
        <is>
          <t>FCL/FCL</t>
        </is>
      </c>
      <c r="AH133" s="4" t="inlineStr">
        <is>
          <t>GENERAL COMMODITY</t>
        </is>
      </c>
      <c r="AI133" s="10" t="n">
        <v>29400</v>
      </c>
      <c r="AJ133" s="9" t="n">
        <v>28</v>
      </c>
      <c r="AK133" s="4" t="inlineStr">
        <is>
          <t>BLO</t>
        </is>
      </c>
      <c r="AL133" s="4" t="n"/>
      <c r="AM133" s="4" t="n"/>
      <c r="AN133" s="4" t="n"/>
      <c r="AO133" s="4" t="n"/>
      <c r="AP133" s="4" t="n"/>
      <c r="AQ133" s="4" t="n"/>
      <c r="AR133" s="4" t="n">
        <v>4600</v>
      </c>
      <c r="AS133" s="4" t="n">
        <v>28000</v>
      </c>
      <c r="AT133" s="12" t="n"/>
    </row>
    <row r="134" ht="10.5" customFormat="1" customHeight="1" s="6">
      <c r="A134" s="11" t="n">
        <v>133</v>
      </c>
      <c r="B134" s="4" t="inlineStr">
        <is>
          <t>MERCURY / VOYAGE 1</t>
        </is>
      </c>
      <c r="C134" s="4" t="inlineStr">
        <is>
          <t>REF000000</t>
        </is>
      </c>
      <c r="D134" s="7" t="n">
        <v>46095</v>
      </c>
      <c r="E134" s="4" t="n">
        <v>46104</v>
      </c>
      <c r="F134" s="4" t="inlineStr">
        <is>
          <t>RULED</t>
        </is>
      </c>
      <c r="G134" s="4" t="inlineStr">
        <is>
          <t>RULED</t>
        </is>
      </c>
      <c r="H134" s="4" t="inlineStr">
        <is>
          <t>USNYC</t>
        </is>
      </c>
      <c r="I134" s="4" t="inlineStr">
        <is>
          <t>USNYC</t>
        </is>
      </c>
      <c r="J134" s="4" t="n"/>
      <c r="K134" s="8" t="n"/>
      <c r="L134" s="4" t="inlineStr">
        <is>
          <t>DOLPHIN REEFER</t>
        </is>
      </c>
      <c r="M134" s="4" t="inlineStr">
        <is>
          <t>DOLPHIN REEFER</t>
        </is>
      </c>
      <c r="N134" s="9" t="n"/>
      <c r="O134" s="9" t="n"/>
      <c r="P134" s="4" t="inlineStr">
        <is>
          <t>DOLPHIN REEFER</t>
        </is>
      </c>
      <c r="Q134" s="4" t="inlineStr">
        <is>
          <t>DOLPHIN REEFER</t>
        </is>
      </c>
      <c r="R134" s="4" t="n"/>
      <c r="S134" s="4" t="n"/>
      <c r="T134" s="4" t="inlineStr">
        <is>
          <t>DOLPHIN REEFER</t>
        </is>
      </c>
      <c r="U134" s="4" t="inlineStr">
        <is>
          <t>AVENIDA DAS ARAUCARIAS, 5126, CHAPADA - ARAUCARIA-PR - CEP: 83707754 CNPJ 02.351.006/0001-39</t>
        </is>
      </c>
      <c r="V134" s="9" t="n">
        <v>21</v>
      </c>
      <c r="W134" s="9" t="n">
        <v>0</v>
      </c>
      <c r="X134" s="10" t="n">
        <v>347550</v>
      </c>
      <c r="Y134" s="10" t="n">
        <v>331000</v>
      </c>
      <c r="Z134" s="9" t="n">
        <v>331</v>
      </c>
      <c r="AA134" s="4" t="n"/>
      <c r="AB134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4" s="4" t="inlineStr">
        <is>
          <t>ANON0000000</t>
        </is>
      </c>
      <c r="AD134" s="4" t="inlineStr">
        <is>
          <t>RH40</t>
        </is>
      </c>
      <c r="AE134" s="4" t="n">
        <v>1229021</v>
      </c>
      <c r="AF134" s="4" t="n"/>
      <c r="AG134" s="4" t="inlineStr">
        <is>
          <t>FCL/FCL</t>
        </is>
      </c>
      <c r="AH134" s="4" t="inlineStr">
        <is>
          <t>GENERAL COMMODITY</t>
        </is>
      </c>
      <c r="AI134" s="10" t="n">
        <v>28350</v>
      </c>
      <c r="AJ134" s="9" t="n">
        <v>27</v>
      </c>
      <c r="AK134" s="4" t="inlineStr">
        <is>
          <t>BLO</t>
        </is>
      </c>
      <c r="AL134" s="4" t="n"/>
      <c r="AM134" s="4" t="n"/>
      <c r="AN134" s="4" t="n"/>
      <c r="AO134" s="4" t="n"/>
      <c r="AP134" s="4" t="n"/>
      <c r="AQ134" s="4" t="n"/>
      <c r="AR134" s="4" t="n">
        <v>4640</v>
      </c>
      <c r="AS134" s="4" t="n">
        <v>28000</v>
      </c>
      <c r="AT134" s="12" t="n"/>
    </row>
    <row r="135" ht="11.25" customFormat="1" customHeight="1" s="6">
      <c r="A135" s="11" t="n">
        <v>134</v>
      </c>
      <c r="B135" s="4" t="inlineStr">
        <is>
          <t>MERCURY / VOYAGE 1</t>
        </is>
      </c>
      <c r="C135" s="4" t="inlineStr">
        <is>
          <t>REF000000</t>
        </is>
      </c>
      <c r="D135" s="7" t="n">
        <v>46095</v>
      </c>
      <c r="E135" s="4" t="n">
        <v>46104</v>
      </c>
      <c r="F135" s="4" t="inlineStr">
        <is>
          <t>RULED</t>
        </is>
      </c>
      <c r="G135" s="4" t="inlineStr">
        <is>
          <t>RULED</t>
        </is>
      </c>
      <c r="H135" s="4" t="inlineStr">
        <is>
          <t>USNYC</t>
        </is>
      </c>
      <c r="I135" s="4" t="inlineStr">
        <is>
          <t>USNYC</t>
        </is>
      </c>
      <c r="J135" s="4" t="n"/>
      <c r="K135" s="8" t="n"/>
      <c r="L135" s="4" t="inlineStr">
        <is>
          <t>MARLIN REEFER</t>
        </is>
      </c>
      <c r="M135" s="4" t="inlineStr">
        <is>
          <t>MARLIN REEFER</t>
        </is>
      </c>
      <c r="N135" s="9" t="n"/>
      <c r="O135" s="9" t="n"/>
      <c r="P135" s="4" t="inlineStr">
        <is>
          <t>MARLIN REEFER</t>
        </is>
      </c>
      <c r="Q135" s="4" t="inlineStr">
        <is>
          <t>MARLIN REEFER</t>
        </is>
      </c>
      <c r="R135" s="4" t="n"/>
      <c r="S135" s="4" t="n"/>
      <c r="T135" s="4" t="inlineStr">
        <is>
          <t>MARLIN REEFER</t>
        </is>
      </c>
      <c r="U135" s="4" t="inlineStr">
        <is>
          <t>AVENIDA DAS ARAUCARIAS, 5126, CHAPADA - ARAUCARIA-PR - CEP: 83707754 CNPJ 02.351.006/0001-39</t>
        </is>
      </c>
      <c r="V135" s="9" t="n">
        <v>21</v>
      </c>
      <c r="W135" s="9" t="n">
        <v>0</v>
      </c>
      <c r="X135" s="10" t="n">
        <v>347550</v>
      </c>
      <c r="Y135" s="10" t="n">
        <v>331000</v>
      </c>
      <c r="Z135" s="9" t="n">
        <v>331</v>
      </c>
      <c r="AA135" s="4" t="n"/>
      <c r="AB135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5" s="4" t="inlineStr">
        <is>
          <t>ANON0000000</t>
        </is>
      </c>
      <c r="AD135" s="4" t="inlineStr">
        <is>
          <t>RH40</t>
        </is>
      </c>
      <c r="AE135" s="4" t="n">
        <v>1229026</v>
      </c>
      <c r="AF135" s="4" t="n"/>
      <c r="AG135" s="4" t="inlineStr">
        <is>
          <t>FCL/FCL</t>
        </is>
      </c>
      <c r="AH135" s="4" t="inlineStr">
        <is>
          <t>GENERAL COMMODITY</t>
        </is>
      </c>
      <c r="AI135" s="10" t="n">
        <v>29400</v>
      </c>
      <c r="AJ135" s="9" t="n">
        <v>28</v>
      </c>
      <c r="AK135" s="4" t="inlineStr">
        <is>
          <t>BLO</t>
        </is>
      </c>
      <c r="AL135" s="4" t="n"/>
      <c r="AM135" s="4" t="n"/>
      <c r="AN135" s="4" t="n"/>
      <c r="AO135" s="4" t="n"/>
      <c r="AP135" s="4" t="n"/>
      <c r="AQ135" s="4" t="n"/>
      <c r="AR135" s="4" t="n">
        <v>4640</v>
      </c>
      <c r="AS135" s="4" t="n">
        <v>28000</v>
      </c>
      <c r="AT135" s="12" t="n"/>
    </row>
    <row r="136" ht="10.5" customFormat="1" customHeight="1" s="6">
      <c r="A136" s="11" t="n">
        <v>135</v>
      </c>
      <c r="B136" s="4" t="inlineStr">
        <is>
          <t>MERCURY / VOYAGE 1</t>
        </is>
      </c>
      <c r="C136" s="4" t="inlineStr">
        <is>
          <t>REF000000</t>
        </is>
      </c>
      <c r="D136" s="7" t="n">
        <v>46095</v>
      </c>
      <c r="E136" s="4" t="n">
        <v>46104</v>
      </c>
      <c r="F136" s="4" t="inlineStr">
        <is>
          <t>RULED</t>
        </is>
      </c>
      <c r="G136" s="4" t="inlineStr">
        <is>
          <t>RULED</t>
        </is>
      </c>
      <c r="H136" s="4" t="inlineStr">
        <is>
          <t>USNYC</t>
        </is>
      </c>
      <c r="I136" s="4" t="inlineStr">
        <is>
          <t>USNYC</t>
        </is>
      </c>
      <c r="J136" s="4" t="n"/>
      <c r="K136" s="8" t="n"/>
      <c r="L136" s="4" t="inlineStr">
        <is>
          <t>TURTLE REEFER</t>
        </is>
      </c>
      <c r="M136" s="4" t="inlineStr">
        <is>
          <t>TURTLE REEFER</t>
        </is>
      </c>
      <c r="N136" s="9" t="n"/>
      <c r="O136" s="9" t="n"/>
      <c r="P136" s="4" t="inlineStr">
        <is>
          <t>TURTLE REEFER</t>
        </is>
      </c>
      <c r="Q136" s="4" t="inlineStr">
        <is>
          <t>TURTLE REEFER</t>
        </is>
      </c>
      <c r="R136" s="4" t="n"/>
      <c r="S136" s="4" t="n"/>
      <c r="T136" s="4" t="inlineStr">
        <is>
          <t>TURTLE REEFER</t>
        </is>
      </c>
      <c r="U136" s="4" t="inlineStr">
        <is>
          <t>AVENIDA DAS ARAUCARIAS, 5126, CHAPADA - ARAUCARIA-PR - CEP: 83707754 CNPJ 02.351.006/0001-39</t>
        </is>
      </c>
      <c r="V136" s="9" t="n">
        <v>21</v>
      </c>
      <c r="W136" s="9" t="n">
        <v>0</v>
      </c>
      <c r="X136" s="10" t="n">
        <v>347550</v>
      </c>
      <c r="Y136" s="10" t="n">
        <v>331000</v>
      </c>
      <c r="Z136" s="9" t="n">
        <v>331</v>
      </c>
      <c r="AA136" s="4" t="n"/>
      <c r="AB136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6" s="4" t="inlineStr">
        <is>
          <t>ANON0000000</t>
        </is>
      </c>
      <c r="AD136" s="4" t="inlineStr">
        <is>
          <t>RH40</t>
        </is>
      </c>
      <c r="AE136" s="4" t="n">
        <v>1229029</v>
      </c>
      <c r="AF136" s="4" t="n"/>
      <c r="AG136" s="4" t="inlineStr">
        <is>
          <t>FCL/FCL</t>
        </is>
      </c>
      <c r="AH136" s="4" t="inlineStr">
        <is>
          <t>GENERAL COMMODITY</t>
        </is>
      </c>
      <c r="AI136" s="10" t="n">
        <v>28350</v>
      </c>
      <c r="AJ136" s="9" t="n">
        <v>27</v>
      </c>
      <c r="AK136" s="4" t="inlineStr">
        <is>
          <t>BLO</t>
        </is>
      </c>
      <c r="AL136" s="4" t="n"/>
      <c r="AM136" s="4" t="n"/>
      <c r="AN136" s="4" t="n"/>
      <c r="AO136" s="4" t="n"/>
      <c r="AP136" s="4" t="n"/>
      <c r="AQ136" s="4" t="n"/>
      <c r="AR136" s="4" t="n">
        <v>4700</v>
      </c>
      <c r="AS136" s="4" t="n">
        <v>28000</v>
      </c>
      <c r="AT136" s="12" t="n"/>
    </row>
    <row r="137" ht="10.5" customFormat="1" customHeight="1" s="6">
      <c r="A137" s="11" t="n">
        <v>136</v>
      </c>
      <c r="B137" s="4" t="inlineStr">
        <is>
          <t>MERCURY / VOYAGE 1</t>
        </is>
      </c>
      <c r="C137" s="4" t="inlineStr">
        <is>
          <t>REF000000</t>
        </is>
      </c>
      <c r="D137" s="7" t="n">
        <v>46095</v>
      </c>
      <c r="E137" s="4" t="n">
        <v>46104</v>
      </c>
      <c r="F137" s="4" t="inlineStr">
        <is>
          <t>RULED</t>
        </is>
      </c>
      <c r="G137" s="4" t="inlineStr">
        <is>
          <t>RULED</t>
        </is>
      </c>
      <c r="H137" s="4" t="inlineStr">
        <is>
          <t>USNYC</t>
        </is>
      </c>
      <c r="I137" s="4" t="inlineStr">
        <is>
          <t>USNYC</t>
        </is>
      </c>
      <c r="J137" s="4" t="n"/>
      <c r="K137" s="8" t="n"/>
      <c r="L137" s="4" t="inlineStr">
        <is>
          <t>ORCA REEFER</t>
        </is>
      </c>
      <c r="M137" s="4" t="inlineStr">
        <is>
          <t>ORCA REEFER</t>
        </is>
      </c>
      <c r="N137" s="9" t="n"/>
      <c r="O137" s="9" t="n"/>
      <c r="P137" s="4" t="inlineStr">
        <is>
          <t>ORCA REEFER</t>
        </is>
      </c>
      <c r="Q137" s="4" t="inlineStr">
        <is>
          <t>ORCA REEFER</t>
        </is>
      </c>
      <c r="R137" s="4" t="n"/>
      <c r="S137" s="4" t="n"/>
      <c r="T137" s="4" t="inlineStr">
        <is>
          <t>ORCA REEFER</t>
        </is>
      </c>
      <c r="U137" s="4" t="inlineStr">
        <is>
          <t>AVENIDA DAS ARAUCARIAS, 5126, CHAPADA - ARAUCARIA-PR - CEP: 83707754 CNPJ 02.351.006/0001-39</t>
        </is>
      </c>
      <c r="V137" s="9" t="n">
        <v>21</v>
      </c>
      <c r="W137" s="9" t="n">
        <v>0</v>
      </c>
      <c r="X137" s="10" t="n">
        <v>347550</v>
      </c>
      <c r="Y137" s="10" t="n">
        <v>331000</v>
      </c>
      <c r="Z137" s="9" t="n">
        <v>331</v>
      </c>
      <c r="AA137" s="4" t="n"/>
      <c r="AB137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7" s="4" t="inlineStr">
        <is>
          <t>ANON0000000</t>
        </is>
      </c>
      <c r="AD137" s="4" t="inlineStr">
        <is>
          <t>RH40</t>
        </is>
      </c>
      <c r="AE137" s="4" t="n">
        <v>1229022</v>
      </c>
      <c r="AF137" s="4" t="n"/>
      <c r="AG137" s="4" t="inlineStr">
        <is>
          <t>FCL/FCL</t>
        </is>
      </c>
      <c r="AH137" s="4" t="inlineStr">
        <is>
          <t>GENERAL COMMODITY</t>
        </is>
      </c>
      <c r="AI137" s="10" t="n">
        <v>28350</v>
      </c>
      <c r="AJ137" s="9" t="n">
        <v>27</v>
      </c>
      <c r="AK137" s="4" t="inlineStr">
        <is>
          <t>BLO</t>
        </is>
      </c>
      <c r="AL137" s="4" t="n"/>
      <c r="AM137" s="4" t="n"/>
      <c r="AN137" s="4" t="n"/>
      <c r="AO137" s="4" t="n"/>
      <c r="AP137" s="4" t="n"/>
      <c r="AQ137" s="4" t="n"/>
      <c r="AR137" s="4" t="n">
        <v>4630</v>
      </c>
      <c r="AS137" s="4" t="n">
        <v>28000</v>
      </c>
      <c r="AT137" s="12" t="n"/>
    </row>
    <row r="138" ht="10.5" customFormat="1" customHeight="1" s="6">
      <c r="A138" s="11" t="n">
        <v>137</v>
      </c>
      <c r="B138" s="4" t="inlineStr">
        <is>
          <t>MERCURY / VOYAGE 1</t>
        </is>
      </c>
      <c r="C138" s="4" t="inlineStr">
        <is>
          <t>REF000000</t>
        </is>
      </c>
      <c r="D138" s="7" t="n">
        <v>46095</v>
      </c>
      <c r="E138" s="4" t="n">
        <v>46104</v>
      </c>
      <c r="F138" s="4" t="inlineStr">
        <is>
          <t>RULED</t>
        </is>
      </c>
      <c r="G138" s="4" t="inlineStr">
        <is>
          <t>RULED</t>
        </is>
      </c>
      <c r="H138" s="4" t="inlineStr">
        <is>
          <t>USNYC</t>
        </is>
      </c>
      <c r="I138" s="4" t="inlineStr">
        <is>
          <t>USNYC</t>
        </is>
      </c>
      <c r="J138" s="4" t="n"/>
      <c r="K138" s="8" t="n"/>
      <c r="L138" s="4" t="inlineStr">
        <is>
          <t>WHALE REEFER</t>
        </is>
      </c>
      <c r="M138" s="4" t="inlineStr">
        <is>
          <t>WHALE REEFER</t>
        </is>
      </c>
      <c r="N138" s="9" t="n"/>
      <c r="O138" s="9" t="n"/>
      <c r="P138" s="4" t="inlineStr">
        <is>
          <t>WHALE REEFER</t>
        </is>
      </c>
      <c r="Q138" s="4" t="inlineStr">
        <is>
          <t>WHALE REEFER</t>
        </is>
      </c>
      <c r="R138" s="4" t="n"/>
      <c r="S138" s="4" t="n"/>
      <c r="T138" s="4" t="inlineStr">
        <is>
          <t>WHALE REEFER</t>
        </is>
      </c>
      <c r="U138" s="4" t="inlineStr">
        <is>
          <t>AVENIDA DAS ARAUCARIAS, 5126, CHAPADA - ARAUCARIA-PR - CEP: 83707754 CNPJ 02.351.006/0001-39</t>
        </is>
      </c>
      <c r="V138" s="9" t="n">
        <v>21</v>
      </c>
      <c r="W138" s="9" t="n">
        <v>0</v>
      </c>
      <c r="X138" s="10" t="n">
        <v>347550</v>
      </c>
      <c r="Y138" s="10" t="n">
        <v>331000</v>
      </c>
      <c r="Z138" s="9" t="n">
        <v>331</v>
      </c>
      <c r="AA138" s="4" t="n"/>
      <c r="AB138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8" s="4" t="inlineStr">
        <is>
          <t>ANON0000000</t>
        </is>
      </c>
      <c r="AD138" s="4" t="inlineStr">
        <is>
          <t>RH40</t>
        </is>
      </c>
      <c r="AE138" s="4" t="n">
        <v>1229024</v>
      </c>
      <c r="AF138" s="4" t="n"/>
      <c r="AG138" s="4" t="inlineStr">
        <is>
          <t>FCL/FCL</t>
        </is>
      </c>
      <c r="AH138" s="4" t="inlineStr">
        <is>
          <t>GENERAL COMMODITY</t>
        </is>
      </c>
      <c r="AI138" s="10" t="n">
        <v>29400</v>
      </c>
      <c r="AJ138" s="9" t="n">
        <v>28</v>
      </c>
      <c r="AK138" s="4" t="inlineStr">
        <is>
          <t>BLO</t>
        </is>
      </c>
      <c r="AL138" s="4" t="n"/>
      <c r="AM138" s="4" t="n"/>
      <c r="AN138" s="4" t="n"/>
      <c r="AO138" s="4" t="n"/>
      <c r="AP138" s="4" t="n"/>
      <c r="AQ138" s="4" t="n"/>
      <c r="AR138" s="4" t="n">
        <v>4600</v>
      </c>
      <c r="AS138" s="4" t="n">
        <v>28000</v>
      </c>
      <c r="AT138" s="12" t="n"/>
    </row>
    <row r="139" ht="10.5" customFormat="1" customHeight="1" s="6">
      <c r="A139" s="11" t="n">
        <v>138</v>
      </c>
      <c r="B139" s="4" t="inlineStr">
        <is>
          <t>MERCURY / VOYAGE 1</t>
        </is>
      </c>
      <c r="C139" s="4" t="inlineStr">
        <is>
          <t>REF000000</t>
        </is>
      </c>
      <c r="D139" s="7" t="n">
        <v>46095</v>
      </c>
      <c r="E139" s="4" t="n">
        <v>46104</v>
      </c>
      <c r="F139" s="4" t="inlineStr">
        <is>
          <t>RULED</t>
        </is>
      </c>
      <c r="G139" s="4" t="inlineStr">
        <is>
          <t>RULED</t>
        </is>
      </c>
      <c r="H139" s="4" t="inlineStr">
        <is>
          <t>USNYC</t>
        </is>
      </c>
      <c r="I139" s="4" t="inlineStr">
        <is>
          <t>USNYC</t>
        </is>
      </c>
      <c r="J139" s="4" t="n"/>
      <c r="K139" s="8" t="n"/>
      <c r="L139" s="4" t="inlineStr">
        <is>
          <t>SEAL REEFER</t>
        </is>
      </c>
      <c r="M139" s="4" t="inlineStr">
        <is>
          <t>SEAL REEFER</t>
        </is>
      </c>
      <c r="N139" s="9" t="n"/>
      <c r="O139" s="9" t="n"/>
      <c r="P139" s="4" t="inlineStr">
        <is>
          <t>SEAL REEFER</t>
        </is>
      </c>
      <c r="Q139" s="4" t="inlineStr">
        <is>
          <t>SEAL REEFER</t>
        </is>
      </c>
      <c r="R139" s="4" t="n"/>
      <c r="S139" s="4" t="n"/>
      <c r="T139" s="4" t="inlineStr">
        <is>
          <t>SEAL REEFER</t>
        </is>
      </c>
      <c r="U139" s="4" t="inlineStr">
        <is>
          <t>AVENIDA DAS ARAUCARIAS, 5126, CHAPADA - ARAUCARIA-PR - CEP: 83707754 CNPJ 02.351.006/0001-39</t>
        </is>
      </c>
      <c r="V139" s="9" t="n">
        <v>21</v>
      </c>
      <c r="W139" s="9" t="n">
        <v>0</v>
      </c>
      <c r="X139" s="10" t="n">
        <v>347550</v>
      </c>
      <c r="Y139" s="10" t="n">
        <v>331000</v>
      </c>
      <c r="Z139" s="9" t="n">
        <v>331</v>
      </c>
      <c r="AA139" s="4" t="n"/>
      <c r="AB139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39" s="4" t="inlineStr">
        <is>
          <t>ANON0000000</t>
        </is>
      </c>
      <c r="AD139" s="4" t="inlineStr">
        <is>
          <t>RH40</t>
        </is>
      </c>
      <c r="AE139" s="4" t="n">
        <v>1229020</v>
      </c>
      <c r="AF139" s="4" t="n"/>
      <c r="AG139" s="4" t="inlineStr">
        <is>
          <t>FCL/FCL</t>
        </is>
      </c>
      <c r="AH139" s="4" t="inlineStr">
        <is>
          <t>GENERAL COMMODITY</t>
        </is>
      </c>
      <c r="AI139" s="10" t="n">
        <v>28350</v>
      </c>
      <c r="AJ139" s="9" t="n">
        <v>27</v>
      </c>
      <c r="AK139" s="4" t="inlineStr">
        <is>
          <t>BLO</t>
        </is>
      </c>
      <c r="AL139" s="4" t="n"/>
      <c r="AM139" s="4" t="n"/>
      <c r="AN139" s="4" t="n"/>
      <c r="AO139" s="4" t="n"/>
      <c r="AP139" s="4" t="n"/>
      <c r="AQ139" s="4" t="n"/>
      <c r="AR139" s="4" t="n">
        <v>4620</v>
      </c>
      <c r="AS139" s="4" t="n">
        <v>28000</v>
      </c>
      <c r="AT139" s="12" t="n"/>
    </row>
    <row r="140" ht="11.25" customFormat="1" customHeight="1" s="6">
      <c r="A140" s="11" t="n">
        <v>139</v>
      </c>
      <c r="B140" s="4" t="inlineStr">
        <is>
          <t>MERCURY / VOYAGE 1</t>
        </is>
      </c>
      <c r="C140" s="4" t="inlineStr">
        <is>
          <t>REF000000</t>
        </is>
      </c>
      <c r="D140" s="7" t="n">
        <v>46095</v>
      </c>
      <c r="E140" s="4" t="n">
        <v>46104</v>
      </c>
      <c r="F140" s="4" t="inlineStr">
        <is>
          <t>RULED</t>
        </is>
      </c>
      <c r="G140" s="4" t="inlineStr">
        <is>
          <t>RULED</t>
        </is>
      </c>
      <c r="H140" s="4" t="inlineStr">
        <is>
          <t>USNYC</t>
        </is>
      </c>
      <c r="I140" s="4" t="inlineStr">
        <is>
          <t>USNYC</t>
        </is>
      </c>
      <c r="J140" s="4" t="n"/>
      <c r="K140" s="8" t="n"/>
      <c r="L140" s="4" t="inlineStr">
        <is>
          <t>SHARK REEFER</t>
        </is>
      </c>
      <c r="M140" s="4" t="inlineStr">
        <is>
          <t>SHARK REEFER</t>
        </is>
      </c>
      <c r="N140" s="9" t="n"/>
      <c r="O140" s="9" t="n"/>
      <c r="P140" s="4" t="inlineStr">
        <is>
          <t>SHARK REEFER</t>
        </is>
      </c>
      <c r="Q140" s="4" t="inlineStr">
        <is>
          <t>SHARK REEFER</t>
        </is>
      </c>
      <c r="R140" s="4" t="n"/>
      <c r="S140" s="4" t="n"/>
      <c r="T140" s="4" t="inlineStr">
        <is>
          <t>SHARK REEFER</t>
        </is>
      </c>
      <c r="U140" s="4" t="inlineStr">
        <is>
          <t>AVENIDA DAS ARAUCARIAS, 5126, CHAPADA - ARAUCARIA-PR - CEP: 83707754 CNPJ 02.351.006/0001-39</t>
        </is>
      </c>
      <c r="V140" s="9" t="n">
        <v>21</v>
      </c>
      <c r="W140" s="9" t="n">
        <v>0</v>
      </c>
      <c r="X140" s="10" t="n">
        <v>347550</v>
      </c>
      <c r="Y140" s="10" t="n">
        <v>331000</v>
      </c>
      <c r="Z140" s="9" t="n">
        <v>331</v>
      </c>
      <c r="AA140" s="4" t="n"/>
      <c r="AB140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0" s="4" t="inlineStr">
        <is>
          <t>ANON0000000</t>
        </is>
      </c>
      <c r="AD140" s="4" t="inlineStr">
        <is>
          <t>RH40</t>
        </is>
      </c>
      <c r="AE140" s="4" t="n">
        <v>1229027</v>
      </c>
      <c r="AF140" s="4" t="n"/>
      <c r="AG140" s="4" t="inlineStr">
        <is>
          <t>FCL/FCL</t>
        </is>
      </c>
      <c r="AH140" s="4" t="inlineStr">
        <is>
          <t>GENERAL COMMODITY</t>
        </is>
      </c>
      <c r="AI140" s="10" t="n">
        <v>29400</v>
      </c>
      <c r="AJ140" s="9" t="n">
        <v>28</v>
      </c>
      <c r="AK140" s="4" t="inlineStr">
        <is>
          <t>BLO</t>
        </is>
      </c>
      <c r="AL140" s="4" t="n"/>
      <c r="AM140" s="4" t="n"/>
      <c r="AN140" s="4" t="n"/>
      <c r="AO140" s="4" t="n"/>
      <c r="AP140" s="4" t="n"/>
      <c r="AQ140" s="4" t="n"/>
      <c r="AR140" s="4" t="n">
        <v>4640</v>
      </c>
      <c r="AS140" s="4" t="n">
        <v>28000</v>
      </c>
      <c r="AT140" s="12" t="n"/>
    </row>
    <row r="141" ht="10.5" customFormat="1" customHeight="1" s="6">
      <c r="A141" s="11" t="n">
        <v>140</v>
      </c>
      <c r="B141" s="4" t="inlineStr">
        <is>
          <t>MERCURY / VOYAGE 1</t>
        </is>
      </c>
      <c r="C141" s="4" t="inlineStr">
        <is>
          <t>REF000000</t>
        </is>
      </c>
      <c r="D141" s="7" t="n">
        <v>46095</v>
      </c>
      <c r="E141" s="4" t="n">
        <v>46104</v>
      </c>
      <c r="F141" s="4" t="inlineStr">
        <is>
          <t>RULED</t>
        </is>
      </c>
      <c r="G141" s="4" t="inlineStr">
        <is>
          <t>RULED</t>
        </is>
      </c>
      <c r="H141" s="4" t="inlineStr">
        <is>
          <t>USNYC</t>
        </is>
      </c>
      <c r="I141" s="4" t="inlineStr">
        <is>
          <t>USNYC</t>
        </is>
      </c>
      <c r="J141" s="4" t="n"/>
      <c r="K141" s="8" t="n"/>
      <c r="L141" s="4" t="inlineStr">
        <is>
          <t>DOLPHIN REEFER</t>
        </is>
      </c>
      <c r="M141" s="4" t="inlineStr">
        <is>
          <t>DOLPHIN REEFER</t>
        </is>
      </c>
      <c r="N141" s="9" t="n"/>
      <c r="O141" s="9" t="n"/>
      <c r="P141" s="4" t="inlineStr">
        <is>
          <t>DOLPHIN REEFER</t>
        </is>
      </c>
      <c r="Q141" s="4" t="inlineStr">
        <is>
          <t>DOLPHIN REEFER</t>
        </is>
      </c>
      <c r="R141" s="4" t="n"/>
      <c r="S141" s="4" t="n"/>
      <c r="T141" s="4" t="inlineStr">
        <is>
          <t>DOLPHIN REEFER</t>
        </is>
      </c>
      <c r="U141" s="4" t="inlineStr">
        <is>
          <t>AVENIDA DAS ARAUCARIAS, 5126, CHAPADA - ARAUCARIA-PR - CEP: 83707754 CNPJ 02.351.006/0001-39</t>
        </is>
      </c>
      <c r="V141" s="9" t="n">
        <v>21</v>
      </c>
      <c r="W141" s="9" t="n">
        <v>0</v>
      </c>
      <c r="X141" s="10" t="n">
        <v>347550</v>
      </c>
      <c r="Y141" s="10" t="n">
        <v>331000</v>
      </c>
      <c r="Z141" s="9" t="n">
        <v>331</v>
      </c>
      <c r="AA141" s="4" t="n"/>
      <c r="AB141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1" s="4" t="inlineStr">
        <is>
          <t>ANON0000000</t>
        </is>
      </c>
      <c r="AD141" s="4" t="inlineStr">
        <is>
          <t>RH40</t>
        </is>
      </c>
      <c r="AE141" s="4" t="n">
        <v>1229023</v>
      </c>
      <c r="AF141" s="4" t="n"/>
      <c r="AG141" s="4" t="inlineStr">
        <is>
          <t>FCL/FCL</t>
        </is>
      </c>
      <c r="AH141" s="4" t="inlineStr">
        <is>
          <t>GENERAL COMMODITY</t>
        </is>
      </c>
      <c r="AI141" s="10" t="n">
        <v>29400</v>
      </c>
      <c r="AJ141" s="9" t="n">
        <v>28</v>
      </c>
      <c r="AK141" s="4" t="inlineStr">
        <is>
          <t>BLO</t>
        </is>
      </c>
      <c r="AL141" s="4" t="n"/>
      <c r="AM141" s="4" t="n"/>
      <c r="AN141" s="4" t="n"/>
      <c r="AO141" s="4" t="n"/>
      <c r="AP141" s="4" t="n"/>
      <c r="AQ141" s="4" t="n"/>
      <c r="AR141" s="4" t="n">
        <v>4640</v>
      </c>
      <c r="AS141" s="4" t="n">
        <v>28000</v>
      </c>
      <c r="AT141" s="12" t="n"/>
    </row>
    <row r="142" ht="10.5" customFormat="1" customHeight="1" s="6">
      <c r="A142" s="11" t="n">
        <v>141</v>
      </c>
      <c r="B142" s="4" t="inlineStr">
        <is>
          <t>MERCURY / VOYAGE 1</t>
        </is>
      </c>
      <c r="C142" s="4" t="inlineStr">
        <is>
          <t>REF000000</t>
        </is>
      </c>
      <c r="D142" s="7" t="n">
        <v>46095</v>
      </c>
      <c r="E142" s="4" t="n">
        <v>46104</v>
      </c>
      <c r="F142" s="4" t="inlineStr">
        <is>
          <t>RULED</t>
        </is>
      </c>
      <c r="G142" s="4" t="inlineStr">
        <is>
          <t>RULED</t>
        </is>
      </c>
      <c r="H142" s="4" t="inlineStr">
        <is>
          <t>USNYC</t>
        </is>
      </c>
      <c r="I142" s="4" t="inlineStr">
        <is>
          <t>USNYC</t>
        </is>
      </c>
      <c r="J142" s="4" t="n"/>
      <c r="K142" s="8" t="n"/>
      <c r="L142" s="4" t="inlineStr">
        <is>
          <t>MARLIN REEFER</t>
        </is>
      </c>
      <c r="M142" s="4" t="inlineStr">
        <is>
          <t>MARLIN REEFER</t>
        </is>
      </c>
      <c r="N142" s="9" t="n"/>
      <c r="O142" s="9" t="n"/>
      <c r="P142" s="4" t="inlineStr">
        <is>
          <t>MARLIN REEFER</t>
        </is>
      </c>
      <c r="Q142" s="4" t="inlineStr">
        <is>
          <t>MARLIN REEFER</t>
        </is>
      </c>
      <c r="R142" s="4" t="n"/>
      <c r="S142" s="4" t="n"/>
      <c r="T142" s="4" t="inlineStr">
        <is>
          <t>MARLIN REEFER</t>
        </is>
      </c>
      <c r="U142" s="4" t="inlineStr">
        <is>
          <t>AVENIDA DAS ARAUCARIAS, 5126, CHAPADA - ARAUCARIA-PR - CEP: 83707754 CNPJ 02.351.006/0001-39</t>
        </is>
      </c>
      <c r="V142" s="9" t="n">
        <v>21</v>
      </c>
      <c r="W142" s="9" t="n">
        <v>0</v>
      </c>
      <c r="X142" s="10" t="n">
        <v>347550</v>
      </c>
      <c r="Y142" s="10" t="n">
        <v>331000</v>
      </c>
      <c r="Z142" s="9" t="n">
        <v>331</v>
      </c>
      <c r="AA142" s="4" t="n"/>
      <c r="AB142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2" s="4" t="inlineStr">
        <is>
          <t>ANON0000000</t>
        </is>
      </c>
      <c r="AD142" s="4" t="inlineStr">
        <is>
          <t>RH40</t>
        </is>
      </c>
      <c r="AE142" s="4" t="n">
        <v>1229028</v>
      </c>
      <c r="AF142" s="4" t="n"/>
      <c r="AG142" s="4" t="inlineStr">
        <is>
          <t>FCL/FCL</t>
        </is>
      </c>
      <c r="AH142" s="4" t="inlineStr">
        <is>
          <t>GENERAL COMMODITY</t>
        </is>
      </c>
      <c r="AI142" s="10" t="n">
        <v>30450</v>
      </c>
      <c r="AJ142" s="9" t="n">
        <v>29</v>
      </c>
      <c r="AK142" s="4" t="inlineStr">
        <is>
          <t>BLO</t>
        </is>
      </c>
      <c r="AL142" s="4" t="n"/>
      <c r="AM142" s="4" t="n"/>
      <c r="AN142" s="4" t="n"/>
      <c r="AO142" s="4" t="n"/>
      <c r="AP142" s="4" t="n"/>
      <c r="AQ142" s="4" t="n"/>
      <c r="AR142" s="4" t="n">
        <v>4460</v>
      </c>
      <c r="AS142" s="4" t="n">
        <v>28000</v>
      </c>
      <c r="AT142" s="12" t="n"/>
    </row>
    <row r="143" ht="10.5" customFormat="1" customHeight="1" s="6">
      <c r="A143" s="11" t="n">
        <v>142</v>
      </c>
      <c r="B143" s="4" t="inlineStr">
        <is>
          <t>MERCURY / VOYAGE 1</t>
        </is>
      </c>
      <c r="C143" s="4" t="inlineStr">
        <is>
          <t>REF000000</t>
        </is>
      </c>
      <c r="D143" s="7" t="n">
        <v>46095</v>
      </c>
      <c r="E143" s="4" t="n">
        <v>46104</v>
      </c>
      <c r="F143" s="4" t="inlineStr">
        <is>
          <t>RULED</t>
        </is>
      </c>
      <c r="G143" s="4" t="inlineStr">
        <is>
          <t>RULED</t>
        </is>
      </c>
      <c r="H143" s="4" t="inlineStr">
        <is>
          <t>USNYC</t>
        </is>
      </c>
      <c r="I143" s="4" t="inlineStr">
        <is>
          <t>USNYC</t>
        </is>
      </c>
      <c r="J143" s="4" t="n"/>
      <c r="K143" s="8" t="n"/>
      <c r="L143" s="4" t="inlineStr">
        <is>
          <t>TURTLE REEFER</t>
        </is>
      </c>
      <c r="M143" s="4" t="inlineStr">
        <is>
          <t>TURTLE REEFER</t>
        </is>
      </c>
      <c r="N143" s="9" t="n"/>
      <c r="O143" s="9" t="n"/>
      <c r="P143" s="4" t="inlineStr">
        <is>
          <t>TURTLE REEFER</t>
        </is>
      </c>
      <c r="Q143" s="4" t="inlineStr">
        <is>
          <t>TURTLE REEFER</t>
        </is>
      </c>
      <c r="R143" s="4" t="n"/>
      <c r="S143" s="4" t="n"/>
      <c r="T143" s="4" t="inlineStr">
        <is>
          <t>TURTLE REEFER</t>
        </is>
      </c>
      <c r="U143" s="4" t="inlineStr">
        <is>
          <t>AVENIDA DAS ARAUCARIAS, 5126, CHAPADA - ARAUCARIA-PR - CEP: 83707754 CNPJ 02.351.006/0001-39</t>
        </is>
      </c>
      <c r="V143" s="9" t="n">
        <v>21</v>
      </c>
      <c r="W143" s="9" t="n">
        <v>0</v>
      </c>
      <c r="X143" s="10" t="n">
        <v>347550</v>
      </c>
      <c r="Y143" s="10" t="n">
        <v>331000</v>
      </c>
      <c r="Z143" s="9" t="n">
        <v>331</v>
      </c>
      <c r="AA143" s="4" t="n"/>
      <c r="AB143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3" s="4" t="inlineStr">
        <is>
          <t>ANON0000000</t>
        </is>
      </c>
      <c r="AD143" s="4" t="inlineStr">
        <is>
          <t>RH40</t>
        </is>
      </c>
      <c r="AE143" s="4" t="n">
        <v>1229150</v>
      </c>
      <c r="AF143" s="4" t="n"/>
      <c r="AG143" s="4" t="inlineStr">
        <is>
          <t>FCL/FCL</t>
        </is>
      </c>
      <c r="AH143" s="4" t="inlineStr">
        <is>
          <t>GENERAL COMMODITY</t>
        </is>
      </c>
      <c r="AI143" s="10" t="n">
        <v>29400</v>
      </c>
      <c r="AJ143" s="9" t="n">
        <v>28</v>
      </c>
      <c r="AK143" s="4" t="inlineStr">
        <is>
          <t>BLO</t>
        </is>
      </c>
      <c r="AL143" s="4" t="n"/>
      <c r="AM143" s="4" t="n"/>
      <c r="AN143" s="4" t="n"/>
      <c r="AO143" s="4" t="n"/>
      <c r="AP143" s="4" t="n"/>
      <c r="AQ143" s="4" t="n"/>
      <c r="AR143" s="4" t="n">
        <v>4640</v>
      </c>
      <c r="AS143" s="4" t="n">
        <v>28000</v>
      </c>
      <c r="AT143" s="12" t="n"/>
    </row>
    <row r="144" ht="10.5" customFormat="1" customHeight="1" s="6">
      <c r="A144" s="11" t="n">
        <v>143</v>
      </c>
      <c r="B144" s="4" t="inlineStr">
        <is>
          <t>MERCURY / VOYAGE 1</t>
        </is>
      </c>
      <c r="C144" s="4" t="inlineStr">
        <is>
          <t>REF000000</t>
        </is>
      </c>
      <c r="D144" s="7" t="n">
        <v>46095</v>
      </c>
      <c r="E144" s="4" t="n">
        <v>46104</v>
      </c>
      <c r="F144" s="4" t="inlineStr">
        <is>
          <t>RULED</t>
        </is>
      </c>
      <c r="G144" s="4" t="inlineStr">
        <is>
          <t>RULED</t>
        </is>
      </c>
      <c r="H144" s="4" t="inlineStr">
        <is>
          <t>USNYC</t>
        </is>
      </c>
      <c r="I144" s="4" t="inlineStr">
        <is>
          <t>USNYC</t>
        </is>
      </c>
      <c r="J144" s="4" t="n"/>
      <c r="K144" s="8" t="n"/>
      <c r="L144" s="4" t="inlineStr">
        <is>
          <t>ORCA REEFER</t>
        </is>
      </c>
      <c r="M144" s="4" t="inlineStr">
        <is>
          <t>ORCA REEFER</t>
        </is>
      </c>
      <c r="N144" s="9" t="n"/>
      <c r="O144" s="9" t="n"/>
      <c r="P144" s="4" t="inlineStr">
        <is>
          <t>ORCA REEFER</t>
        </is>
      </c>
      <c r="Q144" s="4" t="inlineStr">
        <is>
          <t>ORCA REEFER</t>
        </is>
      </c>
      <c r="R144" s="4" t="n"/>
      <c r="S144" s="4" t="n"/>
      <c r="T144" s="4" t="inlineStr">
        <is>
          <t>ORCA REEFER</t>
        </is>
      </c>
      <c r="U144" s="4" t="inlineStr">
        <is>
          <t>AVENIDA DAS ARAUCARIAS, 5126, CHAPADA - ARAUCARIA-PR - CEP: 83707754 CNPJ 02.351.006/0001-39</t>
        </is>
      </c>
      <c r="V144" s="9" t="n">
        <v>21</v>
      </c>
      <c r="W144" s="9" t="n">
        <v>0</v>
      </c>
      <c r="X144" s="10" t="n">
        <v>347550</v>
      </c>
      <c r="Y144" s="10" t="n">
        <v>331000</v>
      </c>
      <c r="Z144" s="9" t="n">
        <v>331</v>
      </c>
      <c r="AA144" s="4" t="n"/>
      <c r="AB144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4" s="4" t="inlineStr">
        <is>
          <t>ANON0000000</t>
        </is>
      </c>
      <c r="AD144" s="4" t="inlineStr">
        <is>
          <t>RH40</t>
        </is>
      </c>
      <c r="AE144" s="4" t="n">
        <v>1229030</v>
      </c>
      <c r="AF144" s="4" t="n"/>
      <c r="AG144" s="4" t="inlineStr">
        <is>
          <t>FCL/FCL</t>
        </is>
      </c>
      <c r="AH144" s="4" t="inlineStr">
        <is>
          <t>GENERAL COMMODITY</t>
        </is>
      </c>
      <c r="AI144" s="10" t="n">
        <v>28350</v>
      </c>
      <c r="AJ144" s="9" t="n">
        <v>27</v>
      </c>
      <c r="AK144" s="4" t="inlineStr">
        <is>
          <t>BLO</t>
        </is>
      </c>
      <c r="AL144" s="4" t="n"/>
      <c r="AM144" s="4" t="n"/>
      <c r="AN144" s="4" t="n"/>
      <c r="AO144" s="4" t="n"/>
      <c r="AP144" s="4" t="n"/>
      <c r="AQ144" s="4" t="n"/>
      <c r="AR144" s="4" t="n">
        <v>4700</v>
      </c>
      <c r="AS144" s="4" t="n">
        <v>28000</v>
      </c>
      <c r="AT144" s="12" t="n"/>
    </row>
    <row r="145" ht="11.25" customFormat="1" customHeight="1" s="6">
      <c r="A145" s="11" t="n">
        <v>144</v>
      </c>
      <c r="B145" s="4" t="inlineStr">
        <is>
          <t>MERCURY / VOYAGE 1</t>
        </is>
      </c>
      <c r="C145" s="4" t="inlineStr">
        <is>
          <t>REF000000</t>
        </is>
      </c>
      <c r="D145" s="7" t="n">
        <v>46095</v>
      </c>
      <c r="E145" s="4" t="n">
        <v>46104</v>
      </c>
      <c r="F145" s="4" t="inlineStr">
        <is>
          <t>RULED</t>
        </is>
      </c>
      <c r="G145" s="4" t="inlineStr">
        <is>
          <t>RULED</t>
        </is>
      </c>
      <c r="H145" s="4" t="inlineStr">
        <is>
          <t>USNYC</t>
        </is>
      </c>
      <c r="I145" s="4" t="inlineStr">
        <is>
          <t>USNYC</t>
        </is>
      </c>
      <c r="J145" s="4" t="n"/>
      <c r="K145" s="8" t="n"/>
      <c r="L145" s="4" t="inlineStr">
        <is>
          <t>WHALE REEFER</t>
        </is>
      </c>
      <c r="M145" s="4" t="inlineStr">
        <is>
          <t>WHALE REEFER</t>
        </is>
      </c>
      <c r="N145" s="9" t="n"/>
      <c r="O145" s="9" t="n"/>
      <c r="P145" s="4" t="inlineStr">
        <is>
          <t>WHALE REEFER</t>
        </is>
      </c>
      <c r="Q145" s="4" t="inlineStr">
        <is>
          <t>WHALE REEFER</t>
        </is>
      </c>
      <c r="R145" s="4" t="n"/>
      <c r="S145" s="4" t="n"/>
      <c r="T145" s="4" t="inlineStr">
        <is>
          <t>WHALE REEFER</t>
        </is>
      </c>
      <c r="U145" s="4" t="inlineStr">
        <is>
          <t>AVENIDA DAS ARAUCARIAS, 5126, CHAPADA - ARAUCARIA-PR - CEP: 83707754 CNPJ 02.351.006/0001-39</t>
        </is>
      </c>
      <c r="V145" s="9" t="n">
        <v>21</v>
      </c>
      <c r="W145" s="9" t="n">
        <v>0</v>
      </c>
      <c r="X145" s="10" t="n">
        <v>347550</v>
      </c>
      <c r="Y145" s="10" t="n">
        <v>331000</v>
      </c>
      <c r="Z145" s="9" t="n">
        <v>331</v>
      </c>
      <c r="AA145" s="4" t="n"/>
      <c r="AB145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5" s="4" t="inlineStr">
        <is>
          <t>ANON0000000</t>
        </is>
      </c>
      <c r="AD145" s="4" t="inlineStr">
        <is>
          <t>RH40</t>
        </is>
      </c>
      <c r="AE145" s="4" t="n">
        <v>1229025</v>
      </c>
      <c r="AF145" s="4" t="n"/>
      <c r="AG145" s="4" t="inlineStr">
        <is>
          <t>FCL/FCL</t>
        </is>
      </c>
      <c r="AH145" s="4" t="inlineStr">
        <is>
          <t>GENERAL COMMODITY</t>
        </is>
      </c>
      <c r="AI145" s="10" t="n">
        <v>28350</v>
      </c>
      <c r="AJ145" s="9" t="n">
        <v>27</v>
      </c>
      <c r="AK145" s="4" t="inlineStr">
        <is>
          <t>BLO</t>
        </is>
      </c>
      <c r="AL145" s="4" t="n"/>
      <c r="AM145" s="4" t="n"/>
      <c r="AN145" s="4" t="n"/>
      <c r="AO145" s="4" t="n"/>
      <c r="AP145" s="4" t="n"/>
      <c r="AQ145" s="4" t="n"/>
      <c r="AR145" s="4" t="n">
        <v>4640</v>
      </c>
      <c r="AS145" s="4" t="n">
        <v>28000</v>
      </c>
      <c r="AT145" s="12" t="n"/>
    </row>
    <row r="146" ht="10.5" customFormat="1" customHeight="1" s="6">
      <c r="A146" s="11" t="n">
        <v>145</v>
      </c>
      <c r="B146" s="4" t="inlineStr">
        <is>
          <t>MERCURY / VOYAGE 1</t>
        </is>
      </c>
      <c r="C146" s="4" t="inlineStr">
        <is>
          <t>REF000000</t>
        </is>
      </c>
      <c r="D146" s="7" t="n">
        <v>46095</v>
      </c>
      <c r="E146" s="4" t="n">
        <v>46104</v>
      </c>
      <c r="F146" s="4" t="inlineStr">
        <is>
          <t>RULED</t>
        </is>
      </c>
      <c r="G146" s="4" t="inlineStr">
        <is>
          <t>RULED</t>
        </is>
      </c>
      <c r="H146" s="4" t="inlineStr">
        <is>
          <t>USNYC</t>
        </is>
      </c>
      <c r="I146" s="4" t="inlineStr">
        <is>
          <t>USNYC</t>
        </is>
      </c>
      <c r="J146" s="4" t="n"/>
      <c r="K146" s="8" t="n"/>
      <c r="L146" s="4" t="inlineStr">
        <is>
          <t>SEAL REEFER</t>
        </is>
      </c>
      <c r="M146" s="4" t="inlineStr">
        <is>
          <t>SEAL REEFER</t>
        </is>
      </c>
      <c r="N146" s="9" t="n"/>
      <c r="O146" s="9" t="n"/>
      <c r="P146" s="4" t="inlineStr">
        <is>
          <t>SEAL REEFER</t>
        </is>
      </c>
      <c r="Q146" s="4" t="inlineStr">
        <is>
          <t>SEAL REEFER</t>
        </is>
      </c>
      <c r="R146" s="4" t="n"/>
      <c r="S146" s="4" t="n"/>
      <c r="T146" s="4" t="inlineStr">
        <is>
          <t>SEAL REEFER</t>
        </is>
      </c>
      <c r="U146" s="4" t="inlineStr">
        <is>
          <t>AVENIDA DAS ARAUCARIAS, 5126, CHAPADA - ARAUCARIA-PR - CEP: 83707754 CNPJ 02.351.006/0001-39</t>
        </is>
      </c>
      <c r="V146" s="9" t="n">
        <v>21</v>
      </c>
      <c r="W146" s="9" t="n">
        <v>0</v>
      </c>
      <c r="X146" s="10" t="n">
        <v>347550</v>
      </c>
      <c r="Y146" s="10" t="n">
        <v>331000</v>
      </c>
      <c r="Z146" s="9" t="n">
        <v>331</v>
      </c>
      <c r="AA146" s="4" t="n"/>
      <c r="AB146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6" s="4" t="inlineStr">
        <is>
          <t>ANON0000000</t>
        </is>
      </c>
      <c r="AD146" s="4" t="inlineStr">
        <is>
          <t>RH40</t>
        </is>
      </c>
      <c r="AE146" s="4" t="n">
        <v>1229042</v>
      </c>
      <c r="AF146" s="4" t="n"/>
      <c r="AG146" s="4" t="inlineStr">
        <is>
          <t>FCL/FCL</t>
        </is>
      </c>
      <c r="AH146" s="4" t="inlineStr">
        <is>
          <t>GENERAL COMMODITY</t>
        </is>
      </c>
      <c r="AI146" s="10" t="n">
        <v>29400</v>
      </c>
      <c r="AJ146" s="9" t="n">
        <v>28</v>
      </c>
      <c r="AK146" s="4" t="inlineStr">
        <is>
          <t>BLO</t>
        </is>
      </c>
      <c r="AL146" s="4" t="n"/>
      <c r="AM146" s="4" t="n"/>
      <c r="AN146" s="4" t="n"/>
      <c r="AO146" s="4" t="n"/>
      <c r="AP146" s="4" t="n"/>
      <c r="AQ146" s="4" t="n"/>
      <c r="AR146" s="4" t="n">
        <v>4630</v>
      </c>
      <c r="AS146" s="4" t="n">
        <v>28000</v>
      </c>
      <c r="AT146" s="12" t="n"/>
    </row>
    <row r="147" ht="10.5" customFormat="1" customHeight="1" s="6">
      <c r="A147" s="11" t="n">
        <v>146</v>
      </c>
      <c r="B147" s="4" t="inlineStr">
        <is>
          <t>MERCURY / VOYAGE 1</t>
        </is>
      </c>
      <c r="C147" s="4" t="inlineStr">
        <is>
          <t>REF000000</t>
        </is>
      </c>
      <c r="D147" s="7" t="n">
        <v>46095</v>
      </c>
      <c r="E147" s="4" t="n">
        <v>46104</v>
      </c>
      <c r="F147" s="4" t="inlineStr">
        <is>
          <t>RULED</t>
        </is>
      </c>
      <c r="G147" s="4" t="inlineStr">
        <is>
          <t>RULED</t>
        </is>
      </c>
      <c r="H147" s="4" t="inlineStr">
        <is>
          <t>USNYC</t>
        </is>
      </c>
      <c r="I147" s="4" t="inlineStr">
        <is>
          <t>USNYC</t>
        </is>
      </c>
      <c r="J147" s="4" t="n"/>
      <c r="K147" s="8" t="n"/>
      <c r="L147" s="4" t="inlineStr">
        <is>
          <t>SHARK REEFER</t>
        </is>
      </c>
      <c r="M147" s="4" t="inlineStr">
        <is>
          <t>SHARK REEFER</t>
        </is>
      </c>
      <c r="N147" s="9" t="n"/>
      <c r="O147" s="9" t="n"/>
      <c r="P147" s="4" t="inlineStr">
        <is>
          <t>SHARK REEFER</t>
        </is>
      </c>
      <c r="Q147" s="4" t="inlineStr">
        <is>
          <t>SHARK REEFER</t>
        </is>
      </c>
      <c r="R147" s="4" t="n"/>
      <c r="S147" s="4" t="n"/>
      <c r="T147" s="4" t="inlineStr">
        <is>
          <t>SHARK REEFER</t>
        </is>
      </c>
      <c r="U147" s="4" t="inlineStr">
        <is>
          <t>AVENIDA DAS ARAUCARIAS, 5126, CHAPADA - ARAUCARIA-PR - CEP: 83707754 CNPJ 02.351.006/0001-39</t>
        </is>
      </c>
      <c r="V147" s="9" t="n">
        <v>21</v>
      </c>
      <c r="W147" s="9" t="n">
        <v>0</v>
      </c>
      <c r="X147" s="10" t="n">
        <v>347550</v>
      </c>
      <c r="Y147" s="10" t="n">
        <v>331000</v>
      </c>
      <c r="Z147" s="9" t="n">
        <v>331</v>
      </c>
      <c r="AA147" s="4" t="n"/>
      <c r="AB147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7" s="4" t="inlineStr">
        <is>
          <t>ANON0000000</t>
        </is>
      </c>
      <c r="AD147" s="4" t="inlineStr">
        <is>
          <t>RH40</t>
        </is>
      </c>
      <c r="AE147" s="4" t="n">
        <v>1229032</v>
      </c>
      <c r="AF147" s="4" t="n"/>
      <c r="AG147" s="4" t="inlineStr">
        <is>
          <t>FCL/FCL</t>
        </is>
      </c>
      <c r="AH147" s="4" t="inlineStr">
        <is>
          <t>GENERAL COMMODITY</t>
        </is>
      </c>
      <c r="AI147" s="10" t="n">
        <v>29400</v>
      </c>
      <c r="AJ147" s="9" t="n">
        <v>28</v>
      </c>
      <c r="AK147" s="4" t="inlineStr">
        <is>
          <t>BLO</t>
        </is>
      </c>
      <c r="AL147" s="4" t="n"/>
      <c r="AM147" s="4" t="n"/>
      <c r="AN147" s="4" t="n"/>
      <c r="AO147" s="4" t="n"/>
      <c r="AP147" s="4" t="n"/>
      <c r="AQ147" s="4" t="n"/>
      <c r="AR147" s="4" t="n">
        <v>4650</v>
      </c>
      <c r="AS147" s="4" t="n">
        <v>28000</v>
      </c>
      <c r="AT147" s="12" t="n"/>
    </row>
    <row r="148" ht="10.5" customFormat="1" customHeight="1" s="6">
      <c r="A148" s="11" t="n">
        <v>147</v>
      </c>
      <c r="B148" s="4" t="inlineStr">
        <is>
          <t>MERCURY / VOYAGE 1</t>
        </is>
      </c>
      <c r="C148" s="4" t="inlineStr">
        <is>
          <t>REF000000</t>
        </is>
      </c>
      <c r="D148" s="7" t="n">
        <v>46095</v>
      </c>
      <c r="E148" s="4" t="n">
        <v>46104</v>
      </c>
      <c r="F148" s="4" t="inlineStr">
        <is>
          <t>RULED</t>
        </is>
      </c>
      <c r="G148" s="4" t="inlineStr">
        <is>
          <t>RULED</t>
        </is>
      </c>
      <c r="H148" s="4" t="inlineStr">
        <is>
          <t>USNYC</t>
        </is>
      </c>
      <c r="I148" s="4" t="inlineStr">
        <is>
          <t>USNYC</t>
        </is>
      </c>
      <c r="J148" s="4" t="n"/>
      <c r="K148" s="8" t="n"/>
      <c r="L148" s="4" t="inlineStr">
        <is>
          <t>DOLPHIN REEFER</t>
        </is>
      </c>
      <c r="M148" s="4" t="inlineStr">
        <is>
          <t>DOLPHIN REEFER</t>
        </is>
      </c>
      <c r="N148" s="9" t="n"/>
      <c r="O148" s="9" t="n"/>
      <c r="P148" s="4" t="inlineStr">
        <is>
          <t>DOLPHIN REEFER</t>
        </is>
      </c>
      <c r="Q148" s="4" t="inlineStr">
        <is>
          <t>DOLPHIN REEFER</t>
        </is>
      </c>
      <c r="R148" s="4" t="n"/>
      <c r="S148" s="4" t="n"/>
      <c r="T148" s="4" t="inlineStr">
        <is>
          <t>DOLPHIN REEFER</t>
        </is>
      </c>
      <c r="U148" s="4" t="inlineStr">
        <is>
          <t>AVENIDA DAS ARAUCARIAS, 5126, CHAPADA - ARAUCARIA-PR - CEP: 83707754 CNPJ 02.351.006/0001-39</t>
        </is>
      </c>
      <c r="V148" s="9" t="n">
        <v>21</v>
      </c>
      <c r="W148" s="9" t="n">
        <v>0</v>
      </c>
      <c r="X148" s="10" t="n">
        <v>347550</v>
      </c>
      <c r="Y148" s="10" t="n">
        <v>331000</v>
      </c>
      <c r="Z148" s="9" t="n">
        <v>331</v>
      </c>
      <c r="AA148" s="4" t="n"/>
      <c r="AB148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8" s="4" t="inlineStr">
        <is>
          <t>ANON0000000</t>
        </is>
      </c>
      <c r="AD148" s="4" t="inlineStr">
        <is>
          <t>RH40</t>
        </is>
      </c>
      <c r="AE148" s="4" t="n">
        <v>1229031</v>
      </c>
      <c r="AF148" s="4" t="n"/>
      <c r="AG148" s="4" t="inlineStr">
        <is>
          <t>FCL/FCL</t>
        </is>
      </c>
      <c r="AH148" s="4" t="inlineStr">
        <is>
          <t>GENERAL COMMODITY</t>
        </is>
      </c>
      <c r="AI148" s="10" t="n">
        <v>29400</v>
      </c>
      <c r="AJ148" s="9" t="n">
        <v>28</v>
      </c>
      <c r="AK148" s="4" t="inlineStr">
        <is>
          <t>BLO</t>
        </is>
      </c>
      <c r="AL148" s="4" t="n"/>
      <c r="AM148" s="4" t="n"/>
      <c r="AN148" s="4" t="n"/>
      <c r="AO148" s="4" t="n"/>
      <c r="AP148" s="4" t="n"/>
      <c r="AQ148" s="4" t="n"/>
      <c r="AR148" s="4" t="n">
        <v>4640</v>
      </c>
      <c r="AS148" s="4" t="n">
        <v>28000</v>
      </c>
      <c r="AT148" s="12" t="n"/>
    </row>
    <row r="149" ht="10.5" customFormat="1" customHeight="1" s="6">
      <c r="A149" s="11" t="n">
        <v>148</v>
      </c>
      <c r="B149" s="4" t="inlineStr">
        <is>
          <t>MERCURY / VOYAGE 1</t>
        </is>
      </c>
      <c r="C149" s="4" t="inlineStr">
        <is>
          <t>REF000000</t>
        </is>
      </c>
      <c r="D149" s="7" t="n">
        <v>46095</v>
      </c>
      <c r="E149" s="4" t="n">
        <v>46104</v>
      </c>
      <c r="F149" s="4" t="inlineStr">
        <is>
          <t>RULED</t>
        </is>
      </c>
      <c r="G149" s="4" t="inlineStr">
        <is>
          <t>RULED</t>
        </is>
      </c>
      <c r="H149" s="4" t="inlineStr">
        <is>
          <t>USNYC</t>
        </is>
      </c>
      <c r="I149" s="4" t="inlineStr">
        <is>
          <t>USNYC</t>
        </is>
      </c>
      <c r="J149" s="4" t="n"/>
      <c r="K149" s="8" t="n"/>
      <c r="L149" s="4" t="inlineStr">
        <is>
          <t>MARLIN REEFER</t>
        </is>
      </c>
      <c r="M149" s="4" t="inlineStr">
        <is>
          <t>MARLIN REEFER</t>
        </is>
      </c>
      <c r="N149" s="9" t="n"/>
      <c r="O149" s="9" t="n"/>
      <c r="P149" s="4" t="inlineStr">
        <is>
          <t>MARLIN REEFER</t>
        </is>
      </c>
      <c r="Q149" s="4" t="inlineStr">
        <is>
          <t>MARLIN REEFER</t>
        </is>
      </c>
      <c r="R149" s="4" t="n"/>
      <c r="S149" s="4" t="n"/>
      <c r="T149" s="4" t="inlineStr">
        <is>
          <t>MARLIN REEFER</t>
        </is>
      </c>
      <c r="U149" s="4" t="inlineStr">
        <is>
          <t>AVENIDA DAS ARAUCARIAS, 5126, CHAPADA - ARAUCARIA-PR - CEP: 83707754 CNPJ 02.351.006/0001-39</t>
        </is>
      </c>
      <c r="V149" s="9" t="n">
        <v>21</v>
      </c>
      <c r="W149" s="9" t="n">
        <v>0</v>
      </c>
      <c r="X149" s="10" t="n">
        <v>347550</v>
      </c>
      <c r="Y149" s="10" t="n">
        <v>331000</v>
      </c>
      <c r="Z149" s="9" t="n">
        <v>331</v>
      </c>
      <c r="AA149" s="4" t="n"/>
      <c r="AB149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49" s="4" t="inlineStr">
        <is>
          <t>ANON0000000</t>
        </is>
      </c>
      <c r="AD149" s="4" t="inlineStr">
        <is>
          <t>RH40</t>
        </is>
      </c>
      <c r="AE149" s="4" t="n">
        <v>1229039</v>
      </c>
      <c r="AF149" s="4" t="n"/>
      <c r="AG149" s="4" t="inlineStr">
        <is>
          <t>FCL/FCL</t>
        </is>
      </c>
      <c r="AH149" s="4" t="inlineStr">
        <is>
          <t>GENERAL COMMODITY</t>
        </is>
      </c>
      <c r="AI149" s="10" t="n">
        <v>28350</v>
      </c>
      <c r="AJ149" s="9" t="n">
        <v>27</v>
      </c>
      <c r="AK149" s="4" t="inlineStr">
        <is>
          <t>BLO</t>
        </is>
      </c>
      <c r="AL149" s="4" t="n"/>
      <c r="AM149" s="4" t="n"/>
      <c r="AN149" s="4" t="n"/>
      <c r="AO149" s="4" t="n"/>
      <c r="AP149" s="4" t="n"/>
      <c r="AQ149" s="4" t="n"/>
      <c r="AR149" s="4" t="n">
        <v>4630</v>
      </c>
      <c r="AS149" s="4" t="n">
        <v>28000</v>
      </c>
      <c r="AT149" s="12" t="n"/>
    </row>
    <row r="150" ht="11.25" customFormat="1" customHeight="1" s="6">
      <c r="A150" s="11" t="n">
        <v>149</v>
      </c>
      <c r="B150" s="4" t="inlineStr">
        <is>
          <t>MERCURY / VOYAGE 1</t>
        </is>
      </c>
      <c r="C150" s="4" t="inlineStr">
        <is>
          <t>REF000000</t>
        </is>
      </c>
      <c r="D150" s="7" t="n">
        <v>46095</v>
      </c>
      <c r="E150" s="4" t="n">
        <v>46104</v>
      </c>
      <c r="F150" s="4" t="inlineStr">
        <is>
          <t>RULED</t>
        </is>
      </c>
      <c r="G150" s="4" t="inlineStr">
        <is>
          <t>RULED</t>
        </is>
      </c>
      <c r="H150" s="4" t="inlineStr">
        <is>
          <t>USNYC</t>
        </is>
      </c>
      <c r="I150" s="4" t="inlineStr">
        <is>
          <t>USNYC</t>
        </is>
      </c>
      <c r="J150" s="4" t="n"/>
      <c r="K150" s="8" t="n"/>
      <c r="L150" s="4" t="inlineStr">
        <is>
          <t>TURTLE REEFER</t>
        </is>
      </c>
      <c r="M150" s="4" t="inlineStr">
        <is>
          <t>TURTLE REEFER</t>
        </is>
      </c>
      <c r="N150" s="9" t="n"/>
      <c r="O150" s="9" t="n"/>
      <c r="P150" s="4" t="inlineStr">
        <is>
          <t>TURTLE REEFER</t>
        </is>
      </c>
      <c r="Q150" s="4" t="inlineStr">
        <is>
          <t>TURTLE REEFER</t>
        </is>
      </c>
      <c r="R150" s="4" t="n"/>
      <c r="S150" s="4" t="n"/>
      <c r="T150" s="4" t="inlineStr">
        <is>
          <t>TURTLE REEFER</t>
        </is>
      </c>
      <c r="U150" s="4" t="inlineStr">
        <is>
          <t>AVENIDA DAS ARAUCARIAS, 5126, CHAPADA - ARAUCARIA-PR - CEP: 83707754 CNPJ 02.351.006/0001-39</t>
        </is>
      </c>
      <c r="V150" s="9" t="n">
        <v>21</v>
      </c>
      <c r="W150" s="9" t="n">
        <v>0</v>
      </c>
      <c r="X150" s="10" t="n">
        <v>347550</v>
      </c>
      <c r="Y150" s="10" t="n">
        <v>331000</v>
      </c>
      <c r="Z150" s="9" t="n">
        <v>331</v>
      </c>
      <c r="AA150" s="4" t="n"/>
      <c r="AB150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0" s="4" t="inlineStr">
        <is>
          <t>ANON0000000</t>
        </is>
      </c>
      <c r="AD150" s="4" t="inlineStr">
        <is>
          <t>RH40</t>
        </is>
      </c>
      <c r="AE150" s="4" t="n">
        <v>1229036</v>
      </c>
      <c r="AF150" s="4" t="n"/>
      <c r="AG150" s="4" t="inlineStr">
        <is>
          <t>FCL/FCL</t>
        </is>
      </c>
      <c r="AH150" s="4" t="inlineStr">
        <is>
          <t>GENERAL COMMODITY</t>
        </is>
      </c>
      <c r="AI150" s="10" t="n">
        <v>28350</v>
      </c>
      <c r="AJ150" s="9" t="n">
        <v>27</v>
      </c>
      <c r="AK150" s="4" t="inlineStr">
        <is>
          <t>BLO</t>
        </is>
      </c>
      <c r="AL150" s="4" t="n"/>
      <c r="AM150" s="4" t="n"/>
      <c r="AN150" s="4" t="n"/>
      <c r="AO150" s="4" t="n"/>
      <c r="AP150" s="4" t="n"/>
      <c r="AQ150" s="4" t="n"/>
      <c r="AR150" s="4" t="n">
        <v>4630</v>
      </c>
      <c r="AS150" s="4" t="n">
        <v>28000</v>
      </c>
      <c r="AT150" s="12" t="n"/>
    </row>
    <row r="151" ht="10.5" customFormat="1" customHeight="1" s="6">
      <c r="A151" s="11" t="n">
        <v>150</v>
      </c>
      <c r="B151" s="4" t="inlineStr">
        <is>
          <t>MERCURY / VOYAGE 1</t>
        </is>
      </c>
      <c r="C151" s="4" t="inlineStr">
        <is>
          <t>REF000000</t>
        </is>
      </c>
      <c r="D151" s="7" t="n">
        <v>46095</v>
      </c>
      <c r="E151" s="4" t="n">
        <v>46104</v>
      </c>
      <c r="F151" s="4" t="inlineStr">
        <is>
          <t>RULED</t>
        </is>
      </c>
      <c r="G151" s="4" t="inlineStr">
        <is>
          <t>RULED</t>
        </is>
      </c>
      <c r="H151" s="4" t="inlineStr">
        <is>
          <t>USNYC</t>
        </is>
      </c>
      <c r="I151" s="4" t="inlineStr">
        <is>
          <t>USNYC</t>
        </is>
      </c>
      <c r="J151" s="4" t="n"/>
      <c r="K151" s="8" t="n"/>
      <c r="L151" s="4" t="inlineStr">
        <is>
          <t>ORCA REEFER</t>
        </is>
      </c>
      <c r="M151" s="4" t="inlineStr">
        <is>
          <t>ORCA REEFER</t>
        </is>
      </c>
      <c r="N151" s="9" t="n"/>
      <c r="O151" s="9" t="n"/>
      <c r="P151" s="4" t="inlineStr">
        <is>
          <t>ORCA REEFER</t>
        </is>
      </c>
      <c r="Q151" s="4" t="inlineStr">
        <is>
          <t>ORCA REEFER</t>
        </is>
      </c>
      <c r="R151" s="4" t="n"/>
      <c r="S151" s="4" t="n"/>
      <c r="T151" s="4" t="inlineStr">
        <is>
          <t>ORCA REEFER</t>
        </is>
      </c>
      <c r="U151" s="4" t="inlineStr">
        <is>
          <t>AVENIDA DAS ARAUCARIAS, 5126, CHAPADA - ARAUCARIA-PR - CEP: 83707754 CNPJ 02.351.006/0001-39</t>
        </is>
      </c>
      <c r="V151" s="9" t="n">
        <v>21</v>
      </c>
      <c r="W151" s="9" t="n">
        <v>0</v>
      </c>
      <c r="X151" s="10" t="n">
        <v>347550</v>
      </c>
      <c r="Y151" s="10" t="n">
        <v>331000</v>
      </c>
      <c r="Z151" s="9" t="n">
        <v>331</v>
      </c>
      <c r="AA151" s="4" t="n"/>
      <c r="AB151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1" s="4" t="inlineStr">
        <is>
          <t>ANON0000000</t>
        </is>
      </c>
      <c r="AD151" s="4" t="inlineStr">
        <is>
          <t>RH40</t>
        </is>
      </c>
      <c r="AE151" s="4" t="n">
        <v>1229035</v>
      </c>
      <c r="AF151" s="4" t="n"/>
      <c r="AG151" s="4" t="inlineStr">
        <is>
          <t>FCL/FCL</t>
        </is>
      </c>
      <c r="AH151" s="4" t="inlineStr">
        <is>
          <t>GENERAL COMMODITY</t>
        </is>
      </c>
      <c r="AI151" s="10" t="n">
        <v>28350</v>
      </c>
      <c r="AJ151" s="9" t="n">
        <v>27</v>
      </c>
      <c r="AK151" s="4" t="inlineStr">
        <is>
          <t>BLO</t>
        </is>
      </c>
      <c r="AL151" s="4" t="n"/>
      <c r="AM151" s="4" t="n"/>
      <c r="AN151" s="4" t="n"/>
      <c r="AO151" s="4" t="n"/>
      <c r="AP151" s="4" t="n"/>
      <c r="AQ151" s="4" t="n"/>
      <c r="AR151" s="4" t="n">
        <v>4630</v>
      </c>
      <c r="AS151" s="4" t="n">
        <v>28000</v>
      </c>
      <c r="AT151" s="12" t="n"/>
    </row>
    <row r="152" ht="10.5" customFormat="1" customHeight="1" s="6">
      <c r="A152" s="11" t="n">
        <v>151</v>
      </c>
      <c r="B152" s="4" t="inlineStr">
        <is>
          <t>MERCURY / VOYAGE 1</t>
        </is>
      </c>
      <c r="C152" s="4" t="inlineStr">
        <is>
          <t>REF000000</t>
        </is>
      </c>
      <c r="D152" s="7" t="n">
        <v>46095</v>
      </c>
      <c r="E152" s="4" t="n">
        <v>46104</v>
      </c>
      <c r="F152" s="4" t="inlineStr">
        <is>
          <t>RULED</t>
        </is>
      </c>
      <c r="G152" s="4" t="inlineStr">
        <is>
          <t>RULED</t>
        </is>
      </c>
      <c r="H152" s="4" t="inlineStr">
        <is>
          <t>USNYC</t>
        </is>
      </c>
      <c r="I152" s="4" t="inlineStr">
        <is>
          <t>USNYC</t>
        </is>
      </c>
      <c r="J152" s="4" t="n"/>
      <c r="K152" s="8" t="n"/>
      <c r="L152" s="4" t="inlineStr">
        <is>
          <t>WHALE REEFER</t>
        </is>
      </c>
      <c r="M152" s="4" t="inlineStr">
        <is>
          <t>WHALE REEFER</t>
        </is>
      </c>
      <c r="N152" s="9" t="n"/>
      <c r="O152" s="9" t="n"/>
      <c r="P152" s="4" t="inlineStr">
        <is>
          <t>WHALE REEFER</t>
        </is>
      </c>
      <c r="Q152" s="4" t="inlineStr">
        <is>
          <t>WHALE REEFER</t>
        </is>
      </c>
      <c r="R152" s="4" t="n"/>
      <c r="S152" s="4" t="n"/>
      <c r="T152" s="4" t="inlineStr">
        <is>
          <t>WHALE REEFER</t>
        </is>
      </c>
      <c r="U152" s="4" t="inlineStr">
        <is>
          <t>AVENIDA DAS ARAUCARIAS, 5126, CHAPADA - ARAUCARIA-PR - CEP: 83707754 CNPJ 02.351.006/0001-39</t>
        </is>
      </c>
      <c r="V152" s="9" t="n">
        <v>21</v>
      </c>
      <c r="W152" s="9" t="n">
        <v>0</v>
      </c>
      <c r="X152" s="10" t="n">
        <v>347550</v>
      </c>
      <c r="Y152" s="10" t="n">
        <v>331000</v>
      </c>
      <c r="Z152" s="9" t="n">
        <v>331</v>
      </c>
      <c r="AA152" s="4" t="n"/>
      <c r="AB152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2" s="4" t="inlineStr">
        <is>
          <t>ANON0000000</t>
        </is>
      </c>
      <c r="AD152" s="4" t="inlineStr">
        <is>
          <t>RH40</t>
        </is>
      </c>
      <c r="AE152" s="4" t="n">
        <v>1229041</v>
      </c>
      <c r="AF152" s="4" t="n"/>
      <c r="AG152" s="4" t="inlineStr">
        <is>
          <t>FCL/FCL</t>
        </is>
      </c>
      <c r="AH152" s="4" t="inlineStr">
        <is>
          <t>GENERAL COMMODITY</t>
        </is>
      </c>
      <c r="AI152" s="10" t="n">
        <v>29400</v>
      </c>
      <c r="AJ152" s="9" t="n">
        <v>28</v>
      </c>
      <c r="AK152" s="4" t="inlineStr">
        <is>
          <t>BLO</t>
        </is>
      </c>
      <c r="AL152" s="4" t="n"/>
      <c r="AM152" s="4" t="n"/>
      <c r="AN152" s="4" t="n"/>
      <c r="AO152" s="4" t="n"/>
      <c r="AP152" s="4" t="n"/>
      <c r="AQ152" s="4" t="n"/>
      <c r="AR152" s="4" t="n">
        <v>4620</v>
      </c>
      <c r="AS152" s="4" t="n">
        <v>28000</v>
      </c>
      <c r="AT152" s="12" t="n"/>
    </row>
    <row r="153" ht="10.5" customFormat="1" customHeight="1" s="6">
      <c r="A153" s="11" t="n">
        <v>152</v>
      </c>
      <c r="B153" s="4" t="inlineStr">
        <is>
          <t>MERCURY / VOYAGE 1</t>
        </is>
      </c>
      <c r="C153" s="4" t="inlineStr">
        <is>
          <t>REF000000</t>
        </is>
      </c>
      <c r="D153" s="7" t="n">
        <v>46095</v>
      </c>
      <c r="E153" s="4" t="n">
        <v>46104</v>
      </c>
      <c r="F153" s="4" t="inlineStr">
        <is>
          <t>RULED</t>
        </is>
      </c>
      <c r="G153" s="4" t="inlineStr">
        <is>
          <t>RULED</t>
        </is>
      </c>
      <c r="H153" s="4" t="inlineStr">
        <is>
          <t>USNYC</t>
        </is>
      </c>
      <c r="I153" s="4" t="inlineStr">
        <is>
          <t>USNYC</t>
        </is>
      </c>
      <c r="J153" s="4" t="n"/>
      <c r="K153" s="8" t="n"/>
      <c r="L153" s="4" t="inlineStr">
        <is>
          <t>SEAL REEFER</t>
        </is>
      </c>
      <c r="M153" s="4" t="inlineStr">
        <is>
          <t>SEAL REEFER</t>
        </is>
      </c>
      <c r="N153" s="9" t="n"/>
      <c r="O153" s="9" t="n"/>
      <c r="P153" s="4" t="inlineStr">
        <is>
          <t>SEAL REEFER</t>
        </is>
      </c>
      <c r="Q153" s="4" t="inlineStr">
        <is>
          <t>SEAL REEFER</t>
        </is>
      </c>
      <c r="R153" s="4" t="n"/>
      <c r="S153" s="4" t="n"/>
      <c r="T153" s="4" t="inlineStr">
        <is>
          <t>SEAL REEFER</t>
        </is>
      </c>
      <c r="U153" s="4" t="inlineStr">
        <is>
          <t>AVENIDA DAS ARAUCARIAS, 5126, CHAPADA - ARAUCARIA-PR - CEP: 83707754 CNPJ 02.351.006/0001-39</t>
        </is>
      </c>
      <c r="V153" s="9" t="n">
        <v>21</v>
      </c>
      <c r="W153" s="9" t="n">
        <v>0</v>
      </c>
      <c r="X153" s="10" t="n">
        <v>347550</v>
      </c>
      <c r="Y153" s="10" t="n">
        <v>331000</v>
      </c>
      <c r="Z153" s="9" t="n">
        <v>331</v>
      </c>
      <c r="AA153" s="4" t="n"/>
      <c r="AB153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3" s="4" t="inlineStr">
        <is>
          <t>ANON0000000</t>
        </is>
      </c>
      <c r="AD153" s="4" t="inlineStr">
        <is>
          <t>RH40</t>
        </is>
      </c>
      <c r="AE153" s="4" t="n">
        <v>1229040</v>
      </c>
      <c r="AF153" s="4" t="n"/>
      <c r="AG153" s="4" t="inlineStr">
        <is>
          <t>FCL/FCL</t>
        </is>
      </c>
      <c r="AH153" s="4" t="inlineStr">
        <is>
          <t>GENERAL COMMODITY</t>
        </is>
      </c>
      <c r="AI153" s="10" t="n">
        <v>29400</v>
      </c>
      <c r="AJ153" s="9" t="n">
        <v>28</v>
      </c>
      <c r="AK153" s="4" t="inlineStr">
        <is>
          <t>BLO</t>
        </is>
      </c>
      <c r="AL153" s="4" t="n"/>
      <c r="AM153" s="4" t="n"/>
      <c r="AN153" s="4" t="n"/>
      <c r="AO153" s="4" t="n"/>
      <c r="AP153" s="4" t="n"/>
      <c r="AQ153" s="4" t="n"/>
      <c r="AR153" s="4" t="n">
        <v>4640</v>
      </c>
      <c r="AS153" s="4" t="n">
        <v>28000</v>
      </c>
      <c r="AT153" s="12" t="n"/>
    </row>
    <row r="154" ht="10.5" customFormat="1" customHeight="1" s="6">
      <c r="A154" s="11" t="n">
        <v>153</v>
      </c>
      <c r="B154" s="4" t="inlineStr">
        <is>
          <t>MERCURY / VOYAGE 1</t>
        </is>
      </c>
      <c r="C154" s="4" t="inlineStr">
        <is>
          <t>REF000000</t>
        </is>
      </c>
      <c r="D154" s="7" t="n">
        <v>46095</v>
      </c>
      <c r="E154" s="4" t="n">
        <v>46104</v>
      </c>
      <c r="F154" s="4" t="inlineStr">
        <is>
          <t>RULED</t>
        </is>
      </c>
      <c r="G154" s="4" t="inlineStr">
        <is>
          <t>RULED</t>
        </is>
      </c>
      <c r="H154" s="4" t="inlineStr">
        <is>
          <t>USNYC</t>
        </is>
      </c>
      <c r="I154" s="4" t="inlineStr">
        <is>
          <t>USNYC</t>
        </is>
      </c>
      <c r="J154" s="4" t="n"/>
      <c r="K154" s="8" t="n"/>
      <c r="L154" s="4" t="inlineStr">
        <is>
          <t>SHARK REEFER</t>
        </is>
      </c>
      <c r="M154" s="4" t="inlineStr">
        <is>
          <t>SHARK REEFER</t>
        </is>
      </c>
      <c r="N154" s="9" t="n"/>
      <c r="O154" s="9" t="n"/>
      <c r="P154" s="4" t="inlineStr">
        <is>
          <t>SHARK REEFER</t>
        </is>
      </c>
      <c r="Q154" s="4" t="inlineStr">
        <is>
          <t>SHARK REEFER</t>
        </is>
      </c>
      <c r="R154" s="4" t="n"/>
      <c r="S154" s="4" t="n"/>
      <c r="T154" s="4" t="inlineStr">
        <is>
          <t>SHARK REEFER</t>
        </is>
      </c>
      <c r="U154" s="4" t="inlineStr">
        <is>
          <t>AVENIDA DAS ARAUCARIAS, 5126, CHAPADA - ARAUCARIA-PR - CEP: 83707754 CNPJ 02.351.006/0001-39</t>
        </is>
      </c>
      <c r="V154" s="9" t="n">
        <v>21</v>
      </c>
      <c r="W154" s="9" t="n">
        <v>0</v>
      </c>
      <c r="X154" s="10" t="n">
        <v>347550</v>
      </c>
      <c r="Y154" s="10" t="n">
        <v>331000</v>
      </c>
      <c r="Z154" s="9" t="n">
        <v>331</v>
      </c>
      <c r="AA154" s="4" t="n"/>
      <c r="AB154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4" s="4" t="inlineStr">
        <is>
          <t>ANON0000000</t>
        </is>
      </c>
      <c r="AD154" s="4" t="inlineStr">
        <is>
          <t>RH40</t>
        </is>
      </c>
      <c r="AE154" s="4" t="n">
        <v>1229033</v>
      </c>
      <c r="AF154" s="4" t="n"/>
      <c r="AG154" s="4" t="inlineStr">
        <is>
          <t>FCL/FCL</t>
        </is>
      </c>
      <c r="AH154" s="4" t="inlineStr">
        <is>
          <t>GENERAL COMMODITY</t>
        </is>
      </c>
      <c r="AI154" s="10" t="n">
        <v>28350</v>
      </c>
      <c r="AJ154" s="9" t="n">
        <v>27</v>
      </c>
      <c r="AK154" s="4" t="inlineStr">
        <is>
          <t>BLO</t>
        </is>
      </c>
      <c r="AL154" s="4" t="n"/>
      <c r="AM154" s="4" t="n"/>
      <c r="AN154" s="4" t="n"/>
      <c r="AO154" s="4" t="n"/>
      <c r="AP154" s="4" t="n"/>
      <c r="AQ154" s="4" t="n"/>
      <c r="AR154" s="4" t="n">
        <v>4640</v>
      </c>
      <c r="AS154" s="4" t="n">
        <v>28000</v>
      </c>
      <c r="AT154" s="12" t="n"/>
    </row>
    <row r="155" ht="11.25" customFormat="1" customHeight="1" s="6">
      <c r="A155" s="11" t="n">
        <v>154</v>
      </c>
      <c r="B155" s="4" t="inlineStr">
        <is>
          <t>MERCURY / VOYAGE 1</t>
        </is>
      </c>
      <c r="C155" s="4" t="inlineStr">
        <is>
          <t>REF000000</t>
        </is>
      </c>
      <c r="D155" s="7" t="n">
        <v>46095</v>
      </c>
      <c r="E155" s="4" t="n">
        <v>46104</v>
      </c>
      <c r="F155" s="4" t="inlineStr">
        <is>
          <t>RULED</t>
        </is>
      </c>
      <c r="G155" s="4" t="inlineStr">
        <is>
          <t>RULED</t>
        </is>
      </c>
      <c r="H155" s="4" t="inlineStr">
        <is>
          <t>USNYC</t>
        </is>
      </c>
      <c r="I155" s="4" t="inlineStr">
        <is>
          <t>USNYC</t>
        </is>
      </c>
      <c r="J155" s="4" t="n"/>
      <c r="K155" s="8" t="n"/>
      <c r="L155" s="4" t="inlineStr">
        <is>
          <t>DOLPHIN REEFER</t>
        </is>
      </c>
      <c r="M155" s="4" t="inlineStr">
        <is>
          <t>DOLPHIN REEFER</t>
        </is>
      </c>
      <c r="N155" s="9" t="n"/>
      <c r="O155" s="9" t="n"/>
      <c r="P155" s="4" t="inlineStr">
        <is>
          <t>DOLPHIN REEFER</t>
        </is>
      </c>
      <c r="Q155" s="4" t="inlineStr">
        <is>
          <t>DOLPHIN REEFER</t>
        </is>
      </c>
      <c r="R155" s="4" t="n"/>
      <c r="S155" s="4" t="n"/>
      <c r="T155" s="4" t="inlineStr">
        <is>
          <t>DOLPHIN REEFER</t>
        </is>
      </c>
      <c r="U155" s="4" t="inlineStr">
        <is>
          <t>AVENIDA DAS ARAUCARIAS, 5126, CHAPADA - ARAUCARIA-PR - CEP: 83707754 CNPJ 02.351.006/0001-39</t>
        </is>
      </c>
      <c r="V155" s="9" t="n">
        <v>21</v>
      </c>
      <c r="W155" s="9" t="n">
        <v>0</v>
      </c>
      <c r="X155" s="10" t="n">
        <v>347550</v>
      </c>
      <c r="Y155" s="10" t="n">
        <v>331000</v>
      </c>
      <c r="Z155" s="9" t="n">
        <v>331</v>
      </c>
      <c r="AA155" s="4" t="n"/>
      <c r="AB155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5" s="4" t="inlineStr">
        <is>
          <t>ANON0000000</t>
        </is>
      </c>
      <c r="AD155" s="4" t="inlineStr">
        <is>
          <t>RH40</t>
        </is>
      </c>
      <c r="AE155" s="4" t="n">
        <v>1229037</v>
      </c>
      <c r="AF155" s="4" t="n"/>
      <c r="AG155" s="4" t="inlineStr">
        <is>
          <t>FCL/FCL</t>
        </is>
      </c>
      <c r="AH155" s="4" t="inlineStr">
        <is>
          <t>GENERAL COMMODITY</t>
        </is>
      </c>
      <c r="AI155" s="10" t="n">
        <v>29400</v>
      </c>
      <c r="AJ155" s="9" t="n">
        <v>28</v>
      </c>
      <c r="AK155" s="4" t="inlineStr">
        <is>
          <t>BLO</t>
        </is>
      </c>
      <c r="AL155" s="4" t="n"/>
      <c r="AM155" s="4" t="n"/>
      <c r="AN155" s="4" t="n"/>
      <c r="AO155" s="4" t="n"/>
      <c r="AP155" s="4" t="n"/>
      <c r="AQ155" s="4" t="n"/>
      <c r="AR155" s="4" t="n">
        <v>4560</v>
      </c>
      <c r="AS155" s="4" t="n">
        <v>28000</v>
      </c>
      <c r="AT155" s="12" t="n"/>
    </row>
    <row r="156" ht="10.5" customFormat="1" customHeight="1" s="6">
      <c r="A156" s="11" t="n">
        <v>155</v>
      </c>
      <c r="B156" s="4" t="inlineStr">
        <is>
          <t>MERCURY / VOYAGE 1</t>
        </is>
      </c>
      <c r="C156" s="4" t="inlineStr">
        <is>
          <t>REF000000</t>
        </is>
      </c>
      <c r="D156" s="7" t="n">
        <v>46095</v>
      </c>
      <c r="E156" s="4" t="n">
        <v>46104</v>
      </c>
      <c r="F156" s="4" t="inlineStr">
        <is>
          <t>RULED</t>
        </is>
      </c>
      <c r="G156" s="4" t="inlineStr">
        <is>
          <t>RULED</t>
        </is>
      </c>
      <c r="H156" s="4" t="inlineStr">
        <is>
          <t>USNYC</t>
        </is>
      </c>
      <c r="I156" s="4" t="inlineStr">
        <is>
          <t>USNYC</t>
        </is>
      </c>
      <c r="J156" s="4" t="n"/>
      <c r="K156" s="8" t="n"/>
      <c r="L156" s="4" t="inlineStr">
        <is>
          <t>MARLIN REEFER</t>
        </is>
      </c>
      <c r="M156" s="4" t="inlineStr">
        <is>
          <t>MARLIN REEFER</t>
        </is>
      </c>
      <c r="N156" s="9" t="n"/>
      <c r="O156" s="9" t="n"/>
      <c r="P156" s="4" t="inlineStr">
        <is>
          <t>MARLIN REEFER</t>
        </is>
      </c>
      <c r="Q156" s="4" t="inlineStr">
        <is>
          <t>MARLIN REEFER</t>
        </is>
      </c>
      <c r="R156" s="4" t="n"/>
      <c r="S156" s="4" t="n"/>
      <c r="T156" s="4" t="inlineStr">
        <is>
          <t>MARLIN REEFER</t>
        </is>
      </c>
      <c r="U156" s="4" t="inlineStr">
        <is>
          <t>AVENIDA DAS ARAUCARIAS, 5126, CHAPADA - ARAUCARIA-PR - CEP: 83707754 CNPJ 02.351.006/0001-39</t>
        </is>
      </c>
      <c r="V156" s="9" t="n">
        <v>21</v>
      </c>
      <c r="W156" s="9" t="n">
        <v>0</v>
      </c>
      <c r="X156" s="10" t="n">
        <v>347550</v>
      </c>
      <c r="Y156" s="10" t="n">
        <v>331000</v>
      </c>
      <c r="Z156" s="9" t="n">
        <v>331</v>
      </c>
      <c r="AA156" s="4" t="n"/>
      <c r="AB156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6" s="4" t="inlineStr">
        <is>
          <t>ANON0000000</t>
        </is>
      </c>
      <c r="AD156" s="4" t="inlineStr">
        <is>
          <t>RH40</t>
        </is>
      </c>
      <c r="AE156" s="4" t="n">
        <v>1229034</v>
      </c>
      <c r="AF156" s="4" t="n"/>
      <c r="AG156" s="4" t="inlineStr">
        <is>
          <t>FCL/FCL</t>
        </is>
      </c>
      <c r="AH156" s="4" t="inlineStr">
        <is>
          <t>GENERAL COMMODITY</t>
        </is>
      </c>
      <c r="AI156" s="10" t="n">
        <v>28350</v>
      </c>
      <c r="AJ156" s="9" t="n">
        <v>27</v>
      </c>
      <c r="AK156" s="4" t="inlineStr">
        <is>
          <t>BLO</t>
        </is>
      </c>
      <c r="AL156" s="4" t="n"/>
      <c r="AM156" s="4" t="n"/>
      <c r="AN156" s="4" t="n"/>
      <c r="AO156" s="4" t="n"/>
      <c r="AP156" s="4" t="n"/>
      <c r="AQ156" s="4" t="n"/>
      <c r="AR156" s="4" t="n">
        <v>4630</v>
      </c>
      <c r="AS156" s="4" t="n">
        <v>28000</v>
      </c>
      <c r="AT156" s="12" t="n"/>
    </row>
    <row r="157" ht="10.5" customFormat="1" customHeight="1" s="6">
      <c r="A157" s="11" t="n">
        <v>156</v>
      </c>
      <c r="B157" s="4" t="inlineStr">
        <is>
          <t>MERCURY / VOYAGE 1</t>
        </is>
      </c>
      <c r="C157" s="4" t="inlineStr">
        <is>
          <t>REF000000</t>
        </is>
      </c>
      <c r="D157" s="7" t="n">
        <v>46095</v>
      </c>
      <c r="E157" s="4" t="n">
        <v>46104</v>
      </c>
      <c r="F157" s="4" t="inlineStr">
        <is>
          <t>RULED</t>
        </is>
      </c>
      <c r="G157" s="4" t="inlineStr">
        <is>
          <t>RULED</t>
        </is>
      </c>
      <c r="H157" s="4" t="inlineStr">
        <is>
          <t>USNYC</t>
        </is>
      </c>
      <c r="I157" s="4" t="inlineStr">
        <is>
          <t>USNYC</t>
        </is>
      </c>
      <c r="J157" s="4" t="n"/>
      <c r="K157" s="8" t="n"/>
      <c r="L157" s="4" t="inlineStr">
        <is>
          <t>TURTLE REEFER</t>
        </is>
      </c>
      <c r="M157" s="4" t="inlineStr">
        <is>
          <t>TURTLE REEFER</t>
        </is>
      </c>
      <c r="N157" s="9" t="n"/>
      <c r="O157" s="9" t="n"/>
      <c r="P157" s="4" t="inlineStr">
        <is>
          <t>TURTLE REEFER</t>
        </is>
      </c>
      <c r="Q157" s="4" t="inlineStr">
        <is>
          <t>TURTLE REEFER</t>
        </is>
      </c>
      <c r="R157" s="4" t="n"/>
      <c r="S157" s="4" t="n"/>
      <c r="T157" s="4" t="inlineStr">
        <is>
          <t>TURTLE REEFER</t>
        </is>
      </c>
      <c r="U157" s="4" t="inlineStr">
        <is>
          <t>AVENIDA DAS ARAUCARIAS, 5126, CHAPADA - ARAUCARIA-PR - CEP: 83707754 CNPJ 02.351.006/0001-39</t>
        </is>
      </c>
      <c r="V157" s="9" t="n">
        <v>21</v>
      </c>
      <c r="W157" s="9" t="n">
        <v>0</v>
      </c>
      <c r="X157" s="10" t="n">
        <v>347550</v>
      </c>
      <c r="Y157" s="10" t="n">
        <v>331000</v>
      </c>
      <c r="Z157" s="9" t="n">
        <v>331</v>
      </c>
      <c r="AA157" s="4" t="n"/>
      <c r="AB157" s="4" t="inlineStr">
        <is>
          <t>SAID TO CONTAIN / WEIGH &amp; MEASURE 12 X 40NOR CONTAINERS SAID TO CONTAIN 331 BITUBLOCK(S) OF POLYMER MODIFIED BITUMEN 50/70 NCM CODE 2713.20.00 NET WEIGHT: 331,00 MTS, GROSS WEIGHT: 347,55 MTS WOODEN PACKAGING - TREATED AND CERTIFIED</t>
        </is>
      </c>
      <c r="AC157" s="4" t="inlineStr">
        <is>
          <t>ANON0000000</t>
        </is>
      </c>
      <c r="AD157" s="4" t="inlineStr">
        <is>
          <t>RH40</t>
        </is>
      </c>
      <c r="AE157" s="4" t="n">
        <v>1229038</v>
      </c>
      <c r="AF157" s="4" t="n"/>
      <c r="AG157" s="4" t="inlineStr">
        <is>
          <t>FCL/FCL</t>
        </is>
      </c>
      <c r="AH157" s="4" t="inlineStr">
        <is>
          <t>GENERAL COMMODITY</t>
        </is>
      </c>
      <c r="AI157" s="10" t="n">
        <v>29400</v>
      </c>
      <c r="AJ157" s="9" t="n">
        <v>28</v>
      </c>
      <c r="AK157" s="4" t="inlineStr">
        <is>
          <t>BLO</t>
        </is>
      </c>
      <c r="AL157" s="4" t="n"/>
      <c r="AM157" s="4" t="n"/>
      <c r="AN157" s="4" t="n"/>
      <c r="AO157" s="4" t="n"/>
      <c r="AP157" s="4" t="n"/>
      <c r="AQ157" s="4" t="n"/>
      <c r="AR157" s="4" t="n">
        <v>4400</v>
      </c>
      <c r="AS157" s="4" t="n">
        <v>28000</v>
      </c>
      <c r="AT157" s="12" t="n"/>
    </row>
    <row r="158" ht="10.5" customFormat="1" customHeight="1" s="6">
      <c r="A158" s="11" t="n">
        <v>157</v>
      </c>
      <c r="B158" s="4" t="inlineStr">
        <is>
          <t>MERCURY / VOYAGE 1</t>
        </is>
      </c>
      <c r="C158" s="4" t="inlineStr">
        <is>
          <t>REF000000</t>
        </is>
      </c>
      <c r="D158" s="7" t="n">
        <v>46095</v>
      </c>
      <c r="E158" s="4" t="n">
        <v>46104</v>
      </c>
      <c r="F158" s="4" t="inlineStr">
        <is>
          <t>RULED</t>
        </is>
      </c>
      <c r="G158" s="4" t="inlineStr">
        <is>
          <t>RULED</t>
        </is>
      </c>
      <c r="H158" s="4" t="inlineStr">
        <is>
          <t>USNYC</t>
        </is>
      </c>
      <c r="I158" s="4" t="inlineStr">
        <is>
          <t>USNYC</t>
        </is>
      </c>
      <c r="J158" s="4" t="n"/>
      <c r="K158" s="8" t="n"/>
      <c r="L158" s="4" t="inlineStr">
        <is>
          <t>ORCA REEFER</t>
        </is>
      </c>
      <c r="M158" s="4" t="inlineStr">
        <is>
          <t>ORCA REEFER</t>
        </is>
      </c>
      <c r="N158" s="9" t="n"/>
      <c r="O158" s="9" t="n"/>
      <c r="P158" s="4" t="inlineStr">
        <is>
          <t>ORCA REEFER</t>
        </is>
      </c>
      <c r="Q158" s="4" t="inlineStr">
        <is>
          <t>ORCA REEFER</t>
        </is>
      </c>
      <c r="R158" s="4" t="n"/>
      <c r="S158" s="4" t="n"/>
      <c r="T158" s="4" t="inlineStr">
        <is>
          <t>ORCA REEFER</t>
        </is>
      </c>
      <c r="U158" s="4" t="inlineStr">
        <is>
          <t>AVENIDA DAS ARAUCARIAS, 5126, CHAPADA - ARAUCARIA-PR - CEP: 83707754 CNPJ 02.351.006/0001-39</t>
        </is>
      </c>
      <c r="V158" s="9" t="n">
        <v>21</v>
      </c>
      <c r="W158" s="9" t="n">
        <v>0</v>
      </c>
      <c r="X158" s="10" t="n">
        <v>353850</v>
      </c>
      <c r="Y158" s="10" t="n">
        <v>337000</v>
      </c>
      <c r="Z158" s="9" t="n">
        <v>337</v>
      </c>
      <c r="AA158" s="4" t="n"/>
      <c r="AB158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58" s="4" t="inlineStr">
        <is>
          <t>ANON0000000</t>
        </is>
      </c>
      <c r="AD158" s="4" t="inlineStr">
        <is>
          <t>RH40</t>
        </is>
      </c>
      <c r="AE158" s="4" t="n">
        <v>1229102</v>
      </c>
      <c r="AF158" s="4" t="n"/>
      <c r="AG158" s="4" t="inlineStr">
        <is>
          <t>FCL/FCL</t>
        </is>
      </c>
      <c r="AH158" s="4" t="inlineStr">
        <is>
          <t>GENERAL COMMODITY</t>
        </is>
      </c>
      <c r="AI158" s="10" t="n">
        <v>29400</v>
      </c>
      <c r="AJ158" s="9" t="n">
        <v>28</v>
      </c>
      <c r="AK158" s="4" t="inlineStr">
        <is>
          <t>BLO</t>
        </is>
      </c>
      <c r="AL158" s="4" t="n"/>
      <c r="AM158" s="4" t="n"/>
      <c r="AN158" s="4" t="n"/>
      <c r="AO158" s="4" t="n"/>
      <c r="AP158" s="4" t="n"/>
      <c r="AQ158" s="4" t="n"/>
      <c r="AR158" s="4" t="n">
        <v>4640</v>
      </c>
      <c r="AS158" s="4" t="n">
        <v>28000</v>
      </c>
      <c r="AT158" s="12" t="n"/>
    </row>
    <row r="159" ht="10.5" customFormat="1" customHeight="1" s="6">
      <c r="A159" s="11" t="n">
        <v>158</v>
      </c>
      <c r="B159" s="4" t="inlineStr">
        <is>
          <t>MERCURY / VOYAGE 1</t>
        </is>
      </c>
      <c r="C159" s="4" t="inlineStr">
        <is>
          <t>REF000000</t>
        </is>
      </c>
      <c r="D159" s="7" t="n">
        <v>46095</v>
      </c>
      <c r="E159" s="4" t="n">
        <v>46104</v>
      </c>
      <c r="F159" s="4" t="inlineStr">
        <is>
          <t>RULED</t>
        </is>
      </c>
      <c r="G159" s="4" t="inlineStr">
        <is>
          <t>RULED</t>
        </is>
      </c>
      <c r="H159" s="4" t="inlineStr">
        <is>
          <t>USNYC</t>
        </is>
      </c>
      <c r="I159" s="4" t="inlineStr">
        <is>
          <t>USNYC</t>
        </is>
      </c>
      <c r="J159" s="4" t="n"/>
      <c r="K159" s="8" t="n"/>
      <c r="L159" s="4" t="inlineStr">
        <is>
          <t>WHALE REEFER</t>
        </is>
      </c>
      <c r="M159" s="4" t="inlineStr">
        <is>
          <t>WHALE REEFER</t>
        </is>
      </c>
      <c r="N159" s="9" t="n"/>
      <c r="O159" s="9" t="n"/>
      <c r="P159" s="4" t="inlineStr">
        <is>
          <t>WHALE REEFER</t>
        </is>
      </c>
      <c r="Q159" s="4" t="inlineStr">
        <is>
          <t>WHALE REEFER</t>
        </is>
      </c>
      <c r="R159" s="4" t="n"/>
      <c r="S159" s="4" t="n"/>
      <c r="T159" s="4" t="inlineStr">
        <is>
          <t>WHALE REEFER</t>
        </is>
      </c>
      <c r="U159" s="4" t="inlineStr">
        <is>
          <t>AVENIDA DAS ARAUCARIAS, 5126, CHAPADA - ARAUCARIA-PR - CEP: 83707754 CNPJ 02.351.006/0001-39</t>
        </is>
      </c>
      <c r="V159" s="9" t="n">
        <v>21</v>
      </c>
      <c r="W159" s="9" t="n">
        <v>0</v>
      </c>
      <c r="X159" s="10" t="n">
        <v>353850</v>
      </c>
      <c r="Y159" s="10" t="n">
        <v>337000</v>
      </c>
      <c r="Z159" s="9" t="n">
        <v>337</v>
      </c>
      <c r="AA159" s="4" t="n"/>
      <c r="AB159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59" s="4" t="inlineStr">
        <is>
          <t>ANON0000000</t>
        </is>
      </c>
      <c r="AD159" s="4" t="inlineStr">
        <is>
          <t>RH40</t>
        </is>
      </c>
      <c r="AE159" s="4" t="n">
        <v>1229045</v>
      </c>
      <c r="AF159" s="4" t="n"/>
      <c r="AG159" s="4" t="inlineStr">
        <is>
          <t>FCL/FCL</t>
        </is>
      </c>
      <c r="AH159" s="4" t="inlineStr">
        <is>
          <t>GENERAL COMMODITY</t>
        </is>
      </c>
      <c r="AI159" s="10" t="n">
        <v>29400</v>
      </c>
      <c r="AJ159" s="9" t="n">
        <v>28</v>
      </c>
      <c r="AK159" s="4" t="inlineStr">
        <is>
          <t>BLO</t>
        </is>
      </c>
      <c r="AL159" s="4" t="n"/>
      <c r="AM159" s="4" t="n"/>
      <c r="AN159" s="4" t="n"/>
      <c r="AO159" s="4" t="n"/>
      <c r="AP159" s="4" t="n"/>
      <c r="AQ159" s="4" t="n"/>
      <c r="AR159" s="4" t="n">
        <v>4640</v>
      </c>
      <c r="AS159" s="4" t="n">
        <v>28000</v>
      </c>
      <c r="AT159" s="12" t="n"/>
    </row>
    <row r="160" ht="11.25" customFormat="1" customHeight="1" s="6">
      <c r="A160" s="11" t="n">
        <v>159</v>
      </c>
      <c r="B160" s="4" t="inlineStr">
        <is>
          <t>MERCURY / VOYAGE 1</t>
        </is>
      </c>
      <c r="C160" s="4" t="inlineStr">
        <is>
          <t>REF000000</t>
        </is>
      </c>
      <c r="D160" s="7" t="n">
        <v>46095</v>
      </c>
      <c r="E160" s="4" t="n">
        <v>46104</v>
      </c>
      <c r="F160" s="4" t="inlineStr">
        <is>
          <t>RULED</t>
        </is>
      </c>
      <c r="G160" s="4" t="inlineStr">
        <is>
          <t>RULED</t>
        </is>
      </c>
      <c r="H160" s="4" t="inlineStr">
        <is>
          <t>USNYC</t>
        </is>
      </c>
      <c r="I160" s="4" t="inlineStr">
        <is>
          <t>USNYC</t>
        </is>
      </c>
      <c r="J160" s="4" t="n"/>
      <c r="K160" s="8" t="n"/>
      <c r="L160" s="4" t="inlineStr">
        <is>
          <t>SEAL REEFER</t>
        </is>
      </c>
      <c r="M160" s="4" t="inlineStr">
        <is>
          <t>SEAL REEFER</t>
        </is>
      </c>
      <c r="N160" s="9" t="n"/>
      <c r="O160" s="9" t="n"/>
      <c r="P160" s="4" t="inlineStr">
        <is>
          <t>SEAL REEFER</t>
        </is>
      </c>
      <c r="Q160" s="4" t="inlineStr">
        <is>
          <t>SEAL REEFER</t>
        </is>
      </c>
      <c r="R160" s="4" t="n"/>
      <c r="S160" s="4" t="n"/>
      <c r="T160" s="4" t="inlineStr">
        <is>
          <t>SEAL REEFER</t>
        </is>
      </c>
      <c r="U160" s="4" t="inlineStr">
        <is>
          <t>AVENIDA DAS ARAUCARIAS, 5126, CHAPADA - ARAUCARIA-PR - CEP: 83707754 CNPJ 02.351.006/0001-39</t>
        </is>
      </c>
      <c r="V160" s="9" t="n">
        <v>21</v>
      </c>
      <c r="W160" s="9" t="n">
        <v>0</v>
      </c>
      <c r="X160" s="10" t="n">
        <v>353850</v>
      </c>
      <c r="Y160" s="10" t="n">
        <v>337000</v>
      </c>
      <c r="Z160" s="9" t="n">
        <v>337</v>
      </c>
      <c r="AA160" s="4" t="n"/>
      <c r="AB160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0" s="4" t="inlineStr">
        <is>
          <t>ANON0000000</t>
        </is>
      </c>
      <c r="AD160" s="4" t="inlineStr">
        <is>
          <t>RH40</t>
        </is>
      </c>
      <c r="AE160" s="4" t="n">
        <v>1229104</v>
      </c>
      <c r="AF160" s="4" t="n"/>
      <c r="AG160" s="4" t="inlineStr">
        <is>
          <t>FCL/FCL</t>
        </is>
      </c>
      <c r="AH160" s="4" t="inlineStr">
        <is>
          <t>GENERAL COMMODITY</t>
        </is>
      </c>
      <c r="AI160" s="10" t="n">
        <v>28350</v>
      </c>
      <c r="AJ160" s="9" t="n">
        <v>27</v>
      </c>
      <c r="AK160" s="4" t="inlineStr">
        <is>
          <t>BLO</t>
        </is>
      </c>
      <c r="AL160" s="4" t="n"/>
      <c r="AM160" s="4" t="n"/>
      <c r="AN160" s="4" t="n"/>
      <c r="AO160" s="4" t="n"/>
      <c r="AP160" s="4" t="n"/>
      <c r="AQ160" s="4" t="n"/>
      <c r="AR160" s="4" t="n">
        <v>4640</v>
      </c>
      <c r="AS160" s="4" t="n">
        <v>28000</v>
      </c>
      <c r="AT160" s="12" t="n"/>
    </row>
    <row r="161" ht="10.5" customFormat="1" customHeight="1" s="6">
      <c r="A161" s="11" t="n">
        <v>160</v>
      </c>
      <c r="B161" s="4" t="inlineStr">
        <is>
          <t>MERCURY / VOYAGE 1</t>
        </is>
      </c>
      <c r="C161" s="4" t="inlineStr">
        <is>
          <t>REF000000</t>
        </is>
      </c>
      <c r="D161" s="7" t="n">
        <v>46095</v>
      </c>
      <c r="E161" s="4" t="n">
        <v>46104</v>
      </c>
      <c r="F161" s="4" t="inlineStr">
        <is>
          <t>RULED</t>
        </is>
      </c>
      <c r="G161" s="4" t="inlineStr">
        <is>
          <t>RULED</t>
        </is>
      </c>
      <c r="H161" s="4" t="inlineStr">
        <is>
          <t>USNYC</t>
        </is>
      </c>
      <c r="I161" s="4" t="inlineStr">
        <is>
          <t>USNYC</t>
        </is>
      </c>
      <c r="J161" s="4" t="n"/>
      <c r="K161" s="8" t="n"/>
      <c r="L161" s="4" t="inlineStr">
        <is>
          <t>SHARK REEFER</t>
        </is>
      </c>
      <c r="M161" s="4" t="inlineStr">
        <is>
          <t>SHARK REEFER</t>
        </is>
      </c>
      <c r="N161" s="9" t="n"/>
      <c r="O161" s="9" t="n"/>
      <c r="P161" s="4" t="inlineStr">
        <is>
          <t>SHARK REEFER</t>
        </is>
      </c>
      <c r="Q161" s="4" t="inlineStr">
        <is>
          <t>SHARK REEFER</t>
        </is>
      </c>
      <c r="R161" s="4" t="n"/>
      <c r="S161" s="4" t="n"/>
      <c r="T161" s="4" t="inlineStr">
        <is>
          <t>SHARK REEFER</t>
        </is>
      </c>
      <c r="U161" s="4" t="inlineStr">
        <is>
          <t>AVENIDA DAS ARAUCARIAS, 5126, CHAPADA - ARAUCARIA-PR - CEP: 83707754 CNPJ 02.351.006/0001-39</t>
        </is>
      </c>
      <c r="V161" s="9" t="n">
        <v>21</v>
      </c>
      <c r="W161" s="9" t="n">
        <v>0</v>
      </c>
      <c r="X161" s="10" t="n">
        <v>353850</v>
      </c>
      <c r="Y161" s="10" t="n">
        <v>337000</v>
      </c>
      <c r="Z161" s="9" t="n">
        <v>337</v>
      </c>
      <c r="AA161" s="4" t="n"/>
      <c r="AB161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1" s="4" t="inlineStr">
        <is>
          <t>ANON0000000</t>
        </is>
      </c>
      <c r="AD161" s="4" t="inlineStr">
        <is>
          <t>RH40</t>
        </is>
      </c>
      <c r="AE161" s="4" t="n">
        <v>1229043</v>
      </c>
      <c r="AF161" s="4" t="n"/>
      <c r="AG161" s="4" t="inlineStr">
        <is>
          <t>FCL/FCL</t>
        </is>
      </c>
      <c r="AH161" s="4" t="inlineStr">
        <is>
          <t>GENERAL COMMODITY</t>
        </is>
      </c>
      <c r="AI161" s="10" t="n">
        <v>30450</v>
      </c>
      <c r="AJ161" s="9" t="n">
        <v>29</v>
      </c>
      <c r="AK161" s="4" t="inlineStr">
        <is>
          <t>BLO</t>
        </is>
      </c>
      <c r="AL161" s="4" t="n"/>
      <c r="AM161" s="4" t="n"/>
      <c r="AN161" s="4" t="n"/>
      <c r="AO161" s="4" t="n"/>
      <c r="AP161" s="4" t="n"/>
      <c r="AQ161" s="4" t="n"/>
      <c r="AR161" s="4" t="n">
        <v>4640</v>
      </c>
      <c r="AS161" s="4" t="n">
        <v>28000</v>
      </c>
      <c r="AT161" s="12" t="n"/>
    </row>
    <row r="162" ht="10.5" customFormat="1" customHeight="1" s="6">
      <c r="A162" s="11" t="n">
        <v>161</v>
      </c>
      <c r="B162" s="4" t="inlineStr">
        <is>
          <t>MERCURY / VOYAGE 1</t>
        </is>
      </c>
      <c r="C162" s="4" t="inlineStr">
        <is>
          <t>REF000000</t>
        </is>
      </c>
      <c r="D162" s="7" t="n">
        <v>46095</v>
      </c>
      <c r="E162" s="4" t="n">
        <v>46104</v>
      </c>
      <c r="F162" s="4" t="inlineStr">
        <is>
          <t>RULED</t>
        </is>
      </c>
      <c r="G162" s="4" t="inlineStr">
        <is>
          <t>RULED</t>
        </is>
      </c>
      <c r="H162" s="4" t="inlineStr">
        <is>
          <t>USNYC</t>
        </is>
      </c>
      <c r="I162" s="4" t="inlineStr">
        <is>
          <t>USNYC</t>
        </is>
      </c>
      <c r="J162" s="4" t="n"/>
      <c r="K162" s="8" t="n"/>
      <c r="L162" s="4" t="inlineStr">
        <is>
          <t>DOLPHIN REEFER</t>
        </is>
      </c>
      <c r="M162" s="4" t="inlineStr">
        <is>
          <t>DOLPHIN REEFER</t>
        </is>
      </c>
      <c r="N162" s="9" t="n"/>
      <c r="O162" s="9" t="n"/>
      <c r="P162" s="4" t="inlineStr">
        <is>
          <t>DOLPHIN REEFER</t>
        </is>
      </c>
      <c r="Q162" s="4" t="inlineStr">
        <is>
          <t>DOLPHIN REEFER</t>
        </is>
      </c>
      <c r="R162" s="4" t="n"/>
      <c r="S162" s="4" t="n"/>
      <c r="T162" s="4" t="inlineStr">
        <is>
          <t>DOLPHIN REEFER</t>
        </is>
      </c>
      <c r="U162" s="4" t="inlineStr">
        <is>
          <t>AVENIDA DAS ARAUCARIAS, 5126, CHAPADA - ARAUCARIA-PR - CEP: 83707754 CNPJ 02.351.006/0001-39</t>
        </is>
      </c>
      <c r="V162" s="9" t="n">
        <v>21</v>
      </c>
      <c r="W162" s="9" t="n">
        <v>0</v>
      </c>
      <c r="X162" s="10" t="n">
        <v>353850</v>
      </c>
      <c r="Y162" s="10" t="n">
        <v>337000</v>
      </c>
      <c r="Z162" s="9" t="n">
        <v>337</v>
      </c>
      <c r="AA162" s="4" t="n"/>
      <c r="AB162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2" s="4" t="inlineStr">
        <is>
          <t>ANON0000000</t>
        </is>
      </c>
      <c r="AD162" s="4" t="inlineStr">
        <is>
          <t>RH40</t>
        </is>
      </c>
      <c r="AE162" s="4" t="n">
        <v>1229049</v>
      </c>
      <c r="AF162" s="4" t="n"/>
      <c r="AG162" s="4" t="inlineStr">
        <is>
          <t>FCL/FCL</t>
        </is>
      </c>
      <c r="AH162" s="4" t="inlineStr">
        <is>
          <t>GENERAL COMMODITY</t>
        </is>
      </c>
      <c r="AI162" s="10" t="n">
        <v>29400</v>
      </c>
      <c r="AJ162" s="9" t="n">
        <v>28</v>
      </c>
      <c r="AK162" s="4" t="inlineStr">
        <is>
          <t>BLO</t>
        </is>
      </c>
      <c r="AL162" s="4" t="n"/>
      <c r="AM162" s="4" t="n"/>
      <c r="AN162" s="4" t="n"/>
      <c r="AO162" s="4" t="n"/>
      <c r="AP162" s="4" t="n"/>
      <c r="AQ162" s="4" t="n"/>
      <c r="AR162" s="4" t="n">
        <v>4600</v>
      </c>
      <c r="AS162" s="4" t="n">
        <v>28000</v>
      </c>
      <c r="AT162" s="12" t="n"/>
    </row>
    <row r="163" ht="10.5" customFormat="1" customHeight="1" s="6">
      <c r="A163" s="11" t="n">
        <v>162</v>
      </c>
      <c r="B163" s="4" t="inlineStr">
        <is>
          <t>MERCURY / VOYAGE 1</t>
        </is>
      </c>
      <c r="C163" s="4" t="inlineStr">
        <is>
          <t>REF000000</t>
        </is>
      </c>
      <c r="D163" s="7" t="n">
        <v>46095</v>
      </c>
      <c r="E163" s="4" t="n">
        <v>46104</v>
      </c>
      <c r="F163" s="4" t="inlineStr">
        <is>
          <t>RULED</t>
        </is>
      </c>
      <c r="G163" s="4" t="inlineStr">
        <is>
          <t>RULED</t>
        </is>
      </c>
      <c r="H163" s="4" t="inlineStr">
        <is>
          <t>USNYC</t>
        </is>
      </c>
      <c r="I163" s="4" t="inlineStr">
        <is>
          <t>USNYC</t>
        </is>
      </c>
      <c r="J163" s="4" t="n"/>
      <c r="K163" s="8" t="n"/>
      <c r="L163" s="4" t="inlineStr">
        <is>
          <t>MARLIN REEFER</t>
        </is>
      </c>
      <c r="M163" s="4" t="inlineStr">
        <is>
          <t>MARLIN REEFER</t>
        </is>
      </c>
      <c r="N163" s="9" t="n"/>
      <c r="O163" s="9" t="n"/>
      <c r="P163" s="4" t="inlineStr">
        <is>
          <t>MARLIN REEFER</t>
        </is>
      </c>
      <c r="Q163" s="4" t="inlineStr">
        <is>
          <t>MARLIN REEFER</t>
        </is>
      </c>
      <c r="R163" s="4" t="n"/>
      <c r="S163" s="4" t="n"/>
      <c r="T163" s="4" t="inlineStr">
        <is>
          <t>MARLIN REEFER</t>
        </is>
      </c>
      <c r="U163" s="4" t="inlineStr">
        <is>
          <t>AVENIDA DAS ARAUCARIAS, 5126, CHAPADA - ARAUCARIA-PR - CEP: 83707754 CNPJ 02.351.006/0001-39</t>
        </is>
      </c>
      <c r="V163" s="9" t="n">
        <v>21</v>
      </c>
      <c r="W163" s="9" t="n">
        <v>0</v>
      </c>
      <c r="X163" s="10" t="n">
        <v>353850</v>
      </c>
      <c r="Y163" s="10" t="n">
        <v>337000</v>
      </c>
      <c r="Z163" s="9" t="n">
        <v>337</v>
      </c>
      <c r="AA163" s="4" t="n"/>
      <c r="AB163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3" s="4" t="inlineStr">
        <is>
          <t>ANON0000000</t>
        </is>
      </c>
      <c r="AD163" s="4" t="inlineStr">
        <is>
          <t>RH40</t>
        </is>
      </c>
      <c r="AE163" s="4" t="n">
        <v>1229048</v>
      </c>
      <c r="AF163" s="4" t="n"/>
      <c r="AG163" s="4" t="inlineStr">
        <is>
          <t>FCL/FCL</t>
        </is>
      </c>
      <c r="AH163" s="4" t="inlineStr">
        <is>
          <t>GENERAL COMMODITY</t>
        </is>
      </c>
      <c r="AI163" s="10" t="n">
        <v>29400</v>
      </c>
      <c r="AJ163" s="9" t="n">
        <v>28</v>
      </c>
      <c r="AK163" s="4" t="inlineStr">
        <is>
          <t>BLO</t>
        </is>
      </c>
      <c r="AL163" s="4" t="n"/>
      <c r="AM163" s="4" t="n"/>
      <c r="AN163" s="4" t="n"/>
      <c r="AO163" s="4" t="n"/>
      <c r="AP163" s="4" t="n"/>
      <c r="AQ163" s="4" t="n"/>
      <c r="AR163" s="4" t="n">
        <v>4400</v>
      </c>
      <c r="AS163" s="4" t="n">
        <v>28000</v>
      </c>
      <c r="AT163" s="12" t="n"/>
    </row>
    <row r="164" ht="10.5" customFormat="1" customHeight="1" s="6">
      <c r="A164" s="11" t="n">
        <v>163</v>
      </c>
      <c r="B164" s="4" t="inlineStr">
        <is>
          <t>MERCURY / VOYAGE 1</t>
        </is>
      </c>
      <c r="C164" s="4" t="inlineStr">
        <is>
          <t>REF000000</t>
        </is>
      </c>
      <c r="D164" s="7" t="n">
        <v>46095</v>
      </c>
      <c r="E164" s="4" t="n">
        <v>46104</v>
      </c>
      <c r="F164" s="4" t="inlineStr">
        <is>
          <t>RULED</t>
        </is>
      </c>
      <c r="G164" s="4" t="inlineStr">
        <is>
          <t>RULED</t>
        </is>
      </c>
      <c r="H164" s="4" t="inlineStr">
        <is>
          <t>USNYC</t>
        </is>
      </c>
      <c r="I164" s="4" t="inlineStr">
        <is>
          <t>USNYC</t>
        </is>
      </c>
      <c r="J164" s="4" t="n"/>
      <c r="K164" s="8" t="n"/>
      <c r="L164" s="4" t="inlineStr">
        <is>
          <t>TURTLE REEFER</t>
        </is>
      </c>
      <c r="M164" s="4" t="inlineStr">
        <is>
          <t>TURTLE REEFER</t>
        </is>
      </c>
      <c r="N164" s="9" t="n"/>
      <c r="O164" s="9" t="n"/>
      <c r="P164" s="4" t="inlineStr">
        <is>
          <t>TURTLE REEFER</t>
        </is>
      </c>
      <c r="Q164" s="4" t="inlineStr">
        <is>
          <t>TURTLE REEFER</t>
        </is>
      </c>
      <c r="R164" s="4" t="n"/>
      <c r="S164" s="4" t="n"/>
      <c r="T164" s="4" t="inlineStr">
        <is>
          <t>TURTLE REEFER</t>
        </is>
      </c>
      <c r="U164" s="4" t="inlineStr">
        <is>
          <t>AVENIDA DAS ARAUCARIAS, 5126, CHAPADA - ARAUCARIA-PR - CEP: 83707754 CNPJ 02.351.006/0001-39</t>
        </is>
      </c>
      <c r="V164" s="9" t="n">
        <v>21</v>
      </c>
      <c r="W164" s="9" t="n">
        <v>0</v>
      </c>
      <c r="X164" s="10" t="n">
        <v>353850</v>
      </c>
      <c r="Y164" s="10" t="n">
        <v>337000</v>
      </c>
      <c r="Z164" s="9" t="n">
        <v>337</v>
      </c>
      <c r="AA164" s="4" t="n"/>
      <c r="AB164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4" s="4" t="inlineStr">
        <is>
          <t>ANON0000000</t>
        </is>
      </c>
      <c r="AD164" s="4" t="inlineStr">
        <is>
          <t>RH40</t>
        </is>
      </c>
      <c r="AE164" s="4" t="n">
        <v>1229103</v>
      </c>
      <c r="AF164" s="4" t="n"/>
      <c r="AG164" s="4" t="inlineStr">
        <is>
          <t>FCL/FCL</t>
        </is>
      </c>
      <c r="AH164" s="4" t="inlineStr">
        <is>
          <t>GENERAL COMMODITY</t>
        </is>
      </c>
      <c r="AI164" s="10" t="n">
        <v>29400</v>
      </c>
      <c r="AJ164" s="9" t="n">
        <v>28</v>
      </c>
      <c r="AK164" s="4" t="inlineStr">
        <is>
          <t>BLO</t>
        </is>
      </c>
      <c r="AL164" s="4" t="n"/>
      <c r="AM164" s="4" t="n"/>
      <c r="AN164" s="4" t="n"/>
      <c r="AO164" s="4" t="n"/>
      <c r="AP164" s="4" t="n"/>
      <c r="AQ164" s="4" t="n"/>
      <c r="AR164" s="4" t="n">
        <v>4600</v>
      </c>
      <c r="AS164" s="4" t="n">
        <v>28000</v>
      </c>
      <c r="AT164" s="12" t="n"/>
    </row>
    <row r="165" ht="11.25" customFormat="1" customHeight="1" s="6">
      <c r="A165" s="11" t="n">
        <v>164</v>
      </c>
      <c r="B165" s="4" t="inlineStr">
        <is>
          <t>MERCURY / VOYAGE 1</t>
        </is>
      </c>
      <c r="C165" s="4" t="inlineStr">
        <is>
          <t>REF000000</t>
        </is>
      </c>
      <c r="D165" s="7" t="n">
        <v>46095</v>
      </c>
      <c r="E165" s="4" t="n">
        <v>46104</v>
      </c>
      <c r="F165" s="4" t="inlineStr">
        <is>
          <t>RULED</t>
        </is>
      </c>
      <c r="G165" s="4" t="inlineStr">
        <is>
          <t>RULED</t>
        </is>
      </c>
      <c r="H165" s="4" t="inlineStr">
        <is>
          <t>USNYC</t>
        </is>
      </c>
      <c r="I165" s="4" t="inlineStr">
        <is>
          <t>USNYC</t>
        </is>
      </c>
      <c r="J165" s="4" t="n"/>
      <c r="K165" s="8" t="n"/>
      <c r="L165" s="4" t="inlineStr">
        <is>
          <t>ORCA REEFER</t>
        </is>
      </c>
      <c r="M165" s="4" t="inlineStr">
        <is>
          <t>ORCA REEFER</t>
        </is>
      </c>
      <c r="N165" s="9" t="n"/>
      <c r="O165" s="9" t="n"/>
      <c r="P165" s="4" t="inlineStr">
        <is>
          <t>ORCA REEFER</t>
        </is>
      </c>
      <c r="Q165" s="4" t="inlineStr">
        <is>
          <t>ORCA REEFER</t>
        </is>
      </c>
      <c r="R165" s="4" t="n"/>
      <c r="S165" s="4" t="n"/>
      <c r="T165" s="4" t="inlineStr">
        <is>
          <t>ORCA REEFER</t>
        </is>
      </c>
      <c r="U165" s="4" t="inlineStr">
        <is>
          <t>AVENIDA DAS ARAUCARIAS, 5126, CHAPADA - ARAUCARIA-PR - CEP: 83707754 CNPJ 02.351.006/0001-39</t>
        </is>
      </c>
      <c r="V165" s="9" t="n">
        <v>21</v>
      </c>
      <c r="W165" s="9" t="n">
        <v>0</v>
      </c>
      <c r="X165" s="10" t="n">
        <v>353850</v>
      </c>
      <c r="Y165" s="10" t="n">
        <v>337000</v>
      </c>
      <c r="Z165" s="9" t="n">
        <v>337</v>
      </c>
      <c r="AA165" s="4" t="n"/>
      <c r="AB165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5" s="4" t="inlineStr">
        <is>
          <t>ANON0000000</t>
        </is>
      </c>
      <c r="AD165" s="4" t="inlineStr">
        <is>
          <t>RH40</t>
        </is>
      </c>
      <c r="AE165" s="4" t="n">
        <v>1229101</v>
      </c>
      <c r="AF165" s="4" t="n"/>
      <c r="AG165" s="4" t="inlineStr">
        <is>
          <t>FCL/FCL</t>
        </is>
      </c>
      <c r="AH165" s="4" t="inlineStr">
        <is>
          <t>GENERAL COMMODITY</t>
        </is>
      </c>
      <c r="AI165" s="10" t="n">
        <v>29400</v>
      </c>
      <c r="AJ165" s="9" t="n">
        <v>28</v>
      </c>
      <c r="AK165" s="4" t="inlineStr">
        <is>
          <t>BLO</t>
        </is>
      </c>
      <c r="AL165" s="4" t="n"/>
      <c r="AM165" s="4" t="n"/>
      <c r="AN165" s="4" t="n"/>
      <c r="AO165" s="4" t="n"/>
      <c r="AP165" s="4" t="n"/>
      <c r="AQ165" s="4" t="n"/>
      <c r="AR165" s="4" t="n">
        <v>4640</v>
      </c>
      <c r="AS165" s="4" t="n">
        <v>28000</v>
      </c>
      <c r="AT165" s="12" t="n"/>
    </row>
    <row r="166" ht="10.5" customFormat="1" customHeight="1" s="6">
      <c r="A166" s="11" t="n">
        <v>165</v>
      </c>
      <c r="B166" s="4" t="inlineStr">
        <is>
          <t>MERCURY / VOYAGE 1</t>
        </is>
      </c>
      <c r="C166" s="4" t="inlineStr">
        <is>
          <t>REF000000</t>
        </is>
      </c>
      <c r="D166" s="7" t="n">
        <v>46095</v>
      </c>
      <c r="E166" s="4" t="n">
        <v>46104</v>
      </c>
      <c r="F166" s="4" t="inlineStr">
        <is>
          <t>RULED</t>
        </is>
      </c>
      <c r="G166" s="4" t="inlineStr">
        <is>
          <t>RULED</t>
        </is>
      </c>
      <c r="H166" s="4" t="inlineStr">
        <is>
          <t>USNYC</t>
        </is>
      </c>
      <c r="I166" s="4" t="inlineStr">
        <is>
          <t>USNYC</t>
        </is>
      </c>
      <c r="J166" s="4" t="n"/>
      <c r="K166" s="8" t="n"/>
      <c r="L166" s="4" t="inlineStr">
        <is>
          <t>WHALE REEFER</t>
        </is>
      </c>
      <c r="M166" s="4" t="inlineStr">
        <is>
          <t>WHALE REEFER</t>
        </is>
      </c>
      <c r="N166" s="9" t="n"/>
      <c r="O166" s="9" t="n"/>
      <c r="P166" s="4" t="inlineStr">
        <is>
          <t>WHALE REEFER</t>
        </is>
      </c>
      <c r="Q166" s="4" t="inlineStr">
        <is>
          <t>WHALE REEFER</t>
        </is>
      </c>
      <c r="R166" s="4" t="n"/>
      <c r="S166" s="4" t="n"/>
      <c r="T166" s="4" t="inlineStr">
        <is>
          <t>WHALE REEFER</t>
        </is>
      </c>
      <c r="U166" s="4" t="inlineStr">
        <is>
          <t>AVENIDA DAS ARAUCARIAS, 5126, CHAPADA - ARAUCARIA-PR - CEP: 83707754 CNPJ 02.351.006/0001-39</t>
        </is>
      </c>
      <c r="V166" s="9" t="n">
        <v>21</v>
      </c>
      <c r="W166" s="9" t="n">
        <v>0</v>
      </c>
      <c r="X166" s="10" t="n">
        <v>353850</v>
      </c>
      <c r="Y166" s="10" t="n">
        <v>337000</v>
      </c>
      <c r="Z166" s="9" t="n">
        <v>337</v>
      </c>
      <c r="AA166" s="4" t="n"/>
      <c r="AB166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6" s="4" t="inlineStr">
        <is>
          <t>ANON0000000</t>
        </is>
      </c>
      <c r="AD166" s="4" t="inlineStr">
        <is>
          <t>RH40</t>
        </is>
      </c>
      <c r="AE166" s="4" t="n">
        <v>1229047</v>
      </c>
      <c r="AF166" s="4" t="n"/>
      <c r="AG166" s="4" t="inlineStr">
        <is>
          <t>FCL/FCL</t>
        </is>
      </c>
      <c r="AH166" s="4" t="inlineStr">
        <is>
          <t>GENERAL COMMODITY</t>
        </is>
      </c>
      <c r="AI166" s="10" t="n">
        <v>30450</v>
      </c>
      <c r="AJ166" s="9" t="n">
        <v>29</v>
      </c>
      <c r="AK166" s="4" t="inlineStr">
        <is>
          <t>BLO</t>
        </is>
      </c>
      <c r="AL166" s="4" t="n"/>
      <c r="AM166" s="4" t="n"/>
      <c r="AN166" s="4" t="n"/>
      <c r="AO166" s="4" t="n"/>
      <c r="AP166" s="4" t="n"/>
      <c r="AQ166" s="4" t="n"/>
      <c r="AR166" s="4" t="n">
        <v>4490</v>
      </c>
      <c r="AS166" s="4" t="n">
        <v>28000</v>
      </c>
      <c r="AT166" s="12" t="n"/>
    </row>
    <row r="167" ht="10.5" customFormat="1" customHeight="1" s="6">
      <c r="A167" s="11" t="n">
        <v>166</v>
      </c>
      <c r="B167" s="4" t="inlineStr">
        <is>
          <t>MERCURY / VOYAGE 1</t>
        </is>
      </c>
      <c r="C167" s="4" t="inlineStr">
        <is>
          <t>REF000000</t>
        </is>
      </c>
      <c r="D167" s="7" t="n">
        <v>46095</v>
      </c>
      <c r="E167" s="4" t="n">
        <v>46104</v>
      </c>
      <c r="F167" s="4" t="inlineStr">
        <is>
          <t>RULED</t>
        </is>
      </c>
      <c r="G167" s="4" t="inlineStr">
        <is>
          <t>RULED</t>
        </is>
      </c>
      <c r="H167" s="4" t="inlineStr">
        <is>
          <t>USNYC</t>
        </is>
      </c>
      <c r="I167" s="4" t="inlineStr">
        <is>
          <t>USNYC</t>
        </is>
      </c>
      <c r="J167" s="4" t="n"/>
      <c r="K167" s="8" t="n"/>
      <c r="L167" s="4" t="inlineStr">
        <is>
          <t>SEAL REEFER</t>
        </is>
      </c>
      <c r="M167" s="4" t="inlineStr">
        <is>
          <t>SEAL REEFER</t>
        </is>
      </c>
      <c r="N167" s="9" t="n"/>
      <c r="O167" s="9" t="n"/>
      <c r="P167" s="4" t="inlineStr">
        <is>
          <t>SEAL REEFER</t>
        </is>
      </c>
      <c r="Q167" s="4" t="inlineStr">
        <is>
          <t>SEAL REEFER</t>
        </is>
      </c>
      <c r="R167" s="4" t="n"/>
      <c r="S167" s="4" t="n"/>
      <c r="T167" s="4" t="inlineStr">
        <is>
          <t>SEAL REEFER</t>
        </is>
      </c>
      <c r="U167" s="4" t="inlineStr">
        <is>
          <t>AVENIDA DAS ARAUCARIAS, 5126, CHAPADA - ARAUCARIA-PR - CEP: 83707754 CNPJ 02.351.006/0001-39</t>
        </is>
      </c>
      <c r="V167" s="9" t="n">
        <v>21</v>
      </c>
      <c r="W167" s="9" t="n">
        <v>0</v>
      </c>
      <c r="X167" s="10" t="n">
        <v>353850</v>
      </c>
      <c r="Y167" s="10" t="n">
        <v>337000</v>
      </c>
      <c r="Z167" s="9" t="n">
        <v>337</v>
      </c>
      <c r="AA167" s="4" t="n"/>
      <c r="AB167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7" s="4" t="inlineStr">
        <is>
          <t>ANON0000000</t>
        </is>
      </c>
      <c r="AD167" s="4" t="inlineStr">
        <is>
          <t>RH40</t>
        </is>
      </c>
      <c r="AE167" s="4" t="n">
        <v>1229050</v>
      </c>
      <c r="AF167" s="4" t="n"/>
      <c r="AG167" s="4" t="inlineStr">
        <is>
          <t>FCL/FCL</t>
        </is>
      </c>
      <c r="AH167" s="4" t="inlineStr">
        <is>
          <t>GENERAL COMMODITY</t>
        </is>
      </c>
      <c r="AI167" s="10" t="n">
        <v>29400</v>
      </c>
      <c r="AJ167" s="9" t="n">
        <v>28</v>
      </c>
      <c r="AK167" s="4" t="inlineStr">
        <is>
          <t>BLO</t>
        </is>
      </c>
      <c r="AL167" s="4" t="n"/>
      <c r="AM167" s="4" t="n"/>
      <c r="AN167" s="4" t="n"/>
      <c r="AO167" s="4" t="n"/>
      <c r="AP167" s="4" t="n"/>
      <c r="AQ167" s="4" t="n"/>
      <c r="AR167" s="4" t="n">
        <v>4560</v>
      </c>
      <c r="AS167" s="4" t="n">
        <v>28000</v>
      </c>
      <c r="AT167" s="12" t="n"/>
    </row>
    <row r="168" ht="10.5" customFormat="1" customHeight="1" s="6">
      <c r="A168" s="11" t="n">
        <v>167</v>
      </c>
      <c r="B168" s="4" t="inlineStr">
        <is>
          <t>MERCURY / VOYAGE 1</t>
        </is>
      </c>
      <c r="C168" s="4" t="inlineStr">
        <is>
          <t>REF000000</t>
        </is>
      </c>
      <c r="D168" s="7" t="n">
        <v>46095</v>
      </c>
      <c r="E168" s="4" t="n">
        <v>46104</v>
      </c>
      <c r="F168" s="4" t="inlineStr">
        <is>
          <t>RULED</t>
        </is>
      </c>
      <c r="G168" s="4" t="inlineStr">
        <is>
          <t>RULED</t>
        </is>
      </c>
      <c r="H168" s="4" t="inlineStr">
        <is>
          <t>USNYC</t>
        </is>
      </c>
      <c r="I168" s="4" t="inlineStr">
        <is>
          <t>USNYC</t>
        </is>
      </c>
      <c r="J168" s="4" t="n"/>
      <c r="K168" s="8" t="n"/>
      <c r="L168" s="4" t="inlineStr">
        <is>
          <t>SHARK REEFER</t>
        </is>
      </c>
      <c r="M168" s="4" t="inlineStr">
        <is>
          <t>SHARK REEFER</t>
        </is>
      </c>
      <c r="N168" s="9" t="n"/>
      <c r="O168" s="9" t="n"/>
      <c r="P168" s="4" t="inlineStr">
        <is>
          <t>SHARK REEFER</t>
        </is>
      </c>
      <c r="Q168" s="4" t="inlineStr">
        <is>
          <t>SHARK REEFER</t>
        </is>
      </c>
      <c r="R168" s="4" t="n"/>
      <c r="S168" s="4" t="n"/>
      <c r="T168" s="4" t="inlineStr">
        <is>
          <t>SHARK REEFER</t>
        </is>
      </c>
      <c r="U168" s="4" t="inlineStr">
        <is>
          <t>AVENIDA DAS ARAUCARIAS, 5126, CHAPADA - ARAUCARIA-PR - CEP: 83707754 CNPJ 02.351.006/0001-39</t>
        </is>
      </c>
      <c r="V168" s="9" t="n">
        <v>21</v>
      </c>
      <c r="W168" s="9" t="n">
        <v>0</v>
      </c>
      <c r="X168" s="10" t="n">
        <v>353850</v>
      </c>
      <c r="Y168" s="10" t="n">
        <v>337000</v>
      </c>
      <c r="Z168" s="9" t="n">
        <v>337</v>
      </c>
      <c r="AA168" s="4" t="n"/>
      <c r="AB168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8" s="4" t="inlineStr">
        <is>
          <t>ANON0000000</t>
        </is>
      </c>
      <c r="AD168" s="4" t="inlineStr">
        <is>
          <t>RH40</t>
        </is>
      </c>
      <c r="AE168" s="4" t="n">
        <v>1229046</v>
      </c>
      <c r="AF168" s="4" t="n"/>
      <c r="AG168" s="4" t="inlineStr">
        <is>
          <t>FCL/FCL</t>
        </is>
      </c>
      <c r="AH168" s="4" t="inlineStr">
        <is>
          <t>GENERAL COMMODITY</t>
        </is>
      </c>
      <c r="AI168" s="10" t="n">
        <v>29400</v>
      </c>
      <c r="AJ168" s="9" t="n">
        <v>28</v>
      </c>
      <c r="AK168" s="4" t="inlineStr">
        <is>
          <t>BLO</t>
        </is>
      </c>
      <c r="AL168" s="4" t="n"/>
      <c r="AM168" s="4" t="n"/>
      <c r="AN168" s="4" t="n"/>
      <c r="AO168" s="4" t="n"/>
      <c r="AP168" s="4" t="n"/>
      <c r="AQ168" s="4" t="n"/>
      <c r="AR168" s="4" t="n">
        <v>4400</v>
      </c>
      <c r="AS168" s="4" t="n">
        <v>28000</v>
      </c>
      <c r="AT168" s="12" t="n"/>
    </row>
    <row r="169" ht="10.5" customFormat="1" customHeight="1" s="6">
      <c r="A169" s="11" t="n">
        <v>168</v>
      </c>
      <c r="B169" s="4" t="inlineStr">
        <is>
          <t>MERCURY / VOYAGE 1</t>
        </is>
      </c>
      <c r="C169" s="4" t="inlineStr">
        <is>
          <t>REF000000</t>
        </is>
      </c>
      <c r="D169" s="7" t="n">
        <v>46095</v>
      </c>
      <c r="E169" s="4" t="n">
        <v>46104</v>
      </c>
      <c r="F169" s="4" t="inlineStr">
        <is>
          <t>RULED</t>
        </is>
      </c>
      <c r="G169" s="4" t="inlineStr">
        <is>
          <t>RULED</t>
        </is>
      </c>
      <c r="H169" s="4" t="inlineStr">
        <is>
          <t>USNYC</t>
        </is>
      </c>
      <c r="I169" s="4" t="inlineStr">
        <is>
          <t>USNYC</t>
        </is>
      </c>
      <c r="J169" s="4" t="n"/>
      <c r="K169" s="8" t="n"/>
      <c r="L169" s="4" t="inlineStr">
        <is>
          <t>DOLPHIN REEFER</t>
        </is>
      </c>
      <c r="M169" s="4" t="inlineStr">
        <is>
          <t>DOLPHIN REEFER</t>
        </is>
      </c>
      <c r="N169" s="9" t="n"/>
      <c r="O169" s="9" t="n"/>
      <c r="P169" s="4" t="inlineStr">
        <is>
          <t>DOLPHIN REEFER</t>
        </is>
      </c>
      <c r="Q169" s="4" t="inlineStr">
        <is>
          <t>DOLPHIN REEFER</t>
        </is>
      </c>
      <c r="R169" s="4" t="n"/>
      <c r="S169" s="4" t="n"/>
      <c r="T169" s="4" t="inlineStr">
        <is>
          <t>DOLPHIN REEFER</t>
        </is>
      </c>
      <c r="U169" s="4" t="inlineStr">
        <is>
          <t>AVENIDA DAS ARAUCARIAS, 5126, CHAPADA - ARAUCARIA-PR - CEP: 83707754 CNPJ 02.351.006/0001-39</t>
        </is>
      </c>
      <c r="V169" s="9" t="n">
        <v>21</v>
      </c>
      <c r="W169" s="9" t="n">
        <v>0</v>
      </c>
      <c r="X169" s="10" t="n">
        <v>353850</v>
      </c>
      <c r="Y169" s="10" t="n">
        <v>337000</v>
      </c>
      <c r="Z169" s="9" t="n">
        <v>337</v>
      </c>
      <c r="AA169" s="4" t="n"/>
      <c r="AB169" s="4" t="inlineStr">
        <is>
          <t>SAID TO CONTAIN / WEIGH &amp; MEASURE 12 X 40NOR CONTAINERS SAID TO CONTAIN 337 BITUBLOCK(S) OF POLYMER MODIFIED BITUMEN 50/70 NCM CODE 2713.20.00 NET WEIGHT: 337,00 MTS, GROSS WEIGHT: 353,85 MTS WOODEN PACKAGING - TREATED AND CERTIFIED</t>
        </is>
      </c>
      <c r="AC169" s="4" t="inlineStr">
        <is>
          <t>ANON0000000</t>
        </is>
      </c>
      <c r="AD169" s="4" t="inlineStr">
        <is>
          <t>RH40</t>
        </is>
      </c>
      <c r="AE169" s="4" t="n">
        <v>1229044</v>
      </c>
      <c r="AF169" s="4" t="n"/>
      <c r="AG169" s="4" t="inlineStr">
        <is>
          <t>FCL/FCL</t>
        </is>
      </c>
      <c r="AH169" s="4" t="inlineStr">
        <is>
          <t>GENERAL COMMODITY</t>
        </is>
      </c>
      <c r="AI169" s="10" t="n">
        <v>29400</v>
      </c>
      <c r="AJ169" s="9" t="n">
        <v>28</v>
      </c>
      <c r="AK169" s="4" t="inlineStr">
        <is>
          <t>BLO</t>
        </is>
      </c>
      <c r="AL169" s="4" t="n"/>
      <c r="AM169" s="4" t="n"/>
      <c r="AN169" s="4" t="n"/>
      <c r="AO169" s="4" t="n"/>
      <c r="AP169" s="4" t="n"/>
      <c r="AQ169" s="4" t="n"/>
      <c r="AR169" s="4" t="n">
        <v>4630</v>
      </c>
      <c r="AS169" s="4" t="n">
        <v>28000</v>
      </c>
      <c r="AT169" s="12" t="n"/>
    </row>
    <row r="170" ht="11.25" customFormat="1" customHeight="1" s="6">
      <c r="A170" s="11" t="n">
        <v>169</v>
      </c>
      <c r="B170" s="4" t="inlineStr">
        <is>
          <t>MERCURY / VOYAGE 1</t>
        </is>
      </c>
      <c r="C170" s="4" t="inlineStr">
        <is>
          <t>REF000000</t>
        </is>
      </c>
      <c r="D170" s="7" t="n">
        <v>46095</v>
      </c>
      <c r="E170" s="4" t="n">
        <v>46104</v>
      </c>
      <c r="F170" s="4" t="inlineStr">
        <is>
          <t>RULED</t>
        </is>
      </c>
      <c r="G170" s="4" t="inlineStr">
        <is>
          <t>RULED</t>
        </is>
      </c>
      <c r="H170" s="4" t="inlineStr">
        <is>
          <t>USNYC</t>
        </is>
      </c>
      <c r="I170" s="4" t="inlineStr">
        <is>
          <t>USNYC</t>
        </is>
      </c>
      <c r="J170" s="4" t="n"/>
      <c r="K170" s="8" t="n"/>
      <c r="L170" s="4" t="inlineStr">
        <is>
          <t>MARLIN REEFER</t>
        </is>
      </c>
      <c r="M170" s="4" t="inlineStr">
        <is>
          <t>MARLIN REEFER</t>
        </is>
      </c>
      <c r="N170" s="9" t="n"/>
      <c r="O170" s="9" t="n"/>
      <c r="P170" s="4" t="inlineStr">
        <is>
          <t>MARLIN REEFER</t>
        </is>
      </c>
      <c r="Q170" s="4" t="inlineStr">
        <is>
          <t>MARLIN REEFER</t>
        </is>
      </c>
      <c r="R170" s="4" t="n"/>
      <c r="S170" s="4" t="n"/>
      <c r="T170" s="4" t="inlineStr">
        <is>
          <t>MARLIN REEFER</t>
        </is>
      </c>
      <c r="U170" s="4" t="inlineStr">
        <is>
          <t>AVENIDA DAS ARAUCARIAS, 5126, CHAPADA - ARAUCARIA-PR - CEP: 83707754 CNPJ 02.351.006/0001-39</t>
        </is>
      </c>
      <c r="V170" s="9" t="n">
        <v>21</v>
      </c>
      <c r="W170" s="9" t="n">
        <v>0</v>
      </c>
      <c r="X170" s="10" t="n">
        <v>349650</v>
      </c>
      <c r="Y170" s="10" t="n">
        <v>333000</v>
      </c>
      <c r="Z170" s="9" t="n">
        <v>333</v>
      </c>
      <c r="AA170" s="4" t="n"/>
      <c r="AB170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0" s="4" t="inlineStr">
        <is>
          <t>ANON0000000</t>
        </is>
      </c>
      <c r="AD170" s="4" t="inlineStr">
        <is>
          <t>RH40</t>
        </is>
      </c>
      <c r="AE170" s="4" t="n">
        <v>1229174</v>
      </c>
      <c r="AF170" s="4" t="n"/>
      <c r="AG170" s="4" t="inlineStr">
        <is>
          <t>FCL/FCL</t>
        </is>
      </c>
      <c r="AH170" s="4" t="inlineStr">
        <is>
          <t>GENERAL COMMODITY</t>
        </is>
      </c>
      <c r="AI170" s="10" t="n">
        <v>28350</v>
      </c>
      <c r="AJ170" s="9" t="n">
        <v>27</v>
      </c>
      <c r="AK170" s="4" t="inlineStr">
        <is>
          <t>BLO</t>
        </is>
      </c>
      <c r="AL170" s="4" t="n"/>
      <c r="AM170" s="4" t="n"/>
      <c r="AN170" s="4" t="n"/>
      <c r="AO170" s="4" t="n"/>
      <c r="AP170" s="4" t="n"/>
      <c r="AQ170" s="4" t="n"/>
      <c r="AR170" s="4" t="n">
        <v>4620</v>
      </c>
      <c r="AS170" s="4" t="n">
        <v>28000</v>
      </c>
      <c r="AT170" s="12" t="n"/>
    </row>
    <row r="171" ht="10.5" customFormat="1" customHeight="1" s="6">
      <c r="A171" s="11" t="n">
        <v>170</v>
      </c>
      <c r="B171" s="4" t="inlineStr">
        <is>
          <t>MERCURY / VOYAGE 1</t>
        </is>
      </c>
      <c r="C171" s="4" t="inlineStr">
        <is>
          <t>REF000000</t>
        </is>
      </c>
      <c r="D171" s="7" t="n">
        <v>46095</v>
      </c>
      <c r="E171" s="4" t="n">
        <v>46104</v>
      </c>
      <c r="F171" s="4" t="inlineStr">
        <is>
          <t>RULED</t>
        </is>
      </c>
      <c r="G171" s="4" t="inlineStr">
        <is>
          <t>RULED</t>
        </is>
      </c>
      <c r="H171" s="4" t="inlineStr">
        <is>
          <t>USNYC</t>
        </is>
      </c>
      <c r="I171" s="4" t="inlineStr">
        <is>
          <t>USNYC</t>
        </is>
      </c>
      <c r="J171" s="4" t="n"/>
      <c r="K171" s="8" t="n"/>
      <c r="L171" s="4" t="inlineStr">
        <is>
          <t>TURTLE REEFER</t>
        </is>
      </c>
      <c r="M171" s="4" t="inlineStr">
        <is>
          <t>TURTLE REEFER</t>
        </is>
      </c>
      <c r="N171" s="9" t="n"/>
      <c r="O171" s="9" t="n"/>
      <c r="P171" s="4" t="inlineStr">
        <is>
          <t>TURTLE REEFER</t>
        </is>
      </c>
      <c r="Q171" s="4" t="inlineStr">
        <is>
          <t>TURTLE REEFER</t>
        </is>
      </c>
      <c r="R171" s="4" t="n"/>
      <c r="S171" s="4" t="n"/>
      <c r="T171" s="4" t="inlineStr">
        <is>
          <t>TURTLE REEFER</t>
        </is>
      </c>
      <c r="U171" s="4" t="inlineStr">
        <is>
          <t>AVENIDA DAS ARAUCARIAS, 5126, CHAPADA - ARAUCARIA-PR - CEP: 83707754 CNPJ 02.351.006/0001-39</t>
        </is>
      </c>
      <c r="V171" s="9" t="n">
        <v>21</v>
      </c>
      <c r="W171" s="9" t="n">
        <v>0</v>
      </c>
      <c r="X171" s="10" t="n">
        <v>349650</v>
      </c>
      <c r="Y171" s="10" t="n">
        <v>333000</v>
      </c>
      <c r="Z171" s="9" t="n">
        <v>333</v>
      </c>
      <c r="AA171" s="4" t="n"/>
      <c r="AB171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1" s="4" t="inlineStr">
        <is>
          <t>ANON0000000</t>
        </is>
      </c>
      <c r="AD171" s="4" t="inlineStr">
        <is>
          <t>RH40</t>
        </is>
      </c>
      <c r="AE171" s="4" t="n">
        <v>1229107</v>
      </c>
      <c r="AF171" s="4" t="n"/>
      <c r="AG171" s="4" t="inlineStr">
        <is>
          <t>FCL/FCL</t>
        </is>
      </c>
      <c r="AH171" s="4" t="inlineStr">
        <is>
          <t>GENERAL COMMODITY</t>
        </is>
      </c>
      <c r="AI171" s="10" t="n">
        <v>29400</v>
      </c>
      <c r="AJ171" s="9" t="n">
        <v>28</v>
      </c>
      <c r="AK171" s="4" t="inlineStr">
        <is>
          <t>BLO</t>
        </is>
      </c>
      <c r="AL171" s="4" t="n"/>
      <c r="AM171" s="4" t="n"/>
      <c r="AN171" s="4" t="n"/>
      <c r="AO171" s="4" t="n"/>
      <c r="AP171" s="4" t="n"/>
      <c r="AQ171" s="4" t="n"/>
      <c r="AR171" s="4" t="n">
        <v>4580</v>
      </c>
      <c r="AS171" s="4" t="n">
        <v>28000</v>
      </c>
      <c r="AT171" s="12" t="n"/>
    </row>
    <row r="172" ht="10.5" customFormat="1" customHeight="1" s="6">
      <c r="A172" s="11" t="n">
        <v>171</v>
      </c>
      <c r="B172" s="4" t="inlineStr">
        <is>
          <t>MERCURY / VOYAGE 1</t>
        </is>
      </c>
      <c r="C172" s="4" t="inlineStr">
        <is>
          <t>REF000000</t>
        </is>
      </c>
      <c r="D172" s="7" t="n">
        <v>46095</v>
      </c>
      <c r="E172" s="4" t="n">
        <v>46104</v>
      </c>
      <c r="F172" s="4" t="inlineStr">
        <is>
          <t>RULED</t>
        </is>
      </c>
      <c r="G172" s="4" t="inlineStr">
        <is>
          <t>RULED</t>
        </is>
      </c>
      <c r="H172" s="4" t="inlineStr">
        <is>
          <t>USNYC</t>
        </is>
      </c>
      <c r="I172" s="4" t="inlineStr">
        <is>
          <t>USNYC</t>
        </is>
      </c>
      <c r="J172" s="4" t="n"/>
      <c r="K172" s="8" t="n"/>
      <c r="L172" s="4" t="inlineStr">
        <is>
          <t>ORCA REEFER</t>
        </is>
      </c>
      <c r="M172" s="4" t="inlineStr">
        <is>
          <t>ORCA REEFER</t>
        </is>
      </c>
      <c r="N172" s="9" t="n"/>
      <c r="O172" s="9" t="n"/>
      <c r="P172" s="4" t="inlineStr">
        <is>
          <t>ORCA REEFER</t>
        </is>
      </c>
      <c r="Q172" s="4" t="inlineStr">
        <is>
          <t>ORCA REEFER</t>
        </is>
      </c>
      <c r="R172" s="4" t="n"/>
      <c r="S172" s="4" t="n"/>
      <c r="T172" s="4" t="inlineStr">
        <is>
          <t>ORCA REEFER</t>
        </is>
      </c>
      <c r="U172" s="4" t="inlineStr">
        <is>
          <t>AVENIDA DAS ARAUCARIAS, 5126, CHAPADA - ARAUCARIA-PR - CEP: 83707754 CNPJ 02.351.006/0001-39</t>
        </is>
      </c>
      <c r="V172" s="9" t="n">
        <v>21</v>
      </c>
      <c r="W172" s="9" t="n">
        <v>0</v>
      </c>
      <c r="X172" s="10" t="n">
        <v>349650</v>
      </c>
      <c r="Y172" s="10" t="n">
        <v>333000</v>
      </c>
      <c r="Z172" s="9" t="n">
        <v>333</v>
      </c>
      <c r="AA172" s="4" t="n"/>
      <c r="AB172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2" s="4" t="inlineStr">
        <is>
          <t>ANON0000000</t>
        </is>
      </c>
      <c r="AD172" s="4" t="inlineStr">
        <is>
          <t>RH40</t>
        </is>
      </c>
      <c r="AE172" s="4" t="n">
        <v>1229105</v>
      </c>
      <c r="AF172" s="4" t="n"/>
      <c r="AG172" s="4" t="inlineStr">
        <is>
          <t>FCL/FCL</t>
        </is>
      </c>
      <c r="AH172" s="4" t="inlineStr">
        <is>
          <t>GENERAL COMMODITY</t>
        </is>
      </c>
      <c r="AI172" s="10" t="n">
        <v>29400</v>
      </c>
      <c r="AJ172" s="9" t="n">
        <v>28</v>
      </c>
      <c r="AK172" s="4" t="inlineStr">
        <is>
          <t>BLO</t>
        </is>
      </c>
      <c r="AL172" s="4" t="n"/>
      <c r="AM172" s="4" t="n"/>
      <c r="AN172" s="4" t="n"/>
      <c r="AO172" s="4" t="n"/>
      <c r="AP172" s="4" t="n"/>
      <c r="AQ172" s="4" t="n"/>
      <c r="AR172" s="4" t="n">
        <v>4400</v>
      </c>
      <c r="AS172" s="4" t="n">
        <v>28000</v>
      </c>
      <c r="AT172" s="12" t="n"/>
    </row>
    <row r="173" ht="10.5" customFormat="1" customHeight="1" s="6">
      <c r="A173" s="11" t="n">
        <v>172</v>
      </c>
      <c r="B173" s="4" t="inlineStr">
        <is>
          <t>MERCURY / VOYAGE 1</t>
        </is>
      </c>
      <c r="C173" s="4" t="inlineStr">
        <is>
          <t>REF000000</t>
        </is>
      </c>
      <c r="D173" s="7" t="n">
        <v>46095</v>
      </c>
      <c r="E173" s="4" t="n">
        <v>46104</v>
      </c>
      <c r="F173" s="4" t="inlineStr">
        <is>
          <t>RULED</t>
        </is>
      </c>
      <c r="G173" s="4" t="inlineStr">
        <is>
          <t>RULED</t>
        </is>
      </c>
      <c r="H173" s="4" t="inlineStr">
        <is>
          <t>USNYC</t>
        </is>
      </c>
      <c r="I173" s="4" t="inlineStr">
        <is>
          <t>USNYC</t>
        </is>
      </c>
      <c r="J173" s="4" t="n"/>
      <c r="K173" s="8" t="n"/>
      <c r="L173" s="4" t="inlineStr">
        <is>
          <t>WHALE REEFER</t>
        </is>
      </c>
      <c r="M173" s="4" t="inlineStr">
        <is>
          <t>WHALE REEFER</t>
        </is>
      </c>
      <c r="N173" s="9" t="n"/>
      <c r="O173" s="9" t="n"/>
      <c r="P173" s="4" t="inlineStr">
        <is>
          <t>WHALE REEFER</t>
        </is>
      </c>
      <c r="Q173" s="4" t="inlineStr">
        <is>
          <t>WHALE REEFER</t>
        </is>
      </c>
      <c r="R173" s="4" t="n"/>
      <c r="S173" s="4" t="n"/>
      <c r="T173" s="4" t="inlineStr">
        <is>
          <t>WHALE REEFER</t>
        </is>
      </c>
      <c r="U173" s="4" t="inlineStr">
        <is>
          <t>AVENIDA DAS ARAUCARIAS, 5126, CHAPADA - ARAUCARIA-PR - CEP: 83707754 CNPJ 02.351.006/0001-39</t>
        </is>
      </c>
      <c r="V173" s="9" t="n">
        <v>21</v>
      </c>
      <c r="W173" s="9" t="n">
        <v>0</v>
      </c>
      <c r="X173" s="10" t="n">
        <v>349650</v>
      </c>
      <c r="Y173" s="10" t="n">
        <v>333000</v>
      </c>
      <c r="Z173" s="9" t="n">
        <v>333</v>
      </c>
      <c r="AA173" s="4" t="n"/>
      <c r="AB173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3" s="4" t="inlineStr">
        <is>
          <t>ANON0000000</t>
        </is>
      </c>
      <c r="AD173" s="4" t="inlineStr">
        <is>
          <t>RH40</t>
        </is>
      </c>
      <c r="AE173" s="4" t="n">
        <v>1229109</v>
      </c>
      <c r="AF173" s="4" t="n"/>
      <c r="AG173" s="4" t="inlineStr">
        <is>
          <t>FCL/FCL</t>
        </is>
      </c>
      <c r="AH173" s="4" t="inlineStr">
        <is>
          <t>GENERAL COMMODITY</t>
        </is>
      </c>
      <c r="AI173" s="10" t="n">
        <v>29400</v>
      </c>
      <c r="AJ173" s="9" t="n">
        <v>28</v>
      </c>
      <c r="AK173" s="4" t="inlineStr">
        <is>
          <t>BLO</t>
        </is>
      </c>
      <c r="AL173" s="4" t="n"/>
      <c r="AM173" s="4" t="n"/>
      <c r="AN173" s="4" t="n"/>
      <c r="AO173" s="4" t="n"/>
      <c r="AP173" s="4" t="n"/>
      <c r="AQ173" s="4" t="n"/>
      <c r="AR173" s="4" t="n">
        <v>4560</v>
      </c>
      <c r="AS173" s="4" t="n">
        <v>28000</v>
      </c>
      <c r="AT173" s="12" t="n"/>
    </row>
    <row r="174" ht="10.5" customFormat="1" customHeight="1" s="6">
      <c r="A174" s="11" t="n">
        <v>173</v>
      </c>
      <c r="B174" s="4" t="inlineStr">
        <is>
          <t>MERCURY / VOYAGE 1</t>
        </is>
      </c>
      <c r="C174" s="4" t="inlineStr">
        <is>
          <t>REF000000</t>
        </is>
      </c>
      <c r="D174" s="7" t="n">
        <v>46095</v>
      </c>
      <c r="E174" s="4" t="n">
        <v>46104</v>
      </c>
      <c r="F174" s="4" t="inlineStr">
        <is>
          <t>RULED</t>
        </is>
      </c>
      <c r="G174" s="4" t="inlineStr">
        <is>
          <t>RULED</t>
        </is>
      </c>
      <c r="H174" s="4" t="inlineStr">
        <is>
          <t>USNYC</t>
        </is>
      </c>
      <c r="I174" s="4" t="inlineStr">
        <is>
          <t>USNYC</t>
        </is>
      </c>
      <c r="J174" s="4" t="n"/>
      <c r="K174" s="8" t="n"/>
      <c r="L174" s="4" t="inlineStr">
        <is>
          <t>SEAL REEFER</t>
        </is>
      </c>
      <c r="M174" s="4" t="inlineStr">
        <is>
          <t>SEAL REEFER</t>
        </is>
      </c>
      <c r="N174" s="9" t="n"/>
      <c r="O174" s="9" t="n"/>
      <c r="P174" s="4" t="inlineStr">
        <is>
          <t>SEAL REEFER</t>
        </is>
      </c>
      <c r="Q174" s="4" t="inlineStr">
        <is>
          <t>SEAL REEFER</t>
        </is>
      </c>
      <c r="R174" s="4" t="n"/>
      <c r="S174" s="4" t="n"/>
      <c r="T174" s="4" t="inlineStr">
        <is>
          <t>SEAL REEFER</t>
        </is>
      </c>
      <c r="U174" s="4" t="inlineStr">
        <is>
          <t>AVENIDA DAS ARAUCARIAS, 5126, CHAPADA - ARAUCARIA-PR - CEP: 83707754 CNPJ 02.351.006/0001-39</t>
        </is>
      </c>
      <c r="V174" s="9" t="n">
        <v>21</v>
      </c>
      <c r="W174" s="9" t="n">
        <v>0</v>
      </c>
      <c r="X174" s="10" t="n">
        <v>349650</v>
      </c>
      <c r="Y174" s="10" t="n">
        <v>333000</v>
      </c>
      <c r="Z174" s="9" t="n">
        <v>333</v>
      </c>
      <c r="AA174" s="4" t="n"/>
      <c r="AB174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4" s="4" t="inlineStr">
        <is>
          <t>ANON0000000</t>
        </is>
      </c>
      <c r="AD174" s="4" t="inlineStr">
        <is>
          <t>RH40</t>
        </is>
      </c>
      <c r="AE174" s="4" t="n">
        <v>1229106</v>
      </c>
      <c r="AF174" s="4" t="n"/>
      <c r="AG174" s="4" t="inlineStr">
        <is>
          <t>FCL/FCL</t>
        </is>
      </c>
      <c r="AH174" s="4" t="inlineStr">
        <is>
          <t>GENERAL COMMODITY</t>
        </is>
      </c>
      <c r="AI174" s="10" t="n">
        <v>28350</v>
      </c>
      <c r="AJ174" s="9" t="n">
        <v>27</v>
      </c>
      <c r="AK174" s="4" t="inlineStr">
        <is>
          <t>BLO</t>
        </is>
      </c>
      <c r="AL174" s="4" t="n"/>
      <c r="AM174" s="4" t="n"/>
      <c r="AN174" s="4" t="n"/>
      <c r="AO174" s="4" t="n"/>
      <c r="AP174" s="4" t="n"/>
      <c r="AQ174" s="4" t="n"/>
      <c r="AR174" s="4" t="n">
        <v>4700</v>
      </c>
      <c r="AS174" s="4" t="n">
        <v>28000</v>
      </c>
      <c r="AT174" s="12" t="n"/>
    </row>
    <row r="175" ht="11.25" customFormat="1" customHeight="1" s="6">
      <c r="A175" s="11" t="n">
        <v>174</v>
      </c>
      <c r="B175" s="4" t="inlineStr">
        <is>
          <t>MERCURY / VOYAGE 1</t>
        </is>
      </c>
      <c r="C175" s="4" t="inlineStr">
        <is>
          <t>REF000000</t>
        </is>
      </c>
      <c r="D175" s="7" t="n">
        <v>46095</v>
      </c>
      <c r="E175" s="4" t="n">
        <v>46104</v>
      </c>
      <c r="F175" s="4" t="inlineStr">
        <is>
          <t>RULED</t>
        </is>
      </c>
      <c r="G175" s="4" t="inlineStr">
        <is>
          <t>RULED</t>
        </is>
      </c>
      <c r="H175" s="4" t="inlineStr">
        <is>
          <t>USNYC</t>
        </is>
      </c>
      <c r="I175" s="4" t="inlineStr">
        <is>
          <t>USNYC</t>
        </is>
      </c>
      <c r="J175" s="4" t="n"/>
      <c r="K175" s="8" t="n"/>
      <c r="L175" s="4" t="inlineStr">
        <is>
          <t>SHARK REEFER</t>
        </is>
      </c>
      <c r="M175" s="4" t="inlineStr">
        <is>
          <t>SHARK REEFER</t>
        </is>
      </c>
      <c r="N175" s="9" t="n"/>
      <c r="O175" s="9" t="n"/>
      <c r="P175" s="4" t="inlineStr">
        <is>
          <t>SHARK REEFER</t>
        </is>
      </c>
      <c r="Q175" s="4" t="inlineStr">
        <is>
          <t>SHARK REEFER</t>
        </is>
      </c>
      <c r="R175" s="4" t="n"/>
      <c r="S175" s="4" t="n"/>
      <c r="T175" s="4" t="inlineStr">
        <is>
          <t>SHARK REEFER</t>
        </is>
      </c>
      <c r="U175" s="4" t="inlineStr">
        <is>
          <t>AVENIDA DAS ARAUCARIAS, 5126, CHAPADA - ARAUCARIA-PR - CEP: 83707754 CNPJ 02.351.006/0001-39</t>
        </is>
      </c>
      <c r="V175" s="9" t="n">
        <v>21</v>
      </c>
      <c r="W175" s="9" t="n">
        <v>0</v>
      </c>
      <c r="X175" s="10" t="n">
        <v>349650</v>
      </c>
      <c r="Y175" s="10" t="n">
        <v>333000</v>
      </c>
      <c r="Z175" s="9" t="n">
        <v>333</v>
      </c>
      <c r="AA175" s="4" t="n"/>
      <c r="AB175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5" s="4" t="inlineStr">
        <is>
          <t>ANON0000000</t>
        </is>
      </c>
      <c r="AD175" s="4" t="inlineStr">
        <is>
          <t>RH40</t>
        </is>
      </c>
      <c r="AE175" s="4" t="n">
        <v>1229110</v>
      </c>
      <c r="AF175" s="4" t="n"/>
      <c r="AG175" s="4" t="inlineStr">
        <is>
          <t>FCL/FCL</t>
        </is>
      </c>
      <c r="AH175" s="4" t="inlineStr">
        <is>
          <t>GENERAL COMMODITY</t>
        </is>
      </c>
      <c r="AI175" s="10" t="n">
        <v>30450</v>
      </c>
      <c r="AJ175" s="9" t="n">
        <v>29</v>
      </c>
      <c r="AK175" s="4" t="inlineStr">
        <is>
          <t>BLO</t>
        </is>
      </c>
      <c r="AL175" s="4" t="n"/>
      <c r="AM175" s="4" t="n"/>
      <c r="AN175" s="4" t="n"/>
      <c r="AO175" s="4" t="n"/>
      <c r="AP175" s="4" t="n"/>
      <c r="AQ175" s="4" t="n"/>
      <c r="AR175" s="4" t="n">
        <v>4460</v>
      </c>
      <c r="AS175" s="4" t="n">
        <v>28000</v>
      </c>
      <c r="AT175" s="12" t="n"/>
    </row>
    <row r="176" ht="10.5" customFormat="1" customHeight="1" s="6">
      <c r="A176" s="11" t="n">
        <v>175</v>
      </c>
      <c r="B176" s="4" t="inlineStr">
        <is>
          <t>MERCURY / VOYAGE 1</t>
        </is>
      </c>
      <c r="C176" s="4" t="inlineStr">
        <is>
          <t>REF000000</t>
        </is>
      </c>
      <c r="D176" s="7" t="n">
        <v>46095</v>
      </c>
      <c r="E176" s="4" t="n">
        <v>46104</v>
      </c>
      <c r="F176" s="4" t="inlineStr">
        <is>
          <t>RULED</t>
        </is>
      </c>
      <c r="G176" s="4" t="inlineStr">
        <is>
          <t>RULED</t>
        </is>
      </c>
      <c r="H176" s="4" t="inlineStr">
        <is>
          <t>USNYC</t>
        </is>
      </c>
      <c r="I176" s="4" t="inlineStr">
        <is>
          <t>USNYC</t>
        </is>
      </c>
      <c r="J176" s="4" t="n"/>
      <c r="K176" s="8" t="n"/>
      <c r="L176" s="4" t="inlineStr">
        <is>
          <t>DOLPHIN REEFER</t>
        </is>
      </c>
      <c r="M176" s="4" t="inlineStr">
        <is>
          <t>DOLPHIN REEFER</t>
        </is>
      </c>
      <c r="N176" s="9" t="n"/>
      <c r="O176" s="9" t="n"/>
      <c r="P176" s="4" t="inlineStr">
        <is>
          <t>DOLPHIN REEFER</t>
        </is>
      </c>
      <c r="Q176" s="4" t="inlineStr">
        <is>
          <t>DOLPHIN REEFER</t>
        </is>
      </c>
      <c r="R176" s="4" t="n"/>
      <c r="S176" s="4" t="n"/>
      <c r="T176" s="4" t="inlineStr">
        <is>
          <t>DOLPHIN REEFER</t>
        </is>
      </c>
      <c r="U176" s="4" t="inlineStr">
        <is>
          <t>AVENIDA DAS ARAUCARIAS, 5126, CHAPADA - ARAUCARIA-PR - CEP: 83707754 CNPJ 02.351.006/0001-39</t>
        </is>
      </c>
      <c r="V176" s="9" t="n">
        <v>21</v>
      </c>
      <c r="W176" s="9" t="n">
        <v>0</v>
      </c>
      <c r="X176" s="10" t="n">
        <v>349650</v>
      </c>
      <c r="Y176" s="10" t="n">
        <v>333000</v>
      </c>
      <c r="Z176" s="9" t="n">
        <v>333</v>
      </c>
      <c r="AA176" s="4" t="n"/>
      <c r="AB176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6" s="4" t="inlineStr">
        <is>
          <t>ANON0000000</t>
        </is>
      </c>
      <c r="AD176" s="4" t="inlineStr">
        <is>
          <t>RH40</t>
        </is>
      </c>
      <c r="AE176" s="4" t="n">
        <v>1229172</v>
      </c>
      <c r="AF176" s="4" t="n"/>
      <c r="AG176" s="4" t="inlineStr">
        <is>
          <t>FCL/FCL</t>
        </is>
      </c>
      <c r="AH176" s="4" t="inlineStr">
        <is>
          <t>GENERAL COMMODITY</t>
        </is>
      </c>
      <c r="AI176" s="10" t="n">
        <v>29400</v>
      </c>
      <c r="AJ176" s="9" t="n">
        <v>28</v>
      </c>
      <c r="AK176" s="4" t="inlineStr">
        <is>
          <t>BLO</t>
        </is>
      </c>
      <c r="AL176" s="4" t="n"/>
      <c r="AM176" s="4" t="n"/>
      <c r="AN176" s="4" t="n"/>
      <c r="AO176" s="4" t="n"/>
      <c r="AP176" s="4" t="n"/>
      <c r="AQ176" s="4" t="n"/>
      <c r="AR176" s="4" t="n">
        <v>4650</v>
      </c>
      <c r="AS176" s="4" t="n">
        <v>28000</v>
      </c>
      <c r="AT176" s="12" t="n"/>
    </row>
    <row r="177" ht="10.5" customFormat="1" customHeight="1" s="6">
      <c r="A177" s="11" t="n">
        <v>176</v>
      </c>
      <c r="B177" s="4" t="inlineStr">
        <is>
          <t>MERCURY / VOYAGE 1</t>
        </is>
      </c>
      <c r="C177" s="4" t="inlineStr">
        <is>
          <t>REF000000</t>
        </is>
      </c>
      <c r="D177" s="7" t="n">
        <v>46095</v>
      </c>
      <c r="E177" s="4" t="n">
        <v>46104</v>
      </c>
      <c r="F177" s="4" t="inlineStr">
        <is>
          <t>RULED</t>
        </is>
      </c>
      <c r="G177" s="4" t="inlineStr">
        <is>
          <t>RULED</t>
        </is>
      </c>
      <c r="H177" s="4" t="inlineStr">
        <is>
          <t>USNYC</t>
        </is>
      </c>
      <c r="I177" s="4" t="inlineStr">
        <is>
          <t>USNYC</t>
        </is>
      </c>
      <c r="J177" s="4" t="n"/>
      <c r="K177" s="8" t="n"/>
      <c r="L177" s="4" t="inlineStr">
        <is>
          <t>MARLIN REEFER</t>
        </is>
      </c>
      <c r="M177" s="4" t="inlineStr">
        <is>
          <t>MARLIN REEFER</t>
        </is>
      </c>
      <c r="N177" s="9" t="n"/>
      <c r="O177" s="9" t="n"/>
      <c r="P177" s="4" t="inlineStr">
        <is>
          <t>MARLIN REEFER</t>
        </is>
      </c>
      <c r="Q177" s="4" t="inlineStr">
        <is>
          <t>MARLIN REEFER</t>
        </is>
      </c>
      <c r="R177" s="4" t="n"/>
      <c r="S177" s="4" t="n"/>
      <c r="T177" s="4" t="inlineStr">
        <is>
          <t>MARLIN REEFER</t>
        </is>
      </c>
      <c r="U177" s="4" t="inlineStr">
        <is>
          <t>AVENIDA DAS ARAUCARIAS, 5126, CHAPADA - ARAUCARIA-PR - CEP: 83707754 CNPJ 02.351.006/0001-39</t>
        </is>
      </c>
      <c r="V177" s="9" t="n">
        <v>21</v>
      </c>
      <c r="W177" s="9" t="n">
        <v>0</v>
      </c>
      <c r="X177" s="10" t="n">
        <v>349650</v>
      </c>
      <c r="Y177" s="10" t="n">
        <v>333000</v>
      </c>
      <c r="Z177" s="9" t="n">
        <v>333</v>
      </c>
      <c r="AA177" s="4" t="n"/>
      <c r="AB177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7" s="4" t="inlineStr">
        <is>
          <t>ANON0000000</t>
        </is>
      </c>
      <c r="AD177" s="4" t="inlineStr">
        <is>
          <t>RH40</t>
        </is>
      </c>
      <c r="AE177" s="4" t="n">
        <v>1229176</v>
      </c>
      <c r="AF177" s="4" t="n"/>
      <c r="AG177" s="4" t="inlineStr">
        <is>
          <t>FCL/FCL</t>
        </is>
      </c>
      <c r="AH177" s="4" t="inlineStr">
        <is>
          <t>GENERAL COMMODITY</t>
        </is>
      </c>
      <c r="AI177" s="10" t="n">
        <v>28350</v>
      </c>
      <c r="AJ177" s="9" t="n">
        <v>27</v>
      </c>
      <c r="AK177" s="4" t="inlineStr">
        <is>
          <t>BLO</t>
        </is>
      </c>
      <c r="AL177" s="4" t="n"/>
      <c r="AM177" s="4" t="n"/>
      <c r="AN177" s="4" t="n"/>
      <c r="AO177" s="4" t="n"/>
      <c r="AP177" s="4" t="n"/>
      <c r="AQ177" s="4" t="n"/>
      <c r="AR177" s="4" t="n">
        <v>4650</v>
      </c>
      <c r="AS177" s="4" t="n">
        <v>28000</v>
      </c>
      <c r="AT177" s="12" t="n"/>
    </row>
    <row r="178" ht="10.5" customFormat="1" customHeight="1" s="6">
      <c r="A178" s="11" t="n">
        <v>177</v>
      </c>
      <c r="B178" s="4" t="inlineStr">
        <is>
          <t>MERCURY / VOYAGE 1</t>
        </is>
      </c>
      <c r="C178" s="4" t="inlineStr">
        <is>
          <t>REF000000</t>
        </is>
      </c>
      <c r="D178" s="7" t="n">
        <v>46095</v>
      </c>
      <c r="E178" s="4" t="n">
        <v>46104</v>
      </c>
      <c r="F178" s="4" t="inlineStr">
        <is>
          <t>RULED</t>
        </is>
      </c>
      <c r="G178" s="4" t="inlineStr">
        <is>
          <t>RULED</t>
        </is>
      </c>
      <c r="H178" s="4" t="inlineStr">
        <is>
          <t>USNYC</t>
        </is>
      </c>
      <c r="I178" s="4" t="inlineStr">
        <is>
          <t>USNYC</t>
        </is>
      </c>
      <c r="J178" s="4" t="n"/>
      <c r="K178" s="8" t="n"/>
      <c r="L178" s="4" t="inlineStr">
        <is>
          <t>TURTLE REEFER</t>
        </is>
      </c>
      <c r="M178" s="4" t="inlineStr">
        <is>
          <t>TURTLE REEFER</t>
        </is>
      </c>
      <c r="N178" s="9" t="n"/>
      <c r="O178" s="9" t="n"/>
      <c r="P178" s="4" t="inlineStr">
        <is>
          <t>TURTLE REEFER</t>
        </is>
      </c>
      <c r="Q178" s="4" t="inlineStr">
        <is>
          <t>TURTLE REEFER</t>
        </is>
      </c>
      <c r="R178" s="4" t="n"/>
      <c r="S178" s="4" t="n"/>
      <c r="T178" s="4" t="inlineStr">
        <is>
          <t>TURTLE REEFER</t>
        </is>
      </c>
      <c r="U178" s="4" t="inlineStr">
        <is>
          <t>AVENIDA DAS ARAUCARIAS, 5126, CHAPADA - ARAUCARIA-PR - CEP: 83707754 CNPJ 02.351.006/0001-39</t>
        </is>
      </c>
      <c r="V178" s="9" t="n">
        <v>21</v>
      </c>
      <c r="W178" s="9" t="n">
        <v>0</v>
      </c>
      <c r="X178" s="10" t="n">
        <v>349650</v>
      </c>
      <c r="Y178" s="10" t="n">
        <v>333000</v>
      </c>
      <c r="Z178" s="9" t="n">
        <v>333</v>
      </c>
      <c r="AA178" s="4" t="n"/>
      <c r="AB178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8" s="4" t="inlineStr">
        <is>
          <t>ANON0000000</t>
        </is>
      </c>
      <c r="AD178" s="4" t="inlineStr">
        <is>
          <t>RH40</t>
        </is>
      </c>
      <c r="AE178" s="4" t="n">
        <v>1229171</v>
      </c>
      <c r="AF178" s="4" t="n"/>
      <c r="AG178" s="4" t="inlineStr">
        <is>
          <t>FCL/FCL</t>
        </is>
      </c>
      <c r="AH178" s="4" t="inlineStr">
        <is>
          <t>GENERAL COMMODITY</t>
        </is>
      </c>
      <c r="AI178" s="10" t="n">
        <v>29400</v>
      </c>
      <c r="AJ178" s="9" t="n">
        <v>28</v>
      </c>
      <c r="AK178" s="4" t="inlineStr">
        <is>
          <t>BLO</t>
        </is>
      </c>
      <c r="AL178" s="4" t="n"/>
      <c r="AM178" s="4" t="n"/>
      <c r="AN178" s="4" t="n"/>
      <c r="AO178" s="4" t="n"/>
      <c r="AP178" s="4" t="n"/>
      <c r="AQ178" s="4" t="n"/>
      <c r="AR178" s="4" t="n">
        <v>4640</v>
      </c>
      <c r="AS178" s="4" t="n">
        <v>28000</v>
      </c>
      <c r="AT178" s="12" t="n"/>
    </row>
    <row r="179" ht="10.5" customFormat="1" customHeight="1" s="6">
      <c r="A179" s="11" t="n">
        <v>178</v>
      </c>
      <c r="B179" s="4" t="inlineStr">
        <is>
          <t>MERCURY / VOYAGE 1</t>
        </is>
      </c>
      <c r="C179" s="4" t="inlineStr">
        <is>
          <t>REF000000</t>
        </is>
      </c>
      <c r="D179" s="7" t="n">
        <v>46095</v>
      </c>
      <c r="E179" s="4" t="n">
        <v>46104</v>
      </c>
      <c r="F179" s="4" t="inlineStr">
        <is>
          <t>RULED</t>
        </is>
      </c>
      <c r="G179" s="4" t="inlineStr">
        <is>
          <t>RULED</t>
        </is>
      </c>
      <c r="H179" s="4" t="inlineStr">
        <is>
          <t>USNYC</t>
        </is>
      </c>
      <c r="I179" s="4" t="inlineStr">
        <is>
          <t>USNYC</t>
        </is>
      </c>
      <c r="J179" s="4" t="n"/>
      <c r="K179" s="8" t="n"/>
      <c r="L179" s="4" t="inlineStr">
        <is>
          <t>ORCA REEFER</t>
        </is>
      </c>
      <c r="M179" s="4" t="inlineStr">
        <is>
          <t>ORCA REEFER</t>
        </is>
      </c>
      <c r="N179" s="9" t="n"/>
      <c r="O179" s="9" t="n"/>
      <c r="P179" s="4" t="inlineStr">
        <is>
          <t>ORCA REEFER</t>
        </is>
      </c>
      <c r="Q179" s="4" t="inlineStr">
        <is>
          <t>ORCA REEFER</t>
        </is>
      </c>
      <c r="R179" s="4" t="n"/>
      <c r="S179" s="4" t="n"/>
      <c r="T179" s="4" t="inlineStr">
        <is>
          <t>ORCA REEFER</t>
        </is>
      </c>
      <c r="U179" s="4" t="inlineStr">
        <is>
          <t>AVENIDA DAS ARAUCARIAS, 5126, CHAPADA - ARAUCARIA-PR - CEP: 83707754 CNPJ 02.351.006/0001-39</t>
        </is>
      </c>
      <c r="V179" s="9" t="n">
        <v>21</v>
      </c>
      <c r="W179" s="9" t="n">
        <v>0</v>
      </c>
      <c r="X179" s="10" t="n">
        <v>349650</v>
      </c>
      <c r="Y179" s="10" t="n">
        <v>333000</v>
      </c>
      <c r="Z179" s="9" t="n">
        <v>333</v>
      </c>
      <c r="AA179" s="4" t="n"/>
      <c r="AB179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79" s="4" t="inlineStr">
        <is>
          <t>ANON0000000</t>
        </is>
      </c>
      <c r="AD179" s="4" t="inlineStr">
        <is>
          <t>RH40</t>
        </is>
      </c>
      <c r="AE179" s="4" t="n">
        <v>1229175</v>
      </c>
      <c r="AF179" s="4" t="n"/>
      <c r="AG179" s="4" t="inlineStr">
        <is>
          <t>FCL/FCL</t>
        </is>
      </c>
      <c r="AH179" s="4" t="inlineStr">
        <is>
          <t>GENERAL COMMODITY</t>
        </is>
      </c>
      <c r="AI179" s="10" t="n">
        <v>28350</v>
      </c>
      <c r="AJ179" s="9" t="n">
        <v>27</v>
      </c>
      <c r="AK179" s="4" t="inlineStr">
        <is>
          <t>BLO</t>
        </is>
      </c>
      <c r="AL179" s="4" t="n"/>
      <c r="AM179" s="4" t="n"/>
      <c r="AN179" s="4" t="n"/>
      <c r="AO179" s="4" t="n"/>
      <c r="AP179" s="4" t="n"/>
      <c r="AQ179" s="4" t="n"/>
      <c r="AR179" s="4" t="n">
        <v>4700</v>
      </c>
      <c r="AS179" s="4" t="n">
        <v>28000</v>
      </c>
      <c r="AT179" s="12" t="n"/>
    </row>
    <row r="180" ht="11.25" customFormat="1" customHeight="1" s="6">
      <c r="A180" s="11" t="n">
        <v>179</v>
      </c>
      <c r="B180" s="4" t="inlineStr">
        <is>
          <t>MERCURY / VOYAGE 1</t>
        </is>
      </c>
      <c r="C180" s="4" t="inlineStr">
        <is>
          <t>REF000000</t>
        </is>
      </c>
      <c r="D180" s="7" t="n">
        <v>46095</v>
      </c>
      <c r="E180" s="4" t="n">
        <v>46104</v>
      </c>
      <c r="F180" s="4" t="inlineStr">
        <is>
          <t>RULED</t>
        </is>
      </c>
      <c r="G180" s="4" t="inlineStr">
        <is>
          <t>RULED</t>
        </is>
      </c>
      <c r="H180" s="4" t="inlineStr">
        <is>
          <t>USNYC</t>
        </is>
      </c>
      <c r="I180" s="4" t="inlineStr">
        <is>
          <t>USNYC</t>
        </is>
      </c>
      <c r="J180" s="4" t="n"/>
      <c r="K180" s="8" t="n"/>
      <c r="L180" s="4" t="inlineStr">
        <is>
          <t>WHALE REEFER</t>
        </is>
      </c>
      <c r="M180" s="4" t="inlineStr">
        <is>
          <t>WHALE REEFER</t>
        </is>
      </c>
      <c r="N180" s="9" t="n"/>
      <c r="O180" s="9" t="n"/>
      <c r="P180" s="4" t="inlineStr">
        <is>
          <t>WHALE REEFER</t>
        </is>
      </c>
      <c r="Q180" s="4" t="inlineStr">
        <is>
          <t>WHALE REEFER</t>
        </is>
      </c>
      <c r="R180" s="4" t="n"/>
      <c r="S180" s="4" t="n"/>
      <c r="T180" s="4" t="inlineStr">
        <is>
          <t>WHALE REEFER</t>
        </is>
      </c>
      <c r="U180" s="4" t="inlineStr">
        <is>
          <t>AVENIDA DAS ARAUCARIAS, 5126, CHAPADA - ARAUCARIA-PR - CEP: 83707754 CNPJ 02.351.006/0001-39</t>
        </is>
      </c>
      <c r="V180" s="9" t="n">
        <v>21</v>
      </c>
      <c r="W180" s="9" t="n">
        <v>0</v>
      </c>
      <c r="X180" s="10" t="n">
        <v>349650</v>
      </c>
      <c r="Y180" s="10" t="n">
        <v>333000</v>
      </c>
      <c r="Z180" s="9" t="n">
        <v>333</v>
      </c>
      <c r="AA180" s="4" t="n"/>
      <c r="AB180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80" s="4" t="inlineStr">
        <is>
          <t>ANON0000000</t>
        </is>
      </c>
      <c r="AD180" s="4" t="inlineStr">
        <is>
          <t>RH40</t>
        </is>
      </c>
      <c r="AE180" s="4" t="n">
        <v>1229108</v>
      </c>
      <c r="AF180" s="4" t="n"/>
      <c r="AG180" s="4" t="inlineStr">
        <is>
          <t>FCL/FCL</t>
        </is>
      </c>
      <c r="AH180" s="4" t="inlineStr">
        <is>
          <t>GENERAL COMMODITY</t>
        </is>
      </c>
      <c r="AI180" s="10" t="n">
        <v>29400</v>
      </c>
      <c r="AJ180" s="9" t="n">
        <v>28</v>
      </c>
      <c r="AK180" s="4" t="inlineStr">
        <is>
          <t>BLO</t>
        </is>
      </c>
      <c r="AL180" s="4" t="n"/>
      <c r="AM180" s="4" t="n"/>
      <c r="AN180" s="4" t="n"/>
      <c r="AO180" s="4" t="n"/>
      <c r="AP180" s="4" t="n"/>
      <c r="AQ180" s="4" t="n"/>
      <c r="AR180" s="4" t="n">
        <v>4580</v>
      </c>
      <c r="AS180" s="4" t="n">
        <v>28000</v>
      </c>
      <c r="AT180" s="12" t="n"/>
    </row>
    <row r="181" ht="10.5" customFormat="1" customHeight="1" s="6">
      <c r="A181" s="11" t="n">
        <v>180</v>
      </c>
      <c r="B181" s="4" t="inlineStr">
        <is>
          <t>MERCURY / VOYAGE 1</t>
        </is>
      </c>
      <c r="C181" s="4" t="inlineStr">
        <is>
          <t>REF000000</t>
        </is>
      </c>
      <c r="D181" s="7" t="n">
        <v>46095</v>
      </c>
      <c r="E181" s="4" t="n">
        <v>46104</v>
      </c>
      <c r="F181" s="4" t="inlineStr">
        <is>
          <t>RULED</t>
        </is>
      </c>
      <c r="G181" s="4" t="inlineStr">
        <is>
          <t>RULED</t>
        </is>
      </c>
      <c r="H181" s="4" t="inlineStr">
        <is>
          <t>USNYC</t>
        </is>
      </c>
      <c r="I181" s="4" t="inlineStr">
        <is>
          <t>USNYC</t>
        </is>
      </c>
      <c r="J181" s="4" t="n"/>
      <c r="K181" s="8" t="n"/>
      <c r="L181" s="4" t="inlineStr">
        <is>
          <t>SEAL REEFER</t>
        </is>
      </c>
      <c r="M181" s="4" t="inlineStr">
        <is>
          <t>SEAL REEFER</t>
        </is>
      </c>
      <c r="N181" s="9" t="n"/>
      <c r="O181" s="9" t="n"/>
      <c r="P181" s="4" t="inlineStr">
        <is>
          <t>SEAL REEFER</t>
        </is>
      </c>
      <c r="Q181" s="4" t="inlineStr">
        <is>
          <t>SEAL REEFER</t>
        </is>
      </c>
      <c r="R181" s="4" t="n"/>
      <c r="S181" s="4" t="n"/>
      <c r="T181" s="4" t="inlineStr">
        <is>
          <t>SEAL REEFER</t>
        </is>
      </c>
      <c r="U181" s="4" t="inlineStr">
        <is>
          <t>AVENIDA DAS ARAUCARIAS, 5126, CHAPADA - ARAUCARIA-PR - CEP: 83707754 CNPJ 02.351.006/0001-39</t>
        </is>
      </c>
      <c r="V181" s="9" t="n">
        <v>21</v>
      </c>
      <c r="W181" s="9" t="n">
        <v>0</v>
      </c>
      <c r="X181" s="10" t="n">
        <v>349650</v>
      </c>
      <c r="Y181" s="10" t="n">
        <v>333000</v>
      </c>
      <c r="Z181" s="9" t="n">
        <v>333</v>
      </c>
      <c r="AA181" s="4" t="n"/>
      <c r="AB181" s="4" t="inlineStr">
        <is>
          <t>SAID TO CONTAIN / WEIGH &amp; MEASURE 12 X 40NOR CONTAINERS SAID TO CONTAIN 333 BITUBLOCK(S) OF POLYMER MODIFIED BITUMEN 50/70 NCM CODE 2713.20.00 NET WEIGHT: 333,00 MTS, GROSS WEIGHT: 349,65 MTS WOODEN PACKAGING - TREATED AND CERTIFIED</t>
        </is>
      </c>
      <c r="AC181" s="4" t="inlineStr">
        <is>
          <t>ANON0000000</t>
        </is>
      </c>
      <c r="AD181" s="4" t="inlineStr">
        <is>
          <t>RH40</t>
        </is>
      </c>
      <c r="AE181" s="4" t="n">
        <v>1229173</v>
      </c>
      <c r="AF181" s="4" t="n"/>
      <c r="AG181" s="4" t="inlineStr">
        <is>
          <t>FCL/FCL</t>
        </is>
      </c>
      <c r="AH181" s="4" t="inlineStr">
        <is>
          <t>GENERAL COMMODITY</t>
        </is>
      </c>
      <c r="AI181" s="10" t="n">
        <v>29400</v>
      </c>
      <c r="AJ181" s="9" t="n">
        <v>28</v>
      </c>
      <c r="AK181" s="4" t="inlineStr">
        <is>
          <t>BLO</t>
        </is>
      </c>
      <c r="AL181" s="4" t="n"/>
      <c r="AM181" s="4" t="n"/>
      <c r="AN181" s="4" t="n"/>
      <c r="AO181" s="4" t="n"/>
      <c r="AP181" s="4" t="n"/>
      <c r="AQ181" s="4" t="n"/>
      <c r="AR181" s="4" t="n">
        <v>4400</v>
      </c>
      <c r="AS181" s="4" t="n">
        <v>28000</v>
      </c>
      <c r="AT181" s="12" t="n"/>
    </row>
    <row r="182" ht="10.5" customFormat="1" customHeight="1" s="6">
      <c r="A182" s="11" t="n">
        <v>181</v>
      </c>
      <c r="B182" s="4" t="inlineStr">
        <is>
          <t>MERCURY / VOYAGE 1</t>
        </is>
      </c>
      <c r="C182" s="4" t="inlineStr">
        <is>
          <t>REF000000</t>
        </is>
      </c>
      <c r="D182" s="7" t="n">
        <v>46095</v>
      </c>
      <c r="E182" s="4" t="n">
        <v>46105</v>
      </c>
      <c r="F182" s="4" t="inlineStr">
        <is>
          <t>RULED</t>
        </is>
      </c>
      <c r="G182" s="4" t="inlineStr">
        <is>
          <t>RULED</t>
        </is>
      </c>
      <c r="H182" s="4" t="inlineStr">
        <is>
          <t>USHOU</t>
        </is>
      </c>
      <c r="I182" s="4" t="inlineStr">
        <is>
          <t>USHOU</t>
        </is>
      </c>
      <c r="J182" s="4" t="n"/>
      <c r="K182" s="8" t="n"/>
      <c r="L182" s="4" t="inlineStr">
        <is>
          <t>FOX DRY</t>
        </is>
      </c>
      <c r="M182" s="4" t="inlineStr">
        <is>
          <t>FOX DRY</t>
        </is>
      </c>
      <c r="N182" s="9" t="n"/>
      <c r="O182" s="9" t="n"/>
      <c r="P182" s="4" t="inlineStr">
        <is>
          <t>FOX DRY</t>
        </is>
      </c>
      <c r="Q182" s="4" t="inlineStr">
        <is>
          <t>FOX DRY</t>
        </is>
      </c>
      <c r="R182" s="4" t="n"/>
      <c r="S182" s="4" t="n"/>
      <c r="T182" s="4" t="inlineStr">
        <is>
          <t>FOX DRY</t>
        </is>
      </c>
      <c r="U182" s="4" t="inlineStr">
        <is>
          <t>ESTRADA SANTO BORTOLINI, 474, SAO VERGILIO,</t>
        </is>
      </c>
      <c r="V182" s="9" t="n">
        <v>14</v>
      </c>
      <c r="W182" s="9" t="n">
        <v>0</v>
      </c>
      <c r="X182" s="10" t="n">
        <v>45067</v>
      </c>
      <c r="Y182" s="10" t="n">
        <v>44000</v>
      </c>
      <c r="Z182" s="9" t="n">
        <v>44</v>
      </c>
      <c r="AA182" s="4" t="n"/>
      <c r="AB182" s="4" t="inlineStr">
        <is>
          <t>SAID TO CONTAIN / WEIGH &amp; MEASURE</t>
        </is>
      </c>
      <c r="AC182" s="4" t="inlineStr">
        <is>
          <t>ANON0000000</t>
        </is>
      </c>
      <c r="AD182" s="4" t="inlineStr">
        <is>
          <t>HC40</t>
        </is>
      </c>
      <c r="AE182" s="4" t="n">
        <v>30271687</v>
      </c>
      <c r="AF182" s="4" t="n"/>
      <c r="AG182" s="4" t="inlineStr">
        <is>
          <t>FCL/FCL</t>
        </is>
      </c>
      <c r="AH182" s="4" t="inlineStr">
        <is>
          <t>GENERAL COMMODITY</t>
        </is>
      </c>
      <c r="AI182" s="10" t="n">
        <v>22610</v>
      </c>
      <c r="AJ182" s="9" t="n">
        <v>22</v>
      </c>
      <c r="AK182" s="4" t="inlineStr">
        <is>
          <t>PLT</t>
        </is>
      </c>
      <c r="AL182" s="4" t="n"/>
      <c r="AM182" s="4" t="n"/>
      <c r="AN182" s="4" t="n"/>
      <c r="AO182" s="4" t="n"/>
      <c r="AP182" s="4" t="n"/>
      <c r="AQ182" s="4" t="n"/>
      <c r="AR182" s="4" t="n">
        <v>3700</v>
      </c>
      <c r="AS182" s="4" t="n">
        <v>27000</v>
      </c>
      <c r="AT182" s="12" t="n"/>
    </row>
    <row r="183" ht="10.5" customFormat="1" customHeight="1" s="6">
      <c r="A183" s="11" t="n">
        <v>182</v>
      </c>
      <c r="B183" s="4" t="inlineStr">
        <is>
          <t>MERCURY / VOYAGE 1</t>
        </is>
      </c>
      <c r="C183" s="4" t="inlineStr">
        <is>
          <t>REF000000</t>
        </is>
      </c>
      <c r="D183" s="7" t="n">
        <v>46095</v>
      </c>
      <c r="E183" s="4" t="n">
        <v>46105</v>
      </c>
      <c r="F183" s="4" t="inlineStr">
        <is>
          <t>RULED</t>
        </is>
      </c>
      <c r="G183" s="4" t="inlineStr">
        <is>
          <t>RULED</t>
        </is>
      </c>
      <c r="H183" s="4" t="inlineStr">
        <is>
          <t>USHOU</t>
        </is>
      </c>
      <c r="I183" s="4" t="inlineStr">
        <is>
          <t>USHOU</t>
        </is>
      </c>
      <c r="J183" s="4" t="n"/>
      <c r="K183" s="8" t="n"/>
      <c r="L183" s="4" t="inlineStr">
        <is>
          <t>BISON DRY</t>
        </is>
      </c>
      <c r="M183" s="4" t="inlineStr">
        <is>
          <t>BISON DRY</t>
        </is>
      </c>
      <c r="N183" s="9" t="n"/>
      <c r="O183" s="9" t="n"/>
      <c r="P183" s="4" t="inlineStr">
        <is>
          <t>BISON DRY</t>
        </is>
      </c>
      <c r="Q183" s="4" t="inlineStr">
        <is>
          <t>BISON DRY</t>
        </is>
      </c>
      <c r="R183" s="4" t="n"/>
      <c r="S183" s="4" t="n"/>
      <c r="T183" s="4" t="inlineStr">
        <is>
          <t>BISON DRY</t>
        </is>
      </c>
      <c r="U183" s="4" t="inlineStr">
        <is>
          <t>ESTRADA SANTO BORTOLINI, 474, SAO VERGILIO,</t>
        </is>
      </c>
      <c r="V183" s="9" t="n">
        <v>14</v>
      </c>
      <c r="W183" s="9" t="n">
        <v>0</v>
      </c>
      <c r="X183" s="10" t="n">
        <v>45067</v>
      </c>
      <c r="Y183" s="10" t="n">
        <v>44000</v>
      </c>
      <c r="Z183" s="9" t="n">
        <v>44</v>
      </c>
      <c r="AA183" s="4" t="n"/>
      <c r="AB183" s="4" t="inlineStr">
        <is>
          <t>SAID TO CONTAIN / WEIGH &amp; MEASURE</t>
        </is>
      </c>
      <c r="AC183" s="4" t="inlineStr">
        <is>
          <t>ANON0000000</t>
        </is>
      </c>
      <c r="AD183" s="4" t="inlineStr">
        <is>
          <t>HC40</t>
        </is>
      </c>
      <c r="AE183" s="4" t="n">
        <v>30271677</v>
      </c>
      <c r="AF183" s="4" t="n"/>
      <c r="AG183" s="4" t="inlineStr">
        <is>
          <t>FCL/FCL</t>
        </is>
      </c>
      <c r="AH183" s="4" t="inlineStr">
        <is>
          <t>GENERAL COMMODITY</t>
        </is>
      </c>
      <c r="AI183" s="10" t="n">
        <v>22457</v>
      </c>
      <c r="AJ183" s="9" t="n">
        <v>22</v>
      </c>
      <c r="AK183" s="4" t="inlineStr">
        <is>
          <t>PLT</t>
        </is>
      </c>
      <c r="AL183" s="4" t="n"/>
      <c r="AM183" s="4" t="n"/>
      <c r="AN183" s="4" t="n"/>
      <c r="AO183" s="4" t="n"/>
      <c r="AP183" s="4" t="n"/>
      <c r="AQ183" s="4" t="n"/>
      <c r="AR183" s="4" t="n">
        <v>3700</v>
      </c>
      <c r="AS183" s="4" t="n">
        <v>27000</v>
      </c>
      <c r="AT183" s="12" t="n"/>
    </row>
    <row r="184" ht="10.5" customFormat="1" customHeight="1" s="6">
      <c r="A184" s="11" t="n">
        <v>183</v>
      </c>
      <c r="B184" s="4" t="inlineStr">
        <is>
          <t>MERCURY / VOYAGE 1</t>
        </is>
      </c>
      <c r="C184" s="4" t="inlineStr">
        <is>
          <t>REF000000</t>
        </is>
      </c>
      <c r="D184" s="7" t="n">
        <v>46095</v>
      </c>
      <c r="E184" s="4" t="n">
        <v>46105</v>
      </c>
      <c r="F184" s="4" t="inlineStr">
        <is>
          <t>RULED</t>
        </is>
      </c>
      <c r="G184" s="4" t="inlineStr">
        <is>
          <t>RULED</t>
        </is>
      </c>
      <c r="H184" s="4" t="inlineStr">
        <is>
          <t>USHOU</t>
        </is>
      </c>
      <c r="I184" s="4" t="inlineStr">
        <is>
          <t>USHOU</t>
        </is>
      </c>
      <c r="J184" s="4" t="n"/>
      <c r="K184" s="8" t="n"/>
      <c r="L184" s="4" t="inlineStr">
        <is>
          <t>EAGLE DRY</t>
        </is>
      </c>
      <c r="M184" s="4" t="inlineStr">
        <is>
          <t>EAGLE DRY</t>
        </is>
      </c>
      <c r="N184" s="9" t="n"/>
      <c r="O184" s="9" t="n"/>
      <c r="P184" s="4" t="inlineStr">
        <is>
          <t>EAGLE DRY</t>
        </is>
      </c>
      <c r="Q184" s="4" t="inlineStr">
        <is>
          <t>EAGLE DRY</t>
        </is>
      </c>
      <c r="R184" s="4" t="n"/>
      <c r="S184" s="4" t="n"/>
      <c r="T184" s="4" t="inlineStr">
        <is>
          <t>EAGLE DRY</t>
        </is>
      </c>
      <c r="U184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4" s="9" t="n">
        <v>14</v>
      </c>
      <c r="W184" s="9" t="n">
        <v>0</v>
      </c>
      <c r="X184" s="10" t="n">
        <v>45013</v>
      </c>
      <c r="Y184" s="10" t="n">
        <v>44000</v>
      </c>
      <c r="Z184" s="9" t="n">
        <v>44</v>
      </c>
      <c r="AA184" s="4" t="n"/>
      <c r="AB184" s="4" t="inlineStr">
        <is>
          <t>SAID TO CONTAIN / WEIGH &amp; MEASURE HS/NCM: 2803, 22 BIG BAGS ON PALLETS PER CONTAINER, WOODEN PACKAGING: TREATED AND CERTIFIED ANON0000000 - CARBON BLACK N550 ANON0000000 - CARBON BLACK N550</t>
        </is>
      </c>
      <c r="AC184" s="4" t="inlineStr">
        <is>
          <t>ANON0000000</t>
        </is>
      </c>
      <c r="AD184" s="4" t="inlineStr">
        <is>
          <t>HC40</t>
        </is>
      </c>
      <c r="AE184" s="4" t="n">
        <v>31788</v>
      </c>
      <c r="AF184" s="4" t="n"/>
      <c r="AG184" s="4" t="inlineStr">
        <is>
          <t>FCL/FCL</t>
        </is>
      </c>
      <c r="AH184" s="4" t="inlineStr">
        <is>
          <t>GENERAL COMMODITY</t>
        </is>
      </c>
      <c r="AI184" s="10" t="n">
        <v>22500</v>
      </c>
      <c r="AJ184" s="9" t="n">
        <v>22</v>
      </c>
      <c r="AK184" s="4" t="n">
        <v>2</v>
      </c>
      <c r="AL184" s="4" t="n"/>
      <c r="AM184" s="4" t="n"/>
      <c r="AN184" s="4" t="n"/>
      <c r="AO184" s="4" t="n"/>
      <c r="AP184" s="4" t="n"/>
      <c r="AQ184" s="4" t="n"/>
      <c r="AR184" s="4" t="n">
        <v>3700</v>
      </c>
      <c r="AS184" s="4" t="n">
        <v>27000</v>
      </c>
      <c r="AT184" s="12" t="n"/>
    </row>
    <row r="185" ht="11.25" customFormat="1" customHeight="1" s="6">
      <c r="A185" s="11" t="n">
        <v>184</v>
      </c>
      <c r="B185" s="4" t="inlineStr">
        <is>
          <t>MERCURY / VOYAGE 1</t>
        </is>
      </c>
      <c r="C185" s="4" t="inlineStr">
        <is>
          <t>REF000000</t>
        </is>
      </c>
      <c r="D185" s="7" t="n">
        <v>46095</v>
      </c>
      <c r="E185" s="4" t="n">
        <v>46105</v>
      </c>
      <c r="F185" s="4" t="inlineStr">
        <is>
          <t>RULED</t>
        </is>
      </c>
      <c r="G185" s="4" t="inlineStr">
        <is>
          <t>RULED</t>
        </is>
      </c>
      <c r="H185" s="4" t="inlineStr">
        <is>
          <t>USHOU</t>
        </is>
      </c>
      <c r="I185" s="4" t="inlineStr">
        <is>
          <t>USHOU</t>
        </is>
      </c>
      <c r="J185" s="4" t="n"/>
      <c r="K185" s="8" t="n"/>
      <c r="L185" s="4" t="inlineStr">
        <is>
          <t>COYOTE DRY</t>
        </is>
      </c>
      <c r="M185" s="4" t="inlineStr">
        <is>
          <t>COYOTE DRY</t>
        </is>
      </c>
      <c r="N185" s="4" t="n"/>
      <c r="O185" s="4" t="n"/>
      <c r="P185" s="4" t="inlineStr">
        <is>
          <t>COYOTE DRY</t>
        </is>
      </c>
      <c r="Q185" s="4" t="inlineStr">
        <is>
          <t>COYOTE DRY</t>
        </is>
      </c>
      <c r="R185" s="4" t="n"/>
      <c r="S185" s="4" t="n"/>
      <c r="T185" s="4" t="inlineStr">
        <is>
          <t>COYOTE DRY</t>
        </is>
      </c>
      <c r="U185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5" s="4" t="n">
        <v>14</v>
      </c>
      <c r="W185" s="4" t="n">
        <v>0</v>
      </c>
      <c r="X185" s="4" t="n">
        <v>45013</v>
      </c>
      <c r="Y185" s="4" t="n">
        <v>44000</v>
      </c>
      <c r="Z185" s="4" t="n">
        <v>44</v>
      </c>
      <c r="AA185" s="4" t="n"/>
      <c r="AB185" s="4" t="inlineStr">
        <is>
          <t>SAID TO CONTAIN / WEIGH &amp; MEASURE HS/NCM: 2803, 22 BIG BAGS ON PALLETS PER CONTAINER, WOODEN PACKAGING: TREATED AND CERTIFIED ANON0000000 - CARBON BLACK N550 ANON0000000 - CARBON BLACK N550</t>
        </is>
      </c>
      <c r="AC185" s="4" t="inlineStr">
        <is>
          <t>ANON0000000</t>
        </is>
      </c>
      <c r="AD185" s="4" t="inlineStr">
        <is>
          <t>HC40</t>
        </is>
      </c>
      <c r="AE185" s="4" t="n">
        <v>30385338</v>
      </c>
      <c r="AF185" s="4" t="n"/>
      <c r="AG185" s="4" t="inlineStr">
        <is>
          <t>FCL/FCL</t>
        </is>
      </c>
      <c r="AH185" s="4" t="inlineStr">
        <is>
          <t>GENERAL COMMODITY</t>
        </is>
      </c>
      <c r="AI185" s="4" t="n">
        <v>22513</v>
      </c>
      <c r="AJ185" s="4" t="n">
        <v>22</v>
      </c>
      <c r="AK185" s="4" t="n">
        <v>2</v>
      </c>
      <c r="AL185" s="4" t="n"/>
      <c r="AM185" s="4" t="n"/>
      <c r="AN185" s="4" t="n"/>
      <c r="AO185" s="4" t="n"/>
      <c r="AP185" s="4" t="n"/>
      <c r="AQ185" s="4" t="n"/>
      <c r="AR185" s="4" t="n">
        <v>3700</v>
      </c>
      <c r="AS185" s="4" t="n">
        <v>27000</v>
      </c>
      <c r="AT185" s="12" t="n"/>
    </row>
    <row r="186" ht="10.5" customFormat="1" customHeight="1" s="6">
      <c r="A186" s="11" t="n">
        <v>185</v>
      </c>
      <c r="B186" s="4" t="inlineStr">
        <is>
          <t>MERCURY / VOYAGE 1</t>
        </is>
      </c>
      <c r="C186" s="4" t="inlineStr">
        <is>
          <t>REF000000</t>
        </is>
      </c>
      <c r="D186" s="7" t="n">
        <v>46095</v>
      </c>
      <c r="E186" s="4" t="n">
        <v>46105</v>
      </c>
      <c r="F186" s="4" t="inlineStr">
        <is>
          <t>RULED</t>
        </is>
      </c>
      <c r="G186" s="4" t="inlineStr">
        <is>
          <t>RULED</t>
        </is>
      </c>
      <c r="H186" s="4" t="inlineStr">
        <is>
          <t>USHOU</t>
        </is>
      </c>
      <c r="I186" s="4" t="inlineStr">
        <is>
          <t>USHOU</t>
        </is>
      </c>
      <c r="J186" s="4" t="n"/>
      <c r="K186" s="8" t="n"/>
      <c r="L186" s="4" t="inlineStr">
        <is>
          <t>FALCON DRY</t>
        </is>
      </c>
      <c r="M186" s="4" t="inlineStr">
        <is>
          <t>FALCON DRY</t>
        </is>
      </c>
      <c r="N186" s="4" t="n"/>
      <c r="O186" s="4" t="n"/>
      <c r="P186" s="4" t="inlineStr">
        <is>
          <t>FALCON DRY</t>
        </is>
      </c>
      <c r="Q186" s="4" t="inlineStr">
        <is>
          <t>FALCON DRY</t>
        </is>
      </c>
      <c r="R186" s="4" t="n"/>
      <c r="S186" s="4" t="n"/>
      <c r="T186" s="4" t="inlineStr">
        <is>
          <t>FALCON DRY</t>
        </is>
      </c>
      <c r="U186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6" s="4" t="n">
        <v>14</v>
      </c>
      <c r="W186" s="4" t="n">
        <v>0</v>
      </c>
      <c r="X186" s="4" t="n">
        <v>44667</v>
      </c>
      <c r="Y186" s="4" t="n">
        <v>44000</v>
      </c>
      <c r="Z186" s="4" t="n">
        <v>44</v>
      </c>
      <c r="AA186" s="4" t="n"/>
      <c r="AB186" s="4" t="inlineStr">
        <is>
          <t>SAID TO CONTAIN / WEIGH &amp; MEASURE 22 BIG BAGS ON PALLETS PER CONTAINER, WOODEN PACKAGING: TREATED AND CERTIFIED, HS/NCM:2803 ANON0000000 - CARBON BLACK N330 ANON0000000 - CARBON BLACK N330</t>
        </is>
      </c>
      <c r="AC186" s="4" t="inlineStr">
        <is>
          <t>ANON0000000</t>
        </is>
      </c>
      <c r="AD186" s="4" t="inlineStr">
        <is>
          <t>HC40</t>
        </is>
      </c>
      <c r="AE186" s="4" t="n">
        <v>30270668</v>
      </c>
      <c r="AF186" s="4" t="n"/>
      <c r="AG186" s="4" t="inlineStr">
        <is>
          <t>FCL/FCL</t>
        </is>
      </c>
      <c r="AH186" s="4" t="inlineStr">
        <is>
          <t>GENERAL COMMODITY</t>
        </is>
      </c>
      <c r="AI186" s="4" t="n">
        <v>22445</v>
      </c>
      <c r="AJ186" s="4" t="n">
        <v>22</v>
      </c>
      <c r="AK186" s="4" t="inlineStr">
        <is>
          <t>PLT</t>
        </is>
      </c>
      <c r="AL186" s="4" t="n"/>
      <c r="AM186" s="4" t="n"/>
      <c r="AN186" s="4" t="n"/>
      <c r="AO186" s="4" t="n"/>
      <c r="AP186" s="4" t="n"/>
      <c r="AQ186" s="4" t="n"/>
      <c r="AR186" s="4" t="n">
        <v>3700</v>
      </c>
      <c r="AS186" s="4" t="n">
        <v>27000</v>
      </c>
      <c r="AT186" s="12" t="n"/>
    </row>
    <row r="187" ht="10.5" customFormat="1" customHeight="1" s="6">
      <c r="A187" s="11" t="n">
        <v>186</v>
      </c>
      <c r="B187" s="4" t="inlineStr">
        <is>
          <t>MERCURY / VOYAGE 1</t>
        </is>
      </c>
      <c r="C187" s="4" t="inlineStr">
        <is>
          <t>REF000000</t>
        </is>
      </c>
      <c r="D187" s="7" t="n">
        <v>46095</v>
      </c>
      <c r="E187" s="4" t="n">
        <v>46105</v>
      </c>
      <c r="F187" s="4" t="inlineStr">
        <is>
          <t>RULED</t>
        </is>
      </c>
      <c r="G187" s="4" t="inlineStr">
        <is>
          <t>RULED</t>
        </is>
      </c>
      <c r="H187" s="4" t="inlineStr">
        <is>
          <t>USHOU</t>
        </is>
      </c>
      <c r="I187" s="4" t="inlineStr">
        <is>
          <t>USHOU</t>
        </is>
      </c>
      <c r="J187" s="4" t="n"/>
      <c r="K187" s="8" t="n"/>
      <c r="L187" s="4" t="inlineStr">
        <is>
          <t>WOLF DRY</t>
        </is>
      </c>
      <c r="M187" s="4" t="inlineStr">
        <is>
          <t>WOLF DRY</t>
        </is>
      </c>
      <c r="N187" s="4" t="n"/>
      <c r="O187" s="4" t="n"/>
      <c r="P187" s="4" t="inlineStr">
        <is>
          <t>WOLF DRY</t>
        </is>
      </c>
      <c r="Q187" s="4" t="inlineStr">
        <is>
          <t>WOLF DRY</t>
        </is>
      </c>
      <c r="R187" s="4" t="n"/>
      <c r="S187" s="4" t="n"/>
      <c r="T187" s="4" t="inlineStr">
        <is>
          <t>WOLF DRY</t>
        </is>
      </c>
      <c r="U187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7" s="4" t="n">
        <v>14</v>
      </c>
      <c r="W187" s="4" t="n">
        <v>0</v>
      </c>
      <c r="X187" s="4" t="n">
        <v>44667</v>
      </c>
      <c r="Y187" s="4" t="n">
        <v>44000</v>
      </c>
      <c r="Z187" s="4" t="n">
        <v>44</v>
      </c>
      <c r="AA187" s="4" t="n"/>
      <c r="AB187" s="4" t="inlineStr">
        <is>
          <t>SAID TO CONTAIN / WEIGH &amp; MEASURE 22 BIG BAGS ON PALLETS PER CONTAINER, WOODEN PACKAGING: TREATED AND CERTIFIED, HS/NCM:2803 ANON0000000 - CARBON BLACK N330 ANON0000000 - CARBON BLACK N330</t>
        </is>
      </c>
      <c r="AC187" s="4" t="inlineStr">
        <is>
          <t>ANON0000000</t>
        </is>
      </c>
      <c r="AD187" s="4" t="inlineStr">
        <is>
          <t>HC40</t>
        </is>
      </c>
      <c r="AE187" s="4" t="n">
        <v>30271610</v>
      </c>
      <c r="AF187" s="4" t="n"/>
      <c r="AG187" s="4" t="inlineStr">
        <is>
          <t>FCL/FCL</t>
        </is>
      </c>
      <c r="AH187" s="4" t="inlineStr">
        <is>
          <t>GENERAL COMMODITY</t>
        </is>
      </c>
      <c r="AI187" s="4" t="n">
        <v>22222</v>
      </c>
      <c r="AJ187" s="4" t="n">
        <v>22</v>
      </c>
      <c r="AK187" s="4" t="inlineStr">
        <is>
          <t>PLT</t>
        </is>
      </c>
      <c r="AL187" s="4" t="n"/>
      <c r="AM187" s="4" t="n"/>
      <c r="AN187" s="4" t="n"/>
      <c r="AO187" s="4" t="n"/>
      <c r="AP187" s="4" t="n"/>
      <c r="AQ187" s="4" t="n"/>
      <c r="AR187" s="4" t="n">
        <v>3700</v>
      </c>
      <c r="AS187" s="4" t="n">
        <v>27000</v>
      </c>
      <c r="AT187" s="12" t="n"/>
    </row>
    <row r="188" ht="10.5" customFormat="1" customHeight="1" s="6">
      <c r="A188" s="11" t="n">
        <v>187</v>
      </c>
      <c r="B188" s="4" t="inlineStr">
        <is>
          <t>MERCURY / VOYAGE 1</t>
        </is>
      </c>
      <c r="C188" s="4" t="inlineStr">
        <is>
          <t>REF000000</t>
        </is>
      </c>
      <c r="D188" s="7" t="n">
        <v>46095</v>
      </c>
      <c r="E188" s="4" t="n">
        <v>46105</v>
      </c>
      <c r="F188" s="4" t="inlineStr">
        <is>
          <t>RULED</t>
        </is>
      </c>
      <c r="G188" s="4" t="inlineStr">
        <is>
          <t>RULED</t>
        </is>
      </c>
      <c r="H188" s="4" t="inlineStr">
        <is>
          <t>USHOU</t>
        </is>
      </c>
      <c r="I188" s="4" t="inlineStr">
        <is>
          <t>USHOU</t>
        </is>
      </c>
      <c r="J188" s="4" t="n"/>
      <c r="K188" s="8" t="n"/>
      <c r="L188" s="4" t="inlineStr">
        <is>
          <t>DEER DRY</t>
        </is>
      </c>
      <c r="M188" s="4" t="inlineStr">
        <is>
          <t>DEER DRY</t>
        </is>
      </c>
      <c r="N188" s="4" t="n"/>
      <c r="O188" s="4" t="n"/>
      <c r="P188" s="4" t="inlineStr">
        <is>
          <t>DEER DRY</t>
        </is>
      </c>
      <c r="Q188" s="4" t="inlineStr">
        <is>
          <t>DEER DRY</t>
        </is>
      </c>
      <c r="R188" s="4" t="n"/>
      <c r="S188" s="4" t="n"/>
      <c r="T188" s="4" t="inlineStr">
        <is>
          <t>DEER DRY</t>
        </is>
      </c>
      <c r="U188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8" s="4" t="n">
        <v>14</v>
      </c>
      <c r="W188" s="4" t="n">
        <v>0</v>
      </c>
      <c r="X188" s="4" t="n">
        <v>67181</v>
      </c>
      <c r="Y188" s="4" t="n">
        <v>66000</v>
      </c>
      <c r="Z188" s="4" t="n">
        <v>66</v>
      </c>
      <c r="AA188" s="4" t="n"/>
      <c r="AB188" s="4" t="inlineStr">
        <is>
          <t>SAID TO CONTAIN / WEIGH &amp; MEASURE 22 BIG BAGS ON PALLETS PER CONTAINER, WOODEN PACKAGING: TREATED AND CERTIFIED ANON0000000 - CARBON BLACK N550 ANON0000000 - CARBON BLACK N330 ANON0000000 - CARBON BLACK N330 HS/NCM: 2803</t>
        </is>
      </c>
      <c r="AC188" s="4" t="inlineStr">
        <is>
          <t>ANON0000000</t>
        </is>
      </c>
      <c r="AD188" s="4" t="inlineStr">
        <is>
          <t>HC40</t>
        </is>
      </c>
      <c r="AE188" s="4" t="n">
        <v>30284909</v>
      </c>
      <c r="AF188" s="4" t="n"/>
      <c r="AG188" s="4" t="inlineStr">
        <is>
          <t>FCL/FCL</t>
        </is>
      </c>
      <c r="AH188" s="4" t="inlineStr">
        <is>
          <t>GENERAL COMMODITY</t>
        </is>
      </c>
      <c r="AI188" s="4" t="n">
        <v>22519</v>
      </c>
      <c r="AJ188" s="4" t="n">
        <v>22</v>
      </c>
      <c r="AK188" s="4" t="inlineStr">
        <is>
          <t>PLT</t>
        </is>
      </c>
      <c r="AL188" s="4" t="n"/>
      <c r="AM188" s="4" t="n"/>
      <c r="AN188" s="4" t="n"/>
      <c r="AO188" s="4" t="n"/>
      <c r="AP188" s="4" t="n"/>
      <c r="AQ188" s="4" t="n"/>
      <c r="AR188" s="4" t="n">
        <v>3700</v>
      </c>
      <c r="AS188" s="4" t="n">
        <v>27000</v>
      </c>
      <c r="AT188" s="12" t="n"/>
    </row>
    <row r="189" ht="10.5" customFormat="1" customHeight="1" s="6">
      <c r="A189" s="11" t="n">
        <v>188</v>
      </c>
      <c r="B189" s="4" t="inlineStr">
        <is>
          <t>MERCURY / VOYAGE 1</t>
        </is>
      </c>
      <c r="C189" s="4" t="inlineStr">
        <is>
          <t>REF000000</t>
        </is>
      </c>
      <c r="D189" s="7" t="n">
        <v>46095</v>
      </c>
      <c r="E189" s="4" t="n">
        <v>46105</v>
      </c>
      <c r="F189" s="4" t="inlineStr">
        <is>
          <t>RULED</t>
        </is>
      </c>
      <c r="G189" s="4" t="inlineStr">
        <is>
          <t>RULED</t>
        </is>
      </c>
      <c r="H189" s="4" t="inlineStr">
        <is>
          <t>USHOU</t>
        </is>
      </c>
      <c r="I189" s="4" t="inlineStr">
        <is>
          <t>USHOU</t>
        </is>
      </c>
      <c r="J189" s="4" t="n"/>
      <c r="K189" s="8" t="n"/>
      <c r="L189" s="4" t="inlineStr">
        <is>
          <t>FOX DRY</t>
        </is>
      </c>
      <c r="M189" s="4" t="inlineStr">
        <is>
          <t>FOX DRY</t>
        </is>
      </c>
      <c r="N189" s="4" t="n"/>
      <c r="O189" s="4" t="n"/>
      <c r="P189" s="4" t="inlineStr">
        <is>
          <t>FOX DRY</t>
        </is>
      </c>
      <c r="Q189" s="4" t="inlineStr">
        <is>
          <t>FOX DRY</t>
        </is>
      </c>
      <c r="R189" s="4" t="n"/>
      <c r="S189" s="4" t="n"/>
      <c r="T189" s="4" t="inlineStr">
        <is>
          <t>FOX DRY</t>
        </is>
      </c>
      <c r="U189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89" s="4" t="n">
        <v>14</v>
      </c>
      <c r="W189" s="4" t="n">
        <v>0</v>
      </c>
      <c r="X189" s="4" t="n">
        <v>67181</v>
      </c>
      <c r="Y189" s="4" t="n">
        <v>66000</v>
      </c>
      <c r="Z189" s="4" t="n">
        <v>66</v>
      </c>
      <c r="AA189" s="4" t="n"/>
      <c r="AB189" s="4" t="inlineStr">
        <is>
          <t>SAID TO CONTAIN / WEIGH &amp; MEASURE 22 BIG BAGS ON PALLETS PER CONTAINER, WOODEN PACKAGING: TREATED AND CERTIFIED ANON0000000 - CARBON BLACK N550 ANON0000000 - CARBON BLACK N330 ANON0000000 - CARBON BLACK N330 HS/NCM: 2803</t>
        </is>
      </c>
      <c r="AC189" s="4" t="inlineStr">
        <is>
          <t>ANON0000000</t>
        </is>
      </c>
      <c r="AD189" s="4" t="inlineStr">
        <is>
          <t>HC40</t>
        </is>
      </c>
      <c r="AE189" s="4" t="n">
        <v>30284910</v>
      </c>
      <c r="AF189" s="4" t="n"/>
      <c r="AG189" s="4" t="inlineStr">
        <is>
          <t>FCL/FCL</t>
        </is>
      </c>
      <c r="AH189" s="4" t="inlineStr">
        <is>
          <t>GENERAL COMMODITY</t>
        </is>
      </c>
      <c r="AI189" s="4" t="n">
        <v>22223</v>
      </c>
      <c r="AJ189" s="4" t="n">
        <v>22</v>
      </c>
      <c r="AK189" s="4" t="inlineStr">
        <is>
          <t>PLT</t>
        </is>
      </c>
      <c r="AL189" s="4" t="n"/>
      <c r="AM189" s="4" t="n"/>
      <c r="AN189" s="4" t="n"/>
      <c r="AO189" s="4" t="n"/>
      <c r="AP189" s="4" t="n"/>
      <c r="AQ189" s="4" t="n"/>
      <c r="AR189" s="4" t="n">
        <v>3700</v>
      </c>
      <c r="AS189" s="4" t="n">
        <v>27000</v>
      </c>
      <c r="AT189" s="12" t="n"/>
    </row>
    <row r="190" ht="11.25" customFormat="1" customHeight="1" s="6">
      <c r="A190" s="11" t="n">
        <v>189</v>
      </c>
      <c r="B190" s="4" t="inlineStr">
        <is>
          <t>MERCURY / VOYAGE 1</t>
        </is>
      </c>
      <c r="C190" s="4" t="inlineStr">
        <is>
          <t>REF000000</t>
        </is>
      </c>
      <c r="D190" s="7" t="n">
        <v>46095</v>
      </c>
      <c r="E190" s="4" t="n">
        <v>46105</v>
      </c>
      <c r="F190" s="4" t="inlineStr">
        <is>
          <t>RULED</t>
        </is>
      </c>
      <c r="G190" s="4" t="inlineStr">
        <is>
          <t>RULED</t>
        </is>
      </c>
      <c r="H190" s="4" t="inlineStr">
        <is>
          <t>USHOU</t>
        </is>
      </c>
      <c r="I190" s="4" t="inlineStr">
        <is>
          <t>USHOU</t>
        </is>
      </c>
      <c r="J190" s="4" t="n"/>
      <c r="K190" s="8" t="n"/>
      <c r="L190" s="4" t="inlineStr">
        <is>
          <t>BISON DRY</t>
        </is>
      </c>
      <c r="M190" s="4" t="inlineStr">
        <is>
          <t>BISON DRY</t>
        </is>
      </c>
      <c r="N190" s="4" t="n"/>
      <c r="O190" s="4" t="n"/>
      <c r="P190" s="4" t="inlineStr">
        <is>
          <t>BISON DRY</t>
        </is>
      </c>
      <c r="Q190" s="4" t="inlineStr">
        <is>
          <t>BISON DRY</t>
        </is>
      </c>
      <c r="R190" s="4" t="n"/>
      <c r="S190" s="4" t="n"/>
      <c r="T190" s="4" t="inlineStr">
        <is>
          <t>BISON DRY</t>
        </is>
      </c>
      <c r="U190" s="4" t="inlineStr">
        <is>
          <t>CNPJ: 08.428.038/0001-71 ADDRESS: RUA SENADOR PAULO SARASATE, 560, MICHEL, CEP 88.803-120. CRICIUMA- SC - BRASIL. MARIELEN ROCHA VIEIRA TEL.: +55 (48) 3512.4113 EMAIL: Fabricionettto@gmail.com</t>
        </is>
      </c>
      <c r="V190" s="4" t="n">
        <v>14</v>
      </c>
      <c r="W190" s="4" t="n">
        <v>0</v>
      </c>
      <c r="X190" s="4" t="n">
        <v>67181</v>
      </c>
      <c r="Y190" s="4" t="n">
        <v>66000</v>
      </c>
      <c r="Z190" s="4" t="n">
        <v>66</v>
      </c>
      <c r="AA190" s="4" t="n"/>
      <c r="AB190" s="4" t="inlineStr">
        <is>
          <t>SAID TO CONTAIN / WEIGH &amp; MEASURE 22 BIG BAGS ON PALLETS PER CONTAINER, WOODEN PACKAGING: TREATED AND CERTIFIED ANON0000000 - CARBON BLACK N550 ANON0000000 - CARBON BLACK N330 ANON0000000 - CARBON BLACK N330 HS/NCM: 2803</t>
        </is>
      </c>
      <c r="AC190" s="4" t="inlineStr">
        <is>
          <t>ANON0000000</t>
        </is>
      </c>
      <c r="AD190" s="4" t="inlineStr">
        <is>
          <t>HC40</t>
        </is>
      </c>
      <c r="AE190" s="4" t="n">
        <v>30271638</v>
      </c>
      <c r="AF190" s="4" t="n"/>
      <c r="AG190" s="4" t="inlineStr">
        <is>
          <t>FCL/FCL</t>
        </is>
      </c>
      <c r="AH190" s="4" t="inlineStr">
        <is>
          <t>GENERAL COMMODITY</t>
        </is>
      </c>
      <c r="AI190" s="4" t="n">
        <v>22439</v>
      </c>
      <c r="AJ190" s="4" t="n">
        <v>22</v>
      </c>
      <c r="AK190" s="4" t="inlineStr">
        <is>
          <t>PLT</t>
        </is>
      </c>
      <c r="AL190" s="4" t="n"/>
      <c r="AM190" s="4" t="n"/>
      <c r="AN190" s="4" t="n"/>
      <c r="AO190" s="4" t="n"/>
      <c r="AP190" s="4" t="n"/>
      <c r="AQ190" s="4" t="n"/>
      <c r="AR190" s="4" t="n">
        <v>3700</v>
      </c>
      <c r="AS190" s="4" t="n">
        <v>27000</v>
      </c>
      <c r="AT190" s="12" t="n"/>
    </row>
    <row r="191" ht="10.5" customFormat="1" customHeight="1" s="6">
      <c r="A191" s="11" t="n">
        <v>190</v>
      </c>
      <c r="B191" s="4" t="inlineStr">
        <is>
          <t>MERCURY / VOYAGE 1</t>
        </is>
      </c>
      <c r="C191" s="4" t="inlineStr">
        <is>
          <t>REF000000</t>
        </is>
      </c>
      <c r="D191" s="7" t="n">
        <v>46095</v>
      </c>
      <c r="E191" s="4" t="n">
        <v>46108</v>
      </c>
      <c r="F191" s="4" t="inlineStr">
        <is>
          <t>RULED</t>
        </is>
      </c>
      <c r="G191" s="4" t="inlineStr">
        <is>
          <t>RULED</t>
        </is>
      </c>
      <c r="H191" s="4" t="inlineStr">
        <is>
          <t>USNFK</t>
        </is>
      </c>
      <c r="I191" s="4" t="inlineStr">
        <is>
          <t>USNFK</t>
        </is>
      </c>
      <c r="J191" s="4" t="n"/>
      <c r="K191" s="8" t="n"/>
      <c r="L191" s="4" t="inlineStr">
        <is>
          <t>EAGLE DRY</t>
        </is>
      </c>
      <c r="M191" s="4" t="inlineStr">
        <is>
          <t>EAGLE DRY</t>
        </is>
      </c>
      <c r="N191" s="4" t="n"/>
      <c r="O191" s="4" t="n"/>
      <c r="P191" s="4" t="inlineStr">
        <is>
          <t>EAGLE DRY</t>
        </is>
      </c>
      <c r="Q191" s="4" t="inlineStr">
        <is>
          <t>EAGLE DRY</t>
        </is>
      </c>
      <c r="R191" s="4" t="n"/>
      <c r="S191" s="4" t="n"/>
      <c r="T191" s="4" t="inlineStr">
        <is>
          <t>EAGLE DRY</t>
        </is>
      </c>
      <c r="U191" s="4" t="inlineStr">
        <is>
          <t>ROD SP 333, No 1039</t>
        </is>
      </c>
      <c r="V191" s="4" t="n">
        <v>14</v>
      </c>
      <c r="W191" s="4" t="n">
        <v>0</v>
      </c>
      <c r="X191" s="4" t="n">
        <v>42504</v>
      </c>
      <c r="Y191" s="4" t="n">
        <v>41800</v>
      </c>
      <c r="Z191" s="4" t="n">
        <v>44</v>
      </c>
      <c r="AA191" s="4" t="n"/>
      <c r="AB191" s="4" t="inlineStr">
        <is>
          <t>SAID TO CONTAIN / WEIGH &amp; MEASURE</t>
        </is>
      </c>
      <c r="AC191" s="4" t="inlineStr">
        <is>
          <t>ANON0000000</t>
        </is>
      </c>
      <c r="AD191" s="4" t="inlineStr">
        <is>
          <t>HC40</t>
        </is>
      </c>
      <c r="AE191" s="4" t="n">
        <v>30271604</v>
      </c>
      <c r="AF191" s="4" t="n"/>
      <c r="AG191" s="4" t="inlineStr">
        <is>
          <t>FCL/FCL</t>
        </is>
      </c>
      <c r="AH191" s="4" t="inlineStr">
        <is>
          <t>GENERAL COMMODITY</t>
        </is>
      </c>
      <c r="AI191" s="4" t="n">
        <v>22378</v>
      </c>
      <c r="AJ191" s="4" t="n">
        <v>22</v>
      </c>
      <c r="AK191" s="4" t="inlineStr">
        <is>
          <t>PLT</t>
        </is>
      </c>
      <c r="AL191" s="4" t="n"/>
      <c r="AM191" s="4" t="n"/>
      <c r="AN191" s="4" t="n"/>
      <c r="AO191" s="4" t="n"/>
      <c r="AP191" s="4" t="n"/>
      <c r="AQ191" s="4" t="n"/>
      <c r="AR191" s="4" t="n">
        <v>3840</v>
      </c>
      <c r="AS191" s="4" t="n">
        <v>27000</v>
      </c>
      <c r="AT191" s="12" t="n"/>
    </row>
    <row r="192" ht="10.5" customFormat="1" customHeight="1" s="6">
      <c r="A192" s="11" t="n">
        <v>191</v>
      </c>
      <c r="B192" s="4" t="inlineStr">
        <is>
          <t>MERCURY / VOYAGE 1</t>
        </is>
      </c>
      <c r="C192" s="4" t="inlineStr">
        <is>
          <t>REF000000</t>
        </is>
      </c>
      <c r="D192" s="7" t="n">
        <v>46095</v>
      </c>
      <c r="E192" s="4" t="n">
        <v>46108</v>
      </c>
      <c r="F192" s="4" t="inlineStr">
        <is>
          <t>RULED</t>
        </is>
      </c>
      <c r="G192" s="4" t="inlineStr">
        <is>
          <t>RULED</t>
        </is>
      </c>
      <c r="H192" s="4" t="inlineStr">
        <is>
          <t>USNFK</t>
        </is>
      </c>
      <c r="I192" s="4" t="inlineStr">
        <is>
          <t>USNFK</t>
        </is>
      </c>
      <c r="J192" s="4" t="n"/>
      <c r="K192" s="8" t="n"/>
      <c r="L192" s="4" t="inlineStr">
        <is>
          <t>COYOTE DRY</t>
        </is>
      </c>
      <c r="M192" s="4" t="inlineStr">
        <is>
          <t>COYOTE DRY</t>
        </is>
      </c>
      <c r="N192" s="4" t="n"/>
      <c r="O192" s="4" t="n"/>
      <c r="P192" s="4" t="inlineStr">
        <is>
          <t>COYOTE DRY</t>
        </is>
      </c>
      <c r="Q192" s="4" t="inlineStr">
        <is>
          <t>COYOTE DRY</t>
        </is>
      </c>
      <c r="R192" s="4" t="n"/>
      <c r="S192" s="4" t="n"/>
      <c r="T192" s="4" t="inlineStr">
        <is>
          <t>COYOTE DRY</t>
        </is>
      </c>
      <c r="U192" s="4" t="inlineStr">
        <is>
          <t>ROD SP 333, No 1039</t>
        </is>
      </c>
      <c r="V192" s="4" t="n">
        <v>14</v>
      </c>
      <c r="W192" s="4" t="n">
        <v>0</v>
      </c>
      <c r="X192" s="4" t="n">
        <v>42504</v>
      </c>
      <c r="Y192" s="4" t="n">
        <v>41800</v>
      </c>
      <c r="Z192" s="4" t="n">
        <v>44</v>
      </c>
      <c r="AA192" s="4" t="n"/>
      <c r="AB192" s="4" t="inlineStr">
        <is>
          <t>SAID TO CONTAIN / WEIGH &amp; MEASURE</t>
        </is>
      </c>
      <c r="AC192" s="4" t="inlineStr">
        <is>
          <t>ANON0000000</t>
        </is>
      </c>
      <c r="AD192" s="4" t="inlineStr">
        <is>
          <t>HC40</t>
        </is>
      </c>
      <c r="AE192" s="4" t="n">
        <v>30271618</v>
      </c>
      <c r="AF192" s="4" t="n"/>
      <c r="AG192" s="4" t="inlineStr">
        <is>
          <t>FCL/FCL</t>
        </is>
      </c>
      <c r="AH192" s="4" t="inlineStr">
        <is>
          <t>GENERAL COMMODITY</t>
        </is>
      </c>
      <c r="AI192" s="4" t="n">
        <v>20126</v>
      </c>
      <c r="AJ192" s="4" t="n">
        <v>22</v>
      </c>
      <c r="AK192" s="4" t="inlineStr">
        <is>
          <t>PLT</t>
        </is>
      </c>
      <c r="AL192" s="4" t="n"/>
      <c r="AM192" s="4" t="n"/>
      <c r="AN192" s="4" t="n"/>
      <c r="AO192" s="4" t="n"/>
      <c r="AP192" s="4" t="n"/>
      <c r="AQ192" s="4" t="n"/>
      <c r="AR192" s="4" t="n">
        <v>3700</v>
      </c>
      <c r="AS192" s="4" t="n">
        <v>27000</v>
      </c>
      <c r="AT192" s="12" t="n"/>
    </row>
    <row r="193" ht="10.5" customFormat="1" customHeight="1" s="6">
      <c r="A193" s="11" t="n">
        <v>192</v>
      </c>
      <c r="B193" s="4" t="inlineStr">
        <is>
          <t>MERCURY / VOYAGE 1</t>
        </is>
      </c>
      <c r="C193" s="4" t="inlineStr">
        <is>
          <t>REF000000</t>
        </is>
      </c>
      <c r="D193" s="7" t="n">
        <v>46095</v>
      </c>
      <c r="E193" s="4" t="n">
        <v>46108</v>
      </c>
      <c r="F193" s="4" t="inlineStr">
        <is>
          <t>RULED</t>
        </is>
      </c>
      <c r="G193" s="4" t="inlineStr">
        <is>
          <t>RULED</t>
        </is>
      </c>
      <c r="H193" s="4" t="inlineStr">
        <is>
          <t>USNFK</t>
        </is>
      </c>
      <c r="I193" s="4" t="inlineStr">
        <is>
          <t>USNFK</t>
        </is>
      </c>
      <c r="J193" s="4" t="n"/>
      <c r="K193" s="8" t="n"/>
      <c r="L193" s="4" t="inlineStr">
        <is>
          <t>FALCON DRY</t>
        </is>
      </c>
      <c r="M193" s="4" t="inlineStr">
        <is>
          <t>FALCON DRY</t>
        </is>
      </c>
      <c r="N193" s="4" t="n"/>
      <c r="O193" s="4" t="n"/>
      <c r="P193" s="4" t="inlineStr">
        <is>
          <t>FALCON DRY</t>
        </is>
      </c>
      <c r="Q193" s="4" t="inlineStr">
        <is>
          <t>FALCON DRY</t>
        </is>
      </c>
      <c r="R193" s="4" t="n"/>
      <c r="S193" s="4" t="n"/>
      <c r="T193" s="4" t="inlineStr">
        <is>
          <t>FALCON DRY</t>
        </is>
      </c>
      <c r="U193" s="4" t="inlineStr">
        <is>
          <t>Avenida Vasco Massafelli, 1010 - Cotia - SP -Regional CEP 06703-600 CNJP: 62.055.710/0001-76 Phone: +55 (11) 21653450*</t>
        </is>
      </c>
      <c r="V193" s="4" t="n">
        <v>14</v>
      </c>
      <c r="W193" s="4" t="n">
        <v>0</v>
      </c>
      <c r="X193" s="4" t="n">
        <v>22271</v>
      </c>
      <c r="Y193" s="4" t="n">
        <v>22000</v>
      </c>
      <c r="Z193" s="4" t="n">
        <v>22</v>
      </c>
      <c r="AA193" s="4" t="n"/>
      <c r="AB193" s="4" t="inlineStr">
        <is>
          <t>SAID TO CONTAIN / WEIGH &amp; MEASURE: WOODEN PACKAGING: TREATED AND CERTIFIED 22 BIG BAGS ON PALLETS HS/NCM: 280300 *EMAIL: Fabricionettto@gmail.com Fabricionettto@gmail.com; Fabricionettto@gmail.com; Fabricionettto@gmail.com</t>
        </is>
      </c>
      <c r="AC193" s="4" t="inlineStr">
        <is>
          <t>ANON0000000</t>
        </is>
      </c>
      <c r="AD193" s="4" t="inlineStr">
        <is>
          <t>HC40</t>
        </is>
      </c>
      <c r="AE193" s="4" t="n">
        <v>30271603</v>
      </c>
      <c r="AF193" s="4" t="n"/>
      <c r="AG193" s="4" t="inlineStr">
        <is>
          <t>FCL/FCL</t>
        </is>
      </c>
      <c r="AH193" s="4" t="inlineStr">
        <is>
          <t>GENERAL COMMODITY</t>
        </is>
      </c>
      <c r="AI193" s="4" t="n">
        <v>22271</v>
      </c>
      <c r="AJ193" s="4" t="n">
        <v>22</v>
      </c>
      <c r="AK193" s="4" t="inlineStr">
        <is>
          <t>PLT</t>
        </is>
      </c>
      <c r="AL193" s="4" t="n"/>
      <c r="AM193" s="4" t="n"/>
      <c r="AN193" s="4" t="n"/>
      <c r="AO193" s="4" t="n"/>
      <c r="AP193" s="4" t="n"/>
      <c r="AQ193" s="4" t="n"/>
      <c r="AR193" s="4" t="n">
        <v>3744</v>
      </c>
      <c r="AS193" s="4" t="n">
        <v>27000</v>
      </c>
      <c r="AT193" s="12" t="n"/>
    </row>
    <row r="194" ht="10.5" customFormat="1" customHeight="1" s="6">
      <c r="A194" s="11" t="n">
        <v>193</v>
      </c>
      <c r="B194" s="4" t="inlineStr">
        <is>
          <t>MERCURY / VOYAGE 1</t>
        </is>
      </c>
      <c r="C194" s="4" t="inlineStr">
        <is>
          <t>REF000000</t>
        </is>
      </c>
      <c r="D194" s="7" t="n">
        <v>46095</v>
      </c>
      <c r="E194" s="4" t="n">
        <v>46108</v>
      </c>
      <c r="F194" s="4" t="inlineStr">
        <is>
          <t>RULED</t>
        </is>
      </c>
      <c r="G194" s="4" t="inlineStr">
        <is>
          <t>RULED</t>
        </is>
      </c>
      <c r="H194" s="4" t="inlineStr">
        <is>
          <t>USNFK</t>
        </is>
      </c>
      <c r="I194" s="4" t="inlineStr">
        <is>
          <t>USNFK</t>
        </is>
      </c>
      <c r="J194" s="4" t="n"/>
      <c r="K194" s="8" t="n"/>
      <c r="L194" s="4" t="inlineStr">
        <is>
          <t>WHALE REEFER</t>
        </is>
      </c>
      <c r="M194" s="4" t="inlineStr">
        <is>
          <t>WHALE REEFER</t>
        </is>
      </c>
      <c r="N194" s="4" t="n"/>
      <c r="O194" s="4" t="n"/>
      <c r="P194" s="4" t="inlineStr">
        <is>
          <t>WHALE REEFER</t>
        </is>
      </c>
      <c r="Q194" s="4" t="inlineStr">
        <is>
          <t>WHALE REEFER</t>
        </is>
      </c>
      <c r="R194" s="4" t="n"/>
      <c r="S194" s="4" t="n"/>
      <c r="T194" s="4" t="inlineStr">
        <is>
          <t>WHALE REEFER</t>
        </is>
      </c>
      <c r="U194" s="4" t="inlineStr">
        <is>
          <t>Rua Sao Paulo, 1071 CEP 30170-907 Belo Horizonte MG CNPJ: 04626426001005</t>
        </is>
      </c>
      <c r="V194" s="4" t="n">
        <v>21</v>
      </c>
      <c r="W194" s="4" t="n">
        <v>0</v>
      </c>
      <c r="X194" s="4" t="n">
        <v>26312</v>
      </c>
      <c r="Y194" s="4" t="n">
        <v>24840</v>
      </c>
      <c r="Z194" s="4" t="n">
        <v>46</v>
      </c>
      <c r="AA194" s="4" t="n"/>
      <c r="AB194" s="4" t="inlineStr">
        <is>
          <t>SAID TO CONTAIN / WEIGH &amp; MEASURE 1X40 NOR CONTAINER ISOPRENE RUBBER IR-970 PACKAGE 46 PALLETS NET WEIGHT 24.840 MT GROSS WEIGHT 26.312 MT P.O.: 2600469659 NCM CODE: 4002 CBM: 60M3 WOODEN PACKAGING: NOT APPLICABLE</t>
        </is>
      </c>
      <c r="AC194" s="4" t="inlineStr">
        <is>
          <t>ANON0000000</t>
        </is>
      </c>
      <c r="AD194" s="4" t="inlineStr">
        <is>
          <t>RH40</t>
        </is>
      </c>
      <c r="AE194" s="4" t="n">
        <v>1242923</v>
      </c>
      <c r="AF194" s="4" t="n"/>
      <c r="AG194" s="4" t="inlineStr">
        <is>
          <t>FCL/FCL</t>
        </is>
      </c>
      <c r="AH194" s="4" t="inlineStr">
        <is>
          <t>GENERAL COMMODITY</t>
        </is>
      </c>
      <c r="AI194" s="4" t="n">
        <v>26312</v>
      </c>
      <c r="AJ194" s="4" t="n">
        <v>46</v>
      </c>
      <c r="AK194" s="4" t="inlineStr">
        <is>
          <t>PLT</t>
        </is>
      </c>
      <c r="AL194" s="4" t="n"/>
      <c r="AM194" s="4" t="n"/>
      <c r="AN194" s="4" t="n"/>
      <c r="AO194" s="4" t="n"/>
      <c r="AP194" s="4" t="n"/>
      <c r="AQ194" s="4" t="n"/>
      <c r="AR194" s="4" t="n">
        <v>4630</v>
      </c>
      <c r="AS194" s="4" t="n">
        <v>27000</v>
      </c>
      <c r="AT194" s="12" t="n"/>
    </row>
    <row r="195" ht="11.25" customFormat="1" customHeight="1" s="6">
      <c r="A195" s="11" t="n">
        <v>194</v>
      </c>
      <c r="B195" s="4" t="inlineStr">
        <is>
          <t>MERCURY / VOYAGE 1</t>
        </is>
      </c>
      <c r="C195" s="4" t="inlineStr">
        <is>
          <t>REF000000</t>
        </is>
      </c>
      <c r="D195" s="7" t="n">
        <v>46095</v>
      </c>
      <c r="E195" s="4" t="n">
        <v>46108</v>
      </c>
      <c r="F195" s="4" t="inlineStr">
        <is>
          <t>RULED</t>
        </is>
      </c>
      <c r="G195" s="4" t="inlineStr">
        <is>
          <t>RULED</t>
        </is>
      </c>
      <c r="H195" s="4" t="inlineStr">
        <is>
          <t>USNFK</t>
        </is>
      </c>
      <c r="I195" s="4" t="inlineStr">
        <is>
          <t>USNFK</t>
        </is>
      </c>
      <c r="J195" s="4" t="n"/>
      <c r="K195" s="8" t="n"/>
      <c r="L195" s="4" t="inlineStr">
        <is>
          <t>SEAL REEFER</t>
        </is>
      </c>
      <c r="M195" s="4" t="inlineStr">
        <is>
          <t>SEAL REEFER</t>
        </is>
      </c>
      <c r="N195" s="4" t="n"/>
      <c r="O195" s="4" t="n"/>
      <c r="P195" s="4" t="inlineStr">
        <is>
          <t>SEAL REEFER</t>
        </is>
      </c>
      <c r="Q195" s="4" t="inlineStr">
        <is>
          <t>SEAL REEFER</t>
        </is>
      </c>
      <c r="R195" s="4" t="n"/>
      <c r="S195" s="4" t="n"/>
      <c r="T195" s="4" t="inlineStr">
        <is>
          <t>SEAL REEFER</t>
        </is>
      </c>
      <c r="U195" s="4" t="inlineStr">
        <is>
          <t>Rua Sao Paulo, 1071 CEP 30170-907 Belo Horizonte MG CNPJ: 04626426001005</t>
        </is>
      </c>
      <c r="V195" s="4" t="n">
        <v>21</v>
      </c>
      <c r="W195" s="4" t="n">
        <v>0</v>
      </c>
      <c r="X195" s="4" t="n">
        <v>26312</v>
      </c>
      <c r="Y195" s="4" t="n">
        <v>24840</v>
      </c>
      <c r="Z195" s="4" t="n">
        <v>46</v>
      </c>
      <c r="AA195" s="4" t="n"/>
      <c r="AB195" s="4" t="inlineStr">
        <is>
          <t>SAID TO CONTAIN / WEIGH &amp; MEASURE 1X40 NOR CONTAINER ISOPRENE RUBBER IR-970 PACKAGE 46 PALLETS NET WEIGHT 24.840 MT GROSS WEIGHT 26.312 MT P.O.: 2600469660 NCM CODE: 4002 CBM: 60M3 WOODEN PACKAGING: NOT APPLICABLE</t>
        </is>
      </c>
      <c r="AC195" s="4" t="inlineStr">
        <is>
          <t>ANON0000000</t>
        </is>
      </c>
      <c r="AD195" s="4" t="inlineStr">
        <is>
          <t>RH40</t>
        </is>
      </c>
      <c r="AE195" s="4" t="n">
        <v>1256495</v>
      </c>
      <c r="AF195" s="4" t="n"/>
      <c r="AG195" s="4" t="inlineStr">
        <is>
          <t>FCL/FCL</t>
        </is>
      </c>
      <c r="AH195" s="4" t="inlineStr">
        <is>
          <t>GENERAL COMMODITY</t>
        </is>
      </c>
      <c r="AI195" s="4" t="n">
        <v>26312</v>
      </c>
      <c r="AJ195" s="4" t="n">
        <v>46</v>
      </c>
      <c r="AK195" s="4" t="inlineStr">
        <is>
          <t>PLT</t>
        </is>
      </c>
      <c r="AL195" s="4" t="n"/>
      <c r="AM195" s="4" t="n"/>
      <c r="AN195" s="4" t="n"/>
      <c r="AO195" s="4" t="n"/>
      <c r="AP195" s="4" t="n"/>
      <c r="AQ195" s="4" t="n"/>
      <c r="AR195" s="4" t="n">
        <v>4700</v>
      </c>
      <c r="AS195" s="4" t="n">
        <v>27000</v>
      </c>
      <c r="AT195" s="12" t="n"/>
    </row>
    <row r="196" ht="10.5" customFormat="1" customHeight="1" s="6">
      <c r="A196" s="11" t="n">
        <v>195</v>
      </c>
      <c r="B196" s="4" t="inlineStr">
        <is>
          <t>MERCURY / VOYAGE 1</t>
        </is>
      </c>
      <c r="C196" s="4" t="inlineStr">
        <is>
          <t>REF000000</t>
        </is>
      </c>
      <c r="D196" s="7" t="n">
        <v>46095</v>
      </c>
      <c r="E196" s="4" t="n">
        <v>46108</v>
      </c>
      <c r="F196" s="4" t="inlineStr">
        <is>
          <t>RULED</t>
        </is>
      </c>
      <c r="G196" s="4" t="inlineStr">
        <is>
          <t>RULED</t>
        </is>
      </c>
      <c r="H196" s="4" t="inlineStr">
        <is>
          <t>USNFK</t>
        </is>
      </c>
      <c r="I196" s="4" t="inlineStr">
        <is>
          <t>USNFK</t>
        </is>
      </c>
      <c r="J196" s="4" t="n"/>
      <c r="K196" s="8" t="n"/>
      <c r="L196" s="4" t="inlineStr">
        <is>
          <t>SHARK REEFER</t>
        </is>
      </c>
      <c r="M196" s="4" t="inlineStr">
        <is>
          <t>SHARK REEFER</t>
        </is>
      </c>
      <c r="N196" s="4" t="n"/>
      <c r="O196" s="4" t="n"/>
      <c r="P196" s="4" t="inlineStr">
        <is>
          <t>SHARK REEFER</t>
        </is>
      </c>
      <c r="Q196" s="4" t="inlineStr">
        <is>
          <t>SHARK REEFER</t>
        </is>
      </c>
      <c r="R196" s="4" t="n"/>
      <c r="S196" s="4" t="n"/>
      <c r="T196" s="4" t="inlineStr">
        <is>
          <t>SHARK REEFER</t>
        </is>
      </c>
      <c r="U196" s="4" t="inlineStr">
        <is>
          <t>Rua Sao Paulo, 1071 CEP 30170-907 Belo Horizonte MG CNPJ: 04626426001005</t>
        </is>
      </c>
      <c r="V196" s="4" t="n">
        <v>21</v>
      </c>
      <c r="W196" s="4" t="n">
        <v>0</v>
      </c>
      <c r="X196" s="4" t="n">
        <v>26312</v>
      </c>
      <c r="Y196" s="4" t="n">
        <v>24840</v>
      </c>
      <c r="Z196" s="4" t="n">
        <v>46</v>
      </c>
      <c r="AA196" s="4" t="n"/>
      <c r="AB196" s="4" t="inlineStr">
        <is>
          <t>SAID TO CONTAIN / WEIGH &amp; MEASURE 1X40 NOR CONTAINER ISOPRENE RUBBER IR-970 PACKAGE 46 PALLETS NET WEIGHT 24.840 MT GROSS WEIGHT 26.312 MT P.O.: 2600469661 NCM CODE: 4002 CBM: 60M3 WOODEN PACKAGING: NOT APPLICABLE</t>
        </is>
      </c>
      <c r="AC196" s="4" t="inlineStr">
        <is>
          <t>ANON0000000</t>
        </is>
      </c>
      <c r="AD196" s="4" t="inlineStr">
        <is>
          <t>RH40</t>
        </is>
      </c>
      <c r="AE196" s="4" t="n">
        <v>1256552</v>
      </c>
      <c r="AF196" s="4" t="n"/>
      <c r="AG196" s="4" t="inlineStr">
        <is>
          <t>FCL/FCL</t>
        </is>
      </c>
      <c r="AH196" s="4" t="inlineStr">
        <is>
          <t>GENERAL COMMODITY</t>
        </is>
      </c>
      <c r="AI196" s="4" t="n">
        <v>26312</v>
      </c>
      <c r="AJ196" s="4" t="n">
        <v>46</v>
      </c>
      <c r="AK196" s="4" t="inlineStr">
        <is>
          <t>PLT</t>
        </is>
      </c>
      <c r="AL196" s="4" t="n"/>
      <c r="AM196" s="4" t="n"/>
      <c r="AN196" s="4" t="n"/>
      <c r="AO196" s="4" t="n"/>
      <c r="AP196" s="4" t="n"/>
      <c r="AQ196" s="4" t="n"/>
      <c r="AR196" s="4" t="n">
        <v>4750</v>
      </c>
      <c r="AS196" s="4" t="n">
        <v>27000</v>
      </c>
      <c r="AT196" s="12" t="n"/>
    </row>
    <row r="197" ht="10.5" customFormat="1" customHeight="1" s="6">
      <c r="A197" s="11" t="n">
        <v>196</v>
      </c>
      <c r="B197" s="4" t="inlineStr">
        <is>
          <t>MERCURY / VOYAGE 1</t>
        </is>
      </c>
      <c r="C197" s="4" t="inlineStr">
        <is>
          <t>REF000000</t>
        </is>
      </c>
      <c r="D197" s="7" t="n">
        <v>46095</v>
      </c>
      <c r="E197" s="4" t="n">
        <v>46108</v>
      </c>
      <c r="F197" s="4" t="inlineStr">
        <is>
          <t>RULED</t>
        </is>
      </c>
      <c r="G197" s="4" t="inlineStr">
        <is>
          <t>RULED</t>
        </is>
      </c>
      <c r="H197" s="4" t="inlineStr">
        <is>
          <t>USNFK</t>
        </is>
      </c>
      <c r="I197" s="4" t="inlineStr">
        <is>
          <t>USNFK</t>
        </is>
      </c>
      <c r="J197" s="4" t="n"/>
      <c r="K197" s="8" t="n"/>
      <c r="L197" s="4" t="inlineStr">
        <is>
          <t>DOLPHIN REEFER</t>
        </is>
      </c>
      <c r="M197" s="4" t="inlineStr">
        <is>
          <t>DOLPHIN REEFER</t>
        </is>
      </c>
      <c r="N197" s="4" t="n"/>
      <c r="O197" s="4" t="n"/>
      <c r="P197" s="4" t="inlineStr">
        <is>
          <t>DOLPHIN REEFER</t>
        </is>
      </c>
      <c r="Q197" s="4" t="inlineStr">
        <is>
          <t>DOLPHIN REEFER</t>
        </is>
      </c>
      <c r="R197" s="4" t="n"/>
      <c r="S197" s="4" t="n"/>
      <c r="T197" s="4" t="inlineStr">
        <is>
          <t>DOLPHIN REEFER</t>
        </is>
      </c>
      <c r="U197" s="4" t="inlineStr">
        <is>
          <t>Rua Sao Paulo, 1071 CEP 30170-907 Belo Horizonte MG CNPJ: 04626426001005</t>
        </is>
      </c>
      <c r="V197" s="4" t="n">
        <v>21</v>
      </c>
      <c r="W197" s="4" t="n">
        <v>0</v>
      </c>
      <c r="X197" s="4" t="n">
        <v>26312</v>
      </c>
      <c r="Y197" s="4" t="n">
        <v>24840</v>
      </c>
      <c r="Z197" s="4" t="n">
        <v>46</v>
      </c>
      <c r="AA197" s="4" t="n"/>
      <c r="AB197" s="4" t="inlineStr">
        <is>
          <t>SAID TO CONTAIN / WEIGH &amp; MEASURE 1X40 NOR CONTAINER ISOPRENE RUBBER IR-970 PACKAGE 46 PALLETS NET WEIGHT 24.840 MT GROSS WEIGHT 26.312 MT P.O.: 2600469662 NCM CODE: 4002 CBM: 60M3 WOODEN PACKAGING: NOT APPLICABLE</t>
        </is>
      </c>
      <c r="AC197" s="4" t="inlineStr">
        <is>
          <t>ANON0000000</t>
        </is>
      </c>
      <c r="AD197" s="4" t="inlineStr">
        <is>
          <t>RH40</t>
        </is>
      </c>
      <c r="AE197" s="4" t="n">
        <v>1256558</v>
      </c>
      <c r="AF197" s="4" t="n"/>
      <c r="AG197" s="4" t="inlineStr">
        <is>
          <t>FCL/FCL</t>
        </is>
      </c>
      <c r="AH197" s="4" t="inlineStr">
        <is>
          <t>GENERAL COMMODITY</t>
        </is>
      </c>
      <c r="AI197" s="4" t="n">
        <v>26312</v>
      </c>
      <c r="AJ197" s="4" t="n">
        <v>46</v>
      </c>
      <c r="AK197" s="4" t="inlineStr">
        <is>
          <t>PLT</t>
        </is>
      </c>
      <c r="AL197" s="4" t="n"/>
      <c r="AM197" s="4" t="n"/>
      <c r="AN197" s="4" t="n"/>
      <c r="AO197" s="4" t="n"/>
      <c r="AP197" s="4" t="n"/>
      <c r="AQ197" s="4" t="n"/>
      <c r="AR197" s="4" t="n">
        <v>4460</v>
      </c>
      <c r="AS197" s="4" t="n">
        <v>27000</v>
      </c>
      <c r="AT197" s="12" t="n"/>
    </row>
    <row r="198" ht="10.5" customFormat="1" customHeight="1" s="6">
      <c r="A198" s="11" t="n">
        <v>197</v>
      </c>
      <c r="B198" s="4" t="inlineStr">
        <is>
          <t>MERCURY / VOYAGE 1</t>
        </is>
      </c>
      <c r="C198" s="4" t="inlineStr">
        <is>
          <t>REF000000</t>
        </is>
      </c>
      <c r="D198" s="7" t="n">
        <v>46095</v>
      </c>
      <c r="E198" s="4" t="n">
        <v>46108</v>
      </c>
      <c r="F198" s="4" t="inlineStr">
        <is>
          <t>RULED</t>
        </is>
      </c>
      <c r="G198" s="4" t="inlineStr">
        <is>
          <t>RULED</t>
        </is>
      </c>
      <c r="H198" s="4" t="inlineStr">
        <is>
          <t>USNFK</t>
        </is>
      </c>
      <c r="I198" s="4" t="inlineStr">
        <is>
          <t>USNFK</t>
        </is>
      </c>
      <c r="J198" s="4" t="n"/>
      <c r="K198" s="8" t="n"/>
      <c r="L198" s="4" t="inlineStr">
        <is>
          <t>MARLIN REEFER</t>
        </is>
      </c>
      <c r="M198" s="4" t="inlineStr">
        <is>
          <t>MARLIN REEFER</t>
        </is>
      </c>
      <c r="N198" s="4" t="n"/>
      <c r="O198" s="4" t="n"/>
      <c r="P198" s="4" t="inlineStr">
        <is>
          <t>MARLIN REEFER</t>
        </is>
      </c>
      <c r="Q198" s="4" t="inlineStr">
        <is>
          <t>MARLIN REEFER</t>
        </is>
      </c>
      <c r="R198" s="4" t="n"/>
      <c r="S198" s="4" t="n"/>
      <c r="T198" s="4" t="inlineStr">
        <is>
          <t>MARLIN REEFER</t>
        </is>
      </c>
      <c r="U198" s="4" t="inlineStr">
        <is>
          <t>Rua Sao Paulo, 1071 CEP 30170-907 Belo Horizonte MG CNPJ: 04626426001005</t>
        </is>
      </c>
      <c r="V198" s="4" t="n">
        <v>21</v>
      </c>
      <c r="W198" s="4" t="n">
        <v>0</v>
      </c>
      <c r="X198" s="4" t="n">
        <v>26312</v>
      </c>
      <c r="Y198" s="4" t="n">
        <v>24840</v>
      </c>
      <c r="Z198" s="4" t="n">
        <v>46</v>
      </c>
      <c r="AA198" s="4" t="n"/>
      <c r="AB198" s="4" t="inlineStr">
        <is>
          <t>SAID TO CONTAIN / WEIGH &amp; MEASURE 1X40 NOR CONTAINER ISOPRENE RUBBER IR-970 PACKAGE 46 PALLETS NET WEIGHT 24.840 MT GROSS WEIGHT 26.312 MT P.O.: 2600469663 NCM CODE: 4002 CBM: 60M3 WOODEN PACKAGING: NOT APPLICABLE</t>
        </is>
      </c>
      <c r="AC198" s="4" t="inlineStr">
        <is>
          <t>ANON0000000</t>
        </is>
      </c>
      <c r="AD198" s="4" t="inlineStr">
        <is>
          <t>RH40</t>
        </is>
      </c>
      <c r="AE198" s="4" t="n">
        <v>1242807</v>
      </c>
      <c r="AF198" s="4" t="n"/>
      <c r="AG198" s="4" t="inlineStr">
        <is>
          <t>FCL/FCL</t>
        </is>
      </c>
      <c r="AH198" s="4" t="inlineStr">
        <is>
          <t>GENERAL COMMODITY</t>
        </is>
      </c>
      <c r="AI198" s="4" t="n">
        <v>26312</v>
      </c>
      <c r="AJ198" s="4" t="n">
        <v>46</v>
      </c>
      <c r="AK198" s="4" t="inlineStr">
        <is>
          <t>PLT</t>
        </is>
      </c>
      <c r="AL198" s="4" t="n"/>
      <c r="AM198" s="4" t="n"/>
      <c r="AN198" s="4" t="n"/>
      <c r="AO198" s="4" t="n"/>
      <c r="AP198" s="4" t="n"/>
      <c r="AQ198" s="4" t="n"/>
      <c r="AR198" s="4" t="n">
        <v>4700</v>
      </c>
      <c r="AS198" s="4" t="n">
        <v>27000</v>
      </c>
      <c r="AT198" s="12" t="n"/>
    </row>
    <row r="199" ht="10.5" customFormat="1" customHeight="1" s="6">
      <c r="A199" s="11" t="n">
        <v>198</v>
      </c>
      <c r="B199" s="4" t="inlineStr">
        <is>
          <t>MERCURY / VOYAGE 1</t>
        </is>
      </c>
      <c r="C199" s="4" t="inlineStr">
        <is>
          <t>REF000000</t>
        </is>
      </c>
      <c r="D199" s="7" t="n">
        <v>46095</v>
      </c>
      <c r="E199" s="4" t="n">
        <v>46108</v>
      </c>
      <c r="F199" s="4" t="inlineStr">
        <is>
          <t>RULED</t>
        </is>
      </c>
      <c r="G199" s="4" t="inlineStr">
        <is>
          <t>RULED</t>
        </is>
      </c>
      <c r="H199" s="4" t="inlineStr">
        <is>
          <t>USNFK</t>
        </is>
      </c>
      <c r="I199" s="4" t="inlineStr">
        <is>
          <t>USNFK</t>
        </is>
      </c>
      <c r="J199" s="4" t="n"/>
      <c r="K199" s="8" t="n"/>
      <c r="L199" s="4" t="inlineStr">
        <is>
          <t>TURTLE REEFER</t>
        </is>
      </c>
      <c r="M199" s="4" t="inlineStr">
        <is>
          <t>TURTLE REEFER</t>
        </is>
      </c>
      <c r="N199" s="4" t="n"/>
      <c r="O199" s="4" t="n"/>
      <c r="P199" s="4" t="inlineStr">
        <is>
          <t>TURTLE REEFER</t>
        </is>
      </c>
      <c r="Q199" s="4" t="inlineStr">
        <is>
          <t>TURTLE REEFER</t>
        </is>
      </c>
      <c r="R199" s="4" t="n"/>
      <c r="S199" s="4" t="n"/>
      <c r="T199" s="4" t="inlineStr">
        <is>
          <t>TURTLE REEFER</t>
        </is>
      </c>
      <c r="U199" s="4" t="inlineStr">
        <is>
          <t>Rua Sao Paulo, 1071 CEP 30170-907 Belo Horizonte MG CNPJ: 04626426001005</t>
        </is>
      </c>
      <c r="V199" s="4" t="n">
        <v>21</v>
      </c>
      <c r="W199" s="4" t="n">
        <v>0</v>
      </c>
      <c r="X199" s="4" t="n">
        <v>26312</v>
      </c>
      <c r="Y199" s="4" t="n">
        <v>24840</v>
      </c>
      <c r="Z199" s="4" t="n">
        <v>46</v>
      </c>
      <c r="AA199" s="4" t="n"/>
      <c r="AB199" s="4" t="inlineStr">
        <is>
          <t>SAID TO CONTAIN / WEIGH &amp; MEASURE 1X40 NOR CONTAINER ISOPRENE RUBBER IR-970 PACKAGE 46 PALLETS NET WEIGHT 24.840 MT GROSS WEIGHT 26.312 MT P.O.: 2600469664 NCM CODE: 4002 CBM: 60M3 WOODEN PACKAGING: NOT APPLICABLE</t>
        </is>
      </c>
      <c r="AC199" s="4" t="inlineStr">
        <is>
          <t>ANON0000000</t>
        </is>
      </c>
      <c r="AD199" s="4" t="inlineStr">
        <is>
          <t>RH40</t>
        </is>
      </c>
      <c r="AE199" s="4" t="n">
        <v>1242890</v>
      </c>
      <c r="AF199" s="4" t="n"/>
      <c r="AG199" s="4" t="inlineStr">
        <is>
          <t>FCL/FCL</t>
        </is>
      </c>
      <c r="AH199" s="4" t="inlineStr">
        <is>
          <t>GENERAL COMMODITY</t>
        </is>
      </c>
      <c r="AI199" s="4" t="n">
        <v>26312</v>
      </c>
      <c r="AJ199" s="4" t="n">
        <v>46</v>
      </c>
      <c r="AK199" s="4" t="inlineStr">
        <is>
          <t>PLT</t>
        </is>
      </c>
      <c r="AL199" s="4" t="n"/>
      <c r="AM199" s="4" t="n"/>
      <c r="AN199" s="4" t="n"/>
      <c r="AO199" s="4" t="n"/>
      <c r="AP199" s="4" t="n"/>
      <c r="AQ199" s="4" t="n"/>
      <c r="AR199" s="4" t="n">
        <v>4700</v>
      </c>
      <c r="AS199" s="4" t="n">
        <v>27000</v>
      </c>
      <c r="AT199" s="12" t="n"/>
    </row>
    <row r="200" ht="11.25" customFormat="1" customHeight="1" s="6">
      <c r="A200" s="11" t="n">
        <v>199</v>
      </c>
      <c r="B200" s="4" t="inlineStr">
        <is>
          <t>MERCURY / VOYAGE 1</t>
        </is>
      </c>
      <c r="C200" s="4" t="inlineStr">
        <is>
          <t>REF000000</t>
        </is>
      </c>
      <c r="D200" s="7" t="n">
        <v>46095</v>
      </c>
      <c r="E200" s="4" t="n">
        <v>46108</v>
      </c>
      <c r="F200" s="4" t="inlineStr">
        <is>
          <t>RULED</t>
        </is>
      </c>
      <c r="G200" s="4" t="inlineStr">
        <is>
          <t>RULED</t>
        </is>
      </c>
      <c r="H200" s="4" t="inlineStr">
        <is>
          <t>USNFK</t>
        </is>
      </c>
      <c r="I200" s="4" t="inlineStr">
        <is>
          <t>USNFK</t>
        </is>
      </c>
      <c r="J200" s="4" t="n"/>
      <c r="K200" s="8" t="n"/>
      <c r="L200" s="4" t="inlineStr">
        <is>
          <t>ORCA REEFER</t>
        </is>
      </c>
      <c r="M200" s="4" t="inlineStr">
        <is>
          <t>ORCA REEFER</t>
        </is>
      </c>
      <c r="N200" s="4" t="n"/>
      <c r="O200" s="4" t="n"/>
      <c r="P200" s="4" t="inlineStr">
        <is>
          <t>ORCA REEFER</t>
        </is>
      </c>
      <c r="Q200" s="4" t="inlineStr">
        <is>
          <t>ORCA REEFER</t>
        </is>
      </c>
      <c r="R200" s="4" t="n"/>
      <c r="S200" s="4" t="n"/>
      <c r="T200" s="4" t="inlineStr">
        <is>
          <t>ORCA REEFER</t>
        </is>
      </c>
      <c r="U200" s="4" t="inlineStr">
        <is>
          <t>Rua Sao Paulo, 1071 CEP 30170-907 Belo Horizonte MG CNPJ: 04626426001005</t>
        </is>
      </c>
      <c r="V200" s="4" t="n">
        <v>21</v>
      </c>
      <c r="W200" s="4" t="n">
        <v>0</v>
      </c>
      <c r="X200" s="4" t="n">
        <v>26312</v>
      </c>
      <c r="Y200" s="4" t="n">
        <v>24840</v>
      </c>
      <c r="Z200" s="4" t="n">
        <v>46</v>
      </c>
      <c r="AA200" s="4" t="n"/>
      <c r="AB200" s="4" t="inlineStr">
        <is>
          <t>SAID TO CONTAIN / WEIGH &amp; MEASURE 1X40 NOR CONTAINER ISOPRENE RUBBER IR-970 PACKAGE 46 PALLETS NET WEIGHT 24.840 MT GROSS WEIGHT 26.312 MT P.O.: 2600469665 NCM CODE: 4002 CBM: 60M3 WOODEN PACKAGING: NOT APPLICABLE</t>
        </is>
      </c>
      <c r="AC200" s="4" t="inlineStr">
        <is>
          <t>ANON0000000</t>
        </is>
      </c>
      <c r="AD200" s="4" t="inlineStr">
        <is>
          <t>RH40</t>
        </is>
      </c>
      <c r="AE200" s="4" t="n">
        <v>1256565</v>
      </c>
      <c r="AF200" s="4" t="n"/>
      <c r="AG200" s="4" t="inlineStr">
        <is>
          <t>FCL/FCL</t>
        </is>
      </c>
      <c r="AH200" s="4" t="inlineStr">
        <is>
          <t>GENERAL COMMODITY</t>
        </is>
      </c>
      <c r="AI200" s="4" t="n">
        <v>26312</v>
      </c>
      <c r="AJ200" s="4" t="n">
        <v>46</v>
      </c>
      <c r="AK200" s="4" t="inlineStr">
        <is>
          <t>PLT</t>
        </is>
      </c>
      <c r="AL200" s="4" t="n"/>
      <c r="AM200" s="4" t="n"/>
      <c r="AN200" s="4" t="n"/>
      <c r="AO200" s="4" t="n"/>
      <c r="AP200" s="4" t="n"/>
      <c r="AQ200" s="4" t="n"/>
      <c r="AR200" s="4" t="n">
        <v>4640</v>
      </c>
      <c r="AS200" s="4" t="n">
        <v>27000</v>
      </c>
      <c r="AT200" s="12" t="n"/>
    </row>
    <row r="201" ht="10.5" customFormat="1" customHeight="1" s="6">
      <c r="A201" s="11" t="n">
        <v>200</v>
      </c>
      <c r="B201" s="4" t="inlineStr">
        <is>
          <t>MERCURY / VOYAGE 1</t>
        </is>
      </c>
      <c r="C201" s="4" t="inlineStr">
        <is>
          <t>REF000000</t>
        </is>
      </c>
      <c r="D201" s="7" t="n">
        <v>46095</v>
      </c>
      <c r="E201" s="4" t="n">
        <v>46108</v>
      </c>
      <c r="F201" s="4" t="inlineStr">
        <is>
          <t>RULED</t>
        </is>
      </c>
      <c r="G201" s="4" t="inlineStr">
        <is>
          <t>RULED</t>
        </is>
      </c>
      <c r="H201" s="4" t="inlineStr">
        <is>
          <t>USNFK</t>
        </is>
      </c>
      <c r="I201" s="4" t="inlineStr">
        <is>
          <t>USNFK</t>
        </is>
      </c>
      <c r="J201" s="4" t="n"/>
      <c r="K201" s="8" t="n"/>
      <c r="L201" s="4" t="inlineStr">
        <is>
          <t>WHALE REEFER</t>
        </is>
      </c>
      <c r="M201" s="4" t="inlineStr">
        <is>
          <t>WHALE REEFER</t>
        </is>
      </c>
      <c r="N201" s="4" t="n"/>
      <c r="O201" s="4" t="n"/>
      <c r="P201" s="4" t="inlineStr">
        <is>
          <t>WHALE REEFER</t>
        </is>
      </c>
      <c r="Q201" s="4" t="inlineStr">
        <is>
          <t>WHALE REEFER</t>
        </is>
      </c>
      <c r="R201" s="4" t="n"/>
      <c r="S201" s="4" t="n"/>
      <c r="T201" s="4" t="inlineStr">
        <is>
          <t>WHALE REEFER</t>
        </is>
      </c>
      <c r="U201" s="4" t="inlineStr">
        <is>
          <t>Rua Sao Paulo, 1071 CEP 30170-907 Belo Horizonte MG CNPJ: 04626426001005</t>
        </is>
      </c>
      <c r="V201" s="4" t="n">
        <v>21</v>
      </c>
      <c r="W201" s="4" t="n">
        <v>0</v>
      </c>
      <c r="X201" s="4" t="n">
        <v>26312</v>
      </c>
      <c r="Y201" s="4" t="n">
        <v>24840</v>
      </c>
      <c r="Z201" s="4" t="n">
        <v>46</v>
      </c>
      <c r="AA201" s="4" t="n"/>
      <c r="AB201" s="4" t="inlineStr">
        <is>
          <t>SAID TO CONTAIN / WEIGH &amp; MEASURE 1X40 NOR CONTAINER ISOPRENE RUBBER IR-970 PACKAGE 46 PALLETS NET WEIGHT 24.840 MT GROSS WEIGHT 26.312 MT P.O.: 2600469666 NCM CODE: 4002 CBM: 60M3 WOODEN PACKAGING: NOT APPLICABLE</t>
        </is>
      </c>
      <c r="AC201" s="4" t="inlineStr">
        <is>
          <t>ANON0000000</t>
        </is>
      </c>
      <c r="AD201" s="4" t="inlineStr">
        <is>
          <t>RH40</t>
        </is>
      </c>
      <c r="AE201" s="4" t="n">
        <v>1256564</v>
      </c>
      <c r="AF201" s="4" t="n"/>
      <c r="AG201" s="4" t="inlineStr">
        <is>
          <t>FCL/FCL</t>
        </is>
      </c>
      <c r="AH201" s="4" t="inlineStr">
        <is>
          <t>GENERAL COMMODITY</t>
        </is>
      </c>
      <c r="AI201" s="4" t="n">
        <v>26312</v>
      </c>
      <c r="AJ201" s="4" t="n">
        <v>46</v>
      </c>
      <c r="AK201" s="4" t="inlineStr">
        <is>
          <t>PLT</t>
        </is>
      </c>
      <c r="AL201" s="4" t="n"/>
      <c r="AM201" s="4" t="n"/>
      <c r="AN201" s="4" t="n"/>
      <c r="AO201" s="4" t="n"/>
      <c r="AP201" s="4" t="n"/>
      <c r="AQ201" s="4" t="n"/>
      <c r="AR201" s="4" t="n">
        <v>4700</v>
      </c>
      <c r="AS201" s="4" t="n">
        <v>27000</v>
      </c>
      <c r="AT201" s="12" t="n"/>
    </row>
    <row r="202" ht="10.5" customFormat="1" customHeight="1" s="6">
      <c r="A202" s="11" t="n">
        <v>201</v>
      </c>
      <c r="B202" s="4" t="inlineStr">
        <is>
          <t>MERCURY / VOYAGE 1</t>
        </is>
      </c>
      <c r="C202" s="4" t="inlineStr">
        <is>
          <t>REF000000</t>
        </is>
      </c>
      <c r="D202" s="7" t="n">
        <v>46095</v>
      </c>
      <c r="E202" s="4" t="n">
        <v>46108</v>
      </c>
      <c r="F202" s="4" t="inlineStr">
        <is>
          <t>RULED</t>
        </is>
      </c>
      <c r="G202" s="4" t="inlineStr">
        <is>
          <t>RULED</t>
        </is>
      </c>
      <c r="H202" s="4" t="inlineStr">
        <is>
          <t>USNFK</t>
        </is>
      </c>
      <c r="I202" s="4" t="inlineStr">
        <is>
          <t>USNFK</t>
        </is>
      </c>
      <c r="J202" s="4" t="n"/>
      <c r="K202" s="8" t="n"/>
      <c r="L202" s="4" t="inlineStr">
        <is>
          <t>SEAL REEFER</t>
        </is>
      </c>
      <c r="M202" s="4" t="inlineStr">
        <is>
          <t>SEAL REEFER</t>
        </is>
      </c>
      <c r="N202" s="4" t="n"/>
      <c r="O202" s="4" t="n"/>
      <c r="P202" s="4" t="inlineStr">
        <is>
          <t>SEAL REEFER</t>
        </is>
      </c>
      <c r="Q202" s="4" t="inlineStr">
        <is>
          <t>SEAL REEFER</t>
        </is>
      </c>
      <c r="R202" s="4" t="n"/>
      <c r="S202" s="4" t="n"/>
      <c r="T202" s="4" t="inlineStr">
        <is>
          <t>SEAL REEFER</t>
        </is>
      </c>
      <c r="U202" s="4" t="inlineStr">
        <is>
          <t>RUA SAO PAULO, 1071 CEP 30170-907 BELO HORIZONTE MG CNPJ: 04626426001005</t>
        </is>
      </c>
      <c r="V202" s="4" t="n">
        <v>21</v>
      </c>
      <c r="W202" s="4" t="n">
        <v>0</v>
      </c>
      <c r="X202" s="4" t="n">
        <v>26312</v>
      </c>
      <c r="Y202" s="4" t="n">
        <v>24840</v>
      </c>
      <c r="Z202" s="4" t="n">
        <v>46</v>
      </c>
      <c r="AA202" s="4" t="n"/>
      <c r="AB202" s="4" t="inlineStr">
        <is>
          <t>SAID TO CONTAIN / WEIGH &amp; MEASURE 1X40 NOR CONTAINER BUTADIENE RUBBER BR-544 PACKAGE 46 PALLETS NET WEIGHT 24.840 MT GROSS WEIGHT 26.312 MT P.O.: 2600469632 NCM: 4002 H.S. CODE: 4002.20.00 CBM: 60M3 WOODEN PACKAGING: NOT APPLICABLE</t>
        </is>
      </c>
      <c r="AC202" s="4" t="inlineStr">
        <is>
          <t>ANON0000000</t>
        </is>
      </c>
      <c r="AD202" s="4" t="inlineStr">
        <is>
          <t>RH40</t>
        </is>
      </c>
      <c r="AE202" s="4" t="n">
        <v>1256410</v>
      </c>
      <c r="AF202" s="4" t="n"/>
      <c r="AG202" s="4" t="inlineStr">
        <is>
          <t>FCL/FCL</t>
        </is>
      </c>
      <c r="AH202" s="4" t="inlineStr">
        <is>
          <t>GENERAL COMMODITY</t>
        </is>
      </c>
      <c r="AI202" s="4" t="n">
        <v>26312</v>
      </c>
      <c r="AJ202" s="4" t="n">
        <v>46</v>
      </c>
      <c r="AK202" s="4" t="inlineStr">
        <is>
          <t>PLT</t>
        </is>
      </c>
      <c r="AL202" s="4" t="n"/>
      <c r="AM202" s="4" t="n"/>
      <c r="AN202" s="4" t="n"/>
      <c r="AO202" s="4" t="n"/>
      <c r="AP202" s="4" t="n"/>
      <c r="AQ202" s="4" t="n"/>
      <c r="AR202" s="4" t="n">
        <v>4640</v>
      </c>
      <c r="AS202" s="4" t="n">
        <v>27000</v>
      </c>
      <c r="AT202" s="12" t="n"/>
    </row>
    <row r="203" ht="10.5" customFormat="1" customHeight="1" s="6">
      <c r="A203" s="11" t="n">
        <v>202</v>
      </c>
      <c r="B203" s="4" t="inlineStr">
        <is>
          <t>MERCURY / VOYAGE 1</t>
        </is>
      </c>
      <c r="C203" s="4" t="inlineStr">
        <is>
          <t>REF000000</t>
        </is>
      </c>
      <c r="D203" s="7" t="n">
        <v>46095</v>
      </c>
      <c r="E203" s="4" t="n">
        <v>46108</v>
      </c>
      <c r="F203" s="4" t="inlineStr">
        <is>
          <t>RULED</t>
        </is>
      </c>
      <c r="G203" s="4" t="inlineStr">
        <is>
          <t>RULED</t>
        </is>
      </c>
      <c r="H203" s="4" t="inlineStr">
        <is>
          <t>USNFK</t>
        </is>
      </c>
      <c r="I203" s="4" t="inlineStr">
        <is>
          <t>USNFK</t>
        </is>
      </c>
      <c r="J203" s="4" t="n"/>
      <c r="K203" s="8" t="n"/>
      <c r="L203" s="4" t="inlineStr">
        <is>
          <t>SHARK REEFER</t>
        </is>
      </c>
      <c r="M203" s="4" t="inlineStr">
        <is>
          <t>SHARK REEFER</t>
        </is>
      </c>
      <c r="N203" s="4" t="n"/>
      <c r="O203" s="4" t="n"/>
      <c r="P203" s="4" t="inlineStr">
        <is>
          <t>SHARK REEFER</t>
        </is>
      </c>
      <c r="Q203" s="4" t="inlineStr">
        <is>
          <t>SHARK REEFER</t>
        </is>
      </c>
      <c r="R203" s="4" t="n"/>
      <c r="S203" s="4" t="n"/>
      <c r="T203" s="4" t="inlineStr">
        <is>
          <t>SHARK REEFER</t>
        </is>
      </c>
      <c r="U203" s="4" t="inlineStr">
        <is>
          <t>Rua Sao Paulo, 1071</t>
        </is>
      </c>
      <c r="V203" s="4" t="n">
        <v>21</v>
      </c>
      <c r="W203" s="4" t="n">
        <v>0</v>
      </c>
      <c r="X203" s="4" t="n">
        <v>26312</v>
      </c>
      <c r="Y203" s="4" t="n">
        <v>24840</v>
      </c>
      <c r="Z203" s="4" t="n">
        <v>46</v>
      </c>
      <c r="AA203" s="4" t="n"/>
      <c r="AB203" s="4" t="inlineStr">
        <is>
          <t>SAID TO CONTAIN / WEIGH &amp; MEASURE</t>
        </is>
      </c>
      <c r="AC203" s="4" t="inlineStr">
        <is>
          <t>ANON0000000</t>
        </is>
      </c>
      <c r="AD203" s="4" t="inlineStr">
        <is>
          <t>RH40</t>
        </is>
      </c>
      <c r="AE203" s="4" t="n">
        <v>1256401</v>
      </c>
      <c r="AF203" s="4" t="n"/>
      <c r="AG203" s="4" t="inlineStr">
        <is>
          <t>FCL/FCL</t>
        </is>
      </c>
      <c r="AH203" s="4" t="inlineStr">
        <is>
          <t>GENERAL COMMODITY</t>
        </is>
      </c>
      <c r="AI203" s="4" t="n">
        <v>26312</v>
      </c>
      <c r="AJ203" s="4" t="n">
        <v>46</v>
      </c>
      <c r="AK203" s="4" t="inlineStr">
        <is>
          <t>PLT</t>
        </is>
      </c>
      <c r="AL203" s="4" t="n"/>
      <c r="AM203" s="4" t="n"/>
      <c r="AN203" s="4" t="n"/>
      <c r="AO203" s="4" t="n"/>
      <c r="AP203" s="4" t="n"/>
      <c r="AQ203" s="4" t="n"/>
      <c r="AR203" s="4" t="n">
        <v>4600</v>
      </c>
      <c r="AS203" s="4" t="n">
        <v>27000</v>
      </c>
      <c r="AT203" s="12" t="n"/>
    </row>
    <row r="204" ht="10.5" customFormat="1" customHeight="1" s="6">
      <c r="A204" s="11" t="n">
        <v>203</v>
      </c>
      <c r="B204" s="4" t="inlineStr">
        <is>
          <t>MERCURY / VOYAGE 1</t>
        </is>
      </c>
      <c r="C204" s="4" t="inlineStr">
        <is>
          <t>REF000000</t>
        </is>
      </c>
      <c r="D204" s="7" t="n">
        <v>46095</v>
      </c>
      <c r="E204" s="4" t="n">
        <v>46108</v>
      </c>
      <c r="F204" s="4" t="inlineStr">
        <is>
          <t>RULED</t>
        </is>
      </c>
      <c r="G204" s="4" t="inlineStr">
        <is>
          <t>RULED</t>
        </is>
      </c>
      <c r="H204" s="4" t="inlineStr">
        <is>
          <t>USNFK</t>
        </is>
      </c>
      <c r="I204" s="4" t="inlineStr">
        <is>
          <t>USNFK</t>
        </is>
      </c>
      <c r="J204" s="4" t="n"/>
      <c r="K204" s="8" t="n"/>
      <c r="L204" s="4" t="inlineStr">
        <is>
          <t>DOLPHIN REEFER</t>
        </is>
      </c>
      <c r="M204" s="4" t="inlineStr">
        <is>
          <t>DOLPHIN REEFER</t>
        </is>
      </c>
      <c r="N204" s="4" t="n"/>
      <c r="O204" s="4" t="n"/>
      <c r="P204" s="4" t="inlineStr">
        <is>
          <t>DOLPHIN REEFER</t>
        </is>
      </c>
      <c r="Q204" s="4" t="inlineStr">
        <is>
          <t>DOLPHIN REEFER</t>
        </is>
      </c>
      <c r="R204" s="4" t="n"/>
      <c r="S204" s="4" t="n"/>
      <c r="T204" s="4" t="inlineStr">
        <is>
          <t>DOLPHIN REEFER</t>
        </is>
      </c>
      <c r="U204" s="4" t="inlineStr">
        <is>
          <t>Rua Sao Paulo, 1071</t>
        </is>
      </c>
      <c r="V204" s="4" t="n">
        <v>21</v>
      </c>
      <c r="W204" s="4" t="n">
        <v>0</v>
      </c>
      <c r="X204" s="4" t="n">
        <v>26312</v>
      </c>
      <c r="Y204" s="4" t="n">
        <v>24840</v>
      </c>
      <c r="Z204" s="4" t="n">
        <v>46</v>
      </c>
      <c r="AA204" s="4" t="n"/>
      <c r="AB204" s="4" t="inlineStr">
        <is>
          <t>SAID TO CONTAIN / WEIGH &amp; MEASURE</t>
        </is>
      </c>
      <c r="AC204" s="4" t="inlineStr">
        <is>
          <t>ANON0000000</t>
        </is>
      </c>
      <c r="AD204" s="4" t="inlineStr">
        <is>
          <t>RH40</t>
        </is>
      </c>
      <c r="AE204" s="4" t="n">
        <v>1256429</v>
      </c>
      <c r="AF204" s="4" t="n"/>
      <c r="AG204" s="4" t="inlineStr">
        <is>
          <t>FCL/FCL</t>
        </is>
      </c>
      <c r="AH204" s="4" t="inlineStr">
        <is>
          <t>GENERAL COMMODITY</t>
        </is>
      </c>
      <c r="AI204" s="4" t="n">
        <v>26312</v>
      </c>
      <c r="AJ204" s="4" t="n">
        <v>46</v>
      </c>
      <c r="AK204" s="4" t="inlineStr">
        <is>
          <t>PLT</t>
        </is>
      </c>
      <c r="AL204" s="4" t="n"/>
      <c r="AM204" s="4" t="n"/>
      <c r="AN204" s="4" t="n"/>
      <c r="AO204" s="4" t="n"/>
      <c r="AP204" s="4" t="n"/>
      <c r="AQ204" s="4" t="n"/>
      <c r="AR204" s="4" t="n">
        <v>4630</v>
      </c>
      <c r="AS204" s="4" t="n">
        <v>27000</v>
      </c>
      <c r="AT204" s="12" t="n"/>
    </row>
    <row r="205" ht="11.25" customFormat="1" customHeight="1" s="6">
      <c r="A205" s="11" t="n">
        <v>204</v>
      </c>
      <c r="B205" s="4" t="inlineStr">
        <is>
          <t>MERCURY / VOYAGE 1</t>
        </is>
      </c>
      <c r="C205" s="4" t="inlineStr">
        <is>
          <t>REF000000</t>
        </is>
      </c>
      <c r="D205" s="7" t="n">
        <v>46095</v>
      </c>
      <c r="E205" s="4" t="n">
        <v>46108</v>
      </c>
      <c r="F205" s="4" t="inlineStr">
        <is>
          <t>RULED</t>
        </is>
      </c>
      <c r="G205" s="4" t="inlineStr">
        <is>
          <t>RULED</t>
        </is>
      </c>
      <c r="H205" s="4" t="inlineStr">
        <is>
          <t>USNFK</t>
        </is>
      </c>
      <c r="I205" s="4" t="inlineStr">
        <is>
          <t>USNFK</t>
        </is>
      </c>
      <c r="J205" s="4" t="n"/>
      <c r="K205" s="8" t="n"/>
      <c r="L205" s="4" t="inlineStr">
        <is>
          <t>MARLIN REEFER</t>
        </is>
      </c>
      <c r="M205" s="4" t="inlineStr">
        <is>
          <t>MARLIN REEFER</t>
        </is>
      </c>
      <c r="N205" s="4" t="n"/>
      <c r="O205" s="4" t="n"/>
      <c r="P205" s="4" t="inlineStr">
        <is>
          <t>MARLIN REEFER</t>
        </is>
      </c>
      <c r="Q205" s="4" t="inlineStr">
        <is>
          <t>MARLIN REEFER</t>
        </is>
      </c>
      <c r="R205" s="4" t="n"/>
      <c r="S205" s="4" t="n"/>
      <c r="T205" s="4" t="inlineStr">
        <is>
          <t>MARLIN REEFER</t>
        </is>
      </c>
      <c r="U205" s="4" t="inlineStr">
        <is>
          <t>Rua Sao Paulo, 1071</t>
        </is>
      </c>
      <c r="V205" s="4" t="n">
        <v>21</v>
      </c>
      <c r="W205" s="4" t="n">
        <v>0</v>
      </c>
      <c r="X205" s="4" t="n">
        <v>26312</v>
      </c>
      <c r="Y205" s="4" t="n">
        <v>24840</v>
      </c>
      <c r="Z205" s="4" t="n">
        <v>46</v>
      </c>
      <c r="AA205" s="4" t="n"/>
      <c r="AB205" s="4" t="inlineStr">
        <is>
          <t>SAID TO CONTAIN / WEIGH &amp; MEASURE</t>
        </is>
      </c>
      <c r="AC205" s="4" t="inlineStr">
        <is>
          <t>ANON0000000</t>
        </is>
      </c>
      <c r="AD205" s="4" t="inlineStr">
        <is>
          <t>RH40</t>
        </is>
      </c>
      <c r="AE205" s="4" t="n">
        <v>1256430</v>
      </c>
      <c r="AF205" s="4" t="n"/>
      <c r="AG205" s="4" t="inlineStr">
        <is>
          <t>FCL/FCL</t>
        </is>
      </c>
      <c r="AH205" s="4" t="inlineStr">
        <is>
          <t>GENERAL COMMODITY</t>
        </is>
      </c>
      <c r="AI205" s="4" t="n">
        <v>26312</v>
      </c>
      <c r="AJ205" s="4" t="n">
        <v>46</v>
      </c>
      <c r="AK205" s="4" t="inlineStr">
        <is>
          <t>PLT</t>
        </is>
      </c>
      <c r="AL205" s="4" t="n"/>
      <c r="AM205" s="4" t="n"/>
      <c r="AN205" s="4" t="n"/>
      <c r="AO205" s="4" t="n"/>
      <c r="AP205" s="4" t="n"/>
      <c r="AQ205" s="4" t="n"/>
      <c r="AR205" s="4" t="n">
        <v>4640</v>
      </c>
      <c r="AS205" s="4" t="n">
        <v>27000</v>
      </c>
      <c r="AT205" s="12" t="n"/>
    </row>
    <row r="206" ht="10.5" customFormat="1" customHeight="1" s="6">
      <c r="A206" s="11" t="n">
        <v>205</v>
      </c>
      <c r="B206" s="4" t="inlineStr">
        <is>
          <t>MERCURY / VOYAGE 1</t>
        </is>
      </c>
      <c r="C206" s="4" t="inlineStr">
        <is>
          <t>REF000000</t>
        </is>
      </c>
      <c r="D206" s="7" t="n">
        <v>46095</v>
      </c>
      <c r="E206" s="4" t="n">
        <v>46111</v>
      </c>
      <c r="F206" s="4" t="inlineStr">
        <is>
          <t>RULED</t>
        </is>
      </c>
      <c r="G206" s="4" t="inlineStr">
        <is>
          <t>RULED</t>
        </is>
      </c>
      <c r="H206" s="4" t="inlineStr">
        <is>
          <t>USNFK</t>
        </is>
      </c>
      <c r="I206" s="4" t="inlineStr">
        <is>
          <t>USNFK</t>
        </is>
      </c>
      <c r="J206" s="4" t="n"/>
      <c r="K206" s="8" t="n"/>
      <c r="L206" s="4" t="inlineStr">
        <is>
          <t>TURTLE REEFER</t>
        </is>
      </c>
      <c r="M206" s="4" t="inlineStr">
        <is>
          <t>TURTLE REEFER</t>
        </is>
      </c>
      <c r="N206" s="4" t="n"/>
      <c r="O206" s="4" t="n"/>
      <c r="P206" s="4" t="inlineStr">
        <is>
          <t>TURTLE REEFER</t>
        </is>
      </c>
      <c r="Q206" s="4" t="inlineStr">
        <is>
          <t>TURTLE REEFER</t>
        </is>
      </c>
      <c r="R206" s="4" t="n"/>
      <c r="S206" s="4" t="n"/>
      <c r="T206" s="4" t="inlineStr">
        <is>
          <t>TURTLE REEFER</t>
        </is>
      </c>
      <c r="U206" s="4" t="inlineStr">
        <is>
          <t>Rua Antonio Satte Alan Sobrinho, 351 Bairro: Distrito Industrial CEP: 96.040-504 Pelotas/RS CNPJ: 01.970.616/0005-81 Inscricao Estadual: 093/0335961 Fone: 053 3271 0566</t>
        </is>
      </c>
      <c r="V206" s="4" t="n">
        <v>21</v>
      </c>
      <c r="W206" s="4" t="n">
        <v>0</v>
      </c>
      <c r="X206" s="4" t="n">
        <v>57960</v>
      </c>
      <c r="Y206" s="4" t="n">
        <v>56000</v>
      </c>
      <c r="Z206" s="4" t="n">
        <v>56</v>
      </c>
      <c r="AA206" s="4" t="n"/>
      <c r="AB206" s="4" t="inlineStr">
        <is>
          <t>SAID TO CONTAIN / WEIGH &amp; MEASURE MIXED MINERAL FERTILIZERS FOR APPLICATION VIA FERTIRRIGATION CONTAINING THREE PRIMARY MACRO NUTRIENTS: NITROGEN (N), WITH FINAL CONTENT 12% WATER SOLUBLE; PHOSPHORUS (P2O5) WITH WATER SOLUBLE FINAL CONTENT DE 06%; POTASSIUM (K2O) WITH A FINAL WATER SOLUBLE CONTENT OF 36%; ONE SECONDARY MACRO NUTRIENT: MAGNESIUM (MG) WITH FINAL CONTENT SOLUBLE IN 1.5% WATER AND WATER SOLUBLE MICRONUTRIENTS. NCM: 3105.20.00 TOTAL NET WEIGHT: 56 000 KGS TOTAL GROSS WEIGHT: 57 960 KGS TOTAL NUMBER OF PALLETS: 56 PCS TOTAL NUMBER OF BAGS: 2240 PCS WOODEN: TREATED AND CERTIFIED</t>
        </is>
      </c>
      <c r="AC206" s="4" t="inlineStr">
        <is>
          <t>ANON0000000</t>
        </is>
      </c>
      <c r="AD206" s="4" t="inlineStr">
        <is>
          <t>RH40</t>
        </is>
      </c>
      <c r="AE206" s="4" t="n">
        <v>1256531</v>
      </c>
      <c r="AF206" s="4" t="n"/>
      <c r="AG206" s="4" t="inlineStr">
        <is>
          <t>FCL/FCL</t>
        </is>
      </c>
      <c r="AH206" s="4" t="inlineStr">
        <is>
          <t>GENERAL COMMODITY</t>
        </is>
      </c>
      <c r="AI206" s="4" t="n">
        <v>28980</v>
      </c>
      <c r="AJ206" s="4" t="n">
        <v>28</v>
      </c>
      <c r="AK206" s="4" t="inlineStr">
        <is>
          <t>PLT</t>
        </is>
      </c>
      <c r="AL206" s="4" t="n"/>
      <c r="AM206" s="4" t="n"/>
      <c r="AN206" s="4" t="n"/>
      <c r="AO206" s="4" t="n"/>
      <c r="AP206" s="4" t="n"/>
      <c r="AQ206" s="4" t="n"/>
      <c r="AR206" s="4" t="n">
        <v>4400</v>
      </c>
      <c r="AS206" s="4" t="n">
        <v>27000</v>
      </c>
      <c r="AT206" s="12" t="n"/>
    </row>
    <row r="207" ht="10.5" customFormat="1" customHeight="1" s="6">
      <c r="A207" s="11" t="n">
        <v>206</v>
      </c>
      <c r="B207" s="4" t="inlineStr">
        <is>
          <t>MERCURY / VOYAGE 1</t>
        </is>
      </c>
      <c r="C207" s="4" t="inlineStr">
        <is>
          <t>REF000000</t>
        </is>
      </c>
      <c r="D207" s="7" t="n">
        <v>46095</v>
      </c>
      <c r="E207" s="4" t="n">
        <v>46111</v>
      </c>
      <c r="F207" s="4" t="inlineStr">
        <is>
          <t>RULED</t>
        </is>
      </c>
      <c r="G207" s="4" t="inlineStr">
        <is>
          <t>RULED</t>
        </is>
      </c>
      <c r="H207" s="4" t="inlineStr">
        <is>
          <t>USNFK</t>
        </is>
      </c>
      <c r="I207" s="4" t="inlineStr">
        <is>
          <t>USNFK</t>
        </is>
      </c>
      <c r="J207" s="4" t="n"/>
      <c r="K207" s="8" t="n"/>
      <c r="L207" s="4" t="inlineStr">
        <is>
          <t>ORCA REEFER</t>
        </is>
      </c>
      <c r="M207" s="4" t="inlineStr">
        <is>
          <t>ORCA REEFER</t>
        </is>
      </c>
      <c r="N207" s="4" t="n"/>
      <c r="O207" s="4" t="n"/>
      <c r="P207" s="4" t="inlineStr">
        <is>
          <t>ORCA REEFER</t>
        </is>
      </c>
      <c r="Q207" s="4" t="inlineStr">
        <is>
          <t>ORCA REEFER</t>
        </is>
      </c>
      <c r="R207" s="4" t="n"/>
      <c r="S207" s="4" t="n"/>
      <c r="T207" s="4" t="inlineStr">
        <is>
          <t>ORCA REEFER</t>
        </is>
      </c>
      <c r="U207" s="4" t="inlineStr">
        <is>
          <t>Rua Antonio Satte Alan Sobrinho, 351 Bairro: Distrito Industrial CEP: 96.040-504 Pelotas/RS CNPJ: 01.970.616/0005-81 Inscricao Estadual: 093/0335961 Fone: 053 3271 0566</t>
        </is>
      </c>
      <c r="V207" s="4" t="n">
        <v>21</v>
      </c>
      <c r="W207" s="4" t="n">
        <v>0</v>
      </c>
      <c r="X207" s="4" t="n">
        <v>57960</v>
      </c>
      <c r="Y207" s="4" t="n">
        <v>56000</v>
      </c>
      <c r="Z207" s="4" t="n">
        <v>56</v>
      </c>
      <c r="AA207" s="4" t="n"/>
      <c r="AB207" s="4" t="inlineStr">
        <is>
          <t>SAID TO CONTAIN / WEIGH &amp; MEASURE MIXED MINERAL FERTILIZERS FOR APPLICATION VIA FERTIRRIGATION CONTAINING THREE PRIMARY MACRO NUTRIENTS: NITROGEN (N), WITH FINAL CONTENT 12% WATER SOLUBLE; PHOSPHORUS (P2O5) WITH WATER SOLUBLE FINAL CONTENT DE 06%; POTASSIUM (K2O) WITH A FINAL WATER SOLUBLE CONTENT OF 36%; ONE SECONDARY MACRO NUTRIENT: MAGNESIUM (MG) WITH FINAL CONTENT SOLUBLE IN 1.5% WATER AND WATER SOLUBLE MICRONUTRIENTS. NCM: 3105.20.00 TOTAL NET WEIGHT: 56 000 KGS TOTAL GROSS WEIGHT: 57 960 KGS TOTAL NUMBER OF PALLETS: 56 PCS TOTAL NUMBER OF BAGS: 2240 PCS WOODEN: TREATED AND CERTIFIED</t>
        </is>
      </c>
      <c r="AC207" s="4" t="inlineStr">
        <is>
          <t>ANON0000000</t>
        </is>
      </c>
      <c r="AD207" s="4" t="inlineStr">
        <is>
          <t>RH40</t>
        </is>
      </c>
      <c r="AE207" s="4" t="n">
        <v>1145382</v>
      </c>
      <c r="AF207" s="4" t="n"/>
      <c r="AG207" s="4" t="inlineStr">
        <is>
          <t>FCL/FCL</t>
        </is>
      </c>
      <c r="AH207" s="4" t="inlineStr">
        <is>
          <t>GENERAL COMMODITY</t>
        </is>
      </c>
      <c r="AI207" s="4" t="n">
        <v>28980</v>
      </c>
      <c r="AJ207" s="4" t="n">
        <v>28</v>
      </c>
      <c r="AK207" s="4" t="inlineStr">
        <is>
          <t>PLT</t>
        </is>
      </c>
      <c r="AL207" s="4" t="n"/>
      <c r="AM207" s="4" t="n"/>
      <c r="AN207" s="4" t="n"/>
      <c r="AO207" s="4" t="n"/>
      <c r="AP207" s="4" t="n"/>
      <c r="AQ207" s="4" t="n"/>
      <c r="AR207" s="4" t="n">
        <v>4700</v>
      </c>
      <c r="AS207" s="4" t="n">
        <v>27000</v>
      </c>
      <c r="AT207" s="12" t="n"/>
    </row>
    <row r="208" ht="10.5" customFormat="1" customHeight="1" s="6">
      <c r="A208" s="11" t="n">
        <v>207</v>
      </c>
      <c r="B208" s="4" t="inlineStr">
        <is>
          <t>MERCURY / VOYAGE 1</t>
        </is>
      </c>
      <c r="C208" s="4" t="inlineStr">
        <is>
          <t>REF000000</t>
        </is>
      </c>
      <c r="D208" s="7" t="n">
        <v>46095</v>
      </c>
      <c r="E208" s="4" t="n">
        <v>46111</v>
      </c>
      <c r="F208" s="4" t="inlineStr">
        <is>
          <t>RULED</t>
        </is>
      </c>
      <c r="G208" s="4" t="inlineStr">
        <is>
          <t>RULED</t>
        </is>
      </c>
      <c r="H208" s="4" t="inlineStr">
        <is>
          <t>USNFK</t>
        </is>
      </c>
      <c r="I208" s="4" t="inlineStr">
        <is>
          <t>USNFK</t>
        </is>
      </c>
      <c r="J208" s="4" t="n"/>
      <c r="K208" s="8" t="n"/>
      <c r="L208" s="4" t="inlineStr">
        <is>
          <t>WHALE REEFER</t>
        </is>
      </c>
      <c r="M208" s="4" t="inlineStr">
        <is>
          <t>WHALE REEFER</t>
        </is>
      </c>
      <c r="N208" s="4" t="n"/>
      <c r="O208" s="4" t="n"/>
      <c r="P208" s="4" t="inlineStr">
        <is>
          <t>WHALE REEFER</t>
        </is>
      </c>
      <c r="Q208" s="4" t="inlineStr">
        <is>
          <t>WHALE REEFER</t>
        </is>
      </c>
      <c r="R208" s="4" t="n"/>
      <c r="S208" s="4" t="n"/>
      <c r="T208" s="4" t="inlineStr">
        <is>
          <t>WHALE REEFER</t>
        </is>
      </c>
      <c r="U208" s="4" t="inlineStr">
        <is>
          <t>Rua Antonio Satte Alan Sobrinho, 351 Bairro: Distrito</t>
        </is>
      </c>
      <c r="V208" s="4" t="n">
        <v>21</v>
      </c>
      <c r="W208" s="4" t="n">
        <v>0</v>
      </c>
      <c r="X208" s="4" t="n">
        <v>318780</v>
      </c>
      <c r="Y208" s="4" t="n">
        <v>308000</v>
      </c>
      <c r="Z208" s="4" t="n">
        <v>308</v>
      </c>
      <c r="AA208" s="4" t="n"/>
      <c r="AB208" s="4" t="inlineStr">
        <is>
          <t>SAID TO CONTAIN / WEIGH &amp; MEASURE</t>
        </is>
      </c>
      <c r="AC208" s="4" t="inlineStr">
        <is>
          <t>ANON0000000</t>
        </is>
      </c>
      <c r="AD208" s="4" t="inlineStr">
        <is>
          <t>RH40</t>
        </is>
      </c>
      <c r="AE208" s="4" t="n">
        <v>1242956</v>
      </c>
      <c r="AF208" s="4" t="n"/>
      <c r="AG208" s="4" t="inlineStr">
        <is>
          <t>FCL/FCL</t>
        </is>
      </c>
      <c r="AH208" s="4" t="inlineStr">
        <is>
          <t>GENERAL COMMODITY</t>
        </is>
      </c>
      <c r="AI208" s="4" t="n">
        <v>28980</v>
      </c>
      <c r="AJ208" s="4" t="n">
        <v>28</v>
      </c>
      <c r="AK208" s="4" t="inlineStr">
        <is>
          <t>PLT</t>
        </is>
      </c>
      <c r="AL208" s="4" t="n"/>
      <c r="AM208" s="4" t="n"/>
      <c r="AN208" s="4" t="n"/>
      <c r="AO208" s="4" t="n"/>
      <c r="AP208" s="4" t="n"/>
      <c r="AQ208" s="4" t="n"/>
      <c r="AR208" s="4" t="n">
        <v>4640</v>
      </c>
      <c r="AS208" s="4" t="n">
        <v>27000</v>
      </c>
      <c r="AT208" s="12" t="n"/>
    </row>
    <row r="209" ht="10.5" customFormat="1" customHeight="1" s="6">
      <c r="A209" s="11" t="n">
        <v>208</v>
      </c>
      <c r="B209" s="4" t="inlineStr">
        <is>
          <t>MERCURY / VOYAGE 1</t>
        </is>
      </c>
      <c r="C209" s="4" t="inlineStr">
        <is>
          <t>REF000000</t>
        </is>
      </c>
      <c r="D209" s="7" t="n">
        <v>46095</v>
      </c>
      <c r="E209" s="4" t="n">
        <v>46111</v>
      </c>
      <c r="F209" s="4" t="inlineStr">
        <is>
          <t>RULED</t>
        </is>
      </c>
      <c r="G209" s="4" t="inlineStr">
        <is>
          <t>RULED</t>
        </is>
      </c>
      <c r="H209" s="4" t="inlineStr">
        <is>
          <t>USNFK</t>
        </is>
      </c>
      <c r="I209" s="4" t="inlineStr">
        <is>
          <t>USNFK</t>
        </is>
      </c>
      <c r="J209" s="4" t="n"/>
      <c r="K209" s="8" t="n"/>
      <c r="L209" s="4" t="inlineStr">
        <is>
          <t>SEAL REEFER</t>
        </is>
      </c>
      <c r="M209" s="4" t="inlineStr">
        <is>
          <t>SEAL REEFER</t>
        </is>
      </c>
      <c r="N209" s="4" t="n"/>
      <c r="O209" s="4" t="n"/>
      <c r="P209" s="4" t="inlineStr">
        <is>
          <t>SEAL REEFER</t>
        </is>
      </c>
      <c r="Q209" s="4" t="inlineStr">
        <is>
          <t>SEAL REEFER</t>
        </is>
      </c>
      <c r="R209" s="4" t="n"/>
      <c r="S209" s="4" t="n"/>
      <c r="T209" s="4" t="inlineStr">
        <is>
          <t>SEAL REEFER</t>
        </is>
      </c>
      <c r="U209" s="4" t="inlineStr">
        <is>
          <t>Rua Antonio Satte Alan Sobrinho, 351 Bairro: Distrito</t>
        </is>
      </c>
      <c r="V209" s="4" t="n">
        <v>21</v>
      </c>
      <c r="W209" s="4" t="n">
        <v>0</v>
      </c>
      <c r="X209" s="4" t="n">
        <v>318780</v>
      </c>
      <c r="Y209" s="4" t="n">
        <v>308000</v>
      </c>
      <c r="Z209" s="4" t="n">
        <v>308</v>
      </c>
      <c r="AA209" s="4" t="n"/>
      <c r="AB209" s="4" t="inlineStr">
        <is>
          <t>SAID TO CONTAIN / WEIGH &amp; MEASURE</t>
        </is>
      </c>
      <c r="AC209" s="4" t="inlineStr">
        <is>
          <t>ANON0000000</t>
        </is>
      </c>
      <c r="AD209" s="4" t="inlineStr">
        <is>
          <t>RH40</t>
        </is>
      </c>
      <c r="AE209" s="4" t="n">
        <v>1256578</v>
      </c>
      <c r="AF209" s="4" t="n"/>
      <c r="AG209" s="4" t="inlineStr">
        <is>
          <t>FCL/FCL</t>
        </is>
      </c>
      <c r="AH209" s="4" t="inlineStr">
        <is>
          <t>GENERAL COMMODITY</t>
        </is>
      </c>
      <c r="AI209" s="4" t="n">
        <v>28980</v>
      </c>
      <c r="AJ209" s="4" t="n">
        <v>28</v>
      </c>
      <c r="AK209" s="4" t="inlineStr">
        <is>
          <t>PLT</t>
        </is>
      </c>
      <c r="AL209" s="4" t="n"/>
      <c r="AM209" s="4" t="n"/>
      <c r="AN209" s="4" t="n"/>
      <c r="AO209" s="4" t="n"/>
      <c r="AP209" s="4" t="n"/>
      <c r="AQ209" s="4" t="n"/>
      <c r="AR209" s="4" t="n">
        <v>4600</v>
      </c>
      <c r="AS209" s="4" t="n">
        <v>27000</v>
      </c>
      <c r="AT209" s="12" t="n"/>
    </row>
    <row r="210" ht="11.25" customFormat="1" customHeight="1" s="6">
      <c r="A210" s="11" t="n">
        <v>209</v>
      </c>
      <c r="B210" s="4" t="inlineStr">
        <is>
          <t>MERCURY / VOYAGE 1</t>
        </is>
      </c>
      <c r="C210" s="4" t="inlineStr">
        <is>
          <t>REF000000</t>
        </is>
      </c>
      <c r="D210" s="7" t="n">
        <v>46095</v>
      </c>
      <c r="E210" s="4" t="n">
        <v>46111</v>
      </c>
      <c r="F210" s="4" t="inlineStr">
        <is>
          <t>RULED</t>
        </is>
      </c>
      <c r="G210" s="4" t="inlineStr">
        <is>
          <t>RULED</t>
        </is>
      </c>
      <c r="H210" s="4" t="inlineStr">
        <is>
          <t>USNFK</t>
        </is>
      </c>
      <c r="I210" s="4" t="inlineStr">
        <is>
          <t>USNFK</t>
        </is>
      </c>
      <c r="J210" s="4" t="n"/>
      <c r="K210" s="8" t="n"/>
      <c r="L210" s="4" t="inlineStr">
        <is>
          <t>SHARK REEFER</t>
        </is>
      </c>
      <c r="M210" s="4" t="inlineStr">
        <is>
          <t>SHARK REEFER</t>
        </is>
      </c>
      <c r="N210" s="4" t="n"/>
      <c r="O210" s="4" t="n"/>
      <c r="P210" s="4" t="inlineStr">
        <is>
          <t>SHARK REEFER</t>
        </is>
      </c>
      <c r="Q210" s="4" t="inlineStr">
        <is>
          <t>SHARK REEFER</t>
        </is>
      </c>
      <c r="R210" s="4" t="n"/>
      <c r="S210" s="4" t="n"/>
      <c r="T210" s="4" t="inlineStr">
        <is>
          <t>SHARK REEFER</t>
        </is>
      </c>
      <c r="U210" s="4" t="inlineStr">
        <is>
          <t>Rua Antonio Satte Alan Sobrinho, 351 Bairro: Distrito</t>
        </is>
      </c>
      <c r="V210" s="4" t="n">
        <v>21</v>
      </c>
      <c r="W210" s="4" t="n">
        <v>0</v>
      </c>
      <c r="X210" s="4" t="n">
        <v>318780</v>
      </c>
      <c r="Y210" s="4" t="n">
        <v>308000</v>
      </c>
      <c r="Z210" s="4" t="n">
        <v>308</v>
      </c>
      <c r="AA210" s="4" t="n"/>
      <c r="AB210" s="4" t="inlineStr">
        <is>
          <t>SAID TO CONTAIN / WEIGH &amp; MEASURE</t>
        </is>
      </c>
      <c r="AC210" s="4" t="inlineStr">
        <is>
          <t>ANON0000000</t>
        </is>
      </c>
      <c r="AD210" s="4" t="inlineStr">
        <is>
          <t>RH40</t>
        </is>
      </c>
      <c r="AE210" s="4" t="n">
        <v>1242867</v>
      </c>
      <c r="AF210" s="4" t="n"/>
      <c r="AG210" s="4" t="inlineStr">
        <is>
          <t>FCL/FCL</t>
        </is>
      </c>
      <c r="AH210" s="4" t="inlineStr">
        <is>
          <t>GENERAL COMMODITY</t>
        </is>
      </c>
      <c r="AI210" s="4" t="n">
        <v>28980</v>
      </c>
      <c r="AJ210" s="4" t="n">
        <v>28</v>
      </c>
      <c r="AK210" s="4" t="inlineStr">
        <is>
          <t>PLT</t>
        </is>
      </c>
      <c r="AL210" s="4" t="n"/>
      <c r="AM210" s="4" t="n"/>
      <c r="AN210" s="4" t="n"/>
      <c r="AO210" s="4" t="n"/>
      <c r="AP210" s="4" t="n"/>
      <c r="AQ210" s="4" t="n"/>
      <c r="AR210" s="4" t="n">
        <v>4730</v>
      </c>
      <c r="AS210" s="4" t="n">
        <v>27000</v>
      </c>
      <c r="AT210" s="12" t="n"/>
    </row>
    <row r="211" ht="10.5" customFormat="1" customHeight="1" s="6">
      <c r="A211" s="11" t="n">
        <v>210</v>
      </c>
      <c r="B211" s="4" t="inlineStr">
        <is>
          <t>MERCURY / VOYAGE 1</t>
        </is>
      </c>
      <c r="C211" s="4" t="inlineStr">
        <is>
          <t>REF000000</t>
        </is>
      </c>
      <c r="D211" s="7" t="n">
        <v>46095</v>
      </c>
      <c r="E211" s="4" t="n">
        <v>46111</v>
      </c>
      <c r="F211" s="4" t="inlineStr">
        <is>
          <t>RULED</t>
        </is>
      </c>
      <c r="G211" s="4" t="inlineStr">
        <is>
          <t>RULED</t>
        </is>
      </c>
      <c r="H211" s="4" t="inlineStr">
        <is>
          <t>USNFK</t>
        </is>
      </c>
      <c r="I211" s="4" t="inlineStr">
        <is>
          <t>USNFK</t>
        </is>
      </c>
      <c r="J211" s="4" t="n"/>
      <c r="K211" s="8" t="n"/>
      <c r="L211" s="4" t="inlineStr">
        <is>
          <t>DOLPHIN REEFER</t>
        </is>
      </c>
      <c r="M211" s="4" t="inlineStr">
        <is>
          <t>DOLPHIN REEFER</t>
        </is>
      </c>
      <c r="N211" s="4" t="n"/>
      <c r="O211" s="4" t="n"/>
      <c r="P211" s="4" t="inlineStr">
        <is>
          <t>DOLPHIN REEFER</t>
        </is>
      </c>
      <c r="Q211" s="4" t="inlineStr">
        <is>
          <t>DOLPHIN REEFER</t>
        </is>
      </c>
      <c r="R211" s="4" t="n"/>
      <c r="S211" s="4" t="n"/>
      <c r="T211" s="4" t="inlineStr">
        <is>
          <t>DOLPHIN REEFER</t>
        </is>
      </c>
      <c r="U211" s="4" t="inlineStr">
        <is>
          <t>Rua Antonio Satte Alan Sobrinho, 351 Bairro: Distrito</t>
        </is>
      </c>
      <c r="V211" s="4" t="n">
        <v>21</v>
      </c>
      <c r="W211" s="4" t="n">
        <v>0</v>
      </c>
      <c r="X211" s="4" t="n">
        <v>318780</v>
      </c>
      <c r="Y211" s="4" t="n">
        <v>308000</v>
      </c>
      <c r="Z211" s="4" t="n">
        <v>308</v>
      </c>
      <c r="AA211" s="4" t="n"/>
      <c r="AB211" s="4" t="inlineStr">
        <is>
          <t>SAID TO CONTAIN / WEIGH &amp; MEASURE</t>
        </is>
      </c>
      <c r="AC211" s="4" t="inlineStr">
        <is>
          <t>ANON0000000</t>
        </is>
      </c>
      <c r="AD211" s="4" t="inlineStr">
        <is>
          <t>RH40</t>
        </is>
      </c>
      <c r="AE211" s="4" t="n">
        <v>1256580</v>
      </c>
      <c r="AF211" s="4" t="n"/>
      <c r="AG211" s="4" t="inlineStr">
        <is>
          <t>FCL/FCL</t>
        </is>
      </c>
      <c r="AH211" s="4" t="inlineStr">
        <is>
          <t>GENERAL COMMODITY</t>
        </is>
      </c>
      <c r="AI211" s="4" t="n">
        <v>28980</v>
      </c>
      <c r="AJ211" s="4" t="n">
        <v>28</v>
      </c>
      <c r="AK211" s="4" t="inlineStr">
        <is>
          <t>PLT</t>
        </is>
      </c>
      <c r="AL211" s="4" t="n"/>
      <c r="AM211" s="4" t="n"/>
      <c r="AN211" s="4" t="n"/>
      <c r="AO211" s="4" t="n"/>
      <c r="AP211" s="4" t="n"/>
      <c r="AQ211" s="4" t="n"/>
      <c r="AR211" s="4" t="n">
        <v>4600</v>
      </c>
      <c r="AS211" s="4" t="n">
        <v>27000</v>
      </c>
      <c r="AT211" s="12" t="n"/>
    </row>
    <row r="212" ht="10.5" customFormat="1" customHeight="1" s="6">
      <c r="A212" s="11" t="n">
        <v>211</v>
      </c>
      <c r="B212" s="4" t="inlineStr">
        <is>
          <t>MERCURY / VOYAGE 1</t>
        </is>
      </c>
      <c r="C212" s="4" t="inlineStr">
        <is>
          <t>REF000000</t>
        </is>
      </c>
      <c r="D212" s="7" t="n">
        <v>46095</v>
      </c>
      <c r="E212" s="4" t="n">
        <v>46111</v>
      </c>
      <c r="F212" s="4" t="inlineStr">
        <is>
          <t>RULED</t>
        </is>
      </c>
      <c r="G212" s="4" t="inlineStr">
        <is>
          <t>RULED</t>
        </is>
      </c>
      <c r="H212" s="4" t="inlineStr">
        <is>
          <t>USNFK</t>
        </is>
      </c>
      <c r="I212" s="4" t="inlineStr">
        <is>
          <t>USNFK</t>
        </is>
      </c>
      <c r="J212" s="4" t="n"/>
      <c r="K212" s="8" t="n"/>
      <c r="L212" s="4" t="inlineStr">
        <is>
          <t>MARLIN REEFER</t>
        </is>
      </c>
      <c r="M212" s="4" t="inlineStr">
        <is>
          <t>MARLIN REEFER</t>
        </is>
      </c>
      <c r="N212" s="4" t="n"/>
      <c r="O212" s="4" t="n"/>
      <c r="P212" s="4" t="inlineStr">
        <is>
          <t>MARLIN REEFER</t>
        </is>
      </c>
      <c r="Q212" s="4" t="inlineStr">
        <is>
          <t>MARLIN REEFER</t>
        </is>
      </c>
      <c r="R212" s="4" t="n"/>
      <c r="S212" s="4" t="n"/>
      <c r="T212" s="4" t="inlineStr">
        <is>
          <t>MARLIN REEFER</t>
        </is>
      </c>
      <c r="U212" s="4" t="inlineStr">
        <is>
          <t>Rua Antonio Satte Alan Sobrinho, 351 Bairro: Distrito</t>
        </is>
      </c>
      <c r="V212" s="4" t="n">
        <v>21</v>
      </c>
      <c r="W212" s="4" t="n">
        <v>0</v>
      </c>
      <c r="X212" s="4" t="n">
        <v>318780</v>
      </c>
      <c r="Y212" s="4" t="n">
        <v>308000</v>
      </c>
      <c r="Z212" s="4" t="n">
        <v>308</v>
      </c>
      <c r="AA212" s="4" t="n"/>
      <c r="AB212" s="4" t="inlineStr">
        <is>
          <t>SAID TO CONTAIN / WEIGH &amp; MEASURE</t>
        </is>
      </c>
      <c r="AC212" s="4" t="inlineStr">
        <is>
          <t>ANON0000000</t>
        </is>
      </c>
      <c r="AD212" s="4" t="inlineStr">
        <is>
          <t>RH40</t>
        </is>
      </c>
      <c r="AE212" s="4" t="n">
        <v>1256575</v>
      </c>
      <c r="AF212" s="4" t="n"/>
      <c r="AG212" s="4" t="inlineStr">
        <is>
          <t>FCL/FCL</t>
        </is>
      </c>
      <c r="AH212" s="4" t="inlineStr">
        <is>
          <t>GENERAL COMMODITY</t>
        </is>
      </c>
      <c r="AI212" s="4" t="n">
        <v>28980</v>
      </c>
      <c r="AJ212" s="4" t="n">
        <v>28</v>
      </c>
      <c r="AK212" s="4" t="inlineStr">
        <is>
          <t>PLT</t>
        </is>
      </c>
      <c r="AL212" s="4" t="n"/>
      <c r="AM212" s="4" t="n"/>
      <c r="AN212" s="4" t="n"/>
      <c r="AO212" s="4" t="n"/>
      <c r="AP212" s="4" t="n"/>
      <c r="AQ212" s="4" t="n"/>
      <c r="AR212" s="4" t="n">
        <v>4590</v>
      </c>
      <c r="AS212" s="4" t="n">
        <v>27000</v>
      </c>
      <c r="AT212" s="12" t="n"/>
    </row>
    <row r="213" ht="10.5" customFormat="1" customHeight="1" s="6">
      <c r="A213" s="11" t="n">
        <v>212</v>
      </c>
      <c r="B213" s="4" t="inlineStr">
        <is>
          <t>MERCURY / VOYAGE 1</t>
        </is>
      </c>
      <c r="C213" s="4" t="inlineStr">
        <is>
          <t>REF000000</t>
        </is>
      </c>
      <c r="D213" s="7" t="n">
        <v>46095</v>
      </c>
      <c r="E213" s="4" t="n">
        <v>46111</v>
      </c>
      <c r="F213" s="4" t="inlineStr">
        <is>
          <t>RULED</t>
        </is>
      </c>
      <c r="G213" s="4" t="inlineStr">
        <is>
          <t>RULED</t>
        </is>
      </c>
      <c r="H213" s="4" t="inlineStr">
        <is>
          <t>USNFK</t>
        </is>
      </c>
      <c r="I213" s="4" t="inlineStr">
        <is>
          <t>USNFK</t>
        </is>
      </c>
      <c r="J213" s="4" t="n"/>
      <c r="K213" s="8" t="n"/>
      <c r="L213" s="4" t="inlineStr">
        <is>
          <t>TURTLE REEFER</t>
        </is>
      </c>
      <c r="M213" s="4" t="inlineStr">
        <is>
          <t>TURTLE REEFER</t>
        </is>
      </c>
      <c r="N213" s="4" t="n"/>
      <c r="O213" s="4" t="n"/>
      <c r="P213" s="4" t="inlineStr">
        <is>
          <t>TURTLE REEFER</t>
        </is>
      </c>
      <c r="Q213" s="4" t="inlineStr">
        <is>
          <t>TURTLE REEFER</t>
        </is>
      </c>
      <c r="R213" s="4" t="n"/>
      <c r="S213" s="4" t="n"/>
      <c r="T213" s="4" t="inlineStr">
        <is>
          <t>TURTLE REEFER</t>
        </is>
      </c>
      <c r="U213" s="4" t="inlineStr">
        <is>
          <t>Rua Antonio Satte Alan Sobrinho, 351 Bairro: Distrito</t>
        </is>
      </c>
      <c r="V213" s="4" t="n">
        <v>21</v>
      </c>
      <c r="W213" s="4" t="n">
        <v>0</v>
      </c>
      <c r="X213" s="4" t="n">
        <v>318780</v>
      </c>
      <c r="Y213" s="4" t="n">
        <v>308000</v>
      </c>
      <c r="Z213" s="4" t="n">
        <v>308</v>
      </c>
      <c r="AA213" s="4" t="n"/>
      <c r="AB213" s="4" t="inlineStr">
        <is>
          <t>SAID TO CONTAIN / WEIGH &amp; MEASURE</t>
        </is>
      </c>
      <c r="AC213" s="4" t="inlineStr">
        <is>
          <t>ANON0000000</t>
        </is>
      </c>
      <c r="AD213" s="4" t="inlineStr">
        <is>
          <t>RH40</t>
        </is>
      </c>
      <c r="AE213" s="4" t="n">
        <v>1256568</v>
      </c>
      <c r="AF213" s="4" t="n"/>
      <c r="AG213" s="4" t="inlineStr">
        <is>
          <t>FCL/FCL</t>
        </is>
      </c>
      <c r="AH213" s="4" t="inlineStr">
        <is>
          <t>GENERAL COMMODITY</t>
        </is>
      </c>
      <c r="AI213" s="4" t="n">
        <v>28980</v>
      </c>
      <c r="AJ213" s="4" t="n">
        <v>28</v>
      </c>
      <c r="AK213" s="4" t="inlineStr">
        <is>
          <t>PLT</t>
        </is>
      </c>
      <c r="AL213" s="4" t="n"/>
      <c r="AM213" s="4" t="n"/>
      <c r="AN213" s="4" t="n"/>
      <c r="AO213" s="4" t="n"/>
      <c r="AP213" s="4" t="n"/>
      <c r="AQ213" s="4" t="n"/>
      <c r="AR213" s="4" t="n">
        <v>4400</v>
      </c>
      <c r="AS213" s="4" t="n">
        <v>27000</v>
      </c>
      <c r="AT213" s="12" t="n"/>
    </row>
    <row r="214" ht="10.5" customFormat="1" customHeight="1" s="6">
      <c r="A214" s="11" t="n">
        <v>213</v>
      </c>
      <c r="B214" s="4" t="inlineStr">
        <is>
          <t>MERCURY / VOYAGE 1</t>
        </is>
      </c>
      <c r="C214" s="4" t="inlineStr">
        <is>
          <t>REF000000</t>
        </is>
      </c>
      <c r="D214" s="7" t="n">
        <v>46095</v>
      </c>
      <c r="E214" s="4" t="n">
        <v>46111</v>
      </c>
      <c r="F214" s="4" t="inlineStr">
        <is>
          <t>RULED</t>
        </is>
      </c>
      <c r="G214" s="4" t="inlineStr">
        <is>
          <t>RULED</t>
        </is>
      </c>
      <c r="H214" s="4" t="inlineStr">
        <is>
          <t>USNFK</t>
        </is>
      </c>
      <c r="I214" s="4" t="inlineStr">
        <is>
          <t>USNFK</t>
        </is>
      </c>
      <c r="J214" s="4" t="n"/>
      <c r="K214" s="8" t="n"/>
      <c r="L214" s="4" t="inlineStr">
        <is>
          <t>ORCA REEFER</t>
        </is>
      </c>
      <c r="M214" s="4" t="inlineStr">
        <is>
          <t>ORCA REEFER</t>
        </is>
      </c>
      <c r="N214" s="4" t="n"/>
      <c r="O214" s="4" t="n"/>
      <c r="P214" s="4" t="inlineStr">
        <is>
          <t>ORCA REEFER</t>
        </is>
      </c>
      <c r="Q214" s="4" t="inlineStr">
        <is>
          <t>ORCA REEFER</t>
        </is>
      </c>
      <c r="R214" s="4" t="n"/>
      <c r="S214" s="4" t="n"/>
      <c r="T214" s="4" t="inlineStr">
        <is>
          <t>ORCA REEFER</t>
        </is>
      </c>
      <c r="U214" s="4" t="inlineStr">
        <is>
          <t>Rua Antonio Satte Alan Sobrinho, 351 Bairro: Distrito</t>
        </is>
      </c>
      <c r="V214" s="4" t="n">
        <v>21</v>
      </c>
      <c r="W214" s="4" t="n">
        <v>0</v>
      </c>
      <c r="X214" s="4" t="n">
        <v>318780</v>
      </c>
      <c r="Y214" s="4" t="n">
        <v>308000</v>
      </c>
      <c r="Z214" s="4" t="n">
        <v>308</v>
      </c>
      <c r="AA214" s="4" t="n"/>
      <c r="AB214" s="4" t="inlineStr">
        <is>
          <t>SAID TO CONTAIN / WEIGH &amp; MEASURE</t>
        </is>
      </c>
      <c r="AC214" s="4" t="inlineStr">
        <is>
          <t>ANON0000000</t>
        </is>
      </c>
      <c r="AD214" s="4" t="inlineStr">
        <is>
          <t>RH40</t>
        </is>
      </c>
      <c r="AE214" s="4" t="n">
        <v>1242803</v>
      </c>
      <c r="AF214" s="4" t="n"/>
      <c r="AG214" s="4" t="inlineStr">
        <is>
          <t>FCL/FCL</t>
        </is>
      </c>
      <c r="AH214" s="4" t="inlineStr">
        <is>
          <t>GENERAL COMMODITY</t>
        </is>
      </c>
      <c r="AI214" s="4" t="n">
        <v>28980</v>
      </c>
      <c r="AJ214" s="4" t="n">
        <v>28</v>
      </c>
      <c r="AK214" s="4" t="inlineStr">
        <is>
          <t>PLT</t>
        </is>
      </c>
      <c r="AL214" s="4" t="n"/>
      <c r="AM214" s="4" t="n"/>
      <c r="AN214" s="4" t="n"/>
      <c r="AO214" s="4" t="n"/>
      <c r="AP214" s="4" t="n"/>
      <c r="AQ214" s="4" t="n"/>
      <c r="AR214" s="4" t="n">
        <v>4460</v>
      </c>
      <c r="AS214" s="4" t="n">
        <v>27000</v>
      </c>
      <c r="AT214" s="12" t="n"/>
    </row>
    <row r="215" ht="11.25" customFormat="1" customHeight="1" s="6">
      <c r="A215" s="11" t="n">
        <v>214</v>
      </c>
      <c r="B215" s="4" t="inlineStr">
        <is>
          <t>MERCURY / VOYAGE 1</t>
        </is>
      </c>
      <c r="C215" s="4" t="inlineStr">
        <is>
          <t>REF000000</t>
        </is>
      </c>
      <c r="D215" s="7" t="n">
        <v>46095</v>
      </c>
      <c r="E215" s="4" t="n">
        <v>46111</v>
      </c>
      <c r="F215" s="4" t="inlineStr">
        <is>
          <t>RULED</t>
        </is>
      </c>
      <c r="G215" s="4" t="inlineStr">
        <is>
          <t>RULED</t>
        </is>
      </c>
      <c r="H215" s="4" t="inlineStr">
        <is>
          <t>USNFK</t>
        </is>
      </c>
      <c r="I215" s="4" t="inlineStr">
        <is>
          <t>USNFK</t>
        </is>
      </c>
      <c r="J215" s="4" t="n"/>
      <c r="K215" s="8" t="n"/>
      <c r="L215" s="4" t="inlineStr">
        <is>
          <t>WHALE REEFER</t>
        </is>
      </c>
      <c r="M215" s="4" t="inlineStr">
        <is>
          <t>WHALE REEFER</t>
        </is>
      </c>
      <c r="N215" s="4" t="n"/>
      <c r="O215" s="4" t="n"/>
      <c r="P215" s="4" t="inlineStr">
        <is>
          <t>WHALE REEFER</t>
        </is>
      </c>
      <c r="Q215" s="4" t="inlineStr">
        <is>
          <t>WHALE REEFER</t>
        </is>
      </c>
      <c r="R215" s="4" t="n"/>
      <c r="S215" s="4" t="n"/>
      <c r="T215" s="4" t="inlineStr">
        <is>
          <t>WHALE REEFER</t>
        </is>
      </c>
      <c r="U215" s="4" t="inlineStr">
        <is>
          <t>Rua Antonio Satte Alan Sobrinho, 351 Bairro: Distrito</t>
        </is>
      </c>
      <c r="V215" s="4" t="n">
        <v>21</v>
      </c>
      <c r="W215" s="4" t="n">
        <v>0</v>
      </c>
      <c r="X215" s="4" t="n">
        <v>318780</v>
      </c>
      <c r="Y215" s="4" t="n">
        <v>308000</v>
      </c>
      <c r="Z215" s="4" t="n">
        <v>308</v>
      </c>
      <c r="AA215" s="4" t="n"/>
      <c r="AB215" s="4" t="inlineStr">
        <is>
          <t>SAID TO CONTAIN / WEIGH &amp; MEASURE</t>
        </is>
      </c>
      <c r="AC215" s="4" t="inlineStr">
        <is>
          <t>ANON0000000</t>
        </is>
      </c>
      <c r="AD215" s="4" t="inlineStr">
        <is>
          <t>RH40</t>
        </is>
      </c>
      <c r="AE215" s="4" t="n">
        <v>1256579</v>
      </c>
      <c r="AF215" s="4" t="n"/>
      <c r="AG215" s="4" t="inlineStr">
        <is>
          <t>FCL/FCL</t>
        </is>
      </c>
      <c r="AH215" s="4" t="inlineStr">
        <is>
          <t>GENERAL COMMODITY</t>
        </is>
      </c>
      <c r="AI215" s="4" t="n">
        <v>28980</v>
      </c>
      <c r="AJ215" s="4" t="n">
        <v>28</v>
      </c>
      <c r="AK215" s="4" t="inlineStr">
        <is>
          <t>PLT</t>
        </is>
      </c>
      <c r="AL215" s="4" t="n"/>
      <c r="AM215" s="4" t="n"/>
      <c r="AN215" s="4" t="n"/>
      <c r="AO215" s="4" t="n"/>
      <c r="AP215" s="4" t="n"/>
      <c r="AQ215" s="4" t="n"/>
      <c r="AR215" s="4" t="n">
        <v>4460</v>
      </c>
      <c r="AS215" s="4" t="n">
        <v>27000</v>
      </c>
      <c r="AT215" s="12" t="n"/>
    </row>
    <row r="216" ht="10.5" customFormat="1" customHeight="1" s="6">
      <c r="A216" s="11" t="n">
        <v>215</v>
      </c>
      <c r="B216" s="4" t="inlineStr">
        <is>
          <t>MERCURY / VOYAGE 1</t>
        </is>
      </c>
      <c r="C216" s="4" t="inlineStr">
        <is>
          <t>REF000000</t>
        </is>
      </c>
      <c r="D216" s="7" t="n">
        <v>46095</v>
      </c>
      <c r="E216" s="4" t="n">
        <v>46111</v>
      </c>
      <c r="F216" s="4" t="inlineStr">
        <is>
          <t>RULED</t>
        </is>
      </c>
      <c r="G216" s="4" t="inlineStr">
        <is>
          <t>RULED</t>
        </is>
      </c>
      <c r="H216" s="4" t="inlineStr">
        <is>
          <t>USNFK</t>
        </is>
      </c>
      <c r="I216" s="4" t="inlineStr">
        <is>
          <t>USNFK</t>
        </is>
      </c>
      <c r="J216" s="4" t="n"/>
      <c r="K216" s="8" t="n"/>
      <c r="L216" s="4" t="inlineStr">
        <is>
          <t>SEAL REEFER</t>
        </is>
      </c>
      <c r="M216" s="4" t="inlineStr">
        <is>
          <t>SEAL REEFER</t>
        </is>
      </c>
      <c r="N216" s="4" t="n"/>
      <c r="O216" s="4" t="n"/>
      <c r="P216" s="4" t="inlineStr">
        <is>
          <t>SEAL REEFER</t>
        </is>
      </c>
      <c r="Q216" s="4" t="inlineStr">
        <is>
          <t>SEAL REEFER</t>
        </is>
      </c>
      <c r="R216" s="4" t="n"/>
      <c r="S216" s="4" t="n"/>
      <c r="T216" s="4" t="inlineStr">
        <is>
          <t>SEAL REEFER</t>
        </is>
      </c>
      <c r="U216" s="4" t="inlineStr">
        <is>
          <t>Rua Antonio Satte Alan Sobrinho, 351 Bairro: Distrito</t>
        </is>
      </c>
      <c r="V216" s="4" t="n">
        <v>21</v>
      </c>
      <c r="W216" s="4" t="n">
        <v>0</v>
      </c>
      <c r="X216" s="4" t="n">
        <v>318780</v>
      </c>
      <c r="Y216" s="4" t="n">
        <v>308000</v>
      </c>
      <c r="Z216" s="4" t="n">
        <v>308</v>
      </c>
      <c r="AA216" s="4" t="n"/>
      <c r="AB216" s="4" t="inlineStr">
        <is>
          <t>SAID TO CONTAIN / WEIGH &amp; MEASURE</t>
        </is>
      </c>
      <c r="AC216" s="4" t="inlineStr">
        <is>
          <t>ANON0000000</t>
        </is>
      </c>
      <c r="AD216" s="4" t="inlineStr">
        <is>
          <t>RH40</t>
        </is>
      </c>
      <c r="AE216" s="4" t="n">
        <v>1256459</v>
      </c>
      <c r="AF216" s="4" t="n"/>
      <c r="AG216" s="4" t="inlineStr">
        <is>
          <t>FCL/FCL</t>
        </is>
      </c>
      <c r="AH216" s="4" t="inlineStr">
        <is>
          <t>GENERAL COMMODITY</t>
        </is>
      </c>
      <c r="AI216" s="4" t="n">
        <v>28980</v>
      </c>
      <c r="AJ216" s="4" t="n">
        <v>28</v>
      </c>
      <c r="AK216" s="4" t="inlineStr">
        <is>
          <t>PLT</t>
        </is>
      </c>
      <c r="AL216" s="4" t="n"/>
      <c r="AM216" s="4" t="n"/>
      <c r="AN216" s="4" t="n"/>
      <c r="AO216" s="4" t="n"/>
      <c r="AP216" s="4" t="n"/>
      <c r="AQ216" s="4" t="n"/>
      <c r="AR216" s="4" t="n">
        <v>4630</v>
      </c>
      <c r="AS216" s="4" t="n">
        <v>27000</v>
      </c>
      <c r="AT216" s="12" t="n"/>
    </row>
    <row r="217" ht="10.5" customFormat="1" customHeight="1" s="6">
      <c r="A217" s="11" t="n">
        <v>216</v>
      </c>
      <c r="B217" s="4" t="inlineStr">
        <is>
          <t>MERCURY / VOYAGE 1</t>
        </is>
      </c>
      <c r="C217" s="4" t="inlineStr">
        <is>
          <t>REF000000</t>
        </is>
      </c>
      <c r="D217" s="7" t="n">
        <v>46095</v>
      </c>
      <c r="E217" s="4" t="n">
        <v>46111</v>
      </c>
      <c r="F217" s="4" t="inlineStr">
        <is>
          <t>RULED</t>
        </is>
      </c>
      <c r="G217" s="4" t="inlineStr">
        <is>
          <t>RULED</t>
        </is>
      </c>
      <c r="H217" s="4" t="inlineStr">
        <is>
          <t>USNFK</t>
        </is>
      </c>
      <c r="I217" s="4" t="inlineStr">
        <is>
          <t>USNFK</t>
        </is>
      </c>
      <c r="J217" s="4" t="n"/>
      <c r="K217" s="8" t="n"/>
      <c r="L217" s="4" t="inlineStr">
        <is>
          <t>SHARK REEFER</t>
        </is>
      </c>
      <c r="M217" s="4" t="inlineStr">
        <is>
          <t>SHARK REEFER</t>
        </is>
      </c>
      <c r="N217" s="4" t="n"/>
      <c r="O217" s="4" t="n"/>
      <c r="P217" s="4" t="inlineStr">
        <is>
          <t>SHARK REEFER</t>
        </is>
      </c>
      <c r="Q217" s="4" t="inlineStr">
        <is>
          <t>SHARK REEFER</t>
        </is>
      </c>
      <c r="R217" s="4" t="n"/>
      <c r="S217" s="4" t="n"/>
      <c r="T217" s="4" t="inlineStr">
        <is>
          <t>SHARK REEFER</t>
        </is>
      </c>
      <c r="U217" s="4" t="inlineStr">
        <is>
          <t>Rua Antonio Satte Alan Sobrinho, 351 Bairro: Distrito</t>
        </is>
      </c>
      <c r="V217" s="4" t="n">
        <v>21</v>
      </c>
      <c r="W217" s="4" t="n">
        <v>0</v>
      </c>
      <c r="X217" s="4" t="n">
        <v>318780</v>
      </c>
      <c r="Y217" s="4" t="n">
        <v>308000</v>
      </c>
      <c r="Z217" s="4" t="n">
        <v>308</v>
      </c>
      <c r="AA217" s="4" t="n"/>
      <c r="AB217" s="4" t="inlineStr">
        <is>
          <t>SAID TO CONTAIN / WEIGH &amp; MEASURE</t>
        </is>
      </c>
      <c r="AC217" s="4" t="inlineStr">
        <is>
          <t>ANON0000000</t>
        </is>
      </c>
      <c r="AD217" s="4" t="inlineStr">
        <is>
          <t>RH40</t>
        </is>
      </c>
      <c r="AE217" s="4" t="n">
        <v>1256577</v>
      </c>
      <c r="AF217" s="4" t="n"/>
      <c r="AG217" s="4" t="inlineStr">
        <is>
          <t>FCL/FCL</t>
        </is>
      </c>
      <c r="AH217" s="4" t="inlineStr">
        <is>
          <t>GENERAL COMMODITY</t>
        </is>
      </c>
      <c r="AI217" s="4" t="n">
        <v>28980</v>
      </c>
      <c r="AJ217" s="4" t="n">
        <v>28</v>
      </c>
      <c r="AK217" s="4" t="inlineStr">
        <is>
          <t>PLT</t>
        </is>
      </c>
      <c r="AL217" s="4" t="n"/>
      <c r="AM217" s="4" t="n"/>
      <c r="AN217" s="4" t="n"/>
      <c r="AO217" s="4" t="n"/>
      <c r="AP217" s="4" t="n"/>
      <c r="AQ217" s="4" t="n"/>
      <c r="AR217" s="4" t="n">
        <v>4700</v>
      </c>
      <c r="AS217" s="4" t="n">
        <v>27000</v>
      </c>
      <c r="AT217" s="12" t="n"/>
    </row>
    <row r="218" ht="10.5" customFormat="1" customHeight="1" s="6">
      <c r="A218" s="11" t="n">
        <v>217</v>
      </c>
      <c r="B218" s="4" t="inlineStr">
        <is>
          <t>MERCURY / VOYAGE 1</t>
        </is>
      </c>
      <c r="C218" s="4" t="inlineStr">
        <is>
          <t>REF000000</t>
        </is>
      </c>
      <c r="D218" s="7" t="n">
        <v>46095</v>
      </c>
      <c r="E218" s="4" t="n">
        <v>46111</v>
      </c>
      <c r="F218" s="4" t="inlineStr">
        <is>
          <t>RULED</t>
        </is>
      </c>
      <c r="G218" s="4" t="inlineStr">
        <is>
          <t>RULED</t>
        </is>
      </c>
      <c r="H218" s="4" t="inlineStr">
        <is>
          <t>USNFK</t>
        </is>
      </c>
      <c r="I218" s="4" t="inlineStr">
        <is>
          <t>USNFK</t>
        </is>
      </c>
      <c r="J218" s="4" t="n"/>
      <c r="K218" s="8" t="n"/>
      <c r="L218" s="4" t="inlineStr">
        <is>
          <t>DOLPHIN REEFER</t>
        </is>
      </c>
      <c r="M218" s="4" t="inlineStr">
        <is>
          <t>DOLPHIN REEFER</t>
        </is>
      </c>
      <c r="N218" s="4" t="n"/>
      <c r="O218" s="4" t="n"/>
      <c r="P218" s="4" t="inlineStr">
        <is>
          <t>DOLPHIN REEFER</t>
        </is>
      </c>
      <c r="Q218" s="4" t="inlineStr">
        <is>
          <t>DOLPHIN REEFER</t>
        </is>
      </c>
      <c r="R218" s="4" t="n"/>
      <c r="S218" s="4" t="n"/>
      <c r="T218" s="4" t="inlineStr">
        <is>
          <t>DOLPHIN REEFER</t>
        </is>
      </c>
      <c r="U218" s="4" t="inlineStr">
        <is>
          <t>Rua Antonio Satte Alan Sobrinho, 351 Bairro: Distrito</t>
        </is>
      </c>
      <c r="V218" s="4" t="n">
        <v>21</v>
      </c>
      <c r="W218" s="4" t="n">
        <v>0</v>
      </c>
      <c r="X218" s="4" t="n">
        <v>318780</v>
      </c>
      <c r="Y218" s="4" t="n">
        <v>308000</v>
      </c>
      <c r="Z218" s="4" t="n">
        <v>308</v>
      </c>
      <c r="AA218" s="4" t="n"/>
      <c r="AB218" s="4" t="inlineStr">
        <is>
          <t>SAID TO CONTAIN / WEIGH &amp; MEASURE</t>
        </is>
      </c>
      <c r="AC218" s="4" t="inlineStr">
        <is>
          <t>ANON0000000</t>
        </is>
      </c>
      <c r="AD218" s="4" t="inlineStr">
        <is>
          <t>RH40</t>
        </is>
      </c>
      <c r="AE218" s="4" t="n">
        <v>1256576</v>
      </c>
      <c r="AF218" s="4" t="n"/>
      <c r="AG218" s="4" t="inlineStr">
        <is>
          <t>FCL/FCL</t>
        </is>
      </c>
      <c r="AH218" s="4" t="inlineStr">
        <is>
          <t>GENERAL COMMODITY</t>
        </is>
      </c>
      <c r="AI218" s="4" t="n">
        <v>28980</v>
      </c>
      <c r="AJ218" s="4" t="n">
        <v>28</v>
      </c>
      <c r="AK218" s="4" t="inlineStr">
        <is>
          <t>PLT</t>
        </is>
      </c>
      <c r="AL218" s="4" t="n"/>
      <c r="AM218" s="4" t="n"/>
      <c r="AN218" s="4" t="n"/>
      <c r="AO218" s="4" t="n"/>
      <c r="AP218" s="4" t="n"/>
      <c r="AQ218" s="4" t="n"/>
      <c r="AR218" s="4" t="n">
        <v>4640</v>
      </c>
      <c r="AS218" s="4" t="n">
        <v>27000</v>
      </c>
      <c r="AT218" s="12" t="n"/>
    </row>
    <row r="219" ht="10.5" customFormat="1" customHeight="1" s="6">
      <c r="A219" s="11" t="n">
        <v>218</v>
      </c>
      <c r="B219" s="4" t="inlineStr">
        <is>
          <t>MERCURY / VOYAGE 1</t>
        </is>
      </c>
      <c r="C219" s="4" t="inlineStr">
        <is>
          <t>REF000000</t>
        </is>
      </c>
      <c r="D219" s="7" t="n">
        <v>46095</v>
      </c>
      <c r="E219" s="4" t="n">
        <v>46111</v>
      </c>
      <c r="F219" s="4" t="inlineStr">
        <is>
          <t>RULED</t>
        </is>
      </c>
      <c r="G219" s="4" t="inlineStr">
        <is>
          <t>RULED</t>
        </is>
      </c>
      <c r="H219" s="4" t="inlineStr">
        <is>
          <t>USNFK</t>
        </is>
      </c>
      <c r="I219" s="4" t="inlineStr">
        <is>
          <t>USNFK</t>
        </is>
      </c>
      <c r="J219" s="4" t="n"/>
      <c r="K219" s="8" t="n"/>
      <c r="L219" s="4" t="inlineStr">
        <is>
          <t>MARLIN REEFER</t>
        </is>
      </c>
      <c r="M219" s="4" t="inlineStr">
        <is>
          <t>MARLIN REEFER</t>
        </is>
      </c>
      <c r="N219" s="4" t="n"/>
      <c r="O219" s="4" t="n"/>
      <c r="P219" s="4" t="inlineStr">
        <is>
          <t>MARLIN REEFER</t>
        </is>
      </c>
      <c r="Q219" s="4" t="inlineStr">
        <is>
          <t>MARLIN REEFER</t>
        </is>
      </c>
      <c r="R219" s="4" t="n"/>
      <c r="S219" s="4" t="n"/>
      <c r="T219" s="4" t="inlineStr">
        <is>
          <t>MARLIN REEFER</t>
        </is>
      </c>
      <c r="U219" s="4" t="inlineStr">
        <is>
          <t>Rua Antonio Satte Alan Sobrinho, 351 Bairro: Distrito Industrial CEP: 96.040-504 Pelotas/RS CNPJ: 01.970.616/0005-81 Inscricao Estadual: 093/0335961 Fone: 053 3271 0566</t>
        </is>
      </c>
      <c r="V219" s="4" t="n">
        <v>21</v>
      </c>
      <c r="W219" s="4" t="n">
        <v>0</v>
      </c>
      <c r="X219" s="4" t="n">
        <v>28980</v>
      </c>
      <c r="Y219" s="4" t="n">
        <v>28000</v>
      </c>
      <c r="Z219" s="4" t="n">
        <v>28</v>
      </c>
      <c r="AA219" s="4" t="n"/>
      <c r="AB219" s="4" t="inlineStr">
        <is>
          <t>SAID TO CONTAIN / WEIGH &amp; MEASURE WATER-SOLUBLE NPK FERTILIZER WITH MICRO-NUTRIENTS GRADE STARTER 11:40:11+2MGO+TE NPK STARTER 11-40-11 - MIXED MINERAL FERTILIZERS FOR APPLICATION VIA FERTIGATION CONTAINING THREE PRIMARY MACRO NUTRIENTS: NITROGEN (N), WITH A FINAL WATER- SOLUBLE CONTENT OF 11%, PHOSPHORUS (P2O5) WITH A FINAL WATER-SOLUBLE CONTENT OF 40%, POTASSIUM (K2O) WITH A FINAL WATER-SOLUBLE CONTENT OF 11%, A SECONDARY MACRO NUTRIENT: MAGNESIUM (MG) WITH A MINIMUM WATER-SOLUBLE CONTENT OF 1.2%, AND WATER-SOLUBLE MICRONUTRIENTS. PACKAGED IN 25KG BAGS HS CODE: 3105.20.00 NCM: 3105.20.00 TOTAL NET WEIGHT: 28 000 KGS TOTAL GROSS WEIGHT: 28 980 KGS TOTAL NUMBER OF PALLETS: 28 PCS TOTAL NUMBER OF BAGS: 1120 PCS WOODEN: TREATED AND CERTIFIED</t>
        </is>
      </c>
      <c r="AC219" s="4" t="inlineStr">
        <is>
          <t>ANON0000000</t>
        </is>
      </c>
      <c r="AD219" s="4" t="inlineStr">
        <is>
          <t>RH40</t>
        </is>
      </c>
      <c r="AE219" s="4" t="n">
        <v>1142913</v>
      </c>
      <c r="AF219" s="4" t="n"/>
      <c r="AG219" s="4" t="inlineStr">
        <is>
          <t>FCL/FCL</t>
        </is>
      </c>
      <c r="AH219" s="4" t="inlineStr">
        <is>
          <t>GENERAL COMMODITY</t>
        </is>
      </c>
      <c r="AI219" s="4" t="n">
        <v>28980</v>
      </c>
      <c r="AJ219" s="4" t="n">
        <v>28</v>
      </c>
      <c r="AK219" s="4" t="inlineStr">
        <is>
          <t>PLT</t>
        </is>
      </c>
      <c r="AL219" s="4" t="n"/>
      <c r="AM219" s="4" t="n"/>
      <c r="AN219" s="4" t="n"/>
      <c r="AO219" s="4" t="n"/>
      <c r="AP219" s="4" t="n"/>
      <c r="AQ219" s="4" t="n"/>
      <c r="AR219" s="4" t="n">
        <v>4630</v>
      </c>
      <c r="AS219" s="4" t="n">
        <v>27000</v>
      </c>
      <c r="AT219" s="12" t="n"/>
    </row>
    <row r="220" ht="11.25" customFormat="1" customHeight="1" s="6">
      <c r="A220" s="11" t="n">
        <v>219</v>
      </c>
      <c r="B220" s="4" t="inlineStr">
        <is>
          <t>MERCURY / VOYAGE 1</t>
        </is>
      </c>
      <c r="C220" s="4" t="inlineStr">
        <is>
          <t>REF000000</t>
        </is>
      </c>
      <c r="D220" s="7" t="n">
        <v>46095</v>
      </c>
      <c r="E220" s="4" t="n">
        <v>46105</v>
      </c>
      <c r="F220" s="4" t="inlineStr">
        <is>
          <t>RULED</t>
        </is>
      </c>
      <c r="G220" s="4" t="inlineStr">
        <is>
          <t>RULED</t>
        </is>
      </c>
      <c r="H220" s="4" t="inlineStr">
        <is>
          <t>USHOU</t>
        </is>
      </c>
      <c r="I220" s="4" t="inlineStr">
        <is>
          <t>USHOU</t>
        </is>
      </c>
      <c r="J220" s="4" t="n"/>
      <c r="K220" s="8" t="n"/>
      <c r="L220" s="4" t="inlineStr">
        <is>
          <t>COYOTE DRY</t>
        </is>
      </c>
      <c r="M220" s="4" t="inlineStr">
        <is>
          <t>COYOTE DRY</t>
        </is>
      </c>
      <c r="N220" s="4" t="n"/>
      <c r="O220" s="4" t="n"/>
      <c r="P220" s="4" t="inlineStr">
        <is>
          <t>COYOTE DRY</t>
        </is>
      </c>
      <c r="Q220" s="4" t="inlineStr">
        <is>
          <t>COYOTE DRY</t>
        </is>
      </c>
      <c r="R220" s="4" t="n"/>
      <c r="S220" s="4" t="n"/>
      <c r="T220" s="4" t="inlineStr">
        <is>
          <t>COYOTE DRY</t>
        </is>
      </c>
      <c r="U220" s="4" t="inlineStr">
        <is>
          <t>RUA SOUZA DUTRA, 145, APT SI 807, BAIRRO: ESTREITO FLORIANOPOLIS/SC CEP: 88070-605 CPNJ: 47.793.079/0003-80</t>
        </is>
      </c>
      <c r="V220" s="4" t="n">
        <v>21</v>
      </c>
      <c r="W220" s="4" t="n">
        <v>0</v>
      </c>
      <c r="X220" s="4" t="n">
        <v>1011150</v>
      </c>
      <c r="Y220" s="4" t="n">
        <v>1008000</v>
      </c>
      <c r="Z220" s="4" t="n">
        <v>1260</v>
      </c>
      <c r="AA220" s="4" t="n"/>
      <c r="AB220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0" s="4" t="inlineStr">
        <is>
          <t>ANON0000000</t>
        </is>
      </c>
      <c r="AD220" s="4" t="inlineStr">
        <is>
          <t>HC40</t>
        </is>
      </c>
      <c r="AE220" s="4" t="n">
        <v>1279269</v>
      </c>
      <c r="AF220" s="4" t="n"/>
      <c r="AG220" s="4" t="inlineStr">
        <is>
          <t>FCL/FCL</t>
        </is>
      </c>
      <c r="AH220" s="4" t="inlineStr">
        <is>
          <t>GENERAL COMMODITY</t>
        </is>
      </c>
      <c r="AI220" s="4" t="inlineStr">
        <is>
          <t>28087.5</t>
        </is>
      </c>
      <c r="AJ220" s="4" t="n">
        <v>35</v>
      </c>
      <c r="AK220" s="4" t="inlineStr">
        <is>
          <t>BAG</t>
        </is>
      </c>
      <c r="AL220" s="4" t="n"/>
      <c r="AM220" s="4" t="n"/>
      <c r="AN220" s="4" t="n"/>
      <c r="AO220" s="4" t="n"/>
      <c r="AP220" s="4" t="n"/>
      <c r="AQ220" s="4" t="n"/>
      <c r="AR220" s="4" t="n">
        <v>3700</v>
      </c>
      <c r="AS220" s="4" t="n">
        <v>27000</v>
      </c>
      <c r="AT220" s="12" t="n"/>
    </row>
    <row r="221" ht="10.5" customFormat="1" customHeight="1" s="6">
      <c r="A221" s="11" t="n">
        <v>220</v>
      </c>
      <c r="B221" s="4" t="inlineStr">
        <is>
          <t>MERCURY / VOYAGE 1</t>
        </is>
      </c>
      <c r="C221" s="4" t="inlineStr">
        <is>
          <t>REF000000</t>
        </is>
      </c>
      <c r="D221" s="7" t="n">
        <v>46095</v>
      </c>
      <c r="E221" s="4" t="n">
        <v>46105</v>
      </c>
      <c r="F221" s="4" t="inlineStr">
        <is>
          <t>RULED</t>
        </is>
      </c>
      <c r="G221" s="4" t="inlineStr">
        <is>
          <t>RULED</t>
        </is>
      </c>
      <c r="H221" s="4" t="inlineStr">
        <is>
          <t>USHOU</t>
        </is>
      </c>
      <c r="I221" s="4" t="inlineStr">
        <is>
          <t>USHOU</t>
        </is>
      </c>
      <c r="J221" s="4" t="n"/>
      <c r="K221" s="8" t="n"/>
      <c r="L221" s="4" t="inlineStr">
        <is>
          <t>FALCON DRY</t>
        </is>
      </c>
      <c r="M221" s="4" t="inlineStr">
        <is>
          <t>FALCON DRY</t>
        </is>
      </c>
      <c r="N221" s="4" t="n"/>
      <c r="O221" s="4" t="n"/>
      <c r="P221" s="4" t="inlineStr">
        <is>
          <t>FALCON DRY</t>
        </is>
      </c>
      <c r="Q221" s="4" t="inlineStr">
        <is>
          <t>FALCON DRY</t>
        </is>
      </c>
      <c r="R221" s="4" t="n"/>
      <c r="S221" s="4" t="n"/>
      <c r="T221" s="4" t="inlineStr">
        <is>
          <t>FALCON DRY</t>
        </is>
      </c>
      <c r="U221" s="4" t="inlineStr">
        <is>
          <t>RUA SOUZA DUTRA, 145, APT SI 807, BAIRRO: ESTREITO FLORIANOPOLIS/SC CEP: 88070-605 CPNJ: 47.793.079/0003-80</t>
        </is>
      </c>
      <c r="V221" s="4" t="n">
        <v>21</v>
      </c>
      <c r="W221" s="4" t="n">
        <v>0</v>
      </c>
      <c r="X221" s="4" t="n">
        <v>1011150</v>
      </c>
      <c r="Y221" s="4" t="n">
        <v>1008000</v>
      </c>
      <c r="Z221" s="4" t="n">
        <v>1260</v>
      </c>
      <c r="AA221" s="4" t="n"/>
      <c r="AB221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1" s="4" t="inlineStr">
        <is>
          <t>ANON0000000</t>
        </is>
      </c>
      <c r="AD221" s="4" t="inlineStr">
        <is>
          <t>HC40</t>
        </is>
      </c>
      <c r="AE221" s="4" t="n">
        <v>1293325</v>
      </c>
      <c r="AF221" s="4" t="n"/>
      <c r="AG221" s="4" t="inlineStr">
        <is>
          <t>FCL/FCL</t>
        </is>
      </c>
      <c r="AH221" s="4" t="inlineStr">
        <is>
          <t>GENERAL COMMODITY</t>
        </is>
      </c>
      <c r="AI221" s="4" t="inlineStr">
        <is>
          <t>28087.5</t>
        </is>
      </c>
      <c r="AJ221" s="4" t="n">
        <v>35</v>
      </c>
      <c r="AK221" s="4" t="inlineStr">
        <is>
          <t>BAG</t>
        </is>
      </c>
      <c r="AL221" s="4" t="n"/>
      <c r="AM221" s="4" t="n"/>
      <c r="AN221" s="4" t="n"/>
      <c r="AO221" s="4" t="n"/>
      <c r="AP221" s="4" t="n"/>
      <c r="AQ221" s="4" t="n"/>
      <c r="AR221" s="4" t="n">
        <v>3700</v>
      </c>
      <c r="AS221" s="4" t="n">
        <v>27000</v>
      </c>
      <c r="AT221" s="12" t="n"/>
    </row>
    <row r="222" ht="10.5" customFormat="1" customHeight="1" s="6">
      <c r="A222" s="11" t="n">
        <v>221</v>
      </c>
      <c r="B222" s="4" t="inlineStr">
        <is>
          <t>MERCURY / VOYAGE 1</t>
        </is>
      </c>
      <c r="C222" s="4" t="inlineStr">
        <is>
          <t>REF000000</t>
        </is>
      </c>
      <c r="D222" s="7" t="n">
        <v>46095</v>
      </c>
      <c r="E222" s="4" t="n">
        <v>46105</v>
      </c>
      <c r="F222" s="4" t="inlineStr">
        <is>
          <t>RULED</t>
        </is>
      </c>
      <c r="G222" s="4" t="inlineStr">
        <is>
          <t>RULED</t>
        </is>
      </c>
      <c r="H222" s="4" t="inlineStr">
        <is>
          <t>USHOU</t>
        </is>
      </c>
      <c r="I222" s="4" t="inlineStr">
        <is>
          <t>USHOU</t>
        </is>
      </c>
      <c r="J222" s="4" t="n"/>
      <c r="K222" s="8" t="n"/>
      <c r="L222" s="4" t="inlineStr">
        <is>
          <t>WOLF DRY</t>
        </is>
      </c>
      <c r="M222" s="4" t="inlineStr">
        <is>
          <t>WOLF DRY</t>
        </is>
      </c>
      <c r="N222" s="4" t="n"/>
      <c r="O222" s="4" t="n"/>
      <c r="P222" s="4" t="inlineStr">
        <is>
          <t>WOLF DRY</t>
        </is>
      </c>
      <c r="Q222" s="4" t="inlineStr">
        <is>
          <t>WOLF DRY</t>
        </is>
      </c>
      <c r="R222" s="4" t="n"/>
      <c r="S222" s="4" t="n"/>
      <c r="T222" s="4" t="inlineStr">
        <is>
          <t>WOLF DRY</t>
        </is>
      </c>
      <c r="U222" s="4" t="inlineStr">
        <is>
          <t>RUA SOUZA DUTRA, 145, APT SI 807, BAIRRO: ESTREITO FLORIANOPOLIS/SC CEP: 88070-605 CPNJ: 47.793.079/0003-80</t>
        </is>
      </c>
      <c r="V222" s="4" t="n">
        <v>21</v>
      </c>
      <c r="W222" s="4" t="n">
        <v>0</v>
      </c>
      <c r="X222" s="4" t="n">
        <v>1011150</v>
      </c>
      <c r="Y222" s="4" t="n">
        <v>1008000</v>
      </c>
      <c r="Z222" s="4" t="n">
        <v>1260</v>
      </c>
      <c r="AA222" s="4" t="n"/>
      <c r="AB222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2" s="4" t="inlineStr">
        <is>
          <t>ANON0000000</t>
        </is>
      </c>
      <c r="AD222" s="4" t="inlineStr">
        <is>
          <t>HC40</t>
        </is>
      </c>
      <c r="AE222" s="4" t="n">
        <v>1293246</v>
      </c>
      <c r="AF222" s="4" t="n"/>
      <c r="AG222" s="4" t="inlineStr">
        <is>
          <t>FCL/FCL</t>
        </is>
      </c>
      <c r="AH222" s="4" t="inlineStr">
        <is>
          <t>GENERAL COMMODITY</t>
        </is>
      </c>
      <c r="AI222" s="4" t="inlineStr">
        <is>
          <t>28087.5</t>
        </is>
      </c>
      <c r="AJ222" s="4" t="n">
        <v>35</v>
      </c>
      <c r="AK222" s="4" t="inlineStr">
        <is>
          <t>BAG</t>
        </is>
      </c>
      <c r="AL222" s="4" t="n"/>
      <c r="AM222" s="4" t="n"/>
      <c r="AN222" s="4" t="n"/>
      <c r="AO222" s="4" t="n"/>
      <c r="AP222" s="4" t="n"/>
      <c r="AQ222" s="4" t="n"/>
      <c r="AR222" s="4" t="n">
        <v>3700</v>
      </c>
      <c r="AS222" s="4" t="n">
        <v>27000</v>
      </c>
      <c r="AT222" s="12" t="n"/>
    </row>
    <row r="223" ht="10.5" customFormat="1" customHeight="1" s="6">
      <c r="A223" s="11" t="n">
        <v>222</v>
      </c>
      <c r="B223" s="4" t="inlineStr">
        <is>
          <t>MERCURY / VOYAGE 1</t>
        </is>
      </c>
      <c r="C223" s="4" t="inlineStr">
        <is>
          <t>REF000000</t>
        </is>
      </c>
      <c r="D223" s="7" t="n">
        <v>46095</v>
      </c>
      <c r="E223" s="4" t="n">
        <v>46105</v>
      </c>
      <c r="F223" s="4" t="inlineStr">
        <is>
          <t>RULED</t>
        </is>
      </c>
      <c r="G223" s="4" t="inlineStr">
        <is>
          <t>RULED</t>
        </is>
      </c>
      <c r="H223" s="4" t="inlineStr">
        <is>
          <t>USHOU</t>
        </is>
      </c>
      <c r="I223" s="4" t="inlineStr">
        <is>
          <t>USHOU</t>
        </is>
      </c>
      <c r="J223" s="4" t="n"/>
      <c r="K223" s="8" t="n"/>
      <c r="L223" s="4" t="inlineStr">
        <is>
          <t>DEER DRY</t>
        </is>
      </c>
      <c r="M223" s="4" t="inlineStr">
        <is>
          <t>DEER DRY</t>
        </is>
      </c>
      <c r="N223" s="4" t="n"/>
      <c r="O223" s="4" t="n"/>
      <c r="P223" s="4" t="inlineStr">
        <is>
          <t>DEER DRY</t>
        </is>
      </c>
      <c r="Q223" s="4" t="inlineStr">
        <is>
          <t>DEER DRY</t>
        </is>
      </c>
      <c r="R223" s="4" t="n"/>
      <c r="S223" s="4" t="n"/>
      <c r="T223" s="4" t="inlineStr">
        <is>
          <t>DEER DRY</t>
        </is>
      </c>
      <c r="U223" s="4" t="inlineStr">
        <is>
          <t>RUA SOUZA DUTRA, 145, APT SI 807, BAIRRO: ESTREITO FLORIANOPOLIS/SC CEP: 88070-605 CPNJ: 47.793.079/0003-80</t>
        </is>
      </c>
      <c r="V223" s="4" t="n">
        <v>21</v>
      </c>
      <c r="W223" s="4" t="n">
        <v>0</v>
      </c>
      <c r="X223" s="4" t="n">
        <v>1011150</v>
      </c>
      <c r="Y223" s="4" t="n">
        <v>1008000</v>
      </c>
      <c r="Z223" s="4" t="n">
        <v>1260</v>
      </c>
      <c r="AA223" s="4" t="n"/>
      <c r="AB223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3" s="4" t="inlineStr">
        <is>
          <t>ANON0000000</t>
        </is>
      </c>
      <c r="AD223" s="4" t="inlineStr">
        <is>
          <t>HC40</t>
        </is>
      </c>
      <c r="AE223" s="4" t="n">
        <v>1279235</v>
      </c>
      <c r="AF223" s="4" t="n"/>
      <c r="AG223" s="4" t="inlineStr">
        <is>
          <t>FCL/FCL</t>
        </is>
      </c>
      <c r="AH223" s="4" t="inlineStr">
        <is>
          <t>GENERAL COMMODITY</t>
        </is>
      </c>
      <c r="AI223" s="4" t="inlineStr">
        <is>
          <t>28087.5</t>
        </is>
      </c>
      <c r="AJ223" s="4" t="n">
        <v>35</v>
      </c>
      <c r="AK223" s="4" t="inlineStr">
        <is>
          <t>BAG</t>
        </is>
      </c>
      <c r="AL223" s="4" t="n"/>
      <c r="AM223" s="4" t="n"/>
      <c r="AN223" s="4" t="n"/>
      <c r="AO223" s="4" t="n"/>
      <c r="AP223" s="4" t="n"/>
      <c r="AQ223" s="4" t="n"/>
      <c r="AR223" s="4" t="n">
        <v>3700</v>
      </c>
      <c r="AS223" s="4" t="n">
        <v>27000</v>
      </c>
      <c r="AT223" s="12" t="n"/>
    </row>
    <row r="224" ht="10.5" customFormat="1" customHeight="1" s="6">
      <c r="A224" s="11" t="n">
        <v>223</v>
      </c>
      <c r="B224" s="4" t="inlineStr">
        <is>
          <t>MERCURY / VOYAGE 1</t>
        </is>
      </c>
      <c r="C224" s="4" t="inlineStr">
        <is>
          <t>REF000000</t>
        </is>
      </c>
      <c r="D224" s="7" t="n">
        <v>46095</v>
      </c>
      <c r="E224" s="4" t="n">
        <v>46105</v>
      </c>
      <c r="F224" s="4" t="inlineStr">
        <is>
          <t>RULED</t>
        </is>
      </c>
      <c r="G224" s="4" t="inlineStr">
        <is>
          <t>RULED</t>
        </is>
      </c>
      <c r="H224" s="4" t="inlineStr">
        <is>
          <t>USHOU</t>
        </is>
      </c>
      <c r="I224" s="4" t="inlineStr">
        <is>
          <t>USHOU</t>
        </is>
      </c>
      <c r="J224" s="4" t="n"/>
      <c r="K224" s="8" t="n"/>
      <c r="L224" s="4" t="inlineStr">
        <is>
          <t>FOX DRY</t>
        </is>
      </c>
      <c r="M224" s="4" t="inlineStr">
        <is>
          <t>FOX DRY</t>
        </is>
      </c>
      <c r="N224" s="4" t="n"/>
      <c r="O224" s="4" t="n"/>
      <c r="P224" s="4" t="inlineStr">
        <is>
          <t>FOX DRY</t>
        </is>
      </c>
      <c r="Q224" s="4" t="inlineStr">
        <is>
          <t>FOX DRY</t>
        </is>
      </c>
      <c r="R224" s="4" t="n"/>
      <c r="S224" s="4" t="n"/>
      <c r="T224" s="4" t="inlineStr">
        <is>
          <t>FOX DRY</t>
        </is>
      </c>
      <c r="U224" s="4" t="inlineStr">
        <is>
          <t>RUA SOUZA DUTRA, 145, APT SI 807, BAIRRO: ESTREITO FLORIANOPOLIS/SC CEP: 88070-605 CPNJ: 47.793.079/0003-80</t>
        </is>
      </c>
      <c r="V224" s="4" t="n">
        <v>21</v>
      </c>
      <c r="W224" s="4" t="n">
        <v>0</v>
      </c>
      <c r="X224" s="4" t="n">
        <v>1011150</v>
      </c>
      <c r="Y224" s="4" t="n">
        <v>1008000</v>
      </c>
      <c r="Z224" s="4" t="n">
        <v>1260</v>
      </c>
      <c r="AA224" s="4" t="n"/>
      <c r="AB224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4" s="4" t="inlineStr">
        <is>
          <t>ANON0000000</t>
        </is>
      </c>
      <c r="AD224" s="4" t="inlineStr">
        <is>
          <t>HC40</t>
        </is>
      </c>
      <c r="AE224" s="4" t="n">
        <v>1279238</v>
      </c>
      <c r="AF224" s="4" t="n"/>
      <c r="AG224" s="4" t="inlineStr">
        <is>
          <t>FCL/FCL</t>
        </is>
      </c>
      <c r="AH224" s="4" t="inlineStr">
        <is>
          <t>GENERAL COMMODITY</t>
        </is>
      </c>
      <c r="AI224" s="4" t="inlineStr">
        <is>
          <t>28087.5</t>
        </is>
      </c>
      <c r="AJ224" s="4" t="n">
        <v>35</v>
      </c>
      <c r="AK224" s="4" t="inlineStr">
        <is>
          <t>BAG</t>
        </is>
      </c>
      <c r="AL224" s="4" t="n"/>
      <c r="AM224" s="4" t="n"/>
      <c r="AN224" s="4" t="n"/>
      <c r="AO224" s="4" t="n"/>
      <c r="AP224" s="4" t="n"/>
      <c r="AQ224" s="4" t="n"/>
      <c r="AR224" s="4" t="n">
        <v>3700</v>
      </c>
      <c r="AS224" s="4" t="n">
        <v>27000</v>
      </c>
      <c r="AT224" s="12" t="n"/>
    </row>
    <row r="225" ht="11.25" customFormat="1" customHeight="1" s="6">
      <c r="A225" s="11" t="n">
        <v>224</v>
      </c>
      <c r="B225" s="4" t="inlineStr">
        <is>
          <t>MERCURY / VOYAGE 1</t>
        </is>
      </c>
      <c r="C225" s="4" t="inlineStr">
        <is>
          <t>REF000000</t>
        </is>
      </c>
      <c r="D225" s="7" t="n">
        <v>46095</v>
      </c>
      <c r="E225" s="4" t="n">
        <v>46105</v>
      </c>
      <c r="F225" s="4" t="inlineStr">
        <is>
          <t>RULED</t>
        </is>
      </c>
      <c r="G225" s="4" t="inlineStr">
        <is>
          <t>RULED</t>
        </is>
      </c>
      <c r="H225" s="4" t="inlineStr">
        <is>
          <t>USHOU</t>
        </is>
      </c>
      <c r="I225" s="4" t="inlineStr">
        <is>
          <t>USHOU</t>
        </is>
      </c>
      <c r="J225" s="4" t="n"/>
      <c r="K225" s="8" t="n"/>
      <c r="L225" s="4" t="inlineStr">
        <is>
          <t>BISON DRY</t>
        </is>
      </c>
      <c r="M225" s="4" t="inlineStr">
        <is>
          <t>BISON DRY</t>
        </is>
      </c>
      <c r="N225" s="4" t="n"/>
      <c r="O225" s="4" t="n"/>
      <c r="P225" s="4" t="inlineStr">
        <is>
          <t>BISON DRY</t>
        </is>
      </c>
      <c r="Q225" s="4" t="inlineStr">
        <is>
          <t>BISON DRY</t>
        </is>
      </c>
      <c r="R225" s="4" t="n"/>
      <c r="S225" s="4" t="n"/>
      <c r="T225" s="4" t="inlineStr">
        <is>
          <t>BISON DRY</t>
        </is>
      </c>
      <c r="U225" s="4" t="inlineStr">
        <is>
          <t>RUA SOUZA DUTRA, 145, APT SI 807, BAIRRO: ESTREITO FLORIANOPOLIS/SC CEP: 88070-605 CPNJ: 47.793.079/0003-80</t>
        </is>
      </c>
      <c r="V225" s="4" t="n">
        <v>21</v>
      </c>
      <c r="W225" s="4" t="n">
        <v>0</v>
      </c>
      <c r="X225" s="4" t="n">
        <v>1011150</v>
      </c>
      <c r="Y225" s="4" t="n">
        <v>1008000</v>
      </c>
      <c r="Z225" s="4" t="n">
        <v>1260</v>
      </c>
      <c r="AA225" s="4" t="n"/>
      <c r="AB225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5" s="4" t="inlineStr">
        <is>
          <t>ANON0000000</t>
        </is>
      </c>
      <c r="AD225" s="4" t="inlineStr">
        <is>
          <t>HC40</t>
        </is>
      </c>
      <c r="AE225" s="4" t="n">
        <v>1293242</v>
      </c>
      <c r="AF225" s="4" t="n"/>
      <c r="AG225" s="4" t="inlineStr">
        <is>
          <t>FCL/FCL</t>
        </is>
      </c>
      <c r="AH225" s="4" t="inlineStr">
        <is>
          <t>GENERAL COMMODITY</t>
        </is>
      </c>
      <c r="AI225" s="4" t="inlineStr">
        <is>
          <t>28087.5</t>
        </is>
      </c>
      <c r="AJ225" s="4" t="n">
        <v>35</v>
      </c>
      <c r="AK225" s="4" t="inlineStr">
        <is>
          <t>BAG</t>
        </is>
      </c>
      <c r="AL225" s="4" t="n"/>
      <c r="AM225" s="4" t="n"/>
      <c r="AN225" s="4" t="n"/>
      <c r="AO225" s="4" t="n"/>
      <c r="AP225" s="4" t="n"/>
      <c r="AQ225" s="4" t="n"/>
      <c r="AR225" s="4" t="n">
        <v>3700</v>
      </c>
      <c r="AS225" s="4" t="n">
        <v>27000</v>
      </c>
      <c r="AT225" s="12" t="n"/>
    </row>
    <row r="226" ht="10.5" customFormat="1" customHeight="1" s="6">
      <c r="A226" s="11" t="n">
        <v>225</v>
      </c>
      <c r="B226" s="4" t="inlineStr">
        <is>
          <t>MERCURY / VOYAGE 1</t>
        </is>
      </c>
      <c r="C226" s="4" t="inlineStr">
        <is>
          <t>REF000000</t>
        </is>
      </c>
      <c r="D226" s="7" t="n">
        <v>46095</v>
      </c>
      <c r="E226" s="4" t="n">
        <v>46105</v>
      </c>
      <c r="F226" s="4" t="inlineStr">
        <is>
          <t>RULED</t>
        </is>
      </c>
      <c r="G226" s="4" t="inlineStr">
        <is>
          <t>RULED</t>
        </is>
      </c>
      <c r="H226" s="4" t="inlineStr">
        <is>
          <t>USHOU</t>
        </is>
      </c>
      <c r="I226" s="4" t="inlineStr">
        <is>
          <t>USHOU</t>
        </is>
      </c>
      <c r="J226" s="4" t="n"/>
      <c r="K226" s="8" t="n"/>
      <c r="L226" s="4" t="inlineStr">
        <is>
          <t>EAGLE DRY</t>
        </is>
      </c>
      <c r="M226" s="4" t="inlineStr">
        <is>
          <t>EAGLE DRY</t>
        </is>
      </c>
      <c r="N226" s="4" t="n"/>
      <c r="O226" s="4" t="n"/>
      <c r="P226" s="4" t="inlineStr">
        <is>
          <t>EAGLE DRY</t>
        </is>
      </c>
      <c r="Q226" s="4" t="inlineStr">
        <is>
          <t>EAGLE DRY</t>
        </is>
      </c>
      <c r="R226" s="4" t="n"/>
      <c r="S226" s="4" t="n"/>
      <c r="T226" s="4" t="inlineStr">
        <is>
          <t>EAGLE DRY</t>
        </is>
      </c>
      <c r="U226" s="4" t="inlineStr">
        <is>
          <t>RUA SOUZA DUTRA, 145, APT SI 807, BAIRRO: ESTREITO FLORIANOPOLIS/SC CEP: 88070-605 CPNJ: 47.793.079/0003-80</t>
        </is>
      </c>
      <c r="V226" s="4" t="n">
        <v>21</v>
      </c>
      <c r="W226" s="4" t="n">
        <v>0</v>
      </c>
      <c r="X226" s="4" t="n">
        <v>1011150</v>
      </c>
      <c r="Y226" s="4" t="n">
        <v>1008000</v>
      </c>
      <c r="Z226" s="4" t="n">
        <v>1260</v>
      </c>
      <c r="AA226" s="4" t="n"/>
      <c r="AB226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6" s="4" t="inlineStr">
        <is>
          <t>ANON0000000</t>
        </is>
      </c>
      <c r="AD226" s="4" t="inlineStr">
        <is>
          <t>HC40</t>
        </is>
      </c>
      <c r="AE226" s="4" t="n">
        <v>1293243</v>
      </c>
      <c r="AF226" s="4" t="n"/>
      <c r="AG226" s="4" t="inlineStr">
        <is>
          <t>FCL/FCL</t>
        </is>
      </c>
      <c r="AH226" s="4" t="inlineStr">
        <is>
          <t>GENERAL COMMODITY</t>
        </is>
      </c>
      <c r="AI226" s="4" t="inlineStr">
        <is>
          <t>28087.5</t>
        </is>
      </c>
      <c r="AJ226" s="4" t="n">
        <v>35</v>
      </c>
      <c r="AK226" s="4" t="inlineStr">
        <is>
          <t>BAG</t>
        </is>
      </c>
      <c r="AL226" s="4" t="n"/>
      <c r="AM226" s="4" t="n"/>
      <c r="AN226" s="4" t="n"/>
      <c r="AO226" s="4" t="n"/>
      <c r="AP226" s="4" t="n"/>
      <c r="AQ226" s="4" t="n"/>
      <c r="AR226" s="4" t="n">
        <v>3700</v>
      </c>
      <c r="AS226" s="4" t="n">
        <v>27000</v>
      </c>
      <c r="AT226" s="12" t="n"/>
    </row>
    <row r="227" ht="10.5" customFormat="1" customHeight="1" s="6">
      <c r="A227" s="11" t="n">
        <v>226</v>
      </c>
      <c r="B227" s="4" t="inlineStr">
        <is>
          <t>MERCURY / VOYAGE 1</t>
        </is>
      </c>
      <c r="C227" s="4" t="inlineStr">
        <is>
          <t>REF000000</t>
        </is>
      </c>
      <c r="D227" s="7" t="n">
        <v>46095</v>
      </c>
      <c r="E227" s="4" t="n">
        <v>46105</v>
      </c>
      <c r="F227" s="4" t="inlineStr">
        <is>
          <t>RULED</t>
        </is>
      </c>
      <c r="G227" s="4" t="inlineStr">
        <is>
          <t>RULED</t>
        </is>
      </c>
      <c r="H227" s="4" t="inlineStr">
        <is>
          <t>USHOU</t>
        </is>
      </c>
      <c r="I227" s="4" t="inlineStr">
        <is>
          <t>USHOU</t>
        </is>
      </c>
      <c r="J227" s="4" t="n"/>
      <c r="K227" s="8" t="n"/>
      <c r="L227" s="4" t="inlineStr">
        <is>
          <t>COYOTE DRY</t>
        </is>
      </c>
      <c r="M227" s="4" t="inlineStr">
        <is>
          <t>COYOTE DRY</t>
        </is>
      </c>
      <c r="N227" s="4" t="n"/>
      <c r="O227" s="4" t="n"/>
      <c r="P227" s="4" t="inlineStr">
        <is>
          <t>COYOTE DRY</t>
        </is>
      </c>
      <c r="Q227" s="4" t="inlineStr">
        <is>
          <t>COYOTE DRY</t>
        </is>
      </c>
      <c r="R227" s="4" t="n"/>
      <c r="S227" s="4" t="n"/>
      <c r="T227" s="4" t="inlineStr">
        <is>
          <t>COYOTE DRY</t>
        </is>
      </c>
      <c r="U227" s="4" t="inlineStr">
        <is>
          <t>RUA SOUZA DUTRA, 145, APT SI 807, BAIRRO: ESTREITO FLORIANOPOLIS/SC CEP: 88070-605 CPNJ: 47.793.079/0003-80</t>
        </is>
      </c>
      <c r="V227" s="4" t="n">
        <v>21</v>
      </c>
      <c r="W227" s="4" t="n">
        <v>0</v>
      </c>
      <c r="X227" s="4" t="n">
        <v>1011150</v>
      </c>
      <c r="Y227" s="4" t="n">
        <v>1008000</v>
      </c>
      <c r="Z227" s="4" t="n">
        <v>1260</v>
      </c>
      <c r="AA227" s="4" t="n"/>
      <c r="AB227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7" s="4" t="inlineStr">
        <is>
          <t>ANON0000000</t>
        </is>
      </c>
      <c r="AD227" s="4" t="inlineStr">
        <is>
          <t>HC40</t>
        </is>
      </c>
      <c r="AE227" s="4" t="n">
        <v>1293210</v>
      </c>
      <c r="AF227" s="4" t="n"/>
      <c r="AG227" s="4" t="inlineStr">
        <is>
          <t>FCL/FCL</t>
        </is>
      </c>
      <c r="AH227" s="4" t="inlineStr">
        <is>
          <t>GENERAL COMMODITY</t>
        </is>
      </c>
      <c r="AI227" s="4" t="inlineStr">
        <is>
          <t>28087.5</t>
        </is>
      </c>
      <c r="AJ227" s="4" t="n">
        <v>35</v>
      </c>
      <c r="AK227" s="4" t="inlineStr">
        <is>
          <t>BAG</t>
        </is>
      </c>
      <c r="AL227" s="4" t="n"/>
      <c r="AM227" s="4" t="n"/>
      <c r="AN227" s="4" t="n"/>
      <c r="AO227" s="4" t="n"/>
      <c r="AP227" s="4" t="n"/>
      <c r="AQ227" s="4" t="n"/>
      <c r="AR227" s="4" t="n">
        <v>3700</v>
      </c>
      <c r="AS227" s="4" t="n">
        <v>27000</v>
      </c>
      <c r="AT227" s="12" t="n"/>
    </row>
    <row r="228" ht="10.5" customFormat="1" customHeight="1" s="6">
      <c r="A228" s="11" t="n">
        <v>227</v>
      </c>
      <c r="B228" s="4" t="inlineStr">
        <is>
          <t>MERCURY / VOYAGE 1</t>
        </is>
      </c>
      <c r="C228" s="4" t="inlineStr">
        <is>
          <t>REF000000</t>
        </is>
      </c>
      <c r="D228" s="7" t="n">
        <v>46095</v>
      </c>
      <c r="E228" s="4" t="n">
        <v>46105</v>
      </c>
      <c r="F228" s="4" t="inlineStr">
        <is>
          <t>RULED</t>
        </is>
      </c>
      <c r="G228" s="4" t="inlineStr">
        <is>
          <t>RULED</t>
        </is>
      </c>
      <c r="H228" s="4" t="inlineStr">
        <is>
          <t>USHOU</t>
        </is>
      </c>
      <c r="I228" s="4" t="inlineStr">
        <is>
          <t>USHOU</t>
        </is>
      </c>
      <c r="J228" s="4" t="n"/>
      <c r="K228" s="8" t="n"/>
      <c r="L228" s="4" t="inlineStr">
        <is>
          <t>FALCON DRY</t>
        </is>
      </c>
      <c r="M228" s="4" t="inlineStr">
        <is>
          <t>FALCON DRY</t>
        </is>
      </c>
      <c r="N228" s="4" t="n"/>
      <c r="O228" s="4" t="n"/>
      <c r="P228" s="4" t="inlineStr">
        <is>
          <t>FALCON DRY</t>
        </is>
      </c>
      <c r="Q228" s="4" t="inlineStr">
        <is>
          <t>FALCON DRY</t>
        </is>
      </c>
      <c r="R228" s="4" t="n"/>
      <c r="S228" s="4" t="n"/>
      <c r="T228" s="4" t="inlineStr">
        <is>
          <t>FALCON DRY</t>
        </is>
      </c>
      <c r="U228" s="4" t="inlineStr">
        <is>
          <t>RUA SOUZA DUTRA, 145, APT SI 807, BAIRRO: ESTREITO FLORIANOPOLIS/SC CEP: 88070-605 CPNJ: 47.793.079/0003-80</t>
        </is>
      </c>
      <c r="V228" s="4" t="n">
        <v>21</v>
      </c>
      <c r="W228" s="4" t="n">
        <v>0</v>
      </c>
      <c r="X228" s="4" t="n">
        <v>1011150</v>
      </c>
      <c r="Y228" s="4" t="n">
        <v>1008000</v>
      </c>
      <c r="Z228" s="4" t="n">
        <v>1260</v>
      </c>
      <c r="AA228" s="4" t="n"/>
      <c r="AB228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8" s="4" t="inlineStr">
        <is>
          <t>ANON0000000</t>
        </is>
      </c>
      <c r="AD228" s="4" t="inlineStr">
        <is>
          <t>HC40</t>
        </is>
      </c>
      <c r="AE228" s="4" t="n">
        <v>1279264</v>
      </c>
      <c r="AF228" s="4" t="n"/>
      <c r="AG228" s="4" t="inlineStr">
        <is>
          <t>FCL/FCL</t>
        </is>
      </c>
      <c r="AH228" s="4" t="inlineStr">
        <is>
          <t>GENERAL COMMODITY</t>
        </is>
      </c>
      <c r="AI228" s="4" t="inlineStr">
        <is>
          <t>28087.5</t>
        </is>
      </c>
      <c r="AJ228" s="4" t="n">
        <v>35</v>
      </c>
      <c r="AK228" s="4" t="inlineStr">
        <is>
          <t>BAG</t>
        </is>
      </c>
      <c r="AL228" s="4" t="n"/>
      <c r="AM228" s="4" t="n"/>
      <c r="AN228" s="4" t="n"/>
      <c r="AO228" s="4" t="n"/>
      <c r="AP228" s="4" t="n"/>
      <c r="AQ228" s="4" t="n"/>
      <c r="AR228" s="4" t="n">
        <v>3700</v>
      </c>
      <c r="AS228" s="4" t="n">
        <v>27000</v>
      </c>
      <c r="AT228" s="12" t="n"/>
    </row>
    <row r="229" ht="10.5" customFormat="1" customHeight="1" s="6">
      <c r="A229" s="11" t="n">
        <v>228</v>
      </c>
      <c r="B229" s="4" t="inlineStr">
        <is>
          <t>MERCURY / VOYAGE 1</t>
        </is>
      </c>
      <c r="C229" s="4" t="inlineStr">
        <is>
          <t>REF000000</t>
        </is>
      </c>
      <c r="D229" s="7" t="n">
        <v>46095</v>
      </c>
      <c r="E229" s="4" t="n">
        <v>46105</v>
      </c>
      <c r="F229" s="4" t="inlineStr">
        <is>
          <t>RULED</t>
        </is>
      </c>
      <c r="G229" s="4" t="inlineStr">
        <is>
          <t>RULED</t>
        </is>
      </c>
      <c r="H229" s="4" t="inlineStr">
        <is>
          <t>USHOU</t>
        </is>
      </c>
      <c r="I229" s="4" t="inlineStr">
        <is>
          <t>USHOU</t>
        </is>
      </c>
      <c r="J229" s="4" t="n"/>
      <c r="K229" s="8" t="n"/>
      <c r="L229" s="4" t="inlineStr">
        <is>
          <t>WOLF DRY</t>
        </is>
      </c>
      <c r="M229" s="4" t="inlineStr">
        <is>
          <t>WOLF DRY</t>
        </is>
      </c>
      <c r="N229" s="4" t="n"/>
      <c r="O229" s="4" t="n"/>
      <c r="P229" s="4" t="inlineStr">
        <is>
          <t>WOLF DRY</t>
        </is>
      </c>
      <c r="Q229" s="4" t="inlineStr">
        <is>
          <t>WOLF DRY</t>
        </is>
      </c>
      <c r="R229" s="4" t="n"/>
      <c r="S229" s="4" t="n"/>
      <c r="T229" s="4" t="inlineStr">
        <is>
          <t>WOLF DRY</t>
        </is>
      </c>
      <c r="U229" s="4" t="inlineStr">
        <is>
          <t>RUA SOUZA DUTRA, 145, APT SI 807, BAIRRO: ESTREITO FLORIANOPOLIS/SC CEP: 88070-605 CPNJ: 47.793.079/0003-80</t>
        </is>
      </c>
      <c r="V229" s="4" t="n">
        <v>21</v>
      </c>
      <c r="W229" s="4" t="n">
        <v>0</v>
      </c>
      <c r="X229" s="4" t="n">
        <v>1011150</v>
      </c>
      <c r="Y229" s="4" t="n">
        <v>1008000</v>
      </c>
      <c r="Z229" s="4" t="n">
        <v>1260</v>
      </c>
      <c r="AA229" s="4" t="n"/>
      <c r="AB229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29" s="4" t="inlineStr">
        <is>
          <t>ANON0000000</t>
        </is>
      </c>
      <c r="AD229" s="4" t="inlineStr">
        <is>
          <t>HC40</t>
        </is>
      </c>
      <c r="AE229" s="4" t="n">
        <v>1293247</v>
      </c>
      <c r="AF229" s="4" t="n"/>
      <c r="AG229" s="4" t="inlineStr">
        <is>
          <t>FCL/FCL</t>
        </is>
      </c>
      <c r="AH229" s="4" t="inlineStr">
        <is>
          <t>GENERAL COMMODITY</t>
        </is>
      </c>
      <c r="AI229" s="4" t="inlineStr">
        <is>
          <t>28087.5</t>
        </is>
      </c>
      <c r="AJ229" s="4" t="n">
        <v>35</v>
      </c>
      <c r="AK229" s="4" t="inlineStr">
        <is>
          <t>BAG</t>
        </is>
      </c>
      <c r="AL229" s="4" t="n"/>
      <c r="AM229" s="4" t="n"/>
      <c r="AN229" s="4" t="n"/>
      <c r="AO229" s="4" t="n"/>
      <c r="AP229" s="4" t="n"/>
      <c r="AQ229" s="4" t="n"/>
      <c r="AR229" s="4" t="n">
        <v>3700</v>
      </c>
      <c r="AS229" s="4" t="n">
        <v>27000</v>
      </c>
      <c r="AT229" s="12" t="n"/>
    </row>
    <row r="230" ht="11.25" customFormat="1" customHeight="1" s="6">
      <c r="A230" s="11" t="n">
        <v>229</v>
      </c>
      <c r="B230" s="4" t="inlineStr">
        <is>
          <t>MERCURY / VOYAGE 1</t>
        </is>
      </c>
      <c r="C230" s="4" t="inlineStr">
        <is>
          <t>REF000000</t>
        </is>
      </c>
      <c r="D230" s="7" t="n">
        <v>46095</v>
      </c>
      <c r="E230" s="4" t="n">
        <v>46105</v>
      </c>
      <c r="F230" s="4" t="inlineStr">
        <is>
          <t>RULED</t>
        </is>
      </c>
      <c r="G230" s="4" t="inlineStr">
        <is>
          <t>RULED</t>
        </is>
      </c>
      <c r="H230" s="4" t="inlineStr">
        <is>
          <t>USHOU</t>
        </is>
      </c>
      <c r="I230" s="4" t="inlineStr">
        <is>
          <t>USHOU</t>
        </is>
      </c>
      <c r="J230" s="4" t="n"/>
      <c r="K230" s="8" t="n"/>
      <c r="L230" s="4" t="inlineStr">
        <is>
          <t>DEER DRY</t>
        </is>
      </c>
      <c r="M230" s="4" t="inlineStr">
        <is>
          <t>DEER DRY</t>
        </is>
      </c>
      <c r="N230" s="4" t="n"/>
      <c r="O230" s="4" t="n"/>
      <c r="P230" s="4" t="inlineStr">
        <is>
          <t>DEER DRY</t>
        </is>
      </c>
      <c r="Q230" s="4" t="inlineStr">
        <is>
          <t>DEER DRY</t>
        </is>
      </c>
      <c r="R230" s="4" t="n"/>
      <c r="S230" s="4" t="n"/>
      <c r="T230" s="4" t="inlineStr">
        <is>
          <t>DEER DRY</t>
        </is>
      </c>
      <c r="U230" s="4" t="inlineStr">
        <is>
          <t>RUA SOUZA DUTRA, 145, APT SI 807, BAIRRO: ESTREITO FLORIANOPOLIS/SC CEP: 88070-605 CPNJ: 47.793.079/0003-80</t>
        </is>
      </c>
      <c r="V230" s="4" t="n">
        <v>21</v>
      </c>
      <c r="W230" s="4" t="n">
        <v>0</v>
      </c>
      <c r="X230" s="4" t="n">
        <v>1011150</v>
      </c>
      <c r="Y230" s="4" t="n">
        <v>1008000</v>
      </c>
      <c r="Z230" s="4" t="n">
        <v>1260</v>
      </c>
      <c r="AA230" s="4" t="n"/>
      <c r="AB230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0" s="4" t="inlineStr">
        <is>
          <t>ANON0000000</t>
        </is>
      </c>
      <c r="AD230" s="4" t="inlineStr">
        <is>
          <t>HC40</t>
        </is>
      </c>
      <c r="AE230" s="4" t="n">
        <v>1293202</v>
      </c>
      <c r="AF230" s="4" t="n"/>
      <c r="AG230" s="4" t="inlineStr">
        <is>
          <t>FCL/FCL</t>
        </is>
      </c>
      <c r="AH230" s="4" t="inlineStr">
        <is>
          <t>GENERAL COMMODITY</t>
        </is>
      </c>
      <c r="AI230" s="4" t="inlineStr">
        <is>
          <t>28087.5</t>
        </is>
      </c>
      <c r="AJ230" s="4" t="n">
        <v>35</v>
      </c>
      <c r="AK230" s="4" t="inlineStr">
        <is>
          <t>BAG</t>
        </is>
      </c>
      <c r="AL230" s="4" t="n"/>
      <c r="AM230" s="4" t="n"/>
      <c r="AN230" s="4" t="n"/>
      <c r="AO230" s="4" t="n"/>
      <c r="AP230" s="4" t="n"/>
      <c r="AQ230" s="4" t="n"/>
      <c r="AR230" s="4" t="n">
        <v>3700</v>
      </c>
      <c r="AS230" s="4" t="n">
        <v>27000</v>
      </c>
      <c r="AT230" s="12" t="n"/>
    </row>
    <row r="231" ht="10.5" customFormat="1" customHeight="1" s="6">
      <c r="A231" s="11" t="n">
        <v>230</v>
      </c>
      <c r="B231" s="4" t="inlineStr">
        <is>
          <t>MERCURY / VOYAGE 1</t>
        </is>
      </c>
      <c r="C231" s="4" t="inlineStr">
        <is>
          <t>REF000000</t>
        </is>
      </c>
      <c r="D231" s="7" t="n">
        <v>46095</v>
      </c>
      <c r="E231" s="4" t="n">
        <v>46105</v>
      </c>
      <c r="F231" s="4" t="inlineStr">
        <is>
          <t>RULED</t>
        </is>
      </c>
      <c r="G231" s="4" t="inlineStr">
        <is>
          <t>RULED</t>
        </is>
      </c>
      <c r="H231" s="4" t="inlineStr">
        <is>
          <t>USHOU</t>
        </is>
      </c>
      <c r="I231" s="4" t="inlineStr">
        <is>
          <t>USHOU</t>
        </is>
      </c>
      <c r="J231" s="4" t="n"/>
      <c r="K231" s="8" t="n"/>
      <c r="L231" s="4" t="inlineStr">
        <is>
          <t>FOX DRY</t>
        </is>
      </c>
      <c r="M231" s="4" t="inlineStr">
        <is>
          <t>FOX DRY</t>
        </is>
      </c>
      <c r="N231" s="4" t="n"/>
      <c r="O231" s="4" t="n"/>
      <c r="P231" s="4" t="inlineStr">
        <is>
          <t>FOX DRY</t>
        </is>
      </c>
      <c r="Q231" s="4" t="inlineStr">
        <is>
          <t>FOX DRY</t>
        </is>
      </c>
      <c r="R231" s="4" t="n"/>
      <c r="S231" s="4" t="n"/>
      <c r="T231" s="4" t="inlineStr">
        <is>
          <t>FOX DRY</t>
        </is>
      </c>
      <c r="U231" s="4" t="inlineStr">
        <is>
          <t>RUA SOUZA DUTRA, 145, APT SI 807, BAIRRO: ESTREITO FLORIANOPOLIS/SC CEP: 88070-605 CPNJ: 47.793.079/0003-80</t>
        </is>
      </c>
      <c r="V231" s="4" t="n">
        <v>21</v>
      </c>
      <c r="W231" s="4" t="n">
        <v>0</v>
      </c>
      <c r="X231" s="4" t="n">
        <v>1011150</v>
      </c>
      <c r="Y231" s="4" t="n">
        <v>1008000</v>
      </c>
      <c r="Z231" s="4" t="n">
        <v>1260</v>
      </c>
      <c r="AA231" s="4" t="n"/>
      <c r="AB231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1" s="4" t="inlineStr">
        <is>
          <t>ANON0000000</t>
        </is>
      </c>
      <c r="AD231" s="4" t="inlineStr">
        <is>
          <t>HC40</t>
        </is>
      </c>
      <c r="AE231" s="4" t="n">
        <v>1293245</v>
      </c>
      <c r="AF231" s="4" t="n"/>
      <c r="AG231" s="4" t="inlineStr">
        <is>
          <t>FCL/FCL</t>
        </is>
      </c>
      <c r="AH231" s="4" t="inlineStr">
        <is>
          <t>GENERAL COMMODITY</t>
        </is>
      </c>
      <c r="AI231" s="4" t="inlineStr">
        <is>
          <t>28087.5</t>
        </is>
      </c>
      <c r="AJ231" s="4" t="n">
        <v>35</v>
      </c>
      <c r="AK231" s="4" t="inlineStr">
        <is>
          <t>BAG</t>
        </is>
      </c>
      <c r="AL231" s="4" t="n"/>
      <c r="AM231" s="4" t="n"/>
      <c r="AN231" s="4" t="n"/>
      <c r="AO231" s="4" t="n"/>
      <c r="AP231" s="4" t="n"/>
      <c r="AQ231" s="4" t="n"/>
      <c r="AR231" s="4" t="n">
        <v>3650</v>
      </c>
      <c r="AS231" s="4" t="n">
        <v>27000</v>
      </c>
      <c r="AT231" s="12" t="n"/>
    </row>
    <row r="232" ht="10.5" customFormat="1" customHeight="1" s="6">
      <c r="A232" s="11" t="n">
        <v>231</v>
      </c>
      <c r="B232" s="4" t="inlineStr">
        <is>
          <t>MERCURY / VOYAGE 1</t>
        </is>
      </c>
      <c r="C232" s="4" t="inlineStr">
        <is>
          <t>REF000000</t>
        </is>
      </c>
      <c r="D232" s="7" t="n">
        <v>46095</v>
      </c>
      <c r="E232" s="4" t="n">
        <v>46105</v>
      </c>
      <c r="F232" s="4" t="inlineStr">
        <is>
          <t>RULED</t>
        </is>
      </c>
      <c r="G232" s="4" t="inlineStr">
        <is>
          <t>RULED</t>
        </is>
      </c>
      <c r="H232" s="4" t="inlineStr">
        <is>
          <t>USHOU</t>
        </is>
      </c>
      <c r="I232" s="4" t="inlineStr">
        <is>
          <t>USHOU</t>
        </is>
      </c>
      <c r="J232" s="4" t="n"/>
      <c r="K232" s="8" t="n"/>
      <c r="L232" s="4" t="inlineStr">
        <is>
          <t>BISON DRY</t>
        </is>
      </c>
      <c r="M232" s="4" t="inlineStr">
        <is>
          <t>BISON DRY</t>
        </is>
      </c>
      <c r="N232" s="4" t="n"/>
      <c r="O232" s="4" t="n"/>
      <c r="P232" s="4" t="inlineStr">
        <is>
          <t>BISON DRY</t>
        </is>
      </c>
      <c r="Q232" s="4" t="inlineStr">
        <is>
          <t>BISON DRY</t>
        </is>
      </c>
      <c r="R232" s="4" t="n"/>
      <c r="S232" s="4" t="n"/>
      <c r="T232" s="4" t="inlineStr">
        <is>
          <t>BISON DRY</t>
        </is>
      </c>
      <c r="U232" s="4" t="inlineStr">
        <is>
          <t>RUA SOUZA DUTRA, 145, APT SI 807, BAIRRO: ESTREITO FLORIANOPOLIS/SC CEP: 88070-605 CPNJ: 47.793.079/0003-80</t>
        </is>
      </c>
      <c r="V232" s="4" t="n">
        <v>21</v>
      </c>
      <c r="W232" s="4" t="n">
        <v>0</v>
      </c>
      <c r="X232" s="4" t="n">
        <v>1011150</v>
      </c>
      <c r="Y232" s="4" t="n">
        <v>1008000</v>
      </c>
      <c r="Z232" s="4" t="n">
        <v>1260</v>
      </c>
      <c r="AA232" s="4" t="n"/>
      <c r="AB232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2" s="4" t="inlineStr">
        <is>
          <t>ANON0000000</t>
        </is>
      </c>
      <c r="AD232" s="4" t="inlineStr">
        <is>
          <t>HC40</t>
        </is>
      </c>
      <c r="AE232" s="4" t="n">
        <v>1279268</v>
      </c>
      <c r="AF232" s="4" t="n"/>
      <c r="AG232" s="4" t="inlineStr">
        <is>
          <t>FCL/FCL</t>
        </is>
      </c>
      <c r="AH232" s="4" t="inlineStr">
        <is>
          <t>GENERAL COMMODITY</t>
        </is>
      </c>
      <c r="AI232" s="4" t="inlineStr">
        <is>
          <t>28087.5</t>
        </is>
      </c>
      <c r="AJ232" s="4" t="n">
        <v>35</v>
      </c>
      <c r="AK232" s="4" t="inlineStr">
        <is>
          <t>BAG</t>
        </is>
      </c>
      <c r="AL232" s="4" t="n"/>
      <c r="AM232" s="4" t="n"/>
      <c r="AN232" s="4" t="n"/>
      <c r="AO232" s="4" t="n"/>
      <c r="AP232" s="4" t="n"/>
      <c r="AQ232" s="4" t="n"/>
      <c r="AR232" s="4" t="n">
        <v>3700</v>
      </c>
      <c r="AS232" s="4" t="n">
        <v>27000</v>
      </c>
      <c r="AT232" s="12" t="n"/>
    </row>
    <row r="233" ht="10.5" customFormat="1" customHeight="1" s="6">
      <c r="A233" s="11" t="n">
        <v>232</v>
      </c>
      <c r="B233" s="4" t="inlineStr">
        <is>
          <t>MERCURY / VOYAGE 1</t>
        </is>
      </c>
      <c r="C233" s="4" t="inlineStr">
        <is>
          <t>REF000000</t>
        </is>
      </c>
      <c r="D233" s="7" t="n">
        <v>46095</v>
      </c>
      <c r="E233" s="4" t="n">
        <v>46105</v>
      </c>
      <c r="F233" s="4" t="inlineStr">
        <is>
          <t>RULED</t>
        </is>
      </c>
      <c r="G233" s="4" t="inlineStr">
        <is>
          <t>RULED</t>
        </is>
      </c>
      <c r="H233" s="4" t="inlineStr">
        <is>
          <t>USHOU</t>
        </is>
      </c>
      <c r="I233" s="4" t="inlineStr">
        <is>
          <t>USHOU</t>
        </is>
      </c>
      <c r="J233" s="4" t="n"/>
      <c r="K233" s="8" t="n"/>
      <c r="L233" s="4" t="inlineStr">
        <is>
          <t>EAGLE DRY</t>
        </is>
      </c>
      <c r="M233" s="4" t="inlineStr">
        <is>
          <t>EAGLE DRY</t>
        </is>
      </c>
      <c r="N233" s="4" t="n"/>
      <c r="O233" s="4" t="n"/>
      <c r="P233" s="4" t="inlineStr">
        <is>
          <t>EAGLE DRY</t>
        </is>
      </c>
      <c r="Q233" s="4" t="inlineStr">
        <is>
          <t>EAGLE DRY</t>
        </is>
      </c>
      <c r="R233" s="4" t="n"/>
      <c r="S233" s="4" t="n"/>
      <c r="T233" s="4" t="inlineStr">
        <is>
          <t>EAGLE DRY</t>
        </is>
      </c>
      <c r="U233" s="4" t="inlineStr">
        <is>
          <t>RUA SOUZA DUTRA, 145, APT SI 807, BAIRRO: ESTREITO FLORIANOPOLIS/SC CEP: 88070-605 CPNJ: 47.793.079/0003-80</t>
        </is>
      </c>
      <c r="V233" s="4" t="n">
        <v>21</v>
      </c>
      <c r="W233" s="4" t="n">
        <v>0</v>
      </c>
      <c r="X233" s="4" t="n">
        <v>1011150</v>
      </c>
      <c r="Y233" s="4" t="n">
        <v>1008000</v>
      </c>
      <c r="Z233" s="4" t="n">
        <v>1260</v>
      </c>
      <c r="AA233" s="4" t="n"/>
      <c r="AB233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3" s="4" t="inlineStr">
        <is>
          <t>ANON0000000</t>
        </is>
      </c>
      <c r="AD233" s="4" t="inlineStr">
        <is>
          <t>HC40</t>
        </is>
      </c>
      <c r="AE233" s="4" t="n">
        <v>1279266</v>
      </c>
      <c r="AF233" s="4" t="n"/>
      <c r="AG233" s="4" t="inlineStr">
        <is>
          <t>FCL/FCL</t>
        </is>
      </c>
      <c r="AH233" s="4" t="inlineStr">
        <is>
          <t>GENERAL COMMODITY</t>
        </is>
      </c>
      <c r="AI233" s="4" t="inlineStr">
        <is>
          <t>28087.5</t>
        </is>
      </c>
      <c r="AJ233" s="4" t="n">
        <v>35</v>
      </c>
      <c r="AK233" s="4" t="inlineStr">
        <is>
          <t>BAG</t>
        </is>
      </c>
      <c r="AL233" s="4" t="n"/>
      <c r="AM233" s="4" t="n"/>
      <c r="AN233" s="4" t="n"/>
      <c r="AO233" s="4" t="n"/>
      <c r="AP233" s="4" t="n"/>
      <c r="AQ233" s="4" t="n"/>
      <c r="AR233" s="4" t="n">
        <v>3700</v>
      </c>
      <c r="AS233" s="4" t="n">
        <v>27000</v>
      </c>
      <c r="AT233" s="12" t="n"/>
    </row>
    <row r="234" ht="10.5" customFormat="1" customHeight="1" s="6">
      <c r="A234" s="11" t="n">
        <v>233</v>
      </c>
      <c r="B234" s="4" t="inlineStr">
        <is>
          <t>MERCURY / VOYAGE 1</t>
        </is>
      </c>
      <c r="C234" s="4" t="inlineStr">
        <is>
          <t>REF000000</t>
        </is>
      </c>
      <c r="D234" s="7" t="n">
        <v>46095</v>
      </c>
      <c r="E234" s="4" t="n">
        <v>46105</v>
      </c>
      <c r="F234" s="4" t="inlineStr">
        <is>
          <t>RULED</t>
        </is>
      </c>
      <c r="G234" s="4" t="inlineStr">
        <is>
          <t>RULED</t>
        </is>
      </c>
      <c r="H234" s="4" t="inlineStr">
        <is>
          <t>USHOU</t>
        </is>
      </c>
      <c r="I234" s="4" t="inlineStr">
        <is>
          <t>USHOU</t>
        </is>
      </c>
      <c r="J234" s="4" t="n"/>
      <c r="K234" s="8" t="n"/>
      <c r="L234" s="4" t="inlineStr">
        <is>
          <t>COYOTE DRY</t>
        </is>
      </c>
      <c r="M234" s="4" t="inlineStr">
        <is>
          <t>COYOTE DRY</t>
        </is>
      </c>
      <c r="N234" s="4" t="n"/>
      <c r="O234" s="4" t="n"/>
      <c r="P234" s="4" t="inlineStr">
        <is>
          <t>COYOTE DRY</t>
        </is>
      </c>
      <c r="Q234" s="4" t="inlineStr">
        <is>
          <t>COYOTE DRY</t>
        </is>
      </c>
      <c r="R234" s="4" t="n"/>
      <c r="S234" s="4" t="n"/>
      <c r="T234" s="4" t="inlineStr">
        <is>
          <t>COYOTE DRY</t>
        </is>
      </c>
      <c r="U234" s="4" t="inlineStr">
        <is>
          <t>RUA SOUZA DUTRA, 145, APT SI 807, BAIRRO: ESTREITO FLORIANOPOLIS/SC CEP: 88070-605 CPNJ: 47.793.079/0003-80</t>
        </is>
      </c>
      <c r="V234" s="4" t="n">
        <v>21</v>
      </c>
      <c r="W234" s="4" t="n">
        <v>0</v>
      </c>
      <c r="X234" s="4" t="n">
        <v>1011150</v>
      </c>
      <c r="Y234" s="4" t="n">
        <v>1008000</v>
      </c>
      <c r="Z234" s="4" t="n">
        <v>1260</v>
      </c>
      <c r="AA234" s="4" t="n"/>
      <c r="AB234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4" s="4" t="inlineStr">
        <is>
          <t>ANON0000000</t>
        </is>
      </c>
      <c r="AD234" s="4" t="inlineStr">
        <is>
          <t>HC40</t>
        </is>
      </c>
      <c r="AE234" s="4" t="n">
        <v>1279240</v>
      </c>
      <c r="AF234" s="4" t="n"/>
      <c r="AG234" s="4" t="inlineStr">
        <is>
          <t>FCL/FCL</t>
        </is>
      </c>
      <c r="AH234" s="4" t="inlineStr">
        <is>
          <t>GENERAL COMMODITY</t>
        </is>
      </c>
      <c r="AI234" s="4" t="inlineStr">
        <is>
          <t>28087.5</t>
        </is>
      </c>
      <c r="AJ234" s="4" t="n">
        <v>35</v>
      </c>
      <c r="AK234" s="4" t="inlineStr">
        <is>
          <t>BAG</t>
        </is>
      </c>
      <c r="AL234" s="4" t="n"/>
      <c r="AM234" s="4" t="n"/>
      <c r="AN234" s="4" t="n"/>
      <c r="AO234" s="4" t="n"/>
      <c r="AP234" s="4" t="n"/>
      <c r="AQ234" s="4" t="n"/>
      <c r="AR234" s="4" t="n">
        <v>3700</v>
      </c>
      <c r="AS234" s="4" t="n">
        <v>27000</v>
      </c>
      <c r="AT234" s="12" t="n"/>
    </row>
    <row r="235" ht="11.25" customFormat="1" customHeight="1" s="6">
      <c r="A235" s="11" t="n">
        <v>234</v>
      </c>
      <c r="B235" s="4" t="inlineStr">
        <is>
          <t>MERCURY / VOYAGE 1</t>
        </is>
      </c>
      <c r="C235" s="4" t="inlineStr">
        <is>
          <t>REF000000</t>
        </is>
      </c>
      <c r="D235" s="7" t="n">
        <v>46095</v>
      </c>
      <c r="E235" s="4" t="n">
        <v>46105</v>
      </c>
      <c r="F235" s="4" t="inlineStr">
        <is>
          <t>RULED</t>
        </is>
      </c>
      <c r="G235" s="4" t="inlineStr">
        <is>
          <t>RULED</t>
        </is>
      </c>
      <c r="H235" s="4" t="inlineStr">
        <is>
          <t>USHOU</t>
        </is>
      </c>
      <c r="I235" s="4" t="inlineStr">
        <is>
          <t>USHOU</t>
        </is>
      </c>
      <c r="J235" s="4" t="n"/>
      <c r="K235" s="8" t="n"/>
      <c r="L235" s="4" t="inlineStr">
        <is>
          <t>FALCON DRY</t>
        </is>
      </c>
      <c r="M235" s="4" t="inlineStr">
        <is>
          <t>FALCON DRY</t>
        </is>
      </c>
      <c r="N235" s="4" t="n"/>
      <c r="O235" s="4" t="n"/>
      <c r="P235" s="4" t="inlineStr">
        <is>
          <t>FALCON DRY</t>
        </is>
      </c>
      <c r="Q235" s="4" t="inlineStr">
        <is>
          <t>FALCON DRY</t>
        </is>
      </c>
      <c r="R235" s="4" t="n"/>
      <c r="S235" s="4" t="n"/>
      <c r="T235" s="4" t="inlineStr">
        <is>
          <t>FALCON DRY</t>
        </is>
      </c>
      <c r="U235" s="4" t="inlineStr">
        <is>
          <t>RUA SOUZA DUTRA, 145, APT SI 807, BAIRRO: ESTREITO FLORIANOPOLIS/SC CEP: 88070-605 CPNJ: 47.793.079/0003-80</t>
        </is>
      </c>
      <c r="V235" s="4" t="n">
        <v>21</v>
      </c>
      <c r="W235" s="4" t="n">
        <v>0</v>
      </c>
      <c r="X235" s="4" t="n">
        <v>1011150</v>
      </c>
      <c r="Y235" s="4" t="n">
        <v>1008000</v>
      </c>
      <c r="Z235" s="4" t="n">
        <v>1260</v>
      </c>
      <c r="AA235" s="4" t="n"/>
      <c r="AB235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5" s="4" t="inlineStr">
        <is>
          <t>ANON0000000</t>
        </is>
      </c>
      <c r="AD235" s="4" t="inlineStr">
        <is>
          <t>HC40</t>
        </is>
      </c>
      <c r="AE235" s="4" t="n">
        <v>1279265</v>
      </c>
      <c r="AF235" s="4" t="n"/>
      <c r="AG235" s="4" t="inlineStr">
        <is>
          <t>FCL/FCL</t>
        </is>
      </c>
      <c r="AH235" s="4" t="inlineStr">
        <is>
          <t>GENERAL COMMODITY</t>
        </is>
      </c>
      <c r="AI235" s="4" t="inlineStr">
        <is>
          <t>28087.5</t>
        </is>
      </c>
      <c r="AJ235" s="4" t="n">
        <v>35</v>
      </c>
      <c r="AK235" s="4" t="inlineStr">
        <is>
          <t>BAG</t>
        </is>
      </c>
      <c r="AL235" s="4" t="n"/>
      <c r="AM235" s="4" t="n"/>
      <c r="AN235" s="4" t="n"/>
      <c r="AO235" s="4" t="n"/>
      <c r="AP235" s="4" t="n"/>
      <c r="AQ235" s="4" t="n"/>
      <c r="AR235" s="4" t="n">
        <v>3700</v>
      </c>
      <c r="AS235" s="4" t="n">
        <v>27000</v>
      </c>
      <c r="AT235" s="12" t="n"/>
    </row>
    <row r="236" ht="10.5" customFormat="1" customHeight="1" s="6">
      <c r="A236" s="11" t="n">
        <v>235</v>
      </c>
      <c r="B236" s="4" t="inlineStr">
        <is>
          <t>MERCURY / VOYAGE 1</t>
        </is>
      </c>
      <c r="C236" s="4" t="inlineStr">
        <is>
          <t>REF000000</t>
        </is>
      </c>
      <c r="D236" s="7" t="n">
        <v>46095</v>
      </c>
      <c r="E236" s="4" t="n">
        <v>46105</v>
      </c>
      <c r="F236" s="4" t="inlineStr">
        <is>
          <t>RULED</t>
        </is>
      </c>
      <c r="G236" s="4" t="inlineStr">
        <is>
          <t>RULED</t>
        </is>
      </c>
      <c r="H236" s="4" t="inlineStr">
        <is>
          <t>USHOU</t>
        </is>
      </c>
      <c r="I236" s="4" t="inlineStr">
        <is>
          <t>USHOU</t>
        </is>
      </c>
      <c r="J236" s="4" t="n"/>
      <c r="K236" s="8" t="n"/>
      <c r="L236" s="4" t="inlineStr">
        <is>
          <t>WOLF DRY</t>
        </is>
      </c>
      <c r="M236" s="4" t="inlineStr">
        <is>
          <t>WOLF DRY</t>
        </is>
      </c>
      <c r="N236" s="4" t="n"/>
      <c r="O236" s="4" t="n"/>
      <c r="P236" s="4" t="inlineStr">
        <is>
          <t>WOLF DRY</t>
        </is>
      </c>
      <c r="Q236" s="4" t="inlineStr">
        <is>
          <t>WOLF DRY</t>
        </is>
      </c>
      <c r="R236" s="4" t="n"/>
      <c r="S236" s="4" t="n"/>
      <c r="T236" s="4" t="inlineStr">
        <is>
          <t>WOLF DRY</t>
        </is>
      </c>
      <c r="U236" s="4" t="inlineStr">
        <is>
          <t>RUA SOUZA DUTRA, 145, APT SI 807, BAIRRO: ESTREITO FLORIANOPOLIS/SC CEP: 88070-605 CPNJ: 47.793.079/0003-80</t>
        </is>
      </c>
      <c r="V236" s="4" t="n">
        <v>21</v>
      </c>
      <c r="W236" s="4" t="n">
        <v>0</v>
      </c>
      <c r="X236" s="4" t="n">
        <v>1011150</v>
      </c>
      <c r="Y236" s="4" t="n">
        <v>1008000</v>
      </c>
      <c r="Z236" s="4" t="n">
        <v>1260</v>
      </c>
      <c r="AA236" s="4" t="n"/>
      <c r="AB236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6" s="4" t="inlineStr">
        <is>
          <t>ANON0000000</t>
        </is>
      </c>
      <c r="AD236" s="4" t="inlineStr">
        <is>
          <t>HC40</t>
        </is>
      </c>
      <c r="AE236" s="4" t="n">
        <v>1279262</v>
      </c>
      <c r="AF236" s="4" t="n"/>
      <c r="AG236" s="4" t="inlineStr">
        <is>
          <t>FCL/FCL</t>
        </is>
      </c>
      <c r="AH236" s="4" t="inlineStr">
        <is>
          <t>GENERAL COMMODITY</t>
        </is>
      </c>
      <c r="AI236" s="4" t="inlineStr">
        <is>
          <t>28087.5</t>
        </is>
      </c>
      <c r="AJ236" s="4" t="n">
        <v>35</v>
      </c>
      <c r="AK236" s="4" t="inlineStr">
        <is>
          <t>BAG</t>
        </is>
      </c>
      <c r="AL236" s="4" t="n"/>
      <c r="AM236" s="4" t="n"/>
      <c r="AN236" s="4" t="n"/>
      <c r="AO236" s="4" t="n"/>
      <c r="AP236" s="4" t="n"/>
      <c r="AQ236" s="4" t="n"/>
      <c r="AR236" s="4" t="n">
        <v>3900</v>
      </c>
      <c r="AS236" s="4" t="n">
        <v>27000</v>
      </c>
      <c r="AT236" s="12" t="n"/>
    </row>
    <row r="237" ht="10.5" customFormat="1" customHeight="1" s="6">
      <c r="A237" s="11" t="n">
        <v>236</v>
      </c>
      <c r="B237" s="4" t="inlineStr">
        <is>
          <t>MERCURY / VOYAGE 1</t>
        </is>
      </c>
      <c r="C237" s="4" t="inlineStr">
        <is>
          <t>REF000000</t>
        </is>
      </c>
      <c r="D237" s="7" t="n">
        <v>46095</v>
      </c>
      <c r="E237" s="4" t="n">
        <v>46105</v>
      </c>
      <c r="F237" s="4" t="inlineStr">
        <is>
          <t>RULED</t>
        </is>
      </c>
      <c r="G237" s="4" t="inlineStr">
        <is>
          <t>RULED</t>
        </is>
      </c>
      <c r="H237" s="4" t="inlineStr">
        <is>
          <t>USHOU</t>
        </is>
      </c>
      <c r="I237" s="4" t="inlineStr">
        <is>
          <t>USHOU</t>
        </is>
      </c>
      <c r="J237" s="4" t="n"/>
      <c r="K237" s="8" t="n"/>
      <c r="L237" s="4" t="inlineStr">
        <is>
          <t>DEER DRY</t>
        </is>
      </c>
      <c r="M237" s="4" t="inlineStr">
        <is>
          <t>DEER DRY</t>
        </is>
      </c>
      <c r="N237" s="4" t="n"/>
      <c r="O237" s="4" t="n"/>
      <c r="P237" s="4" t="inlineStr">
        <is>
          <t>DEER DRY</t>
        </is>
      </c>
      <c r="Q237" s="4" t="inlineStr">
        <is>
          <t>DEER DRY</t>
        </is>
      </c>
      <c r="R237" s="4" t="n"/>
      <c r="S237" s="4" t="n"/>
      <c r="T237" s="4" t="inlineStr">
        <is>
          <t>DEER DRY</t>
        </is>
      </c>
      <c r="U237" s="4" t="inlineStr">
        <is>
          <t>RUA SOUZA DUTRA, 145, APT SI 807, BAIRRO: ESTREITO FLORIANOPOLIS/SC CEP: 88070-605 CPNJ: 47.793.079/0003-80</t>
        </is>
      </c>
      <c r="V237" s="4" t="n">
        <v>21</v>
      </c>
      <c r="W237" s="4" t="n">
        <v>0</v>
      </c>
      <c r="X237" s="4" t="n">
        <v>1011150</v>
      </c>
      <c r="Y237" s="4" t="n">
        <v>1008000</v>
      </c>
      <c r="Z237" s="4" t="n">
        <v>1260</v>
      </c>
      <c r="AA237" s="4" t="n"/>
      <c r="AB237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7" s="4" t="inlineStr">
        <is>
          <t>ANON0000000</t>
        </is>
      </c>
      <c r="AD237" s="4" t="inlineStr">
        <is>
          <t>HC40</t>
        </is>
      </c>
      <c r="AE237" s="4" t="n">
        <v>1293326</v>
      </c>
      <c r="AF237" s="4" t="n"/>
      <c r="AG237" s="4" t="inlineStr">
        <is>
          <t>FCL/FCL</t>
        </is>
      </c>
      <c r="AH237" s="4" t="inlineStr">
        <is>
          <t>GENERAL COMMODITY</t>
        </is>
      </c>
      <c r="AI237" s="4" t="inlineStr">
        <is>
          <t>28087.5</t>
        </is>
      </c>
      <c r="AJ237" s="4" t="n">
        <v>35</v>
      </c>
      <c r="AK237" s="4" t="inlineStr">
        <is>
          <t>BAG</t>
        </is>
      </c>
      <c r="AL237" s="4" t="n"/>
      <c r="AM237" s="4" t="n"/>
      <c r="AN237" s="4" t="n"/>
      <c r="AO237" s="4" t="n"/>
      <c r="AP237" s="4" t="n"/>
      <c r="AQ237" s="4" t="n"/>
      <c r="AR237" s="4" t="n">
        <v>3770</v>
      </c>
      <c r="AS237" s="4" t="n">
        <v>27000</v>
      </c>
      <c r="AT237" s="12" t="n"/>
    </row>
    <row r="238" ht="10.5" customFormat="1" customHeight="1" s="6">
      <c r="A238" s="11" t="n">
        <v>237</v>
      </c>
      <c r="B238" s="4" t="inlineStr">
        <is>
          <t>MERCURY / VOYAGE 1</t>
        </is>
      </c>
      <c r="C238" s="4" t="inlineStr">
        <is>
          <t>REF000000</t>
        </is>
      </c>
      <c r="D238" s="7" t="n">
        <v>46095</v>
      </c>
      <c r="E238" s="4" t="n">
        <v>46105</v>
      </c>
      <c r="F238" s="4" t="inlineStr">
        <is>
          <t>RULED</t>
        </is>
      </c>
      <c r="G238" s="4" t="inlineStr">
        <is>
          <t>RULED</t>
        </is>
      </c>
      <c r="H238" s="4" t="inlineStr">
        <is>
          <t>USHOU</t>
        </is>
      </c>
      <c r="I238" s="4" t="inlineStr">
        <is>
          <t>USHOU</t>
        </is>
      </c>
      <c r="J238" s="4" t="n"/>
      <c r="K238" s="8" t="n"/>
      <c r="L238" s="4" t="inlineStr">
        <is>
          <t>FOX DRY</t>
        </is>
      </c>
      <c r="M238" s="4" t="inlineStr">
        <is>
          <t>FOX DRY</t>
        </is>
      </c>
      <c r="N238" s="4" t="n"/>
      <c r="O238" s="4" t="n"/>
      <c r="P238" s="4" t="inlineStr">
        <is>
          <t>FOX DRY</t>
        </is>
      </c>
      <c r="Q238" s="4" t="inlineStr">
        <is>
          <t>FOX DRY</t>
        </is>
      </c>
      <c r="R238" s="4" t="n"/>
      <c r="S238" s="4" t="n"/>
      <c r="T238" s="4" t="inlineStr">
        <is>
          <t>FOX DRY</t>
        </is>
      </c>
      <c r="U238" s="4" t="inlineStr">
        <is>
          <t>RUA SOUZA DUTRA, 145, APT SI 807, BAIRRO: ESTREITO FLORIANOPOLIS/SC CEP: 88070-605 CPNJ: 47.793.079/0003-80</t>
        </is>
      </c>
      <c r="V238" s="4" t="n">
        <v>21</v>
      </c>
      <c r="W238" s="4" t="n">
        <v>0</v>
      </c>
      <c r="X238" s="4" t="n">
        <v>1011150</v>
      </c>
      <c r="Y238" s="4" t="n">
        <v>1008000</v>
      </c>
      <c r="Z238" s="4" t="n">
        <v>1260</v>
      </c>
      <c r="AA238" s="4" t="n"/>
      <c r="AB238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8" s="4" t="inlineStr">
        <is>
          <t>ANON0000000</t>
        </is>
      </c>
      <c r="AD238" s="4" t="inlineStr">
        <is>
          <t>HC40</t>
        </is>
      </c>
      <c r="AE238" s="4" t="n">
        <v>1279237</v>
      </c>
      <c r="AF238" s="4" t="n"/>
      <c r="AG238" s="4" t="inlineStr">
        <is>
          <t>FCL/FCL</t>
        </is>
      </c>
      <c r="AH238" s="4" t="inlineStr">
        <is>
          <t>GENERAL COMMODITY</t>
        </is>
      </c>
      <c r="AI238" s="4" t="inlineStr">
        <is>
          <t>28087.5</t>
        </is>
      </c>
      <c r="AJ238" s="4" t="n">
        <v>35</v>
      </c>
      <c r="AK238" s="4" t="inlineStr">
        <is>
          <t>BAG</t>
        </is>
      </c>
      <c r="AL238" s="4" t="n"/>
      <c r="AM238" s="4" t="n"/>
      <c r="AN238" s="4" t="n"/>
      <c r="AO238" s="4" t="n"/>
      <c r="AP238" s="4" t="n"/>
      <c r="AQ238" s="4" t="n"/>
      <c r="AR238" s="4" t="n">
        <v>3700</v>
      </c>
      <c r="AS238" s="4" t="n">
        <v>27000</v>
      </c>
      <c r="AT238" s="12" t="n"/>
    </row>
    <row r="239" ht="10.5" customFormat="1" customHeight="1" s="6">
      <c r="A239" s="11" t="n">
        <v>238</v>
      </c>
      <c r="B239" s="4" t="inlineStr">
        <is>
          <t>MERCURY / VOYAGE 1</t>
        </is>
      </c>
      <c r="C239" s="4" t="inlineStr">
        <is>
          <t>REF000000</t>
        </is>
      </c>
      <c r="D239" s="7" t="n">
        <v>46095</v>
      </c>
      <c r="E239" s="4" t="n">
        <v>46105</v>
      </c>
      <c r="F239" s="4" t="inlineStr">
        <is>
          <t>RULED</t>
        </is>
      </c>
      <c r="G239" s="4" t="inlineStr">
        <is>
          <t>RULED</t>
        </is>
      </c>
      <c r="H239" s="4" t="inlineStr">
        <is>
          <t>USHOU</t>
        </is>
      </c>
      <c r="I239" s="4" t="inlineStr">
        <is>
          <t>USHOU</t>
        </is>
      </c>
      <c r="J239" s="4" t="n"/>
      <c r="K239" s="8" t="n"/>
      <c r="L239" s="4" t="inlineStr">
        <is>
          <t>BISON DRY</t>
        </is>
      </c>
      <c r="M239" s="4" t="inlineStr">
        <is>
          <t>BISON DRY</t>
        </is>
      </c>
      <c r="N239" s="4" t="n"/>
      <c r="O239" s="4" t="n"/>
      <c r="P239" s="4" t="inlineStr">
        <is>
          <t>BISON DRY</t>
        </is>
      </c>
      <c r="Q239" s="4" t="inlineStr">
        <is>
          <t>BISON DRY</t>
        </is>
      </c>
      <c r="R239" s="4" t="n"/>
      <c r="S239" s="4" t="n"/>
      <c r="T239" s="4" t="inlineStr">
        <is>
          <t>BISON DRY</t>
        </is>
      </c>
      <c r="U239" s="4" t="inlineStr">
        <is>
          <t>RUA SOUZA DUTRA, 145, APT SI 807, BAIRRO: ESTREITO FLORIANOPOLIS/SC CEP: 88070-605 CPNJ: 47.793.079/0003-80</t>
        </is>
      </c>
      <c r="V239" s="4" t="n">
        <v>21</v>
      </c>
      <c r="W239" s="4" t="n">
        <v>0</v>
      </c>
      <c r="X239" s="4" t="n">
        <v>1011150</v>
      </c>
      <c r="Y239" s="4" t="n">
        <v>1008000</v>
      </c>
      <c r="Z239" s="4" t="n">
        <v>1260</v>
      </c>
      <c r="AA239" s="4" t="n"/>
      <c r="AB239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39" s="4" t="inlineStr">
        <is>
          <t>ANON0000000</t>
        </is>
      </c>
      <c r="AD239" s="4" t="inlineStr">
        <is>
          <t>HC40</t>
        </is>
      </c>
      <c r="AE239" s="4" t="n">
        <v>1293208</v>
      </c>
      <c r="AF239" s="4" t="n"/>
      <c r="AG239" s="4" t="inlineStr">
        <is>
          <t>FCL/FCL</t>
        </is>
      </c>
      <c r="AH239" s="4" t="inlineStr">
        <is>
          <t>GENERAL COMMODITY</t>
        </is>
      </c>
      <c r="AI239" s="4" t="inlineStr">
        <is>
          <t>28087.5</t>
        </is>
      </c>
      <c r="AJ239" s="4" t="n">
        <v>35</v>
      </c>
      <c r="AK239" s="4" t="inlineStr">
        <is>
          <t>BAG</t>
        </is>
      </c>
      <c r="AL239" s="4" t="n"/>
      <c r="AM239" s="4" t="n"/>
      <c r="AN239" s="4" t="n"/>
      <c r="AO239" s="4" t="n"/>
      <c r="AP239" s="4" t="n"/>
      <c r="AQ239" s="4" t="n"/>
      <c r="AR239" s="4" t="n">
        <v>3700</v>
      </c>
      <c r="AS239" s="4" t="n">
        <v>27000</v>
      </c>
      <c r="AT239" s="12" t="n"/>
    </row>
    <row r="240" ht="11.25" customFormat="1" customHeight="1" s="6">
      <c r="A240" s="11" t="n">
        <v>239</v>
      </c>
      <c r="B240" s="4" t="inlineStr">
        <is>
          <t>MERCURY / VOYAGE 1</t>
        </is>
      </c>
      <c r="C240" s="4" t="inlineStr">
        <is>
          <t>REF000000</t>
        </is>
      </c>
      <c r="D240" s="7" t="n">
        <v>46095</v>
      </c>
      <c r="E240" s="4" t="n">
        <v>46105</v>
      </c>
      <c r="F240" s="4" t="inlineStr">
        <is>
          <t>RULED</t>
        </is>
      </c>
      <c r="G240" s="4" t="inlineStr">
        <is>
          <t>RULED</t>
        </is>
      </c>
      <c r="H240" s="4" t="inlineStr">
        <is>
          <t>USHOU</t>
        </is>
      </c>
      <c r="I240" s="4" t="inlineStr">
        <is>
          <t>USHOU</t>
        </is>
      </c>
      <c r="J240" s="4" t="n"/>
      <c r="K240" s="8" t="n"/>
      <c r="L240" s="4" t="inlineStr">
        <is>
          <t>EAGLE DRY</t>
        </is>
      </c>
      <c r="M240" s="4" t="inlineStr">
        <is>
          <t>EAGLE DRY</t>
        </is>
      </c>
      <c r="N240" s="4" t="n"/>
      <c r="O240" s="4" t="n"/>
      <c r="P240" s="4" t="inlineStr">
        <is>
          <t>EAGLE DRY</t>
        </is>
      </c>
      <c r="Q240" s="4" t="inlineStr">
        <is>
          <t>EAGLE DRY</t>
        </is>
      </c>
      <c r="R240" s="4" t="n"/>
      <c r="S240" s="4" t="n"/>
      <c r="T240" s="4" t="inlineStr">
        <is>
          <t>EAGLE DRY</t>
        </is>
      </c>
      <c r="U240" s="4" t="inlineStr">
        <is>
          <t>RUA SOUZA DUTRA, 145, APT SI 807, BAIRRO: ESTREITO FLORIANOPOLIS/SC CEP: 88070-605 CPNJ: 47.793.079/0003-80</t>
        </is>
      </c>
      <c r="V240" s="4" t="n">
        <v>21</v>
      </c>
      <c r="W240" s="4" t="n">
        <v>0</v>
      </c>
      <c r="X240" s="4" t="n">
        <v>1011150</v>
      </c>
      <c r="Y240" s="4" t="n">
        <v>1008000</v>
      </c>
      <c r="Z240" s="4" t="n">
        <v>1260</v>
      </c>
      <c r="AA240" s="4" t="n"/>
      <c r="AB240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0" s="4" t="inlineStr">
        <is>
          <t>ANON0000000</t>
        </is>
      </c>
      <c r="AD240" s="4" t="inlineStr">
        <is>
          <t>HC40</t>
        </is>
      </c>
      <c r="AE240" s="4" t="n">
        <v>1279234</v>
      </c>
      <c r="AF240" s="4" t="n"/>
      <c r="AG240" s="4" t="inlineStr">
        <is>
          <t>FCL/FCL</t>
        </is>
      </c>
      <c r="AH240" s="4" t="inlineStr">
        <is>
          <t>GENERAL COMMODITY</t>
        </is>
      </c>
      <c r="AI240" s="4" t="inlineStr">
        <is>
          <t>28087.5</t>
        </is>
      </c>
      <c r="AJ240" s="4" t="n">
        <v>35</v>
      </c>
      <c r="AK240" s="4" t="inlineStr">
        <is>
          <t>BAG</t>
        </is>
      </c>
      <c r="AL240" s="4" t="n"/>
      <c r="AM240" s="4" t="n"/>
      <c r="AN240" s="4" t="n"/>
      <c r="AO240" s="4" t="n"/>
      <c r="AP240" s="4" t="n"/>
      <c r="AQ240" s="4" t="n"/>
      <c r="AR240" s="4" t="n">
        <v>3750</v>
      </c>
      <c r="AS240" s="4" t="n">
        <v>27000</v>
      </c>
      <c r="AT240" s="12" t="n"/>
    </row>
    <row r="241" ht="10.5" customFormat="1" customHeight="1" s="6">
      <c r="A241" s="11" t="n">
        <v>240</v>
      </c>
      <c r="B241" s="4" t="inlineStr">
        <is>
          <t>MERCURY / VOYAGE 1</t>
        </is>
      </c>
      <c r="C241" s="4" t="inlineStr">
        <is>
          <t>REF000000</t>
        </is>
      </c>
      <c r="D241" s="7" t="n">
        <v>46095</v>
      </c>
      <c r="E241" s="4" t="n">
        <v>46105</v>
      </c>
      <c r="F241" s="4" t="inlineStr">
        <is>
          <t>RULED</t>
        </is>
      </c>
      <c r="G241" s="4" t="inlineStr">
        <is>
          <t>RULED</t>
        </is>
      </c>
      <c r="H241" s="4" t="inlineStr">
        <is>
          <t>USHOU</t>
        </is>
      </c>
      <c r="I241" s="4" t="inlineStr">
        <is>
          <t>USHOU</t>
        </is>
      </c>
      <c r="J241" s="4" t="n"/>
      <c r="K241" s="8" t="n"/>
      <c r="L241" s="4" t="inlineStr">
        <is>
          <t>COYOTE DRY</t>
        </is>
      </c>
      <c r="M241" s="4" t="inlineStr">
        <is>
          <t>COYOTE DRY</t>
        </is>
      </c>
      <c r="N241" s="4" t="n"/>
      <c r="O241" s="4" t="n"/>
      <c r="P241" s="4" t="inlineStr">
        <is>
          <t>COYOTE DRY</t>
        </is>
      </c>
      <c r="Q241" s="4" t="inlineStr">
        <is>
          <t>COYOTE DRY</t>
        </is>
      </c>
      <c r="R241" s="4" t="n"/>
      <c r="S241" s="4" t="n"/>
      <c r="T241" s="4" t="inlineStr">
        <is>
          <t>COYOTE DRY</t>
        </is>
      </c>
      <c r="U241" s="4" t="inlineStr">
        <is>
          <t>RUA SOUZA DUTRA, 145, APT SI 807, BAIRRO: ESTREITO FLORIANOPOLIS/SC CEP: 88070-605 CPNJ: 47.793.079/0003-80</t>
        </is>
      </c>
      <c r="V241" s="4" t="n">
        <v>21</v>
      </c>
      <c r="W241" s="4" t="n">
        <v>0</v>
      </c>
      <c r="X241" s="4" t="n">
        <v>1011150</v>
      </c>
      <c r="Y241" s="4" t="n">
        <v>1008000</v>
      </c>
      <c r="Z241" s="4" t="n">
        <v>1260</v>
      </c>
      <c r="AA241" s="4" t="n"/>
      <c r="AB241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1" s="4" t="inlineStr">
        <is>
          <t>ANON0000000</t>
        </is>
      </c>
      <c r="AD241" s="4" t="inlineStr">
        <is>
          <t>HC40</t>
        </is>
      </c>
      <c r="AE241" s="4" t="n">
        <v>1279232</v>
      </c>
      <c r="AF241" s="4" t="n"/>
      <c r="AG241" s="4" t="inlineStr">
        <is>
          <t>FCL/FCL</t>
        </is>
      </c>
      <c r="AH241" s="4" t="inlineStr">
        <is>
          <t>GENERAL COMMODITY</t>
        </is>
      </c>
      <c r="AI241" s="4" t="inlineStr">
        <is>
          <t>28087.5</t>
        </is>
      </c>
      <c r="AJ241" s="4" t="n">
        <v>35</v>
      </c>
      <c r="AK241" s="4" t="inlineStr">
        <is>
          <t>BAG</t>
        </is>
      </c>
      <c r="AL241" s="4" t="n"/>
      <c r="AM241" s="4" t="n"/>
      <c r="AN241" s="4" t="n"/>
      <c r="AO241" s="4" t="n"/>
      <c r="AP241" s="4" t="n"/>
      <c r="AQ241" s="4" t="n"/>
      <c r="AR241" s="4" t="n">
        <v>3700</v>
      </c>
      <c r="AS241" s="4" t="n">
        <v>27000</v>
      </c>
      <c r="AT241" s="12" t="n"/>
    </row>
    <row r="242" ht="10.5" customFormat="1" customHeight="1" s="6">
      <c r="A242" s="11" t="n">
        <v>241</v>
      </c>
      <c r="B242" s="4" t="inlineStr">
        <is>
          <t>MERCURY / VOYAGE 1</t>
        </is>
      </c>
      <c r="C242" s="4" t="inlineStr">
        <is>
          <t>REF000000</t>
        </is>
      </c>
      <c r="D242" s="7" t="n">
        <v>46095</v>
      </c>
      <c r="E242" s="4" t="n">
        <v>46105</v>
      </c>
      <c r="F242" s="4" t="inlineStr">
        <is>
          <t>RULED</t>
        </is>
      </c>
      <c r="G242" s="4" t="inlineStr">
        <is>
          <t>RULED</t>
        </is>
      </c>
      <c r="H242" s="4" t="inlineStr">
        <is>
          <t>USHOU</t>
        </is>
      </c>
      <c r="I242" s="4" t="inlineStr">
        <is>
          <t>USHOU</t>
        </is>
      </c>
      <c r="J242" s="4" t="n"/>
      <c r="K242" s="8" t="n"/>
      <c r="L242" s="4" t="inlineStr">
        <is>
          <t>FALCON DRY</t>
        </is>
      </c>
      <c r="M242" s="4" t="inlineStr">
        <is>
          <t>FALCON DRY</t>
        </is>
      </c>
      <c r="N242" s="4" t="n"/>
      <c r="O242" s="4" t="n"/>
      <c r="P242" s="4" t="inlineStr">
        <is>
          <t>FALCON DRY</t>
        </is>
      </c>
      <c r="Q242" s="4" t="inlineStr">
        <is>
          <t>FALCON DRY</t>
        </is>
      </c>
      <c r="R242" s="4" t="n"/>
      <c r="S242" s="4" t="n"/>
      <c r="T242" s="4" t="inlineStr">
        <is>
          <t>FALCON DRY</t>
        </is>
      </c>
      <c r="U242" s="4" t="inlineStr">
        <is>
          <t>RUA SOUZA DUTRA, 145, APT SI 807, BAIRRO: ESTREITO FLORIANOPOLIS/SC CEP: 88070-605 CPNJ: 47.793.079/0003-80</t>
        </is>
      </c>
      <c r="V242" s="4" t="n">
        <v>21</v>
      </c>
      <c r="W242" s="4" t="n">
        <v>0</v>
      </c>
      <c r="X242" s="4" t="n">
        <v>1011150</v>
      </c>
      <c r="Y242" s="4" t="n">
        <v>1008000</v>
      </c>
      <c r="Z242" s="4" t="n">
        <v>1260</v>
      </c>
      <c r="AA242" s="4" t="n"/>
      <c r="AB242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2" s="4" t="inlineStr">
        <is>
          <t>ANON0000000</t>
        </is>
      </c>
      <c r="AD242" s="4" t="inlineStr">
        <is>
          <t>HC40</t>
        </is>
      </c>
      <c r="AE242" s="4" t="n">
        <v>1293244</v>
      </c>
      <c r="AF242" s="4" t="n"/>
      <c r="AG242" s="4" t="inlineStr">
        <is>
          <t>FCL/FCL</t>
        </is>
      </c>
      <c r="AH242" s="4" t="inlineStr">
        <is>
          <t>GENERAL COMMODITY</t>
        </is>
      </c>
      <c r="AI242" s="4" t="inlineStr">
        <is>
          <t>28087.5</t>
        </is>
      </c>
      <c r="AJ242" s="4" t="n">
        <v>35</v>
      </c>
      <c r="AK242" s="4" t="inlineStr">
        <is>
          <t>BAG</t>
        </is>
      </c>
      <c r="AL242" s="4" t="n"/>
      <c r="AM242" s="4" t="n"/>
      <c r="AN242" s="4" t="n"/>
      <c r="AO242" s="4" t="n"/>
      <c r="AP242" s="4" t="n"/>
      <c r="AQ242" s="4" t="n"/>
      <c r="AR242" s="4" t="n">
        <v>3700</v>
      </c>
      <c r="AS242" s="4" t="n">
        <v>27000</v>
      </c>
      <c r="AT242" s="12" t="n"/>
    </row>
    <row r="243" ht="10.5" customFormat="1" customHeight="1" s="6">
      <c r="A243" s="11" t="n">
        <v>242</v>
      </c>
      <c r="B243" s="4" t="inlineStr">
        <is>
          <t>MERCURY / VOYAGE 1</t>
        </is>
      </c>
      <c r="C243" s="4" t="inlineStr">
        <is>
          <t>REF000000</t>
        </is>
      </c>
      <c r="D243" s="7" t="n">
        <v>46095</v>
      </c>
      <c r="E243" s="4" t="n">
        <v>46105</v>
      </c>
      <c r="F243" s="4" t="inlineStr">
        <is>
          <t>RULED</t>
        </is>
      </c>
      <c r="G243" s="4" t="inlineStr">
        <is>
          <t>RULED</t>
        </is>
      </c>
      <c r="H243" s="4" t="inlineStr">
        <is>
          <t>USHOU</t>
        </is>
      </c>
      <c r="I243" s="4" t="inlineStr">
        <is>
          <t>USHOU</t>
        </is>
      </c>
      <c r="J243" s="4" t="n"/>
      <c r="K243" s="8" t="n"/>
      <c r="L243" s="4" t="inlineStr">
        <is>
          <t>WOLF DRY</t>
        </is>
      </c>
      <c r="M243" s="4" t="inlineStr">
        <is>
          <t>WOLF DRY</t>
        </is>
      </c>
      <c r="N243" s="4" t="n"/>
      <c r="O243" s="4" t="n"/>
      <c r="P243" s="4" t="inlineStr">
        <is>
          <t>WOLF DRY</t>
        </is>
      </c>
      <c r="Q243" s="4" t="inlineStr">
        <is>
          <t>WOLF DRY</t>
        </is>
      </c>
      <c r="R243" s="4" t="n"/>
      <c r="S243" s="4" t="n"/>
      <c r="T243" s="4" t="inlineStr">
        <is>
          <t>WOLF DRY</t>
        </is>
      </c>
      <c r="U243" s="4" t="inlineStr">
        <is>
          <t>RUA SOUZA DUTRA, 145, APT SI 807, BAIRRO: ESTREITO FLORIANOPOLIS/SC CEP: 88070-605 CPNJ: 47.793.079/0003-80</t>
        </is>
      </c>
      <c r="V243" s="4" t="n">
        <v>21</v>
      </c>
      <c r="W243" s="4" t="n">
        <v>0</v>
      </c>
      <c r="X243" s="4" t="n">
        <v>1011150</v>
      </c>
      <c r="Y243" s="4" t="n">
        <v>1008000</v>
      </c>
      <c r="Z243" s="4" t="n">
        <v>1260</v>
      </c>
      <c r="AA243" s="4" t="n"/>
      <c r="AB243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3" s="4" t="inlineStr">
        <is>
          <t>ANON0000000</t>
        </is>
      </c>
      <c r="AD243" s="4" t="inlineStr">
        <is>
          <t>HC40</t>
        </is>
      </c>
      <c r="AE243" s="4" t="n">
        <v>1279263</v>
      </c>
      <c r="AF243" s="4" t="n"/>
      <c r="AG243" s="4" t="inlineStr">
        <is>
          <t>FCL/FCL</t>
        </is>
      </c>
      <c r="AH243" s="4" t="inlineStr">
        <is>
          <t>GENERAL COMMODITY</t>
        </is>
      </c>
      <c r="AI243" s="4" t="inlineStr">
        <is>
          <t>28087.5</t>
        </is>
      </c>
      <c r="AJ243" s="4" t="n">
        <v>35</v>
      </c>
      <c r="AK243" s="4" t="inlineStr">
        <is>
          <t>BAG</t>
        </is>
      </c>
      <c r="AL243" s="4" t="n"/>
      <c r="AM243" s="4" t="n"/>
      <c r="AN243" s="4" t="n"/>
      <c r="AO243" s="4" t="n"/>
      <c r="AP243" s="4" t="n"/>
      <c r="AQ243" s="4" t="n"/>
      <c r="AR243" s="4" t="n">
        <v>3700</v>
      </c>
      <c r="AS243" s="4" t="n">
        <v>27000</v>
      </c>
      <c r="AT243" s="12" t="n"/>
    </row>
    <row r="244" ht="10.5" customFormat="1" customHeight="1" s="6">
      <c r="A244" s="11" t="n">
        <v>243</v>
      </c>
      <c r="B244" s="4" t="inlineStr">
        <is>
          <t>MERCURY / VOYAGE 1</t>
        </is>
      </c>
      <c r="C244" s="4" t="inlineStr">
        <is>
          <t>REF000000</t>
        </is>
      </c>
      <c r="D244" s="7" t="n">
        <v>46095</v>
      </c>
      <c r="E244" s="4" t="n">
        <v>46105</v>
      </c>
      <c r="F244" s="4" t="inlineStr">
        <is>
          <t>RULED</t>
        </is>
      </c>
      <c r="G244" s="4" t="inlineStr">
        <is>
          <t>RULED</t>
        </is>
      </c>
      <c r="H244" s="4" t="inlineStr">
        <is>
          <t>USHOU</t>
        </is>
      </c>
      <c r="I244" s="4" t="inlineStr">
        <is>
          <t>USHOU</t>
        </is>
      </c>
      <c r="J244" s="4" t="n"/>
      <c r="K244" s="8" t="n"/>
      <c r="L244" s="4" t="inlineStr">
        <is>
          <t>DEER DRY</t>
        </is>
      </c>
      <c r="M244" s="4" t="inlineStr">
        <is>
          <t>DEER DRY</t>
        </is>
      </c>
      <c r="N244" s="4" t="n"/>
      <c r="O244" s="4" t="n"/>
      <c r="P244" s="4" t="inlineStr">
        <is>
          <t>DEER DRY</t>
        </is>
      </c>
      <c r="Q244" s="4" t="inlineStr">
        <is>
          <t>DEER DRY</t>
        </is>
      </c>
      <c r="R244" s="4" t="n"/>
      <c r="S244" s="4" t="n"/>
      <c r="T244" s="4" t="inlineStr">
        <is>
          <t>DEER DRY</t>
        </is>
      </c>
      <c r="U244" s="4" t="inlineStr">
        <is>
          <t>RUA SOUZA DUTRA, 145, APT SI 807, BAIRRO: ESTREITO FLORIANOPOLIS/SC CEP: 88070-605 CPNJ: 47.793.079/0003-80</t>
        </is>
      </c>
      <c r="V244" s="4" t="n">
        <v>21</v>
      </c>
      <c r="W244" s="4" t="n">
        <v>0</v>
      </c>
      <c r="X244" s="4" t="n">
        <v>1011150</v>
      </c>
      <c r="Y244" s="4" t="n">
        <v>1008000</v>
      </c>
      <c r="Z244" s="4" t="n">
        <v>1260</v>
      </c>
      <c r="AA244" s="4" t="n"/>
      <c r="AB244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4" s="4" t="inlineStr">
        <is>
          <t>ANON0000000</t>
        </is>
      </c>
      <c r="AD244" s="4" t="inlineStr">
        <is>
          <t>HC40</t>
        </is>
      </c>
      <c r="AE244" s="4" t="n">
        <v>1293209</v>
      </c>
      <c r="AF244" s="4" t="n"/>
      <c r="AG244" s="4" t="inlineStr">
        <is>
          <t>FCL/FCL</t>
        </is>
      </c>
      <c r="AH244" s="4" t="inlineStr">
        <is>
          <t>GENERAL COMMODITY</t>
        </is>
      </c>
      <c r="AI244" s="4" t="inlineStr">
        <is>
          <t>28087.5</t>
        </is>
      </c>
      <c r="AJ244" s="4" t="n">
        <v>35</v>
      </c>
      <c r="AK244" s="4" t="inlineStr">
        <is>
          <t>BAG</t>
        </is>
      </c>
      <c r="AL244" s="4" t="n"/>
      <c r="AM244" s="4" t="n"/>
      <c r="AN244" s="4" t="n"/>
      <c r="AO244" s="4" t="n"/>
      <c r="AP244" s="4" t="n"/>
      <c r="AQ244" s="4" t="n"/>
      <c r="AR244" s="4" t="n">
        <v>3700</v>
      </c>
      <c r="AS244" s="4" t="n">
        <v>27000</v>
      </c>
      <c r="AT244" s="12" t="n"/>
    </row>
    <row r="245" ht="11.25" customFormat="1" customHeight="1" s="6">
      <c r="A245" s="11" t="n">
        <v>244</v>
      </c>
      <c r="B245" s="4" t="inlineStr">
        <is>
          <t>MERCURY / VOYAGE 1</t>
        </is>
      </c>
      <c r="C245" s="4" t="inlineStr">
        <is>
          <t>REF000000</t>
        </is>
      </c>
      <c r="D245" s="7" t="n">
        <v>46095</v>
      </c>
      <c r="E245" s="4" t="n">
        <v>46105</v>
      </c>
      <c r="F245" s="4" t="inlineStr">
        <is>
          <t>RULED</t>
        </is>
      </c>
      <c r="G245" s="4" t="inlineStr">
        <is>
          <t>RULED</t>
        </is>
      </c>
      <c r="H245" s="4" t="inlineStr">
        <is>
          <t>USHOU</t>
        </is>
      </c>
      <c r="I245" s="4" t="inlineStr">
        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 <t>FOX DRY</t>
        </is>
      </c>
      <c r="N245" s="4" t="n"/>
      <c r="O245" s="4" t="n"/>
      <c r="P245" s="4" t="inlineStr">
        <is>
          <t>FOX DRY</t>
        </is>
      </c>
      <c r="Q245" s="4" t="inlineStr">
        <is>
          <t>FOX DRY</t>
        </is>
      </c>
      <c r="R245" s="4" t="n"/>
      <c r="S245" s="4" t="n"/>
      <c r="T245" s="4" t="inlineStr">
        <is>
          <t>FOX DRY</t>
        </is>
      </c>
      <c r="U245" s="4" t="inlineStr">
        <is>
          <t>RUA SOUZA DUTRA, 145, APT SI 807, BAIRRO: ESTREITO FLORIANOPOLIS/SC CEP: 88070-605 CPNJ: 47.793.079/0003-80</t>
        </is>
      </c>
      <c r="V245" s="4" t="n">
        <v>21</v>
      </c>
      <c r="W245" s="4" t="n">
        <v>0</v>
      </c>
      <c r="X245" s="4" t="n">
        <v>1011150</v>
      </c>
      <c r="Y245" s="4" t="n">
        <v>1008000</v>
      </c>
      <c r="Z245" s="4" t="n">
        <v>1260</v>
      </c>
      <c r="AA245" s="4" t="n"/>
      <c r="AB245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5" s="4" t="inlineStr">
        <is>
          <t>ANON0000000</t>
        </is>
      </c>
      <c r="AD245" s="4" t="inlineStr">
        <is>
          <t>HC40</t>
        </is>
      </c>
      <c r="AE245" s="4" t="n">
        <v>1279267</v>
      </c>
      <c r="AF245" s="4" t="n"/>
      <c r="AG245" s="4" t="inlineStr">
        <is>
          <t>FCL/FCL</t>
        </is>
      </c>
      <c r="AH245" s="4" t="inlineStr">
        <is>
          <t>GENERAL COMMODITY</t>
        </is>
      </c>
      <c r="AI245" s="4" t="inlineStr">
        <is>
          <t>28087.5</t>
        </is>
      </c>
      <c r="AJ245" s="4" t="n">
        <v>35</v>
      </c>
      <c r="AK245" s="4" t="inlineStr">
        <is>
          <t>BAG</t>
        </is>
      </c>
      <c r="AL245" s="4" t="n"/>
      <c r="AM245" s="4" t="n"/>
      <c r="AN245" s="4" t="n"/>
      <c r="AO245" s="4" t="n"/>
      <c r="AP245" s="4" t="n"/>
      <c r="AQ245" s="4" t="n"/>
      <c r="AR245" s="4" t="n">
        <v>3700</v>
      </c>
      <c r="AS245" s="4" t="n">
        <v>27000</v>
      </c>
      <c r="AT245" s="12" t="n"/>
    </row>
    <row r="246" ht="10.5" customFormat="1" customHeight="1" s="6">
      <c r="A246" s="11" t="n">
        <v>245</v>
      </c>
      <c r="B246" s="4" t="inlineStr">
        <is>
          <t>MERCURY / VOYAGE 1</t>
        </is>
      </c>
      <c r="C246" s="4" t="inlineStr">
        <is>
          <t>REF000000</t>
        </is>
      </c>
      <c r="D246" s="7" t="n">
        <v>46095</v>
      </c>
      <c r="E246" s="4" t="n">
        <v>46105</v>
      </c>
      <c r="F246" s="4" t="inlineStr">
        <is>
          <t>RULED</t>
        </is>
      </c>
      <c r="G246" s="4" t="inlineStr">
        <is>
          <t>RULED</t>
        </is>
      </c>
      <c r="H246" s="4" t="inlineStr">
        <is>
          <t>USHOU</t>
        </is>
      </c>
      <c r="I246" s="4" t="inlineStr">
        <is>
          <t>USHOU</t>
        </is>
      </c>
      <c r="J246" s="4" t="n"/>
      <c r="K246" s="8" t="n"/>
      <c r="L246" s="4" t="inlineStr">
        <is>
          <t>BISON DRY</t>
        </is>
      </c>
      <c r="M246" s="4" t="inlineStr">
        <is>
          <t>BISON DRY</t>
        </is>
      </c>
      <c r="N246" s="4" t="n"/>
      <c r="O246" s="4" t="n"/>
      <c r="P246" s="4" t="inlineStr">
        <is>
          <t>BISON DRY</t>
        </is>
      </c>
      <c r="Q246" s="4" t="inlineStr">
        <is>
          <t>BISON DRY</t>
        </is>
      </c>
      <c r="R246" s="4" t="n"/>
      <c r="S246" s="4" t="n"/>
      <c r="T246" s="4" t="inlineStr">
        <is>
          <t>BISON DRY</t>
        </is>
      </c>
      <c r="U246" s="4" t="inlineStr">
        <is>
          <t>RUA SOUZA DUTRA, 145, APT SI 807, BAIRRO: ESTREITO FLORIANOPOLIS/SC CEP: 88070-605 CPNJ: 47.793.079/0003-80</t>
        </is>
      </c>
      <c r="V246" s="4" t="n">
        <v>21</v>
      </c>
      <c r="W246" s="4" t="n">
        <v>0</v>
      </c>
      <c r="X246" s="4" t="n">
        <v>1011150</v>
      </c>
      <c r="Y246" s="4" t="n">
        <v>1008000</v>
      </c>
      <c r="Z246" s="4" t="n">
        <v>1260</v>
      </c>
      <c r="AA246" s="4" t="n"/>
      <c r="AB246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6" s="4" t="inlineStr">
        <is>
          <t>ANON0000000</t>
        </is>
      </c>
      <c r="AD246" s="4" t="inlineStr">
        <is>
          <t>HC40</t>
        </is>
      </c>
      <c r="AE246" s="4" t="n">
        <v>1279270</v>
      </c>
      <c r="AF246" s="4" t="n"/>
      <c r="AG246" s="4" t="inlineStr">
        <is>
          <t>FCL/FCL</t>
        </is>
      </c>
      <c r="AH246" s="4" t="inlineStr">
        <is>
          <t>GENERAL COMMODITY</t>
        </is>
      </c>
      <c r="AI246" s="4" t="inlineStr">
        <is>
          <t>28087.5</t>
        </is>
      </c>
      <c r="AJ246" s="4" t="n">
        <v>35</v>
      </c>
      <c r="AK246" s="4" t="inlineStr">
        <is>
          <t>BAG</t>
        </is>
      </c>
      <c r="AL246" s="4" t="n"/>
      <c r="AM246" s="4" t="n"/>
      <c r="AN246" s="4" t="n"/>
      <c r="AO246" s="4" t="n"/>
      <c r="AP246" s="4" t="n"/>
      <c r="AQ246" s="4" t="n"/>
      <c r="AR246" s="4" t="n">
        <v>3550</v>
      </c>
      <c r="AS246" s="4" t="n">
        <v>27000</v>
      </c>
      <c r="AT246" s="12" t="n"/>
    </row>
    <row r="247" ht="10.5" customFormat="1" customHeight="1" s="6">
      <c r="A247" s="11" t="n">
        <v>246</v>
      </c>
      <c r="B247" s="4" t="inlineStr">
        <is>
          <t>MERCURY / VOYAGE 1</t>
        </is>
      </c>
      <c r="C247" s="4" t="inlineStr">
        <is>
          <t>REF000000</t>
        </is>
      </c>
      <c r="D247" s="7" t="n">
        <v>46095</v>
      </c>
      <c r="E247" s="4" t="n">
        <v>46105</v>
      </c>
      <c r="F247" s="4" t="inlineStr">
        <is>
          <t>RULED</t>
        </is>
      </c>
      <c r="G247" s="4" t="inlineStr">
        <is>
          <t>RULED</t>
        </is>
      </c>
      <c r="H247" s="4" t="inlineStr">
        <is>
          <t>USHOU</t>
        </is>
      </c>
      <c r="I247" s="4" t="inlineStr">
        <is>
          <t>USHOU</t>
        </is>
      </c>
      <c r="J247" s="4" t="n"/>
      <c r="K247" s="8" t="n"/>
      <c r="L247" s="4" t="inlineStr">
        <is>
          <t>EAGLE DRY</t>
        </is>
      </c>
      <c r="M247" s="4" t="inlineStr">
        <is>
          <t>EAGLE DRY</t>
        </is>
      </c>
      <c r="N247" s="4" t="n"/>
      <c r="O247" s="4" t="n"/>
      <c r="P247" s="4" t="inlineStr">
        <is>
          <t>EAGLE DRY</t>
        </is>
      </c>
      <c r="Q247" s="4" t="inlineStr">
        <is>
          <t>EAGLE DRY</t>
        </is>
      </c>
      <c r="R247" s="4" t="n"/>
      <c r="S247" s="4" t="n"/>
      <c r="T247" s="4" t="inlineStr">
        <is>
          <t>EAGLE DRY</t>
        </is>
      </c>
      <c r="U247" s="4" t="inlineStr">
        <is>
          <t>RUA SOUZA DUTRA, 145, APT SI 807, BAIRRO: ESTREITO FLORIANOPOLIS/SC CEP: 88070-605 CPNJ: 47.793.079/0003-80</t>
        </is>
      </c>
      <c r="V247" s="4" t="n">
        <v>21</v>
      </c>
      <c r="W247" s="4" t="n">
        <v>0</v>
      </c>
      <c r="X247" s="4" t="n">
        <v>1011150</v>
      </c>
      <c r="Y247" s="4" t="n">
        <v>1008000</v>
      </c>
      <c r="Z247" s="4" t="n">
        <v>1260</v>
      </c>
      <c r="AA247" s="4" t="n"/>
      <c r="AB247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7" s="4" t="inlineStr">
        <is>
          <t>ANON0000000</t>
        </is>
      </c>
      <c r="AD247" s="4" t="inlineStr">
        <is>
          <t>HC40</t>
        </is>
      </c>
      <c r="AE247" s="4" t="n">
        <v>1279261</v>
      </c>
      <c r="AF247" s="4" t="n"/>
      <c r="AG247" s="4" t="inlineStr">
        <is>
          <t>FCL/FCL</t>
        </is>
      </c>
      <c r="AH247" s="4" t="inlineStr">
        <is>
          <t>GENERAL COMMODITY</t>
        </is>
      </c>
      <c r="AI247" s="4" t="inlineStr">
        <is>
          <t>28087.5</t>
        </is>
      </c>
      <c r="AJ247" s="4" t="n">
        <v>35</v>
      </c>
      <c r="AK247" s="4" t="inlineStr">
        <is>
          <t>BAG</t>
        </is>
      </c>
      <c r="AL247" s="4" t="n"/>
      <c r="AM247" s="4" t="n"/>
      <c r="AN247" s="4" t="n"/>
      <c r="AO247" s="4" t="n"/>
      <c r="AP247" s="4" t="n"/>
      <c r="AQ247" s="4" t="n"/>
      <c r="AR247" s="4" t="n">
        <v>3700</v>
      </c>
      <c r="AS247" s="4" t="n">
        <v>27000</v>
      </c>
      <c r="AT247" s="12" t="n"/>
    </row>
    <row r="248" ht="10.5" customFormat="1" customHeight="1" s="6">
      <c r="A248" s="11" t="n">
        <v>247</v>
      </c>
      <c r="B248" s="4" t="inlineStr">
        <is>
          <t>MERCURY / VOYAGE 1</t>
        </is>
      </c>
      <c r="C248" s="4" t="inlineStr">
        <is>
          <t>REF000000</t>
        </is>
      </c>
      <c r="D248" s="7" t="n">
        <v>46095</v>
      </c>
      <c r="E248" s="4" t="n">
        <v>46105</v>
      </c>
      <c r="F248" s="4" t="inlineStr">
        <is>
          <t>RULED</t>
        </is>
      </c>
      <c r="G248" s="4" t="inlineStr">
        <is>
          <t>RULED</t>
        </is>
      </c>
      <c r="H248" s="4" t="inlineStr">
        <is>
          <t>USHOU</t>
        </is>
      </c>
      <c r="I248" s="4" t="inlineStr">
        <is>
          <t>USHOU</t>
        </is>
      </c>
      <c r="J248" s="4" t="n"/>
      <c r="K248" s="8" t="n"/>
      <c r="L248" s="4" t="inlineStr">
        <is>
          <t>COYOTE DRY</t>
        </is>
      </c>
      <c r="M248" s="4" t="inlineStr">
        <is>
          <t>COYOTE DRY</t>
        </is>
      </c>
      <c r="N248" s="4" t="n"/>
      <c r="O248" s="4" t="n"/>
      <c r="P248" s="4" t="inlineStr">
        <is>
          <t>COYOTE DRY</t>
        </is>
      </c>
      <c r="Q248" s="4" t="inlineStr">
        <is>
          <t>COYOTE DRY</t>
        </is>
      </c>
      <c r="R248" s="4" t="n"/>
      <c r="S248" s="4" t="n"/>
      <c r="T248" s="4" t="inlineStr">
        <is>
          <t>COYOTE DRY</t>
        </is>
      </c>
      <c r="U248" s="4" t="inlineStr">
        <is>
          <t>RUA SOUZA DUTRA, 145, APT SI 807, BAIRRO: ESTREITO FLORIANOPOLIS/SC CEP: 88070-605 CPNJ: 47.793.079/0003-80</t>
        </is>
      </c>
      <c r="V248" s="4" t="n">
        <v>21</v>
      </c>
      <c r="W248" s="4" t="n">
        <v>0</v>
      </c>
      <c r="X248" s="4" t="n">
        <v>1011150</v>
      </c>
      <c r="Y248" s="4" t="n">
        <v>1008000</v>
      </c>
      <c r="Z248" s="4" t="n">
        <v>1260</v>
      </c>
      <c r="AA248" s="4" t="n"/>
      <c r="AB248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8" s="4" t="inlineStr">
        <is>
          <t>ANON0000000</t>
        </is>
      </c>
      <c r="AD248" s="4" t="inlineStr">
        <is>
          <t>HC40</t>
        </is>
      </c>
      <c r="AE248" s="4" t="n">
        <v>1293201</v>
      </c>
      <c r="AF248" s="4" t="n"/>
      <c r="AG248" s="4" t="inlineStr">
        <is>
          <t>FCL/FCL</t>
        </is>
      </c>
      <c r="AH248" s="4" t="inlineStr">
        <is>
          <t>GENERAL COMMODITY</t>
        </is>
      </c>
      <c r="AI248" s="4" t="inlineStr">
        <is>
          <t>28087.5</t>
        </is>
      </c>
      <c r="AJ248" s="4" t="n">
        <v>35</v>
      </c>
      <c r="AK248" s="4" t="inlineStr">
        <is>
          <t>BAG</t>
        </is>
      </c>
      <c r="AL248" s="4" t="n"/>
      <c r="AM248" s="4" t="n"/>
      <c r="AN248" s="4" t="n"/>
      <c r="AO248" s="4" t="n"/>
      <c r="AP248" s="4" t="n"/>
      <c r="AQ248" s="4" t="n"/>
      <c r="AR248" s="4" t="n">
        <v>3700</v>
      </c>
      <c r="AS248" s="4" t="n">
        <v>27000</v>
      </c>
      <c r="AT248" s="12" t="n"/>
    </row>
    <row r="249" ht="10.5" customFormat="1" customHeight="1" s="6">
      <c r="A249" s="11" t="n">
        <v>248</v>
      </c>
      <c r="B249" s="4" t="inlineStr">
        <is>
          <t>MERCURY / VOYAGE 1</t>
        </is>
      </c>
      <c r="C249" s="4" t="inlineStr">
        <is>
          <t>REF000000</t>
        </is>
      </c>
      <c r="D249" s="7" t="n">
        <v>46095</v>
      </c>
      <c r="E249" s="4" t="n">
        <v>46105</v>
      </c>
      <c r="F249" s="4" t="inlineStr">
        <is>
          <t>RULED</t>
        </is>
      </c>
      <c r="G249" s="4" t="inlineStr">
        <is>
          <t>RULED</t>
        </is>
      </c>
      <c r="H249" s="4" t="inlineStr">
        <is>
          <t>USHOU</t>
        </is>
      </c>
      <c r="I249" s="4" t="inlineStr">
        <is>
          <t>USHOU</t>
        </is>
      </c>
      <c r="J249" s="4" t="n"/>
      <c r="K249" s="8" t="n"/>
      <c r="L249" s="4" t="inlineStr">
        <is>
          <t>FALCON DRY</t>
        </is>
      </c>
      <c r="M249" s="4" t="inlineStr">
        <is>
          <t>FALCON DRY</t>
        </is>
      </c>
      <c r="N249" s="4" t="n"/>
      <c r="O249" s="4" t="n"/>
      <c r="P249" s="4" t="inlineStr">
        <is>
          <t>FALCON DRY</t>
        </is>
      </c>
      <c r="Q249" s="4" t="inlineStr">
        <is>
          <t>FALCON DRY</t>
        </is>
      </c>
      <c r="R249" s="4" t="n"/>
      <c r="S249" s="4" t="n"/>
      <c r="T249" s="4" t="inlineStr">
        <is>
          <t>FALCON DRY</t>
        </is>
      </c>
      <c r="U249" s="4" t="inlineStr">
        <is>
          <t>RUA SOUZA DUTRA, 145, APT SI 807, BAIRRO: ESTREITO FLORIANOPOLIS/SC CEP: 88070-605 CPNJ: 47.793.079/0003-80</t>
        </is>
      </c>
      <c r="V249" s="4" t="n">
        <v>21</v>
      </c>
      <c r="W249" s="4" t="n">
        <v>0</v>
      </c>
      <c r="X249" s="4" t="n">
        <v>1011150</v>
      </c>
      <c r="Y249" s="4" t="n">
        <v>1008000</v>
      </c>
      <c r="Z249" s="4" t="n">
        <v>1260</v>
      </c>
      <c r="AA249" s="4" t="n"/>
      <c r="AB249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49" s="4" t="inlineStr">
        <is>
          <t>ANON0000000</t>
        </is>
      </c>
      <c r="AD249" s="4" t="inlineStr">
        <is>
          <t>HC40</t>
        </is>
      </c>
      <c r="AE249" s="4" t="n">
        <v>1279231</v>
      </c>
      <c r="AF249" s="4" t="n"/>
      <c r="AG249" s="4" t="inlineStr">
        <is>
          <t>FCL/FCL</t>
        </is>
      </c>
      <c r="AH249" s="4" t="inlineStr">
        <is>
          <t>GENERAL COMMODITY</t>
        </is>
      </c>
      <c r="AI249" s="4" t="inlineStr">
        <is>
          <t>28087.5</t>
        </is>
      </c>
      <c r="AJ249" s="4" t="n">
        <v>35</v>
      </c>
      <c r="AK249" s="4" t="inlineStr">
        <is>
          <t>BAG</t>
        </is>
      </c>
      <c r="AL249" s="4" t="n"/>
      <c r="AM249" s="4" t="n"/>
      <c r="AN249" s="4" t="n"/>
      <c r="AO249" s="4" t="n"/>
      <c r="AP249" s="4" t="n"/>
      <c r="AQ249" s="4" t="n"/>
      <c r="AR249" s="4" t="n">
        <v>3700</v>
      </c>
      <c r="AS249" s="4" t="n">
        <v>27000</v>
      </c>
      <c r="AT249" s="12" t="n"/>
    </row>
    <row r="250" ht="11.25" customFormat="1" customHeight="1" s="6">
      <c r="A250" s="11" t="n">
        <v>249</v>
      </c>
      <c r="B250" s="4" t="inlineStr">
        <is>
          <t>MERCURY / VOYAGE 1</t>
        </is>
      </c>
      <c r="C250" s="4" t="inlineStr">
        <is>
          <t>REF000000</t>
        </is>
      </c>
      <c r="D250" s="7" t="n">
        <v>46095</v>
      </c>
      <c r="E250" s="4" t="n">
        <v>46105</v>
      </c>
      <c r="F250" s="4" t="inlineStr">
        <is>
          <t>RULED</t>
        </is>
      </c>
      <c r="G250" s="4" t="inlineStr">
        <is>
          <t>RULED</t>
        </is>
      </c>
      <c r="H250" s="4" t="inlineStr">
        <is>
          <t>USHOU</t>
        </is>
      </c>
      <c r="I250" s="4" t="inlineStr">
        <is>
          <t>USHOU</t>
        </is>
      </c>
      <c r="J250" s="4" t="n"/>
      <c r="K250" s="8" t="n"/>
      <c r="L250" s="4" t="inlineStr">
        <is>
          <t>WOLF DRY</t>
        </is>
      </c>
      <c r="M250" s="4" t="inlineStr">
        <is>
          <t>WOLF DRY</t>
        </is>
      </c>
      <c r="N250" s="4" t="n"/>
      <c r="O250" s="4" t="n"/>
      <c r="P250" s="4" t="inlineStr">
        <is>
          <t>WOLF DRY</t>
        </is>
      </c>
      <c r="Q250" s="4" t="inlineStr">
        <is>
          <t>WOLF DRY</t>
        </is>
      </c>
      <c r="R250" s="4" t="n"/>
      <c r="S250" s="4" t="n"/>
      <c r="T250" s="4" t="inlineStr">
        <is>
          <t>WOLF DRY</t>
        </is>
      </c>
      <c r="U250" s="4" t="inlineStr">
        <is>
          <t>RUA SOUZA DUTRA, 145, APT SI 807, BAIRRO: ESTREITO FLORIANOPOLIS/SC CEP: 88070-605 CPNJ: 47.793.079/0003-80</t>
        </is>
      </c>
      <c r="V250" s="4" t="n">
        <v>21</v>
      </c>
      <c r="W250" s="4" t="n">
        <v>0</v>
      </c>
      <c r="X250" s="4" t="n">
        <v>1011150</v>
      </c>
      <c r="Y250" s="4" t="n">
        <v>1008000</v>
      </c>
      <c r="Z250" s="4" t="n">
        <v>1260</v>
      </c>
      <c r="AA250" s="4" t="n"/>
      <c r="AB250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0" s="4" t="inlineStr">
        <is>
          <t>ANON0000000</t>
        </is>
      </c>
      <c r="AD250" s="4" t="inlineStr">
        <is>
          <t>HC40</t>
        </is>
      </c>
      <c r="AE250" s="4" t="n">
        <v>1293241</v>
      </c>
      <c r="AF250" s="4" t="n"/>
      <c r="AG250" s="4" t="inlineStr">
        <is>
          <t>FCL/FCL</t>
        </is>
      </c>
      <c r="AH250" s="4" t="inlineStr">
        <is>
          <t>GENERAL COMMODITY</t>
        </is>
      </c>
      <c r="AI250" s="4" t="inlineStr">
        <is>
          <t>28087.5</t>
        </is>
      </c>
      <c r="AJ250" s="4" t="n">
        <v>35</v>
      </c>
      <c r="AK250" s="4" t="inlineStr">
        <is>
          <t>BAG</t>
        </is>
      </c>
      <c r="AL250" s="4" t="n"/>
      <c r="AM250" s="4" t="n"/>
      <c r="AN250" s="4" t="n"/>
      <c r="AO250" s="4" t="n"/>
      <c r="AP250" s="4" t="n"/>
      <c r="AQ250" s="4" t="n"/>
      <c r="AR250" s="4" t="n">
        <v>3700</v>
      </c>
      <c r="AS250" s="4" t="n">
        <v>27000</v>
      </c>
      <c r="AT250" s="12" t="n"/>
    </row>
    <row r="251" ht="10.5" customFormat="1" customHeight="1" s="6">
      <c r="A251" s="11" t="n">
        <v>250</v>
      </c>
      <c r="B251" s="4" t="inlineStr">
        <is>
          <t>MERCURY / VOYAGE 1</t>
        </is>
      </c>
      <c r="C251" s="4" t="inlineStr">
        <is>
          <t>REF000000</t>
        </is>
      </c>
      <c r="D251" s="7" t="n">
        <v>46095</v>
      </c>
      <c r="E251" s="4" t="n">
        <v>46105</v>
      </c>
      <c r="F251" s="4" t="inlineStr">
        <is>
          <t>RULED</t>
        </is>
      </c>
      <c r="G251" s="4" t="inlineStr">
        <is>
          <t>RULED</t>
        </is>
      </c>
      <c r="H251" s="4" t="inlineStr">
        <is>
          <t>USHOU</t>
        </is>
      </c>
      <c r="I251" s="4" t="inlineStr">
        <is>
          <t>USHOU</t>
        </is>
      </c>
      <c r="J251" s="4" t="n"/>
      <c r="K251" s="8" t="n"/>
      <c r="L251" s="4" t="inlineStr">
        <is>
          <t>DEER DRY</t>
        </is>
      </c>
      <c r="M251" s="4" t="inlineStr">
        <is>
          <t>DEER DRY</t>
        </is>
      </c>
      <c r="N251" s="4" t="n"/>
      <c r="O251" s="4" t="n"/>
      <c r="P251" s="4" t="inlineStr">
        <is>
          <t>DEER DRY</t>
        </is>
      </c>
      <c r="Q251" s="4" t="inlineStr">
        <is>
          <t>DEER DRY</t>
        </is>
      </c>
      <c r="R251" s="4" t="n"/>
      <c r="S251" s="4" t="n"/>
      <c r="T251" s="4" t="inlineStr">
        <is>
          <t>DEER DRY</t>
        </is>
      </c>
      <c r="U251" s="4" t="inlineStr">
        <is>
          <t>RUA SOUZA DUTRA, 145, APT SI 807, BAIRRO: ESTREITO FLORIANOPOLIS/SC CEP: 88070-605 CPNJ: 47.793.079/0003-80</t>
        </is>
      </c>
      <c r="V251" s="4" t="n">
        <v>21</v>
      </c>
      <c r="W251" s="4" t="n">
        <v>0</v>
      </c>
      <c r="X251" s="4" t="n">
        <v>1011150</v>
      </c>
      <c r="Y251" s="4" t="n">
        <v>1008000</v>
      </c>
      <c r="Z251" s="4" t="n">
        <v>1260</v>
      </c>
      <c r="AA251" s="4" t="n"/>
      <c r="AB251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1" s="4" t="inlineStr">
        <is>
          <t>ANON0000000</t>
        </is>
      </c>
      <c r="AD251" s="4" t="inlineStr">
        <is>
          <t>HC40</t>
        </is>
      </c>
      <c r="AE251" s="4" t="n">
        <v>1279236</v>
      </c>
      <c r="AF251" s="4" t="n"/>
      <c r="AG251" s="4" t="inlineStr">
        <is>
          <t>FCL/FCL</t>
        </is>
      </c>
      <c r="AH251" s="4" t="inlineStr">
        <is>
          <t>GENERAL COMMODITY</t>
        </is>
      </c>
      <c r="AI251" s="4" t="inlineStr">
        <is>
          <t>28087.5</t>
        </is>
      </c>
      <c r="AJ251" s="4" t="n">
        <v>35</v>
      </c>
      <c r="AK251" s="4" t="inlineStr">
        <is>
          <t>BAG</t>
        </is>
      </c>
      <c r="AL251" s="4" t="n"/>
      <c r="AM251" s="4" t="n"/>
      <c r="AN251" s="4" t="n"/>
      <c r="AO251" s="4" t="n"/>
      <c r="AP251" s="4" t="n"/>
      <c r="AQ251" s="4" t="n"/>
      <c r="AR251" s="4" t="n">
        <v>3700</v>
      </c>
      <c r="AS251" s="4" t="n">
        <v>27000</v>
      </c>
      <c r="AT251" s="12" t="n"/>
    </row>
    <row r="252" ht="10.5" customFormat="1" customHeight="1" s="6">
      <c r="A252" s="11" t="n">
        <v>251</v>
      </c>
      <c r="B252" s="4" t="inlineStr">
        <is>
          <t>MERCURY / VOYAGE 1</t>
        </is>
      </c>
      <c r="C252" s="4" t="inlineStr">
        <is>
          <t>REF000000</t>
        </is>
      </c>
      <c r="D252" s="7" t="n">
        <v>46095</v>
      </c>
      <c r="E252" s="4" t="n">
        <v>46105</v>
      </c>
      <c r="F252" s="4" t="inlineStr">
        <is>
          <t>RULED</t>
        </is>
      </c>
      <c r="G252" s="4" t="inlineStr">
        <is>
          <t>RULED</t>
        </is>
      </c>
      <c r="H252" s="4" t="inlineStr">
        <is>
          <t>USHOU</t>
        </is>
      </c>
      <c r="I252" s="4" t="inlineStr">
        <is>
          <t>USHOU</t>
        </is>
      </c>
      <c r="J252" s="4" t="n"/>
      <c r="K252" s="8" t="n"/>
      <c r="L252" s="4" t="inlineStr">
        <is>
          <t>FOX DRY</t>
        </is>
      </c>
      <c r="M252" s="4" t="inlineStr">
        <is>
          <t>FOX DRY</t>
        </is>
      </c>
      <c r="N252" s="4" t="n"/>
      <c r="O252" s="4" t="n"/>
      <c r="P252" s="4" t="inlineStr">
        <is>
          <t>FOX DRY</t>
        </is>
      </c>
      <c r="Q252" s="4" t="inlineStr">
        <is>
          <t>FOX DRY</t>
        </is>
      </c>
      <c r="R252" s="4" t="n"/>
      <c r="S252" s="4" t="n"/>
      <c r="T252" s="4" t="inlineStr">
        <is>
          <t>FOX DRY</t>
        </is>
      </c>
      <c r="U252" s="4" t="inlineStr">
        <is>
          <t>RUA SOUZA DUTRA, 145, APT SI 807, BAIRRO: ESTREITO FLORIANOPOLIS/SC CEP: 88070-605 CPNJ: 47.793.079/0003-80</t>
        </is>
      </c>
      <c r="V252" s="4" t="n">
        <v>21</v>
      </c>
      <c r="W252" s="4" t="n">
        <v>0</v>
      </c>
      <c r="X252" s="4" t="n">
        <v>1011150</v>
      </c>
      <c r="Y252" s="4" t="n">
        <v>1008000</v>
      </c>
      <c r="Z252" s="4" t="n">
        <v>1260</v>
      </c>
      <c r="AA252" s="4" t="n"/>
      <c r="AB252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2" s="4" t="inlineStr">
        <is>
          <t>ANON0000000</t>
        </is>
      </c>
      <c r="AD252" s="4" t="inlineStr">
        <is>
          <t>HC40</t>
        </is>
      </c>
      <c r="AE252" s="4" t="n">
        <v>1279233</v>
      </c>
      <c r="AF252" s="4" t="n"/>
      <c r="AG252" s="4" t="inlineStr">
        <is>
          <t>FCL/FCL</t>
        </is>
      </c>
      <c r="AH252" s="4" t="inlineStr">
        <is>
          <t>GENERAL COMMODITY</t>
        </is>
      </c>
      <c r="AI252" s="4" t="inlineStr">
        <is>
          <t>28087.5</t>
        </is>
      </c>
      <c r="AJ252" s="4" t="n">
        <v>35</v>
      </c>
      <c r="AK252" s="4" t="inlineStr">
        <is>
          <t>BAG</t>
        </is>
      </c>
      <c r="AL252" s="4" t="n"/>
      <c r="AM252" s="4" t="n"/>
      <c r="AN252" s="4" t="n"/>
      <c r="AO252" s="4" t="n"/>
      <c r="AP252" s="4" t="n"/>
      <c r="AQ252" s="4" t="n"/>
      <c r="AR252" s="4" t="n">
        <v>3700</v>
      </c>
      <c r="AS252" s="4" t="n">
        <v>27000</v>
      </c>
      <c r="AT252" s="12" t="n"/>
    </row>
    <row r="253" ht="10.5" customFormat="1" customHeight="1" s="6">
      <c r="A253" s="11" t="n">
        <v>252</v>
      </c>
      <c r="B253" s="4" t="inlineStr">
        <is>
          <t>MERCURY / VOYAGE 1</t>
        </is>
      </c>
      <c r="C253" s="4" t="inlineStr">
        <is>
          <t>REF000000</t>
        </is>
      </c>
      <c r="D253" s="7" t="n">
        <v>46095</v>
      </c>
      <c r="E253" s="4" t="n">
        <v>46105</v>
      </c>
      <c r="F253" s="4" t="inlineStr">
        <is>
          <t>RULED</t>
        </is>
      </c>
      <c r="G253" s="4" t="inlineStr">
        <is>
          <t>RULED</t>
        </is>
      </c>
      <c r="H253" s="4" t="inlineStr">
        <is>
          <t>USHOU</t>
        </is>
      </c>
      <c r="I253" s="4" t="inlineStr">
        <is>
          <t>USHOU</t>
        </is>
      </c>
      <c r="J253" s="4" t="n"/>
      <c r="K253" s="8" t="n"/>
      <c r="L253" s="4" t="inlineStr">
        <is>
          <t>BISON DRY</t>
        </is>
      </c>
      <c r="M253" s="4" t="inlineStr">
        <is>
          <t>BISON DRY</t>
        </is>
      </c>
      <c r="N253" s="4" t="n"/>
      <c r="O253" s="4" t="n"/>
      <c r="P253" s="4" t="inlineStr">
        <is>
          <t>BISON DRY</t>
        </is>
      </c>
      <c r="Q253" s="4" t="inlineStr">
        <is>
          <t>BISON DRY</t>
        </is>
      </c>
      <c r="R253" s="4" t="n"/>
      <c r="S253" s="4" t="n"/>
      <c r="T253" s="4" t="inlineStr">
        <is>
          <t>BISON DRY</t>
        </is>
      </c>
      <c r="U253" s="4" t="inlineStr">
        <is>
          <t>RUA SOUZA DUTRA, 145, APT SI 807, BAIRRO: ESTREITO FLORIANOPOLIS/SC CEP: 88070-605 CPNJ: 47.793.079/0003-80</t>
        </is>
      </c>
      <c r="V253" s="4" t="n">
        <v>21</v>
      </c>
      <c r="W253" s="4" t="n">
        <v>0</v>
      </c>
      <c r="X253" s="4" t="n">
        <v>1011150</v>
      </c>
      <c r="Y253" s="4" t="n">
        <v>1008000</v>
      </c>
      <c r="Z253" s="4" t="n">
        <v>1260</v>
      </c>
      <c r="AA253" s="4" t="n"/>
      <c r="AB253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3" s="4" t="inlineStr">
        <is>
          <t>ANON0000000</t>
        </is>
      </c>
      <c r="AD253" s="4" t="inlineStr">
        <is>
          <t>HC40</t>
        </is>
      </c>
      <c r="AE253" s="4" t="n">
        <v>1279239</v>
      </c>
      <c r="AF253" s="4" t="n"/>
      <c r="AG253" s="4" t="inlineStr">
        <is>
          <t>FCL/FCL</t>
        </is>
      </c>
      <c r="AH253" s="4" t="inlineStr">
        <is>
          <t>GENERAL COMMODITY</t>
        </is>
      </c>
      <c r="AI253" s="4" t="inlineStr">
        <is>
          <t>28087.5</t>
        </is>
      </c>
      <c r="AJ253" s="4" t="n">
        <v>35</v>
      </c>
      <c r="AK253" s="4" t="inlineStr">
        <is>
          <t>BAG</t>
        </is>
      </c>
      <c r="AL253" s="4" t="n"/>
      <c r="AM253" s="4" t="n"/>
      <c r="AN253" s="4" t="n"/>
      <c r="AO253" s="4" t="n"/>
      <c r="AP253" s="4" t="n"/>
      <c r="AQ253" s="4" t="n"/>
      <c r="AR253" s="4" t="n">
        <v>3700</v>
      </c>
      <c r="AS253" s="4" t="n">
        <v>27000</v>
      </c>
      <c r="AT253" s="12" t="n"/>
    </row>
    <row r="254" ht="10.5" customFormat="1" customHeight="1" s="6">
      <c r="A254" s="11" t="n">
        <v>253</v>
      </c>
      <c r="B254" s="4" t="inlineStr">
        <is>
          <t>MERCURY / VOYAGE 1</t>
        </is>
      </c>
      <c r="C254" s="4" t="inlineStr">
        <is>
          <t>REF000000</t>
        </is>
      </c>
      <c r="D254" s="7" t="n">
        <v>46095</v>
      </c>
      <c r="E254" s="4" t="n">
        <v>46105</v>
      </c>
      <c r="F254" s="4" t="inlineStr">
        <is>
          <t>RULED</t>
        </is>
      </c>
      <c r="G254" s="4" t="inlineStr">
        <is>
          <t>RULED</t>
        </is>
      </c>
      <c r="H254" s="4" t="inlineStr">
        <is>
          <t>USHOU</t>
        </is>
      </c>
      <c r="I254" s="4" t="inlineStr">
        <is>
          <t>USHOU</t>
        </is>
      </c>
      <c r="J254" s="4" t="n"/>
      <c r="K254" s="8" t="n"/>
      <c r="L254" s="4" t="inlineStr">
        <is>
          <t>EAGLE DRY</t>
        </is>
      </c>
      <c r="M254" s="4" t="inlineStr">
        <is>
          <t>EAGLE DRY</t>
        </is>
      </c>
      <c r="N254" s="4" t="n"/>
      <c r="O254" s="4" t="n"/>
      <c r="P254" s="4" t="inlineStr">
        <is>
          <t>EAGLE DRY</t>
        </is>
      </c>
      <c r="Q254" s="4" t="inlineStr">
        <is>
          <t>EAGLE DRY</t>
        </is>
      </c>
      <c r="R254" s="4" t="n"/>
      <c r="S254" s="4" t="n"/>
      <c r="T254" s="4" t="inlineStr">
        <is>
          <t>EAGLE DRY</t>
        </is>
      </c>
      <c r="U254" s="4" t="inlineStr">
        <is>
          <t>RUA SOUZA DUTRA, 145, APT SI 807, BAIRRO: ESTREITO FLORIANOPOLIS/SC CEP: 88070-605 CPNJ: 47.793.079/0003-80</t>
        </is>
      </c>
      <c r="V254" s="4" t="n">
        <v>21</v>
      </c>
      <c r="W254" s="4" t="n">
        <v>0</v>
      </c>
      <c r="X254" s="4" t="n">
        <v>1011150</v>
      </c>
      <c r="Y254" s="4" t="n">
        <v>1008000</v>
      </c>
      <c r="Z254" s="4" t="n">
        <v>1260</v>
      </c>
      <c r="AA254" s="4" t="n"/>
      <c r="AB254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4" s="4" t="inlineStr">
        <is>
          <t>ANON0000000</t>
        </is>
      </c>
      <c r="AD254" s="4" t="inlineStr">
        <is>
          <t>HC40</t>
        </is>
      </c>
      <c r="AE254" s="4" t="n">
        <v>1293248</v>
      </c>
      <c r="AF254" s="4" t="n"/>
      <c r="AG254" s="4" t="inlineStr">
        <is>
          <t>FCL/FCL</t>
        </is>
      </c>
      <c r="AH254" s="4" t="inlineStr">
        <is>
          <t>GENERAL COMMODITY</t>
        </is>
      </c>
      <c r="AI254" s="4" t="inlineStr">
        <is>
          <t>28087.5</t>
        </is>
      </c>
      <c r="AJ254" s="4" t="n">
        <v>35</v>
      </c>
      <c r="AK254" s="4" t="inlineStr">
        <is>
          <t>BAG</t>
        </is>
      </c>
      <c r="AL254" s="4" t="n"/>
      <c r="AM254" s="4" t="n"/>
      <c r="AN254" s="4" t="n"/>
      <c r="AO254" s="4" t="n"/>
      <c r="AP254" s="4" t="n"/>
      <c r="AQ254" s="4" t="n"/>
      <c r="AR254" s="4" t="n">
        <v>3700</v>
      </c>
      <c r="AS254" s="4" t="n">
        <v>27000</v>
      </c>
      <c r="AT254" s="12" t="n"/>
    </row>
    <row r="255" ht="11.25" customFormat="1" customHeight="1" s="6">
      <c r="A255" s="11" t="n">
        <v>254</v>
      </c>
      <c r="B255" s="4" t="inlineStr">
        <is>
          <t>MERCURY / VOYAGE 1</t>
        </is>
      </c>
      <c r="C255" s="4" t="inlineStr">
        <is>
          <t>REF000000</t>
        </is>
      </c>
      <c r="D255" s="7" t="n">
        <v>46095</v>
      </c>
      <c r="E255" s="4" t="n">
        <v>46105</v>
      </c>
      <c r="F255" s="4" t="inlineStr">
        <is>
          <t>RULED</t>
        </is>
      </c>
      <c r="G255" s="4" t="inlineStr">
        <is>
          <t>RULED</t>
        </is>
      </c>
      <c r="H255" s="4" t="inlineStr">
        <is>
          <t>USHOU</t>
        </is>
      </c>
      <c r="I255" s="4" t="inlineStr">
        <is>
          <t>USHOU</t>
        </is>
      </c>
      <c r="J255" s="4" t="n"/>
      <c r="K255" s="8" t="n"/>
      <c r="L255" s="4" t="inlineStr">
        <is>
          <t>COYOTE DRY</t>
        </is>
      </c>
      <c r="M255" s="4" t="inlineStr">
        <is>
          <t>COYOTE DRY</t>
        </is>
      </c>
      <c r="N255" s="4" t="n"/>
      <c r="O255" s="4" t="n"/>
      <c r="P255" s="4" t="inlineStr">
        <is>
          <t>COYOTE DRY</t>
        </is>
      </c>
      <c r="Q255" s="4" t="inlineStr">
        <is>
          <t>COYOTE DRY</t>
        </is>
      </c>
      <c r="R255" s="4" t="n"/>
      <c r="S255" s="4" t="n"/>
      <c r="T255" s="4" t="inlineStr">
        <is>
          <t>COYOTE DRY</t>
        </is>
      </c>
      <c r="U255" s="4" t="inlineStr">
        <is>
          <t>RUA SOUZA DUTRA, 145, APT SI 807, BAIRRO: ESTREITO FLORIANOPOLIS/SC CEP: 88070-605 CPNJ: 47.793.079/0003-80</t>
        </is>
      </c>
      <c r="V255" s="4" t="n">
        <v>21</v>
      </c>
      <c r="W255" s="4" t="n">
        <v>0</v>
      </c>
      <c r="X255" s="4" t="n">
        <v>1011150</v>
      </c>
      <c r="Y255" s="4" t="n">
        <v>1008000</v>
      </c>
      <c r="Z255" s="4" t="n">
        <v>1260</v>
      </c>
      <c r="AA255" s="4" t="n"/>
      <c r="AB255" s="4" t="inlineStr">
        <is>
          <t>SAID TO CONTAIN / WEIGH &amp; MEASURE PRILLED UREA WITHOUT COATING, WITH MINIMUM OF TOTAL NITROGEN (AZOTE) OF 46%, BY WEIGHT, CALCULATED ON THE ANHYDROUS PRODUCT IN THE DRY STATE IN BIG BAG. NCM 3102.10.10 TOTAL NET WEIGHT: 1 008.00 MT TOTAL GROSS WEIGHT: 1 011.15 MT TOTAL NUMBER OF BAGS: 1 260 WOODEN PACKAGE IS NOT APPLICABLE. FREIGHT PREPAID</t>
        </is>
      </c>
      <c r="AC255" s="4" t="inlineStr">
        <is>
          <t>ANON0000000</t>
        </is>
      </c>
      <c r="AD255" s="4" t="inlineStr">
        <is>
          <t>HC40</t>
        </is>
      </c>
      <c r="AE255" s="4" t="n">
        <v>1293324</v>
      </c>
      <c r="AF255" s="4" t="n"/>
      <c r="AG255" s="4" t="inlineStr">
        <is>
          <t>FCL/FCL</t>
        </is>
      </c>
      <c r="AH255" s="4" t="inlineStr">
        <is>
          <t>GENERAL COMMODITY</t>
        </is>
      </c>
      <c r="AI255" s="4" t="inlineStr">
        <is>
          <t>28087.5</t>
        </is>
      </c>
      <c r="AJ255" s="4" t="n">
        <v>35</v>
      </c>
      <c r="AK255" s="4" t="inlineStr">
        <is>
          <t>BAG</t>
        </is>
      </c>
      <c r="AL255" s="4" t="n"/>
      <c r="AM255" s="4" t="n"/>
      <c r="AN255" s="4" t="n"/>
      <c r="AO255" s="4" t="n"/>
      <c r="AP255" s="4" t="n"/>
      <c r="AQ255" s="4" t="n"/>
      <c r="AR255" s="4" t="n">
        <v>3830</v>
      </c>
      <c r="AS255" s="4" t="n">
        <v>27000</v>
      </c>
      <c r="AT255" s="12" t="n"/>
    </row>
    <row r="256" ht="10.5" customFormat="1" customHeight="1" s="6">
      <c r="A256" s="11" t="n">
        <v>255</v>
      </c>
      <c r="B256" s="4" t="inlineStr">
        <is>
          <t>MERCURY / VOYAGE 1</t>
        </is>
      </c>
      <c r="C256" s="4" t="inlineStr">
        <is>
          <t>REF000000</t>
        </is>
      </c>
      <c r="D256" s="7" t="n">
        <v>46095</v>
      </c>
      <c r="E256" s="4" t="n">
        <v>46105</v>
      </c>
      <c r="F256" s="4" t="inlineStr">
        <is>
          <t>RULED</t>
        </is>
      </c>
      <c r="G256" s="4" t="inlineStr">
        <is>
          <t>RULED</t>
        </is>
      </c>
      <c r="H256" s="4" t="inlineStr">
        <is>
          <t>USHOU</t>
        </is>
      </c>
      <c r="I256" s="4" t="inlineStr">
        <is>
          <t>USHOU</t>
        </is>
      </c>
      <c r="J256" s="4" t="n"/>
      <c r="K256" s="8" t="n"/>
      <c r="L256" s="4" t="inlineStr">
        <is>
          <t>FALCON DRY</t>
        </is>
      </c>
      <c r="M256" s="4" t="inlineStr">
        <is>
          <t>FALCON DRY</t>
        </is>
      </c>
      <c r="N256" s="4" t="n"/>
      <c r="O256" s="4" t="n"/>
      <c r="P256" s="4" t="inlineStr">
        <is>
          <t>FALCON DRY</t>
        </is>
      </c>
      <c r="Q256" s="4" t="inlineStr">
        <is>
          <t>FALCON DRY</t>
        </is>
      </c>
      <c r="R256" s="4" t="n"/>
      <c r="S256" s="4" t="n"/>
      <c r="T256" s="4" t="inlineStr">
        <is>
          <t>FALCON DRY</t>
        </is>
      </c>
      <c r="U256" s="4" t="inlineStr">
        <is>
          <t>RUA SOUZA DUTRA, 145, APT SI 807, BAIRRO: ESTREITO - FLORIANOPOLIS/SC CEP: 88070-605 CPNJ: 47.793.079/0003-80</t>
        </is>
      </c>
      <c r="V256" s="4" t="n">
        <v>21</v>
      </c>
      <c r="W256" s="4" t="n">
        <v>0</v>
      </c>
      <c r="X256" s="4" t="inlineStr">
        <is>
          <t>702187.5</t>
        </is>
      </c>
      <c r="Y256" s="4" t="n">
        <v>700000</v>
      </c>
      <c r="Z256" s="4" t="n">
        <v>875</v>
      </c>
      <c r="AA256" s="4" t="n"/>
      <c r="AB256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56" s="4" t="inlineStr">
        <is>
          <t>ANON0000000</t>
        </is>
      </c>
      <c r="AD256" s="4" t="inlineStr">
        <is>
          <t>HC40</t>
        </is>
      </c>
      <c r="AE256" s="4" t="n">
        <v>1229447</v>
      </c>
      <c r="AF256" s="4" t="n"/>
      <c r="AG256" s="4" t="inlineStr">
        <is>
          <t>FCL/FCL</t>
        </is>
      </c>
      <c r="AH256" s="4" t="inlineStr">
        <is>
          <t>GENERAL COMMODITY</t>
        </is>
      </c>
      <c r="AI256" s="4" t="inlineStr">
        <is>
          <t>28087.5</t>
        </is>
      </c>
      <c r="AJ256" s="4" t="n">
        <v>35</v>
      </c>
      <c r="AK256" s="4" t="n">
        <v>2</v>
      </c>
      <c r="AL256" s="4" t="n"/>
      <c r="AM256" s="4" t="n"/>
      <c r="AN256" s="4" t="n"/>
      <c r="AO256" s="4" t="n"/>
      <c r="AP256" s="4" t="n"/>
      <c r="AQ256" s="4" t="n"/>
      <c r="AR256" s="4" t="n">
        <v>3700</v>
      </c>
      <c r="AS256" s="4" t="n">
        <v>27000</v>
      </c>
      <c r="AT256" s="12" t="n"/>
    </row>
    <row r="257" ht="10.5" customFormat="1" customHeight="1" s="6">
      <c r="A257" s="11" t="n">
        <v>256</v>
      </c>
      <c r="B257" s="4" t="inlineStr">
        <is>
          <t>MERCURY / VOYAGE 1</t>
        </is>
      </c>
      <c r="C257" s="4" t="inlineStr">
        <is>
          <t>REF000000</t>
        </is>
      </c>
      <c r="D257" s="7" t="n">
        <v>46095</v>
      </c>
      <c r="E257" s="4" t="n">
        <v>46105</v>
      </c>
      <c r="F257" s="4" t="inlineStr">
        <is>
          <t>RULED</t>
        </is>
      </c>
      <c r="G257" s="4" t="inlineStr">
        <is>
          <t>RULED</t>
        </is>
      </c>
      <c r="H257" s="4" t="inlineStr">
        <is>
          <t>USHOU</t>
        </is>
      </c>
      <c r="I257" s="4" t="inlineStr">
        <is>
          <t>USHOU</t>
        </is>
      </c>
      <c r="J257" s="4" t="n"/>
      <c r="K257" s="8" t="n"/>
      <c r="L257" s="4" t="inlineStr">
        <is>
          <t>WOLF DRY</t>
        </is>
      </c>
      <c r="M257" s="4" t="inlineStr">
        <is>
          <t>WOLF DRY</t>
        </is>
      </c>
      <c r="N257" s="4" t="n"/>
      <c r="O257" s="4" t="n"/>
      <c r="P257" s="4" t="inlineStr">
        <is>
          <t>WOLF DRY</t>
        </is>
      </c>
      <c r="Q257" s="4" t="inlineStr">
        <is>
          <t>WOLF DRY</t>
        </is>
      </c>
      <c r="R257" s="4" t="n"/>
      <c r="S257" s="4" t="n"/>
      <c r="T257" s="4" t="inlineStr">
        <is>
          <t>WOLF DRY</t>
        </is>
      </c>
      <c r="U257" s="4" t="inlineStr">
        <is>
          <t>RUA SOUZA DUTRA, 145, APT SI 807, BAIRRO: ESTREITO - FLORIANOPOLIS/SC CEP: 88070-605 CPNJ: 47.793.079/0003-80</t>
        </is>
      </c>
      <c r="V257" s="4" t="n">
        <v>21</v>
      </c>
      <c r="W257" s="4" t="n">
        <v>0</v>
      </c>
      <c r="X257" s="4" t="inlineStr">
        <is>
          <t>702187.5</t>
        </is>
      </c>
      <c r="Y257" s="4" t="n">
        <v>700000</v>
      </c>
      <c r="Z257" s="4" t="n">
        <v>875</v>
      </c>
      <c r="AA257" s="4" t="n"/>
      <c r="AB257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57" s="4" t="inlineStr">
        <is>
          <t>ANON0000000</t>
        </is>
      </c>
      <c r="AD257" s="4" t="inlineStr">
        <is>
          <t>HC40</t>
        </is>
      </c>
      <c r="AE257" s="4" t="n">
        <v>1253804</v>
      </c>
      <c r="AF257" s="4" t="n"/>
      <c r="AG257" s="4" t="inlineStr">
        <is>
          <t>FCL/FCL</t>
        </is>
      </c>
      <c r="AH257" s="4" t="inlineStr">
        <is>
          <t>GENERAL COMMODITY</t>
        </is>
      </c>
      <c r="AI257" s="4" t="inlineStr">
        <is>
          <t>28087.5</t>
        </is>
      </c>
      <c r="AJ257" s="4" t="n">
        <v>35</v>
      </c>
      <c r="AK257" s="4" t="n">
        <v>2</v>
      </c>
      <c r="AL257" s="4" t="n"/>
      <c r="AM257" s="4" t="n"/>
      <c r="AN257" s="4" t="n"/>
      <c r="AO257" s="4" t="n"/>
      <c r="AP257" s="4" t="n"/>
      <c r="AQ257" s="4" t="n"/>
      <c r="AR257" s="4" t="n">
        <v>3700</v>
      </c>
      <c r="AS257" s="4" t="n">
        <v>27000</v>
      </c>
      <c r="AT257" s="12" t="n"/>
    </row>
    <row r="258" ht="10.5" customFormat="1" customHeight="1" s="6">
      <c r="A258" s="11" t="n">
        <v>257</v>
      </c>
      <c r="B258" s="4" t="inlineStr">
        <is>
          <t>MERCURY / VOYAGE 1</t>
        </is>
      </c>
      <c r="C258" s="4" t="inlineStr">
        <is>
          <t>REF000000</t>
        </is>
      </c>
      <c r="D258" s="7" t="n">
        <v>46095</v>
      </c>
      <c r="E258" s="4" t="n">
        <v>46105</v>
      </c>
      <c r="F258" s="4" t="inlineStr">
        <is>
          <t>RULED</t>
        </is>
      </c>
      <c r="G258" s="4" t="inlineStr">
        <is>
          <t>RULED</t>
        </is>
      </c>
      <c r="H258" s="4" t="inlineStr">
        <is>
          <t>USHOU</t>
        </is>
      </c>
      <c r="I258" s="4" t="inlineStr">
        <is>
          <t>USHOU</t>
        </is>
      </c>
      <c r="J258" s="4" t="n"/>
      <c r="K258" s="8" t="n"/>
      <c r="L258" s="4" t="inlineStr">
        <is>
          <t>DEER DRY</t>
        </is>
      </c>
      <c r="M258" s="4" t="inlineStr">
        <is>
          <t>DEER DRY</t>
        </is>
      </c>
      <c r="N258" s="4" t="n"/>
      <c r="O258" s="4" t="n"/>
      <c r="P258" s="4" t="inlineStr">
        <is>
          <t>DEER DRY</t>
        </is>
      </c>
      <c r="Q258" s="4" t="inlineStr">
        <is>
          <t>DEER DRY</t>
        </is>
      </c>
      <c r="R258" s="4" t="n"/>
      <c r="S258" s="4" t="n"/>
      <c r="T258" s="4" t="inlineStr">
        <is>
          <t>DEER DRY</t>
        </is>
      </c>
      <c r="U258" s="4" t="inlineStr">
        <is>
          <t>RUA SOUZA DUTRA, 145, APT SI 807, BAIRRO: ESTREITO - FLORIANOPOLIS/SC CEP: 88070-605 CPNJ: 47.793.079/0003-80</t>
        </is>
      </c>
      <c r="V258" s="4" t="n">
        <v>21</v>
      </c>
      <c r="W258" s="4" t="n">
        <v>0</v>
      </c>
      <c r="X258" s="4" t="inlineStr">
        <is>
          <t>702187.5</t>
        </is>
      </c>
      <c r="Y258" s="4" t="n">
        <v>700000</v>
      </c>
      <c r="Z258" s="4" t="n">
        <v>875</v>
      </c>
      <c r="AA258" s="4" t="n"/>
      <c r="AB258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58" s="4" t="inlineStr">
        <is>
          <t>ANON0000000</t>
        </is>
      </c>
      <c r="AD258" s="4" t="inlineStr">
        <is>
          <t>HC40</t>
        </is>
      </c>
      <c r="AE258" s="4" t="n">
        <v>1229435</v>
      </c>
      <c r="AF258" s="4" t="n"/>
      <c r="AG258" s="4" t="inlineStr">
        <is>
          <t>FCL/FCL</t>
        </is>
      </c>
      <c r="AH258" s="4" t="inlineStr">
        <is>
          <t>GENERAL COMMODITY</t>
        </is>
      </c>
      <c r="AI258" s="4" t="inlineStr">
        <is>
          <t>28087.5</t>
        </is>
      </c>
      <c r="AJ258" s="4" t="n">
        <v>35</v>
      </c>
      <c r="AK258" s="4" t="n">
        <v>2</v>
      </c>
      <c r="AL258" s="4" t="n"/>
      <c r="AM258" s="4" t="n"/>
      <c r="AN258" s="4" t="n"/>
      <c r="AO258" s="4" t="n"/>
      <c r="AP258" s="4" t="n"/>
      <c r="AQ258" s="4" t="n"/>
      <c r="AR258" s="4" t="n">
        <v>3700</v>
      </c>
      <c r="AS258" s="4" t="n">
        <v>27000</v>
      </c>
      <c r="AT258" s="12" t="n"/>
    </row>
    <row r="259" ht="10.5" customFormat="1" customHeight="1" s="6">
      <c r="A259" s="11" t="n">
        <v>258</v>
      </c>
      <c r="B259" s="4" t="inlineStr">
        <is>
          <t>MERCURY / VOYAGE 1</t>
        </is>
      </c>
      <c r="C259" s="4" t="inlineStr">
        <is>
          <t>REF000000</t>
        </is>
      </c>
      <c r="D259" s="7" t="n">
        <v>46095</v>
      </c>
      <c r="E259" s="4" t="n">
        <v>46105</v>
      </c>
      <c r="F259" s="4" t="inlineStr">
        <is>
          <t>RULED</t>
        </is>
      </c>
      <c r="G259" s="4" t="inlineStr">
        <is>
          <t>RULED</t>
        </is>
      </c>
      <c r="H259" s="4" t="inlineStr">
        <is>
          <t>USHOU</t>
        </is>
      </c>
      <c r="I259" s="4" t="inlineStr">
        <is>
          <t>USHOU</t>
        </is>
      </c>
      <c r="J259" s="4" t="n"/>
      <c r="K259" s="8" t="n"/>
      <c r="L259" s="4" t="inlineStr">
        <is>
          <t>FOX DRY</t>
        </is>
      </c>
      <c r="M259" s="4" t="inlineStr">
        <is>
          <t>FOX DRY</t>
        </is>
      </c>
      <c r="N259" s="4" t="n"/>
      <c r="O259" s="4" t="n"/>
      <c r="P259" s="4" t="inlineStr">
        <is>
          <t>FOX DRY</t>
        </is>
      </c>
      <c r="Q259" s="4" t="inlineStr">
        <is>
          <t>FOX DRY</t>
        </is>
      </c>
      <c r="R259" s="4" t="n"/>
      <c r="S259" s="4" t="n"/>
      <c r="T259" s="4" t="inlineStr">
        <is>
          <t>FOX DRY</t>
        </is>
      </c>
      <c r="U259" s="4" t="inlineStr">
        <is>
          <t>RUA SOUZA DUTRA, 145, APT SI 807, BAIRRO: ESTREITO - FLORIANOPOLIS/SC CEP: 88070-605 CPNJ: 47.793.079/0003-80</t>
        </is>
      </c>
      <c r="V259" s="4" t="n">
        <v>21</v>
      </c>
      <c r="W259" s="4" t="n">
        <v>0</v>
      </c>
      <c r="X259" s="4" t="inlineStr">
        <is>
          <t>702187.5</t>
        </is>
      </c>
      <c r="Y259" s="4" t="n">
        <v>700000</v>
      </c>
      <c r="Z259" s="4" t="n">
        <v>875</v>
      </c>
      <c r="AA259" s="4" t="n"/>
      <c r="AB259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59" s="4" t="inlineStr">
        <is>
          <t>ANON0000000</t>
        </is>
      </c>
      <c r="AD259" s="4" t="inlineStr">
        <is>
          <t>HC40</t>
        </is>
      </c>
      <c r="AE259" s="4" t="n">
        <v>1229431</v>
      </c>
      <c r="AF259" s="4" t="n"/>
      <c r="AG259" s="4" t="inlineStr">
        <is>
          <t>FCL/FCL</t>
        </is>
      </c>
      <c r="AH259" s="4" t="inlineStr">
        <is>
          <t>GENERAL COMMODITY</t>
        </is>
      </c>
      <c r="AI259" s="4" t="inlineStr">
        <is>
          <t>28087.5</t>
        </is>
      </c>
      <c r="AJ259" s="4" t="n">
        <v>35</v>
      </c>
      <c r="AK259" s="4" t="n">
        <v>2</v>
      </c>
      <c r="AL259" s="4" t="n"/>
      <c r="AM259" s="4" t="n"/>
      <c r="AN259" s="4" t="n"/>
      <c r="AO259" s="4" t="n"/>
      <c r="AP259" s="4" t="n"/>
      <c r="AQ259" s="4" t="n"/>
      <c r="AR259" s="4" t="n">
        <v>3700</v>
      </c>
      <c r="AS259" s="4" t="n">
        <v>27000</v>
      </c>
      <c r="AT259" s="12" t="n"/>
    </row>
    <row r="260" ht="11.25" customFormat="1" customHeight="1" s="6">
      <c r="A260" s="11" t="n">
        <v>259</v>
      </c>
      <c r="B260" s="4" t="inlineStr">
        <is>
          <t>MERCURY / VOYAGE 1</t>
        </is>
      </c>
      <c r="C260" s="4" t="inlineStr">
        <is>
          <t>REF000000</t>
        </is>
      </c>
      <c r="D260" s="7" t="n">
        <v>46095</v>
      </c>
      <c r="E260" s="4" t="n">
        <v>46105</v>
      </c>
      <c r="F260" s="4" t="inlineStr">
        <is>
          <t>RULED</t>
        </is>
      </c>
      <c r="G260" s="4" t="inlineStr">
        <is>
          <t>RULED</t>
        </is>
      </c>
      <c r="H260" s="4" t="inlineStr">
        <is>
          <t>USHOU</t>
        </is>
      </c>
      <c r="I260" s="4" t="inlineStr">
        <is>
          <t>USHOU</t>
        </is>
      </c>
      <c r="J260" s="4" t="n"/>
      <c r="K260" s="8" t="n"/>
      <c r="L260" s="4" t="inlineStr">
        <is>
          <t>BISON DRY</t>
        </is>
      </c>
      <c r="M260" s="4" t="inlineStr">
        <is>
          <t>BISON DRY</t>
        </is>
      </c>
      <c r="N260" s="4" t="n"/>
      <c r="O260" s="4" t="n"/>
      <c r="P260" s="4" t="inlineStr">
        <is>
          <t>BISON DRY</t>
        </is>
      </c>
      <c r="Q260" s="4" t="inlineStr">
        <is>
          <t>BISON DRY</t>
        </is>
      </c>
      <c r="R260" s="4" t="n"/>
      <c r="S260" s="4" t="n"/>
      <c r="T260" s="4" t="inlineStr">
        <is>
          <t>BISON DRY</t>
        </is>
      </c>
      <c r="U260" s="4" t="inlineStr">
        <is>
          <t>RUA SOUZA DUTRA, 145, APT SI 807, BAIRRO: ESTREITO - FLORIANOPOLIS/SC CEP: 88070-605 CPNJ: 47.793.079/0003-80</t>
        </is>
      </c>
      <c r="V260" s="4" t="n">
        <v>21</v>
      </c>
      <c r="W260" s="4" t="n">
        <v>0</v>
      </c>
      <c r="X260" s="4" t="inlineStr">
        <is>
          <t>702187.5</t>
        </is>
      </c>
      <c r="Y260" s="4" t="n">
        <v>700000</v>
      </c>
      <c r="Z260" s="4" t="n">
        <v>875</v>
      </c>
      <c r="AA260" s="4" t="n"/>
      <c r="AB260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0" s="4" t="inlineStr">
        <is>
          <t>ANON0000000</t>
        </is>
      </c>
      <c r="AD260" s="4" t="inlineStr">
        <is>
          <t>HC40</t>
        </is>
      </c>
      <c r="AE260" s="4" t="n">
        <v>1229445</v>
      </c>
      <c r="AF260" s="4" t="n"/>
      <c r="AG260" s="4" t="inlineStr">
        <is>
          <t>FCL/FCL</t>
        </is>
      </c>
      <c r="AH260" s="4" t="inlineStr">
        <is>
          <t>GENERAL COMMODITY</t>
        </is>
      </c>
      <c r="AI260" s="4" t="inlineStr">
        <is>
          <t>28087.5</t>
        </is>
      </c>
      <c r="AJ260" s="4" t="n">
        <v>35</v>
      </c>
      <c r="AK260" s="4" t="n">
        <v>2</v>
      </c>
      <c r="AL260" s="4" t="n"/>
      <c r="AM260" s="4" t="n"/>
      <c r="AN260" s="4" t="n"/>
      <c r="AO260" s="4" t="n"/>
      <c r="AP260" s="4" t="n"/>
      <c r="AQ260" s="4" t="n"/>
      <c r="AR260" s="4" t="n">
        <v>3700</v>
      </c>
      <c r="AS260" s="4" t="n">
        <v>27000</v>
      </c>
      <c r="AT260" s="12" t="n"/>
    </row>
    <row r="261" ht="10.5" customFormat="1" customHeight="1" s="6">
      <c r="A261" s="11" t="n">
        <v>260</v>
      </c>
      <c r="B261" s="4" t="inlineStr">
        <is>
          <t>MERCURY / VOYAGE 1</t>
        </is>
      </c>
      <c r="C261" s="4" t="inlineStr">
        <is>
          <t>REF000000</t>
        </is>
      </c>
      <c r="D261" s="7" t="n">
        <v>46095</v>
      </c>
      <c r="E261" s="4" t="n">
        <v>46105</v>
      </c>
      <c r="F261" s="4" t="inlineStr">
        <is>
          <t>RULED</t>
        </is>
      </c>
      <c r="G261" s="4" t="inlineStr">
        <is>
          <t>RULED</t>
        </is>
      </c>
      <c r="H261" s="4" t="inlineStr">
        <is>
          <t>USHOU</t>
        </is>
      </c>
      <c r="I261" s="4" t="inlineStr">
        <is>
          <t>USHOU</t>
        </is>
      </c>
      <c r="J261" s="4" t="n"/>
      <c r="K261" s="8" t="n"/>
      <c r="L261" s="4" t="inlineStr">
        <is>
          <t>EAGLE DRY</t>
        </is>
      </c>
      <c r="M261" s="4" t="inlineStr">
        <is>
          <t>EAGLE DRY</t>
        </is>
      </c>
      <c r="N261" s="4" t="n"/>
      <c r="O261" s="4" t="n"/>
      <c r="P261" s="4" t="inlineStr">
        <is>
          <t>EAGLE DRY</t>
        </is>
      </c>
      <c r="Q261" s="4" t="inlineStr">
        <is>
          <t>EAGLE DRY</t>
        </is>
      </c>
      <c r="R261" s="4" t="n"/>
      <c r="S261" s="4" t="n"/>
      <c r="T261" s="4" t="inlineStr">
        <is>
          <t>EAGLE DRY</t>
        </is>
      </c>
      <c r="U261" s="4" t="inlineStr">
        <is>
          <t>RUA SOUZA DUTRA, 145, APT SI 807, BAIRRO: ESTREITO - FLORIANOPOLIS/SC CEP: 88070-605 CPNJ: 47.793.079/0003-80</t>
        </is>
      </c>
      <c r="V261" s="4" t="n">
        <v>21</v>
      </c>
      <c r="W261" s="4" t="n">
        <v>0</v>
      </c>
      <c r="X261" s="4" t="inlineStr">
        <is>
          <t>702187.5</t>
        </is>
      </c>
      <c r="Y261" s="4" t="n">
        <v>700000</v>
      </c>
      <c r="Z261" s="4" t="n">
        <v>875</v>
      </c>
      <c r="AA261" s="4" t="n"/>
      <c r="AB261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1" s="4" t="inlineStr">
        <is>
          <t>ANON0000000</t>
        </is>
      </c>
      <c r="AD261" s="4" t="inlineStr">
        <is>
          <t>HC40</t>
        </is>
      </c>
      <c r="AE261" s="4" t="n">
        <v>1253801</v>
      </c>
      <c r="AF261" s="4" t="n"/>
      <c r="AG261" s="4" t="inlineStr">
        <is>
          <t>FCL/FCL</t>
        </is>
      </c>
      <c r="AH261" s="4" t="inlineStr">
        <is>
          <t>GENERAL COMMODITY</t>
        </is>
      </c>
      <c r="AI261" s="4" t="inlineStr">
        <is>
          <t>28087.5</t>
        </is>
      </c>
      <c r="AJ261" s="4" t="n">
        <v>35</v>
      </c>
      <c r="AK261" s="4" t="n">
        <v>2</v>
      </c>
      <c r="AL261" s="4" t="n"/>
      <c r="AM261" s="4" t="n"/>
      <c r="AN261" s="4" t="n"/>
      <c r="AO261" s="4" t="n"/>
      <c r="AP261" s="4" t="n"/>
      <c r="AQ261" s="4" t="n"/>
      <c r="AR261" s="4" t="n">
        <v>3700</v>
      </c>
      <c r="AS261" s="4" t="n">
        <v>27000</v>
      </c>
      <c r="AT261" s="12" t="n"/>
    </row>
    <row r="262" ht="10.5" customFormat="1" customHeight="1" s="6">
      <c r="A262" s="11" t="n">
        <v>261</v>
      </c>
      <c r="B262" s="4" t="inlineStr">
        <is>
          <t>MERCURY / VOYAGE 1</t>
        </is>
      </c>
      <c r="C262" s="4" t="inlineStr">
        <is>
          <t>REF000000</t>
        </is>
      </c>
      <c r="D262" s="7" t="n">
        <v>46095</v>
      </c>
      <c r="E262" s="4" t="n">
        <v>46105</v>
      </c>
      <c r="F262" s="4" t="inlineStr">
        <is>
          <t>RULED</t>
        </is>
      </c>
      <c r="G262" s="4" t="inlineStr">
        <is>
          <t>RULED</t>
        </is>
      </c>
      <c r="H262" s="4" t="inlineStr">
        <is>
          <t>USHOU</t>
        </is>
      </c>
      <c r="I262" s="4" t="inlineStr">
        <is>
          <t>USHOU</t>
        </is>
      </c>
      <c r="J262" s="4" t="n"/>
      <c r="K262" s="8" t="n"/>
      <c r="L262" s="4" t="inlineStr">
        <is>
          <t>COYOTE DRY</t>
        </is>
      </c>
      <c r="M262" s="4" t="inlineStr">
        <is>
          <t>COYOTE DRY</t>
        </is>
      </c>
      <c r="N262" s="4" t="n"/>
      <c r="O262" s="4" t="n"/>
      <c r="P262" s="4" t="inlineStr">
        <is>
          <t>COYOTE DRY</t>
        </is>
      </c>
      <c r="Q262" s="4" t="inlineStr">
        <is>
          <t>COYOTE DRY</t>
        </is>
      </c>
      <c r="R262" s="4" t="n"/>
      <c r="S262" s="4" t="n"/>
      <c r="T262" s="4" t="inlineStr">
        <is>
          <t>COYOTE DRY</t>
        </is>
      </c>
      <c r="U262" s="4" t="inlineStr">
        <is>
          <t>RUA SOUZA DUTRA, 145, APT SI 807, BAIRRO: ESTREITO - FLORIANOPOLIS/SC CEP: 88070-605 CPNJ: 47.793.079/0003-80</t>
        </is>
      </c>
      <c r="V262" s="4" t="n">
        <v>21</v>
      </c>
      <c r="W262" s="4" t="n">
        <v>0</v>
      </c>
      <c r="X262" s="4" t="inlineStr">
        <is>
          <t>702187.5</t>
        </is>
      </c>
      <c r="Y262" s="4" t="n">
        <v>700000</v>
      </c>
      <c r="Z262" s="4" t="n">
        <v>875</v>
      </c>
      <c r="AA262" s="4" t="n"/>
      <c r="AB262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2" s="4" t="inlineStr">
        <is>
          <t>ANON0000000</t>
        </is>
      </c>
      <c r="AD262" s="4" t="inlineStr">
        <is>
          <t>HC40</t>
        </is>
      </c>
      <c r="AE262" s="4" t="n">
        <v>1229434</v>
      </c>
      <c r="AF262" s="4" t="n"/>
      <c r="AG262" s="4" t="inlineStr">
        <is>
          <t>FCL/FCL</t>
        </is>
      </c>
      <c r="AH262" s="4" t="inlineStr">
        <is>
          <t>GENERAL COMMODITY</t>
        </is>
      </c>
      <c r="AI262" s="4" t="inlineStr">
        <is>
          <t>28087.5</t>
        </is>
      </c>
      <c r="AJ262" s="4" t="n">
        <v>35</v>
      </c>
      <c r="AK262" s="4" t="n">
        <v>2</v>
      </c>
      <c r="AL262" s="4" t="n"/>
      <c r="AM262" s="4" t="n"/>
      <c r="AN262" s="4" t="n"/>
      <c r="AO262" s="4" t="n"/>
      <c r="AP262" s="4" t="n"/>
      <c r="AQ262" s="4" t="n"/>
      <c r="AR262" s="4" t="n">
        <v>3700</v>
      </c>
      <c r="AS262" s="4" t="n">
        <v>27000</v>
      </c>
      <c r="AT262" s="12" t="n"/>
    </row>
    <row r="263" ht="10.5" customFormat="1" customHeight="1" s="6">
      <c r="A263" s="11" t="n">
        <v>262</v>
      </c>
      <c r="B263" s="4" t="inlineStr">
        <is>
          <t>MERCURY / VOYAGE 1</t>
        </is>
      </c>
      <c r="C263" s="4" t="inlineStr">
        <is>
          <t>REF000000</t>
        </is>
      </c>
      <c r="D263" s="7" t="n">
        <v>46095</v>
      </c>
      <c r="E263" s="4" t="n">
        <v>46105</v>
      </c>
      <c r="F263" s="4" t="inlineStr">
        <is>
          <t>RULED</t>
        </is>
      </c>
      <c r="G263" s="4" t="inlineStr">
        <is>
          <t>RULED</t>
        </is>
      </c>
      <c r="H263" s="4" t="inlineStr">
        <is>
          <t>USHOU</t>
        </is>
      </c>
      <c r="I263" s="4" t="inlineStr">
        <is>
          <t>USHOU</t>
        </is>
      </c>
      <c r="J263" s="4" t="n"/>
      <c r="K263" s="8" t="n"/>
      <c r="L263" s="4" t="inlineStr">
        <is>
          <t>FALCON DRY</t>
        </is>
      </c>
      <c r="M263" s="4" t="inlineStr">
        <is>
          <t>FALCON DRY</t>
        </is>
      </c>
      <c r="N263" s="4" t="n"/>
      <c r="O263" s="4" t="n"/>
      <c r="P263" s="4" t="inlineStr">
        <is>
          <t>FALCON DRY</t>
        </is>
      </c>
      <c r="Q263" s="4" t="inlineStr">
        <is>
          <t>FALCON DRY</t>
        </is>
      </c>
      <c r="R263" s="4" t="n"/>
      <c r="S263" s="4" t="n"/>
      <c r="T263" s="4" t="inlineStr">
        <is>
          <t>FALCON DRY</t>
        </is>
      </c>
      <c r="U263" s="4" t="inlineStr">
        <is>
          <t>RUA SOUZA DUTRA, 145, APT SI 807, BAIRRO: ESTREITO - FLORIANOPOLIS/SC CEP: 88070-605 CPNJ: 47.793.079/0003-80</t>
        </is>
      </c>
      <c r="V263" s="4" t="n">
        <v>21</v>
      </c>
      <c r="W263" s="4" t="n">
        <v>0</v>
      </c>
      <c r="X263" s="4" t="inlineStr">
        <is>
          <t>702187.5</t>
        </is>
      </c>
      <c r="Y263" s="4" t="n">
        <v>700000</v>
      </c>
      <c r="Z263" s="4" t="n">
        <v>875</v>
      </c>
      <c r="AA263" s="4" t="n"/>
      <c r="AB263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3" s="4" t="inlineStr">
        <is>
          <t>ANON0000000</t>
        </is>
      </c>
      <c r="AD263" s="4" t="inlineStr">
        <is>
          <t>HC40</t>
        </is>
      </c>
      <c r="AE263" s="4" t="n">
        <v>1253805</v>
      </c>
      <c r="AF263" s="4" t="n"/>
      <c r="AG263" s="4" t="inlineStr">
        <is>
          <t>FCL/FCL</t>
        </is>
      </c>
      <c r="AH263" s="4" t="inlineStr">
        <is>
          <t>GENERAL COMMODITY</t>
        </is>
      </c>
      <c r="AI263" s="4" t="inlineStr">
        <is>
          <t>28087.5</t>
        </is>
      </c>
      <c r="AJ263" s="4" t="n">
        <v>35</v>
      </c>
      <c r="AK263" s="4" t="n">
        <v>2</v>
      </c>
      <c r="AL263" s="4" t="n"/>
      <c r="AM263" s="4" t="n"/>
      <c r="AN263" s="4" t="n"/>
      <c r="AO263" s="4" t="n"/>
      <c r="AP263" s="4" t="n"/>
      <c r="AQ263" s="4" t="n"/>
      <c r="AR263" s="4" t="n">
        <v>3700</v>
      </c>
      <c r="AS263" s="4" t="n">
        <v>27000</v>
      </c>
      <c r="AT263" s="12" t="n"/>
    </row>
    <row r="264" ht="10.5" customFormat="1" customHeight="1" s="6">
      <c r="A264" s="11" t="n">
        <v>263</v>
      </c>
      <c r="B264" s="4" t="inlineStr">
        <is>
          <t>MERCURY / VOYAGE 1</t>
        </is>
      </c>
      <c r="C264" s="4" t="inlineStr">
        <is>
          <t>REF000000</t>
        </is>
      </c>
      <c r="D264" s="7" t="n">
        <v>46095</v>
      </c>
      <c r="E264" s="4" t="n">
        <v>46105</v>
      </c>
      <c r="F264" s="4" t="inlineStr">
        <is>
          <t>RULED</t>
        </is>
      </c>
      <c r="G264" s="4" t="inlineStr">
        <is>
          <t>RULED</t>
        </is>
      </c>
      <c r="H264" s="4" t="inlineStr">
        <is>
          <t>USHOU</t>
        </is>
      </c>
      <c r="I264" s="4" t="inlineStr">
        <is>
          <t>USHOU</t>
        </is>
      </c>
      <c r="J264" s="4" t="n"/>
      <c r="K264" s="8" t="n"/>
      <c r="L264" s="4" t="inlineStr">
        <is>
          <t>WOLF DRY</t>
        </is>
      </c>
      <c r="M264" s="4" t="inlineStr">
        <is>
          <t>WOLF DRY</t>
        </is>
      </c>
      <c r="N264" s="4" t="n"/>
      <c r="O264" s="4" t="n"/>
      <c r="P264" s="4" t="inlineStr">
        <is>
          <t>WOLF DRY</t>
        </is>
      </c>
      <c r="Q264" s="4" t="inlineStr">
        <is>
          <t>WOLF DRY</t>
        </is>
      </c>
      <c r="R264" s="4" t="n"/>
      <c r="S264" s="4" t="n"/>
      <c r="T264" s="4" t="inlineStr">
        <is>
          <t>WOLF DRY</t>
        </is>
      </c>
      <c r="U264" s="4" t="inlineStr">
        <is>
          <t>RUA SOUZA DUTRA, 145, APT SI 807, BAIRRO: ESTREITO - FLORIANOPOLIS/SC CEP: 88070-605 CPNJ: 47.793.079/0003-80</t>
        </is>
      </c>
      <c r="V264" s="4" t="n">
        <v>21</v>
      </c>
      <c r="W264" s="4" t="n">
        <v>0</v>
      </c>
      <c r="X264" s="4" t="inlineStr">
        <is>
          <t>702187.5</t>
        </is>
      </c>
      <c r="Y264" s="4" t="n">
        <v>700000</v>
      </c>
      <c r="Z264" s="4" t="n">
        <v>875</v>
      </c>
      <c r="AA264" s="4" t="n"/>
      <c r="AB264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4" s="4" t="inlineStr">
        <is>
          <t>ANON0000000</t>
        </is>
      </c>
      <c r="AD264" s="4" t="inlineStr">
        <is>
          <t>HC40</t>
        </is>
      </c>
      <c r="AE264" s="4" t="n">
        <v>1253802</v>
      </c>
      <c r="AF264" s="4" t="n"/>
      <c r="AG264" s="4" t="inlineStr">
        <is>
          <t>FCL/FCL</t>
        </is>
      </c>
      <c r="AH264" s="4" t="inlineStr">
        <is>
          <t>GENERAL COMMODITY</t>
        </is>
      </c>
      <c r="AI264" s="4" t="inlineStr">
        <is>
          <t>28087.5</t>
        </is>
      </c>
      <c r="AJ264" s="4" t="n">
        <v>35</v>
      </c>
      <c r="AK264" s="4" t="n">
        <v>2</v>
      </c>
      <c r="AL264" s="4" t="n"/>
      <c r="AM264" s="4" t="n"/>
      <c r="AN264" s="4" t="n"/>
      <c r="AO264" s="4" t="n"/>
      <c r="AP264" s="4" t="n"/>
      <c r="AQ264" s="4" t="n"/>
      <c r="AR264" s="4" t="n">
        <v>3700</v>
      </c>
      <c r="AS264" s="4" t="n">
        <v>27000</v>
      </c>
      <c r="AT264" s="12" t="n"/>
    </row>
    <row r="265" ht="11.25" customFormat="1" customHeight="1" s="6">
      <c r="A265" s="11" t="n">
        <v>264</v>
      </c>
      <c r="B265" s="4" t="inlineStr">
        <is>
          <t>MERCURY / VOYAGE 1</t>
        </is>
      </c>
      <c r="C265" s="4" t="inlineStr">
        <is>
          <t>REF000000</t>
        </is>
      </c>
      <c r="D265" s="7" t="n">
        <v>46095</v>
      </c>
      <c r="E265" s="4" t="n">
        <v>46105</v>
      </c>
      <c r="F265" s="4" t="inlineStr">
        <is>
          <t>RULED</t>
        </is>
      </c>
      <c r="G265" s="4" t="inlineStr">
        <is>
          <t>RULED</t>
        </is>
      </c>
      <c r="H265" s="4" t="inlineStr">
        <is>
          <t>USHOU</t>
        </is>
      </c>
      <c r="I265" s="4" t="inlineStr">
        <is>
          <t>USHOU</t>
        </is>
      </c>
      <c r="J265" s="4" t="n"/>
      <c r="K265" s="8" t="n"/>
      <c r="L265" s="4" t="inlineStr">
        <is>
          <t>DEER DRY</t>
        </is>
      </c>
      <c r="M265" s="4" t="inlineStr">
        <is>
          <t>DEER DRY</t>
        </is>
      </c>
      <c r="N265" s="4" t="n"/>
      <c r="O265" s="4" t="n"/>
      <c r="P265" s="4" t="inlineStr">
        <is>
          <t>DEER DRY</t>
        </is>
      </c>
      <c r="Q265" s="4" t="inlineStr">
        <is>
          <t>DEER DRY</t>
        </is>
      </c>
      <c r="R265" s="4" t="n"/>
      <c r="S265" s="4" t="n"/>
      <c r="T265" s="4" t="inlineStr">
        <is>
          <t>DEER DRY</t>
        </is>
      </c>
      <c r="U265" s="4" t="inlineStr">
        <is>
          <t>RUA SOUZA DUTRA, 145, APT SI 807, BAIRRO: ESTREITO - FLORIANOPOLIS/SC CEP: 88070-605 CPNJ: 47.793.079/0003-80</t>
        </is>
      </c>
      <c r="V265" s="4" t="n">
        <v>21</v>
      </c>
      <c r="W265" s="4" t="n">
        <v>0</v>
      </c>
      <c r="X265" s="4" t="inlineStr">
        <is>
          <t>702187.5</t>
        </is>
      </c>
      <c r="Y265" s="4" t="n">
        <v>700000</v>
      </c>
      <c r="Z265" s="4" t="n">
        <v>875</v>
      </c>
      <c r="AA265" s="4" t="n"/>
      <c r="AB265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5" s="4" t="inlineStr">
        <is>
          <t>ANON0000000</t>
        </is>
      </c>
      <c r="AD265" s="4" t="inlineStr">
        <is>
          <t>HC40</t>
        </is>
      </c>
      <c r="AE265" s="4" t="n">
        <v>1253803</v>
      </c>
      <c r="AF265" s="4" t="n"/>
      <c r="AG265" s="4" t="inlineStr">
        <is>
          <t>FCL/FCL</t>
        </is>
      </c>
      <c r="AH265" s="4" t="inlineStr">
        <is>
          <t>GENERAL COMMODITY</t>
        </is>
      </c>
      <c r="AI265" s="4" t="inlineStr">
        <is>
          <t>28087.5</t>
        </is>
      </c>
      <c r="AJ265" s="4" t="n">
        <v>35</v>
      </c>
      <c r="AK265" s="4" t="n">
        <v>2</v>
      </c>
      <c r="AL265" s="4" t="n"/>
      <c r="AM265" s="4" t="n"/>
      <c r="AN265" s="4" t="n"/>
      <c r="AO265" s="4" t="n"/>
      <c r="AP265" s="4" t="n"/>
      <c r="AQ265" s="4" t="n"/>
      <c r="AR265" s="4" t="n">
        <v>3600</v>
      </c>
      <c r="AS265" s="4" t="n">
        <v>27000</v>
      </c>
      <c r="AT265" s="12" t="n"/>
    </row>
    <row r="266" ht="10.5" customFormat="1" customHeight="1" s="6">
      <c r="A266" s="11" t="n">
        <v>265</v>
      </c>
      <c r="B266" s="4" t="inlineStr">
        <is>
          <t>MERCURY / VOYAGE 1</t>
        </is>
      </c>
      <c r="C266" s="4" t="inlineStr">
        <is>
          <t>REF000000</t>
        </is>
      </c>
      <c r="D266" s="7" t="n">
        <v>46095</v>
      </c>
      <c r="E266" s="4" t="n">
        <v>46105</v>
      </c>
      <c r="F266" s="4" t="inlineStr">
        <is>
          <t>RULED</t>
        </is>
      </c>
      <c r="G266" s="4" t="inlineStr">
        <is>
          <t>RULED</t>
        </is>
      </c>
      <c r="H266" s="4" t="inlineStr">
        <is>
          <t>USHOU</t>
        </is>
      </c>
      <c r="I266" s="4" t="inlineStr">
        <is>
          <t>USHOU</t>
        </is>
      </c>
      <c r="J266" s="4" t="n"/>
      <c r="K266" s="8" t="n"/>
      <c r="L266" s="4" t="inlineStr">
        <is>
          <t>FOX DRY</t>
        </is>
      </c>
      <c r="M266" s="4" t="inlineStr">
        <is>
          <t>FOX DRY</t>
        </is>
      </c>
      <c r="N266" s="4" t="n"/>
      <c r="O266" s="4" t="n"/>
      <c r="P266" s="4" t="inlineStr">
        <is>
          <t>FOX DRY</t>
        </is>
      </c>
      <c r="Q266" s="4" t="inlineStr">
        <is>
          <t>FOX DRY</t>
        </is>
      </c>
      <c r="R266" s="4" t="n"/>
      <c r="S266" s="4" t="n"/>
      <c r="T266" s="4" t="inlineStr">
        <is>
          <t>FOX DRY</t>
        </is>
      </c>
      <c r="U266" s="4" t="inlineStr">
        <is>
          <t>RUA SOUZA DUTRA, 145, APT SI 807, BAIRRO: ESTREITO - FLORIANOPOLIS/SC CEP: 88070-605 CPNJ: 47.793.079/0003-80</t>
        </is>
      </c>
      <c r="V266" s="4" t="n">
        <v>21</v>
      </c>
      <c r="W266" s="4" t="n">
        <v>0</v>
      </c>
      <c r="X266" s="4" t="inlineStr">
        <is>
          <t>702187.5</t>
        </is>
      </c>
      <c r="Y266" s="4" t="n">
        <v>700000</v>
      </c>
      <c r="Z266" s="4" t="n">
        <v>875</v>
      </c>
      <c r="AA266" s="4" t="n"/>
      <c r="AB266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6" s="4" t="inlineStr">
        <is>
          <t>ANON0000000</t>
        </is>
      </c>
      <c r="AD266" s="4" t="inlineStr">
        <is>
          <t>HC40</t>
        </is>
      </c>
      <c r="AE266" s="4" t="n">
        <v>1229437</v>
      </c>
      <c r="AF266" s="4" t="n"/>
      <c r="AG266" s="4" t="inlineStr">
        <is>
          <t>FCL/FCL</t>
        </is>
      </c>
      <c r="AH266" s="4" t="inlineStr">
        <is>
          <t>GENERAL COMMODITY</t>
        </is>
      </c>
      <c r="AI266" s="4" t="inlineStr">
        <is>
          <t>28087.5</t>
        </is>
      </c>
      <c r="AJ266" s="4" t="n">
        <v>35</v>
      </c>
      <c r="AK266" s="4" t="n">
        <v>2</v>
      </c>
      <c r="AL266" s="4" t="n"/>
      <c r="AM266" s="4" t="n"/>
      <c r="AN266" s="4" t="n"/>
      <c r="AO266" s="4" t="n"/>
      <c r="AP266" s="4" t="n"/>
      <c r="AQ266" s="4" t="n"/>
      <c r="AR266" s="4" t="n">
        <v>3700</v>
      </c>
      <c r="AS266" s="4" t="n">
        <v>27000</v>
      </c>
      <c r="AT266" s="12" t="n"/>
    </row>
    <row r="267" ht="10.5" customFormat="1" customHeight="1" s="6">
      <c r="A267" s="11" t="n">
        <v>266</v>
      </c>
      <c r="B267" s="4" t="inlineStr">
        <is>
          <t>MERCURY / VOYAGE 1</t>
        </is>
      </c>
      <c r="C267" s="4" t="inlineStr">
        <is>
          <t>REF000000</t>
        </is>
      </c>
      <c r="D267" s="7" t="n">
        <v>46095</v>
      </c>
      <c r="E267" s="4" t="n">
        <v>46105</v>
      </c>
      <c r="F267" s="4" t="inlineStr">
        <is>
          <t>RULED</t>
        </is>
      </c>
      <c r="G267" s="4" t="inlineStr">
        <is>
          <t>RULED</t>
        </is>
      </c>
      <c r="H267" s="4" t="inlineStr">
        <is>
          <t>USHOU</t>
        </is>
      </c>
      <c r="I267" s="4" t="inlineStr">
        <is>
          <t>USHOU</t>
        </is>
      </c>
      <c r="J267" s="4" t="n"/>
      <c r="K267" s="8" t="n"/>
      <c r="L267" s="4" t="inlineStr">
        <is>
          <t>BISON DRY</t>
        </is>
      </c>
      <c r="M267" s="4" t="inlineStr">
        <is>
          <t>BISON DRY</t>
        </is>
      </c>
      <c r="N267" s="4" t="n"/>
      <c r="O267" s="4" t="n"/>
      <c r="P267" s="4" t="inlineStr">
        <is>
          <t>BISON DRY</t>
        </is>
      </c>
      <c r="Q267" s="4" t="inlineStr">
        <is>
          <t>BISON DRY</t>
        </is>
      </c>
      <c r="R267" s="4" t="n"/>
      <c r="S267" s="4" t="n"/>
      <c r="T267" s="4" t="inlineStr">
        <is>
          <t>BISON DRY</t>
        </is>
      </c>
      <c r="U267" s="4" t="inlineStr">
        <is>
          <t>RUA SOUZA DUTRA, 145, APT SI 807, BAIRRO: ESTREITO - FLORIANOPOLIS/SC CEP: 88070-605 CPNJ: 47.793.079/0003-80</t>
        </is>
      </c>
      <c r="V267" s="4" t="n">
        <v>21</v>
      </c>
      <c r="W267" s="4" t="n">
        <v>0</v>
      </c>
      <c r="X267" s="4" t="inlineStr">
        <is>
          <t>702187.5</t>
        </is>
      </c>
      <c r="Y267" s="4" t="n">
        <v>700000</v>
      </c>
      <c r="Z267" s="4" t="n">
        <v>875</v>
      </c>
      <c r="AA267" s="4" t="n"/>
      <c r="AB267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7" s="4" t="inlineStr">
        <is>
          <t>ANON0000000</t>
        </is>
      </c>
      <c r="AD267" s="4" t="inlineStr">
        <is>
          <t>HC40</t>
        </is>
      </c>
      <c r="AE267" s="4" t="n">
        <v>1229442</v>
      </c>
      <c r="AF267" s="4" t="n"/>
      <c r="AG267" s="4" t="inlineStr">
        <is>
          <t>FCL/FCL</t>
        </is>
      </c>
      <c r="AH267" s="4" t="inlineStr">
        <is>
          <t>GENERAL COMMODITY</t>
        </is>
      </c>
      <c r="AI267" s="4" t="inlineStr">
        <is>
          <t>28087.5</t>
        </is>
      </c>
      <c r="AJ267" s="4" t="n">
        <v>35</v>
      </c>
      <c r="AK267" s="4" t="n">
        <v>2</v>
      </c>
      <c r="AL267" s="4" t="n"/>
      <c r="AM267" s="4" t="n"/>
      <c r="AN267" s="4" t="n"/>
      <c r="AO267" s="4" t="n"/>
      <c r="AP267" s="4" t="n"/>
      <c r="AQ267" s="4" t="n"/>
      <c r="AR267" s="4" t="n">
        <v>3700</v>
      </c>
      <c r="AS267" s="4" t="n">
        <v>27000</v>
      </c>
      <c r="AT267" s="12" t="n"/>
    </row>
    <row r="268" ht="10.5" customFormat="1" customHeight="1" s="6">
      <c r="A268" s="11" t="n">
        <v>267</v>
      </c>
      <c r="B268" s="4" t="inlineStr">
        <is>
          <t>MERCURY / VOYAGE 1</t>
        </is>
      </c>
      <c r="C268" s="4" t="inlineStr">
        <is>
          <t>REF000000</t>
        </is>
      </c>
      <c r="D268" s="7" t="n">
        <v>46095</v>
      </c>
      <c r="E268" s="4" t="n">
        <v>46105</v>
      </c>
      <c r="F268" s="4" t="inlineStr">
        <is>
          <t>RULED</t>
        </is>
      </c>
      <c r="G268" s="4" t="inlineStr">
        <is>
          <t>RULED</t>
        </is>
      </c>
      <c r="H268" s="4" t="inlineStr">
        <is>
          <t>USHOU</t>
        </is>
      </c>
      <c r="I268" s="4" t="inlineStr">
        <is>
          <t>USHOU</t>
        </is>
      </c>
      <c r="J268" s="4" t="n"/>
      <c r="K268" s="8" t="n"/>
      <c r="L268" s="4" t="inlineStr">
        <is>
          <t>EAGLE DRY</t>
        </is>
      </c>
      <c r="M268" s="4" t="inlineStr">
        <is>
          <t>EAGLE DRY</t>
        </is>
      </c>
      <c r="N268" s="4" t="n"/>
      <c r="O268" s="4" t="n"/>
      <c r="P268" s="4" t="inlineStr">
        <is>
          <t>EAGLE DRY</t>
        </is>
      </c>
      <c r="Q268" s="4" t="inlineStr">
        <is>
          <t>EAGLE DRY</t>
        </is>
      </c>
      <c r="R268" s="4" t="n"/>
      <c r="S268" s="4" t="n"/>
      <c r="T268" s="4" t="inlineStr">
        <is>
          <t>EAGLE DRY</t>
        </is>
      </c>
      <c r="U268" s="4" t="inlineStr">
        <is>
          <t>RUA SOUZA DUTRA, 145, APT SI 807, BAIRRO: ESTREITO - FLORIANOPOLIS/SC CEP: 88070-605 CPNJ: 47.793.079/0003-80</t>
        </is>
      </c>
      <c r="V268" s="4" t="n">
        <v>21</v>
      </c>
      <c r="W268" s="4" t="n">
        <v>0</v>
      </c>
      <c r="X268" s="4" t="inlineStr">
        <is>
          <t>702187.5</t>
        </is>
      </c>
      <c r="Y268" s="4" t="n">
        <v>700000</v>
      </c>
      <c r="Z268" s="4" t="n">
        <v>875</v>
      </c>
      <c r="AA268" s="4" t="n"/>
      <c r="AB268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8" s="4" t="inlineStr">
        <is>
          <t>ANON0000000</t>
        </is>
      </c>
      <c r="AD268" s="4" t="inlineStr">
        <is>
          <t>HC40</t>
        </is>
      </c>
      <c r="AE268" s="4" t="n">
        <v>1229432</v>
      </c>
      <c r="AF268" s="4" t="n"/>
      <c r="AG268" s="4" t="inlineStr">
        <is>
          <t>FCL/FCL</t>
        </is>
      </c>
      <c r="AH268" s="4" t="inlineStr">
        <is>
          <t>GENERAL COMMODITY</t>
        </is>
      </c>
      <c r="AI268" s="4" t="inlineStr">
        <is>
          <t>28087.5</t>
        </is>
      </c>
      <c r="AJ268" s="4" t="n">
        <v>35</v>
      </c>
      <c r="AK268" s="4" t="n">
        <v>2</v>
      </c>
      <c r="AL268" s="4" t="n"/>
      <c r="AM268" s="4" t="n"/>
      <c r="AN268" s="4" t="n"/>
      <c r="AO268" s="4" t="n"/>
      <c r="AP268" s="4" t="n"/>
      <c r="AQ268" s="4" t="n"/>
      <c r="AR268" s="4" t="n">
        <v>3700</v>
      </c>
      <c r="AS268" s="4" t="n">
        <v>27000</v>
      </c>
      <c r="AT268" s="12" t="n"/>
    </row>
    <row r="269" ht="10.5" customFormat="1" customHeight="1" s="6">
      <c r="A269" s="11" t="n">
        <v>268</v>
      </c>
      <c r="B269" s="4" t="inlineStr">
        <is>
          <t>MERCURY / VOYAGE 1</t>
        </is>
      </c>
      <c r="C269" s="4" t="inlineStr">
        <is>
          <t>REF000000</t>
        </is>
      </c>
      <c r="D269" s="7" t="n">
        <v>46095</v>
      </c>
      <c r="E269" s="4" t="n">
        <v>46105</v>
      </c>
      <c r="F269" s="4" t="inlineStr">
        <is>
          <t>RULED</t>
        </is>
      </c>
      <c r="G269" s="4" t="inlineStr">
        <is>
          <t>RULED</t>
        </is>
      </c>
      <c r="H269" s="4" t="inlineStr">
        <is>
          <t>USHOU</t>
        </is>
      </c>
      <c r="I269" s="4" t="inlineStr">
        <is>
          <t>USHOU</t>
        </is>
      </c>
      <c r="J269" s="4" t="n"/>
      <c r="K269" s="8" t="n"/>
      <c r="L269" s="4" t="inlineStr">
        <is>
          <t>COYOTE DRY</t>
        </is>
      </c>
      <c r="M269" s="4" t="inlineStr">
        <is>
          <t>COYOTE DRY</t>
        </is>
      </c>
      <c r="N269" s="4" t="n"/>
      <c r="O269" s="4" t="n"/>
      <c r="P269" s="4" t="inlineStr">
        <is>
          <t>COYOTE DRY</t>
        </is>
      </c>
      <c r="Q269" s="4" t="inlineStr">
        <is>
          <t>COYOTE DRY</t>
        </is>
      </c>
      <c r="R269" s="4" t="n"/>
      <c r="S269" s="4" t="n"/>
      <c r="T269" s="4" t="inlineStr">
        <is>
          <t>COYOTE DRY</t>
        </is>
      </c>
      <c r="U269" s="4" t="inlineStr">
        <is>
          <t>RUA SOUZA DUTRA, 145, APT SI 807, BAIRRO: ESTREITO - FLORIANOPOLIS/SC CEP: 88070-605 CPNJ: 47.793.079/0003-80</t>
        </is>
      </c>
      <c r="V269" s="4" t="n">
        <v>21</v>
      </c>
      <c r="W269" s="4" t="n">
        <v>0</v>
      </c>
      <c r="X269" s="4" t="inlineStr">
        <is>
          <t>702187.5</t>
        </is>
      </c>
      <c r="Y269" s="4" t="n">
        <v>700000</v>
      </c>
      <c r="Z269" s="4" t="n">
        <v>875</v>
      </c>
      <c r="AA269" s="4" t="n"/>
      <c r="AB269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69" s="4" t="inlineStr">
        <is>
          <t>ANON0000000</t>
        </is>
      </c>
      <c r="AD269" s="4" t="inlineStr">
        <is>
          <t>HC40</t>
        </is>
      </c>
      <c r="AE269" s="4" t="n">
        <v>1229436</v>
      </c>
      <c r="AF269" s="4" t="n"/>
      <c r="AG269" s="4" t="inlineStr">
        <is>
          <t>FCL/FCL</t>
        </is>
      </c>
      <c r="AH269" s="4" t="inlineStr">
        <is>
          <t>GENERAL COMMODITY</t>
        </is>
      </c>
      <c r="AI269" s="4" t="inlineStr">
        <is>
          <t>28087.5</t>
        </is>
      </c>
      <c r="AJ269" s="4" t="n">
        <v>35</v>
      </c>
      <c r="AK269" s="4" t="n">
        <v>2</v>
      </c>
      <c r="AL269" s="4" t="n"/>
      <c r="AM269" s="4" t="n"/>
      <c r="AN269" s="4" t="n"/>
      <c r="AO269" s="4" t="n"/>
      <c r="AP269" s="4" t="n"/>
      <c r="AQ269" s="4" t="n"/>
      <c r="AR269" s="4" t="n">
        <v>3700</v>
      </c>
      <c r="AS269" s="4" t="n">
        <v>27000</v>
      </c>
      <c r="AT269" s="12" t="n"/>
    </row>
    <row r="270" ht="11.25" customFormat="1" customHeight="1" s="6">
      <c r="A270" s="11" t="n">
        <v>269</v>
      </c>
      <c r="B270" s="4" t="inlineStr">
        <is>
          <t>MERCURY / VOYAGE 1</t>
        </is>
      </c>
      <c r="C270" s="4" t="inlineStr">
        <is>
          <t>REF000000</t>
        </is>
      </c>
      <c r="D270" s="7" t="n">
        <v>46095</v>
      </c>
      <c r="E270" s="4" t="n">
        <v>46105</v>
      </c>
      <c r="F270" s="4" t="inlineStr">
        <is>
          <t>RULED</t>
        </is>
      </c>
      <c r="G270" s="4" t="inlineStr">
        <is>
          <t>RULED</t>
        </is>
      </c>
      <c r="H270" s="4" t="inlineStr">
        <is>
          <t>USHOU</t>
        </is>
      </c>
      <c r="I270" s="4" t="inlineStr">
        <is>
          <t>USHOU</t>
        </is>
      </c>
      <c r="J270" s="4" t="n"/>
      <c r="K270" s="8" t="n"/>
      <c r="L270" s="4" t="inlineStr">
        <is>
          <t>FALCON DRY</t>
        </is>
      </c>
      <c r="M270" s="4" t="inlineStr">
        <is>
          <t>FALCON DRY</t>
        </is>
      </c>
      <c r="N270" s="4" t="n"/>
      <c r="O270" s="4" t="n"/>
      <c r="P270" s="4" t="inlineStr">
        <is>
          <t>FALCON DRY</t>
        </is>
      </c>
      <c r="Q270" s="4" t="inlineStr">
        <is>
          <t>FALCON DRY</t>
        </is>
      </c>
      <c r="R270" s="4" t="n"/>
      <c r="S270" s="4" t="n"/>
      <c r="T270" s="4" t="inlineStr">
        <is>
          <t>FALCON DRY</t>
        </is>
      </c>
      <c r="U270" s="4" t="inlineStr">
        <is>
          <t>RUA SOUZA DUTRA, 145, APT SI 807, BAIRRO: ESTREITO - FLORIANOPOLIS/SC CEP: 88070-605 CPNJ: 47.793.079/0003-80</t>
        </is>
      </c>
      <c r="V270" s="4" t="n">
        <v>21</v>
      </c>
      <c r="W270" s="4" t="n">
        <v>0</v>
      </c>
      <c r="X270" s="4" t="inlineStr">
        <is>
          <t>702187.5</t>
        </is>
      </c>
      <c r="Y270" s="4" t="n">
        <v>700000</v>
      </c>
      <c r="Z270" s="4" t="n">
        <v>875</v>
      </c>
      <c r="AA270" s="4" t="n"/>
      <c r="AB270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0" s="4" t="inlineStr">
        <is>
          <t>ANON0000000</t>
        </is>
      </c>
      <c r="AD270" s="4" t="inlineStr">
        <is>
          <t>HC40</t>
        </is>
      </c>
      <c r="AE270" s="4" t="n">
        <v>1229440</v>
      </c>
      <c r="AF270" s="4" t="n"/>
      <c r="AG270" s="4" t="inlineStr">
        <is>
          <t>FCL/FCL</t>
        </is>
      </c>
      <c r="AH270" s="4" t="inlineStr">
        <is>
          <t>GENERAL COMMODITY</t>
        </is>
      </c>
      <c r="AI270" s="4" t="inlineStr">
        <is>
          <t>28087.5</t>
        </is>
      </c>
      <c r="AJ270" s="4" t="n">
        <v>35</v>
      </c>
      <c r="AK270" s="4" t="n">
        <v>2</v>
      </c>
      <c r="AL270" s="4" t="n"/>
      <c r="AM270" s="4" t="n"/>
      <c r="AN270" s="4" t="n"/>
      <c r="AO270" s="4" t="n"/>
      <c r="AP270" s="4" t="n"/>
      <c r="AQ270" s="4" t="n"/>
      <c r="AR270" s="4" t="n">
        <v>3700</v>
      </c>
      <c r="AS270" s="4" t="n">
        <v>27000</v>
      </c>
      <c r="AT270" s="12" t="n"/>
    </row>
    <row r="271" ht="10.5" customFormat="1" customHeight="1" s="6">
      <c r="A271" s="11" t="n">
        <v>270</v>
      </c>
      <c r="B271" s="4" t="inlineStr">
        <is>
          <t>MERCURY / VOYAGE 1</t>
        </is>
      </c>
      <c r="C271" s="4" t="inlineStr">
        <is>
          <t>REF000000</t>
        </is>
      </c>
      <c r="D271" s="7" t="n">
        <v>46095</v>
      </c>
      <c r="E271" s="4" t="n">
        <v>46105</v>
      </c>
      <c r="F271" s="4" t="inlineStr">
        <is>
          <t>RULED</t>
        </is>
      </c>
      <c r="G271" s="4" t="inlineStr">
        <is>
          <t>RULED</t>
        </is>
      </c>
      <c r="H271" s="4" t="inlineStr">
        <is>
          <t>USHOU</t>
        </is>
      </c>
      <c r="I271" s="4" t="inlineStr">
        <is>
          <t>USHOU</t>
        </is>
      </c>
      <c r="J271" s="4" t="n"/>
      <c r="K271" s="8" t="n"/>
      <c r="L271" s="4" t="inlineStr">
        <is>
          <t>WOLF DRY</t>
        </is>
      </c>
      <c r="M271" s="4" t="inlineStr">
        <is>
          <t>WOLF DRY</t>
        </is>
      </c>
      <c r="N271" s="4" t="n"/>
      <c r="O271" s="4" t="n"/>
      <c r="P271" s="4" t="inlineStr">
        <is>
          <t>WOLF DRY</t>
        </is>
      </c>
      <c r="Q271" s="4" t="inlineStr">
        <is>
          <t>WOLF DRY</t>
        </is>
      </c>
      <c r="R271" s="4" t="n"/>
      <c r="S271" s="4" t="n"/>
      <c r="T271" s="4" t="inlineStr">
        <is>
          <t>WOLF DRY</t>
        </is>
      </c>
      <c r="U271" s="4" t="inlineStr">
        <is>
          <t>RUA SOUZA DUTRA, 145, APT SI 807, BAIRRO: ESTREITO - FLORIANOPOLIS/SC CEP: 88070-605 CPNJ: 47.793.079/0003-80</t>
        </is>
      </c>
      <c r="V271" s="4" t="n">
        <v>21</v>
      </c>
      <c r="W271" s="4" t="n">
        <v>0</v>
      </c>
      <c r="X271" s="4" t="inlineStr">
        <is>
          <t>702187.5</t>
        </is>
      </c>
      <c r="Y271" s="4" t="n">
        <v>700000</v>
      </c>
      <c r="Z271" s="4" t="n">
        <v>875</v>
      </c>
      <c r="AA271" s="4" t="n"/>
      <c r="AB271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1" s="4" t="inlineStr">
        <is>
          <t>ANON0000000</t>
        </is>
      </c>
      <c r="AD271" s="4" t="inlineStr">
        <is>
          <t>HC40</t>
        </is>
      </c>
      <c r="AE271" s="4" t="n">
        <v>1253807</v>
      </c>
      <c r="AF271" s="4" t="n"/>
      <c r="AG271" s="4" t="inlineStr">
        <is>
          <t>FCL/FCL</t>
        </is>
      </c>
      <c r="AH271" s="4" t="inlineStr">
        <is>
          <t>GENERAL COMMODITY</t>
        </is>
      </c>
      <c r="AI271" s="4" t="inlineStr">
        <is>
          <t>28087.5</t>
        </is>
      </c>
      <c r="AJ271" s="4" t="n">
        <v>35</v>
      </c>
      <c r="AK271" s="4" t="n">
        <v>2</v>
      </c>
      <c r="AL271" s="4" t="n"/>
      <c r="AM271" s="4" t="n"/>
      <c r="AN271" s="4" t="n"/>
      <c r="AO271" s="4" t="n"/>
      <c r="AP271" s="4" t="n"/>
      <c r="AQ271" s="4" t="n"/>
      <c r="AR271" s="4" t="n">
        <v>3700</v>
      </c>
      <c r="AS271" s="4" t="n">
        <v>27000</v>
      </c>
      <c r="AT271" s="12" t="n"/>
    </row>
    <row r="272" ht="10.5" customFormat="1" customHeight="1" s="6">
      <c r="A272" s="11" t="n">
        <v>271</v>
      </c>
      <c r="B272" s="4" t="inlineStr">
        <is>
          <t>MERCURY / VOYAGE 1</t>
        </is>
      </c>
      <c r="C272" s="4" t="inlineStr">
        <is>
          <t>REF000000</t>
        </is>
      </c>
      <c r="D272" s="7" t="n">
        <v>46095</v>
      </c>
      <c r="E272" s="4" t="n">
        <v>46105</v>
      </c>
      <c r="F272" s="4" t="inlineStr">
        <is>
          <t>RULED</t>
        </is>
      </c>
      <c r="G272" s="4" t="inlineStr">
        <is>
          <t>RULED</t>
        </is>
      </c>
      <c r="H272" s="4" t="inlineStr">
        <is>
          <t>USHOU</t>
        </is>
      </c>
      <c r="I272" s="4" t="inlineStr">
        <is>
          <t>USHOU</t>
        </is>
      </c>
      <c r="J272" s="4" t="n"/>
      <c r="K272" s="8" t="n"/>
      <c r="L272" s="4" t="inlineStr">
        <is>
          <t>DEER DRY</t>
        </is>
      </c>
      <c r="M272" s="4" t="inlineStr">
        <is>
          <t>DEER DRY</t>
        </is>
      </c>
      <c r="N272" s="9" t="n"/>
      <c r="O272" s="9" t="n"/>
      <c r="P272" s="4" t="inlineStr">
        <is>
          <t>DEER DRY</t>
        </is>
      </c>
      <c r="Q272" s="4" t="inlineStr">
        <is>
          <t>DEER DRY</t>
        </is>
      </c>
      <c r="R272" s="4" t="n"/>
      <c r="S272" s="4" t="n"/>
      <c r="T272" s="4" t="inlineStr">
        <is>
          <t>DEER DRY</t>
        </is>
      </c>
      <c r="U272" s="4" t="inlineStr">
        <is>
          <t>RUA SOUZA DUTRA, 145, APT SI 807, BAIRRO: ESTREITO - FLORIANOPOLIS/SC CEP: 88070-605 CPNJ: 47.793.079/0003-80</t>
        </is>
      </c>
      <c r="V272" s="9" t="n">
        <v>21</v>
      </c>
      <c r="W272" s="9" t="n">
        <v>0</v>
      </c>
      <c r="X272" s="10" t="inlineStr">
        <is>
          <t>702187.5</t>
        </is>
      </c>
      <c r="Y272" s="10" t="n">
        <v>700000</v>
      </c>
      <c r="Z272" s="9" t="n">
        <v>875</v>
      </c>
      <c r="AA272" s="4" t="n"/>
      <c r="AB272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2" s="4" t="inlineStr">
        <is>
          <t>ANON0000000</t>
        </is>
      </c>
      <c r="AD272" s="4" t="inlineStr">
        <is>
          <t>HC40</t>
        </is>
      </c>
      <c r="AE272" s="4" t="n">
        <v>1229441</v>
      </c>
      <c r="AF272" s="4" t="n"/>
      <c r="AG272" s="4" t="inlineStr">
        <is>
          <t>FCL/FCL</t>
        </is>
      </c>
      <c r="AH272" s="4" t="inlineStr">
        <is>
          <t>GENERAL COMMODITY</t>
        </is>
      </c>
      <c r="AI272" s="10" t="inlineStr">
        <is>
          <t>28087.5</t>
        </is>
      </c>
      <c r="AJ272" s="9" t="n">
        <v>35</v>
      </c>
      <c r="AK272" s="4" t="n">
        <v>2</v>
      </c>
      <c r="AL272" s="4" t="n"/>
      <c r="AM272" s="4" t="n"/>
      <c r="AN272" s="4" t="n"/>
      <c r="AO272" s="4" t="n"/>
      <c r="AP272" s="4" t="n"/>
      <c r="AQ272" s="4" t="n"/>
      <c r="AR272" s="4" t="n">
        <v>3700</v>
      </c>
      <c r="AS272" s="4" t="n">
        <v>27000</v>
      </c>
      <c r="AT272" s="12" t="n"/>
    </row>
    <row r="273" ht="10.5" customFormat="1" customHeight="1" s="6">
      <c r="A273" s="11" t="n">
        <v>272</v>
      </c>
      <c r="B273" s="4" t="inlineStr">
        <is>
          <t>MERCURY / VOYAGE 1</t>
        </is>
      </c>
      <c r="C273" s="4" t="inlineStr">
        <is>
          <t>REF000000</t>
        </is>
      </c>
      <c r="D273" s="7" t="n">
        <v>46095</v>
      </c>
      <c r="E273" s="4" t="n">
        <v>46105</v>
      </c>
      <c r="F273" s="4" t="inlineStr">
        <is>
          <t>RULED</t>
        </is>
      </c>
      <c r="G273" s="4" t="inlineStr">
        <is>
          <t>RULED</t>
        </is>
      </c>
      <c r="H273" s="4" t="inlineStr">
        <is>
          <t>USHOU</t>
        </is>
      </c>
      <c r="I273" s="4" t="inlineStr">
        <is>
          <t>USHOU</t>
        </is>
      </c>
      <c r="J273" s="4" t="n"/>
      <c r="K273" s="8" t="n"/>
      <c r="L273" s="4" t="inlineStr">
        <is>
          <t>FOX DRY</t>
        </is>
      </c>
      <c r="M273" s="4" t="inlineStr">
        <is>
          <t>FOX DRY</t>
        </is>
      </c>
      <c r="N273" s="9" t="n"/>
      <c r="O273" s="9" t="n"/>
      <c r="P273" s="4" t="inlineStr">
        <is>
          <t>FOX DRY</t>
        </is>
      </c>
      <c r="Q273" s="4" t="inlineStr">
        <is>
          <t>FOX DRY</t>
        </is>
      </c>
      <c r="R273" s="4" t="n"/>
      <c r="S273" s="4" t="n"/>
      <c r="T273" s="4" t="inlineStr">
        <is>
          <t>FOX DRY</t>
        </is>
      </c>
      <c r="U273" s="4" t="inlineStr">
        <is>
          <t>RUA SOUZA DUTRA, 145, APT SI 807, BAIRRO: ESTREITO - FLORIANOPOLIS/SC CEP: 88070-605 CPNJ: 47.793.079/0003-80</t>
        </is>
      </c>
      <c r="V273" s="9" t="n">
        <v>21</v>
      </c>
      <c r="W273" s="9" t="n">
        <v>0</v>
      </c>
      <c r="X273" s="10" t="inlineStr">
        <is>
          <t>702187.5</t>
        </is>
      </c>
      <c r="Y273" s="10" t="n">
        <v>700000</v>
      </c>
      <c r="Z273" s="9" t="n">
        <v>875</v>
      </c>
      <c r="AA273" s="4" t="n"/>
      <c r="AB273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3" s="4" t="inlineStr">
        <is>
          <t>ANON0000000</t>
        </is>
      </c>
      <c r="AD273" s="4" t="inlineStr">
        <is>
          <t>HC40</t>
        </is>
      </c>
      <c r="AE273" s="4" t="n">
        <v>1229446</v>
      </c>
      <c r="AF273" s="4" t="n"/>
      <c r="AG273" s="4" t="inlineStr">
        <is>
          <t>FCL/FCL</t>
        </is>
      </c>
      <c r="AH273" s="4" t="inlineStr">
        <is>
          <t>GENERAL COMMODITY</t>
        </is>
      </c>
      <c r="AI273" s="10" t="inlineStr">
        <is>
          <t>28087.5</t>
        </is>
      </c>
      <c r="AJ273" s="9" t="n">
        <v>35</v>
      </c>
      <c r="AK273" s="4" t="n">
        <v>2</v>
      </c>
      <c r="AL273" s="4" t="n"/>
      <c r="AM273" s="4" t="n"/>
      <c r="AN273" s="4" t="n"/>
      <c r="AO273" s="4" t="n"/>
      <c r="AP273" s="4" t="n"/>
      <c r="AQ273" s="4" t="n"/>
      <c r="AR273" s="4" t="n">
        <v>3700</v>
      </c>
      <c r="AS273" s="4" t="n">
        <v>27000</v>
      </c>
      <c r="AT273" s="12" t="n"/>
    </row>
    <row r="274" ht="10.5" customFormat="1" customHeight="1" s="6">
      <c r="A274" s="11" t="n">
        <v>273</v>
      </c>
      <c r="B274" s="4" t="inlineStr">
        <is>
          <t>MERCURY / VOYAGE 1</t>
        </is>
      </c>
      <c r="C274" s="4" t="inlineStr">
        <is>
          <t>REF000000</t>
        </is>
      </c>
      <c r="D274" s="7" t="n">
        <v>46095</v>
      </c>
      <c r="E274" s="4" t="n">
        <v>46105</v>
      </c>
      <c r="F274" s="4" t="inlineStr">
        <is>
          <t>RULED</t>
        </is>
      </c>
      <c r="G274" s="4" t="inlineStr">
        <is>
          <t>RULED</t>
        </is>
      </c>
      <c r="H274" s="4" t="inlineStr">
        <is>
          <t>USHOU</t>
        </is>
      </c>
      <c r="I274" s="4" t="inlineStr">
        <is>
          <t>USHOU</t>
        </is>
      </c>
      <c r="J274" s="4" t="n"/>
      <c r="K274" s="8" t="n"/>
      <c r="L274" s="4" t="inlineStr">
        <is>
          <t>BISON DRY</t>
        </is>
      </c>
      <c r="M274" s="4" t="inlineStr">
        <is>
          <t>BISON DRY</t>
        </is>
      </c>
      <c r="N274" s="9" t="n"/>
      <c r="O274" s="9" t="n"/>
      <c r="P274" s="4" t="inlineStr">
        <is>
          <t>BISON DRY</t>
        </is>
      </c>
      <c r="Q274" s="4" t="inlineStr">
        <is>
          <t>BISON DRY</t>
        </is>
      </c>
      <c r="R274" s="4" t="n"/>
      <c r="S274" s="4" t="n"/>
      <c r="T274" s="4" t="inlineStr">
        <is>
          <t>BISON DRY</t>
        </is>
      </c>
      <c r="U274" s="4" t="inlineStr">
        <is>
          <t>RUA SOUZA DUTRA, 145, APT SI 807, BAIRRO: ESTREITO - FLORIANOPOLIS/SC CEP: 88070-605 CPNJ: 47.793.079/0003-80</t>
        </is>
      </c>
      <c r="V274" s="9" t="n">
        <v>21</v>
      </c>
      <c r="W274" s="9" t="n">
        <v>0</v>
      </c>
      <c r="X274" s="10" t="inlineStr">
        <is>
          <t>702187.5</t>
        </is>
      </c>
      <c r="Y274" s="10" t="n">
        <v>700000</v>
      </c>
      <c r="Z274" s="9" t="n">
        <v>875</v>
      </c>
      <c r="AA274" s="4" t="n"/>
      <c r="AB274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4" s="4" t="inlineStr">
        <is>
          <t>ANON0000000</t>
        </is>
      </c>
      <c r="AD274" s="4" t="inlineStr">
        <is>
          <t>HC40</t>
        </is>
      </c>
      <c r="AE274" s="4" t="n">
        <v>1229439</v>
      </c>
      <c r="AF274" s="4" t="n"/>
      <c r="AG274" s="4" t="inlineStr">
        <is>
          <t>FCL/FCL</t>
        </is>
      </c>
      <c r="AH274" s="4" t="inlineStr">
        <is>
          <t>GENERAL COMMODITY</t>
        </is>
      </c>
      <c r="AI274" s="10" t="inlineStr">
        <is>
          <t>28087.5</t>
        </is>
      </c>
      <c r="AJ274" s="9" t="n">
        <v>35</v>
      </c>
      <c r="AK274" s="4" t="n">
        <v>2</v>
      </c>
      <c r="AL274" s="4" t="n"/>
      <c r="AM274" s="4" t="n"/>
      <c r="AN274" s="4" t="n"/>
      <c r="AO274" s="4" t="n"/>
      <c r="AP274" s="4" t="n"/>
      <c r="AQ274" s="4" t="n"/>
      <c r="AR274" s="4" t="n">
        <v>3700</v>
      </c>
      <c r="AS274" s="4" t="n">
        <v>27000</v>
      </c>
      <c r="AT274" s="12" t="n"/>
    </row>
    <row r="275" ht="11.25" customFormat="1" customHeight="1" s="6">
      <c r="A275" s="11" t="n">
        <v>274</v>
      </c>
      <c r="B275" s="4" t="inlineStr">
        <is>
          <t>MERCURY / VOYAGE 1</t>
        </is>
      </c>
      <c r="C275" s="4" t="inlineStr">
        <is>
          <t>REF000000</t>
        </is>
      </c>
      <c r="D275" s="7" t="n">
        <v>46095</v>
      </c>
      <c r="E275" s="4" t="n">
        <v>46105</v>
      </c>
      <c r="F275" s="4" t="inlineStr">
        <is>
          <t>RULED</t>
        </is>
      </c>
      <c r="G275" s="4" t="inlineStr">
        <is>
          <t>RULED</t>
        </is>
      </c>
      <c r="H275" s="4" t="inlineStr">
        <is>
          <t>USHOU</t>
        </is>
      </c>
      <c r="I275" s="4" t="inlineStr">
        <is>
          <t>USHOU</t>
        </is>
      </c>
      <c r="J275" s="4" t="n"/>
      <c r="K275" s="8" t="n"/>
      <c r="L275" s="4" t="inlineStr">
        <is>
          <t>EAGLE DRY</t>
        </is>
      </c>
      <c r="M275" s="4" t="inlineStr">
        <is>
          <t>EAGLE DRY</t>
        </is>
      </c>
      <c r="N275" s="9" t="n"/>
      <c r="O275" s="9" t="n"/>
      <c r="P275" s="4" t="inlineStr">
        <is>
          <t>EAGLE DRY</t>
        </is>
      </c>
      <c r="Q275" s="4" t="inlineStr">
        <is>
          <t>EAGLE DRY</t>
        </is>
      </c>
      <c r="R275" s="4" t="n"/>
      <c r="S275" s="4" t="n"/>
      <c r="T275" s="4" t="inlineStr">
        <is>
          <t>EAGLE DRY</t>
        </is>
      </c>
      <c r="U275" s="4" t="inlineStr">
        <is>
          <t>RUA SOUZA DUTRA, 145, APT SI 807, BAIRRO: ESTREITO - FLORIANOPOLIS/SC CEP: 88070-605 CPNJ: 47.793.079/0003-80</t>
        </is>
      </c>
      <c r="V275" s="9" t="n">
        <v>21</v>
      </c>
      <c r="W275" s="9" t="n">
        <v>0</v>
      </c>
      <c r="X275" s="10" t="inlineStr">
        <is>
          <t>702187.5</t>
        </is>
      </c>
      <c r="Y275" s="10" t="n">
        <v>700000</v>
      </c>
      <c r="Z275" s="9" t="n">
        <v>875</v>
      </c>
      <c r="AA275" s="4" t="n"/>
      <c r="AB275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5" s="4" t="inlineStr">
        <is>
          <t>ANON0000000</t>
        </is>
      </c>
      <c r="AD275" s="4" t="inlineStr">
        <is>
          <t>HC40</t>
        </is>
      </c>
      <c r="AE275" s="4" t="n">
        <v>1229443</v>
      </c>
      <c r="AF275" s="4" t="n"/>
      <c r="AG275" s="4" t="inlineStr">
        <is>
          <t>FCL/FCL</t>
        </is>
      </c>
      <c r="AH275" s="4" t="inlineStr">
        <is>
          <t>GENERAL COMMODITY</t>
        </is>
      </c>
      <c r="AI275" s="10" t="inlineStr">
        <is>
          <t>28087.5</t>
        </is>
      </c>
      <c r="AJ275" s="9" t="n">
        <v>35</v>
      </c>
      <c r="AK275" s="4" t="n">
        <v>2</v>
      </c>
      <c r="AL275" s="4" t="n"/>
      <c r="AM275" s="4" t="n"/>
      <c r="AN275" s="4" t="n"/>
      <c r="AO275" s="4" t="n"/>
      <c r="AP275" s="4" t="n"/>
      <c r="AQ275" s="4" t="n"/>
      <c r="AR275" s="4" t="n">
        <v>3700</v>
      </c>
      <c r="AS275" s="4" t="n">
        <v>27000</v>
      </c>
      <c r="AT275" s="12" t="n"/>
    </row>
    <row r="276" ht="10.5" customFormat="1" customHeight="1" s="6">
      <c r="A276" s="11" t="n">
        <v>275</v>
      </c>
      <c r="B276" s="4" t="inlineStr">
        <is>
          <t>MERCURY / VOYAGE 1</t>
        </is>
      </c>
      <c r="C276" s="4" t="inlineStr">
        <is>
          <t>REF000000</t>
        </is>
      </c>
      <c r="D276" s="7" t="n">
        <v>46095</v>
      </c>
      <c r="E276" s="4" t="n">
        <v>46105</v>
      </c>
      <c r="F276" s="4" t="inlineStr">
        <is>
          <t>RULED</t>
        </is>
      </c>
      <c r="G276" s="4" t="inlineStr">
        <is>
          <t>RULED</t>
        </is>
      </c>
      <c r="H276" s="4" t="inlineStr">
        <is>
          <t>USHOU</t>
        </is>
      </c>
      <c r="I276" s="4" t="inlineStr">
        <is>
          <t>USHOU</t>
        </is>
      </c>
      <c r="J276" s="4" t="n"/>
      <c r="K276" s="8" t="n"/>
      <c r="L276" s="4" t="inlineStr">
        <is>
          <t>COYOTE DRY</t>
        </is>
      </c>
      <c r="M276" s="4" t="inlineStr">
        <is>
          <t>COYOTE DRY</t>
        </is>
      </c>
      <c r="N276" s="9" t="n"/>
      <c r="O276" s="9" t="n"/>
      <c r="P276" s="4" t="inlineStr">
        <is>
          <t>COYOTE DRY</t>
        </is>
      </c>
      <c r="Q276" s="4" t="inlineStr">
        <is>
          <t>COYOTE DRY</t>
        </is>
      </c>
      <c r="R276" s="4" t="n"/>
      <c r="S276" s="4" t="n"/>
      <c r="T276" s="4" t="inlineStr">
        <is>
          <t>COYOTE DRY</t>
        </is>
      </c>
      <c r="U276" s="4" t="inlineStr">
        <is>
          <t>RUA SOUZA DUTRA, 145, APT SI 807, BAIRRO: ESTREITO - FLORIANOPOLIS/SC CEP: 88070-605 CPNJ: 47.793.079/0003-80</t>
        </is>
      </c>
      <c r="V276" s="9" t="n">
        <v>21</v>
      </c>
      <c r="W276" s="9" t="n">
        <v>0</v>
      </c>
      <c r="X276" s="10" t="inlineStr">
        <is>
          <t>702187.5</t>
        </is>
      </c>
      <c r="Y276" s="10" t="n">
        <v>700000</v>
      </c>
      <c r="Z276" s="9" t="n">
        <v>875</v>
      </c>
      <c r="AA276" s="4" t="n"/>
      <c r="AB276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6" s="4" t="inlineStr">
        <is>
          <t>ANON0000000</t>
        </is>
      </c>
      <c r="AD276" s="4" t="inlineStr">
        <is>
          <t>HC40</t>
        </is>
      </c>
      <c r="AE276" s="4" t="n">
        <v>1229448</v>
      </c>
      <c r="AF276" s="4" t="n"/>
      <c r="AG276" s="4" t="inlineStr">
        <is>
          <t>FCL/FCL</t>
        </is>
      </c>
      <c r="AH276" s="4" t="inlineStr">
        <is>
          <t>GENERAL COMMODITY</t>
        </is>
      </c>
      <c r="AI276" s="10" t="inlineStr">
        <is>
          <t>28087.5</t>
        </is>
      </c>
      <c r="AJ276" s="9" t="n">
        <v>35</v>
      </c>
      <c r="AK276" s="4" t="n">
        <v>2</v>
      </c>
      <c r="AL276" s="4" t="n"/>
      <c r="AM276" s="4" t="n"/>
      <c r="AN276" s="4" t="n"/>
      <c r="AO276" s="4" t="n"/>
      <c r="AP276" s="4" t="n"/>
      <c r="AQ276" s="4" t="n"/>
      <c r="AR276" s="4" t="n">
        <v>3700</v>
      </c>
      <c r="AS276" s="4" t="n">
        <v>27000</v>
      </c>
      <c r="AT276" s="12" t="n"/>
    </row>
    <row r="277" ht="10.5" customFormat="1" customHeight="1" s="6">
      <c r="A277" s="11" t="n">
        <v>276</v>
      </c>
      <c r="B277" s="4" t="inlineStr">
        <is>
          <t>MERCURY / VOYAGE 1</t>
        </is>
      </c>
      <c r="C277" s="4" t="inlineStr">
        <is>
          <t>REF000000</t>
        </is>
      </c>
      <c r="D277" s="7" t="n">
        <v>46095</v>
      </c>
      <c r="E277" s="4" t="n">
        <v>46105</v>
      </c>
      <c r="F277" s="4" t="inlineStr">
        <is>
          <t>RULED</t>
        </is>
      </c>
      <c r="G277" s="4" t="inlineStr">
        <is>
          <t>RULED</t>
        </is>
      </c>
      <c r="H277" s="4" t="inlineStr">
        <is>
          <t>USHOU</t>
        </is>
      </c>
      <c r="I277" s="4" t="inlineStr">
        <is>
          <t>USHOU</t>
        </is>
      </c>
      <c r="J277" s="4" t="n"/>
      <c r="K277" s="8" t="n"/>
      <c r="L277" s="4" t="inlineStr">
        <is>
          <t>FALCON DRY</t>
        </is>
      </c>
      <c r="M277" s="4" t="inlineStr">
        <is>
          <t>FALCON DRY</t>
        </is>
      </c>
      <c r="N277" s="9" t="n"/>
      <c r="O277" s="9" t="n"/>
      <c r="P277" s="4" t="inlineStr">
        <is>
          <t>FALCON DRY</t>
        </is>
      </c>
      <c r="Q277" s="4" t="inlineStr">
        <is>
          <t>FALCON DRY</t>
        </is>
      </c>
      <c r="R277" s="4" t="n"/>
      <c r="S277" s="4" t="n"/>
      <c r="T277" s="4" t="inlineStr">
        <is>
          <t>FALCON DRY</t>
        </is>
      </c>
      <c r="U277" s="4" t="inlineStr">
        <is>
          <t>RUA SOUZA DUTRA, 145, APT SI 807, BAIRRO: ESTREITO - FLORIANOPOLIS/SC CEP: 88070-605 CPNJ: 47.793.079/0003-80</t>
        </is>
      </c>
      <c r="V277" s="9" t="n">
        <v>21</v>
      </c>
      <c r="W277" s="9" t="n">
        <v>0</v>
      </c>
      <c r="X277" s="10" t="inlineStr">
        <is>
          <t>702187.5</t>
        </is>
      </c>
      <c r="Y277" s="10" t="n">
        <v>700000</v>
      </c>
      <c r="Z277" s="9" t="n">
        <v>875</v>
      </c>
      <c r="AA277" s="4" t="n"/>
      <c r="AB277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7" s="4" t="inlineStr">
        <is>
          <t>ANON0000000</t>
        </is>
      </c>
      <c r="AD277" s="4" t="inlineStr">
        <is>
          <t>HC40</t>
        </is>
      </c>
      <c r="AE277" s="4" t="n">
        <v>1229444</v>
      </c>
      <c r="AF277" s="4" t="n"/>
      <c r="AG277" s="4" t="inlineStr">
        <is>
          <t>FCL/FCL</t>
        </is>
      </c>
      <c r="AH277" s="4" t="inlineStr">
        <is>
          <t>GENERAL COMMODITY</t>
        </is>
      </c>
      <c r="AI277" s="10" t="inlineStr">
        <is>
          <t>28087.5</t>
        </is>
      </c>
      <c r="AJ277" s="9" t="n">
        <v>35</v>
      </c>
      <c r="AK277" s="4" t="n">
        <v>2</v>
      </c>
      <c r="AL277" s="4" t="n"/>
      <c r="AM277" s="4" t="n"/>
      <c r="AN277" s="4" t="n"/>
      <c r="AO277" s="4" t="n"/>
      <c r="AP277" s="4" t="n"/>
      <c r="AQ277" s="4" t="n"/>
      <c r="AR277" s="4" t="n">
        <v>3700</v>
      </c>
      <c r="AS277" s="4" t="n">
        <v>27000</v>
      </c>
      <c r="AT277" s="12" t="n"/>
    </row>
    <row r="278" ht="10.5" customFormat="1" customHeight="1" s="6">
      <c r="A278" s="11" t="n">
        <v>277</v>
      </c>
      <c r="B278" s="4" t="inlineStr">
        <is>
          <t>MERCURY / VOYAGE 1</t>
        </is>
      </c>
      <c r="C278" s="4" t="inlineStr">
        <is>
          <t>REF000000</t>
        </is>
      </c>
      <c r="D278" s="7" t="n">
        <v>46095</v>
      </c>
      <c r="E278" s="4" t="n">
        <v>46105</v>
      </c>
      <c r="F278" s="4" t="inlineStr">
        <is>
          <t>RULED</t>
        </is>
      </c>
      <c r="G278" s="4" t="inlineStr">
        <is>
          <t>RULED</t>
        </is>
      </c>
      <c r="H278" s="4" t="inlineStr">
        <is>
          <t>USHOU</t>
        </is>
      </c>
      <c r="I278" s="4" t="inlineStr">
        <is>
          <t>USHOU</t>
        </is>
      </c>
      <c r="J278" s="4" t="n"/>
      <c r="K278" s="8" t="n"/>
      <c r="L278" s="4" t="inlineStr">
        <is>
          <t>WOLF DRY</t>
        </is>
      </c>
      <c r="M278" s="4" t="inlineStr">
        <is>
          <t>WOLF DRY</t>
        </is>
      </c>
      <c r="N278" s="9" t="n"/>
      <c r="O278" s="9" t="n"/>
      <c r="P278" s="4" t="inlineStr">
        <is>
          <t>WOLF DRY</t>
        </is>
      </c>
      <c r="Q278" s="4" t="inlineStr">
        <is>
          <t>WOLF DRY</t>
        </is>
      </c>
      <c r="R278" s="4" t="n"/>
      <c r="S278" s="4" t="n"/>
      <c r="T278" s="4" t="inlineStr">
        <is>
          <t>WOLF DRY</t>
        </is>
      </c>
      <c r="U278" s="4" t="inlineStr">
        <is>
          <t>RUA SOUZA DUTRA, 145, APT SI 807, BAIRRO: ESTREITO - FLORIANOPOLIS/SC CEP: 88070-605 CPNJ: 47.793.079/0003-80</t>
        </is>
      </c>
      <c r="V278" s="9" t="n">
        <v>21</v>
      </c>
      <c r="W278" s="9" t="n">
        <v>0</v>
      </c>
      <c r="X278" s="10" t="inlineStr">
        <is>
          <t>702187.5</t>
        </is>
      </c>
      <c r="Y278" s="10" t="n">
        <v>700000</v>
      </c>
      <c r="Z278" s="9" t="n">
        <v>875</v>
      </c>
      <c r="AA278" s="4" t="n"/>
      <c r="AB278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8" s="4" t="inlineStr">
        <is>
          <t>ANON0000000</t>
        </is>
      </c>
      <c r="AD278" s="4" t="inlineStr">
        <is>
          <t>HC40</t>
        </is>
      </c>
      <c r="AE278" s="4" t="n">
        <v>1253806</v>
      </c>
      <c r="AF278" s="4" t="n"/>
      <c r="AG278" s="4" t="inlineStr">
        <is>
          <t>FCL/FCL</t>
        </is>
      </c>
      <c r="AH278" s="4" t="inlineStr">
        <is>
          <t>GENERAL COMMODITY</t>
        </is>
      </c>
      <c r="AI278" s="10" t="inlineStr">
        <is>
          <t>28087.5</t>
        </is>
      </c>
      <c r="AJ278" s="9" t="n">
        <v>35</v>
      </c>
      <c r="AK278" s="4" t="n">
        <v>2</v>
      </c>
      <c r="AL278" s="4" t="n"/>
      <c r="AM278" s="4" t="n"/>
      <c r="AN278" s="4" t="n"/>
      <c r="AO278" s="4" t="n"/>
      <c r="AP278" s="4" t="n"/>
      <c r="AQ278" s="4" t="n"/>
      <c r="AR278" s="4" t="n">
        <v>3700</v>
      </c>
      <c r="AS278" s="4" t="n">
        <v>27000</v>
      </c>
      <c r="AT278" s="12" t="n"/>
    </row>
    <row r="279" ht="10.5" customFormat="1" customHeight="1" s="6">
      <c r="A279" s="11" t="n">
        <v>278</v>
      </c>
      <c r="B279" s="4" t="inlineStr">
        <is>
          <t>MERCURY / VOYAGE 1</t>
        </is>
      </c>
      <c r="C279" s="4" t="inlineStr">
        <is>
          <t>REF000000</t>
        </is>
      </c>
      <c r="D279" s="7" t="n">
        <v>46095</v>
      </c>
      <c r="E279" s="4" t="n">
        <v>46105</v>
      </c>
      <c r="F279" s="4" t="inlineStr">
        <is>
          <t>RULED</t>
        </is>
      </c>
      <c r="G279" s="4" t="inlineStr">
        <is>
          <t>RULED</t>
        </is>
      </c>
      <c r="H279" s="4" t="inlineStr">
        <is>
          <t>USHOU</t>
        </is>
      </c>
      <c r="I279" s="4" t="inlineStr">
        <is>
          <t>USHOU</t>
        </is>
      </c>
      <c r="J279" s="4" t="n"/>
      <c r="K279" s="8" t="n"/>
      <c r="L279" s="4" t="inlineStr">
        <is>
          <t>DEER DRY</t>
        </is>
      </c>
      <c r="M279" s="4" t="inlineStr">
        <is>
          <t>DEER DRY</t>
        </is>
      </c>
      <c r="N279" s="9" t="n"/>
      <c r="O279" s="9" t="n"/>
      <c r="P279" s="4" t="inlineStr">
        <is>
          <t>DEER DRY</t>
        </is>
      </c>
      <c r="Q279" s="4" t="inlineStr">
        <is>
          <t>DEER DRY</t>
        </is>
      </c>
      <c r="R279" s="4" t="n"/>
      <c r="S279" s="4" t="n"/>
      <c r="T279" s="4" t="inlineStr">
        <is>
          <t>DEER DRY</t>
        </is>
      </c>
      <c r="U279" s="4" t="inlineStr">
        <is>
          <t>RUA SOUZA DUTRA, 145, APT SI 807, BAIRRO: ESTREITO - FLORIANOPOLIS/SC CEP: 88070-605 CPNJ: 47.793.079/0003-80</t>
        </is>
      </c>
      <c r="V279" s="9" t="n">
        <v>21</v>
      </c>
      <c r="W279" s="9" t="n">
        <v>0</v>
      </c>
      <c r="X279" s="10" t="inlineStr">
        <is>
          <t>702187.5</t>
        </is>
      </c>
      <c r="Y279" s="10" t="n">
        <v>700000</v>
      </c>
      <c r="Z279" s="9" t="n">
        <v>875</v>
      </c>
      <c r="AA279" s="4" t="n"/>
      <c r="AB279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79" s="4" t="inlineStr">
        <is>
          <t>ANON0000000</t>
        </is>
      </c>
      <c r="AD279" s="4" t="inlineStr">
        <is>
          <t>HC40</t>
        </is>
      </c>
      <c r="AE279" s="4" t="n">
        <v>1229438</v>
      </c>
      <c r="AF279" s="4" t="n"/>
      <c r="AG279" s="4" t="inlineStr">
        <is>
          <t>FCL/FCL</t>
        </is>
      </c>
      <c r="AH279" s="4" t="inlineStr">
        <is>
          <t>GENERAL COMMODITY</t>
        </is>
      </c>
      <c r="AI279" s="10" t="inlineStr">
        <is>
          <t>28087.5</t>
        </is>
      </c>
      <c r="AJ279" s="9" t="n">
        <v>35</v>
      </c>
      <c r="AK279" s="4" t="n">
        <v>2</v>
      </c>
      <c r="AL279" s="4" t="n"/>
      <c r="AM279" s="4" t="n"/>
      <c r="AN279" s="4" t="n"/>
      <c r="AO279" s="4" t="n"/>
      <c r="AP279" s="4" t="n"/>
      <c r="AQ279" s="4" t="n"/>
      <c r="AR279" s="4" t="n">
        <v>3700</v>
      </c>
      <c r="AS279" s="4" t="n">
        <v>27000</v>
      </c>
      <c r="AT279" s="12" t="n"/>
    </row>
    <row r="280" ht="11.25" customFormat="1" customHeight="1" s="6">
      <c r="A280" s="11" t="n">
        <v>279</v>
      </c>
      <c r="B280" s="4" t="inlineStr">
        <is>
          <t>MERCURY / VOYAGE 1</t>
        </is>
      </c>
      <c r="C280" s="4" t="inlineStr">
        <is>
          <t>REF000000</t>
        </is>
      </c>
      <c r="D280" s="7" t="n">
        <v>46095</v>
      </c>
      <c r="E280" s="4" t="n">
        <v>46105</v>
      </c>
      <c r="F280" s="4" t="inlineStr">
        <is>
          <t>RULED</t>
        </is>
      </c>
      <c r="G280" s="4" t="inlineStr">
        <is>
          <t>RULED</t>
        </is>
      </c>
      <c r="H280" s="4" t="inlineStr">
        <is>
          <t>USHOU</t>
        </is>
      </c>
      <c r="I280" s="4" t="inlineStr">
        <is>
          <t>USHOU</t>
        </is>
      </c>
      <c r="J280" s="4" t="n"/>
      <c r="K280" s="8" t="n"/>
      <c r="L280" s="4" t="inlineStr">
        <is>
          <t>FOX DRY</t>
        </is>
      </c>
      <c r="M280" s="4" t="inlineStr">
        <is>
          <t>FOX DRY</t>
        </is>
      </c>
      <c r="N280" s="9" t="n"/>
      <c r="O280" s="9" t="n"/>
      <c r="P280" s="4" t="inlineStr">
        <is>
          <t>FOX DRY</t>
        </is>
      </c>
      <c r="Q280" s="4" t="inlineStr">
        <is>
          <t>FOX DRY</t>
        </is>
      </c>
      <c r="R280" s="4" t="n"/>
      <c r="S280" s="4" t="n"/>
      <c r="T280" s="4" t="inlineStr">
        <is>
          <t>FOX DRY</t>
        </is>
      </c>
      <c r="U280" s="4" t="inlineStr">
        <is>
          <t>RUA SOUZA DUTRA, 145, APT SI 807, BAIRRO: ESTREITO - FLORIANOPOLIS/SC CEP: 88070-605 CPNJ: 47.793.079/0003-80</t>
        </is>
      </c>
      <c r="V280" s="9" t="n">
        <v>21</v>
      </c>
      <c r="W280" s="9" t="n">
        <v>0</v>
      </c>
      <c r="X280" s="10" t="inlineStr">
        <is>
          <t>702187.5</t>
        </is>
      </c>
      <c r="Y280" s="10" t="n">
        <v>700000</v>
      </c>
      <c r="Z280" s="9" t="n">
        <v>875</v>
      </c>
      <c r="AA280" s="4" t="n"/>
      <c r="AB280" s="4" t="inlineStr">
        <is>
          <t>SAID TO CONTAIN / WEIGH &amp; MEASURE PRILLED UREA WITHOUT COATING, WITH MINIMUM OF TOTAL NITROGEN (AZOTE) OF 46%, BY WEIGHT, CALCULATED ON THE ANHYDROUS PRODUCT IN THE DRY STATE IN BIG BAG. NCM 3102.10.10 Total net weight: 700.000 MT Total gross weight: 702.1875 MT Total number of bags: 875 Wooden package is not applicable.</t>
        </is>
      </c>
      <c r="AC280" s="4" t="inlineStr">
        <is>
          <t>ANON0000000</t>
        </is>
      </c>
      <c r="AD280" s="4" t="inlineStr">
        <is>
          <t>HC40</t>
        </is>
      </c>
      <c r="AE280" s="4" t="n">
        <v>1229433</v>
      </c>
      <c r="AF280" s="4" t="n"/>
      <c r="AG280" s="4" t="inlineStr">
        <is>
          <t>FCL/FCL</t>
        </is>
      </c>
      <c r="AH280" s="4" t="inlineStr">
        <is>
          <t>GENERAL COMMODITY</t>
        </is>
      </c>
      <c r="AI280" s="10" t="inlineStr">
        <is>
          <t>28087.5</t>
        </is>
      </c>
      <c r="AJ280" s="9" t="n">
        <v>35</v>
      </c>
      <c r="AK280" s="4" t="n">
        <v>2</v>
      </c>
      <c r="AL280" s="4" t="n"/>
      <c r="AM280" s="4" t="n"/>
      <c r="AN280" s="4" t="n"/>
      <c r="AO280" s="4" t="n"/>
      <c r="AP280" s="4" t="n"/>
      <c r="AQ280" s="4" t="n"/>
      <c r="AR280" s="4" t="n">
        <v>3700</v>
      </c>
      <c r="AS280" s="4" t="n">
        <v>27000</v>
      </c>
      <c r="AT280" s="12" t="n"/>
    </row>
    <row r="281" ht="10.5" customFormat="1" customHeight="1" s="6">
      <c r="A281" s="11" t="n">
        <v>280</v>
      </c>
      <c r="B281" s="4" t="inlineStr">
        <is>
          <t>MERCURY / VOYAGE 1</t>
        </is>
      </c>
      <c r="C281" s="4" t="inlineStr">
        <is>
          <t>REF000000</t>
        </is>
      </c>
      <c r="D281" s="7" t="n">
        <v>46095</v>
      </c>
      <c r="E281" s="4" t="n">
        <v>46105</v>
      </c>
      <c r="F281" s="4" t="inlineStr">
        <is>
          <t>RULED</t>
        </is>
      </c>
      <c r="G281" s="4" t="inlineStr">
        <is>
          <t>RULED</t>
        </is>
      </c>
      <c r="H281" s="4" t="inlineStr">
        <is>
          <t>USHOU</t>
        </is>
      </c>
      <c r="I281" s="4" t="inlineStr">
        <is>
          <t>USHOU</t>
        </is>
      </c>
      <c r="J281" s="4" t="n"/>
      <c r="K281" s="8" t="n"/>
      <c r="L281" s="4" t="inlineStr">
        <is>
          <t>BISON DRY</t>
        </is>
      </c>
      <c r="M281" s="4" t="inlineStr">
        <is>
          <t>BISON DRY</t>
        </is>
      </c>
      <c r="N281" s="9" t="n"/>
      <c r="O281" s="9" t="n"/>
      <c r="P281" s="4" t="inlineStr">
        <is>
          <t>BISON DRY</t>
        </is>
      </c>
      <c r="Q281" s="4" t="inlineStr">
        <is>
          <t>BISON DRY</t>
        </is>
      </c>
      <c r="R281" s="4" t="n"/>
      <c r="S281" s="4" t="n"/>
      <c r="T281" s="4" t="inlineStr">
        <is>
          <t>BISON DRY</t>
        </is>
      </c>
      <c r="U281" s="4" t="inlineStr">
        <is>
          <t>RUA GUSTAVO GUMZ, 381 - RIO CERRO II CEP 89261-700 JARAGUA DO SUL SC / BRASIL CNPJ 81.632.093/0016-55</t>
        </is>
      </c>
      <c r="V281" s="9" t="n">
        <v>21</v>
      </c>
      <c r="W281" s="9" t="n">
        <v>0</v>
      </c>
      <c r="X281" s="10" t="n">
        <v>505575</v>
      </c>
      <c r="Y281" s="10" t="n">
        <v>504000</v>
      </c>
      <c r="Z281" s="9" t="n">
        <v>630</v>
      </c>
      <c r="AA281" s="4" t="n"/>
      <c r="AB281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1" s="4" t="inlineStr">
        <is>
          <t>ANON0000000</t>
        </is>
      </c>
      <c r="AD281" s="4" t="inlineStr">
        <is>
          <t>HC40</t>
        </is>
      </c>
      <c r="AE281" s="4" t="n">
        <v>1279355</v>
      </c>
      <c r="AF281" s="4" t="n"/>
      <c r="AG281" s="4" t="inlineStr">
        <is>
          <t>FCL/FCL</t>
        </is>
      </c>
      <c r="AH281" s="4" t="inlineStr">
        <is>
          <t>GENERAL COMMODITY</t>
        </is>
      </c>
      <c r="AI281" s="10" t="inlineStr">
        <is>
          <t>28087.5</t>
        </is>
      </c>
      <c r="AJ281" s="9" t="n">
        <v>35</v>
      </c>
      <c r="AK281" s="4" t="inlineStr">
        <is>
          <t>BAG</t>
        </is>
      </c>
      <c r="AL281" s="4" t="n"/>
      <c r="AM281" s="4" t="n"/>
      <c r="AN281" s="4" t="n"/>
      <c r="AO281" s="4" t="n"/>
      <c r="AP281" s="4" t="n"/>
      <c r="AQ281" s="4" t="n"/>
      <c r="AR281" s="4" t="n">
        <v>3700</v>
      </c>
      <c r="AS281" s="4" t="n">
        <v>27000</v>
      </c>
      <c r="AT281" s="12" t="n"/>
    </row>
    <row r="282" ht="10.5" customFormat="1" customHeight="1" s="6">
      <c r="A282" s="11" t="n">
        <v>281</v>
      </c>
      <c r="B282" s="4" t="inlineStr">
        <is>
          <t>MERCURY / VOYAGE 1</t>
        </is>
      </c>
      <c r="C282" s="4" t="inlineStr">
        <is>
          <t>REF000000</t>
        </is>
      </c>
      <c r="D282" s="7" t="n">
        <v>46095</v>
      </c>
      <c r="E282" s="4" t="n">
        <v>46105</v>
      </c>
      <c r="F282" s="4" t="inlineStr">
        <is>
          <t>RULED</t>
        </is>
      </c>
      <c r="G282" s="4" t="inlineStr">
        <is>
          <t>RULED</t>
        </is>
      </c>
      <c r="H282" s="4" t="inlineStr">
        <is>
          <t>USHOU</t>
        </is>
      </c>
      <c r="I282" s="4" t="inlineStr">
        <is>
          <t>USHOU</t>
        </is>
      </c>
      <c r="J282" s="4" t="n"/>
      <c r="K282" s="8" t="n"/>
      <c r="L282" s="4" t="inlineStr">
        <is>
          <t>EAGLE DRY</t>
        </is>
      </c>
      <c r="M282" s="4" t="inlineStr">
        <is>
          <t>EAGLE DRY</t>
        </is>
      </c>
      <c r="N282" s="9" t="n"/>
      <c r="O282" s="9" t="n"/>
      <c r="P282" s="4" t="inlineStr">
        <is>
          <t>EAGLE DRY</t>
        </is>
      </c>
      <c r="Q282" s="4" t="inlineStr">
        <is>
          <t>EAGLE DRY</t>
        </is>
      </c>
      <c r="R282" s="4" t="n"/>
      <c r="S282" s="4" t="n"/>
      <c r="T282" s="4" t="inlineStr">
        <is>
          <t>EAGLE DRY</t>
        </is>
      </c>
      <c r="U282" s="4" t="inlineStr">
        <is>
          <t>RUA GUSTAVO GUMZ, 381 - RIO CERRO II CEP 89261-700 JARAGUA DO SUL SC / BRASIL CNPJ 81.632.093/0016-55</t>
        </is>
      </c>
      <c r="V282" s="9" t="n">
        <v>21</v>
      </c>
      <c r="W282" s="9" t="n">
        <v>0</v>
      </c>
      <c r="X282" s="10" t="n">
        <v>505575</v>
      </c>
      <c r="Y282" s="10" t="n">
        <v>504000</v>
      </c>
      <c r="Z282" s="9" t="n">
        <v>630</v>
      </c>
      <c r="AA282" s="4" t="n"/>
      <c r="AB282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2" s="4" t="inlineStr">
        <is>
          <t>ANON0000000</t>
        </is>
      </c>
      <c r="AD282" s="4" t="inlineStr">
        <is>
          <t>HC40</t>
        </is>
      </c>
      <c r="AE282" s="4" t="n">
        <v>1279389</v>
      </c>
      <c r="AF282" s="4" t="n"/>
      <c r="AG282" s="4" t="inlineStr">
        <is>
          <t>FCL/FCL</t>
        </is>
      </c>
      <c r="AH282" s="4" t="inlineStr">
        <is>
          <t>GENERAL COMMODITY</t>
        </is>
      </c>
      <c r="AI282" s="10" t="inlineStr">
        <is>
          <t>28087.5</t>
        </is>
      </c>
      <c r="AJ282" s="9" t="n">
        <v>35</v>
      </c>
      <c r="AK282" s="4" t="inlineStr">
        <is>
          <t>BAG</t>
        </is>
      </c>
      <c r="AL282" s="4" t="n"/>
      <c r="AM282" s="4" t="n"/>
      <c r="AN282" s="4" t="n"/>
      <c r="AO282" s="4" t="n"/>
      <c r="AP282" s="4" t="n"/>
      <c r="AQ282" s="4" t="n"/>
      <c r="AR282" s="4" t="n">
        <v>3700</v>
      </c>
      <c r="AS282" s="4" t="n">
        <v>27000</v>
      </c>
      <c r="AT282" s="12" t="n"/>
    </row>
    <row r="283" ht="10.5" customFormat="1" customHeight="1" s="6">
      <c r="A283" s="11" t="n">
        <v>282</v>
      </c>
      <c r="B283" s="4" t="inlineStr">
        <is>
          <t>MERCURY / VOYAGE 1</t>
        </is>
      </c>
      <c r="C283" s="4" t="inlineStr">
        <is>
          <t>REF000000</t>
        </is>
      </c>
      <c r="D283" s="7" t="n">
        <v>46095</v>
      </c>
      <c r="E283" s="4" t="n">
        <v>46105</v>
      </c>
      <c r="F283" s="4" t="inlineStr">
        <is>
          <t>RULED</t>
        </is>
      </c>
      <c r="G283" s="4" t="inlineStr">
        <is>
          <t>RULED</t>
        </is>
      </c>
      <c r="H283" s="4" t="inlineStr">
        <is>
          <t>USHOU</t>
        </is>
      </c>
      <c r="I283" s="4" t="inlineStr">
        <is>
          <t>USHOU</t>
        </is>
      </c>
      <c r="J283" s="4" t="n"/>
      <c r="K283" s="8" t="n"/>
      <c r="L283" s="4" t="inlineStr">
        <is>
          <t>COYOTE DRY</t>
        </is>
      </c>
      <c r="M283" s="4" t="inlineStr">
        <is>
          <t>COYOTE DRY</t>
        </is>
      </c>
      <c r="N283" s="9" t="n"/>
      <c r="O283" s="9" t="n"/>
      <c r="P283" s="4" t="inlineStr">
        <is>
          <t>COYOTE DRY</t>
        </is>
      </c>
      <c r="Q283" s="4" t="inlineStr">
        <is>
          <t>COYOTE DRY</t>
        </is>
      </c>
      <c r="R283" s="4" t="n"/>
      <c r="S283" s="4" t="n"/>
      <c r="T283" s="4" t="inlineStr">
        <is>
          <t>COYOTE DRY</t>
        </is>
      </c>
      <c r="U283" s="4" t="inlineStr">
        <is>
          <t>RUA GUSTAVO GUMZ, 381 - RIO CERRO II CEP 89261-700 JARAGUA DO SUL SC / BRASIL CNPJ 81.632.093/0016-55</t>
        </is>
      </c>
      <c r="V283" s="9" t="n">
        <v>21</v>
      </c>
      <c r="W283" s="9" t="n">
        <v>0</v>
      </c>
      <c r="X283" s="10" t="n">
        <v>505575</v>
      </c>
      <c r="Y283" s="10" t="n">
        <v>504000</v>
      </c>
      <c r="Z283" s="9" t="n">
        <v>630</v>
      </c>
      <c r="AA283" s="4" t="n"/>
      <c r="AB283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3" s="4" t="inlineStr">
        <is>
          <t>ANON0000000</t>
        </is>
      </c>
      <c r="AD283" s="4" t="inlineStr">
        <is>
          <t>HC40</t>
        </is>
      </c>
      <c r="AE283" s="4" t="n">
        <v>1279359</v>
      </c>
      <c r="AF283" s="4" t="n"/>
      <c r="AG283" s="4" t="inlineStr">
        <is>
          <t>FCL/FCL</t>
        </is>
      </c>
      <c r="AH283" s="4" t="inlineStr">
        <is>
          <t>GENERAL COMMODITY</t>
        </is>
      </c>
      <c r="AI283" s="10" t="inlineStr">
        <is>
          <t>28087.5</t>
        </is>
      </c>
      <c r="AJ283" s="9" t="n">
        <v>35</v>
      </c>
      <c r="AK283" s="4" t="inlineStr">
        <is>
          <t>BAG</t>
        </is>
      </c>
      <c r="AL283" s="4" t="n"/>
      <c r="AM283" s="4" t="n"/>
      <c r="AN283" s="4" t="n"/>
      <c r="AO283" s="4" t="n"/>
      <c r="AP283" s="4" t="n"/>
      <c r="AQ283" s="4" t="n"/>
      <c r="AR283" s="4" t="n">
        <v>3700</v>
      </c>
      <c r="AS283" s="4" t="n">
        <v>27000</v>
      </c>
      <c r="AT283" s="12" t="n"/>
    </row>
    <row r="284" ht="10.5" customFormat="1" customHeight="1" s="6">
      <c r="A284" s="11" t="n">
        <v>283</v>
      </c>
      <c r="B284" s="4" t="inlineStr">
        <is>
          <t>MERCURY / VOYAGE 1</t>
        </is>
      </c>
      <c r="C284" s="4" t="inlineStr">
        <is>
          <t>REF000000</t>
        </is>
      </c>
      <c r="D284" s="7" t="n">
        <v>46095</v>
      </c>
      <c r="E284" s="4" t="n">
        <v>46105</v>
      </c>
      <c r="F284" s="4" t="inlineStr">
        <is>
          <t>RULED</t>
        </is>
      </c>
      <c r="G284" s="4" t="inlineStr">
        <is>
          <t>RULED</t>
        </is>
      </c>
      <c r="H284" s="4" t="inlineStr">
        <is>
          <t>USHOU</t>
        </is>
      </c>
      <c r="I284" s="4" t="inlineStr">
        <is>
          <t>USHOU</t>
        </is>
      </c>
      <c r="J284" s="4" t="n"/>
      <c r="K284" s="8" t="n"/>
      <c r="L284" s="4" t="inlineStr">
        <is>
          <t>FALCON DRY</t>
        </is>
      </c>
      <c r="M284" s="4" t="inlineStr">
        <is>
          <t>FALCON DRY</t>
        </is>
      </c>
      <c r="N284" s="9" t="n"/>
      <c r="O284" s="9" t="n"/>
      <c r="P284" s="4" t="inlineStr">
        <is>
          <t>FALCON DRY</t>
        </is>
      </c>
      <c r="Q284" s="4" t="inlineStr">
        <is>
          <t>FALCON DRY</t>
        </is>
      </c>
      <c r="R284" s="4" t="n"/>
      <c r="S284" s="4" t="n"/>
      <c r="T284" s="4" t="inlineStr">
        <is>
          <t>FALCON DRY</t>
        </is>
      </c>
      <c r="U284" s="4" t="inlineStr">
        <is>
          <t>RUA GUSTAVO GUMZ, 381 - RIO CERRO II CEP 89261-700 JARAGUA DO SUL SC / BRASIL CNPJ 81.632.093/0016-55</t>
        </is>
      </c>
      <c r="V284" s="9" t="n">
        <v>21</v>
      </c>
      <c r="W284" s="9" t="n">
        <v>0</v>
      </c>
      <c r="X284" s="10" t="n">
        <v>505575</v>
      </c>
      <c r="Y284" s="10" t="n">
        <v>504000</v>
      </c>
      <c r="Z284" s="9" t="n">
        <v>630</v>
      </c>
      <c r="AA284" s="4" t="n"/>
      <c r="AB284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4" s="4" t="inlineStr">
        <is>
          <t>ANON0000000</t>
        </is>
      </c>
      <c r="AD284" s="4" t="inlineStr">
        <is>
          <t>HC40</t>
        </is>
      </c>
      <c r="AE284" s="4" t="n">
        <v>1279385</v>
      </c>
      <c r="AF284" s="4" t="n"/>
      <c r="AG284" s="4" t="inlineStr">
        <is>
          <t>FCL/FCL</t>
        </is>
      </c>
      <c r="AH284" s="4" t="inlineStr">
        <is>
          <t>GENERAL COMMODITY</t>
        </is>
      </c>
      <c r="AI284" s="10" t="inlineStr">
        <is>
          <t>28087.5</t>
        </is>
      </c>
      <c r="AJ284" s="9" t="n">
        <v>35</v>
      </c>
      <c r="AK284" s="4" t="inlineStr">
        <is>
          <t>BAG</t>
        </is>
      </c>
      <c r="AL284" s="4" t="n"/>
      <c r="AM284" s="4" t="n"/>
      <c r="AN284" s="4" t="n"/>
      <c r="AO284" s="4" t="n"/>
      <c r="AP284" s="4" t="n"/>
      <c r="AQ284" s="4" t="n"/>
      <c r="AR284" s="4" t="n">
        <v>3700</v>
      </c>
      <c r="AS284" s="4" t="n">
        <v>27000</v>
      </c>
      <c r="AT284" s="12" t="n"/>
    </row>
    <row r="285" ht="11.25" customFormat="1" customHeight="1" s="6">
      <c r="A285" s="11" t="n">
        <v>284</v>
      </c>
      <c r="B285" s="4" t="inlineStr">
        <is>
          <t>MERCURY / VOYAGE 1</t>
        </is>
      </c>
      <c r="C285" s="4" t="inlineStr">
        <is>
          <t>REF000000</t>
        </is>
      </c>
      <c r="D285" s="7" t="n">
        <v>46095</v>
      </c>
      <c r="E285" s="4" t="n">
        <v>46105</v>
      </c>
      <c r="F285" s="4" t="inlineStr">
        <is>
          <t>RULED</t>
        </is>
      </c>
      <c r="G285" s="4" t="inlineStr">
        <is>
          <t>RULED</t>
        </is>
      </c>
      <c r="H285" s="4" t="inlineStr">
        <is>
          <t>USHOU</t>
        </is>
      </c>
      <c r="I285" s="4" t="inlineStr">
        <is>
          <t>USHOU</t>
        </is>
      </c>
      <c r="J285" s="4" t="n"/>
      <c r="K285" s="8" t="n"/>
      <c r="L285" s="4" t="inlineStr">
        <is>
          <t>WOLF DRY</t>
        </is>
      </c>
      <c r="M285" s="4" t="inlineStr">
        <is>
          <t>WOLF DRY</t>
        </is>
      </c>
      <c r="N285" s="9" t="n"/>
      <c r="O285" s="9" t="n"/>
      <c r="P285" s="4" t="inlineStr">
        <is>
          <t>WOLF DRY</t>
        </is>
      </c>
      <c r="Q285" s="4" t="inlineStr">
        <is>
          <t>WOLF DRY</t>
        </is>
      </c>
      <c r="R285" s="4" t="n"/>
      <c r="S285" s="4" t="n"/>
      <c r="T285" s="4" t="inlineStr">
        <is>
          <t>WOLF DRY</t>
        </is>
      </c>
      <c r="U285" s="4" t="inlineStr">
        <is>
          <t>RUA GUSTAVO GUMZ, 381 - RIO CERRO II CEP 89261-700 JARAGUA DO SUL SC / BRASIL CNPJ 81.632.093/0016-55</t>
        </is>
      </c>
      <c r="V285" s="9" t="n">
        <v>21</v>
      </c>
      <c r="W285" s="9" t="n">
        <v>0</v>
      </c>
      <c r="X285" s="10" t="n">
        <v>505575</v>
      </c>
      <c r="Y285" s="10" t="n">
        <v>504000</v>
      </c>
      <c r="Z285" s="9" t="n">
        <v>630</v>
      </c>
      <c r="AA285" s="4" t="n"/>
      <c r="AB285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5" s="4" t="inlineStr">
        <is>
          <t>ANON0000000</t>
        </is>
      </c>
      <c r="AD285" s="4" t="inlineStr">
        <is>
          <t>HC40</t>
        </is>
      </c>
      <c r="AE285" s="4" t="n">
        <v>1279357</v>
      </c>
      <c r="AF285" s="4" t="n"/>
      <c r="AG285" s="4" t="inlineStr">
        <is>
          <t>FCL/FCL</t>
        </is>
      </c>
      <c r="AH285" s="4" t="inlineStr">
        <is>
          <t>GENERAL COMMODITY</t>
        </is>
      </c>
      <c r="AI285" s="10" t="inlineStr">
        <is>
          <t>28087.5</t>
        </is>
      </c>
      <c r="AJ285" s="9" t="n">
        <v>35</v>
      </c>
      <c r="AK285" s="4" t="inlineStr">
        <is>
          <t>BAG</t>
        </is>
      </c>
      <c r="AL285" s="4" t="n"/>
      <c r="AM285" s="4" t="n"/>
      <c r="AN285" s="4" t="n"/>
      <c r="AO285" s="4" t="n"/>
      <c r="AP285" s="4" t="n"/>
      <c r="AQ285" s="4" t="n"/>
      <c r="AR285" s="4" t="n">
        <v>3700</v>
      </c>
      <c r="AS285" s="4" t="n">
        <v>27000</v>
      </c>
      <c r="AT285" s="12" t="n"/>
    </row>
    <row r="286" ht="10.5" customFormat="1" customHeight="1" s="6">
      <c r="A286" s="11" t="n">
        <v>285</v>
      </c>
      <c r="B286" s="4" t="inlineStr">
        <is>
          <t>MERCURY / VOYAGE 1</t>
        </is>
      </c>
      <c r="C286" s="4" t="inlineStr">
        <is>
          <t>REF000000</t>
        </is>
      </c>
      <c r="D286" s="7" t="n">
        <v>46095</v>
      </c>
      <c r="E286" s="4" t="n">
        <v>46105</v>
      </c>
      <c r="F286" s="4" t="inlineStr">
        <is>
          <t>RULED</t>
        </is>
      </c>
      <c r="G286" s="4" t="inlineStr">
        <is>
          <t>RULED</t>
        </is>
      </c>
      <c r="H286" s="4" t="inlineStr">
        <is>
          <t>USHOU</t>
        </is>
      </c>
      <c r="I286" s="4" t="inlineStr">
        <is>
          <t>USHOU</t>
        </is>
      </c>
      <c r="J286" s="4" t="n"/>
      <c r="K286" s="8" t="n"/>
      <c r="L286" s="4" t="inlineStr">
        <is>
          <t>DEER DRY</t>
        </is>
      </c>
      <c r="M286" s="4" t="inlineStr">
        <is>
          <t>DEER DRY</t>
        </is>
      </c>
      <c r="N286" s="9" t="n"/>
      <c r="O286" s="9" t="n"/>
      <c r="P286" s="4" t="inlineStr">
        <is>
          <t>DEER DRY</t>
        </is>
      </c>
      <c r="Q286" s="4" t="inlineStr">
        <is>
          <t>DEER DRY</t>
        </is>
      </c>
      <c r="R286" s="4" t="n"/>
      <c r="S286" s="4" t="n"/>
      <c r="T286" s="4" t="inlineStr">
        <is>
          <t>DEER DRY</t>
        </is>
      </c>
      <c r="U286" s="4" t="inlineStr">
        <is>
          <t>RUA GUSTAVO GUMZ, 381 - RIO CERRO II CEP 89261-700 JARAGUA DO SUL SC / BRASIL CNPJ 81.632.093/0016-55</t>
        </is>
      </c>
      <c r="V286" s="9" t="n">
        <v>21</v>
      </c>
      <c r="W286" s="9" t="n">
        <v>0</v>
      </c>
      <c r="X286" s="10" t="n">
        <v>505575</v>
      </c>
      <c r="Y286" s="10" t="n">
        <v>504000</v>
      </c>
      <c r="Z286" s="9" t="n">
        <v>630</v>
      </c>
      <c r="AA286" s="4" t="n"/>
      <c r="AB286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6" s="4" t="inlineStr">
        <is>
          <t>ANON0000000</t>
        </is>
      </c>
      <c r="AD286" s="4" t="inlineStr">
        <is>
          <t>HC40</t>
        </is>
      </c>
      <c r="AE286" s="4" t="n">
        <v>1279353</v>
      </c>
      <c r="AF286" s="4" t="n"/>
      <c r="AG286" s="4" t="inlineStr">
        <is>
          <t>FCL/FCL</t>
        </is>
      </c>
      <c r="AH286" s="4" t="inlineStr">
        <is>
          <t>GENERAL COMMODITY</t>
        </is>
      </c>
      <c r="AI286" s="10" t="inlineStr">
        <is>
          <t>28087.5</t>
        </is>
      </c>
      <c r="AJ286" s="9" t="n">
        <v>35</v>
      </c>
      <c r="AK286" s="4" t="inlineStr">
        <is>
          <t>BAG</t>
        </is>
      </c>
      <c r="AL286" s="4" t="n"/>
      <c r="AM286" s="4" t="n"/>
      <c r="AN286" s="4" t="n"/>
      <c r="AO286" s="4" t="n"/>
      <c r="AP286" s="4" t="n"/>
      <c r="AQ286" s="4" t="n"/>
      <c r="AR286" s="4" t="n">
        <v>3700</v>
      </c>
      <c r="AS286" s="4" t="n">
        <v>27000</v>
      </c>
      <c r="AT286" s="12" t="n"/>
    </row>
    <row r="287" ht="10.5" customFormat="1" customHeight="1" s="6">
      <c r="A287" s="11" t="n">
        <v>286</v>
      </c>
      <c r="B287" s="4" t="inlineStr">
        <is>
          <t>MERCURY / VOYAGE 1</t>
        </is>
      </c>
      <c r="C287" s="4" t="inlineStr">
        <is>
          <t>REF000000</t>
        </is>
      </c>
      <c r="D287" s="7" t="n">
        <v>46095</v>
      </c>
      <c r="E287" s="4" t="n">
        <v>46105</v>
      </c>
      <c r="F287" s="4" t="inlineStr">
        <is>
          <t>RULED</t>
        </is>
      </c>
      <c r="G287" s="4" t="inlineStr">
        <is>
          <t>RULED</t>
        </is>
      </c>
      <c r="H287" s="4" t="inlineStr">
        <is>
          <t>USHOU</t>
        </is>
      </c>
      <c r="I287" s="4" t="inlineStr">
        <is>
          <t>USHOU</t>
        </is>
      </c>
      <c r="J287" s="4" t="n"/>
      <c r="K287" s="8" t="n"/>
      <c r="L287" s="4" t="inlineStr">
        <is>
          <t>FOX DRY</t>
        </is>
      </c>
      <c r="M287" s="4" t="inlineStr">
        <is>
          <t>FOX DRY</t>
        </is>
      </c>
      <c r="N287" s="9" t="n"/>
      <c r="O287" s="9" t="n"/>
      <c r="P287" s="4" t="inlineStr">
        <is>
          <t>FOX DRY</t>
        </is>
      </c>
      <c r="Q287" s="4" t="inlineStr">
        <is>
          <t>FOX DRY</t>
        </is>
      </c>
      <c r="R287" s="4" t="n"/>
      <c r="S287" s="4" t="n"/>
      <c r="T287" s="4" t="inlineStr">
        <is>
          <t>FOX DRY</t>
        </is>
      </c>
      <c r="U287" s="4" t="inlineStr">
        <is>
          <t>RUA GUSTAVO GUMZ, 381 - RIO CERRO II CEP 89261-700 JARAGUA DO SUL SC / BRASIL CNPJ 81.632.093/0016-55</t>
        </is>
      </c>
      <c r="V287" s="9" t="n">
        <v>21</v>
      </c>
      <c r="W287" s="9" t="n">
        <v>0</v>
      </c>
      <c r="X287" s="10" t="n">
        <v>505575</v>
      </c>
      <c r="Y287" s="10" t="n">
        <v>504000</v>
      </c>
      <c r="Z287" s="9" t="n">
        <v>630</v>
      </c>
      <c r="AA287" s="4" t="n"/>
      <c r="AB287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7" s="4" t="inlineStr">
        <is>
          <t>ANON0000000</t>
        </is>
      </c>
      <c r="AD287" s="4" t="inlineStr">
        <is>
          <t>HC40</t>
        </is>
      </c>
      <c r="AE287" s="4" t="n">
        <v>1279351</v>
      </c>
      <c r="AF287" s="4" t="n"/>
      <c r="AG287" s="4" t="inlineStr">
        <is>
          <t>FCL/FCL</t>
        </is>
      </c>
      <c r="AH287" s="4" t="inlineStr">
        <is>
          <t>GENERAL COMMODITY</t>
        </is>
      </c>
      <c r="AI287" s="10" t="inlineStr">
        <is>
          <t>28087.5</t>
        </is>
      </c>
      <c r="AJ287" s="9" t="n">
        <v>35</v>
      </c>
      <c r="AK287" s="4" t="inlineStr">
        <is>
          <t>BAG</t>
        </is>
      </c>
      <c r="AL287" s="4" t="n"/>
      <c r="AM287" s="4" t="n"/>
      <c r="AN287" s="4" t="n"/>
      <c r="AO287" s="4" t="n"/>
      <c r="AP287" s="4" t="n"/>
      <c r="AQ287" s="4" t="n"/>
      <c r="AR287" s="4" t="n">
        <v>3700</v>
      </c>
      <c r="AS287" s="4" t="n">
        <v>27000</v>
      </c>
      <c r="AT287" s="12" t="n"/>
    </row>
    <row r="288" ht="10.5" customFormat="1" customHeight="1" s="6">
      <c r="A288" s="11" t="n">
        <v>287</v>
      </c>
      <c r="B288" s="4" t="inlineStr">
        <is>
          <t>MERCURY / VOYAGE 1</t>
        </is>
      </c>
      <c r="C288" s="4" t="inlineStr">
        <is>
          <t>REF000000</t>
        </is>
      </c>
      <c r="D288" s="7" t="n">
        <v>46095</v>
      </c>
      <c r="E288" s="4" t="n">
        <v>46105</v>
      </c>
      <c r="F288" s="4" t="inlineStr">
        <is>
          <t>RULED</t>
        </is>
      </c>
      <c r="G288" s="4" t="inlineStr">
        <is>
          <t>RULED</t>
        </is>
      </c>
      <c r="H288" s="4" t="inlineStr">
        <is>
          <t>USHOU</t>
        </is>
      </c>
      <c r="I288" s="4" t="inlineStr">
        <is>
          <t>USHOU</t>
        </is>
      </c>
      <c r="J288" s="4" t="n"/>
      <c r="K288" s="8" t="n"/>
      <c r="L288" s="4" t="inlineStr">
        <is>
          <t>BISON DRY</t>
        </is>
      </c>
      <c r="M288" s="4" t="inlineStr">
        <is>
          <t>BISON DRY</t>
        </is>
      </c>
      <c r="N288" s="9" t="n"/>
      <c r="O288" s="9" t="n"/>
      <c r="P288" s="4" t="inlineStr">
        <is>
          <t>BISON DRY</t>
        </is>
      </c>
      <c r="Q288" s="4" t="inlineStr">
        <is>
          <t>BISON DRY</t>
        </is>
      </c>
      <c r="R288" s="4" t="n"/>
      <c r="S288" s="4" t="n"/>
      <c r="T288" s="4" t="inlineStr">
        <is>
          <t>BISON DRY</t>
        </is>
      </c>
      <c r="U288" s="4" t="inlineStr">
        <is>
          <t>RUA GUSTAVO GUMZ, 381 - RIO CERRO II CEP 89261-700 JARAGUA DO SUL SC / BRASIL CNPJ 81.632.093/0016-55</t>
        </is>
      </c>
      <c r="V288" s="9" t="n">
        <v>21</v>
      </c>
      <c r="W288" s="9" t="n">
        <v>0</v>
      </c>
      <c r="X288" s="10" t="n">
        <v>505575</v>
      </c>
      <c r="Y288" s="10" t="n">
        <v>504000</v>
      </c>
      <c r="Z288" s="9" t="n">
        <v>630</v>
      </c>
      <c r="AA288" s="4" t="n"/>
      <c r="AB288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8" s="4" t="inlineStr">
        <is>
          <t>ANON0000000</t>
        </is>
      </c>
      <c r="AD288" s="4" t="inlineStr">
        <is>
          <t>HC40</t>
        </is>
      </c>
      <c r="AE288" s="4" t="n">
        <v>1279352</v>
      </c>
      <c r="AF288" s="4" t="n"/>
      <c r="AG288" s="4" t="inlineStr">
        <is>
          <t>FCL/FCL</t>
        </is>
      </c>
      <c r="AH288" s="4" t="inlineStr">
        <is>
          <t>GENERAL COMMODITY</t>
        </is>
      </c>
      <c r="AI288" s="10" t="inlineStr">
        <is>
          <t>28087.5</t>
        </is>
      </c>
      <c r="AJ288" s="9" t="n">
        <v>35</v>
      </c>
      <c r="AK288" s="4" t="inlineStr">
        <is>
          <t>BAG</t>
        </is>
      </c>
      <c r="AL288" s="4" t="n"/>
      <c r="AM288" s="4" t="n"/>
      <c r="AN288" s="4" t="n"/>
      <c r="AO288" s="4" t="n"/>
      <c r="AP288" s="4" t="n"/>
      <c r="AQ288" s="4" t="n"/>
      <c r="AR288" s="4" t="n">
        <v>3700</v>
      </c>
      <c r="AS288" s="4" t="n">
        <v>27000</v>
      </c>
      <c r="AT288" s="12" t="n"/>
    </row>
    <row r="289" ht="10.5" customFormat="1" customHeight="1" s="6">
      <c r="A289" s="11" t="n">
        <v>288</v>
      </c>
      <c r="B289" s="4" t="inlineStr">
        <is>
          <t>MERCURY / VOYAGE 1</t>
        </is>
      </c>
      <c r="C289" s="4" t="inlineStr">
        <is>
          <t>REF000000</t>
        </is>
      </c>
      <c r="D289" s="7" t="n">
        <v>46095</v>
      </c>
      <c r="E289" s="4" t="n">
        <v>46105</v>
      </c>
      <c r="F289" s="4" t="inlineStr">
        <is>
          <t>RULED</t>
        </is>
      </c>
      <c r="G289" s="4" t="inlineStr">
        <is>
          <t>RULED</t>
        </is>
      </c>
      <c r="H289" s="4" t="inlineStr">
        <is>
          <t>USHOU</t>
        </is>
      </c>
      <c r="I289" s="4" t="inlineStr">
        <is>
          <t>USHOU</t>
        </is>
      </c>
      <c r="J289" s="4" t="n"/>
      <c r="K289" s="8" t="n"/>
      <c r="L289" s="4" t="inlineStr">
        <is>
          <t>EAGLE DRY</t>
        </is>
      </c>
      <c r="M289" s="4" t="inlineStr">
        <is>
          <t>EAGLE DRY</t>
        </is>
      </c>
      <c r="N289" s="9" t="n"/>
      <c r="O289" s="9" t="n"/>
      <c r="P289" s="4" t="inlineStr">
        <is>
          <t>EAGLE DRY</t>
        </is>
      </c>
      <c r="Q289" s="4" t="inlineStr">
        <is>
          <t>EAGLE DRY</t>
        </is>
      </c>
      <c r="R289" s="4" t="n"/>
      <c r="S289" s="4" t="n"/>
      <c r="T289" s="4" t="inlineStr">
        <is>
          <t>EAGLE DRY</t>
        </is>
      </c>
      <c r="U289" s="4" t="inlineStr">
        <is>
          <t>RUA GUSTAVO GUMZ, 381 - RIO CERRO II CEP 89261-700 JARAGUA DO SUL SC / BRASIL CNPJ 81.632.093/0016-55</t>
        </is>
      </c>
      <c r="V289" s="9" t="n">
        <v>21</v>
      </c>
      <c r="W289" s="9" t="n">
        <v>0</v>
      </c>
      <c r="X289" s="10" t="n">
        <v>505575</v>
      </c>
      <c r="Y289" s="10" t="n">
        <v>504000</v>
      </c>
      <c r="Z289" s="9" t="n">
        <v>630</v>
      </c>
      <c r="AA289" s="4" t="n"/>
      <c r="AB289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89" s="4" t="inlineStr">
        <is>
          <t>ANON0000000</t>
        </is>
      </c>
      <c r="AD289" s="4" t="inlineStr">
        <is>
          <t>HC40</t>
        </is>
      </c>
      <c r="AE289" s="4" t="n">
        <v>1279313</v>
      </c>
      <c r="AF289" s="4" t="n"/>
      <c r="AG289" s="4" t="inlineStr">
        <is>
          <t>FCL/FCL</t>
        </is>
      </c>
      <c r="AH289" s="4" t="inlineStr">
        <is>
          <t>GENERAL COMMODITY</t>
        </is>
      </c>
      <c r="AI289" s="10" t="inlineStr">
        <is>
          <t>28087.5</t>
        </is>
      </c>
      <c r="AJ289" s="9" t="n">
        <v>35</v>
      </c>
      <c r="AK289" s="4" t="inlineStr">
        <is>
          <t>BAG</t>
        </is>
      </c>
      <c r="AL289" s="4" t="n"/>
      <c r="AM289" s="4" t="n"/>
      <c r="AN289" s="4" t="n"/>
      <c r="AO289" s="4" t="n"/>
      <c r="AP289" s="4" t="n"/>
      <c r="AQ289" s="4" t="n"/>
      <c r="AR289" s="4" t="n">
        <v>3700</v>
      </c>
      <c r="AS289" s="4" t="n">
        <v>27000</v>
      </c>
      <c r="AT289" s="12" t="n"/>
    </row>
    <row r="290" ht="11.25" customFormat="1" customHeight="1" s="6">
      <c r="A290" s="11" t="n">
        <v>289</v>
      </c>
      <c r="B290" s="4" t="inlineStr">
        <is>
          <t>MERCURY / VOYAGE 1</t>
        </is>
      </c>
      <c r="C290" s="4" t="inlineStr">
        <is>
          <t>REF000000</t>
        </is>
      </c>
      <c r="D290" s="7" t="n">
        <v>46095</v>
      </c>
      <c r="E290" s="4" t="n">
        <v>46105</v>
      </c>
      <c r="F290" s="4" t="inlineStr">
        <is>
          <t>RULED</t>
        </is>
      </c>
      <c r="G290" s="4" t="inlineStr">
        <is>
          <t>RULED</t>
        </is>
      </c>
      <c r="H290" s="4" t="inlineStr">
        <is>
          <t>USHOU</t>
        </is>
      </c>
      <c r="I290" s="4" t="inlineStr">
        <is>
          <t>USHOU</t>
        </is>
      </c>
      <c r="J290" s="4" t="n"/>
      <c r="K290" s="8" t="n"/>
      <c r="L290" s="4" t="inlineStr">
        <is>
          <t>COYOTE DRY</t>
        </is>
      </c>
      <c r="M290" s="4" t="inlineStr">
        <is>
          <t>COYOTE DRY</t>
        </is>
      </c>
      <c r="N290" s="9" t="n"/>
      <c r="O290" s="9" t="n"/>
      <c r="P290" s="4" t="inlineStr">
        <is>
          <t>COYOTE DRY</t>
        </is>
      </c>
      <c r="Q290" s="4" t="inlineStr">
        <is>
          <t>COYOTE DRY</t>
        </is>
      </c>
      <c r="R290" s="4" t="n"/>
      <c r="S290" s="4" t="n"/>
      <c r="T290" s="4" t="inlineStr">
        <is>
          <t>COYOTE DRY</t>
        </is>
      </c>
      <c r="U290" s="4" t="inlineStr">
        <is>
          <t>RUA GUSTAVO GUMZ, 381 - RIO CERRO II CEP 89261-700 JARAGUA DO SUL SC / BRASIL CNPJ 81.632.093/0016-55</t>
        </is>
      </c>
      <c r="V290" s="9" t="n">
        <v>21</v>
      </c>
      <c r="W290" s="9" t="n">
        <v>0</v>
      </c>
      <c r="X290" s="10" t="n">
        <v>505575</v>
      </c>
      <c r="Y290" s="10" t="n">
        <v>504000</v>
      </c>
      <c r="Z290" s="9" t="n">
        <v>630</v>
      </c>
      <c r="AA290" s="4" t="n"/>
      <c r="AB290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0" s="4" t="inlineStr">
        <is>
          <t>ANON0000000</t>
        </is>
      </c>
      <c r="AD290" s="4" t="inlineStr">
        <is>
          <t>HC40</t>
        </is>
      </c>
      <c r="AE290" s="4" t="n">
        <v>1279386</v>
      </c>
      <c r="AF290" s="4" t="n"/>
      <c r="AG290" s="4" t="inlineStr">
        <is>
          <t>FCL/FCL</t>
        </is>
      </c>
      <c r="AH290" s="4" t="inlineStr">
        <is>
          <t>GENERAL COMMODITY</t>
        </is>
      </c>
      <c r="AI290" s="10" t="inlineStr">
        <is>
          <t>28087.5</t>
        </is>
      </c>
      <c r="AJ290" s="9" t="n">
        <v>35</v>
      </c>
      <c r="AK290" s="4" t="inlineStr">
        <is>
          <t>BAG</t>
        </is>
      </c>
      <c r="AL290" s="4" t="n"/>
      <c r="AM290" s="4" t="n"/>
      <c r="AN290" s="4" t="n"/>
      <c r="AO290" s="4" t="n"/>
      <c r="AP290" s="4" t="n"/>
      <c r="AQ290" s="4" t="n"/>
      <c r="AR290" s="4" t="n">
        <v>3700</v>
      </c>
      <c r="AS290" s="4" t="n">
        <v>27000</v>
      </c>
      <c r="AT290" s="12" t="n"/>
    </row>
    <row r="291" ht="10.5" customFormat="1" customHeight="1" s="6">
      <c r="A291" s="11" t="n">
        <v>290</v>
      </c>
      <c r="B291" s="4" t="inlineStr">
        <is>
          <t>MERCURY / VOYAGE 1</t>
        </is>
      </c>
      <c r="C291" s="4" t="inlineStr">
        <is>
          <t>REF000000</t>
        </is>
      </c>
      <c r="D291" s="7" t="n">
        <v>46095</v>
      </c>
      <c r="E291" s="4" t="n">
        <v>46105</v>
      </c>
      <c r="F291" s="4" t="inlineStr">
        <is>
          <t>RULED</t>
        </is>
      </c>
      <c r="G291" s="4" t="inlineStr">
        <is>
          <t>RULED</t>
        </is>
      </c>
      <c r="H291" s="4" t="inlineStr">
        <is>
          <t>USHOU</t>
        </is>
      </c>
      <c r="I291" s="4" t="inlineStr">
        <is>
          <t>USHOU</t>
        </is>
      </c>
      <c r="J291" s="4" t="n"/>
      <c r="K291" s="8" t="n"/>
      <c r="L291" s="4" t="inlineStr">
        <is>
          <t>FALCON DRY</t>
        </is>
      </c>
      <c r="M291" s="4" t="inlineStr">
        <is>
          <t>FALCON DRY</t>
        </is>
      </c>
      <c r="N291" s="9" t="n"/>
      <c r="O291" s="9" t="n"/>
      <c r="P291" s="4" t="inlineStr">
        <is>
          <t>FALCON DRY</t>
        </is>
      </c>
      <c r="Q291" s="4" t="inlineStr">
        <is>
          <t>FALCON DRY</t>
        </is>
      </c>
      <c r="R291" s="4" t="n"/>
      <c r="S291" s="4" t="n"/>
      <c r="T291" s="4" t="inlineStr">
        <is>
          <t>FALCON DRY</t>
        </is>
      </c>
      <c r="U291" s="4" t="inlineStr">
        <is>
          <t>RUA GUSTAVO GUMZ, 381 - RIO CERRO II CEP 89261-700 JARAGUA DO SUL SC / BRASIL CNPJ 81.632.093/0016-55</t>
        </is>
      </c>
      <c r="V291" s="9" t="n">
        <v>21</v>
      </c>
      <c r="W291" s="9" t="n">
        <v>0</v>
      </c>
      <c r="X291" s="10" t="n">
        <v>505575</v>
      </c>
      <c r="Y291" s="10" t="n">
        <v>504000</v>
      </c>
      <c r="Z291" s="9" t="n">
        <v>630</v>
      </c>
      <c r="AA291" s="4" t="n"/>
      <c r="AB291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1" s="4" t="inlineStr">
        <is>
          <t>ANON0000000</t>
        </is>
      </c>
      <c r="AD291" s="4" t="inlineStr">
        <is>
          <t>HC40</t>
        </is>
      </c>
      <c r="AE291" s="4" t="n">
        <v>1279354</v>
      </c>
      <c r="AF291" s="4" t="n"/>
      <c r="AG291" s="4" t="inlineStr">
        <is>
          <t>FCL/FCL</t>
        </is>
      </c>
      <c r="AH291" s="4" t="inlineStr">
        <is>
          <t>GENERAL COMMODITY</t>
        </is>
      </c>
      <c r="AI291" s="10" t="inlineStr">
        <is>
          <t>28087.5</t>
        </is>
      </c>
      <c r="AJ291" s="9" t="n">
        <v>35</v>
      </c>
      <c r="AK291" s="4" t="inlineStr">
        <is>
          <t>BAG</t>
        </is>
      </c>
      <c r="AL291" s="4" t="n"/>
      <c r="AM291" s="4" t="n"/>
      <c r="AN291" s="4" t="n"/>
      <c r="AO291" s="4" t="n"/>
      <c r="AP291" s="4" t="n"/>
      <c r="AQ291" s="4" t="n"/>
      <c r="AR291" s="4" t="n">
        <v>3700</v>
      </c>
      <c r="AS291" s="4" t="n">
        <v>27000</v>
      </c>
      <c r="AT291" s="12" t="n"/>
    </row>
    <row r="292" ht="10.5" customFormat="1" customHeight="1" s="6">
      <c r="A292" s="11" t="n">
        <v>291</v>
      </c>
      <c r="B292" s="4" t="inlineStr">
        <is>
          <t>MERCURY / VOYAGE 1</t>
        </is>
      </c>
      <c r="C292" s="4" t="inlineStr">
        <is>
          <t>REF000000</t>
        </is>
      </c>
      <c r="D292" s="7" t="n">
        <v>46095</v>
      </c>
      <c r="E292" s="4" t="n">
        <v>46105</v>
      </c>
      <c r="F292" s="4" t="inlineStr">
        <is>
          <t>RULED</t>
        </is>
      </c>
      <c r="G292" s="4" t="inlineStr">
        <is>
          <t>RULED</t>
        </is>
      </c>
      <c r="H292" s="4" t="inlineStr">
        <is>
          <t>USHOU</t>
        </is>
      </c>
      <c r="I292" s="4" t="inlineStr">
        <is>
          <t>USHOU</t>
        </is>
      </c>
      <c r="J292" s="4" t="n"/>
      <c r="K292" s="8" t="n"/>
      <c r="L292" s="4" t="inlineStr">
        <is>
          <t>WOLF DRY</t>
        </is>
      </c>
      <c r="M292" s="4" t="inlineStr">
        <is>
          <t>WOLF DRY</t>
        </is>
      </c>
      <c r="N292" s="9" t="n"/>
      <c r="O292" s="9" t="n"/>
      <c r="P292" s="4" t="inlineStr">
        <is>
          <t>WOLF DRY</t>
        </is>
      </c>
      <c r="Q292" s="4" t="inlineStr">
        <is>
          <t>WOLF DRY</t>
        </is>
      </c>
      <c r="R292" s="4" t="n"/>
      <c r="S292" s="4" t="n"/>
      <c r="T292" s="4" t="inlineStr">
        <is>
          <t>WOLF DRY</t>
        </is>
      </c>
      <c r="U292" s="4" t="inlineStr">
        <is>
          <t>RUA GUSTAVO GUMZ, 381 - RIO CERRO II CEP 89261-700 JARAGUA DO SUL SC / BRASIL CNPJ 81.632.093/0016-55</t>
        </is>
      </c>
      <c r="V292" s="9" t="n">
        <v>21</v>
      </c>
      <c r="W292" s="9" t="n">
        <v>0</v>
      </c>
      <c r="X292" s="10" t="n">
        <v>505575</v>
      </c>
      <c r="Y292" s="10" t="n">
        <v>504000</v>
      </c>
      <c r="Z292" s="9" t="n">
        <v>630</v>
      </c>
      <c r="AA292" s="4" t="n"/>
      <c r="AB292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2" s="4" t="inlineStr">
        <is>
          <t>ANON0000000</t>
        </is>
      </c>
      <c r="AD292" s="4" t="inlineStr">
        <is>
          <t>HC40</t>
        </is>
      </c>
      <c r="AE292" s="4" t="n">
        <v>1279332</v>
      </c>
      <c r="AF292" s="4" t="n"/>
      <c r="AG292" s="4" t="inlineStr">
        <is>
          <t>FCL/FCL</t>
        </is>
      </c>
      <c r="AH292" s="4" t="inlineStr">
        <is>
          <t>GENERAL COMMODITY</t>
        </is>
      </c>
      <c r="AI292" s="10" t="inlineStr">
        <is>
          <t>28087.5</t>
        </is>
      </c>
      <c r="AJ292" s="9" t="n">
        <v>35</v>
      </c>
      <c r="AK292" s="4" t="inlineStr">
        <is>
          <t>BAG</t>
        </is>
      </c>
      <c r="AL292" s="4" t="n"/>
      <c r="AM292" s="4" t="n"/>
      <c r="AN292" s="4" t="n"/>
      <c r="AO292" s="4" t="n"/>
      <c r="AP292" s="4" t="n"/>
      <c r="AQ292" s="4" t="n"/>
      <c r="AR292" s="4" t="n">
        <v>3730</v>
      </c>
      <c r="AS292" s="4" t="n">
        <v>27000</v>
      </c>
      <c r="AT292" s="12" t="n"/>
    </row>
    <row r="293" ht="10.5" customFormat="1" customHeight="1" s="6">
      <c r="A293" s="11" t="n">
        <v>292</v>
      </c>
      <c r="B293" s="4" t="inlineStr">
        <is>
          <t>MERCURY / VOYAGE 1</t>
        </is>
      </c>
      <c r="C293" s="4" t="inlineStr">
        <is>
          <t>REF000000</t>
        </is>
      </c>
      <c r="D293" s="7" t="n">
        <v>46095</v>
      </c>
      <c r="E293" s="4" t="n">
        <v>46105</v>
      </c>
      <c r="F293" s="4" t="inlineStr">
        <is>
          <t>RULED</t>
        </is>
      </c>
      <c r="G293" s="4" t="inlineStr">
        <is>
          <t>RULED</t>
        </is>
      </c>
      <c r="H293" s="4" t="inlineStr">
        <is>
          <t>USHOU</t>
        </is>
      </c>
      <c r="I293" s="4" t="inlineStr">
        <is>
          <t>USHOU</t>
        </is>
      </c>
      <c r="J293" s="4" t="n"/>
      <c r="K293" s="8" t="n"/>
      <c r="L293" s="4" t="inlineStr">
        <is>
          <t>DEER DRY</t>
        </is>
      </c>
      <c r="M293" s="4" t="inlineStr">
        <is>
          <t>DEER DRY</t>
        </is>
      </c>
      <c r="N293" s="9" t="n"/>
      <c r="O293" s="9" t="n"/>
      <c r="P293" s="4" t="inlineStr">
        <is>
          <t>DEER DRY</t>
        </is>
      </c>
      <c r="Q293" s="4" t="inlineStr">
        <is>
          <t>DEER DRY</t>
        </is>
      </c>
      <c r="R293" s="4" t="n"/>
      <c r="S293" s="4" t="n"/>
      <c r="T293" s="4" t="inlineStr">
        <is>
          <t>DEER DRY</t>
        </is>
      </c>
      <c r="U293" s="4" t="inlineStr">
        <is>
          <t>RUA GUSTAVO GUMZ, 381 - RIO CERRO II CEP 89261-700 JARAGUA DO SUL SC / BRASIL CNPJ 81.632.093/0016-55</t>
        </is>
      </c>
      <c r="V293" s="9" t="n">
        <v>21</v>
      </c>
      <c r="W293" s="9" t="n">
        <v>0</v>
      </c>
      <c r="X293" s="10" t="n">
        <v>505575</v>
      </c>
      <c r="Y293" s="10" t="n">
        <v>504000</v>
      </c>
      <c r="Z293" s="9" t="n">
        <v>630</v>
      </c>
      <c r="AA293" s="4" t="n"/>
      <c r="AB293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3" s="4" t="inlineStr">
        <is>
          <t>ANON0000000</t>
        </is>
      </c>
      <c r="AD293" s="4" t="inlineStr">
        <is>
          <t>HC40</t>
        </is>
      </c>
      <c r="AE293" s="4" t="n">
        <v>1279312</v>
      </c>
      <c r="AF293" s="4" t="n"/>
      <c r="AG293" s="4" t="inlineStr">
        <is>
          <t>FCL/FCL</t>
        </is>
      </c>
      <c r="AH293" s="4" t="inlineStr">
        <is>
          <t>GENERAL COMMODITY</t>
        </is>
      </c>
      <c r="AI293" s="10" t="inlineStr">
        <is>
          <t>28087.5</t>
        </is>
      </c>
      <c r="AJ293" s="9" t="n">
        <v>35</v>
      </c>
      <c r="AK293" s="4" t="inlineStr">
        <is>
          <t>BAG</t>
        </is>
      </c>
      <c r="AL293" s="4" t="n"/>
      <c r="AM293" s="4" t="n"/>
      <c r="AN293" s="4" t="n"/>
      <c r="AO293" s="4" t="n"/>
      <c r="AP293" s="4" t="n"/>
      <c r="AQ293" s="4" t="n"/>
      <c r="AR293" s="4" t="n">
        <v>3700</v>
      </c>
      <c r="AS293" s="4" t="n">
        <v>27000</v>
      </c>
      <c r="AT293" s="12" t="n"/>
    </row>
    <row r="294" ht="10.5" customFormat="1" customHeight="1" s="6">
      <c r="A294" s="11" t="n">
        <v>293</v>
      </c>
      <c r="B294" s="4" t="inlineStr">
        <is>
          <t>MERCURY / VOYAGE 1</t>
        </is>
      </c>
      <c r="C294" s="4" t="inlineStr">
        <is>
          <t>REF000000</t>
        </is>
      </c>
      <c r="D294" s="7" t="n">
        <v>46095</v>
      </c>
      <c r="E294" s="4" t="n">
        <v>46105</v>
      </c>
      <c r="F294" s="4" t="inlineStr">
        <is>
          <t>RULED</t>
        </is>
      </c>
      <c r="G294" s="4" t="inlineStr">
        <is>
          <t>RULED</t>
        </is>
      </c>
      <c r="H294" s="4" t="inlineStr">
        <is>
          <t>USHOU</t>
        </is>
      </c>
      <c r="I294" s="4" t="inlineStr">
        <is>
          <t>USHOU</t>
        </is>
      </c>
      <c r="J294" s="4" t="n"/>
      <c r="K294" s="8" t="n"/>
      <c r="L294" s="4" t="inlineStr">
        <is>
          <t>FOX DRY</t>
        </is>
      </c>
      <c r="M294" s="4" t="inlineStr">
        <is>
          <t>FOX DRY</t>
        </is>
      </c>
      <c r="N294" s="9" t="n"/>
      <c r="O294" s="9" t="n"/>
      <c r="P294" s="4" t="inlineStr">
        <is>
          <t>FOX DRY</t>
        </is>
      </c>
      <c r="Q294" s="4" t="inlineStr">
        <is>
          <t>FOX DRY</t>
        </is>
      </c>
      <c r="R294" s="4" t="n"/>
      <c r="S294" s="4" t="n"/>
      <c r="T294" s="4" t="inlineStr">
        <is>
          <t>FOX DRY</t>
        </is>
      </c>
      <c r="U294" s="4" t="inlineStr">
        <is>
          <t>RUA GUSTAVO GUMZ, 381 - RIO CERRO II CEP 89261-700 JARAGUA DO SUL SC / BRASIL CNPJ 81.632.093/0016-55</t>
        </is>
      </c>
      <c r="V294" s="9" t="n">
        <v>21</v>
      </c>
      <c r="W294" s="9" t="n">
        <v>0</v>
      </c>
      <c r="X294" s="10" t="n">
        <v>505575</v>
      </c>
      <c r="Y294" s="10" t="n">
        <v>504000</v>
      </c>
      <c r="Z294" s="9" t="n">
        <v>630</v>
      </c>
      <c r="AA294" s="4" t="n"/>
      <c r="AB294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4" s="4" t="inlineStr">
        <is>
          <t>ANON0000000</t>
        </is>
      </c>
      <c r="AD294" s="4" t="inlineStr">
        <is>
          <t>HC40</t>
        </is>
      </c>
      <c r="AE294" s="4" t="n">
        <v>1279358</v>
      </c>
      <c r="AF294" s="4" t="n"/>
      <c r="AG294" s="4" t="inlineStr">
        <is>
          <t>FCL/FCL</t>
        </is>
      </c>
      <c r="AH294" s="4" t="inlineStr">
        <is>
          <t>GENERAL COMMODITY</t>
        </is>
      </c>
      <c r="AI294" s="10" t="inlineStr">
        <is>
          <t>28087.5</t>
        </is>
      </c>
      <c r="AJ294" s="9" t="n">
        <v>35</v>
      </c>
      <c r="AK294" s="4" t="inlineStr">
        <is>
          <t>BAG</t>
        </is>
      </c>
      <c r="AL294" s="4" t="n"/>
      <c r="AM294" s="4" t="n"/>
      <c r="AN294" s="4" t="n"/>
      <c r="AO294" s="4" t="n"/>
      <c r="AP294" s="4" t="n"/>
      <c r="AQ294" s="4" t="n"/>
      <c r="AR294" s="4" t="n">
        <v>3700</v>
      </c>
      <c r="AS294" s="4" t="n">
        <v>27000</v>
      </c>
      <c r="AT294" s="12" t="n"/>
    </row>
    <row r="295" ht="10.5" customFormat="1" customHeight="1" s="6">
      <c r="A295" s="11" t="n">
        <v>294</v>
      </c>
      <c r="B295" s="4" t="inlineStr">
        <is>
          <t>MERCURY / VOYAGE 1</t>
        </is>
      </c>
      <c r="C295" s="4" t="inlineStr">
        <is>
          <t>REF000000</t>
        </is>
      </c>
      <c r="D295" s="7" t="n">
        <v>46095</v>
      </c>
      <c r="E295" s="4" t="n">
        <v>46105</v>
      </c>
      <c r="F295" s="4" t="inlineStr">
        <is>
          <t>RULED</t>
        </is>
      </c>
      <c r="G295" s="4" t="inlineStr">
        <is>
          <t>RULED</t>
        </is>
      </c>
      <c r="H295" s="4" t="inlineStr">
        <is>
          <t>USHOU</t>
        </is>
      </c>
      <c r="I295" s="4" t="inlineStr">
        <is>
          <t>USHOU</t>
        </is>
      </c>
      <c r="J295" s="4" t="n"/>
      <c r="K295" s="8" t="n"/>
      <c r="L295" s="4" t="inlineStr">
        <is>
          <t>BISON DRY</t>
        </is>
      </c>
      <c r="M295" s="4" t="inlineStr">
        <is>
          <t>BISON DRY</t>
        </is>
      </c>
      <c r="N295" s="9" t="n"/>
      <c r="O295" s="9" t="n"/>
      <c r="P295" s="4" t="inlineStr">
        <is>
          <t>BISON DRY</t>
        </is>
      </c>
      <c r="Q295" s="4" t="inlineStr">
        <is>
          <t>BISON DRY</t>
        </is>
      </c>
      <c r="R295" s="4" t="n"/>
      <c r="S295" s="4" t="n"/>
      <c r="T295" s="4" t="inlineStr">
        <is>
          <t>BISON DRY</t>
        </is>
      </c>
      <c r="U295" s="4" t="inlineStr">
        <is>
          <t>RUA GUSTAVO GUMZ, 381 - RIO CERRO II CEP 89261-700 JARAGUA DO SUL SC / BRASIL CNPJ 81.632.093/0016-55</t>
        </is>
      </c>
      <c r="V295" s="9" t="n">
        <v>21</v>
      </c>
      <c r="W295" s="9" t="n">
        <v>0</v>
      </c>
      <c r="X295" s="10" t="n">
        <v>505575</v>
      </c>
      <c r="Y295" s="10" t="n">
        <v>504000</v>
      </c>
      <c r="Z295" s="9" t="n">
        <v>630</v>
      </c>
      <c r="AA295" s="4" t="n"/>
      <c r="AB295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5" s="4" t="inlineStr">
        <is>
          <t>ANON0000000</t>
        </is>
      </c>
      <c r="AD295" s="4" t="inlineStr">
        <is>
          <t>HC40</t>
        </is>
      </c>
      <c r="AE295" s="4" t="n">
        <v>1279360</v>
      </c>
      <c r="AF295" s="4" t="n"/>
      <c r="AG295" s="4" t="inlineStr">
        <is>
          <t>FCL/FCL</t>
        </is>
      </c>
      <c r="AH295" s="4" t="inlineStr">
        <is>
          <t>GENERAL COMMODITY</t>
        </is>
      </c>
      <c r="AI295" s="10" t="inlineStr">
        <is>
          <t>28087.5</t>
        </is>
      </c>
      <c r="AJ295" s="9" t="n">
        <v>35</v>
      </c>
      <c r="AK295" s="4" t="inlineStr">
        <is>
          <t>BAG</t>
        </is>
      </c>
      <c r="AL295" s="4" t="n"/>
      <c r="AM295" s="4" t="n"/>
      <c r="AN295" s="4" t="n"/>
      <c r="AO295" s="4" t="n"/>
      <c r="AP295" s="4" t="n"/>
      <c r="AQ295" s="4" t="n"/>
      <c r="AR295" s="4" t="n">
        <v>3700</v>
      </c>
      <c r="AS295" s="4" t="n">
        <v>27000</v>
      </c>
      <c r="AT295" s="12" t="n"/>
    </row>
    <row r="296" ht="10.5" customFormat="1" customHeight="1" s="6">
      <c r="A296" s="11" t="n">
        <v>295</v>
      </c>
      <c r="B296" s="4" t="inlineStr">
        <is>
          <t>MERCURY / VOYAGE 1</t>
        </is>
      </c>
      <c r="C296" s="4" t="inlineStr">
        <is>
          <t>REF000000</t>
        </is>
      </c>
      <c r="D296" s="7" t="n">
        <v>46095</v>
      </c>
      <c r="E296" s="4" t="n">
        <v>46105</v>
      </c>
      <c r="F296" s="4" t="inlineStr">
        <is>
          <t>RULED</t>
        </is>
      </c>
      <c r="G296" s="4" t="inlineStr">
        <is>
          <t>RULED</t>
        </is>
      </c>
      <c r="H296" s="4" t="inlineStr">
        <is>
          <t>USHOU</t>
        </is>
      </c>
      <c r="I296" s="4" t="inlineStr">
        <is>
          <t>USHOU</t>
        </is>
      </c>
      <c r="J296" s="4" t="n"/>
      <c r="K296" s="8" t="n"/>
      <c r="L296" s="4" t="inlineStr">
        <is>
          <t>EAGLE DRY</t>
        </is>
      </c>
      <c r="M296" s="4" t="inlineStr">
        <is>
          <t>EAGLE DRY</t>
        </is>
      </c>
      <c r="N296" s="9" t="n"/>
      <c r="O296" s="9" t="n"/>
      <c r="P296" s="4" t="inlineStr">
        <is>
          <t>EAGLE DRY</t>
        </is>
      </c>
      <c r="Q296" s="4" t="inlineStr">
        <is>
          <t>EAGLE DRY</t>
        </is>
      </c>
      <c r="R296" s="4" t="n"/>
      <c r="S296" s="4" t="n"/>
      <c r="T296" s="4" t="inlineStr">
        <is>
          <t>EAGLE DRY</t>
        </is>
      </c>
      <c r="U296" s="4" t="inlineStr">
        <is>
          <t>RUA GUSTAVO GUMZ, 381 - RIO CERRO II CEP 89261-700 JARAGUA DO SUL SC / BRASIL CNPJ 81.632.093/0016-55</t>
        </is>
      </c>
      <c r="V296" s="9" t="n">
        <v>21</v>
      </c>
      <c r="W296" s="9" t="n">
        <v>0</v>
      </c>
      <c r="X296" s="10" t="n">
        <v>505575</v>
      </c>
      <c r="Y296" s="10" t="n">
        <v>504000</v>
      </c>
      <c r="Z296" s="9" t="n">
        <v>630</v>
      </c>
      <c r="AA296" s="4" t="n"/>
      <c r="AB296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6" s="4" t="inlineStr">
        <is>
          <t>ANON0000000</t>
        </is>
      </c>
      <c r="AD296" s="4" t="inlineStr">
        <is>
          <t>HC40</t>
        </is>
      </c>
      <c r="AE296" s="4" t="n">
        <v>1279250</v>
      </c>
      <c r="AF296" s="4" t="n"/>
      <c r="AG296" s="4" t="inlineStr">
        <is>
          <t>FCL/FCL</t>
        </is>
      </c>
      <c r="AH296" s="4" t="inlineStr">
        <is>
          <t>GENERAL COMMODITY</t>
        </is>
      </c>
      <c r="AI296" s="10" t="inlineStr">
        <is>
          <t>28087.5</t>
        </is>
      </c>
      <c r="AJ296" s="9" t="n">
        <v>35</v>
      </c>
      <c r="AK296" s="4" t="inlineStr">
        <is>
          <t>BAG</t>
        </is>
      </c>
      <c r="AL296" s="4" t="n"/>
      <c r="AM296" s="4" t="n"/>
      <c r="AN296" s="4" t="n"/>
      <c r="AO296" s="4" t="n"/>
      <c r="AP296" s="4" t="n"/>
      <c r="AQ296" s="4" t="n"/>
      <c r="AR296" s="4" t="n">
        <v>3700</v>
      </c>
      <c r="AS296" s="4" t="n">
        <v>27000</v>
      </c>
      <c r="AT296" s="12" t="n"/>
    </row>
    <row r="297" ht="10.5" customFormat="1" customHeight="1" s="6">
      <c r="A297" s="11" t="n">
        <v>296</v>
      </c>
      <c r="B297" s="4" t="inlineStr">
        <is>
          <t>MERCURY / VOYAGE 1</t>
        </is>
      </c>
      <c r="C297" s="4" t="inlineStr">
        <is>
          <t>REF000000</t>
        </is>
      </c>
      <c r="D297" s="7" t="n">
        <v>46095</v>
      </c>
      <c r="E297" s="4" t="n">
        <v>46105</v>
      </c>
      <c r="F297" s="4" t="inlineStr">
        <is>
          <t>RULED</t>
        </is>
      </c>
      <c r="G297" s="4" t="inlineStr">
        <is>
          <t>RULED</t>
        </is>
      </c>
      <c r="H297" s="4" t="inlineStr">
        <is>
          <t>USHOU</t>
        </is>
      </c>
      <c r="I297" s="4" t="inlineStr">
        <is>
          <t>USHOU</t>
        </is>
      </c>
      <c r="J297" s="4" t="n"/>
      <c r="K297" s="8" t="n"/>
      <c r="L297" s="4" t="inlineStr">
        <is>
          <t>COYOTE DRY</t>
        </is>
      </c>
      <c r="M297" s="4" t="inlineStr">
        <is>
          <t>COYOTE DRY</t>
        </is>
      </c>
      <c r="N297" s="9" t="n"/>
      <c r="O297" s="9" t="n"/>
      <c r="P297" s="4" t="inlineStr">
        <is>
          <t>COYOTE DRY</t>
        </is>
      </c>
      <c r="Q297" s="4" t="inlineStr">
        <is>
          <t>COYOTE DRY</t>
        </is>
      </c>
      <c r="R297" s="4" t="n"/>
      <c r="S297" s="4" t="n"/>
      <c r="T297" s="4" t="inlineStr">
        <is>
          <t>COYOTE DRY</t>
        </is>
      </c>
      <c r="U297" s="4" t="inlineStr">
        <is>
          <t>RUA GUSTAVO GUMZ, 381 - RIO CERRO II CEP 89261-700 JARAGUA DO SUL SC / BRASIL CNPJ 81.632.093/0016-55</t>
        </is>
      </c>
      <c r="V297" s="9" t="n">
        <v>21</v>
      </c>
      <c r="W297" s="9" t="n">
        <v>0</v>
      </c>
      <c r="X297" s="10" t="n">
        <v>505575</v>
      </c>
      <c r="Y297" s="10" t="n">
        <v>504000</v>
      </c>
      <c r="Z297" s="9" t="n">
        <v>630</v>
      </c>
      <c r="AA297" s="4" t="n"/>
      <c r="AB297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7" s="4" t="inlineStr">
        <is>
          <t>ANON0000000</t>
        </is>
      </c>
      <c r="AD297" s="4" t="inlineStr">
        <is>
          <t>HC40</t>
        </is>
      </c>
      <c r="AE297" s="4" t="n">
        <v>1279382</v>
      </c>
      <c r="AF297" s="4" t="n"/>
      <c r="AG297" s="4" t="inlineStr">
        <is>
          <t>FCL/FCL</t>
        </is>
      </c>
      <c r="AH297" s="4" t="inlineStr">
        <is>
          <t>GENERAL COMMODITY</t>
        </is>
      </c>
      <c r="AI297" s="10" t="inlineStr">
        <is>
          <t>28087.5</t>
        </is>
      </c>
      <c r="AJ297" s="9" t="n">
        <v>35</v>
      </c>
      <c r="AK297" s="4" t="inlineStr">
        <is>
          <t>BAG</t>
        </is>
      </c>
      <c r="AL297" s="4" t="n"/>
      <c r="AM297" s="4" t="n"/>
      <c r="AN297" s="4" t="n"/>
      <c r="AO297" s="4" t="n"/>
      <c r="AP297" s="4" t="n"/>
      <c r="AQ297" s="4" t="n"/>
      <c r="AR297" s="4" t="n">
        <v>3700</v>
      </c>
      <c r="AS297" s="4" t="n">
        <v>27000</v>
      </c>
      <c r="AT297" s="12" t="n"/>
    </row>
    <row r="298" ht="10.5" customFormat="1" customHeight="1" s="6">
      <c r="A298" s="11" t="n">
        <v>297</v>
      </c>
      <c r="B298" s="4" t="inlineStr">
        <is>
          <t>MERCURY / VOYAGE 1</t>
        </is>
      </c>
      <c r="C298" s="4" t="inlineStr">
        <is>
          <t>REF000000</t>
        </is>
      </c>
      <c r="D298" s="7" t="n">
        <v>46095</v>
      </c>
      <c r="E298" s="4" t="n">
        <v>46105</v>
      </c>
      <c r="F298" s="4" t="inlineStr">
        <is>
          <t>RULED</t>
        </is>
      </c>
      <c r="G298" s="4" t="inlineStr">
        <is>
          <t>RULED</t>
        </is>
      </c>
      <c r="H298" s="4" t="inlineStr">
        <is>
          <t>USHOU</t>
        </is>
      </c>
      <c r="I298" s="4" t="inlineStr">
        <is>
          <t>USHOU</t>
        </is>
      </c>
      <c r="J298" s="4" t="n"/>
      <c r="K298" s="8" t="n"/>
      <c r="L298" s="4" t="inlineStr">
        <is>
          <t>FALCON DRY</t>
        </is>
      </c>
      <c r="M298" s="4" t="inlineStr">
        <is>
          <t>FALCON DRY</t>
        </is>
      </c>
      <c r="N298" s="9" t="n"/>
      <c r="O298" s="9" t="n"/>
      <c r="P298" s="4" t="inlineStr">
        <is>
          <t>FALCON DRY</t>
        </is>
      </c>
      <c r="Q298" s="4" t="inlineStr">
        <is>
          <t>FALCON DRY</t>
        </is>
      </c>
      <c r="R298" s="4" t="n"/>
      <c r="S298" s="4" t="n"/>
      <c r="T298" s="4" t="inlineStr">
        <is>
          <t>FALCON DRY</t>
        </is>
      </c>
      <c r="U298" s="4" t="inlineStr">
        <is>
          <t>RUA GUSTAVO GUMZ, 381 - RIO CERRO II CEP 89261-700 JARAGUA DO SUL SC / BRASIL CNPJ 81.632.093/0016-55</t>
        </is>
      </c>
      <c r="V298" s="9" t="n">
        <v>21</v>
      </c>
      <c r="W298" s="9" t="n">
        <v>0</v>
      </c>
      <c r="X298" s="10" t="n">
        <v>505575</v>
      </c>
      <c r="Y298" s="10" t="n">
        <v>504000</v>
      </c>
      <c r="Z298" s="9" t="n">
        <v>630</v>
      </c>
      <c r="AA298" s="4" t="n"/>
      <c r="AB298" s="4" t="inlineStr">
        <is>
          <t>SAID TO CONTAIN / WEIGH &amp; MEASURE PRILLED UREA WITHOUT COATING, WITH MINIMUM OF TOTAL NITROGEN (AZOTE) OF 46%, BY WEIGHT, CALCULATED ON THE ANHYDROUS PRODUCT IN THE DRY STATE IN BIG BAG. NCM 3102.10.10 TOTAL NET WEIGHT: 504.000 MT TOTAL GROSS WEIGHT: 505.575 MT TOTAL NUMBER OF BAGS: 630 WOODEN PACKAGE IS NOT APPLICABLE. FREIGHT PREPAID</t>
        </is>
      </c>
      <c r="AC298" s="4" t="inlineStr">
        <is>
          <t>ANON0000000</t>
        </is>
      </c>
      <c r="AD298" s="4" t="inlineStr">
        <is>
          <t>HC40</t>
        </is>
      </c>
      <c r="AE298" s="4" t="n">
        <v>1279320</v>
      </c>
      <c r="AF298" s="4" t="n"/>
      <c r="AG298" s="4" t="inlineStr">
        <is>
          <t>FCL/FCL</t>
        </is>
      </c>
      <c r="AH298" s="4" t="inlineStr">
        <is>
          <t>GENERAL COMMODITY</t>
        </is>
      </c>
      <c r="AI298" s="10" t="inlineStr">
        <is>
          <t>28087.5</t>
        </is>
      </c>
      <c r="AJ298" s="9" t="n">
        <v>35</v>
      </c>
      <c r="AK298" s="4" t="inlineStr">
        <is>
          <t>BAG</t>
        </is>
      </c>
      <c r="AL298" s="4" t="n"/>
      <c r="AM298" s="4" t="n"/>
      <c r="AN298" s="4" t="n"/>
      <c r="AO298" s="4" t="n"/>
      <c r="AP298" s="4" t="n"/>
      <c r="AQ298" s="4" t="n"/>
      <c r="AR298" s="4" t="n">
        <v>3700</v>
      </c>
      <c r="AS298" s="4" t="n">
        <v>27000</v>
      </c>
      <c r="AT298" s="12" t="n"/>
    </row>
    <row r="299" ht="10.5" customFormat="1" customHeight="1" s="6">
      <c r="A299" s="11" t="n">
        <v>298</v>
      </c>
      <c r="B299" s="4" t="inlineStr">
        <is>
          <t>MERCURY / VOYAGE 1</t>
        </is>
      </c>
      <c r="C299" s="4" t="inlineStr">
        <is>
          <t>REF000000</t>
        </is>
      </c>
      <c r="D299" s="7" t="n">
        <v>46095</v>
      </c>
      <c r="E299" s="4" t="n">
        <v>46108</v>
      </c>
      <c r="F299" s="4" t="inlineStr">
        <is>
          <t>RULED</t>
        </is>
      </c>
      <c r="G299" s="4" t="inlineStr">
        <is>
          <t>RULED</t>
        </is>
      </c>
      <c r="H299" s="4" t="inlineStr">
        <is>
          <t>USNFK</t>
        </is>
      </c>
      <c r="I299" s="4" t="inlineStr">
        <is>
          <t>USNFK</t>
        </is>
      </c>
      <c r="J299" s="4" t="n"/>
      <c r="K299" s="8" t="n"/>
      <c r="L299" s="4" t="inlineStr">
        <is>
          <t>WHALE REEFER</t>
        </is>
      </c>
      <c r="M299" s="4" t="inlineStr">
        <is>
          <t>WHALE REEFER</t>
        </is>
      </c>
      <c r="N299" s="9" t="n"/>
      <c r="O299" s="9" t="n"/>
      <c r="P299" s="4" t="inlineStr">
        <is>
          <t>WHALE REEFER</t>
        </is>
      </c>
      <c r="Q299" s="4" t="inlineStr">
        <is>
          <t>WHALE REEFER</t>
        </is>
      </c>
      <c r="R299" s="4" t="n"/>
      <c r="S299" s="4" t="n"/>
      <c r="T299" s="4" t="inlineStr">
        <is>
          <t>WHALE REEFER</t>
        </is>
      </c>
      <c r="U299" s="4" t="inlineStr">
        <is>
          <t>AV MARGINAL PROJETADA, 1810, GARTAO 10-11, JARDIM MUTINGA, BARUERI, 06460-200 SP, BRASIL. CNPJ 05.399.489/0001-30 EMAIL: Fabricionettto@gmail.com, PH.NUMBER: (11) 3173-2950</t>
        </is>
      </c>
      <c r="V299" s="9" t="n">
        <v>10</v>
      </c>
      <c r="W299" s="9" t="n">
        <v>0</v>
      </c>
      <c r="X299" s="10" t="n">
        <v>21927</v>
      </c>
      <c r="Y299" s="10" t="n">
        <v>18652</v>
      </c>
      <c r="Z299" s="9" t="n">
        <v>20</v>
      </c>
      <c r="AA299" s="4" t="n"/>
      <c r="AB299" s="4" t="inlineStr">
        <is>
          <t>SAID TO CONTAIN / WEIGH &amp; MEASURE BACALHAU DESFIADO DESSALGADO CONGELADO 352 CARTON, NCM CODE: 0304 BACALHAU DESSALGADO CONGELADO 1568 CARTONS, NCM CODE: 0303 WOODEN PACKAGING 20 PALLETS: TREATED AND CERTIFIED</t>
        </is>
      </c>
      <c r="AC299" s="4" t="inlineStr">
        <is>
          <t>ANON0000000</t>
        </is>
      </c>
      <c r="AD299" s="4" t="inlineStr">
        <is>
          <t>RH40</t>
        </is>
      </c>
      <c r="AE299" s="4" t="inlineStr">
        <is>
          <t>00015310, C05448432</t>
        </is>
      </c>
      <c r="AF299" s="4" t="n"/>
      <c r="AG299" s="4" t="inlineStr">
        <is>
          <t>FCL/FCL</t>
        </is>
      </c>
      <c r="AH299" s="4" t="inlineStr">
        <is>
          <t>FROZEN FOODSTUFF</t>
        </is>
      </c>
      <c r="AI299" s="10" t="n">
        <v>21927</v>
      </c>
      <c r="AJ299" s="9" t="n">
        <v>20</v>
      </c>
      <c r="AK299" s="4" t="inlineStr">
        <is>
          <t>PLT</t>
        </is>
      </c>
      <c r="AL299" s="4" t="n"/>
      <c r="AM299" s="4" t="n"/>
      <c r="AN299" s="4" t="n">
        <v>-24</v>
      </c>
      <c r="AO299" s="4" t="n"/>
      <c r="AP299" s="4" t="n"/>
      <c r="AQ299" s="4" t="n"/>
      <c r="AR299" s="4" t="n">
        <v>4640</v>
      </c>
      <c r="AS299" s="4" t="n">
        <v>27000</v>
      </c>
      <c r="AT299" s="12" t="n"/>
    </row>
    <row r="300" ht="10.5" customFormat="1" customHeight="1" s="6">
      <c r="A300" s="11" t="n">
        <v>299</v>
      </c>
      <c r="B300" s="4" t="inlineStr">
        <is>
          <t>MERCURY / VOYAGE 1</t>
        </is>
      </c>
      <c r="C300" s="4" t="inlineStr">
        <is>
          <t>REF000000</t>
        </is>
      </c>
      <c r="D300" s="7" t="n">
        <v>46095</v>
      </c>
      <c r="E300" s="4" t="n">
        <v>46108</v>
      </c>
      <c r="F300" s="4" t="inlineStr">
        <is>
          <t>RULED</t>
        </is>
      </c>
      <c r="G300" s="4" t="inlineStr">
        <is>
          <t>RULED</t>
        </is>
      </c>
      <c r="H300" s="4" t="inlineStr">
        <is>
          <t>USNFK</t>
        </is>
      </c>
      <c r="I300" s="4" t="inlineStr">
        <is>
          <t>USNFK</t>
        </is>
      </c>
      <c r="J300" s="4" t="n"/>
      <c r="K300" s="8" t="n"/>
      <c r="L300" s="4" t="inlineStr">
        <is>
          <t>SEAL REEFER</t>
        </is>
      </c>
      <c r="M300" s="4" t="inlineStr">
        <is>
          <t>SEAL REEFER</t>
        </is>
      </c>
      <c r="N300" s="9" t="n"/>
      <c r="O300" s="9" t="n"/>
      <c r="P300" s="4" t="inlineStr">
        <is>
          <t>SEAL REEFER</t>
        </is>
      </c>
      <c r="Q300" s="4" t="inlineStr">
        <is>
          <t>SEAL REEFER</t>
        </is>
      </c>
      <c r="R300" s="4" t="n"/>
      <c r="S300" s="4" t="n"/>
      <c r="T300" s="4" t="inlineStr">
        <is>
          <t>SEAL REEFER</t>
        </is>
      </c>
      <c r="U300" s="4" t="inlineStr">
        <is>
          <t>AV MARGINAL PROJETADA, 1810, GARTAO 10-11, JARDIM MUTINGA, BARUERI, 06460-200 SP, BRASIL. CNPJ 05.399.489/0001-30 EMAIL: Fabricionettto@gmail.com, PH.NUMBER: TEL: (11) 3173-2950</t>
        </is>
      </c>
      <c r="V300" s="9" t="n">
        <v>10</v>
      </c>
      <c r="W300" s="9" t="n">
        <v>0</v>
      </c>
      <c r="X300" s="10" t="n">
        <v>25785</v>
      </c>
      <c r="Y300" s="10" t="n">
        <v>23875</v>
      </c>
      <c r="Z300" s="9" t="n">
        <v>955</v>
      </c>
      <c r="AA300" s="4" t="n"/>
      <c r="AB300" s="4" t="inlineStr">
        <is>
          <t>SAID TO CONTAIN / WEIGH &amp; MEASURE BACALHAU SALGADO SECO ESPALMADO SEM CABECA NCM CODE: 0305 TOTAL: 955 CARTONS; WOODEN PACKAGING - NOT APPLICABLE</t>
        </is>
      </c>
      <c r="AC300" s="4" t="inlineStr">
        <is>
          <t>ANON0000000</t>
        </is>
      </c>
      <c r="AD300" s="4" t="inlineStr">
        <is>
          <t>RH40</t>
        </is>
      </c>
      <c r="AE300" s="4" t="inlineStr">
        <is>
          <t>00015309, C05448431</t>
        </is>
      </c>
      <c r="AF300" s="4" t="n"/>
      <c r="AG300" s="4" t="inlineStr">
        <is>
          <t>FCL/FCL</t>
        </is>
      </c>
      <c r="AH300" s="4" t="inlineStr">
        <is>
          <t>FOODSTUFF</t>
        </is>
      </c>
      <c r="AI300" s="10" t="n">
        <v>25785</v>
      </c>
      <c r="AJ300" s="9" t="n">
        <v>955</v>
      </c>
      <c r="AK300" s="4" t="inlineStr">
        <is>
          <t>CTN</t>
        </is>
      </c>
      <c r="AL300" s="4" t="n"/>
      <c r="AM300" s="4" t="n"/>
      <c r="AN300" s="4" t="n">
        <v>0</v>
      </c>
      <c r="AO300" s="4" t="n"/>
      <c r="AP300" s="4" t="n"/>
      <c r="AQ300" s="4" t="n"/>
      <c r="AR300" s="4" t="n">
        <v>4560</v>
      </c>
      <c r="AS300" s="4" t="n">
        <v>27000</v>
      </c>
      <c r="AT300" s="12" t="n"/>
    </row>
    <row r="301" ht="10.5" customFormat="1" customHeight="1" s="6">
      <c r="A301" s="11" t="n">
        <v>300</v>
      </c>
      <c r="B301" s="4" t="inlineStr">
        <is>
          <t>MERCURY / VOYAGE 1</t>
        </is>
      </c>
      <c r="C301" s="4" t="inlineStr">
        <is>
          <t>REF000000</t>
        </is>
      </c>
      <c r="D301" s="7" t="n">
        <v>46095</v>
      </c>
      <c r="E301" s="4" t="n">
        <v>46108</v>
      </c>
      <c r="F301" s="4" t="inlineStr">
        <is>
          <t>RULED</t>
        </is>
      </c>
      <c r="G301" s="4" t="inlineStr">
        <is>
          <t>RULED</t>
        </is>
      </c>
      <c r="H301" s="4" t="inlineStr">
        <is>
          <t>USNFK</t>
        </is>
      </c>
      <c r="I301" s="4" t="inlineStr">
        <is>
          <t>USNFK</t>
        </is>
      </c>
      <c r="J301" s="4" t="n"/>
      <c r="K301" s="8" t="n"/>
      <c r="L301" s="4" t="inlineStr">
        <is>
          <t>FOX DRY</t>
        </is>
      </c>
      <c r="M301" s="4" t="inlineStr">
        <is>
          <t>FOX DRY</t>
        </is>
      </c>
      <c r="N301" s="9" t="n"/>
      <c r="O301" s="9" t="n"/>
      <c r="P301" s="4" t="inlineStr">
        <is>
          <t>FOX DRY</t>
        </is>
      </c>
      <c r="Q301" s="4" t="inlineStr">
        <is>
          <t>FOX DRY</t>
        </is>
      </c>
      <c r="R301" s="4" t="n"/>
      <c r="S301" s="4" t="n"/>
      <c r="T301" s="4" t="inlineStr">
        <is>
          <t>FOX DRY</t>
        </is>
      </c>
      <c r="U301" s="4" t="inlineStr">
        <is>
          <t>Rua S o Paulo, 1071 CEP 30170-907 Belo Horizonte MG CNPJ: 04626426001005</t>
        </is>
      </c>
      <c r="V301" s="9" t="n">
        <v>21</v>
      </c>
      <c r="W301" s="9" t="n">
        <v>0</v>
      </c>
      <c r="X301" s="10" t="n">
        <v>16588</v>
      </c>
      <c r="Y301" s="10" t="n">
        <v>15660</v>
      </c>
      <c r="Z301" s="9" t="n">
        <v>29</v>
      </c>
      <c r="AA301" s="4" t="n"/>
      <c r="AB301" s="4" t="inlineStr">
        <is>
          <t>SAID TO CONTAIN / WEIGH &amp; MEASURE 1X40 DRY CONTAINER BUTADIENE RUBBER BR-544 18 PALLETS/CNTR NET WEIGHT: 9.720 MT/CNTR GROSS WEIGHT: 10.296 MT/CNTR ISOPRENE RUBBER IR-970 11 PALLETS/CNTR NET WEIGHT: 5.940 MT/CNTR GROSS WEIGHT: 6.292 MT/CNTR TOTAL PACKAGE 29 PALLETS/CNTR TOTAL NET WEIGHT: 15.660 MT/CNTR TOTAL GROSS WEIGHT: 16.588 MT/CNTR P.O.: 2600469632/ 2600469666 NCM CODE: 4002 / 4002 CBM: 60M3 WOODEN PACKAGING: NOT APPLICABLE</t>
        </is>
      </c>
      <c r="AC301" s="4" t="inlineStr">
        <is>
          <t>ANON0000000</t>
        </is>
      </c>
      <c r="AD301" s="4" t="inlineStr">
        <is>
          <t>HC40</t>
        </is>
      </c>
      <c r="AE301" s="4" t="n">
        <v>1256408</v>
      </c>
      <c r="AF301" s="4" t="n"/>
      <c r="AG301" s="4" t="inlineStr">
        <is>
          <t>FCL/FCL</t>
        </is>
      </c>
      <c r="AH301" s="4" t="inlineStr">
        <is>
          <t>GENERAL COMMODITY</t>
        </is>
      </c>
      <c r="AI301" s="10" t="n">
        <v>16588</v>
      </c>
      <c r="AJ301" s="9" t="n">
        <v>29</v>
      </c>
      <c r="AK301" s="4" t="inlineStr">
        <is>
          <t>PLT</t>
        </is>
      </c>
      <c r="AL301" s="4" t="n"/>
      <c r="AM301" s="4" t="n"/>
      <c r="AN301" s="4" t="n"/>
      <c r="AO301" s="4" t="n"/>
      <c r="AP301" s="4" t="n"/>
      <c r="AQ301" s="4" t="n"/>
      <c r="AR301" s="4" t="n">
        <v>3700</v>
      </c>
      <c r="AS301" s="4" t="n">
        <v>27000</v>
      </c>
      <c r="AT301" s="12" t="n"/>
    </row>
    <row r="302" ht="10.5" customFormat="1" customHeight="1" s="6">
      <c r="A302" s="11" t="n">
        <v>301</v>
      </c>
      <c r="B302" s="4" t="inlineStr">
        <is>
          <t>MERCURY / VOYAGE 1</t>
        </is>
      </c>
      <c r="C302" s="4" t="inlineStr">
        <is>
          <t>REF000000</t>
        </is>
      </c>
      <c r="D302" s="7" t="n">
        <v>46095</v>
      </c>
      <c r="E302" s="4" t="n">
        <v>46108</v>
      </c>
      <c r="F302" s="4" t="inlineStr">
        <is>
          <t>RULED</t>
        </is>
      </c>
      <c r="G302" s="4" t="inlineStr">
        <is>
          <t>RULED</t>
        </is>
      </c>
      <c r="H302" s="4" t="inlineStr">
        <is>
          <t>USNFK</t>
        </is>
      </c>
      <c r="I302" s="4" t="inlineStr">
        <is>
          <t>USNFK</t>
        </is>
      </c>
      <c r="J302" s="4" t="n"/>
      <c r="K302" s="8" t="n"/>
      <c r="L302" s="4" t="inlineStr">
        <is>
          <t>BISON DRY</t>
        </is>
      </c>
      <c r="M302" s="4" t="inlineStr">
        <is>
          <t>BISON DRY</t>
        </is>
      </c>
      <c r="N302" s="4" t="n"/>
      <c r="O302" s="4" t="n"/>
      <c r="P302" s="4" t="inlineStr">
        <is>
          <t>BISON DRY</t>
        </is>
      </c>
      <c r="Q302" s="4" t="inlineStr">
        <is>
          <t>BISON DRY</t>
        </is>
      </c>
      <c r="R302" s="4" t="n"/>
      <c r="S302" s="4" t="n"/>
      <c r="T302" s="4" t="inlineStr">
        <is>
          <t>BISON DRY</t>
        </is>
      </c>
      <c r="U302" s="4" t="inlineStr">
        <is>
          <t>RUA JACY PARANA SALA 5 BCEP: 76.804.195NOSSAS SENHORA DAS GRACS, PORTO VELHO -RO BRASIL CNPJ: 05.071.497/0004-03</t>
        </is>
      </c>
      <c r="V302" s="4" t="n">
        <v>21</v>
      </c>
      <c r="W302" s="4" t="n">
        <v>0</v>
      </c>
      <c r="X302" s="4" t="n">
        <v>22312</v>
      </c>
      <c r="Y302" s="4" t="n">
        <v>22000</v>
      </c>
      <c r="Z302" s="4" t="n">
        <v>22</v>
      </c>
      <c r="AA302" s="4" t="n"/>
      <c r="AB302" s="4" t="inlineStr">
        <is>
          <t>SAID TO CONTAIN / WEIGH &amp; MEASURE 22 BIG BAGS ON PALLETS PER CONTAINER, WOODEN PACKAGING: NON-APPLICABLE, HS/NCM:2803</t>
        </is>
      </c>
      <c r="AC302" s="4" t="inlineStr">
        <is>
          <t>ANON0000000</t>
        </is>
      </c>
      <c r="AD302" s="4" t="inlineStr">
        <is>
          <t>HC40</t>
        </is>
      </c>
      <c r="AE302" s="4" t="n">
        <v>30271605</v>
      </c>
      <c r="AF302" s="4" t="n"/>
      <c r="AG302" s="4" t="inlineStr">
        <is>
          <t>FCL/FCL</t>
        </is>
      </c>
      <c r="AH302" s="4" t="inlineStr">
        <is>
          <t>GENERAL COMMODITY</t>
        </is>
      </c>
      <c r="AI302" s="4" t="n">
        <v>22312</v>
      </c>
      <c r="AJ302" s="4" t="n">
        <v>22</v>
      </c>
      <c r="AK302" s="4" t="inlineStr">
        <is>
          <t>PLT</t>
        </is>
      </c>
      <c r="AL302" s="4" t="n"/>
      <c r="AM302" s="4" t="n"/>
      <c r="AN302" s="4" t="n"/>
      <c r="AO302" s="4" t="n"/>
      <c r="AP302" s="4" t="n"/>
      <c r="AQ302" s="4" t="n"/>
      <c r="AR302" s="4" t="n">
        <v>3700</v>
      </c>
      <c r="AS302" s="4" t="n">
        <v>27000</v>
      </c>
      <c r="AT302" s="12" t="n"/>
    </row>
    <row r="303" ht="10.5" customFormat="1" customHeight="1" s="6">
      <c r="A303" s="11" t="n">
        <v>302</v>
      </c>
      <c r="B303" s="4" t="inlineStr">
        <is>
          <t>MERCURY / VOYAGE 1</t>
        </is>
      </c>
      <c r="C303" s="4" t="inlineStr">
        <is>
          <t>REF000000</t>
        </is>
      </c>
      <c r="D303" s="7" t="n">
        <v>46095</v>
      </c>
      <c r="E303" s="4" t="n">
        <v>46104</v>
      </c>
      <c r="F303" s="4" t="inlineStr">
        <is>
          <t>RULED</t>
        </is>
      </c>
      <c r="G303" s="4" t="inlineStr">
        <is>
          <t>RULED</t>
        </is>
      </c>
      <c r="H303" s="4" t="inlineStr">
        <is>
          <t>USNYC</t>
        </is>
      </c>
      <c r="I303" s="4" t="inlineStr">
        <is>
          <t>USNYC</t>
        </is>
      </c>
      <c r="J303" s="4" t="n"/>
      <c r="K303" s="8" t="n"/>
      <c r="L303" s="4" t="inlineStr">
        <is>
          <t>MARLIN REEFER</t>
        </is>
      </c>
      <c r="M303" s="4" t="inlineStr">
        <is>
          <t>MARLIN REEFER</t>
        </is>
      </c>
      <c r="N303" s="4" t="n"/>
      <c r="O303" s="4" t="n"/>
      <c r="P303" s="4" t="inlineStr">
        <is>
          <t>MARLIN REEFER</t>
        </is>
      </c>
      <c r="Q303" s="4" t="inlineStr">
        <is>
          <t>MARLIN REEFER</t>
        </is>
      </c>
      <c r="R303" s="4" t="n"/>
      <c r="S303" s="4" t="n"/>
      <c r="T303" s="4" t="inlineStr">
        <is>
          <t>MARLIN REEFER</t>
        </is>
      </c>
      <c r="U303" s="4" t="inlineStr">
        <is>
          <t>AV. FLORIVALDO R. TAMPELINI 1470; PQ. IND. 1 CEP: 87507070 UCAVANMA, PR., UNITED STATES VAT: 04.608.635.0001-27 tel: 55 44 36211550 email: Fabricionettto@gmail.com</t>
        </is>
      </c>
      <c r="V303" s="4" t="n"/>
      <c r="W303" s="4" t="n"/>
      <c r="X303" s="4" t="n">
        <v>303460</v>
      </c>
      <c r="Y303" s="4" t="n">
        <v>301780</v>
      </c>
      <c r="Z303" s="4" t="n">
        <v>14</v>
      </c>
      <c r="AA303" s="4" t="n"/>
      <c r="AB303" s="4" t="inlineStr">
        <is>
          <t>SAID TO CONTAIN / WEIGH &amp; MEASURE BASE OIL SN 500 NCM - 2710.1931 HS code - 2710.1931 WOODEN: NOT APPLICABLE</t>
        </is>
      </c>
      <c r="AC303" s="4" t="inlineStr">
        <is>
          <t>ANON0000000</t>
        </is>
      </c>
      <c r="AD303" s="4" t="inlineStr">
        <is>
          <t>DC20</t>
        </is>
      </c>
      <c r="AE303" s="4" t="n">
        <v>30196588</v>
      </c>
      <c r="AF303" s="4" t="n"/>
      <c r="AG303" s="4" t="inlineStr">
        <is>
          <t>FCL/FCL</t>
        </is>
      </c>
      <c r="AH303" s="4" t="inlineStr">
        <is>
          <t>GENERAL COMMODITY</t>
        </is>
      </c>
      <c r="AI303" s="4" t="n">
        <v>23000</v>
      </c>
      <c r="AJ303" s="4" t="n">
        <v>1</v>
      </c>
      <c r="AK303" s="4" t="inlineStr">
        <is>
          <t>FLX</t>
        </is>
      </c>
      <c r="AL303" s="4" t="n"/>
      <c r="AM303" s="4" t="n"/>
      <c r="AN303" s="4" t="n"/>
      <c r="AO303" s="4" t="n"/>
      <c r="AP303" s="4" t="n"/>
      <c r="AQ303" s="4" t="n"/>
      <c r="AR303" s="4" t="n">
        <v>2100</v>
      </c>
      <c r="AS303" s="4" t="n">
        <v>27000</v>
      </c>
      <c r="AT303" s="12" t="inlineStr">
        <is>
          <t>Y</t>
        </is>
      </c>
    </row>
    <row r="304" ht="10.5" customFormat="1" customHeight="1" s="6">
      <c r="A304" s="11" t="n">
        <v>303</v>
      </c>
      <c r="B304" s="4" t="inlineStr">
        <is>
          <t>MERCURY / VOYAGE 1</t>
        </is>
      </c>
      <c r="C304" s="4" t="inlineStr">
        <is>
          <t>REF000000</t>
        </is>
      </c>
      <c r="D304" s="7" t="n">
        <v>46095</v>
      </c>
      <c r="E304" s="4" t="n">
        <v>46104</v>
      </c>
      <c r="F304" s="4" t="inlineStr">
        <is>
          <t>RULED</t>
        </is>
      </c>
      <c r="G304" s="4" t="inlineStr">
        <is>
          <t>RULED</t>
        </is>
      </c>
      <c r="H304" s="4" t="inlineStr">
        <is>
          <t>USNYC</t>
        </is>
      </c>
      <c r="I304" s="4" t="inlineStr">
        <is>
          <t>USNYC</t>
        </is>
      </c>
      <c r="J304" s="4" t="n"/>
      <c r="K304" s="8" t="n"/>
      <c r="L304" s="4" t="inlineStr">
        <is>
          <t>TURTLE REEFER</t>
        </is>
      </c>
      <c r="M304" s="4" t="inlineStr">
        <is>
          <t>TURTLE REEFER</t>
        </is>
      </c>
      <c r="N304" s="4" t="n"/>
      <c r="O304" s="4" t="n"/>
      <c r="P304" s="4" t="inlineStr">
        <is>
          <t>TURTLE REEFER</t>
        </is>
      </c>
      <c r="Q304" s="4" t="inlineStr">
        <is>
          <t>TURTLE REEFER</t>
        </is>
      </c>
      <c r="R304" s="4" t="n"/>
      <c r="S304" s="4" t="n"/>
      <c r="T304" s="4" t="inlineStr">
        <is>
          <t>TURTLE REEFER</t>
        </is>
      </c>
      <c r="U304" s="4" t="inlineStr">
        <is>
          <t>AV. FLORIVALDO R. TAMPELINI 1470; PQ. IND. 1 CEP: 87507070 UCAVANMA, PR., UNITED STATES VAT: 04.608.635.0001-27 tel: 55 44 36211550 email: Fabricionettto@gmail.com</t>
        </is>
      </c>
      <c r="V304" s="4" t="n"/>
      <c r="W304" s="4" t="n"/>
      <c r="X304" s="4" t="n">
        <v>303460</v>
      </c>
      <c r="Y304" s="4" t="n">
        <v>301780</v>
      </c>
      <c r="Z304" s="4" t="n">
        <v>14</v>
      </c>
      <c r="AA304" s="4" t="n"/>
      <c r="AB304" s="4" t="inlineStr">
        <is>
          <t>SAID TO CONTAIN / WEIGH &amp; MEASURE BASE OIL SN 500 NCM - 2710.1931 HS code - 2710.1931 WOODEN: NOT APPLICABLE</t>
        </is>
      </c>
      <c r="AC304" s="4" t="inlineStr">
        <is>
          <t>ANON0000000</t>
        </is>
      </c>
      <c r="AD304" s="4" t="inlineStr">
        <is>
          <t>DC20</t>
        </is>
      </c>
      <c r="AE304" s="4" t="n">
        <v>30196585</v>
      </c>
      <c r="AF304" s="4" t="n"/>
      <c r="AG304" s="4" t="inlineStr">
        <is>
          <t>FCL/FCL</t>
        </is>
      </c>
      <c r="AH304" s="4" t="inlineStr">
        <is>
          <t>GENERAL COMMODITY</t>
        </is>
      </c>
      <c r="AI304" s="4" t="n">
        <v>23000</v>
      </c>
      <c r="AJ304" s="4" t="n">
        <v>1</v>
      </c>
      <c r="AK304" s="4" t="inlineStr">
        <is>
          <t>FLX</t>
        </is>
      </c>
      <c r="AL304" s="4" t="n"/>
      <c r="AM304" s="4" t="n"/>
      <c r="AN304" s="4" t="n"/>
      <c r="AO304" s="4" t="n"/>
      <c r="AP304" s="4" t="n"/>
      <c r="AQ304" s="4" t="n"/>
      <c r="AR304" s="4" t="n">
        <v>2100</v>
      </c>
      <c r="AS304" s="4" t="n">
        <v>27000</v>
      </c>
      <c r="AT304" s="12" t="inlineStr">
        <is>
          <t>Y</t>
        </is>
      </c>
    </row>
    <row r="305" ht="10.5" customFormat="1" customHeight="1" s="6">
      <c r="A305" s="11" t="n">
        <v>304</v>
      </c>
      <c r="B305" s="4" t="inlineStr">
        <is>
          <t>MERCURY / VOYAGE 1</t>
        </is>
      </c>
      <c r="C305" s="4" t="inlineStr">
        <is>
          <t>REF000000</t>
        </is>
      </c>
      <c r="D305" s="7" t="n">
        <v>46095</v>
      </c>
      <c r="E305" s="4" t="n">
        <v>46104</v>
      </c>
      <c r="F305" s="4" t="inlineStr">
        <is>
          <t>RULED</t>
        </is>
      </c>
      <c r="G305" s="4" t="inlineStr">
        <is>
          <t>RULED</t>
        </is>
      </c>
      <c r="H305" s="4" t="inlineStr">
        <is>
          <t>USNYC</t>
        </is>
      </c>
      <c r="I305" s="4" t="inlineStr">
        <is>
          <t>USNYC</t>
        </is>
      </c>
      <c r="J305" s="4" t="n"/>
      <c r="K305" s="8" t="n"/>
      <c r="L305" s="4" t="inlineStr">
        <is>
          <t>ORCA REEFER</t>
        </is>
      </c>
      <c r="M305" s="4" t="inlineStr">
        <is>
          <t>ORCA REEFER</t>
        </is>
      </c>
      <c r="N305" s="4" t="n"/>
      <c r="O305" s="4" t="n"/>
      <c r="P305" s="4" t="inlineStr">
        <is>
          <t>ORCA REEFER</t>
        </is>
      </c>
      <c r="Q305" s="4" t="inlineStr">
        <is>
          <t>ORCA REEFER</t>
        </is>
      </c>
      <c r="R305" s="4" t="n"/>
      <c r="S305" s="4" t="n"/>
      <c r="T305" s="4" t="inlineStr">
        <is>
          <t>ORCA REEFER</t>
        </is>
      </c>
      <c r="U305" s="4" t="inlineStr">
        <is>
          <t>AV. FLORIVALDO R. TAMPELINI 1470; PQ. IND. 1 CEP: 87507070 UCAVANMA, PR., UNITED STATES VAT: 04.608.635.0001-27 tel: 55 44 36211550 email: Fabricionettto@gmail.com</t>
        </is>
      </c>
      <c r="V305" s="4" t="n"/>
      <c r="W305" s="4" t="n"/>
      <c r="X305" s="4" t="n">
        <v>303460</v>
      </c>
      <c r="Y305" s="4" t="n">
        <v>301780</v>
      </c>
      <c r="Z305" s="4" t="n">
        <v>14</v>
      </c>
      <c r="AA305" s="4" t="n"/>
      <c r="AB305" s="4" t="inlineStr">
        <is>
          <t>SAID TO CONTAIN / WEIGH &amp; MEASURE BASE OIL SN 500 NCM - 2710.1931 HS code - 2710.1931 WOODEN: NOT APPLICABLE</t>
        </is>
      </c>
      <c r="AC305" s="4" t="inlineStr">
        <is>
          <t>ANON0000000</t>
        </is>
      </c>
      <c r="AD305" s="4" t="inlineStr">
        <is>
          <t>DC20</t>
        </is>
      </c>
      <c r="AE305" s="4" t="n">
        <v>30196590</v>
      </c>
      <c r="AF305" s="4" t="n"/>
      <c r="AG305" s="4" t="inlineStr">
        <is>
          <t>FCL/FCL</t>
        </is>
      </c>
      <c r="AH305" s="4" t="inlineStr">
        <is>
          <t>GENERAL COMMODITY</t>
        </is>
      </c>
      <c r="AI305" s="4" t="n">
        <v>23000</v>
      </c>
      <c r="AJ305" s="4" t="n">
        <v>1</v>
      </c>
      <c r="AK305" s="4" t="inlineStr">
        <is>
          <t>FLX</t>
        </is>
      </c>
      <c r="AL305" s="4" t="n"/>
      <c r="AM305" s="4" t="n"/>
      <c r="AN305" s="4" t="n"/>
      <c r="AO305" s="4" t="n"/>
      <c r="AP305" s="4" t="n"/>
      <c r="AQ305" s="4" t="n"/>
      <c r="AR305" s="4" t="n">
        <v>2100</v>
      </c>
      <c r="AS305" s="4" t="n">
        <v>27000</v>
      </c>
      <c r="AT305" s="12" t="inlineStr">
        <is>
          <t>Y</t>
        </is>
      </c>
    </row>
    <row r="306" ht="10.5" customFormat="1" customHeight="1" s="6">
      <c r="A306" s="11" t="n">
        <v>305</v>
      </c>
      <c r="B306" s="4" t="inlineStr">
        <is>
          <t>MERCURY / VOYAGE 1</t>
        </is>
      </c>
      <c r="C306" s="4" t="inlineStr">
        <is>
          <t>REF000000</t>
        </is>
      </c>
      <c r="D306" s="7" t="n">
        <v>46095</v>
      </c>
      <c r="E306" s="4" t="n">
        <v>46104</v>
      </c>
      <c r="F306" s="4" t="inlineStr">
        <is>
          <t>RULED</t>
        </is>
      </c>
      <c r="G306" s="4" t="inlineStr">
        <is>
          <t>RULED</t>
        </is>
      </c>
      <c r="H306" s="4" t="inlineStr">
        <is>
          <t>USNYC</t>
        </is>
      </c>
      <c r="I306" s="4" t="inlineStr">
        <is>
          <t>USNYC</t>
        </is>
      </c>
      <c r="J306" s="4" t="n"/>
      <c r="K306" s="8" t="n"/>
      <c r="L306" s="4" t="inlineStr">
        <is>
          <t>WHALE REEFER</t>
        </is>
      </c>
      <c r="M306" s="4" t="inlineStr">
        <is>
          <t>WHALE REEFER</t>
        </is>
      </c>
      <c r="N306" s="4" t="n"/>
      <c r="O306" s="4" t="n"/>
      <c r="P306" s="4" t="inlineStr">
        <is>
          <t>WHALE REEFER</t>
        </is>
      </c>
      <c r="Q306" s="4" t="inlineStr">
        <is>
          <t>WHALE REEFER</t>
        </is>
      </c>
      <c r="R306" s="4" t="n"/>
      <c r="S306" s="4" t="n"/>
      <c r="T306" s="4" t="inlineStr">
        <is>
          <t>WHALE REEFER</t>
        </is>
      </c>
      <c r="U306" s="4" t="inlineStr">
        <is>
          <t>AV. FLORIVALDO R. TAMPELINI 1470; PQ. IND. 1 CEP: 87507070 UCAVANMA, PR., UNITED STATES VAT: 04.608.635.0001-27 tel: 55 44 36211550 email: Fabricionettto@gmail.com</t>
        </is>
      </c>
      <c r="V306" s="4" t="n"/>
      <c r="W306" s="4" t="n"/>
      <c r="X306" s="4" t="n">
        <v>303460</v>
      </c>
      <c r="Y306" s="4" t="n">
        <v>301780</v>
      </c>
      <c r="Z306" s="4" t="n">
        <v>14</v>
      </c>
      <c r="AA306" s="4" t="n"/>
      <c r="AB306" s="4" t="inlineStr">
        <is>
          <t>SAID TO CONTAIN / WEIGH &amp; MEASURE BASE OIL SN 500 NCM - 2710.1931 HS code - 2710.1931 WOODEN: NOT APPLICABLE</t>
        </is>
      </c>
      <c r="AC306" s="4" t="inlineStr">
        <is>
          <t>ANON0000000</t>
        </is>
      </c>
      <c r="AD306" s="4" t="inlineStr">
        <is>
          <t>DC20</t>
        </is>
      </c>
      <c r="AE306" s="4" t="n">
        <v>30195204</v>
      </c>
      <c r="AF306" s="4" t="n"/>
      <c r="AG306" s="4" t="inlineStr">
        <is>
          <t>FCL/FCL</t>
        </is>
      </c>
      <c r="AH306" s="4" t="inlineStr">
        <is>
          <t>GENERAL COMMODITY</t>
        </is>
      </c>
      <c r="AI306" s="4" t="n">
        <v>17520</v>
      </c>
      <c r="AJ306" s="4" t="n">
        <v>1</v>
      </c>
      <c r="AK306" s="4" t="inlineStr">
        <is>
          <t>FLX</t>
        </is>
      </c>
      <c r="AL306" s="4" t="n"/>
      <c r="AM306" s="4" t="n"/>
      <c r="AN306" s="4" t="n"/>
      <c r="AO306" s="4" t="n"/>
      <c r="AP306" s="4" t="n"/>
      <c r="AQ306" s="4" t="n"/>
      <c r="AR306" s="4" t="n">
        <v>2100</v>
      </c>
      <c r="AS306" s="4" t="n">
        <v>27000</v>
      </c>
      <c r="AT306" s="12" t="inlineStr">
        <is>
          <t>Y</t>
        </is>
      </c>
    </row>
    <row r="307" ht="10.5" customFormat="1" customHeight="1" s="6">
      <c r="A307" s="11" t="n">
        <v>306</v>
      </c>
      <c r="B307" s="4" t="inlineStr">
        <is>
          <t>MERCURY / VOYAGE 1</t>
        </is>
      </c>
      <c r="C307" s="4" t="inlineStr">
        <is>
          <t>REF000000</t>
        </is>
      </c>
      <c r="D307" s="7" t="n">
        <v>46095</v>
      </c>
      <c r="E307" s="4" t="n">
        <v>46104</v>
      </c>
      <c r="F307" s="4" t="inlineStr">
        <is>
          <t>RULED</t>
        </is>
      </c>
      <c r="G307" s="4" t="inlineStr">
        <is>
          <t>RULED</t>
        </is>
      </c>
      <c r="H307" s="4" t="inlineStr">
        <is>
          <t>USNYC</t>
        </is>
      </c>
      <c r="I307" s="4" t="inlineStr">
        <is>
          <t>USNYC</t>
        </is>
      </c>
      <c r="J307" s="4" t="n"/>
      <c r="K307" s="8" t="n"/>
      <c r="L307" s="4" t="inlineStr">
        <is>
          <t>SEAL REEFER</t>
        </is>
      </c>
      <c r="M307" s="4" t="inlineStr">
        <is>
          <t>SEAL REEFER</t>
        </is>
      </c>
      <c r="N307" s="4" t="n"/>
      <c r="O307" s="4" t="n"/>
      <c r="P307" s="4" t="inlineStr">
        <is>
          <t>SEAL REEFER</t>
        </is>
      </c>
      <c r="Q307" s="4" t="inlineStr">
        <is>
          <t>SEAL REEFER</t>
        </is>
      </c>
      <c r="R307" s="4" t="n"/>
      <c r="S307" s="4" t="n"/>
      <c r="T307" s="4" t="inlineStr">
        <is>
          <t>SEAL REEFER</t>
        </is>
      </c>
      <c r="U307" s="4" t="inlineStr">
        <is>
          <t>AV. FLORIVALDO R. TAMPELINI 1470; PQ. IND. 1 CEP: 87507070 UCAVANMA, PR., UNITED STATES VAT: 04.608.635.0001-27 tel: 55 44 36211550 email: Fabricionettto@gmail.com</t>
        </is>
      </c>
      <c r="V307" s="4" t="n"/>
      <c r="W307" s="4" t="n"/>
      <c r="X307" s="4" t="n">
        <v>303460</v>
      </c>
      <c r="Y307" s="4" t="n">
        <v>301780</v>
      </c>
      <c r="Z307" s="4" t="n">
        <v>14</v>
      </c>
      <c r="AA307" s="4" t="n"/>
      <c r="AB307" s="4" t="inlineStr">
        <is>
          <t>SAID TO CONTAIN / WEIGH &amp; MEASURE BASE OIL SN 500 NCM - 2710.1931 HS code - 2710.1931 WOODEN: NOT APPLICABLE</t>
        </is>
      </c>
      <c r="AC307" s="4" t="inlineStr">
        <is>
          <t>ANON0000000</t>
        </is>
      </c>
      <c r="AD307" s="4" t="inlineStr">
        <is>
          <t>DC20</t>
        </is>
      </c>
      <c r="AE307" s="4" t="n">
        <v>30195202</v>
      </c>
      <c r="AF307" s="4" t="n"/>
      <c r="AG307" s="4" t="inlineStr">
        <is>
          <t>FCL/FCL</t>
        </is>
      </c>
      <c r="AH307" s="4" t="inlineStr">
        <is>
          <t>GENERAL COMMODITY</t>
        </is>
      </c>
      <c r="AI307" s="4" t="n">
        <v>17520</v>
      </c>
      <c r="AJ307" s="4" t="n">
        <v>1</v>
      </c>
      <c r="AK307" s="4" t="inlineStr">
        <is>
          <t>FLX</t>
        </is>
      </c>
      <c r="AL307" s="4" t="n"/>
      <c r="AM307" s="4" t="n"/>
      <c r="AN307" s="4" t="n"/>
      <c r="AO307" s="4" t="n"/>
      <c r="AP307" s="4" t="n"/>
      <c r="AQ307" s="4" t="n"/>
      <c r="AR307" s="4" t="n">
        <v>2100</v>
      </c>
      <c r="AS307" s="4" t="n">
        <v>27000</v>
      </c>
      <c r="AT307" s="12" t="inlineStr">
        <is>
          <t>Y</t>
        </is>
      </c>
    </row>
    <row r="308" ht="10.5" customFormat="1" customHeight="1" s="6">
      <c r="A308" s="11" t="n">
        <v>307</v>
      </c>
      <c r="B308" s="4" t="inlineStr">
        <is>
          <t>MERCURY / VOYAGE 1</t>
        </is>
      </c>
      <c r="C308" s="4" t="inlineStr">
        <is>
          <t>REF000000</t>
        </is>
      </c>
      <c r="D308" s="7" t="n">
        <v>46095</v>
      </c>
      <c r="E308" s="4" t="n">
        <v>46104</v>
      </c>
      <c r="F308" s="4" t="inlineStr">
        <is>
          <t>RULED</t>
        </is>
      </c>
      <c r="G308" s="4" t="inlineStr">
        <is>
          <t>RULED</t>
        </is>
      </c>
      <c r="H308" s="4" t="inlineStr">
        <is>
          <t>USNYC</t>
        </is>
      </c>
      <c r="I308" s="4" t="inlineStr">
        <is>
          <t>USNYC</t>
        </is>
      </c>
      <c r="J308" s="4" t="n"/>
      <c r="K308" s="8" t="n"/>
      <c r="L308" s="4" t="inlineStr">
        <is>
          <t>SHARK REEFER</t>
        </is>
      </c>
      <c r="M308" s="4" t="inlineStr">
        <is>
          <t>SHARK REEFER</t>
        </is>
      </c>
      <c r="N308" s="4" t="n"/>
      <c r="O308" s="4" t="n"/>
      <c r="P308" s="4" t="inlineStr">
        <is>
          <t>SHARK REEFER</t>
        </is>
      </c>
      <c r="Q308" s="4" t="inlineStr">
        <is>
          <t>SHARK REEFER</t>
        </is>
      </c>
      <c r="R308" s="4" t="n"/>
      <c r="S308" s="4" t="n"/>
      <c r="T308" s="4" t="inlineStr">
        <is>
          <t>SHARK REEFER</t>
        </is>
      </c>
      <c r="U308" s="4" t="inlineStr">
        <is>
          <t>AV. FLORIVALDO R. TAMPELINI 1470; PQ. IND. 1 CEP: 87507070 UCAVANMA, PR., UNITED STATES VAT: 04.608.635.0001-27 tel: 55 44 36211550 email: Fabricionettto@gmail.com</t>
        </is>
      </c>
      <c r="V308" s="4" t="n"/>
      <c r="W308" s="4" t="n"/>
      <c r="X308" s="4" t="n">
        <v>303460</v>
      </c>
      <c r="Y308" s="4" t="n">
        <v>301780</v>
      </c>
      <c r="Z308" s="4" t="n">
        <v>14</v>
      </c>
      <c r="AA308" s="4" t="n"/>
      <c r="AB308" s="4" t="inlineStr">
        <is>
          <t>SAID TO CONTAIN / WEIGH &amp; MEASURE BASE OIL SN 500 NCM - 2710.1931 HS code - 2710.1931 WOODEN: NOT APPLICABLE</t>
        </is>
      </c>
      <c r="AC308" s="4" t="inlineStr">
        <is>
          <t>ANON0000000</t>
        </is>
      </c>
      <c r="AD308" s="4" t="inlineStr">
        <is>
          <t>DC20</t>
        </is>
      </c>
      <c r="AE308" s="4" t="n">
        <v>30195255</v>
      </c>
      <c r="AF308" s="4" t="n"/>
      <c r="AG308" s="4" t="inlineStr">
        <is>
          <t>FCL/FCL</t>
        </is>
      </c>
      <c r="AH308" s="4" t="inlineStr">
        <is>
          <t>GENERAL COMMODITY</t>
        </is>
      </c>
      <c r="AI308" s="4" t="n">
        <v>22520</v>
      </c>
      <c r="AJ308" s="4" t="n">
        <v>1</v>
      </c>
      <c r="AK308" s="4" t="inlineStr">
        <is>
          <t>FLX</t>
        </is>
      </c>
      <c r="AL308" s="4" t="n"/>
      <c r="AM308" s="4" t="n"/>
      <c r="AN308" s="4" t="n"/>
      <c r="AO308" s="4" t="n"/>
      <c r="AP308" s="4" t="n"/>
      <c r="AQ308" s="4" t="n"/>
      <c r="AR308" s="4" t="n">
        <v>2100</v>
      </c>
      <c r="AS308" s="4" t="n">
        <v>27000</v>
      </c>
      <c r="AT308" s="12" t="inlineStr">
        <is>
          <t>Y</t>
        </is>
      </c>
    </row>
    <row r="309" ht="10.5" customFormat="1" customHeight="1" s="6">
      <c r="A309" s="11" t="n">
        <v>308</v>
      </c>
      <c r="B309" s="4" t="inlineStr">
        <is>
          <t>MERCURY / VOYAGE 1</t>
        </is>
      </c>
      <c r="C309" s="4" t="inlineStr">
        <is>
          <t>REF000000</t>
        </is>
      </c>
      <c r="D309" s="7" t="n">
        <v>46095</v>
      </c>
      <c r="E309" s="4" t="n">
        <v>46104</v>
      </c>
      <c r="F309" s="4" t="inlineStr">
        <is>
          <t>RULED</t>
        </is>
      </c>
      <c r="G309" s="4" t="inlineStr">
        <is>
          <t>RULED</t>
        </is>
      </c>
      <c r="H309" s="4" t="inlineStr">
        <is>
          <t>USNYC</t>
        </is>
      </c>
      <c r="I309" s="4" t="inlineStr">
        <is>
          <t>USNYC</t>
        </is>
      </c>
      <c r="J309" s="4" t="n"/>
      <c r="K309" s="8" t="n"/>
      <c r="L309" s="4" t="inlineStr">
        <is>
          <t>DOLPHIN REEFER</t>
        </is>
      </c>
      <c r="M309" s="4" t="inlineStr">
        <is>
          <t>DOLPHIN REEFER</t>
        </is>
      </c>
      <c r="N309" s="4" t="n"/>
      <c r="O309" s="4" t="n"/>
      <c r="P309" s="4" t="inlineStr">
        <is>
          <t>DOLPHIN REEFER</t>
        </is>
      </c>
      <c r="Q309" s="4" t="inlineStr">
        <is>
          <t>DOLPHIN REEFER</t>
        </is>
      </c>
      <c r="R309" s="4" t="n"/>
      <c r="S309" s="4" t="n"/>
      <c r="T309" s="4" t="inlineStr">
        <is>
          <t>DOLPHIN REEFER</t>
        </is>
      </c>
      <c r="U309" s="4" t="inlineStr">
        <is>
          <t>AV. FLORIVALDO R. TAMPELINI 1470; PQ. IND. 1 CEP: 87507070 UCAVANMA, PR., UNITED STATES VAT: 04.608.635.0001-27 tel: 55 44 36211550 email: Fabricionettto@gmail.com</t>
        </is>
      </c>
      <c r="V309" s="4" t="n"/>
      <c r="W309" s="4" t="n"/>
      <c r="X309" s="4" t="n">
        <v>303460</v>
      </c>
      <c r="Y309" s="4" t="n">
        <v>301780</v>
      </c>
      <c r="Z309" s="4" t="n">
        <v>14</v>
      </c>
      <c r="AA309" s="4" t="n"/>
      <c r="AB309" s="4" t="inlineStr">
        <is>
          <t>SAID TO CONTAIN / WEIGH &amp; MEASURE BASE OIL SN 500 NCM - 2710.1931 HS code - 2710.1931 WOODEN: NOT APPLICABLE</t>
        </is>
      </c>
      <c r="AC309" s="4" t="inlineStr">
        <is>
          <t>ANON0000000</t>
        </is>
      </c>
      <c r="AD309" s="4" t="inlineStr">
        <is>
          <t>DC20</t>
        </is>
      </c>
      <c r="AE309" s="4" t="n">
        <v>30195206</v>
      </c>
      <c r="AF309" s="4" t="n"/>
      <c r="AG309" s="4" t="inlineStr">
        <is>
          <t>FCL/FCL</t>
        </is>
      </c>
      <c r="AH309" s="4" t="inlineStr">
        <is>
          <t>GENERAL COMMODITY</t>
        </is>
      </c>
      <c r="AI309" s="4" t="n">
        <v>17520</v>
      </c>
      <c r="AJ309" s="4" t="n">
        <v>1</v>
      </c>
      <c r="AK309" s="4" t="inlineStr">
        <is>
          <t>FLX</t>
        </is>
      </c>
      <c r="AL309" s="4" t="n"/>
      <c r="AM309" s="4" t="n"/>
      <c r="AN309" s="4" t="n"/>
      <c r="AO309" s="4" t="n"/>
      <c r="AP309" s="4" t="n"/>
      <c r="AQ309" s="4" t="n"/>
      <c r="AR309" s="4" t="n">
        <v>2100</v>
      </c>
      <c r="AS309" s="4" t="n">
        <v>27000</v>
      </c>
      <c r="AT309" s="12" t="inlineStr">
        <is>
          <t>Y</t>
        </is>
      </c>
    </row>
    <row r="310" ht="10.5" customFormat="1" customHeight="1" s="6">
      <c r="A310" s="11" t="n">
        <v>309</v>
      </c>
      <c r="B310" s="4" t="inlineStr">
        <is>
          <t>MERCURY / VOYAGE 1</t>
        </is>
      </c>
      <c r="C310" s="4" t="inlineStr">
        <is>
          <t>REF000000</t>
        </is>
      </c>
      <c r="D310" s="7" t="n">
        <v>46095</v>
      </c>
      <c r="E310" s="4" t="n">
        <v>46104</v>
      </c>
      <c r="F310" s="4" t="inlineStr">
        <is>
          <t>RULED</t>
        </is>
      </c>
      <c r="G310" s="4" t="inlineStr">
        <is>
          <t>RULED</t>
        </is>
      </c>
      <c r="H310" s="4" t="inlineStr">
        <is>
          <t>USNYC</t>
        </is>
      </c>
      <c r="I310" s="4" t="inlineStr">
        <is>
          <t>USNYC</t>
        </is>
      </c>
      <c r="J310" s="4" t="n"/>
      <c r="K310" s="8" t="n"/>
      <c r="L310" s="4" t="inlineStr">
        <is>
          <t>MARLIN REEFER</t>
        </is>
      </c>
      <c r="M310" s="4" t="inlineStr">
        <is>
          <t>MARLIN REEFER</t>
        </is>
      </c>
      <c r="N310" s="4" t="n"/>
      <c r="O310" s="4" t="n"/>
      <c r="P310" s="4" t="inlineStr">
        <is>
          <t>MARLIN REEFER</t>
        </is>
      </c>
      <c r="Q310" s="4" t="inlineStr">
        <is>
          <t>MARLIN REEFER</t>
        </is>
      </c>
      <c r="R310" s="4" t="n"/>
      <c r="S310" s="4" t="n"/>
      <c r="T310" s="4" t="inlineStr">
        <is>
          <t>MARLIN REEFER</t>
        </is>
      </c>
      <c r="U310" s="4" t="inlineStr">
        <is>
          <t>AV. FLORIVALDO R. TAMPELINI 1470; PQ. IND. 1 CEP: 87507070 UCAVANMA, PR., UNITED STATES VAT: 04.608.635.0001-27 tel: 55 44 36211550 email: Fabricionettto@gmail.com</t>
        </is>
      </c>
      <c r="V310" s="4" t="n"/>
      <c r="W310" s="4" t="n"/>
      <c r="X310" s="4" t="n">
        <v>303460</v>
      </c>
      <c r="Y310" s="4" t="n">
        <v>301780</v>
      </c>
      <c r="Z310" s="4" t="n">
        <v>14</v>
      </c>
      <c r="AA310" s="4" t="n"/>
      <c r="AB310" s="4" t="inlineStr">
        <is>
          <t>SAID TO CONTAIN / WEIGH &amp; MEASURE BASE OIL SN 500 NCM - 2710.1931 HS code - 2710.1931 WOODEN: NOT APPLICABLE</t>
        </is>
      </c>
      <c r="AC310" s="4" t="inlineStr">
        <is>
          <t>ANON0000000</t>
        </is>
      </c>
      <c r="AD310" s="4" t="inlineStr">
        <is>
          <t>DC20</t>
        </is>
      </c>
      <c r="AE310" s="4" t="n">
        <v>30196582</v>
      </c>
      <c r="AF310" s="4" t="n"/>
      <c r="AG310" s="4" t="inlineStr">
        <is>
          <t>FCL/FCL</t>
        </is>
      </c>
      <c r="AH310" s="4" t="inlineStr">
        <is>
          <t>GENERAL COMMODITY</t>
        </is>
      </c>
      <c r="AI310" s="4" t="n">
        <v>23000</v>
      </c>
      <c r="AJ310" s="4" t="n">
        <v>1</v>
      </c>
      <c r="AK310" s="4" t="inlineStr">
        <is>
          <t>FLX</t>
        </is>
      </c>
      <c r="AL310" s="4" t="n"/>
      <c r="AM310" s="4" t="n"/>
      <c r="AN310" s="4" t="n"/>
      <c r="AO310" s="4" t="n"/>
      <c r="AP310" s="4" t="n"/>
      <c r="AQ310" s="4" t="n"/>
      <c r="AR310" s="4" t="n">
        <v>2100</v>
      </c>
      <c r="AS310" s="4" t="n">
        <v>27000</v>
      </c>
      <c r="AT310" s="12" t="inlineStr">
        <is>
          <t>Y</t>
        </is>
      </c>
    </row>
    <row r="311" ht="10.5" customFormat="1" customHeight="1" s="6">
      <c r="A311" s="11" t="n">
        <v>310</v>
      </c>
      <c r="B311" s="4" t="inlineStr">
        <is>
          <t>MERCURY / VOYAGE 1</t>
        </is>
      </c>
      <c r="C311" s="4" t="inlineStr">
        <is>
          <t>REF000000</t>
        </is>
      </c>
      <c r="D311" s="7" t="n">
        <v>46095</v>
      </c>
      <c r="E311" s="4" t="n">
        <v>46104</v>
      </c>
      <c r="F311" s="4" t="inlineStr">
        <is>
          <t>RULED</t>
        </is>
      </c>
      <c r="G311" s="4" t="inlineStr">
        <is>
          <t>RULED</t>
        </is>
      </c>
      <c r="H311" s="4" t="inlineStr">
        <is>
          <t>USNYC</t>
        </is>
      </c>
      <c r="I311" s="4" t="inlineStr">
        <is>
          <t>USNYC</t>
        </is>
      </c>
      <c r="J311" s="4" t="n"/>
      <c r="K311" s="8" t="n"/>
      <c r="L311" s="4" t="inlineStr">
        <is>
          <t>TURTLE REEFER</t>
        </is>
      </c>
      <c r="M311" s="4" t="inlineStr">
        <is>
          <t>TURTLE REEFER</t>
        </is>
      </c>
      <c r="N311" s="4" t="n"/>
      <c r="O311" s="4" t="n"/>
      <c r="P311" s="4" t="inlineStr">
        <is>
          <t>TURTLE REEFER</t>
        </is>
      </c>
      <c r="Q311" s="4" t="inlineStr">
        <is>
          <t>TURTLE REEFER</t>
        </is>
      </c>
      <c r="R311" s="4" t="n"/>
      <c r="S311" s="4" t="n"/>
      <c r="T311" s="4" t="inlineStr">
        <is>
          <t>TURTLE REEFER</t>
        </is>
      </c>
      <c r="U311" s="4" t="inlineStr">
        <is>
          <t>AV. FLORIVALDO R. TAMPELINI 1470; PQ. IND. 1 CEP: 87507070 UCAVANMA, PR., UNITED STATES VAT: 04.608.635.0001-27 tel: 55 44 36211550 email: Fabricionettto@gmail.com</t>
        </is>
      </c>
      <c r="V311" s="4" t="n"/>
      <c r="W311" s="4" t="n"/>
      <c r="X311" s="4" t="n">
        <v>303460</v>
      </c>
      <c r="Y311" s="4" t="n">
        <v>301780</v>
      </c>
      <c r="Z311" s="4" t="n">
        <v>14</v>
      </c>
      <c r="AA311" s="4" t="n"/>
      <c r="AB311" s="4" t="inlineStr">
        <is>
          <t>SAID TO CONTAIN / WEIGH &amp; MEASURE BASE OIL SN 500 NCM - 2710.1931 HS code - 2710.1931 WOODEN: NOT APPLICABLE</t>
        </is>
      </c>
      <c r="AC311" s="4" t="inlineStr">
        <is>
          <t>ANON0000000</t>
        </is>
      </c>
      <c r="AD311" s="4" t="inlineStr">
        <is>
          <t>DC20</t>
        </is>
      </c>
      <c r="AE311" s="4" t="n">
        <v>30196589</v>
      </c>
      <c r="AF311" s="4" t="n"/>
      <c r="AG311" s="4" t="inlineStr">
        <is>
          <t>FCL/FCL</t>
        </is>
      </c>
      <c r="AH311" s="4" t="inlineStr">
        <is>
          <t>GENERAL COMMODITY</t>
        </is>
      </c>
      <c r="AI311" s="4" t="n">
        <v>23000</v>
      </c>
      <c r="AJ311" s="4" t="n">
        <v>1</v>
      </c>
      <c r="AK311" s="4" t="inlineStr">
        <is>
          <t>FLX</t>
        </is>
      </c>
      <c r="AL311" s="4" t="n"/>
      <c r="AM311" s="4" t="n"/>
      <c r="AN311" s="4" t="n"/>
      <c r="AO311" s="4" t="n"/>
      <c r="AP311" s="4" t="n"/>
      <c r="AQ311" s="4" t="n"/>
      <c r="AR311" s="4" t="n">
        <v>2100</v>
      </c>
      <c r="AS311" s="4" t="n">
        <v>27000</v>
      </c>
      <c r="AT311" s="12" t="inlineStr">
        <is>
          <t>Y</t>
        </is>
      </c>
    </row>
    <row r="312" ht="10.5" customFormat="1" customHeight="1" s="6">
      <c r="A312" s="11" t="n">
        <v>311</v>
      </c>
      <c r="B312" s="4" t="inlineStr">
        <is>
          <t>MERCURY / VOYAGE 1</t>
        </is>
      </c>
      <c r="C312" s="4" t="inlineStr">
        <is>
          <t>REF000000</t>
        </is>
      </c>
      <c r="D312" s="7" t="n">
        <v>46095</v>
      </c>
      <c r="E312" s="4" t="n">
        <v>46104</v>
      </c>
      <c r="F312" s="4" t="inlineStr">
        <is>
          <t>RULED</t>
        </is>
      </c>
      <c r="G312" s="4" t="inlineStr">
        <is>
          <t>RULED</t>
        </is>
      </c>
      <c r="H312" s="4" t="inlineStr">
        <is>
          <t>USNYC</t>
        </is>
      </c>
      <c r="I312" s="4" t="inlineStr">
        <is>
          <t>USNYC</t>
        </is>
      </c>
      <c r="J312" s="4" t="n"/>
      <c r="K312" s="8" t="n"/>
      <c r="L312" s="4" t="inlineStr">
        <is>
          <t>ORCA REEFER</t>
        </is>
      </c>
      <c r="M312" s="4" t="inlineStr">
        <is>
          <t>ORCA REEFER</t>
        </is>
      </c>
      <c r="N312" s="4" t="n"/>
      <c r="O312" s="4" t="n"/>
      <c r="P312" s="4" t="inlineStr">
        <is>
          <t>ORCA REEFER</t>
        </is>
      </c>
      <c r="Q312" s="4" t="inlineStr">
        <is>
          <t>ORCA REEFER</t>
        </is>
      </c>
      <c r="R312" s="4" t="n"/>
      <c r="S312" s="4" t="n"/>
      <c r="T312" s="4" t="inlineStr">
        <is>
          <t>ORCA REEFER</t>
        </is>
      </c>
      <c r="U312" s="4" t="inlineStr">
        <is>
          <t>AV. FLORIVALDO R. TAMPELINI 1470; PQ. IND. 1 CEP: 87507070 UCAVANMA, PR., UNITED STATES VAT: 04.608.635.0001-27 tel: 55 44 36211550 email: Fabricionettto@gmail.com</t>
        </is>
      </c>
      <c r="V312" s="4" t="n"/>
      <c r="W312" s="4" t="n"/>
      <c r="X312" s="4" t="n">
        <v>303460</v>
      </c>
      <c r="Y312" s="4" t="n">
        <v>301780</v>
      </c>
      <c r="Z312" s="4" t="n">
        <v>14</v>
      </c>
      <c r="AA312" s="4" t="n"/>
      <c r="AB312" s="4" t="inlineStr">
        <is>
          <t>SAID TO CONTAIN / WEIGH &amp; MEASURE BASE OIL SN 500 NCM - 2710.1931 HS code - 2710.1931 WOODEN: NOT APPLICABLE</t>
        </is>
      </c>
      <c r="AC312" s="4" t="inlineStr">
        <is>
          <t>ANON0000000</t>
        </is>
      </c>
      <c r="AD312" s="4" t="inlineStr">
        <is>
          <t>DC20</t>
        </is>
      </c>
      <c r="AE312" s="4" t="n">
        <v>30196584</v>
      </c>
      <c r="AF312" s="4" t="n"/>
      <c r="AG312" s="4" t="inlineStr">
        <is>
          <t>FCL/FCL</t>
        </is>
      </c>
      <c r="AH312" s="4" t="inlineStr">
        <is>
          <t>GENERAL COMMODITY</t>
        </is>
      </c>
      <c r="AI312" s="4" t="n">
        <v>23000</v>
      </c>
      <c r="AJ312" s="4" t="n">
        <v>1</v>
      </c>
      <c r="AK312" s="4" t="inlineStr">
        <is>
          <t>FLX</t>
        </is>
      </c>
      <c r="AL312" s="4" t="n"/>
      <c r="AM312" s="4" t="n"/>
      <c r="AN312" s="4" t="n"/>
      <c r="AO312" s="4" t="n"/>
      <c r="AP312" s="4" t="n"/>
      <c r="AQ312" s="4" t="n"/>
      <c r="AR312" s="4" t="n">
        <v>2100</v>
      </c>
      <c r="AS312" s="4" t="n">
        <v>27000</v>
      </c>
      <c r="AT312" s="12" t="inlineStr">
        <is>
          <t>Y</t>
        </is>
      </c>
    </row>
    <row r="313" ht="10.5" customFormat="1" customHeight="1" s="6">
      <c r="A313" s="11" t="n">
        <v>312</v>
      </c>
      <c r="B313" s="4" t="inlineStr">
        <is>
          <t>MERCURY / VOYAGE 1</t>
        </is>
      </c>
      <c r="C313" s="4" t="inlineStr">
        <is>
          <t>REF000000</t>
        </is>
      </c>
      <c r="D313" s="7" t="n">
        <v>46095</v>
      </c>
      <c r="E313" s="4" t="n">
        <v>46104</v>
      </c>
      <c r="F313" s="4" t="inlineStr">
        <is>
          <t>RULED</t>
        </is>
      </c>
      <c r="G313" s="4" t="inlineStr">
        <is>
          <t>RULED</t>
        </is>
      </c>
      <c r="H313" s="4" t="inlineStr">
        <is>
          <t>USNYC</t>
        </is>
      </c>
      <c r="I313" s="4" t="inlineStr">
        <is>
          <t>USNYC</t>
        </is>
      </c>
      <c r="J313" s="4" t="n"/>
      <c r="K313" s="8" t="n"/>
      <c r="L313" s="4" t="inlineStr">
        <is>
          <t>WHALE REEFER</t>
        </is>
      </c>
      <c r="M313" s="4" t="inlineStr">
        <is>
          <t>WHALE REEFER</t>
        </is>
      </c>
      <c r="N313" s="4" t="n"/>
      <c r="O313" s="4" t="n"/>
      <c r="P313" s="4" t="inlineStr">
        <is>
          <t>WHALE REEFER</t>
        </is>
      </c>
      <c r="Q313" s="4" t="inlineStr">
        <is>
          <t>WHALE REEFER</t>
        </is>
      </c>
      <c r="R313" s="4" t="n"/>
      <c r="S313" s="4" t="n"/>
      <c r="T313" s="4" t="inlineStr">
        <is>
          <t>WHALE REEFER</t>
        </is>
      </c>
      <c r="U313" s="4" t="inlineStr">
        <is>
          <t>AV. FLORIVALDO R. TAMPELINI 1470; PQ. IND. 1 CEP: 87507070 UCAVANMA, PR., UNITED STATES VAT: 04.608.635.0001-27 tel: 55 44 36211550 email: Fabricionettto@gmail.com</t>
        </is>
      </c>
      <c r="V313" s="4" t="n"/>
      <c r="W313" s="4" t="n"/>
      <c r="X313" s="4" t="n">
        <v>303460</v>
      </c>
      <c r="Y313" s="4" t="n">
        <v>301780</v>
      </c>
      <c r="Z313" s="4" t="n">
        <v>14</v>
      </c>
      <c r="AA313" s="4" t="n"/>
      <c r="AB313" s="4" t="inlineStr">
        <is>
          <t>SAID TO CONTAIN / WEIGH &amp; MEASURE BASE OIL SN 500 NCM - 2710.1931 HS code - 2710.1931 WOODEN: NOT APPLICABLE</t>
        </is>
      </c>
      <c r="AC313" s="4" t="inlineStr">
        <is>
          <t>ANON0000000</t>
        </is>
      </c>
      <c r="AD313" s="4" t="inlineStr">
        <is>
          <t>DC20</t>
        </is>
      </c>
      <c r="AE313" s="4" t="n">
        <v>30196583</v>
      </c>
      <c r="AF313" s="4" t="n"/>
      <c r="AG313" s="4" t="inlineStr">
        <is>
          <t>FCL/FCL</t>
        </is>
      </c>
      <c r="AH313" s="4" t="inlineStr">
        <is>
          <t>GENERAL COMMODITY</t>
        </is>
      </c>
      <c r="AI313" s="4" t="n">
        <v>23000</v>
      </c>
      <c r="AJ313" s="4" t="n">
        <v>1</v>
      </c>
      <c r="AK313" s="4" t="inlineStr">
        <is>
          <t>FLX</t>
        </is>
      </c>
      <c r="AL313" s="4" t="n"/>
      <c r="AM313" s="4" t="n"/>
      <c r="AN313" s="4" t="n"/>
      <c r="AO313" s="4" t="n"/>
      <c r="AP313" s="4" t="n"/>
      <c r="AQ313" s="4" t="n"/>
      <c r="AR313" s="4" t="n">
        <v>2100</v>
      </c>
      <c r="AS313" s="4" t="n">
        <v>27000</v>
      </c>
      <c r="AT313" s="12" t="inlineStr">
        <is>
          <t>Y</t>
        </is>
      </c>
    </row>
    <row r="314" ht="10.5" customFormat="1" customHeight="1" s="6">
      <c r="A314" s="11" t="n">
        <v>313</v>
      </c>
      <c r="B314" s="4" t="inlineStr">
        <is>
          <t>MERCURY / VOYAGE 1</t>
        </is>
      </c>
      <c r="C314" s="4" t="inlineStr">
        <is>
          <t>REF000000</t>
        </is>
      </c>
      <c r="D314" s="7" t="n">
        <v>46095</v>
      </c>
      <c r="E314" s="4" t="n">
        <v>46104</v>
      </c>
      <c r="F314" s="4" t="inlineStr">
        <is>
          <t>RULED</t>
        </is>
      </c>
      <c r="G314" s="4" t="inlineStr">
        <is>
          <t>RULED</t>
        </is>
      </c>
      <c r="H314" s="4" t="inlineStr">
        <is>
          <t>USNYC</t>
        </is>
      </c>
      <c r="I314" s="4" t="inlineStr">
        <is>
          <t>USNYC</t>
        </is>
      </c>
      <c r="J314" s="4" t="n"/>
      <c r="K314" s="8" t="n"/>
      <c r="L314" s="4" t="inlineStr">
        <is>
          <t>SEAL REEFER</t>
        </is>
      </c>
      <c r="M314" s="4" t="inlineStr">
        <is>
          <t>SEAL REEFER</t>
        </is>
      </c>
      <c r="N314" s="4" t="n"/>
      <c r="O314" s="4" t="n"/>
      <c r="P314" s="4" t="inlineStr">
        <is>
          <t>SEAL REEFER</t>
        </is>
      </c>
      <c r="Q314" s="4" t="inlineStr">
        <is>
          <t>SEAL REEFER</t>
        </is>
      </c>
      <c r="R314" s="4" t="n"/>
      <c r="S314" s="4" t="n"/>
      <c r="T314" s="4" t="inlineStr">
        <is>
          <t>SEAL REEFER</t>
        </is>
      </c>
      <c r="U314" s="4" t="inlineStr">
        <is>
          <t>AV. FLORIVALDO R. TAMPELINI 1470; PQ. IND. 1 CEP: 87507070 UCAVANMA, PR., UNITED STATES VAT: 04.608.635.0001-27 tel: 55 44 36211550 email: Fabricionettto@gmail.com</t>
        </is>
      </c>
      <c r="V314" s="4" t="n"/>
      <c r="W314" s="4" t="n"/>
      <c r="X314" s="4" t="n">
        <v>303460</v>
      </c>
      <c r="Y314" s="4" t="n">
        <v>301780</v>
      </c>
      <c r="Z314" s="4" t="n">
        <v>14</v>
      </c>
      <c r="AA314" s="4" t="n"/>
      <c r="AB314" s="4" t="inlineStr">
        <is>
          <t>SAID TO CONTAIN / WEIGH &amp; MEASURE BASE OIL SN 500 NCM - 2710.1931 HS code - 2710.1931 WOODEN: NOT APPLICABLE</t>
        </is>
      </c>
      <c r="AC314" s="4" t="inlineStr">
        <is>
          <t>ANON0000000</t>
        </is>
      </c>
      <c r="AD314" s="4" t="inlineStr">
        <is>
          <t>DC20</t>
        </is>
      </c>
      <c r="AE314" s="4" t="n">
        <v>30270111</v>
      </c>
      <c r="AF314" s="4" t="n"/>
      <c r="AG314" s="4" t="inlineStr">
        <is>
          <t>FCL/FCL</t>
        </is>
      </c>
      <c r="AH314" s="4" t="inlineStr">
        <is>
          <t>GENERAL COMMODITY</t>
        </is>
      </c>
      <c r="AI314" s="4" t="n">
        <v>22340</v>
      </c>
      <c r="AJ314" s="4" t="n">
        <v>1</v>
      </c>
      <c r="AK314" s="4" t="inlineStr">
        <is>
          <t>FLX</t>
        </is>
      </c>
      <c r="AL314" s="4" t="n"/>
      <c r="AM314" s="4" t="n"/>
      <c r="AN314" s="4" t="n"/>
      <c r="AO314" s="4" t="n"/>
      <c r="AP314" s="4" t="n"/>
      <c r="AQ314" s="4" t="n"/>
      <c r="AR314" s="4" t="n">
        <v>2100</v>
      </c>
      <c r="AS314" s="4" t="n">
        <v>27000</v>
      </c>
      <c r="AT314" s="12" t="inlineStr">
        <is>
          <t>Y</t>
        </is>
      </c>
    </row>
    <row r="315" ht="10.5" customFormat="1" customHeight="1" s="6">
      <c r="A315" s="11" t="n">
        <v>314</v>
      </c>
      <c r="B315" s="4" t="inlineStr">
        <is>
          <t>MERCURY / VOYAGE 1</t>
        </is>
      </c>
      <c r="C315" s="4" t="inlineStr">
        <is>
          <t>REF000000</t>
        </is>
      </c>
      <c r="D315" s="7" t="n">
        <v>46095</v>
      </c>
      <c r="E315" s="4" t="n">
        <v>46104</v>
      </c>
      <c r="F315" s="4" t="inlineStr">
        <is>
          <t>RULED</t>
        </is>
      </c>
      <c r="G315" s="4" t="inlineStr">
        <is>
          <t>RULED</t>
        </is>
      </c>
      <c r="H315" s="4" t="inlineStr">
        <is>
          <t>USNYC</t>
        </is>
      </c>
      <c r="I315" s="4" t="inlineStr">
        <is>
          <t>USNYC</t>
        </is>
      </c>
      <c r="J315" s="4" t="n"/>
      <c r="K315" s="8" t="n"/>
      <c r="L315" s="4" t="inlineStr">
        <is>
          <t>SHARK REEFER</t>
        </is>
      </c>
      <c r="M315" s="4" t="inlineStr">
        <is>
          <t>SHARK REEFER</t>
        </is>
      </c>
      <c r="N315" s="4" t="n"/>
      <c r="O315" s="4" t="n"/>
      <c r="P315" s="4" t="inlineStr">
        <is>
          <t>SHARK REEFER</t>
        </is>
      </c>
      <c r="Q315" s="4" t="inlineStr">
        <is>
          <t>SHARK REEFER</t>
        </is>
      </c>
      <c r="R315" s="4" t="n"/>
      <c r="S315" s="4" t="n"/>
      <c r="T315" s="4" t="inlineStr">
        <is>
          <t>SHARK REEFER</t>
        </is>
      </c>
      <c r="U315" s="4" t="inlineStr">
        <is>
          <t>AV. FLORIVALDO R. TAMPELINI 1470; PQ. IND. 1 CEP: 87507070 UCAVANMA, PR., UNITED STATES VAT: 04.608.635.0001-27 tel: 55 44 36211550 email: Fabricionettto@gmail.com</t>
        </is>
      </c>
      <c r="V315" s="4" t="n"/>
      <c r="W315" s="4" t="n"/>
      <c r="X315" s="4" t="n">
        <v>303460</v>
      </c>
      <c r="Y315" s="4" t="n">
        <v>301780</v>
      </c>
      <c r="Z315" s="4" t="n">
        <v>14</v>
      </c>
      <c r="AA315" s="4" t="n"/>
      <c r="AB315" s="4" t="inlineStr">
        <is>
          <t>SAID TO CONTAIN / WEIGH &amp; MEASURE BASE OIL SN 500 NCM - 2710.1931 HS code - 2710.1931 WOODEN: NOT APPLICABLE</t>
        </is>
      </c>
      <c r="AC315" s="4" t="inlineStr">
        <is>
          <t>ANON0000000</t>
        </is>
      </c>
      <c r="AD315" s="4" t="inlineStr">
        <is>
          <t>DC20</t>
        </is>
      </c>
      <c r="AE315" s="4" t="n">
        <v>30195256</v>
      </c>
      <c r="AF315" s="4" t="n"/>
      <c r="AG315" s="4" t="inlineStr">
        <is>
          <t>FCL/FCL</t>
        </is>
      </c>
      <c r="AH315" s="4" t="inlineStr">
        <is>
          <t>GENERAL COMMODITY</t>
        </is>
      </c>
      <c r="AI315" s="4" t="n">
        <v>22520</v>
      </c>
      <c r="AJ315" s="4" t="n">
        <v>1</v>
      </c>
      <c r="AK315" s="4" t="inlineStr">
        <is>
          <t>FLX</t>
        </is>
      </c>
      <c r="AL315" s="4" t="n"/>
      <c r="AM315" s="4" t="n"/>
      <c r="AN315" s="4" t="n"/>
      <c r="AO315" s="4" t="n"/>
      <c r="AP315" s="4" t="n"/>
      <c r="AQ315" s="4" t="n"/>
      <c r="AR315" s="4" t="n">
        <v>2100</v>
      </c>
      <c r="AS315" s="4" t="n">
        <v>27000</v>
      </c>
      <c r="AT315" s="12" t="inlineStr">
        <is>
          <t>Y</t>
        </is>
      </c>
    </row>
    <row r="316" ht="10.5" customFormat="1" customHeight="1" s="6">
      <c r="A316" s="11" t="n">
        <v>315</v>
      </c>
      <c r="B316" s="4" t="inlineStr">
        <is>
          <t>MERCURY / VOYAGE 1</t>
        </is>
      </c>
      <c r="C316" s="4" t="inlineStr">
        <is>
          <t>REF000000</t>
        </is>
      </c>
      <c r="D316" s="7" t="n">
        <v>46095</v>
      </c>
      <c r="E316" s="4" t="n">
        <v>46104</v>
      </c>
      <c r="F316" s="4" t="inlineStr">
        <is>
          <t>RULED</t>
        </is>
      </c>
      <c r="G316" s="4" t="inlineStr">
        <is>
          <t>RULED</t>
        </is>
      </c>
      <c r="H316" s="4" t="inlineStr">
        <is>
          <t>USNYC</t>
        </is>
      </c>
      <c r="I316" s="4" t="inlineStr">
        <is>
          <t>USNYC</t>
        </is>
      </c>
      <c r="J316" s="4" t="n"/>
      <c r="K316" s="8" t="n"/>
      <c r="L316" s="4" t="inlineStr">
        <is>
          <t>DOLPHIN REEFER</t>
        </is>
      </c>
      <c r="M316" s="4" t="inlineStr">
        <is>
          <t>DOLPHIN REEFER</t>
        </is>
      </c>
      <c r="N316" s="4" t="n"/>
      <c r="O316" s="4" t="n"/>
      <c r="P316" s="4" t="inlineStr">
        <is>
          <t>DOLPHIN REEFER</t>
        </is>
      </c>
      <c r="Q316" s="4" t="inlineStr">
        <is>
          <t>DOLPHIN REEFER</t>
        </is>
      </c>
      <c r="R316" s="4" t="n"/>
      <c r="S316" s="4" t="n"/>
      <c r="T316" s="4" t="inlineStr">
        <is>
          <t>DOLPHIN REEFER</t>
        </is>
      </c>
      <c r="U316" s="4" t="inlineStr">
        <is>
          <t>AV. FLORIVALDO R. TAMPELINI 1470; PQ. IND. 1 CEP: 87507070 UCAVANMA, PR., UNITED STATES VAT: 04.608.635.0001-27 tel: 55 44 36211550 email: Fabricionettto@gmail.com</t>
        </is>
      </c>
      <c r="V316" s="4" t="n"/>
      <c r="W316" s="4" t="n"/>
      <c r="X316" s="4" t="n">
        <v>303460</v>
      </c>
      <c r="Y316" s="4" t="n">
        <v>301780</v>
      </c>
      <c r="Z316" s="4" t="n">
        <v>14</v>
      </c>
      <c r="AA316" s="4" t="n"/>
      <c r="AB316" s="4" t="inlineStr">
        <is>
          <t>SAID TO CONTAIN / WEIGH &amp; MEASURE BASE OIL SN 500 NCM - 2710.1931 HS code - 2710.1931 WOODEN: NOT APPLICABLE</t>
        </is>
      </c>
      <c r="AC316" s="4" t="inlineStr">
        <is>
          <t>ANON0000000</t>
        </is>
      </c>
      <c r="AD316" s="4" t="inlineStr">
        <is>
          <t>DC20</t>
        </is>
      </c>
      <c r="AE316" s="4" t="n">
        <v>30195253</v>
      </c>
      <c r="AF316" s="4" t="n"/>
      <c r="AG316" s="4" t="inlineStr">
        <is>
          <t>FCL/FCL</t>
        </is>
      </c>
      <c r="AH316" s="4" t="inlineStr">
        <is>
          <t>GENERAL COMMODITY</t>
        </is>
      </c>
      <c r="AI316" s="4" t="n">
        <v>22520</v>
      </c>
      <c r="AJ316" s="4" t="n">
        <v>1</v>
      </c>
      <c r="AK316" s="4" t="inlineStr">
        <is>
          <t>FLX</t>
        </is>
      </c>
      <c r="AL316" s="4" t="n"/>
      <c r="AM316" s="4" t="n"/>
      <c r="AN316" s="4" t="n"/>
      <c r="AO316" s="4" t="n"/>
      <c r="AP316" s="4" t="n"/>
      <c r="AQ316" s="4" t="n"/>
      <c r="AR316" s="4" t="n">
        <v>2100</v>
      </c>
      <c r="AS316" s="4" t="n">
        <v>27000</v>
      </c>
      <c r="AT316" s="12" t="inlineStr">
        <is>
          <t>Y</t>
        </is>
      </c>
    </row>
    <row r="317" ht="10.5" customFormat="1" customHeight="1" s="6">
      <c r="A317" s="11" t="n">
        <v>316</v>
      </c>
      <c r="B317" s="4" t="inlineStr">
        <is>
          <t>MERCURY / VOYAGE 1</t>
        </is>
      </c>
      <c r="C317" s="4" t="inlineStr">
        <is>
          <t>REF000000</t>
        </is>
      </c>
      <c r="D317" s="7" t="n">
        <v>46095</v>
      </c>
      <c r="E317" s="4" t="n">
        <v>46108</v>
      </c>
      <c r="F317" s="4" t="inlineStr">
        <is>
          <t>RULED</t>
        </is>
      </c>
      <c r="G317" s="4" t="inlineStr">
        <is>
          <t>RULED</t>
        </is>
      </c>
      <c r="H317" s="4" t="inlineStr">
        <is>
          <t>USNFK</t>
        </is>
      </c>
      <c r="I317" s="4" t="inlineStr">
        <is>
          <t>USNFK</t>
        </is>
      </c>
      <c r="J317" s="4" t="n"/>
      <c r="K317" s="8" t="n"/>
      <c r="L317" s="4" t="inlineStr">
        <is>
          <t>EAGLE DRY</t>
        </is>
      </c>
      <c r="M317" s="4" t="inlineStr">
        <is>
          <t>EAGLE DRY</t>
        </is>
      </c>
      <c r="N317" s="4" t="n"/>
      <c r="O317" s="4" t="n"/>
      <c r="P317" s="4" t="inlineStr">
        <is>
          <t>EAGLE DRY</t>
        </is>
      </c>
      <c r="Q317" s="4" t="inlineStr">
        <is>
          <t>EAGLE DRY</t>
        </is>
      </c>
      <c r="R317" s="4" t="n"/>
      <c r="S317" s="4" t="n"/>
      <c r="T317" s="4" t="inlineStr">
        <is>
          <t>EAGLE DRY</t>
        </is>
      </c>
      <c r="U317" s="4" t="inlineStr">
        <is>
          <t>Rua Jose Versolato, 101 Centro</t>
        </is>
      </c>
      <c r="V317" s="4" t="n">
        <v>14</v>
      </c>
      <c r="W317" s="4" t="n">
        <v>0</v>
      </c>
      <c r="X317" s="4" t="n">
        <v>17460</v>
      </c>
      <c r="Y317" s="4" t="n">
        <v>16560</v>
      </c>
      <c r="Z317" s="4" t="n">
        <v>18</v>
      </c>
      <c r="AA317" s="4" t="n"/>
      <c r="AB317" s="4" t="inlineStr">
        <is>
          <t>SAID TO CONTAIN / WEIGH &amp; MEASURE</t>
        </is>
      </c>
      <c r="AC317" s="4" t="inlineStr">
        <is>
          <t>ANON0000000</t>
        </is>
      </c>
      <c r="AD317" s="4" t="inlineStr">
        <is>
          <t>DC20</t>
        </is>
      </c>
      <c r="AE317" s="4" t="n">
        <v>1050567</v>
      </c>
      <c r="AF317" s="4" t="n"/>
      <c r="AG317" s="4" t="inlineStr">
        <is>
          <t>FCL/FCL</t>
        </is>
      </c>
      <c r="AH317" s="4" t="inlineStr">
        <is>
          <t>GENERAL COMMODITY</t>
        </is>
      </c>
      <c r="AI317" s="4" t="n">
        <v>17460</v>
      </c>
      <c r="AJ317" s="4" t="n">
        <v>18</v>
      </c>
      <c r="AK317" s="4" t="inlineStr">
        <is>
          <t>PLT</t>
        </is>
      </c>
      <c r="AL317" s="4" t="n"/>
      <c r="AM317" s="4" t="n"/>
      <c r="AN317" s="4" t="n"/>
      <c r="AO317" s="4" t="n"/>
      <c r="AP317" s="4" t="n"/>
      <c r="AQ317" s="4" t="n"/>
      <c r="AR317" s="4" t="n">
        <v>2100</v>
      </c>
      <c r="AS317" s="4" t="n">
        <v>27000</v>
      </c>
      <c r="AT317" s="12" t="n"/>
    </row>
    <row r="318" ht="10.5" customFormat="1" customHeight="1" s="6">
      <c r="A318" s="11" t="n">
        <v>317</v>
      </c>
      <c r="B318" s="4" t="inlineStr">
        <is>
          <t>MERCURY / VOYAGE 1</t>
        </is>
      </c>
      <c r="C318" s="4" t="inlineStr">
        <is>
          <t>REF000000</t>
        </is>
      </c>
      <c r="D318" s="7" t="n">
        <v>46095</v>
      </c>
      <c r="E318" s="4" t="n">
        <v>46108</v>
      </c>
      <c r="F318" s="4" t="inlineStr">
        <is>
          <t>RULED</t>
        </is>
      </c>
      <c r="G318" s="4" t="inlineStr">
        <is>
          <t>RULED</t>
        </is>
      </c>
      <c r="H318" s="4" t="inlineStr">
        <is>
          <t>USNFK</t>
        </is>
      </c>
      <c r="I318" s="4" t="inlineStr">
        <is>
          <t>USNFK</t>
        </is>
      </c>
      <c r="J318" s="4" t="n"/>
      <c r="K318" s="8" t="n"/>
      <c r="L318" s="4" t="inlineStr">
        <is>
          <t>COYOTE DRY</t>
        </is>
      </c>
      <c r="M318" s="4" t="inlineStr">
        <is>
          <t>COYOTE DRY</t>
        </is>
      </c>
      <c r="N318" s="4" t="n"/>
      <c r="O318" s="4" t="n"/>
      <c r="P318" s="4" t="inlineStr">
        <is>
          <t>COYOTE DRY</t>
        </is>
      </c>
      <c r="Q318" s="4" t="inlineStr">
        <is>
          <t>COYOTE DRY</t>
        </is>
      </c>
      <c r="R318" s="4" t="n"/>
      <c r="S318" s="4" t="n"/>
      <c r="T318" s="4" t="inlineStr">
        <is>
          <t>COYOTE DRY</t>
        </is>
      </c>
      <c r="U318" s="4" t="inlineStr">
        <is>
          <t>Rua Sao Paulo, 1071 CEP 30170-907 Belo Horizonte MG CNPJ: 04626426001005</t>
        </is>
      </c>
      <c r="V318" s="4" t="n">
        <v>21</v>
      </c>
      <c r="W318" s="4" t="n">
        <v>0</v>
      </c>
      <c r="X318" s="4" t="n">
        <v>11440</v>
      </c>
      <c r="Y318" s="4" t="n">
        <v>10800</v>
      </c>
      <c r="Z318" s="4" t="n">
        <v>20</v>
      </c>
      <c r="AA318" s="4" t="n"/>
      <c r="AB318" s="4" t="inlineStr">
        <is>
          <t>SAID TO CONTAIN / WEIGH &amp; MEASURE 1X20 CONTAINER BROMOBUTYL RUBBER BIIR-232 19 PALLETS/CNTR NET WEIGHT : 10.260 MT/CNTR GROSS WEIGHT: 10.868 MT/CNTR ISOPRENE RUBBER IR-970 1 PALLET/CNTR NET WEIGHT: 0.540 MT/CNTR GROSS WEIGHT: 0.572 MT/CNTR TOTAL PACKAGE 20 PALLETS/CNTR TOTAL NET WEIGHT: 10.800 MT/CNTR TOTAL GROSS WEIGHT: 11.440 MT/CNTR P.O.: 2600469651, 2600469666 NCM CODE: 4002/4002 CBM: 60M3 WOODEN PACKAGING: NOT APPLICABLE</t>
        </is>
      </c>
      <c r="AC318" s="4" t="inlineStr">
        <is>
          <t>ANON0000000</t>
        </is>
      </c>
      <c r="AD318" s="4" t="inlineStr">
        <is>
          <t>DC20</t>
        </is>
      </c>
      <c r="AE318" s="4" t="n">
        <v>1242939</v>
      </c>
      <c r="AF318" s="4" t="n"/>
      <c r="AG318" s="4" t="inlineStr">
        <is>
          <t>FCL/FCL</t>
        </is>
      </c>
      <c r="AH318" s="4" t="inlineStr">
        <is>
          <t>GENERAL COMMODITY</t>
        </is>
      </c>
      <c r="AI318" s="4" t="n">
        <v>11440</v>
      </c>
      <c r="AJ318" s="4" t="n">
        <v>20</v>
      </c>
      <c r="AK318" s="4" t="inlineStr">
        <is>
          <t>PLT</t>
        </is>
      </c>
      <c r="AL318" s="4" t="n"/>
      <c r="AM318" s="4" t="n"/>
      <c r="AN318" s="4" t="n"/>
      <c r="AO318" s="4" t="n"/>
      <c r="AP318" s="4" t="n"/>
      <c r="AQ318" s="4" t="n"/>
      <c r="AR318" s="4" t="n">
        <v>2100</v>
      </c>
      <c r="AS318" s="4" t="n">
        <v>27000</v>
      </c>
      <c r="AT318" s="12" t="n"/>
    </row>
    <row r="319" ht="10.5" customFormat="1" customHeight="1" s="6">
      <c r="A319" s="11" t="n">
        <v>318</v>
      </c>
      <c r="B319" s="4" t="inlineStr">
        <is>
          <t>MERCURY / VOYAGE 1</t>
        </is>
      </c>
      <c r="C319" s="4" t="inlineStr">
        <is>
          <t>REF000000</t>
        </is>
      </c>
      <c r="D319" s="7" t="n">
        <v>46095</v>
      </c>
      <c r="E319" s="4" t="n">
        <v>46104</v>
      </c>
      <c r="F319" s="4" t="inlineStr">
        <is>
          <t>RULED</t>
        </is>
      </c>
      <c r="G319" s="4" t="inlineStr">
        <is>
          <t>RULED</t>
        </is>
      </c>
      <c r="H319" s="4" t="inlineStr">
        <is>
          <t>USNYC</t>
        </is>
      </c>
      <c r="I319" s="4" t="inlineStr">
        <is>
          <t>USNYC</t>
        </is>
      </c>
      <c r="J319" s="4" t="n"/>
      <c r="K319" s="8" t="n"/>
      <c r="L319" s="4" t="inlineStr">
        <is>
          <t>ORCA REEFER</t>
        </is>
      </c>
      <c r="M319" s="4" t="inlineStr">
        <is>
          <t>ORCA REEFER</t>
        </is>
      </c>
      <c r="N319" s="4" t="n"/>
      <c r="O319" s="4" t="n"/>
      <c r="P319" s="4" t="inlineStr">
        <is>
          <t>ORCA REEFER</t>
        </is>
      </c>
      <c r="Q319" s="4" t="inlineStr">
        <is>
          <t>ORCA REEFER</t>
        </is>
      </c>
      <c r="R319" s="4" t="n"/>
      <c r="S319" s="4" t="n"/>
      <c r="T319" s="4" t="inlineStr">
        <is>
          <t>ORCA REEFER</t>
        </is>
      </c>
      <c r="U319" s="4" t="inlineStr">
        <is>
          <t>RODOVIA MG 238, KM 53,6 CEP 35701-970 SETE LAGOAS-MG/BRASIL CNPJ: 71.013.916/0001-24 CONTACT: ERIKA / EMANUELLE EMAIL: Fabricionettto@gmail.com</t>
        </is>
      </c>
      <c r="V319" s="4" t="n">
        <v>21</v>
      </c>
      <c r="W319" s="4" t="n">
        <v>0</v>
      </c>
      <c r="X319" s="4" t="n">
        <v>260820</v>
      </c>
      <c r="Y319" s="4" t="n">
        <v>252000</v>
      </c>
      <c r="Z319" s="4" t="n">
        <v>252</v>
      </c>
      <c r="AA319" s="4" t="n"/>
      <c r="AB319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19" s="4" t="inlineStr">
        <is>
          <t>ANON0000000</t>
        </is>
      </c>
      <c r="AD319" s="4" t="inlineStr">
        <is>
          <t>RH40</t>
        </is>
      </c>
      <c r="AE319" s="4" t="n">
        <v>1256560</v>
      </c>
      <c r="AF319" s="4" t="n"/>
      <c r="AG319" s="4" t="inlineStr">
        <is>
          <t>FCL/FCL</t>
        </is>
      </c>
      <c r="AH319" s="4" t="inlineStr">
        <is>
          <t>GENERAL COMMODITY</t>
        </is>
      </c>
      <c r="AI319" s="4" t="n">
        <v>28980</v>
      </c>
      <c r="AJ319" s="4" t="n">
        <v>28</v>
      </c>
      <c r="AK319" s="4" t="inlineStr">
        <is>
          <t>PLT</t>
        </is>
      </c>
      <c r="AL319" s="4" t="n"/>
      <c r="AM319" s="4" t="n"/>
      <c r="AN319" s="4" t="n"/>
      <c r="AO319" s="4" t="n"/>
      <c r="AP319" s="4" t="n"/>
      <c r="AQ319" s="4" t="n"/>
      <c r="AR319" s="4" t="n">
        <v>4640</v>
      </c>
      <c r="AS319" s="4" t="n">
        <v>27000</v>
      </c>
      <c r="AT319" s="12" t="n"/>
    </row>
    <row r="320" ht="10.5" customFormat="1" customHeight="1" s="6">
      <c r="A320" s="11" t="n">
        <v>319</v>
      </c>
      <c r="B320" s="4" t="inlineStr">
        <is>
          <t>MERCURY / VOYAGE 1</t>
        </is>
      </c>
      <c r="C320" s="4" t="inlineStr">
        <is>
          <t>REF000000</t>
        </is>
      </c>
      <c r="D320" s="7" t="n">
        <v>46095</v>
      </c>
      <c r="E320" s="4" t="n">
        <v>46104</v>
      </c>
      <c r="F320" s="4" t="inlineStr">
        <is>
          <t>RULED</t>
        </is>
      </c>
      <c r="G320" s="4" t="inlineStr">
        <is>
          <t>RULED</t>
        </is>
      </c>
      <c r="H320" s="4" t="inlineStr">
        <is>
          <t>USNYC</t>
        </is>
      </c>
      <c r="I320" s="4" t="inlineStr">
        <is>
          <t>USNYC</t>
        </is>
      </c>
      <c r="J320" s="4" t="n"/>
      <c r="K320" s="8" t="n"/>
      <c r="L320" s="4" t="inlineStr">
        <is>
          <t>WHALE REEFER</t>
        </is>
      </c>
      <c r="M320" s="4" t="inlineStr">
        <is>
          <t>WHALE REEFER</t>
        </is>
      </c>
      <c r="N320" s="4" t="n"/>
      <c r="O320" s="4" t="n"/>
      <c r="P320" s="4" t="inlineStr">
        <is>
          <t>WHALE REEFER</t>
        </is>
      </c>
      <c r="Q320" s="4" t="inlineStr">
        <is>
          <t>WHALE REEFER</t>
        </is>
      </c>
      <c r="R320" s="4" t="n"/>
      <c r="S320" s="4" t="n"/>
      <c r="T320" s="4" t="inlineStr">
        <is>
          <t>WHALE REEFER</t>
        </is>
      </c>
      <c r="U320" s="4" t="inlineStr">
        <is>
          <t>RODOVIA MG 238, KM 53,6 CEP 35701-970 SETE LAGOAS-MG/BRASIL CNPJ: 71.013.916/0001-24 CONTACT: ERIKA / EMANUELLE EMAIL: Fabricionettto@gmail.com</t>
        </is>
      </c>
      <c r="V320" s="4" t="n">
        <v>21</v>
      </c>
      <c r="W320" s="4" t="n">
        <v>0</v>
      </c>
      <c r="X320" s="4" t="n">
        <v>260820</v>
      </c>
      <c r="Y320" s="4" t="n">
        <v>252000</v>
      </c>
      <c r="Z320" s="4" t="n">
        <v>252</v>
      </c>
      <c r="AA320" s="4" t="n"/>
      <c r="AB320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0" s="4" t="inlineStr">
        <is>
          <t>ANON0000000</t>
        </is>
      </c>
      <c r="AD320" s="4" t="inlineStr">
        <is>
          <t>RH40</t>
        </is>
      </c>
      <c r="AE320" s="4" t="n">
        <v>1256561</v>
      </c>
      <c r="AF320" s="4" t="n"/>
      <c r="AG320" s="4" t="inlineStr">
        <is>
          <t>FCL/FCL</t>
        </is>
      </c>
      <c r="AH320" s="4" t="inlineStr">
        <is>
          <t>GENERAL COMMODITY</t>
        </is>
      </c>
      <c r="AI320" s="4" t="n">
        <v>28980</v>
      </c>
      <c r="AJ320" s="4" t="n">
        <v>28</v>
      </c>
      <c r="AK320" s="4" t="inlineStr">
        <is>
          <t>PLT</t>
        </is>
      </c>
      <c r="AL320" s="4" t="n"/>
      <c r="AM320" s="4" t="n"/>
      <c r="AN320" s="4" t="n"/>
      <c r="AO320" s="4" t="n"/>
      <c r="AP320" s="4" t="n"/>
      <c r="AQ320" s="4" t="n"/>
      <c r="AR320" s="4" t="n">
        <v>4620</v>
      </c>
      <c r="AS320" s="4" t="n">
        <v>27000</v>
      </c>
      <c r="AT320" s="12" t="n"/>
    </row>
    <row r="321" ht="10.5" customFormat="1" customHeight="1" s="6">
      <c r="A321" s="11" t="n">
        <v>320</v>
      </c>
      <c r="B321" s="4" t="inlineStr">
        <is>
          <t>MERCURY / VOYAGE 1</t>
        </is>
      </c>
      <c r="C321" s="4" t="inlineStr">
        <is>
          <t>REF000000</t>
        </is>
      </c>
      <c r="D321" s="7" t="n">
        <v>46095</v>
      </c>
      <c r="E321" s="4" t="n">
        <v>46104</v>
      </c>
      <c r="F321" s="4" t="inlineStr">
        <is>
          <t>RULED</t>
        </is>
      </c>
      <c r="G321" s="4" t="inlineStr">
        <is>
          <t>RULED</t>
        </is>
      </c>
      <c r="H321" s="4" t="inlineStr">
        <is>
          <t>USNYC</t>
        </is>
      </c>
      <c r="I321" s="4" t="inlineStr">
        <is>
          <t>USNYC</t>
        </is>
      </c>
      <c r="J321" s="4" t="n"/>
      <c r="K321" s="8" t="n"/>
      <c r="L321" s="4" t="inlineStr">
        <is>
          <t>SEAL REEFER</t>
        </is>
      </c>
      <c r="M321" s="4" t="inlineStr">
        <is>
          <t>SEAL REEFER</t>
        </is>
      </c>
      <c r="N321" s="4" t="n"/>
      <c r="O321" s="4" t="n"/>
      <c r="P321" s="4" t="inlineStr">
        <is>
          <t>SEAL REEFER</t>
        </is>
      </c>
      <c r="Q321" s="4" t="inlineStr">
        <is>
          <t>SEAL REEFER</t>
        </is>
      </c>
      <c r="R321" s="4" t="n"/>
      <c r="S321" s="4" t="n"/>
      <c r="T321" s="4" t="inlineStr">
        <is>
          <t>SEAL REEFER</t>
        </is>
      </c>
      <c r="U321" s="4" t="inlineStr">
        <is>
          <t>RODOVIA MG 238, KM 53,6 CEP 35701-970 SETE LAGOAS-MG/BRASIL CNPJ: 71.013.916/0001-24 CONTACT: ERIKA / EMANUELLE EMAIL: Fabricionettto@gmail.com</t>
        </is>
      </c>
      <c r="V321" s="4" t="n">
        <v>21</v>
      </c>
      <c r="W321" s="4" t="n">
        <v>0</v>
      </c>
      <c r="X321" s="4" t="n">
        <v>260820</v>
      </c>
      <c r="Y321" s="4" t="n">
        <v>252000</v>
      </c>
      <c r="Z321" s="4" t="n">
        <v>252</v>
      </c>
      <c r="AA321" s="4" t="n"/>
      <c r="AB321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1" s="4" t="inlineStr">
        <is>
          <t>ANON0000000</t>
        </is>
      </c>
      <c r="AD321" s="4" t="inlineStr">
        <is>
          <t>RH40</t>
        </is>
      </c>
      <c r="AE321" s="4" t="n">
        <v>1256421</v>
      </c>
      <c r="AF321" s="4" t="n"/>
      <c r="AG321" s="4" t="inlineStr">
        <is>
          <t>FCL/FCL</t>
        </is>
      </c>
      <c r="AH321" s="4" t="inlineStr">
        <is>
          <t>GENERAL COMMODITY</t>
        </is>
      </c>
      <c r="AI321" s="4" t="n">
        <v>28980</v>
      </c>
      <c r="AJ321" s="4" t="n">
        <v>28</v>
      </c>
      <c r="AK321" s="4" t="inlineStr">
        <is>
          <t>PLT</t>
        </is>
      </c>
      <c r="AL321" s="4" t="n"/>
      <c r="AM321" s="4" t="n"/>
      <c r="AN321" s="4" t="n"/>
      <c r="AO321" s="4" t="n"/>
      <c r="AP321" s="4" t="n"/>
      <c r="AQ321" s="4" t="n"/>
      <c r="AR321" s="4" t="n">
        <v>4620</v>
      </c>
      <c r="AS321" s="4" t="n">
        <v>27000</v>
      </c>
      <c r="AT321" s="12" t="n"/>
    </row>
    <row r="322" ht="10.5" customFormat="1" customHeight="1" s="6">
      <c r="A322" s="11" t="n">
        <v>321</v>
      </c>
      <c r="B322" s="4" t="inlineStr">
        <is>
          <t>MERCURY / VOYAGE 1</t>
        </is>
      </c>
      <c r="C322" s="4" t="inlineStr">
        <is>
          <t>REF000000</t>
        </is>
      </c>
      <c r="D322" s="7" t="n">
        <v>46095</v>
      </c>
      <c r="E322" s="4" t="n">
        <v>46104</v>
      </c>
      <c r="F322" s="4" t="inlineStr">
        <is>
          <t>RULED</t>
        </is>
      </c>
      <c r="G322" s="4" t="inlineStr">
        <is>
          <t>RULED</t>
        </is>
      </c>
      <c r="H322" s="4" t="inlineStr">
        <is>
          <t>USNYC</t>
        </is>
      </c>
      <c r="I322" s="4" t="inlineStr">
        <is>
          <t>USNYC</t>
        </is>
      </c>
      <c r="J322" s="4" t="n"/>
      <c r="K322" s="8" t="n"/>
      <c r="L322" s="4" t="inlineStr">
        <is>
          <t>SHARK REEFER</t>
        </is>
      </c>
      <c r="M322" s="4" t="inlineStr">
        <is>
          <t>SHARK REEFER</t>
        </is>
      </c>
      <c r="N322" s="4" t="n"/>
      <c r="O322" s="4" t="n"/>
      <c r="P322" s="4" t="inlineStr">
        <is>
          <t>SHARK REEFER</t>
        </is>
      </c>
      <c r="Q322" s="4" t="inlineStr">
        <is>
          <t>SHARK REEFER</t>
        </is>
      </c>
      <c r="R322" s="4" t="n"/>
      <c r="S322" s="4" t="n"/>
      <c r="T322" s="4" t="inlineStr">
        <is>
          <t>SHARK REEFER</t>
        </is>
      </c>
      <c r="U322" s="4" t="inlineStr">
        <is>
          <t>RODOVIA MG 238, KM 53,6 CEP 35701-970 SETE LAGOAS-MG/BRASIL CNPJ: 71.013.916/0001-24 CONTACT: ERIKA / EMANUELLE EMAIL: Fabricionettto@gmail.com</t>
        </is>
      </c>
      <c r="V322" s="4" t="n">
        <v>21</v>
      </c>
      <c r="W322" s="4" t="n">
        <v>0</v>
      </c>
      <c r="X322" s="4" t="n">
        <v>260820</v>
      </c>
      <c r="Y322" s="4" t="n">
        <v>252000</v>
      </c>
      <c r="Z322" s="4" t="n">
        <v>252</v>
      </c>
      <c r="AA322" s="4" t="n"/>
      <c r="AB322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2" s="4" t="inlineStr">
        <is>
          <t>ANON0000000</t>
        </is>
      </c>
      <c r="AD322" s="4" t="inlineStr">
        <is>
          <t>RH40</t>
        </is>
      </c>
      <c r="AE322" s="4" t="n">
        <v>1256422</v>
      </c>
      <c r="AF322" s="4" t="n"/>
      <c r="AG322" s="4" t="inlineStr">
        <is>
          <t>FCL/FCL</t>
        </is>
      </c>
      <c r="AH322" s="4" t="inlineStr">
        <is>
          <t>GENERAL COMMODITY</t>
        </is>
      </c>
      <c r="AI322" s="4" t="n">
        <v>28980</v>
      </c>
      <c r="AJ322" s="4" t="n">
        <v>28</v>
      </c>
      <c r="AK322" s="4" t="inlineStr">
        <is>
          <t>PLT</t>
        </is>
      </c>
      <c r="AL322" s="4" t="n"/>
      <c r="AM322" s="4" t="n"/>
      <c r="AN322" s="4" t="n"/>
      <c r="AO322" s="4" t="n"/>
      <c r="AP322" s="4" t="n"/>
      <c r="AQ322" s="4" t="n"/>
      <c r="AR322" s="4" t="n">
        <v>4460</v>
      </c>
      <c r="AS322" s="4" t="n">
        <v>27000</v>
      </c>
      <c r="AT322" s="12" t="n"/>
    </row>
    <row r="323" ht="10.5" customFormat="1" customHeight="1" s="6">
      <c r="A323" s="11" t="n">
        <v>322</v>
      </c>
      <c r="B323" s="4" t="inlineStr">
        <is>
          <t>MERCURY / VOYAGE 1</t>
        </is>
      </c>
      <c r="C323" s="4" t="inlineStr">
        <is>
          <t>REF000000</t>
        </is>
      </c>
      <c r="D323" s="7" t="n">
        <v>46095</v>
      </c>
      <c r="E323" s="4" t="n">
        <v>46104</v>
      </c>
      <c r="F323" s="4" t="inlineStr">
        <is>
          <t>RULED</t>
        </is>
      </c>
      <c r="G323" s="4" t="inlineStr">
        <is>
          <t>RULED</t>
        </is>
      </c>
      <c r="H323" s="4" t="inlineStr">
        <is>
          <t>USNYC</t>
        </is>
      </c>
      <c r="I323" s="4" t="inlineStr">
        <is>
          <t>USNYC</t>
        </is>
      </c>
      <c r="J323" s="4" t="n"/>
      <c r="K323" s="8" t="n"/>
      <c r="L323" s="4" t="inlineStr">
        <is>
          <t>DOLPHIN REEFER</t>
        </is>
      </c>
      <c r="M323" s="4" t="inlineStr">
        <is>
          <t>DOLPHIN REEFER</t>
        </is>
      </c>
      <c r="N323" s="4" t="n"/>
      <c r="O323" s="4" t="n"/>
      <c r="P323" s="4" t="inlineStr">
        <is>
          <t>DOLPHIN REEFER</t>
        </is>
      </c>
      <c r="Q323" s="4" t="inlineStr">
        <is>
          <t>DOLPHIN REEFER</t>
        </is>
      </c>
      <c r="R323" s="4" t="n"/>
      <c r="S323" s="4" t="n"/>
      <c r="T323" s="4" t="inlineStr">
        <is>
          <t>DOLPHIN REEFER</t>
        </is>
      </c>
      <c r="U323" s="4" t="inlineStr">
        <is>
          <t>RODOVIA MG 238, KM 53,6 CEP 35701-970 SETE LAGOAS-MG/BRASIL CNPJ: 71.013.916/0001-24 CONTACT: ERIKA / EMANUELLE EMAIL: Fabricionettto@gmail.com</t>
        </is>
      </c>
      <c r="V323" s="4" t="n">
        <v>21</v>
      </c>
      <c r="W323" s="4" t="n">
        <v>0</v>
      </c>
      <c r="X323" s="4" t="n">
        <v>260820</v>
      </c>
      <c r="Y323" s="4" t="n">
        <v>252000</v>
      </c>
      <c r="Z323" s="4" t="n">
        <v>252</v>
      </c>
      <c r="AA323" s="4" t="n"/>
      <c r="AB323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3" s="4" t="inlineStr">
        <is>
          <t>ANON0000000</t>
        </is>
      </c>
      <c r="AD323" s="4" t="inlineStr">
        <is>
          <t>RH40</t>
        </is>
      </c>
      <c r="AE323" s="4" t="n">
        <v>1256567</v>
      </c>
      <c r="AF323" s="4" t="n"/>
      <c r="AG323" s="4" t="inlineStr">
        <is>
          <t>FCL/FCL</t>
        </is>
      </c>
      <c r="AH323" s="4" t="inlineStr">
        <is>
          <t>GENERAL COMMODITY</t>
        </is>
      </c>
      <c r="AI323" s="4" t="n">
        <v>28980</v>
      </c>
      <c r="AJ323" s="4" t="n">
        <v>28</v>
      </c>
      <c r="AK323" s="4" t="inlineStr">
        <is>
          <t>PLT</t>
        </is>
      </c>
      <c r="AL323" s="4" t="n"/>
      <c r="AM323" s="4" t="n"/>
      <c r="AN323" s="4" t="n"/>
      <c r="AO323" s="4" t="n"/>
      <c r="AP323" s="4" t="n"/>
      <c r="AQ323" s="4" t="n"/>
      <c r="AR323" s="4" t="n">
        <v>4620</v>
      </c>
      <c r="AS323" s="4" t="n">
        <v>27000</v>
      </c>
      <c r="AT323" s="12" t="n"/>
    </row>
    <row r="324" ht="10.5" customFormat="1" customHeight="1" s="6">
      <c r="A324" s="11" t="n">
        <v>323</v>
      </c>
      <c r="B324" s="4" t="inlineStr">
        <is>
          <t>MERCURY / VOYAGE 1</t>
        </is>
      </c>
      <c r="C324" s="4" t="inlineStr">
        <is>
          <t>REF000000</t>
        </is>
      </c>
      <c r="D324" s="7" t="n">
        <v>46095</v>
      </c>
      <c r="E324" s="4" t="n">
        <v>46104</v>
      </c>
      <c r="F324" s="4" t="inlineStr">
        <is>
          <t>RULED</t>
        </is>
      </c>
      <c r="G324" s="4" t="inlineStr">
        <is>
          <t>RULED</t>
        </is>
      </c>
      <c r="H324" s="4" t="inlineStr">
        <is>
          <t>USNYC</t>
        </is>
      </c>
      <c r="I324" s="4" t="inlineStr">
        <is>
          <t>USNYC</t>
        </is>
      </c>
      <c r="J324" s="4" t="n"/>
      <c r="K324" s="8" t="n"/>
      <c r="L324" s="4" t="inlineStr">
        <is>
          <t>MARLIN REEFER</t>
        </is>
      </c>
      <c r="M324" s="4" t="inlineStr">
        <is>
          <t>MARLIN REEFER</t>
        </is>
      </c>
      <c r="N324" s="4" t="n"/>
      <c r="O324" s="4" t="n"/>
      <c r="P324" s="4" t="inlineStr">
        <is>
          <t>MARLIN REEFER</t>
        </is>
      </c>
      <c r="Q324" s="4" t="inlineStr">
        <is>
          <t>MARLIN REEFER</t>
        </is>
      </c>
      <c r="R324" s="4" t="n"/>
      <c r="S324" s="4" t="n"/>
      <c r="T324" s="4" t="inlineStr">
        <is>
          <t>MARLIN REEFER</t>
        </is>
      </c>
      <c r="U324" s="4" t="inlineStr">
        <is>
          <t>RODOVIA MG 238, KM 53,6 CEP 35701-970 SETE LAGOAS-MG/BRASIL CNPJ: 71.013.916/0001-24 CONTACT: ERIKA / EMANUELLE EMAIL: Fabricionettto@gmail.com</t>
        </is>
      </c>
      <c r="V324" s="4" t="n">
        <v>21</v>
      </c>
      <c r="W324" s="4" t="n">
        <v>0</v>
      </c>
      <c r="X324" s="4" t="n">
        <v>260820</v>
      </c>
      <c r="Y324" s="4" t="n">
        <v>252000</v>
      </c>
      <c r="Z324" s="4" t="n">
        <v>252</v>
      </c>
      <c r="AA324" s="4" t="n"/>
      <c r="AB324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4" s="4" t="inlineStr">
        <is>
          <t>ANON0000000</t>
        </is>
      </c>
      <c r="AD324" s="4" t="inlineStr">
        <is>
          <t>RH40</t>
        </is>
      </c>
      <c r="AE324" s="4" t="n">
        <v>1256553</v>
      </c>
      <c r="AF324" s="4" t="n"/>
      <c r="AG324" s="4" t="inlineStr">
        <is>
          <t>FCL/FCL</t>
        </is>
      </c>
      <c r="AH324" s="4" t="inlineStr">
        <is>
          <t>GENERAL COMMODITY</t>
        </is>
      </c>
      <c r="AI324" s="4" t="n">
        <v>28980</v>
      </c>
      <c r="AJ324" s="4" t="n">
        <v>28</v>
      </c>
      <c r="AK324" s="4" t="inlineStr">
        <is>
          <t>PLT</t>
        </is>
      </c>
      <c r="AL324" s="4" t="n"/>
      <c r="AM324" s="4" t="n"/>
      <c r="AN324" s="4" t="n"/>
      <c r="AO324" s="4" t="n"/>
      <c r="AP324" s="4" t="n"/>
      <c r="AQ324" s="4" t="n"/>
      <c r="AR324" s="4" t="n">
        <v>4700</v>
      </c>
      <c r="AS324" s="4" t="n">
        <v>27000</v>
      </c>
      <c r="AT324" s="12" t="n"/>
    </row>
    <row r="325" ht="10.5" customFormat="1" customHeight="1" s="6">
      <c r="A325" s="11" t="n">
        <v>324</v>
      </c>
      <c r="B325" s="4" t="inlineStr">
        <is>
          <t>MERCURY / VOYAGE 1</t>
        </is>
      </c>
      <c r="C325" s="4" t="inlineStr">
        <is>
          <t>REF000000</t>
        </is>
      </c>
      <c r="D325" s="7" t="n">
        <v>46095</v>
      </c>
      <c r="E325" s="4" t="n">
        <v>46104</v>
      </c>
      <c r="F325" s="4" t="inlineStr">
        <is>
          <t>RULED</t>
        </is>
      </c>
      <c r="G325" s="4" t="inlineStr">
        <is>
          <t>RULED</t>
        </is>
      </c>
      <c r="H325" s="4" t="inlineStr">
        <is>
          <t>USNYC</t>
        </is>
      </c>
      <c r="I325" s="4" t="inlineStr">
        <is>
          <t>USNYC</t>
        </is>
      </c>
      <c r="J325" s="4" t="n"/>
      <c r="K325" s="8" t="n"/>
      <c r="L325" s="4" t="inlineStr">
        <is>
          <t>TURTLE REEFER</t>
        </is>
      </c>
      <c r="M325" s="4" t="inlineStr">
        <is>
          <t>TURTLE REEFER</t>
        </is>
      </c>
      <c r="N325" s="4" t="n"/>
      <c r="O325" s="4" t="n"/>
      <c r="P325" s="4" t="inlineStr">
        <is>
          <t>TURTLE REEFER</t>
        </is>
      </c>
      <c r="Q325" s="4" t="inlineStr">
        <is>
          <t>TURTLE REEFER</t>
        </is>
      </c>
      <c r="R325" s="4" t="n"/>
      <c r="S325" s="4" t="n"/>
      <c r="T325" s="4" t="inlineStr">
        <is>
          <t>TURTLE REEFER</t>
        </is>
      </c>
      <c r="U325" s="4" t="inlineStr">
        <is>
          <t>RODOVIA MG 238, KM 53,6 CEP 35701-970 SETE LAGOAS-MG/BRASIL CNPJ: 71.013.916/0001-24 CONTACT: ERIKA / EMANUELLE EMAIL: Fabricionettto@gmail.com</t>
        </is>
      </c>
      <c r="V325" s="4" t="n">
        <v>21</v>
      </c>
      <c r="W325" s="4" t="n">
        <v>0</v>
      </c>
      <c r="X325" s="4" t="n">
        <v>260820</v>
      </c>
      <c r="Y325" s="4" t="n">
        <v>252000</v>
      </c>
      <c r="Z325" s="4" t="n">
        <v>252</v>
      </c>
      <c r="AA325" s="4" t="n"/>
      <c r="AB325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5" s="4" t="inlineStr">
        <is>
          <t>ANON0000000</t>
        </is>
      </c>
      <c r="AD325" s="4" t="inlineStr">
        <is>
          <t>RH40</t>
        </is>
      </c>
      <c r="AE325" s="4" t="n">
        <v>1256556</v>
      </c>
      <c r="AF325" s="4" t="n"/>
      <c r="AG325" s="4" t="inlineStr">
        <is>
          <t>FCL/FCL</t>
        </is>
      </c>
      <c r="AH325" s="4" t="inlineStr">
        <is>
          <t>GENERAL COMMODITY</t>
        </is>
      </c>
      <c r="AI325" s="4" t="n">
        <v>28980</v>
      </c>
      <c r="AJ325" s="4" t="n">
        <v>28</v>
      </c>
      <c r="AK325" s="4" t="inlineStr">
        <is>
          <t>PLT</t>
        </is>
      </c>
      <c r="AL325" s="4" t="n"/>
      <c r="AM325" s="4" t="n"/>
      <c r="AN325" s="4" t="n"/>
      <c r="AO325" s="4" t="n"/>
      <c r="AP325" s="4" t="n"/>
      <c r="AQ325" s="4" t="n"/>
      <c r="AR325" s="4" t="n">
        <v>4700</v>
      </c>
      <c r="AS325" s="4" t="n">
        <v>27000</v>
      </c>
      <c r="AT325" s="12" t="n"/>
    </row>
    <row r="326" ht="10.5" customFormat="1" customHeight="1" s="6">
      <c r="A326" s="11" t="n">
        <v>325</v>
      </c>
      <c r="B326" s="4" t="inlineStr">
        <is>
          <t>MERCURY / VOYAGE 1</t>
        </is>
      </c>
      <c r="C326" s="4" t="inlineStr">
        <is>
          <t>REF000000</t>
        </is>
      </c>
      <c r="D326" s="7" t="n">
        <v>46095</v>
      </c>
      <c r="E326" s="4" t="n">
        <v>46104</v>
      </c>
      <c r="F326" s="4" t="inlineStr">
        <is>
          <t>RULED</t>
        </is>
      </c>
      <c r="G326" s="4" t="inlineStr">
        <is>
          <t>RULED</t>
        </is>
      </c>
      <c r="H326" s="4" t="inlineStr">
        <is>
          <t>USNYC</t>
        </is>
      </c>
      <c r="I326" s="4" t="inlineStr">
        <is>
          <t>USNYC</t>
        </is>
      </c>
      <c r="J326" s="4" t="n"/>
      <c r="K326" s="8" t="n"/>
      <c r="L326" s="4" t="inlineStr">
        <is>
          <t>ORCA REEFER</t>
        </is>
      </c>
      <c r="M326" s="4" t="inlineStr">
        <is>
          <t>ORCA REEFER</t>
        </is>
      </c>
      <c r="N326" s="4" t="n"/>
      <c r="O326" s="4" t="n"/>
      <c r="P326" s="4" t="inlineStr">
        <is>
          <t>ORCA REEFER</t>
        </is>
      </c>
      <c r="Q326" s="4" t="inlineStr">
        <is>
          <t>ORCA REEFER</t>
        </is>
      </c>
      <c r="R326" s="4" t="n"/>
      <c r="S326" s="4" t="n"/>
      <c r="T326" s="4" t="inlineStr">
        <is>
          <t>ORCA REEFER</t>
        </is>
      </c>
      <c r="U326" s="4" t="inlineStr">
        <is>
          <t>RODOVIA MG 238, KM 53,6 CEP 35701-970 SETE LAGOAS-MG/BRASIL CNPJ: 71.013.916/0001-24 CONTACT: ERIKA / EMANUELLE EMAIL: Fabricionettto@gmail.com</t>
        </is>
      </c>
      <c r="V326" s="4" t="n">
        <v>21</v>
      </c>
      <c r="W326" s="4" t="n">
        <v>0</v>
      </c>
      <c r="X326" s="4" t="n">
        <v>260820</v>
      </c>
      <c r="Y326" s="4" t="n">
        <v>252000</v>
      </c>
      <c r="Z326" s="4" t="n">
        <v>252</v>
      </c>
      <c r="AA326" s="4" t="n"/>
      <c r="AB326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6" s="4" t="inlineStr">
        <is>
          <t>ANON0000000</t>
        </is>
      </c>
      <c r="AD326" s="4" t="inlineStr">
        <is>
          <t>RH40</t>
        </is>
      </c>
      <c r="AE326" s="4" t="n">
        <v>1256423</v>
      </c>
      <c r="AF326" s="4" t="n"/>
      <c r="AG326" s="4" t="inlineStr">
        <is>
          <t>FCL/FCL</t>
        </is>
      </c>
      <c r="AH326" s="4" t="inlineStr">
        <is>
          <t>GENERAL COMMODITY</t>
        </is>
      </c>
      <c r="AI326" s="4" t="n">
        <v>28980</v>
      </c>
      <c r="AJ326" s="4" t="n">
        <v>28</v>
      </c>
      <c r="AK326" s="4" t="inlineStr">
        <is>
          <t>PLT</t>
        </is>
      </c>
      <c r="AL326" s="4" t="n"/>
      <c r="AM326" s="4" t="n"/>
      <c r="AN326" s="4" t="n"/>
      <c r="AO326" s="4" t="n"/>
      <c r="AP326" s="4" t="n"/>
      <c r="AQ326" s="4" t="n"/>
      <c r="AR326" s="4" t="n">
        <v>4620</v>
      </c>
      <c r="AS326" s="4" t="n">
        <v>27000</v>
      </c>
      <c r="AT326" s="12" t="n"/>
    </row>
    <row r="327" ht="10.5" customFormat="1" customHeight="1" s="6">
      <c r="A327" s="11" t="n">
        <v>326</v>
      </c>
      <c r="B327" s="4" t="inlineStr">
        <is>
          <t>MERCURY / VOYAGE 1</t>
        </is>
      </c>
      <c r="C327" s="4" t="inlineStr">
        <is>
          <t>REF000000</t>
        </is>
      </c>
      <c r="D327" s="7" t="n">
        <v>46095</v>
      </c>
      <c r="E327" s="4" t="n">
        <v>46104</v>
      </c>
      <c r="F327" s="4" t="inlineStr">
        <is>
          <t>RULED</t>
        </is>
      </c>
      <c r="G327" s="4" t="inlineStr">
        <is>
          <t>RULED</t>
        </is>
      </c>
      <c r="H327" s="4" t="inlineStr">
        <is>
          <t>USNYC</t>
        </is>
      </c>
      <c r="I327" s="4" t="inlineStr">
        <is>
          <t>USNYC</t>
        </is>
      </c>
      <c r="J327" s="4" t="n"/>
      <c r="K327" s="8" t="n"/>
      <c r="L327" s="4" t="inlineStr">
        <is>
          <t>WHALE REEFER</t>
        </is>
      </c>
      <c r="M327" s="4" t="inlineStr">
        <is>
          <t>WHALE REEFER</t>
        </is>
      </c>
      <c r="N327" s="4" t="n"/>
      <c r="O327" s="4" t="n"/>
      <c r="P327" s="4" t="inlineStr">
        <is>
          <t>WHALE REEFER</t>
        </is>
      </c>
      <c r="Q327" s="4" t="inlineStr">
        <is>
          <t>WHALE REEFER</t>
        </is>
      </c>
      <c r="R327" s="4" t="n"/>
      <c r="S327" s="4" t="n"/>
      <c r="T327" s="4" t="inlineStr">
        <is>
          <t>WHALE REEFER</t>
        </is>
      </c>
      <c r="U327" s="4" t="inlineStr">
        <is>
          <t>RODOVIA MG 238, KM 53,6 CEP 35701-970 SETE LAGOAS-MG/BRASIL CNPJ: 71.013.916/0001-24 CONTACT: ERIKA / EMANUELLE EMAIL: Fabricionettto@gmail.com</t>
        </is>
      </c>
      <c r="V327" s="4" t="n">
        <v>21</v>
      </c>
      <c r="W327" s="4" t="n">
        <v>0</v>
      </c>
      <c r="X327" s="4" t="n">
        <v>260820</v>
      </c>
      <c r="Y327" s="4" t="n">
        <v>252000</v>
      </c>
      <c r="Z327" s="4" t="n">
        <v>252</v>
      </c>
      <c r="AA327" s="4" t="n"/>
      <c r="AB327" s="4" t="inlineStr">
        <is>
          <t>SAID TO CONTAIN / WEIGH &amp; MEASURE 9X40`NOR MONOAMMONIUM PHOSPHATE (MAP 12:61) IN BAGS 25 KGS ON PALLETS NCM 3105.40.00 PO NUMBER 177167 SIMPLE MINERAL FERTILIZER, CRYSTAL MONOAMMONIUM PHOSPHATE(CRYSTAL MAP), CONTAINING AT LEAST 12% WATER-SOLUBLE NITROGEN (NITROGEN) AND AT LEAST 61% WATER-SOLUBLE PHOSPHORUS PENTOXIDE (P2O5), 25 KG PACKAGE, PACKED IN 1035 KG PALLET, INTENDED FOR RESALE, USE IN AGRICULTURE, APPLICATION VIA SOIL. NCM 3105.40.00 TOTAL NET WEIGHT: 252 000 KGS TOTAL GROSS WEIGHT: 260 820 KGS TOTAL NUMBER OF PALLETS: 252 TOTAL NUMBER OF BAGS: 10080 PCS WOODEN: TREATED AND CERTIFIED CFR PARANAGUA - INCOTERMS 2020 PO: I-075/25</t>
        </is>
      </c>
      <c r="AC327" s="4" t="inlineStr">
        <is>
          <t>ANON0000000</t>
        </is>
      </c>
      <c r="AD327" s="4" t="inlineStr">
        <is>
          <t>RH40</t>
        </is>
      </c>
      <c r="AE327" s="4" t="n">
        <v>1256566</v>
      </c>
      <c r="AF327" s="4" t="n"/>
      <c r="AG327" s="4" t="inlineStr">
        <is>
          <t>FCL/FCL</t>
        </is>
      </c>
      <c r="AH327" s="4" t="inlineStr">
        <is>
          <t>GENERAL COMMODITY</t>
        </is>
      </c>
      <c r="AI327" s="4" t="n">
        <v>28980</v>
      </c>
      <c r="AJ327" s="4" t="n">
        <v>28</v>
      </c>
      <c r="AK327" s="4" t="inlineStr">
        <is>
          <t>PLT</t>
        </is>
      </c>
      <c r="AL327" s="4" t="n"/>
      <c r="AM327" s="4" t="n"/>
      <c r="AN327" s="4" t="n"/>
      <c r="AO327" s="4" t="n"/>
      <c r="AP327" s="4" t="n"/>
      <c r="AQ327" s="4" t="n"/>
      <c r="AR327" s="4" t="n">
        <v>4700</v>
      </c>
      <c r="AS327" s="4" t="n">
        <v>27000</v>
      </c>
      <c r="AT327" s="12" t="n"/>
    </row>
    <row r="328" ht="10.5" customFormat="1" customHeight="1" s="6">
      <c r="A328" s="11" t="n">
        <v>327</v>
      </c>
      <c r="B328" s="4" t="inlineStr">
        <is>
          <t>MERCURY / VOYAGE 1</t>
        </is>
      </c>
      <c r="C328" s="4" t="inlineStr">
        <is>
          <t>REF000000</t>
        </is>
      </c>
      <c r="D328" s="7" t="n">
        <v>46095</v>
      </c>
      <c r="E328" s="4" t="n">
        <v>46104</v>
      </c>
      <c r="F328" s="4" t="inlineStr">
        <is>
          <t>RULED</t>
        </is>
      </c>
      <c r="G328" s="4" t="inlineStr">
        <is>
          <t>RULED</t>
        </is>
      </c>
      <c r="H328" s="4" t="inlineStr">
        <is>
          <t>USNYC</t>
        </is>
      </c>
      <c r="I328" s="4" t="inlineStr">
        <is>
          <t>USNYC</t>
        </is>
      </c>
      <c r="J328" s="4" t="n"/>
      <c r="K328" s="8" t="n"/>
      <c r="L328" s="4" t="inlineStr">
        <is>
          <t>SEAL REEFER</t>
        </is>
      </c>
      <c r="M328" s="4" t="inlineStr">
        <is>
          <t>SEAL REEFER</t>
        </is>
      </c>
      <c r="N328" s="4" t="n"/>
      <c r="O328" s="4" t="n"/>
      <c r="P328" s="4" t="inlineStr">
        <is>
          <t>SEAL REEFER</t>
        </is>
      </c>
      <c r="Q328" s="4" t="inlineStr">
        <is>
          <t>SEAL REEFER</t>
        </is>
      </c>
      <c r="R328" s="4" t="n"/>
      <c r="S328" s="4" t="n"/>
      <c r="T328" s="4" t="inlineStr">
        <is>
          <t>SEAL REEFER</t>
        </is>
      </c>
      <c r="U328" s="4" t="inlineStr">
        <is>
          <t>CNPJ: 02.351.006/0001-39, AVENIDA DAS ARAUCARIAS, 5126, ARAUCARIA-PR / UNITED STATES CEP 83.707-754</t>
        </is>
      </c>
      <c r="V328" s="4" t="n">
        <v>21</v>
      </c>
      <c r="W328" s="4" t="n">
        <v>0</v>
      </c>
      <c r="X328" s="4" t="n">
        <v>824285</v>
      </c>
      <c r="Y328" s="4" t="n">
        <v>750729</v>
      </c>
      <c r="Z328" s="4" t="n">
        <v>747</v>
      </c>
      <c r="AA328" s="4" t="n"/>
      <c r="AB328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28" s="4" t="inlineStr">
        <is>
          <t>ANON0000000</t>
        </is>
      </c>
      <c r="AD328" s="4" t="inlineStr">
        <is>
          <t>RH40</t>
        </is>
      </c>
      <c r="AE328" s="4" t="n">
        <v>1145225</v>
      </c>
      <c r="AF328" s="4" t="n"/>
      <c r="AG328" s="4" t="inlineStr">
        <is>
          <t>FCL/FCL</t>
        </is>
      </c>
      <c r="AH328" s="4" t="inlineStr">
        <is>
          <t>GENERAL COMMODITY</t>
        </is>
      </c>
      <c r="AI328" s="4" t="n">
        <v>28976</v>
      </c>
      <c r="AJ328" s="4" t="n">
        <v>27</v>
      </c>
      <c r="AK328" s="4" t="inlineStr">
        <is>
          <t>PKS</t>
        </is>
      </c>
      <c r="AL328" s="4" t="n"/>
      <c r="AM328" s="4" t="n"/>
      <c r="AN328" s="4" t="n"/>
      <c r="AO328" s="4" t="n"/>
      <c r="AP328" s="4" t="n"/>
      <c r="AQ328" s="4" t="n"/>
      <c r="AR328" s="4" t="n">
        <v>4640</v>
      </c>
      <c r="AS328" s="4" t="n">
        <v>27000</v>
      </c>
      <c r="AT328" s="12" t="n"/>
    </row>
    <row r="329" ht="10.5" customFormat="1" customHeight="1" s="6">
      <c r="A329" s="11" t="n">
        <v>328</v>
      </c>
      <c r="B329" s="4" t="inlineStr">
        <is>
          <t>MERCURY / VOYAGE 1</t>
        </is>
      </c>
      <c r="C329" s="4" t="inlineStr">
        <is>
          <t>REF000000</t>
        </is>
      </c>
      <c r="D329" s="7" t="n">
        <v>46095</v>
      </c>
      <c r="E329" s="4" t="n">
        <v>46104</v>
      </c>
      <c r="F329" s="4" t="inlineStr">
        <is>
          <t>RULED</t>
        </is>
      </c>
      <c r="G329" s="4" t="inlineStr">
        <is>
          <t>RULED</t>
        </is>
      </c>
      <c r="H329" s="4" t="inlineStr">
        <is>
          <t>USNYC</t>
        </is>
      </c>
      <c r="I329" s="4" t="inlineStr">
        <is>
          <t>USNYC</t>
        </is>
      </c>
      <c r="J329" s="4" t="n"/>
      <c r="K329" s="8" t="n"/>
      <c r="L329" s="4" t="inlineStr">
        <is>
          <t>SHARK REEFER</t>
        </is>
      </c>
      <c r="M329" s="4" t="inlineStr">
        <is>
          <t>SHARK REEFER</t>
        </is>
      </c>
      <c r="N329" s="4" t="n"/>
      <c r="O329" s="4" t="n"/>
      <c r="P329" s="4" t="inlineStr">
        <is>
          <t>SHARK REEFER</t>
        </is>
      </c>
      <c r="Q329" s="4" t="inlineStr">
        <is>
          <t>SHARK REEFER</t>
        </is>
      </c>
      <c r="R329" s="4" t="n"/>
      <c r="S329" s="4" t="n"/>
      <c r="T329" s="4" t="inlineStr">
        <is>
          <t>SHARK REEFER</t>
        </is>
      </c>
      <c r="U329" s="4" t="inlineStr">
        <is>
          <t>CNPJ: 02.351.006/0001-39, AVENIDA DAS ARAUCARIAS, 5126, ARAUCARIA-PR / UNITED STATES CEP 83.707-754</t>
        </is>
      </c>
      <c r="V329" s="4" t="n">
        <v>21</v>
      </c>
      <c r="W329" s="4" t="n">
        <v>0</v>
      </c>
      <c r="X329" s="4" t="n">
        <v>824285</v>
      </c>
      <c r="Y329" s="4" t="n">
        <v>750729</v>
      </c>
      <c r="Z329" s="4" t="n">
        <v>747</v>
      </c>
      <c r="AA329" s="4" t="n"/>
      <c r="AB329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29" s="4" t="inlineStr">
        <is>
          <t>ANON0000000</t>
        </is>
      </c>
      <c r="AD329" s="4" t="inlineStr">
        <is>
          <t>RH40</t>
        </is>
      </c>
      <c r="AE329" s="4" t="n">
        <v>1145352</v>
      </c>
      <c r="AF329" s="4" t="n"/>
      <c r="AG329" s="4" t="inlineStr">
        <is>
          <t>FCL/FCL</t>
        </is>
      </c>
      <c r="AH329" s="4" t="inlineStr">
        <is>
          <t>GENERAL COMMODITY</t>
        </is>
      </c>
      <c r="AI329" s="4" t="n">
        <v>28835</v>
      </c>
      <c r="AJ329" s="4" t="n">
        <v>26</v>
      </c>
      <c r="AK329" s="4" t="inlineStr">
        <is>
          <t>PKS</t>
        </is>
      </c>
      <c r="AL329" s="4" t="n"/>
      <c r="AM329" s="4" t="n"/>
      <c r="AN329" s="4" t="n"/>
      <c r="AO329" s="4" t="n"/>
      <c r="AP329" s="4" t="n"/>
      <c r="AQ329" s="4" t="n"/>
      <c r="AR329" s="4" t="n">
        <v>4630</v>
      </c>
      <c r="AS329" s="4" t="n">
        <v>27000</v>
      </c>
      <c r="AT329" s="12" t="n"/>
    </row>
    <row r="330" ht="10.5" customFormat="1" customHeight="1" s="6">
      <c r="A330" s="11" t="n">
        <v>329</v>
      </c>
      <c r="B330" s="4" t="inlineStr">
        <is>
          <t>MERCURY / VOYAGE 1</t>
        </is>
      </c>
      <c r="C330" s="4" t="inlineStr">
        <is>
          <t>REF000000</t>
        </is>
      </c>
      <c r="D330" s="7" t="n">
        <v>46095</v>
      </c>
      <c r="E330" s="4" t="n">
        <v>46104</v>
      </c>
      <c r="F330" s="4" t="inlineStr">
        <is>
          <t>RULED</t>
        </is>
      </c>
      <c r="G330" s="4" t="inlineStr">
        <is>
          <t>RULED</t>
        </is>
      </c>
      <c r="H330" s="4" t="inlineStr">
        <is>
          <t>USNYC</t>
        </is>
      </c>
      <c r="I330" s="4" t="inlineStr">
        <is>
          <t>USNYC</t>
        </is>
      </c>
      <c r="J330" s="4" t="n"/>
      <c r="K330" s="8" t="n"/>
      <c r="L330" s="4" t="inlineStr">
        <is>
          <t>DOLPHIN REEFER</t>
        </is>
      </c>
      <c r="M330" s="4" t="inlineStr">
        <is>
          <t>DOLPHIN REEFER</t>
        </is>
      </c>
      <c r="N330" s="4" t="n"/>
      <c r="O330" s="4" t="n"/>
      <c r="P330" s="4" t="inlineStr">
        <is>
          <t>DOLPHIN REEFER</t>
        </is>
      </c>
      <c r="Q330" s="4" t="inlineStr">
        <is>
          <t>DOLPHIN REEFER</t>
        </is>
      </c>
      <c r="R330" s="4" t="n"/>
      <c r="S330" s="4" t="n"/>
      <c r="T330" s="4" t="inlineStr">
        <is>
          <t>DOLPHIN REEFER</t>
        </is>
      </c>
      <c r="U330" s="4" t="inlineStr">
        <is>
          <t>CNPJ: 02.351.006/0001-39, AVENIDA DAS ARAUCARIAS, 5126, ARAUCARIA-PR / UNITED STATES CEP 83.707-754</t>
        </is>
      </c>
      <c r="V330" s="4" t="n">
        <v>21</v>
      </c>
      <c r="W330" s="4" t="n">
        <v>0</v>
      </c>
      <c r="X330" s="4" t="n">
        <v>824285</v>
      </c>
      <c r="Y330" s="4" t="n">
        <v>750729</v>
      </c>
      <c r="Z330" s="4" t="n">
        <v>747</v>
      </c>
      <c r="AA330" s="4" t="n"/>
      <c r="AB330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0" s="4" t="inlineStr">
        <is>
          <t>ANON0000000</t>
        </is>
      </c>
      <c r="AD330" s="4" t="inlineStr">
        <is>
          <t>RH40</t>
        </is>
      </c>
      <c r="AE330" s="4" t="inlineStr">
        <is>
          <t>A1007329</t>
        </is>
      </c>
      <c r="AF330" s="4" t="n"/>
      <c r="AG330" s="4" t="inlineStr">
        <is>
          <t>FCL/FCL</t>
        </is>
      </c>
      <c r="AH330" s="4" t="inlineStr">
        <is>
          <t>GENERAL COMMODITY</t>
        </is>
      </c>
      <c r="AI330" s="4" t="n">
        <v>29009</v>
      </c>
      <c r="AJ330" s="4" t="n">
        <v>26</v>
      </c>
      <c r="AK330" s="4" t="inlineStr">
        <is>
          <t>PKS</t>
        </is>
      </c>
      <c r="AL330" s="4" t="n"/>
      <c r="AM330" s="4" t="n"/>
      <c r="AN330" s="4" t="n"/>
      <c r="AO330" s="4" t="n"/>
      <c r="AP330" s="4" t="n"/>
      <c r="AQ330" s="4" t="n"/>
      <c r="AR330" s="4" t="n">
        <v>4700</v>
      </c>
      <c r="AS330" s="4" t="n">
        <v>27000</v>
      </c>
      <c r="AT330" s="12" t="n"/>
    </row>
    <row r="331" ht="10.5" customFormat="1" customHeight="1" s="6">
      <c r="A331" s="11" t="n">
        <v>330</v>
      </c>
      <c r="B331" s="4" t="inlineStr">
        <is>
          <t>MERCURY / VOYAGE 1</t>
        </is>
      </c>
      <c r="C331" s="4" t="inlineStr">
        <is>
          <t>REF000000</t>
        </is>
      </c>
      <c r="D331" s="7" t="n">
        <v>46095</v>
      </c>
      <c r="E331" s="4" t="n">
        <v>46104</v>
      </c>
      <c r="F331" s="4" t="inlineStr">
        <is>
          <t>RULED</t>
        </is>
      </c>
      <c r="G331" s="4" t="inlineStr">
        <is>
          <t>RULED</t>
        </is>
      </c>
      <c r="H331" s="4" t="inlineStr">
        <is>
          <t>USNYC</t>
        </is>
      </c>
      <c r="I331" s="4" t="inlineStr">
        <is>
          <t>USNYC</t>
        </is>
      </c>
      <c r="J331" s="4" t="n"/>
      <c r="K331" s="8" t="n"/>
      <c r="L331" s="4" t="inlineStr">
        <is>
          <t>MARLIN REEFER</t>
        </is>
      </c>
      <c r="M331" s="4" t="inlineStr">
        <is>
          <t>MARLIN REEFER</t>
        </is>
      </c>
      <c r="N331" s="4" t="n"/>
      <c r="O331" s="4" t="n"/>
      <c r="P331" s="4" t="inlineStr">
        <is>
          <t>MARLIN REEFER</t>
        </is>
      </c>
      <c r="Q331" s="4" t="inlineStr">
        <is>
          <t>MARLIN REEFER</t>
        </is>
      </c>
      <c r="R331" s="4" t="n"/>
      <c r="S331" s="4" t="n"/>
      <c r="T331" s="4" t="inlineStr">
        <is>
          <t>MARLIN REEFER</t>
        </is>
      </c>
      <c r="U331" s="4" t="inlineStr">
        <is>
          <t>CNPJ: 02.351.006/0001-39, AVENIDA DAS ARAUCARIAS, 5126, ARAUCARIA-PR / UNITED STATES CEP 83.707-754</t>
        </is>
      </c>
      <c r="V331" s="4" t="n">
        <v>21</v>
      </c>
      <c r="W331" s="4" t="n">
        <v>0</v>
      </c>
      <c r="X331" s="4" t="n">
        <v>824285</v>
      </c>
      <c r="Y331" s="4" t="n">
        <v>750729</v>
      </c>
      <c r="Z331" s="4" t="n">
        <v>747</v>
      </c>
      <c r="AA331" s="4" t="n"/>
      <c r="AB331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1" s="4" t="inlineStr">
        <is>
          <t>ANON0000000</t>
        </is>
      </c>
      <c r="AD331" s="4" t="inlineStr">
        <is>
          <t>RH40</t>
        </is>
      </c>
      <c r="AE331" s="4" t="n">
        <v>1145370</v>
      </c>
      <c r="AF331" s="4" t="n"/>
      <c r="AG331" s="4" t="inlineStr">
        <is>
          <t>FCL/FCL</t>
        </is>
      </c>
      <c r="AH331" s="4" t="inlineStr">
        <is>
          <t>GENERAL COMMODITY</t>
        </is>
      </c>
      <c r="AI331" s="4" t="n">
        <v>28747</v>
      </c>
      <c r="AJ331" s="4" t="n">
        <v>26</v>
      </c>
      <c r="AK331" s="4" t="inlineStr">
        <is>
          <t>PKS</t>
        </is>
      </c>
      <c r="AL331" s="4" t="n"/>
      <c r="AM331" s="4" t="n"/>
      <c r="AN331" s="4" t="n"/>
      <c r="AO331" s="4" t="n"/>
      <c r="AP331" s="4" t="n"/>
      <c r="AQ331" s="4" t="n"/>
      <c r="AR331" s="4" t="n">
        <v>4400</v>
      </c>
      <c r="AS331" s="4" t="n">
        <v>27000</v>
      </c>
      <c r="AT331" s="12" t="n"/>
    </row>
    <row r="332" ht="10.5" customFormat="1" customHeight="1" s="6">
      <c r="A332" s="11" t="n">
        <v>331</v>
      </c>
      <c r="B332" s="4" t="inlineStr">
        <is>
          <t>MERCURY / VOYAGE 1</t>
        </is>
      </c>
      <c r="C332" s="4" t="inlineStr">
        <is>
          <t>REF000000</t>
        </is>
      </c>
      <c r="D332" s="7" t="n">
        <v>46095</v>
      </c>
      <c r="E332" s="4" t="n">
        <v>46104</v>
      </c>
      <c r="F332" s="4" t="inlineStr">
        <is>
          <t>RULED</t>
        </is>
      </c>
      <c r="G332" s="4" t="inlineStr">
        <is>
          <t>RULED</t>
        </is>
      </c>
      <c r="H332" s="4" t="inlineStr">
        <is>
          <t>USNYC</t>
        </is>
      </c>
      <c r="I332" s="4" t="inlineStr">
        <is>
          <t>USNYC</t>
        </is>
      </c>
      <c r="J332" s="4" t="n"/>
      <c r="K332" s="8" t="n"/>
      <c r="L332" s="4" t="inlineStr">
        <is>
          <t>TURTLE REEFER</t>
        </is>
      </c>
      <c r="M332" s="4" t="inlineStr">
        <is>
          <t>TURTLE REEFER</t>
        </is>
      </c>
      <c r="N332" s="4" t="n"/>
      <c r="O332" s="4" t="n"/>
      <c r="P332" s="4" t="inlineStr">
        <is>
          <t>TURTLE REEFER</t>
        </is>
      </c>
      <c r="Q332" s="4" t="inlineStr">
        <is>
          <t>TURTLE REEFER</t>
        </is>
      </c>
      <c r="R332" s="4" t="n"/>
      <c r="S332" s="4" t="n"/>
      <c r="T332" s="4" t="inlineStr">
        <is>
          <t>TURTLE REEFER</t>
        </is>
      </c>
      <c r="U332" s="4" t="inlineStr">
        <is>
          <t>CNPJ: 02.351.006/0001-39, AVENIDA DAS ARAUCARIAS, 5126, ARAUCARIA-PR / UNITED STATES CEP 83.707-754</t>
        </is>
      </c>
      <c r="V332" s="4" t="n">
        <v>21</v>
      </c>
      <c r="W332" s="4" t="n">
        <v>0</v>
      </c>
      <c r="X332" s="4" t="n">
        <v>824285</v>
      </c>
      <c r="Y332" s="4" t="n">
        <v>750729</v>
      </c>
      <c r="Z332" s="4" t="n">
        <v>747</v>
      </c>
      <c r="AA332" s="4" t="n"/>
      <c r="AB332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2" s="4" t="inlineStr">
        <is>
          <t>ANON0000000</t>
        </is>
      </c>
      <c r="AD332" s="4" t="inlineStr">
        <is>
          <t>RH40</t>
        </is>
      </c>
      <c r="AE332" s="4" t="n">
        <v>1142998</v>
      </c>
      <c r="AF332" s="4" t="n"/>
      <c r="AG332" s="4" t="inlineStr">
        <is>
          <t>FCL/FCL</t>
        </is>
      </c>
      <c r="AH332" s="4" t="inlineStr">
        <is>
          <t>GENERAL COMMODITY</t>
        </is>
      </c>
      <c r="AI332" s="4" t="n">
        <v>29418</v>
      </c>
      <c r="AJ332" s="4" t="n">
        <v>28</v>
      </c>
      <c r="AK332" s="4" t="inlineStr">
        <is>
          <t>PKS</t>
        </is>
      </c>
      <c r="AL332" s="4" t="n"/>
      <c r="AM332" s="4" t="n"/>
      <c r="AN332" s="4" t="n"/>
      <c r="AO332" s="4" t="n"/>
      <c r="AP332" s="4" t="n"/>
      <c r="AQ332" s="4" t="n"/>
      <c r="AR332" s="4" t="n">
        <v>4570</v>
      </c>
      <c r="AS332" s="4" t="n">
        <v>27000</v>
      </c>
      <c r="AT332" s="12" t="n"/>
    </row>
    <row r="333" ht="10.5" customFormat="1" customHeight="1" s="6">
      <c r="A333" s="11" t="n">
        <v>332</v>
      </c>
      <c r="B333" s="4" t="inlineStr">
        <is>
          <t>MERCURY / VOYAGE 1</t>
        </is>
      </c>
      <c r="C333" s="4" t="inlineStr">
        <is>
          <t>REF000000</t>
        </is>
      </c>
      <c r="D333" s="7" t="n">
        <v>46095</v>
      </c>
      <c r="E333" s="4" t="n">
        <v>46104</v>
      </c>
      <c r="F333" s="4" t="inlineStr">
        <is>
          <t>RULED</t>
        </is>
      </c>
      <c r="G333" s="4" t="inlineStr">
        <is>
          <t>RULED</t>
        </is>
      </c>
      <c r="H333" s="4" t="inlineStr">
        <is>
          <t>USNYC</t>
        </is>
      </c>
      <c r="I333" s="4" t="inlineStr">
        <is>
          <t>USNYC</t>
        </is>
      </c>
      <c r="J333" s="4" t="n"/>
      <c r="K333" s="8" t="n"/>
      <c r="L333" s="4" t="inlineStr">
        <is>
          <t>ORCA REEFER</t>
        </is>
      </c>
      <c r="M333" s="4" t="inlineStr">
        <is>
          <t>ORCA REEFER</t>
        </is>
      </c>
      <c r="N333" s="4" t="n"/>
      <c r="O333" s="4" t="n"/>
      <c r="P333" s="4" t="inlineStr">
        <is>
          <t>ORCA REEFER</t>
        </is>
      </c>
      <c r="Q333" s="4" t="inlineStr">
        <is>
          <t>ORCA REEFER</t>
        </is>
      </c>
      <c r="R333" s="4" t="n"/>
      <c r="S333" s="4" t="n"/>
      <c r="T333" s="4" t="inlineStr">
        <is>
          <t>ORCA REEFER</t>
        </is>
      </c>
      <c r="U333" s="4" t="inlineStr">
        <is>
          <t>CNPJ: 02.351.006/0001-39, AVENIDA DAS ARAUCARIAS, 5126, ARAUCARIA-PR / UNITED STATES CEP 83.707-754</t>
        </is>
      </c>
      <c r="V333" s="4" t="n">
        <v>21</v>
      </c>
      <c r="W333" s="4" t="n">
        <v>0</v>
      </c>
      <c r="X333" s="4" t="n">
        <v>824285</v>
      </c>
      <c r="Y333" s="4" t="n">
        <v>750729</v>
      </c>
      <c r="Z333" s="4" t="n">
        <v>747</v>
      </c>
      <c r="AA333" s="4" t="n"/>
      <c r="AB333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3" s="4" t="inlineStr">
        <is>
          <t>ANON0000000</t>
        </is>
      </c>
      <c r="AD333" s="4" t="inlineStr">
        <is>
          <t>RH40</t>
        </is>
      </c>
      <c r="AE333" s="4" t="n">
        <v>1145305</v>
      </c>
      <c r="AF333" s="4" t="n"/>
      <c r="AG333" s="4" t="inlineStr">
        <is>
          <t>FCL/FCL</t>
        </is>
      </c>
      <c r="AH333" s="4" t="inlineStr">
        <is>
          <t>GENERAL COMMODITY</t>
        </is>
      </c>
      <c r="AI333" s="4" t="n">
        <v>28580</v>
      </c>
      <c r="AJ333" s="4" t="n">
        <v>27</v>
      </c>
      <c r="AK333" s="4" t="inlineStr">
        <is>
          <t>PKS</t>
        </is>
      </c>
      <c r="AL333" s="4" t="n"/>
      <c r="AM333" s="4" t="n"/>
      <c r="AN333" s="4" t="n"/>
      <c r="AO333" s="4" t="n"/>
      <c r="AP333" s="4" t="n"/>
      <c r="AQ333" s="4" t="n"/>
      <c r="AR333" s="4" t="n">
        <v>4700</v>
      </c>
      <c r="AS333" s="4" t="n">
        <v>27000</v>
      </c>
      <c r="AT333" s="12" t="n"/>
    </row>
    <row r="334" ht="10.5" customFormat="1" customHeight="1" s="6">
      <c r="A334" s="11" t="n">
        <v>333</v>
      </c>
      <c r="B334" s="4" t="inlineStr">
        <is>
          <t>MERCURY / VOYAGE 1</t>
        </is>
      </c>
      <c r="C334" s="4" t="inlineStr">
        <is>
          <t>REF000000</t>
        </is>
      </c>
      <c r="D334" s="7" t="n">
        <v>46095</v>
      </c>
      <c r="E334" s="4" t="n">
        <v>46104</v>
      </c>
      <c r="F334" s="4" t="inlineStr">
        <is>
          <t>RULED</t>
        </is>
      </c>
      <c r="G334" s="4" t="inlineStr">
        <is>
          <t>RULED</t>
        </is>
      </c>
      <c r="H334" s="4" t="inlineStr">
        <is>
          <t>USNYC</t>
        </is>
      </c>
      <c r="I334" s="4" t="inlineStr">
        <is>
          <t>USNYC</t>
        </is>
      </c>
      <c r="J334" s="4" t="n"/>
      <c r="K334" s="8" t="n"/>
      <c r="L334" s="4" t="inlineStr">
        <is>
          <t>WHALE REEFER</t>
        </is>
      </c>
      <c r="M334" s="4" t="inlineStr">
        <is>
          <t>WHALE REEFER</t>
        </is>
      </c>
      <c r="N334" s="4" t="n"/>
      <c r="O334" s="4" t="n"/>
      <c r="P334" s="4" t="inlineStr">
        <is>
          <t>WHALE REEFER</t>
        </is>
      </c>
      <c r="Q334" s="4" t="inlineStr">
        <is>
          <t>WHALE REEFER</t>
        </is>
      </c>
      <c r="R334" s="4" t="n"/>
      <c r="S334" s="4" t="n"/>
      <c r="T334" s="4" t="inlineStr">
        <is>
          <t>WHALE REEFER</t>
        </is>
      </c>
      <c r="U334" s="4" t="inlineStr">
        <is>
          <t>CNPJ: 02.351.006/0001-39, AVENIDA DAS ARAUCARIAS, 5126, ARAUCARIA-PR / UNITED STATES CEP 83.707-754</t>
        </is>
      </c>
      <c r="V334" s="4" t="n">
        <v>21</v>
      </c>
      <c r="W334" s="4" t="n">
        <v>0</v>
      </c>
      <c r="X334" s="4" t="n">
        <v>824285</v>
      </c>
      <c r="Y334" s="4" t="n">
        <v>750729</v>
      </c>
      <c r="Z334" s="4" t="n">
        <v>747</v>
      </c>
      <c r="AA334" s="4" t="n"/>
      <c r="AB334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4" s="4" t="inlineStr">
        <is>
          <t>ANON0000000</t>
        </is>
      </c>
      <c r="AD334" s="4" t="inlineStr">
        <is>
          <t>RH40</t>
        </is>
      </c>
      <c r="AE334" s="4" t="n">
        <v>1145276</v>
      </c>
      <c r="AF334" s="4" t="n"/>
      <c r="AG334" s="4" t="inlineStr">
        <is>
          <t>FCL/FCL</t>
        </is>
      </c>
      <c r="AH334" s="4" t="inlineStr">
        <is>
          <t>GENERAL COMMODITY</t>
        </is>
      </c>
      <c r="AI334" s="4" t="n">
        <v>30353</v>
      </c>
      <c r="AJ334" s="4" t="n">
        <v>27</v>
      </c>
      <c r="AK334" s="4" t="inlineStr">
        <is>
          <t>PKS</t>
        </is>
      </c>
      <c r="AL334" s="4" t="n"/>
      <c r="AM334" s="4" t="n"/>
      <c r="AN334" s="4" t="n"/>
      <c r="AO334" s="4" t="n"/>
      <c r="AP334" s="4" t="n"/>
      <c r="AQ334" s="4" t="n"/>
      <c r="AR334" s="4" t="n">
        <v>4580</v>
      </c>
      <c r="AS334" s="4" t="n">
        <v>27000</v>
      </c>
      <c r="AT334" s="12" t="n"/>
    </row>
    <row r="335" ht="10.5" customFormat="1" customHeight="1" s="6">
      <c r="A335" s="11" t="n">
        <v>334</v>
      </c>
      <c r="B335" s="4" t="inlineStr">
        <is>
          <t>MERCURY / VOYAGE 1</t>
        </is>
      </c>
      <c r="C335" s="4" t="inlineStr">
        <is>
          <t>REF000000</t>
        </is>
      </c>
      <c r="D335" s="7" t="n">
        <v>46095</v>
      </c>
      <c r="E335" s="4" t="n">
        <v>46104</v>
      </c>
      <c r="F335" s="4" t="inlineStr">
        <is>
          <t>RULED</t>
        </is>
      </c>
      <c r="G335" s="4" t="inlineStr">
        <is>
          <t>RULED</t>
        </is>
      </c>
      <c r="H335" s="4" t="inlineStr">
        <is>
          <t>USNYC</t>
        </is>
      </c>
      <c r="I335" s="4" t="inlineStr">
        <is>
          <t>USNYC</t>
        </is>
      </c>
      <c r="J335" s="4" t="n"/>
      <c r="K335" s="8" t="n"/>
      <c r="L335" s="4" t="inlineStr">
        <is>
          <t>SEAL REEFER</t>
        </is>
      </c>
      <c r="M335" s="4" t="inlineStr">
        <is>
          <t>SEAL REEFER</t>
        </is>
      </c>
      <c r="N335" s="4" t="n"/>
      <c r="O335" s="4" t="n"/>
      <c r="P335" s="4" t="inlineStr">
        <is>
          <t>SEAL REEFER</t>
        </is>
      </c>
      <c r="Q335" s="4" t="inlineStr">
        <is>
          <t>SEAL REEFER</t>
        </is>
      </c>
      <c r="R335" s="4" t="n"/>
      <c r="S335" s="4" t="n"/>
      <c r="T335" s="4" t="inlineStr">
        <is>
          <t>SEAL REEFER</t>
        </is>
      </c>
      <c r="U335" s="4" t="inlineStr">
        <is>
          <t>CNPJ: 02.351.006/0001-39, AVENIDA DAS ARAUCARIAS, 5126, ARAUCARIA-PR / UNITED STATES CEP 83.707-754</t>
        </is>
      </c>
      <c r="V335" s="4" t="n">
        <v>21</v>
      </c>
      <c r="W335" s="4" t="n">
        <v>0</v>
      </c>
      <c r="X335" s="4" t="n">
        <v>824285</v>
      </c>
      <c r="Y335" s="4" t="n">
        <v>750729</v>
      </c>
      <c r="Z335" s="4" t="n">
        <v>747</v>
      </c>
      <c r="AA335" s="4" t="n"/>
      <c r="AB335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5" s="4" t="inlineStr">
        <is>
          <t>ANON0000000</t>
        </is>
      </c>
      <c r="AD335" s="4" t="inlineStr">
        <is>
          <t>RH40</t>
        </is>
      </c>
      <c r="AE335" s="4" t="inlineStr">
        <is>
          <t>A1007340</t>
        </is>
      </c>
      <c r="AF335" s="4" t="n"/>
      <c r="AG335" s="4" t="inlineStr">
        <is>
          <t>FCL/FCL</t>
        </is>
      </c>
      <c r="AH335" s="4" t="inlineStr">
        <is>
          <t>GENERAL COMMODITY</t>
        </is>
      </c>
      <c r="AI335" s="4" t="n">
        <v>28411</v>
      </c>
      <c r="AJ335" s="4" t="n">
        <v>26</v>
      </c>
      <c r="AK335" s="4" t="inlineStr">
        <is>
          <t>PKS</t>
        </is>
      </c>
      <c r="AL335" s="4" t="n"/>
      <c r="AM335" s="4" t="n"/>
      <c r="AN335" s="4" t="n"/>
      <c r="AO335" s="4" t="n"/>
      <c r="AP335" s="4" t="n"/>
      <c r="AQ335" s="4" t="n"/>
      <c r="AR335" s="4" t="n">
        <v>4750</v>
      </c>
      <c r="AS335" s="4" t="n">
        <v>27000</v>
      </c>
      <c r="AT335" s="12" t="n"/>
    </row>
    <row r="336" ht="10.5" customFormat="1" customHeight="1" s="6">
      <c r="A336" s="11" t="n">
        <v>335</v>
      </c>
      <c r="B336" s="4" t="inlineStr">
        <is>
          <t>MERCURY / VOYAGE 1</t>
        </is>
      </c>
      <c r="C336" s="4" t="inlineStr">
        <is>
          <t>REF000000</t>
        </is>
      </c>
      <c r="D336" s="7" t="n">
        <v>46095</v>
      </c>
      <c r="E336" s="4" t="n">
        <v>46104</v>
      </c>
      <c r="F336" s="4" t="inlineStr">
        <is>
          <t>RULED</t>
        </is>
      </c>
      <c r="G336" s="4" t="inlineStr">
        <is>
          <t>RULED</t>
        </is>
      </c>
      <c r="H336" s="4" t="inlineStr">
        <is>
          <t>USNYC</t>
        </is>
      </c>
      <c r="I336" s="4" t="inlineStr">
        <is>
          <t>USNYC</t>
        </is>
      </c>
      <c r="J336" s="4" t="n"/>
      <c r="K336" s="8" t="n"/>
      <c r="L336" s="4" t="inlineStr">
        <is>
          <t>SHARK REEFER</t>
        </is>
      </c>
      <c r="M336" s="4" t="inlineStr">
        <is>
          <t>SHARK REEFER</t>
        </is>
      </c>
      <c r="N336" s="4" t="n"/>
      <c r="O336" s="4" t="n"/>
      <c r="P336" s="4" t="inlineStr">
        <is>
          <t>SHARK REEFER</t>
        </is>
      </c>
      <c r="Q336" s="4" t="inlineStr">
        <is>
          <t>SHARK REEFER</t>
        </is>
      </c>
      <c r="R336" s="4" t="n"/>
      <c r="S336" s="4" t="n"/>
      <c r="T336" s="4" t="inlineStr">
        <is>
          <t>SHARK REEFER</t>
        </is>
      </c>
      <c r="U336" s="4" t="inlineStr">
        <is>
          <t>CNPJ: 02.351.006/0001-39, AVENIDA DAS ARAUCARIAS, 5126, ARAUCARIA-PR / UNITED STATES CEP 83.707-754</t>
        </is>
      </c>
      <c r="V336" s="4" t="n">
        <v>21</v>
      </c>
      <c r="W336" s="4" t="n">
        <v>0</v>
      </c>
      <c r="X336" s="4" t="n">
        <v>824285</v>
      </c>
      <c r="Y336" s="4" t="n">
        <v>750729</v>
      </c>
      <c r="Z336" s="4" t="n">
        <v>747</v>
      </c>
      <c r="AA336" s="4" t="n"/>
      <c r="AB336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6" s="4" t="inlineStr">
        <is>
          <t>ANON0000000</t>
        </is>
      </c>
      <c r="AD336" s="4" t="inlineStr">
        <is>
          <t>RH40</t>
        </is>
      </c>
      <c r="AE336" s="4" t="inlineStr">
        <is>
          <t>A1007373</t>
        </is>
      </c>
      <c r="AF336" s="4" t="n"/>
      <c r="AG336" s="4" t="inlineStr">
        <is>
          <t>FCL/FCL</t>
        </is>
      </c>
      <c r="AH336" s="4" t="inlineStr">
        <is>
          <t>GENERAL COMMODITY</t>
        </is>
      </c>
      <c r="AI336" s="4" t="n">
        <v>29788</v>
      </c>
      <c r="AJ336" s="4" t="n">
        <v>27</v>
      </c>
      <c r="AK336" s="4" t="inlineStr">
        <is>
          <t>PKS</t>
        </is>
      </c>
      <c r="AL336" s="4" t="n"/>
      <c r="AM336" s="4" t="n"/>
      <c r="AN336" s="4" t="n"/>
      <c r="AO336" s="4" t="n"/>
      <c r="AP336" s="4" t="n"/>
      <c r="AQ336" s="4" t="n"/>
      <c r="AR336" s="4" t="n">
        <v>4730</v>
      </c>
      <c r="AS336" s="4" t="n">
        <v>27000</v>
      </c>
      <c r="AT336" s="12" t="n"/>
    </row>
    <row r="337" ht="10.5" customFormat="1" customHeight="1" s="6">
      <c r="A337" s="11" t="n">
        <v>336</v>
      </c>
      <c r="B337" s="4" t="inlineStr">
        <is>
          <t>MERCURY / VOYAGE 1</t>
        </is>
      </c>
      <c r="C337" s="4" t="inlineStr">
        <is>
          <t>REF000000</t>
        </is>
      </c>
      <c r="D337" s="7" t="n">
        <v>46095</v>
      </c>
      <c r="E337" s="4" t="n">
        <v>46104</v>
      </c>
      <c r="F337" s="4" t="inlineStr">
        <is>
          <t>RULED</t>
        </is>
      </c>
      <c r="G337" s="4" t="inlineStr">
        <is>
          <t>RULED</t>
        </is>
      </c>
      <c r="H337" s="4" t="inlineStr">
        <is>
          <t>USNYC</t>
        </is>
      </c>
      <c r="I337" s="4" t="inlineStr">
        <is>
          <t>USNYC</t>
        </is>
      </c>
      <c r="J337" s="4" t="n"/>
      <c r="K337" s="8" t="n"/>
      <c r="L337" s="4" t="inlineStr">
        <is>
          <t>DOLPHIN REEFER</t>
        </is>
      </c>
      <c r="M337" s="4" t="inlineStr">
        <is>
          <t>DOLPHIN REEFER</t>
        </is>
      </c>
      <c r="N337" s="4" t="n"/>
      <c r="O337" s="4" t="n"/>
      <c r="P337" s="4" t="inlineStr">
        <is>
          <t>DOLPHIN REEFER</t>
        </is>
      </c>
      <c r="Q337" s="4" t="inlineStr">
        <is>
          <t>DOLPHIN REEFER</t>
        </is>
      </c>
      <c r="R337" s="4" t="n"/>
      <c r="S337" s="4" t="n"/>
      <c r="T337" s="4" t="inlineStr">
        <is>
          <t>DOLPHIN REEFER</t>
        </is>
      </c>
      <c r="U337" s="4" t="inlineStr">
        <is>
          <t>CNPJ: 02.351.006/0001-39, AVENIDA DAS ARAUCARIAS, 5126, ARAUCARIA-PR / UNITED STATES CEP 83.707-754</t>
        </is>
      </c>
      <c r="V337" s="4" t="n">
        <v>21</v>
      </c>
      <c r="W337" s="4" t="n">
        <v>0</v>
      </c>
      <c r="X337" s="4" t="n">
        <v>824285</v>
      </c>
      <c r="Y337" s="4" t="n">
        <v>750729</v>
      </c>
      <c r="Z337" s="4" t="n">
        <v>747</v>
      </c>
      <c r="AA337" s="4" t="n"/>
      <c r="AB337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7" s="4" t="inlineStr">
        <is>
          <t>ANON0000000</t>
        </is>
      </c>
      <c r="AD337" s="4" t="inlineStr">
        <is>
          <t>RH40</t>
        </is>
      </c>
      <c r="AE337" s="4" t="n">
        <v>1258379</v>
      </c>
      <c r="AF337" s="4" t="n"/>
      <c r="AG337" s="4" t="inlineStr">
        <is>
          <t>FCL/FCL</t>
        </is>
      </c>
      <c r="AH337" s="4" t="inlineStr">
        <is>
          <t>GENERAL COMMODITY</t>
        </is>
      </c>
      <c r="AI337" s="4" t="n">
        <v>29981</v>
      </c>
      <c r="AJ337" s="4" t="n">
        <v>27</v>
      </c>
      <c r="AK337" s="4" t="inlineStr">
        <is>
          <t>PKS</t>
        </is>
      </c>
      <c r="AL337" s="4" t="n"/>
      <c r="AM337" s="4" t="n"/>
      <c r="AN337" s="4" t="n"/>
      <c r="AO337" s="4" t="n"/>
      <c r="AP337" s="4" t="n"/>
      <c r="AQ337" s="4" t="n"/>
      <c r="AR337" s="4" t="n">
        <v>4640</v>
      </c>
      <c r="AS337" s="4" t="n">
        <v>27000</v>
      </c>
      <c r="AT337" s="12" t="n"/>
    </row>
    <row r="338" ht="10.5" customFormat="1" customHeight="1" s="6">
      <c r="A338" s="11" t="n">
        <v>337</v>
      </c>
      <c r="B338" s="4" t="inlineStr">
        <is>
          <t>MERCURY / VOYAGE 1</t>
        </is>
      </c>
      <c r="C338" s="4" t="inlineStr">
        <is>
          <t>REF000000</t>
        </is>
      </c>
      <c r="D338" s="7" t="n">
        <v>46095</v>
      </c>
      <c r="E338" s="4" t="n">
        <v>46104</v>
      </c>
      <c r="F338" s="4" t="inlineStr">
        <is>
          <t>RULED</t>
        </is>
      </c>
      <c r="G338" s="4" t="inlineStr">
        <is>
          <t>RULED</t>
        </is>
      </c>
      <c r="H338" s="4" t="inlineStr">
        <is>
          <t>USNYC</t>
        </is>
      </c>
      <c r="I338" s="4" t="inlineStr">
        <is>
          <t>USNYC</t>
        </is>
      </c>
      <c r="J338" s="4" t="n"/>
      <c r="K338" s="8" t="n"/>
      <c r="L338" s="4" t="inlineStr">
        <is>
          <t>MARLIN REEFER</t>
        </is>
      </c>
      <c r="M338" s="4" t="inlineStr">
        <is>
          <t>MARLIN REEFER</t>
        </is>
      </c>
      <c r="N338" s="4" t="n"/>
      <c r="O338" s="4" t="n"/>
      <c r="P338" s="4" t="inlineStr">
        <is>
          <t>MARLIN REEFER</t>
        </is>
      </c>
      <c r="Q338" s="4" t="inlineStr">
        <is>
          <t>MARLIN REEFER</t>
        </is>
      </c>
      <c r="R338" s="4" t="n"/>
      <c r="S338" s="4" t="n"/>
      <c r="T338" s="4" t="inlineStr">
        <is>
          <t>MARLIN REEFER</t>
        </is>
      </c>
      <c r="U338" s="4" t="inlineStr">
        <is>
          <t>CNPJ: 02.351.006/0001-39, AVENIDA DAS ARAUCARIAS, 5126, ARAUCARIA-PR / UNITED STATES CEP 83.707-754</t>
        </is>
      </c>
      <c r="V338" s="4" t="n">
        <v>21</v>
      </c>
      <c r="W338" s="4" t="n">
        <v>0</v>
      </c>
      <c r="X338" s="4" t="n">
        <v>824285</v>
      </c>
      <c r="Y338" s="4" t="n">
        <v>750729</v>
      </c>
      <c r="Z338" s="4" t="n">
        <v>747</v>
      </c>
      <c r="AA338" s="4" t="n"/>
      <c r="AB338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8" s="4" t="inlineStr">
        <is>
          <t>ANON0000000</t>
        </is>
      </c>
      <c r="AD338" s="4" t="inlineStr">
        <is>
          <t>RH40</t>
        </is>
      </c>
      <c r="AE338" s="4" t="n">
        <v>1145365</v>
      </c>
      <c r="AF338" s="4" t="n"/>
      <c r="AG338" s="4" t="inlineStr">
        <is>
          <t>FCL/FCL</t>
        </is>
      </c>
      <c r="AH338" s="4" t="inlineStr">
        <is>
          <t>GENERAL COMMODITY</t>
        </is>
      </c>
      <c r="AI338" s="4" t="n">
        <v>28960</v>
      </c>
      <c r="AJ338" s="4" t="n">
        <v>26</v>
      </c>
      <c r="AK338" s="4" t="inlineStr">
        <is>
          <t>PKS</t>
        </is>
      </c>
      <c r="AL338" s="4" t="n"/>
      <c r="AM338" s="4" t="n"/>
      <c r="AN338" s="4" t="n"/>
      <c r="AO338" s="4" t="n"/>
      <c r="AP338" s="4" t="n"/>
      <c r="AQ338" s="4" t="n"/>
      <c r="AR338" s="4" t="n">
        <v>4700</v>
      </c>
      <c r="AS338" s="4" t="n">
        <v>27000</v>
      </c>
      <c r="AT338" s="12" t="n"/>
    </row>
    <row r="339" ht="10.5" customFormat="1" customHeight="1" s="6">
      <c r="A339" s="11" t="n">
        <v>338</v>
      </c>
      <c r="B339" s="4" t="inlineStr">
        <is>
          <t>MERCURY / VOYAGE 1</t>
        </is>
      </c>
      <c r="C339" s="4" t="inlineStr">
        <is>
          <t>REF000000</t>
        </is>
      </c>
      <c r="D339" s="7" t="n">
        <v>46095</v>
      </c>
      <c r="E339" s="4" t="n">
        <v>46104</v>
      </c>
      <c r="F339" s="4" t="inlineStr">
        <is>
          <t>RULED</t>
        </is>
      </c>
      <c r="G339" s="4" t="inlineStr">
        <is>
          <t>RULED</t>
        </is>
      </c>
      <c r="H339" s="4" t="inlineStr">
        <is>
          <t>USNYC</t>
        </is>
      </c>
      <c r="I339" s="4" t="inlineStr">
        <is>
          <t>USNYC</t>
        </is>
      </c>
      <c r="J339" s="4" t="n"/>
      <c r="K339" s="8" t="n"/>
      <c r="L339" s="4" t="inlineStr">
        <is>
          <t>TURTLE REEFER</t>
        </is>
      </c>
      <c r="M339" s="4" t="inlineStr">
        <is>
          <t>TURTLE REEFER</t>
        </is>
      </c>
      <c r="N339" s="4" t="n"/>
      <c r="O339" s="4" t="n"/>
      <c r="P339" s="4" t="inlineStr">
        <is>
          <t>TURTLE REEFER</t>
        </is>
      </c>
      <c r="Q339" s="4" t="inlineStr">
        <is>
          <t>TURTLE REEFER</t>
        </is>
      </c>
      <c r="R339" s="4" t="n"/>
      <c r="S339" s="4" t="n"/>
      <c r="T339" s="4" t="inlineStr">
        <is>
          <t>TURTLE REEFER</t>
        </is>
      </c>
      <c r="U339" s="4" t="inlineStr">
        <is>
          <t>CNPJ: 02.351.006/0001-39, AVENIDA DAS ARAUCARIAS, 5126, ARAUCARIA-PR / UNITED STATES CEP 83.707-754</t>
        </is>
      </c>
      <c r="V339" s="4" t="n">
        <v>21</v>
      </c>
      <c r="W339" s="4" t="n">
        <v>0</v>
      </c>
      <c r="X339" s="4" t="n">
        <v>824285</v>
      </c>
      <c r="Y339" s="4" t="n">
        <v>750729</v>
      </c>
      <c r="Z339" s="4" t="n">
        <v>747</v>
      </c>
      <c r="AA339" s="4" t="n"/>
      <c r="AB339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39" s="4" t="inlineStr">
        <is>
          <t>ANON0000000</t>
        </is>
      </c>
      <c r="AD339" s="4" t="inlineStr">
        <is>
          <t>RH40</t>
        </is>
      </c>
      <c r="AE339" s="4" t="n">
        <v>1256570</v>
      </c>
      <c r="AF339" s="4" t="n"/>
      <c r="AG339" s="4" t="inlineStr">
        <is>
          <t>FCL/FCL</t>
        </is>
      </c>
      <c r="AH339" s="4" t="inlineStr">
        <is>
          <t>GENERAL COMMODITY</t>
        </is>
      </c>
      <c r="AI339" s="4" t="n">
        <v>29324</v>
      </c>
      <c r="AJ339" s="4" t="n">
        <v>26</v>
      </c>
      <c r="AK339" s="4" t="inlineStr">
        <is>
          <t>PKS</t>
        </is>
      </c>
      <c r="AL339" s="4" t="n"/>
      <c r="AM339" s="4" t="n"/>
      <c r="AN339" s="4" t="n"/>
      <c r="AO339" s="4" t="n"/>
      <c r="AP339" s="4" t="n"/>
      <c r="AQ339" s="4" t="n"/>
      <c r="AR339" s="4" t="n">
        <v>4700</v>
      </c>
      <c r="AS339" s="4" t="n">
        <v>27000</v>
      </c>
      <c r="AT339" s="12" t="n"/>
    </row>
    <row r="340" ht="10.5" customFormat="1" customHeight="1" s="6">
      <c r="A340" s="11" t="n">
        <v>339</v>
      </c>
      <c r="B340" s="4" t="inlineStr">
        <is>
          <t>MERCURY / VOYAGE 1</t>
        </is>
      </c>
      <c r="C340" s="4" t="inlineStr">
        <is>
          <t>REF000000</t>
        </is>
      </c>
      <c r="D340" s="7" t="n">
        <v>46095</v>
      </c>
      <c r="E340" s="4" t="n">
        <v>46104</v>
      </c>
      <c r="F340" s="4" t="inlineStr">
        <is>
          <t>RULED</t>
        </is>
      </c>
      <c r="G340" s="4" t="inlineStr">
        <is>
          <t>RULED</t>
        </is>
      </c>
      <c r="H340" s="4" t="inlineStr">
        <is>
          <t>USNYC</t>
        </is>
      </c>
      <c r="I340" s="4" t="inlineStr">
        <is>
          <t>USNYC</t>
        </is>
      </c>
      <c r="J340" s="4" t="n"/>
      <c r="K340" s="8" t="n"/>
      <c r="L340" s="4" t="inlineStr">
        <is>
          <t>ORCA REEFER</t>
        </is>
      </c>
      <c r="M340" s="4" t="inlineStr">
        <is>
          <t>ORCA REEFER</t>
        </is>
      </c>
      <c r="N340" s="4" t="n"/>
      <c r="O340" s="4" t="n"/>
      <c r="P340" s="4" t="inlineStr">
        <is>
          <t>ORCA REEFER</t>
        </is>
      </c>
      <c r="Q340" s="4" t="inlineStr">
        <is>
          <t>ORCA REEFER</t>
        </is>
      </c>
      <c r="R340" s="4" t="n"/>
      <c r="S340" s="4" t="n"/>
      <c r="T340" s="4" t="inlineStr">
        <is>
          <t>ORCA REEFER</t>
        </is>
      </c>
      <c r="U340" s="4" t="inlineStr">
        <is>
          <t>CNPJ: 02.351.006/0001-39, AVENIDA DAS ARAUCARIAS, 5126, ARAUCARIA-PR / UNITED STATES CEP 83.707-754</t>
        </is>
      </c>
      <c r="V340" s="4" t="n">
        <v>21</v>
      </c>
      <c r="W340" s="4" t="n">
        <v>0</v>
      </c>
      <c r="X340" s="4" t="n">
        <v>824285</v>
      </c>
      <c r="Y340" s="4" t="n">
        <v>750729</v>
      </c>
      <c r="Z340" s="4" t="n">
        <v>747</v>
      </c>
      <c r="AA340" s="4" t="n"/>
      <c r="AB340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0" s="4" t="inlineStr">
        <is>
          <t>ANON0000000</t>
        </is>
      </c>
      <c r="AD340" s="4" t="inlineStr">
        <is>
          <t>RH40</t>
        </is>
      </c>
      <c r="AE340" s="4" t="n">
        <v>1145221</v>
      </c>
      <c r="AF340" s="4" t="n"/>
      <c r="AG340" s="4" t="inlineStr">
        <is>
          <t>FCL/FCL</t>
        </is>
      </c>
      <c r="AH340" s="4" t="inlineStr">
        <is>
          <t>GENERAL COMMODITY</t>
        </is>
      </c>
      <c r="AI340" s="4" t="n">
        <v>29732</v>
      </c>
      <c r="AJ340" s="4" t="n">
        <v>27</v>
      </c>
      <c r="AK340" s="4" t="inlineStr">
        <is>
          <t>PKS</t>
        </is>
      </c>
      <c r="AL340" s="4" t="n"/>
      <c r="AM340" s="4" t="n"/>
      <c r="AN340" s="4" t="n"/>
      <c r="AO340" s="4" t="n"/>
      <c r="AP340" s="4" t="n"/>
      <c r="AQ340" s="4" t="n"/>
      <c r="AR340" s="4" t="n">
        <v>4490</v>
      </c>
      <c r="AS340" s="4" t="n">
        <v>27000</v>
      </c>
      <c r="AT340" s="12" t="n"/>
    </row>
    <row r="341" ht="10.5" customFormat="1" customHeight="1" s="6">
      <c r="A341" s="11" t="n">
        <v>340</v>
      </c>
      <c r="B341" s="4" t="inlineStr">
        <is>
          <t>MERCURY / VOYAGE 1</t>
        </is>
      </c>
      <c r="C341" s="4" t="inlineStr">
        <is>
          <t>REF000000</t>
        </is>
      </c>
      <c r="D341" s="7" t="n">
        <v>46095</v>
      </c>
      <c r="E341" s="4" t="n">
        <v>46104</v>
      </c>
      <c r="F341" s="4" t="inlineStr">
        <is>
          <t>RULED</t>
        </is>
      </c>
      <c r="G341" s="4" t="inlineStr">
        <is>
          <t>RULED</t>
        </is>
      </c>
      <c r="H341" s="4" t="inlineStr">
        <is>
          <t>USNYC</t>
        </is>
      </c>
      <c r="I341" s="4" t="inlineStr">
        <is>
          <t>USNYC</t>
        </is>
      </c>
      <c r="J341" s="4" t="n"/>
      <c r="K341" s="8" t="n"/>
      <c r="L341" s="4" t="inlineStr">
        <is>
          <t>WHALE REEFER</t>
        </is>
      </c>
      <c r="M341" s="4" t="inlineStr">
        <is>
          <t>WHALE REEFER</t>
        </is>
      </c>
      <c r="N341" s="4" t="n"/>
      <c r="O341" s="4" t="n"/>
      <c r="P341" s="4" t="inlineStr">
        <is>
          <t>WHALE REEFER</t>
        </is>
      </c>
      <c r="Q341" s="4" t="inlineStr">
        <is>
          <t>WHALE REEFER</t>
        </is>
      </c>
      <c r="R341" s="4" t="n"/>
      <c r="S341" s="4" t="n"/>
      <c r="T341" s="4" t="inlineStr">
        <is>
          <t>WHALE REEFER</t>
        </is>
      </c>
      <c r="U341" s="4" t="inlineStr">
        <is>
          <t>CNPJ: 02.351.006/0001-39, AVENIDA DAS ARAUCARIAS, 5126, ARAUCARIA-PR / UNITED STATES CEP 83.707-754</t>
        </is>
      </c>
      <c r="V341" s="4" t="n">
        <v>21</v>
      </c>
      <c r="W341" s="4" t="n">
        <v>0</v>
      </c>
      <c r="X341" s="4" t="n">
        <v>824285</v>
      </c>
      <c r="Y341" s="4" t="n">
        <v>750729</v>
      </c>
      <c r="Z341" s="4" t="n">
        <v>747</v>
      </c>
      <c r="AA341" s="4" t="n"/>
      <c r="AB341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1" s="4" t="inlineStr">
        <is>
          <t>ANON0000000</t>
        </is>
      </c>
      <c r="AD341" s="4" t="inlineStr">
        <is>
          <t>RH40</t>
        </is>
      </c>
      <c r="AE341" s="4" t="n">
        <v>1145224</v>
      </c>
      <c r="AF341" s="4" t="n"/>
      <c r="AG341" s="4" t="inlineStr">
        <is>
          <t>FCL/FCL</t>
        </is>
      </c>
      <c r="AH341" s="4" t="inlineStr">
        <is>
          <t>GENERAL COMMODITY</t>
        </is>
      </c>
      <c r="AI341" s="4" t="n">
        <v>29084</v>
      </c>
      <c r="AJ341" s="4" t="n">
        <v>26</v>
      </c>
      <c r="AK341" s="4" t="inlineStr">
        <is>
          <t>PKS</t>
        </is>
      </c>
      <c r="AL341" s="4" t="n"/>
      <c r="AM341" s="4" t="n"/>
      <c r="AN341" s="4" t="n"/>
      <c r="AO341" s="4" t="n"/>
      <c r="AP341" s="4" t="n"/>
      <c r="AQ341" s="4" t="n"/>
      <c r="AR341" s="4" t="n">
        <v>4640</v>
      </c>
      <c r="AS341" s="4" t="n">
        <v>27000</v>
      </c>
      <c r="AT341" s="12" t="n"/>
    </row>
    <row r="342" ht="10.5" customFormat="1" customHeight="1" s="6">
      <c r="A342" s="11" t="n">
        <v>341</v>
      </c>
      <c r="B342" s="4" t="inlineStr">
        <is>
          <t>MERCURY / VOYAGE 1</t>
        </is>
      </c>
      <c r="C342" s="4" t="inlineStr">
        <is>
          <t>REF000000</t>
        </is>
      </c>
      <c r="D342" s="7" t="n">
        <v>46095</v>
      </c>
      <c r="E342" s="4" t="n">
        <v>46104</v>
      </c>
      <c r="F342" s="4" t="inlineStr">
        <is>
          <t>RULED</t>
        </is>
      </c>
      <c r="G342" s="4" t="inlineStr">
        <is>
          <t>RULED</t>
        </is>
      </c>
      <c r="H342" s="4" t="inlineStr">
        <is>
          <t>USNYC</t>
        </is>
      </c>
      <c r="I342" s="4" t="inlineStr">
        <is>
          <t>USNYC</t>
        </is>
      </c>
      <c r="J342" s="4" t="n"/>
      <c r="K342" s="8" t="n"/>
      <c r="L342" s="4" t="inlineStr">
        <is>
          <t>SEAL REEFER</t>
        </is>
      </c>
      <c r="M342" s="4" t="inlineStr">
        <is>
          <t>SEAL REEFER</t>
        </is>
      </c>
      <c r="N342" s="4" t="n"/>
      <c r="O342" s="4" t="n"/>
      <c r="P342" s="4" t="inlineStr">
        <is>
          <t>SEAL REEFER</t>
        </is>
      </c>
      <c r="Q342" s="4" t="inlineStr">
        <is>
          <t>SEAL REEFER</t>
        </is>
      </c>
      <c r="R342" s="4" t="n"/>
      <c r="S342" s="4" t="n"/>
      <c r="T342" s="4" t="inlineStr">
        <is>
          <t>SEAL REEFER</t>
        </is>
      </c>
      <c r="U342" s="4" t="inlineStr">
        <is>
          <t>CNPJ: 02.351.006/0001-39, AVENIDA DAS ARAUCARIAS, 5126, ARAUCARIA-PR / UNITED STATES CEP 83.707-754</t>
        </is>
      </c>
      <c r="V342" s="4" t="n">
        <v>21</v>
      </c>
      <c r="W342" s="4" t="n">
        <v>0</v>
      </c>
      <c r="X342" s="4" t="n">
        <v>824285</v>
      </c>
      <c r="Y342" s="4" t="n">
        <v>750729</v>
      </c>
      <c r="Z342" s="4" t="n">
        <v>747</v>
      </c>
      <c r="AA342" s="4" t="n"/>
      <c r="AB342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2" s="4" t="inlineStr">
        <is>
          <t>ANON0000000</t>
        </is>
      </c>
      <c r="AD342" s="4" t="inlineStr">
        <is>
          <t>RH40</t>
        </is>
      </c>
      <c r="AE342" s="4" t="n">
        <v>1145229</v>
      </c>
      <c r="AF342" s="4" t="n"/>
      <c r="AG342" s="4" t="inlineStr">
        <is>
          <t>FCL/FCL</t>
        </is>
      </c>
      <c r="AH342" s="4" t="inlineStr">
        <is>
          <t>GENERAL COMMODITY</t>
        </is>
      </c>
      <c r="AI342" s="4" t="n">
        <v>28795</v>
      </c>
      <c r="AJ342" s="4" t="n">
        <v>28</v>
      </c>
      <c r="AK342" s="4" t="inlineStr">
        <is>
          <t>PKS</t>
        </is>
      </c>
      <c r="AL342" s="4" t="n"/>
      <c r="AM342" s="4" t="n"/>
      <c r="AN342" s="4" t="n"/>
      <c r="AO342" s="4" t="n"/>
      <c r="AP342" s="4" t="n"/>
      <c r="AQ342" s="4" t="n"/>
      <c r="AR342" s="4" t="n">
        <v>4620</v>
      </c>
      <c r="AS342" s="4" t="n">
        <v>27000</v>
      </c>
      <c r="AT342" s="12" t="n"/>
    </row>
    <row r="343" ht="10.5" customFormat="1" customHeight="1" s="6">
      <c r="A343" s="11" t="n">
        <v>342</v>
      </c>
      <c r="B343" s="4" t="inlineStr">
        <is>
          <t>MERCURY / VOYAGE 1</t>
        </is>
      </c>
      <c r="C343" s="4" t="inlineStr">
        <is>
          <t>REF000000</t>
        </is>
      </c>
      <c r="D343" s="7" t="n">
        <v>46095</v>
      </c>
      <c r="E343" s="4" t="n">
        <v>46104</v>
      </c>
      <c r="F343" s="4" t="inlineStr">
        <is>
          <t>RULED</t>
        </is>
      </c>
      <c r="G343" s="4" t="inlineStr">
        <is>
          <t>RULED</t>
        </is>
      </c>
      <c r="H343" s="4" t="inlineStr">
        <is>
          <t>USNYC</t>
        </is>
      </c>
      <c r="I343" s="4" t="inlineStr">
        <is>
          <t>USNYC</t>
        </is>
      </c>
      <c r="J343" s="4" t="n"/>
      <c r="K343" s="8" t="n"/>
      <c r="L343" s="4" t="inlineStr">
        <is>
          <t>SHARK REEFER</t>
        </is>
      </c>
      <c r="M343" s="4" t="inlineStr">
        <is>
          <t>SHARK REEFER</t>
        </is>
      </c>
      <c r="N343" s="4" t="n"/>
      <c r="O343" s="4" t="n"/>
      <c r="P343" s="4" t="inlineStr">
        <is>
          <t>SHARK REEFER</t>
        </is>
      </c>
      <c r="Q343" s="4" t="inlineStr">
        <is>
          <t>SHARK REEFER</t>
        </is>
      </c>
      <c r="R343" s="4" t="n"/>
      <c r="S343" s="4" t="n"/>
      <c r="T343" s="4" t="inlineStr">
        <is>
          <t>SHARK REEFER</t>
        </is>
      </c>
      <c r="U343" s="4" t="inlineStr">
        <is>
          <t>CNPJ: 02.351.006/0001-39, AVENIDA DAS ARAUCARIAS, 5126, ARAUCARIA-PR / UNITED STATES CEP 83.707-754</t>
        </is>
      </c>
      <c r="V343" s="4" t="n">
        <v>21</v>
      </c>
      <c r="W343" s="4" t="n">
        <v>0</v>
      </c>
      <c r="X343" s="4" t="n">
        <v>824285</v>
      </c>
      <c r="Y343" s="4" t="n">
        <v>750729</v>
      </c>
      <c r="Z343" s="4" t="n">
        <v>747</v>
      </c>
      <c r="AA343" s="4" t="n"/>
      <c r="AB343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3" s="4" t="inlineStr">
        <is>
          <t>ANON0000000</t>
        </is>
      </c>
      <c r="AD343" s="4" t="inlineStr">
        <is>
          <t>RH40</t>
        </is>
      </c>
      <c r="AE343" s="4" t="n">
        <v>1145357</v>
      </c>
      <c r="AF343" s="4" t="n"/>
      <c r="AG343" s="4" t="inlineStr">
        <is>
          <t>FCL/FCL</t>
        </is>
      </c>
      <c r="AH343" s="4" t="inlineStr">
        <is>
          <t>GENERAL COMMODITY</t>
        </is>
      </c>
      <c r="AI343" s="4" t="n">
        <v>29370</v>
      </c>
      <c r="AJ343" s="4" t="n">
        <v>26</v>
      </c>
      <c r="AK343" s="4" t="inlineStr">
        <is>
          <t>PKS</t>
        </is>
      </c>
      <c r="AL343" s="4" t="n"/>
      <c r="AM343" s="4" t="n"/>
      <c r="AN343" s="4" t="n"/>
      <c r="AO343" s="4" t="n"/>
      <c r="AP343" s="4" t="n"/>
      <c r="AQ343" s="4" t="n"/>
      <c r="AR343" s="4" t="n">
        <v>4630</v>
      </c>
      <c r="AS343" s="4" t="n">
        <v>27000</v>
      </c>
      <c r="AT343" s="12" t="n"/>
    </row>
    <row r="344" ht="10.5" customFormat="1" customHeight="1" s="6">
      <c r="A344" s="11" t="n">
        <v>343</v>
      </c>
      <c r="B344" s="4" t="inlineStr">
        <is>
          <t>MERCURY / VOYAGE 1</t>
        </is>
      </c>
      <c r="C344" s="4" t="inlineStr">
        <is>
          <t>REF000000</t>
        </is>
      </c>
      <c r="D344" s="7" t="n">
        <v>46095</v>
      </c>
      <c r="E344" s="4" t="n">
        <v>46104</v>
      </c>
      <c r="F344" s="4" t="inlineStr">
        <is>
          <t>RULED</t>
        </is>
      </c>
      <c r="G344" s="4" t="inlineStr">
        <is>
          <t>RULED</t>
        </is>
      </c>
      <c r="H344" s="4" t="inlineStr">
        <is>
          <t>USNYC</t>
        </is>
      </c>
      <c r="I344" s="4" t="inlineStr">
        <is>
          <t>USNYC</t>
        </is>
      </c>
      <c r="J344" s="4" t="n"/>
      <c r="K344" s="8" t="n"/>
      <c r="L344" s="4" t="inlineStr">
        <is>
          <t>DOLPHIN REEFER</t>
        </is>
      </c>
      <c r="M344" s="4" t="inlineStr">
        <is>
          <t>DOLPHIN REEFER</t>
        </is>
      </c>
      <c r="N344" s="4" t="n"/>
      <c r="O344" s="4" t="n"/>
      <c r="P344" s="4" t="inlineStr">
        <is>
          <t>DOLPHIN REEFER</t>
        </is>
      </c>
      <c r="Q344" s="4" t="inlineStr">
        <is>
          <t>DOLPHIN REEFER</t>
        </is>
      </c>
      <c r="R344" s="4" t="n"/>
      <c r="S344" s="4" t="n"/>
      <c r="T344" s="4" t="inlineStr">
        <is>
          <t>DOLPHIN REEFER</t>
        </is>
      </c>
      <c r="U344" s="4" t="inlineStr">
        <is>
          <t>CNPJ: 02.351.006/0001-39, AVENIDA DAS ARAUCARIAS, 5126, ARAUCARIA-PR / UNITED STATES CEP 83.707-754</t>
        </is>
      </c>
      <c r="V344" s="4" t="n">
        <v>21</v>
      </c>
      <c r="W344" s="4" t="n">
        <v>0</v>
      </c>
      <c r="X344" s="4" t="n">
        <v>824285</v>
      </c>
      <c r="Y344" s="4" t="n">
        <v>750729</v>
      </c>
      <c r="Z344" s="4" t="n">
        <v>747</v>
      </c>
      <c r="AA344" s="4" t="n"/>
      <c r="AB344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4" s="4" t="inlineStr">
        <is>
          <t>ANON0000000</t>
        </is>
      </c>
      <c r="AD344" s="4" t="inlineStr">
        <is>
          <t>RH40</t>
        </is>
      </c>
      <c r="AE344" s="4" t="inlineStr">
        <is>
          <t>A1007355</t>
        </is>
      </c>
      <c r="AF344" s="4" t="n"/>
      <c r="AG344" s="4" t="inlineStr">
        <is>
          <t>FCL/FCL</t>
        </is>
      </c>
      <c r="AH344" s="4" t="inlineStr">
        <is>
          <t>GENERAL COMMODITY</t>
        </is>
      </c>
      <c r="AI344" s="4" t="n">
        <v>30286</v>
      </c>
      <c r="AJ344" s="4" t="n">
        <v>27</v>
      </c>
      <c r="AK344" s="4" t="inlineStr">
        <is>
          <t>PKS</t>
        </is>
      </c>
      <c r="AL344" s="4" t="n"/>
      <c r="AM344" s="4" t="n"/>
      <c r="AN344" s="4" t="n"/>
      <c r="AO344" s="4" t="n"/>
      <c r="AP344" s="4" t="n"/>
      <c r="AQ344" s="4" t="n"/>
      <c r="AR344" s="4" t="n">
        <v>4560</v>
      </c>
      <c r="AS344" s="4" t="n">
        <v>27000</v>
      </c>
      <c r="AT344" s="12" t="n"/>
    </row>
    <row r="345" ht="10.5" customFormat="1" customHeight="1" s="6">
      <c r="A345" s="11" t="n">
        <v>344</v>
      </c>
      <c r="B345" s="4" t="inlineStr">
        <is>
          <t>MERCURY / VOYAGE 1</t>
        </is>
      </c>
      <c r="C345" s="4" t="inlineStr">
        <is>
          <t>REF000000</t>
        </is>
      </c>
      <c r="D345" s="7" t="n">
        <v>46095</v>
      </c>
      <c r="E345" s="4" t="n">
        <v>46104</v>
      </c>
      <c r="F345" s="4" t="inlineStr">
        <is>
          <t>RULED</t>
        </is>
      </c>
      <c r="G345" s="4" t="inlineStr">
        <is>
          <t>RULED</t>
        </is>
      </c>
      <c r="H345" s="4" t="inlineStr">
        <is>
          <t>USNYC</t>
        </is>
      </c>
      <c r="I345" s="4" t="inlineStr">
        <is>
          <t>USNYC</t>
        </is>
      </c>
      <c r="J345" s="4" t="n"/>
      <c r="K345" s="8" t="n"/>
      <c r="L345" s="4" t="inlineStr">
        <is>
          <t>MARLIN REEFER</t>
        </is>
      </c>
      <c r="M345" s="4" t="inlineStr">
        <is>
          <t>MARLIN REEFER</t>
        </is>
      </c>
      <c r="N345" s="4" t="n"/>
      <c r="O345" s="4" t="n"/>
      <c r="P345" s="4" t="inlineStr">
        <is>
          <t>MARLIN REEFER</t>
        </is>
      </c>
      <c r="Q345" s="4" t="inlineStr">
        <is>
          <t>MARLIN REEFER</t>
        </is>
      </c>
      <c r="R345" s="4" t="n"/>
      <c r="S345" s="4" t="n"/>
      <c r="T345" s="4" t="inlineStr">
        <is>
          <t>MARLIN REEFER</t>
        </is>
      </c>
      <c r="U345" s="4" t="inlineStr">
        <is>
          <t>CNPJ: 02.351.006/0001-39, AVENIDA DAS ARAUCARIAS, 5126, ARAUCARIA-PR / UNITED STATES CEP 83.707-754</t>
        </is>
      </c>
      <c r="V345" s="4" t="n">
        <v>21</v>
      </c>
      <c r="W345" s="4" t="n">
        <v>0</v>
      </c>
      <c r="X345" s="4" t="n">
        <v>824285</v>
      </c>
      <c r="Y345" s="4" t="n">
        <v>750729</v>
      </c>
      <c r="Z345" s="4" t="n">
        <v>747</v>
      </c>
      <c r="AA345" s="4" t="n"/>
      <c r="AB345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5" s="4" t="inlineStr">
        <is>
          <t>ANON0000000</t>
        </is>
      </c>
      <c r="AD345" s="4" t="inlineStr">
        <is>
          <t>RH40</t>
        </is>
      </c>
      <c r="AE345" s="4" t="n">
        <v>1145277</v>
      </c>
      <c r="AF345" s="4" t="n"/>
      <c r="AG345" s="4" t="inlineStr">
        <is>
          <t>FCL/FCL</t>
        </is>
      </c>
      <c r="AH345" s="4" t="inlineStr">
        <is>
          <t>GENERAL COMMODITY</t>
        </is>
      </c>
      <c r="AI345" s="4" t="n">
        <v>30101</v>
      </c>
      <c r="AJ345" s="4" t="n">
        <v>27</v>
      </c>
      <c r="AK345" s="4" t="inlineStr">
        <is>
          <t>PKS</t>
        </is>
      </c>
      <c r="AL345" s="4" t="n"/>
      <c r="AM345" s="4" t="n"/>
      <c r="AN345" s="4" t="n"/>
      <c r="AO345" s="4" t="n"/>
      <c r="AP345" s="4" t="n"/>
      <c r="AQ345" s="4" t="n"/>
      <c r="AR345" s="4" t="n">
        <v>4520</v>
      </c>
      <c r="AS345" s="4" t="n">
        <v>27000</v>
      </c>
      <c r="AT345" s="12" t="n"/>
    </row>
    <row r="346" ht="10.5" customFormat="1" customHeight="1" s="6">
      <c r="A346" s="11" t="n">
        <v>345</v>
      </c>
      <c r="B346" s="4" t="inlineStr">
        <is>
          <t>MERCURY / VOYAGE 1</t>
        </is>
      </c>
      <c r="C346" s="4" t="inlineStr">
        <is>
          <t>REF000000</t>
        </is>
      </c>
      <c r="D346" s="7" t="n">
        <v>46095</v>
      </c>
      <c r="E346" s="4" t="n">
        <v>46104</v>
      </c>
      <c r="F346" s="4" t="inlineStr">
        <is>
          <t>RULED</t>
        </is>
      </c>
      <c r="G346" s="4" t="inlineStr">
        <is>
          <t>RULED</t>
        </is>
      </c>
      <c r="H346" s="4" t="inlineStr">
        <is>
          <t>USNYC</t>
        </is>
      </c>
      <c r="I346" s="4" t="inlineStr">
        <is>
          <t>USNYC</t>
        </is>
      </c>
      <c r="J346" s="4" t="n"/>
      <c r="K346" s="8" t="n"/>
      <c r="L346" s="4" t="inlineStr">
        <is>
          <t>TURTLE REEFER</t>
        </is>
      </c>
      <c r="M346" s="4" t="inlineStr">
        <is>
          <t>TURTLE REEFER</t>
        </is>
      </c>
      <c r="N346" s="4" t="n"/>
      <c r="O346" s="4" t="n"/>
      <c r="P346" s="4" t="inlineStr">
        <is>
          <t>TURTLE REEFER</t>
        </is>
      </c>
      <c r="Q346" s="4" t="inlineStr">
        <is>
          <t>TURTLE REEFER</t>
        </is>
      </c>
      <c r="R346" s="4" t="n"/>
      <c r="S346" s="4" t="n"/>
      <c r="T346" s="4" t="inlineStr">
        <is>
          <t>TURTLE REEFER</t>
        </is>
      </c>
      <c r="U346" s="4" t="inlineStr">
        <is>
          <t>CNPJ: 02.351.006/0001-39, AVENIDA DAS ARAUCARIAS, 5126, ARAUCARIA-PR / UNITED STATES CEP 83.707-754</t>
        </is>
      </c>
      <c r="V346" s="4" t="n">
        <v>21</v>
      </c>
      <c r="W346" s="4" t="n">
        <v>0</v>
      </c>
      <c r="X346" s="4" t="n">
        <v>824285</v>
      </c>
      <c r="Y346" s="4" t="n">
        <v>750729</v>
      </c>
      <c r="Z346" s="4" t="n">
        <v>747</v>
      </c>
      <c r="AA346" s="4" t="n"/>
      <c r="AB346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6" s="4" t="inlineStr">
        <is>
          <t>ANON0000000</t>
        </is>
      </c>
      <c r="AD346" s="4" t="inlineStr">
        <is>
          <t>RH40</t>
        </is>
      </c>
      <c r="AE346" s="4" t="n">
        <v>1145306</v>
      </c>
      <c r="AF346" s="4" t="n"/>
      <c r="AG346" s="4" t="inlineStr">
        <is>
          <t>FCL/FCL</t>
        </is>
      </c>
      <c r="AH346" s="4" t="inlineStr">
        <is>
          <t>GENERAL COMMODITY</t>
        </is>
      </c>
      <c r="AI346" s="4" t="n">
        <v>29846</v>
      </c>
      <c r="AJ346" s="4" t="n">
        <v>27</v>
      </c>
      <c r="AK346" s="4" t="inlineStr">
        <is>
          <t>PKS</t>
        </is>
      </c>
      <c r="AL346" s="4" t="n"/>
      <c r="AM346" s="4" t="n"/>
      <c r="AN346" s="4" t="n"/>
      <c r="AO346" s="4" t="n"/>
      <c r="AP346" s="4" t="n"/>
      <c r="AQ346" s="4" t="n"/>
      <c r="AR346" s="4" t="n">
        <v>4560</v>
      </c>
      <c r="AS346" s="4" t="n">
        <v>27000</v>
      </c>
      <c r="AT346" s="12" t="n"/>
    </row>
    <row r="347" ht="10.5" customFormat="1" customHeight="1" s="6">
      <c r="A347" s="11" t="n">
        <v>346</v>
      </c>
      <c r="B347" s="4" t="inlineStr">
        <is>
          <t>MERCURY / VOYAGE 1</t>
        </is>
      </c>
      <c r="C347" s="4" t="inlineStr">
        <is>
          <t>REF000000</t>
        </is>
      </c>
      <c r="D347" s="7" t="n">
        <v>46095</v>
      </c>
      <c r="E347" s="4" t="n">
        <v>46104</v>
      </c>
      <c r="F347" s="4" t="inlineStr">
        <is>
          <t>RULED</t>
        </is>
      </c>
      <c r="G347" s="4" t="inlineStr">
        <is>
          <t>RULED</t>
        </is>
      </c>
      <c r="H347" s="4" t="inlineStr">
        <is>
          <t>USNYC</t>
        </is>
      </c>
      <c r="I347" s="4" t="inlineStr">
        <is>
          <t>USNYC</t>
        </is>
      </c>
      <c r="J347" s="4" t="n"/>
      <c r="K347" s="8" t="n"/>
      <c r="L347" s="4" t="inlineStr">
        <is>
          <t>ORCA REEFER</t>
        </is>
      </c>
      <c r="M347" s="4" t="inlineStr">
        <is>
          <t>ORCA REEFER</t>
        </is>
      </c>
      <c r="N347" s="4" t="n"/>
      <c r="O347" s="4" t="n"/>
      <c r="P347" s="4" t="inlineStr">
        <is>
          <t>ORCA REEFER</t>
        </is>
      </c>
      <c r="Q347" s="4" t="inlineStr">
        <is>
          <t>ORCA REEFER</t>
        </is>
      </c>
      <c r="R347" s="4" t="n"/>
      <c r="S347" s="4" t="n"/>
      <c r="T347" s="4" t="inlineStr">
        <is>
          <t>ORCA REEFER</t>
        </is>
      </c>
      <c r="U347" s="4" t="inlineStr">
        <is>
          <t>CNPJ: 02.351.006/0001-39, AVENIDA DAS ARAUCARIAS, 5126, ARAUCARIA-PR / UNITED STATES CEP 83.707-754</t>
        </is>
      </c>
      <c r="V347" s="4" t="n">
        <v>21</v>
      </c>
      <c r="W347" s="4" t="n">
        <v>0</v>
      </c>
      <c r="X347" s="4" t="n">
        <v>824285</v>
      </c>
      <c r="Y347" s="4" t="n">
        <v>750729</v>
      </c>
      <c r="Z347" s="4" t="n">
        <v>747</v>
      </c>
      <c r="AA347" s="4" t="n"/>
      <c r="AB347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7" s="4" t="inlineStr">
        <is>
          <t>ANON0000000</t>
        </is>
      </c>
      <c r="AD347" s="4" t="inlineStr">
        <is>
          <t>RH40</t>
        </is>
      </c>
      <c r="AE347" s="4" t="n">
        <v>1145358</v>
      </c>
      <c r="AF347" s="4" t="n"/>
      <c r="AG347" s="4" t="inlineStr">
        <is>
          <t>FCL/FCL</t>
        </is>
      </c>
      <c r="AH347" s="4" t="inlineStr">
        <is>
          <t>GENERAL COMMODITY</t>
        </is>
      </c>
      <c r="AI347" s="4" t="n">
        <v>29214</v>
      </c>
      <c r="AJ347" s="4" t="n">
        <v>26</v>
      </c>
      <c r="AK347" s="4" t="inlineStr">
        <is>
          <t>PKS</t>
        </is>
      </c>
      <c r="AL347" s="4" t="n"/>
      <c r="AM347" s="4" t="n"/>
      <c r="AN347" s="4" t="n"/>
      <c r="AO347" s="4" t="n"/>
      <c r="AP347" s="4" t="n"/>
      <c r="AQ347" s="4" t="n"/>
      <c r="AR347" s="4" t="n">
        <v>4650</v>
      </c>
      <c r="AS347" s="4" t="n">
        <v>27000</v>
      </c>
      <c r="AT347" s="12" t="n"/>
    </row>
    <row r="348" ht="10.5" customFormat="1" customHeight="1" s="6">
      <c r="A348" s="11" t="n">
        <v>347</v>
      </c>
      <c r="B348" s="4" t="inlineStr">
        <is>
          <t>MERCURY / VOYAGE 1</t>
        </is>
      </c>
      <c r="C348" s="4" t="inlineStr">
        <is>
          <t>REF000000</t>
        </is>
      </c>
      <c r="D348" s="7" t="n">
        <v>46095</v>
      </c>
      <c r="E348" s="4" t="n">
        <v>46104</v>
      </c>
      <c r="F348" s="4" t="inlineStr">
        <is>
          <t>RULED</t>
        </is>
      </c>
      <c r="G348" s="4" t="inlineStr">
        <is>
          <t>RULED</t>
        </is>
      </c>
      <c r="H348" s="4" t="inlineStr">
        <is>
          <t>USNYC</t>
        </is>
      </c>
      <c r="I348" s="4" t="inlineStr">
        <is>
          <t>USNYC</t>
        </is>
      </c>
      <c r="J348" s="4" t="n"/>
      <c r="K348" s="8" t="n"/>
      <c r="L348" s="4" t="inlineStr">
        <is>
          <t>WHALE REEFER</t>
        </is>
      </c>
      <c r="M348" s="4" t="inlineStr">
        <is>
          <t>WHALE REEFER</t>
        </is>
      </c>
      <c r="N348" s="4" t="n"/>
      <c r="O348" s="4" t="n"/>
      <c r="P348" s="4" t="inlineStr">
        <is>
          <t>WHALE REEFER</t>
        </is>
      </c>
      <c r="Q348" s="4" t="inlineStr">
        <is>
          <t>WHALE REEFER</t>
        </is>
      </c>
      <c r="R348" s="4" t="n"/>
      <c r="S348" s="4" t="n"/>
      <c r="T348" s="4" t="inlineStr">
        <is>
          <t>WHALE REEFER</t>
        </is>
      </c>
      <c r="U348" s="4" t="inlineStr">
        <is>
          <t>CNPJ: 02.351.006/0001-39, AVENIDA DAS ARAUCARIAS, 5126, ARAUCARIA-PR / UNITED STATES CEP 83.707-754</t>
        </is>
      </c>
      <c r="V348" s="4" t="n">
        <v>21</v>
      </c>
      <c r="W348" s="4" t="n">
        <v>0</v>
      </c>
      <c r="X348" s="4" t="n">
        <v>824285</v>
      </c>
      <c r="Y348" s="4" t="n">
        <v>750729</v>
      </c>
      <c r="Z348" s="4" t="n">
        <v>747</v>
      </c>
      <c r="AA348" s="4" t="n"/>
      <c r="AB348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8" s="4" t="inlineStr">
        <is>
          <t>ANON0000000</t>
        </is>
      </c>
      <c r="AD348" s="4" t="inlineStr">
        <is>
          <t>RH40</t>
        </is>
      </c>
      <c r="AE348" s="4" t="n">
        <v>1145307</v>
      </c>
      <c r="AF348" s="4" t="n"/>
      <c r="AG348" s="4" t="inlineStr">
        <is>
          <t>FCL/FCL</t>
        </is>
      </c>
      <c r="AH348" s="4" t="inlineStr">
        <is>
          <t>GENERAL COMMODITY</t>
        </is>
      </c>
      <c r="AI348" s="4" t="n">
        <v>29829</v>
      </c>
      <c r="AJ348" s="4" t="n">
        <v>27</v>
      </c>
      <c r="AK348" s="4" t="inlineStr">
        <is>
          <t>PKS</t>
        </is>
      </c>
      <c r="AL348" s="4" t="n"/>
      <c r="AM348" s="4" t="n"/>
      <c r="AN348" s="4" t="n"/>
      <c r="AO348" s="4" t="n"/>
      <c r="AP348" s="4" t="n"/>
      <c r="AQ348" s="4" t="n"/>
      <c r="AR348" s="4" t="n">
        <v>4630</v>
      </c>
      <c r="AS348" s="4" t="n">
        <v>27000</v>
      </c>
      <c r="AT348" s="12" t="n"/>
    </row>
    <row r="349" ht="10.5" customFormat="1" customHeight="1" s="6">
      <c r="A349" s="11" t="n">
        <v>348</v>
      </c>
      <c r="B349" s="4" t="inlineStr">
        <is>
          <t>MERCURY / VOYAGE 1</t>
        </is>
      </c>
      <c r="C349" s="4" t="inlineStr">
        <is>
          <t>REF000000</t>
        </is>
      </c>
      <c r="D349" s="7" t="n">
        <v>46095</v>
      </c>
      <c r="E349" s="4" t="n">
        <v>46104</v>
      </c>
      <c r="F349" s="4" t="inlineStr">
        <is>
          <t>RULED</t>
        </is>
      </c>
      <c r="G349" s="4" t="inlineStr">
        <is>
          <t>RULED</t>
        </is>
      </c>
      <c r="H349" s="4" t="inlineStr">
        <is>
          <t>USNYC</t>
        </is>
      </c>
      <c r="I349" s="4" t="inlineStr">
        <is>
          <t>USNYC</t>
        </is>
      </c>
      <c r="J349" s="4" t="n"/>
      <c r="K349" s="8" t="n"/>
      <c r="L349" s="4" t="inlineStr">
        <is>
          <t>SEAL REEFER</t>
        </is>
      </c>
      <c r="M349" s="4" t="inlineStr">
        <is>
          <t>SEAL REEFER</t>
        </is>
      </c>
      <c r="N349" s="4" t="n"/>
      <c r="O349" s="4" t="n"/>
      <c r="P349" s="4" t="inlineStr">
        <is>
          <t>SEAL REEFER</t>
        </is>
      </c>
      <c r="Q349" s="4" t="inlineStr">
        <is>
          <t>SEAL REEFER</t>
        </is>
      </c>
      <c r="R349" s="4" t="n"/>
      <c r="S349" s="4" t="n"/>
      <c r="T349" s="4" t="inlineStr">
        <is>
          <t>SEAL REEFER</t>
        </is>
      </c>
      <c r="U349" s="4" t="inlineStr">
        <is>
          <t>CNPJ: 02.351.006/0001-39, AVENIDA DAS ARAUCARIAS, 5126, ARAUCARIA-PR / UNITED STATES CEP 83.707-754</t>
        </is>
      </c>
      <c r="V349" s="4" t="n">
        <v>21</v>
      </c>
      <c r="W349" s="4" t="n">
        <v>0</v>
      </c>
      <c r="X349" s="4" t="n">
        <v>824285</v>
      </c>
      <c r="Y349" s="4" t="n">
        <v>750729</v>
      </c>
      <c r="Z349" s="4" t="n">
        <v>747</v>
      </c>
      <c r="AA349" s="4" t="n"/>
      <c r="AB349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49" s="4" t="inlineStr">
        <is>
          <t>ANON0000000</t>
        </is>
      </c>
      <c r="AD349" s="4" t="inlineStr">
        <is>
          <t>RH40</t>
        </is>
      </c>
      <c r="AE349" s="4" t="n">
        <v>1145351</v>
      </c>
      <c r="AF349" s="4" t="n"/>
      <c r="AG349" s="4" t="inlineStr">
        <is>
          <t>FCL/FCL</t>
        </is>
      </c>
      <c r="AH349" s="4" t="inlineStr">
        <is>
          <t>GENERAL COMMODITY</t>
        </is>
      </c>
      <c r="AI349" s="4" t="n">
        <v>30383</v>
      </c>
      <c r="AJ349" s="4" t="n">
        <v>27</v>
      </c>
      <c r="AK349" s="4" t="inlineStr">
        <is>
          <t>PKS</t>
        </is>
      </c>
      <c r="AL349" s="4" t="n"/>
      <c r="AM349" s="4" t="n"/>
      <c r="AN349" s="4" t="n"/>
      <c r="AO349" s="4" t="n"/>
      <c r="AP349" s="4" t="n"/>
      <c r="AQ349" s="4" t="n"/>
      <c r="AR349" s="4" t="n">
        <v>4600</v>
      </c>
      <c r="AS349" s="4" t="n">
        <v>27000</v>
      </c>
      <c r="AT349" s="12" t="n"/>
    </row>
    <row r="350" ht="10.5" customFormat="1" customHeight="1" s="6">
      <c r="A350" s="11" t="n">
        <v>349</v>
      </c>
      <c r="B350" s="4" t="inlineStr">
        <is>
          <t>MERCURY / VOYAGE 1</t>
        </is>
      </c>
      <c r="C350" s="4" t="inlineStr">
        <is>
          <t>REF000000</t>
        </is>
      </c>
      <c r="D350" s="7" t="n">
        <v>46095</v>
      </c>
      <c r="E350" s="4" t="n">
        <v>46104</v>
      </c>
      <c r="F350" s="4" t="inlineStr">
        <is>
          <t>RULED</t>
        </is>
      </c>
      <c r="G350" s="4" t="inlineStr">
        <is>
          <t>RULED</t>
        </is>
      </c>
      <c r="H350" s="4" t="inlineStr">
        <is>
          <t>USNYC</t>
        </is>
      </c>
      <c r="I350" s="4" t="inlineStr">
        <is>
          <t>USNYC</t>
        </is>
      </c>
      <c r="J350" s="4" t="n"/>
      <c r="K350" s="8" t="n"/>
      <c r="L350" s="4" t="inlineStr">
        <is>
          <t>SHARK REEFER</t>
        </is>
      </c>
      <c r="M350" s="4" t="inlineStr">
        <is>
          <t>SHARK REEFER</t>
        </is>
      </c>
      <c r="N350" s="4" t="n"/>
      <c r="O350" s="4" t="n"/>
      <c r="P350" s="4" t="inlineStr">
        <is>
          <t>SHARK REEFER</t>
        </is>
      </c>
      <c r="Q350" s="4" t="inlineStr">
        <is>
          <t>SHARK REEFER</t>
        </is>
      </c>
      <c r="R350" s="4" t="n"/>
      <c r="S350" s="4" t="n"/>
      <c r="T350" s="4" t="inlineStr">
        <is>
          <t>SHARK REEFER</t>
        </is>
      </c>
      <c r="U350" s="4" t="inlineStr">
        <is>
          <t>CNPJ: 02.351.006/0001-39, AVENIDA DAS ARAUCARIAS, 5126, ARAUCARIA-PR / UNITED STATES CEP 83.707-754</t>
        </is>
      </c>
      <c r="V350" s="4" t="n">
        <v>21</v>
      </c>
      <c r="W350" s="4" t="n">
        <v>0</v>
      </c>
      <c r="X350" s="4" t="n">
        <v>824285</v>
      </c>
      <c r="Y350" s="4" t="n">
        <v>750729</v>
      </c>
      <c r="Z350" s="4" t="n">
        <v>747</v>
      </c>
      <c r="AA350" s="4" t="n"/>
      <c r="AB350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0" s="4" t="inlineStr">
        <is>
          <t>ANON0000000</t>
        </is>
      </c>
      <c r="AD350" s="4" t="inlineStr">
        <is>
          <t>RH40</t>
        </is>
      </c>
      <c r="AE350" s="4" t="n">
        <v>1145353</v>
      </c>
      <c r="AF350" s="4" t="n"/>
      <c r="AG350" s="4" t="inlineStr">
        <is>
          <t>FCL/FCL</t>
        </is>
      </c>
      <c r="AH350" s="4" t="inlineStr">
        <is>
          <t>GENERAL COMMODITY</t>
        </is>
      </c>
      <c r="AI350" s="4" t="n">
        <v>30197</v>
      </c>
      <c r="AJ350" s="4" t="n">
        <v>27</v>
      </c>
      <c r="AK350" s="4" t="inlineStr">
        <is>
          <t>PKS</t>
        </is>
      </c>
      <c r="AL350" s="4" t="n"/>
      <c r="AM350" s="4" t="n"/>
      <c r="AN350" s="4" t="n"/>
      <c r="AO350" s="4" t="n"/>
      <c r="AP350" s="4" t="n"/>
      <c r="AQ350" s="4" t="n"/>
      <c r="AR350" s="4" t="n">
        <v>4640</v>
      </c>
      <c r="AS350" s="4" t="n">
        <v>27000</v>
      </c>
      <c r="AT350" s="12" t="n"/>
    </row>
    <row r="351" ht="10.5" customFormat="1" customHeight="1" s="6">
      <c r="A351" s="11" t="n">
        <v>350</v>
      </c>
      <c r="B351" s="4" t="inlineStr">
        <is>
          <t>MERCURY / VOYAGE 1</t>
        </is>
      </c>
      <c r="C351" s="4" t="inlineStr">
        <is>
          <t>REF000000</t>
        </is>
      </c>
      <c r="D351" s="7" t="n">
        <v>46095</v>
      </c>
      <c r="E351" s="4" t="n">
        <v>46104</v>
      </c>
      <c r="F351" s="4" t="inlineStr">
        <is>
          <t>RULED</t>
        </is>
      </c>
      <c r="G351" s="4" t="inlineStr">
        <is>
          <t>RULED</t>
        </is>
      </c>
      <c r="H351" s="4" t="inlineStr">
        <is>
          <t>USNYC</t>
        </is>
      </c>
      <c r="I351" s="4" t="inlineStr">
        <is>
          <t>USNYC</t>
        </is>
      </c>
      <c r="J351" s="4" t="n"/>
      <c r="K351" s="8" t="n"/>
      <c r="L351" s="4" t="inlineStr">
        <is>
          <t>DOLPHIN REEFER</t>
        </is>
      </c>
      <c r="M351" s="4" t="inlineStr">
        <is>
          <t>DOLPHIN REEFER</t>
        </is>
      </c>
      <c r="N351" s="4" t="n"/>
      <c r="O351" s="4" t="n"/>
      <c r="P351" s="4" t="inlineStr">
        <is>
          <t>DOLPHIN REEFER</t>
        </is>
      </c>
      <c r="Q351" s="4" t="inlineStr">
        <is>
          <t>DOLPHIN REEFER</t>
        </is>
      </c>
      <c r="R351" s="4" t="n"/>
      <c r="S351" s="4" t="n"/>
      <c r="T351" s="4" t="inlineStr">
        <is>
          <t>DOLPHIN REEFER</t>
        </is>
      </c>
      <c r="U351" s="4" t="inlineStr">
        <is>
          <t>CNPJ: 02.351.006/0001-39, AVENIDA DAS ARAUCARIAS, 5126, ARAUCARIA-PR / UNITED STATES CEP 83.707-754</t>
        </is>
      </c>
      <c r="V351" s="4" t="n">
        <v>21</v>
      </c>
      <c r="W351" s="4" t="n">
        <v>0</v>
      </c>
      <c r="X351" s="4" t="n">
        <v>824285</v>
      </c>
      <c r="Y351" s="4" t="n">
        <v>750729</v>
      </c>
      <c r="Z351" s="4" t="n">
        <v>747</v>
      </c>
      <c r="AA351" s="4" t="n"/>
      <c r="AB351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1" s="4" t="inlineStr">
        <is>
          <t>ANON0000000</t>
        </is>
      </c>
      <c r="AD351" s="4" t="inlineStr">
        <is>
          <t>RH40</t>
        </is>
      </c>
      <c r="AE351" s="4" t="n">
        <v>1145309</v>
      </c>
      <c r="AF351" s="4" t="n"/>
      <c r="AG351" s="4" t="inlineStr">
        <is>
          <t>FCL/FCL</t>
        </is>
      </c>
      <c r="AH351" s="4" t="inlineStr">
        <is>
          <t>GENERAL COMMODITY</t>
        </is>
      </c>
      <c r="AI351" s="4" t="n">
        <v>29792</v>
      </c>
      <c r="AJ351" s="4" t="n">
        <v>27</v>
      </c>
      <c r="AK351" s="4" t="inlineStr">
        <is>
          <t>PKS</t>
        </is>
      </c>
      <c r="AL351" s="4" t="n"/>
      <c r="AM351" s="4" t="n"/>
      <c r="AN351" s="4" t="n"/>
      <c r="AO351" s="4" t="n"/>
      <c r="AP351" s="4" t="n"/>
      <c r="AQ351" s="4" t="n"/>
      <c r="AR351" s="4" t="n">
        <v>4460</v>
      </c>
      <c r="AS351" s="4" t="n">
        <v>27000</v>
      </c>
      <c r="AT351" s="12" t="n"/>
    </row>
    <row r="352" ht="10.5" customFormat="1" customHeight="1" s="6">
      <c r="A352" s="11" t="n">
        <v>351</v>
      </c>
      <c r="B352" s="4" t="inlineStr">
        <is>
          <t>MERCURY / VOYAGE 1</t>
        </is>
      </c>
      <c r="C352" s="4" t="inlineStr">
        <is>
          <t>REF000000</t>
        </is>
      </c>
      <c r="D352" s="7" t="n">
        <v>46095</v>
      </c>
      <c r="E352" s="4" t="n">
        <v>46104</v>
      </c>
      <c r="F352" s="4" t="inlineStr">
        <is>
          <t>RULED</t>
        </is>
      </c>
      <c r="G352" s="4" t="inlineStr">
        <is>
          <t>RULED</t>
        </is>
      </c>
      <c r="H352" s="4" t="inlineStr">
        <is>
          <t>USNYC</t>
        </is>
      </c>
      <c r="I352" s="4" t="inlineStr">
        <is>
          <t>USNYC</t>
        </is>
      </c>
      <c r="J352" s="4" t="n"/>
      <c r="K352" s="8" t="n"/>
      <c r="L352" s="4" t="inlineStr">
        <is>
          <t>MARLIN REEFER</t>
        </is>
      </c>
      <c r="M352" s="4" t="inlineStr">
        <is>
          <t>MARLIN REEFER</t>
        </is>
      </c>
      <c r="N352" s="4" t="n"/>
      <c r="O352" s="4" t="n"/>
      <c r="P352" s="4" t="inlineStr">
        <is>
          <t>MARLIN REEFER</t>
        </is>
      </c>
      <c r="Q352" s="4" t="inlineStr">
        <is>
          <t>MARLIN REEFER</t>
        </is>
      </c>
      <c r="R352" s="4" t="n"/>
      <c r="S352" s="4" t="n"/>
      <c r="T352" s="4" t="inlineStr">
        <is>
          <t>MARLIN REEFER</t>
        </is>
      </c>
      <c r="U352" s="4" t="inlineStr">
        <is>
          <t>CNPJ: 02.351.006/0001-39, AVENIDA DAS ARAUCARIAS, 5126, ARAUCARIA-PR / UNITED STATES CEP 83.707-754</t>
        </is>
      </c>
      <c r="V352" s="4" t="n">
        <v>21</v>
      </c>
      <c r="W352" s="4" t="n">
        <v>0</v>
      </c>
      <c r="X352" s="4" t="n">
        <v>824285</v>
      </c>
      <c r="Y352" s="4" t="n">
        <v>750729</v>
      </c>
      <c r="Z352" s="4" t="n">
        <v>747</v>
      </c>
      <c r="AA352" s="4" t="n"/>
      <c r="AB352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2" s="4" t="inlineStr">
        <is>
          <t>ANON0000000</t>
        </is>
      </c>
      <c r="AD352" s="4" t="inlineStr">
        <is>
          <t>RH40</t>
        </is>
      </c>
      <c r="AE352" s="4" t="n">
        <v>1145230</v>
      </c>
      <c r="AF352" s="4" t="n"/>
      <c r="AG352" s="4" t="inlineStr">
        <is>
          <t>FCL/FCL</t>
        </is>
      </c>
      <c r="AH352" s="4" t="inlineStr">
        <is>
          <t>GENERAL COMMODITY</t>
        </is>
      </c>
      <c r="AI352" s="4" t="n">
        <v>29235</v>
      </c>
      <c r="AJ352" s="4" t="n">
        <v>26</v>
      </c>
      <c r="AK352" s="4" t="inlineStr">
        <is>
          <t>PKS</t>
        </is>
      </c>
      <c r="AL352" s="4" t="n"/>
      <c r="AM352" s="4" t="n"/>
      <c r="AN352" s="4" t="n"/>
      <c r="AO352" s="4" t="n"/>
      <c r="AP352" s="4" t="n"/>
      <c r="AQ352" s="4" t="n"/>
      <c r="AR352" s="4" t="n">
        <v>4700</v>
      </c>
      <c r="AS352" s="4" t="n">
        <v>27000</v>
      </c>
      <c r="AT352" s="12" t="n"/>
    </row>
    <row r="353" ht="10.5" customFormat="1" customHeight="1" s="6">
      <c r="A353" s="11" t="n">
        <v>352</v>
      </c>
      <c r="B353" s="4" t="inlineStr">
        <is>
          <t>MERCURY / VOYAGE 1</t>
        </is>
      </c>
      <c r="C353" s="4" t="inlineStr">
        <is>
          <t>REF000000</t>
        </is>
      </c>
      <c r="D353" s="7" t="n">
        <v>46095</v>
      </c>
      <c r="E353" s="4" t="n">
        <v>46104</v>
      </c>
      <c r="F353" s="4" t="inlineStr">
        <is>
          <t>RULED</t>
        </is>
      </c>
      <c r="G353" s="4" t="inlineStr">
        <is>
          <t>RULED</t>
        </is>
      </c>
      <c r="H353" s="4" t="inlineStr">
        <is>
          <t>USNYC</t>
        </is>
      </c>
      <c r="I353" s="4" t="inlineStr">
        <is>
          <t>USNYC</t>
        </is>
      </c>
      <c r="J353" s="4" t="n"/>
      <c r="K353" s="8" t="n"/>
      <c r="L353" s="4" t="inlineStr">
        <is>
          <t>TURTLE REEFER</t>
        </is>
      </c>
      <c r="M353" s="4" t="inlineStr">
        <is>
          <t>TURTLE REEFER</t>
        </is>
      </c>
      <c r="N353" s="4" t="n"/>
      <c r="O353" s="4" t="n"/>
      <c r="P353" s="4" t="inlineStr">
        <is>
          <t>TURTLE REEFER</t>
        </is>
      </c>
      <c r="Q353" s="4" t="inlineStr">
        <is>
          <t>TURTLE REEFER</t>
        </is>
      </c>
      <c r="R353" s="4" t="n"/>
      <c r="S353" s="4" t="n"/>
      <c r="T353" s="4" t="inlineStr">
        <is>
          <t>TURTLE REEFER</t>
        </is>
      </c>
      <c r="U353" s="4" t="inlineStr">
        <is>
          <t>CNPJ: 02.351.006/0001-39, AVENIDA DAS ARAUCARIAS, 5126, ARAUCARIA-PR / UNITED STATES CEP 83.707-754</t>
        </is>
      </c>
      <c r="V353" s="4" t="n">
        <v>21</v>
      </c>
      <c r="W353" s="4" t="n">
        <v>0</v>
      </c>
      <c r="X353" s="4" t="n">
        <v>824285</v>
      </c>
      <c r="Y353" s="4" t="n">
        <v>750729</v>
      </c>
      <c r="Z353" s="4" t="n">
        <v>747</v>
      </c>
      <c r="AA353" s="4" t="n"/>
      <c r="AB353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3" s="4" t="inlineStr">
        <is>
          <t>ANON0000000</t>
        </is>
      </c>
      <c r="AD353" s="4" t="inlineStr">
        <is>
          <t>RH40</t>
        </is>
      </c>
      <c r="AE353" s="4" t="n">
        <v>1145286</v>
      </c>
      <c r="AF353" s="4" t="n"/>
      <c r="AG353" s="4" t="inlineStr">
        <is>
          <t>FCL/FCL</t>
        </is>
      </c>
      <c r="AH353" s="4" t="inlineStr">
        <is>
          <t>GENERAL COMMODITY</t>
        </is>
      </c>
      <c r="AI353" s="4" t="n">
        <v>28507</v>
      </c>
      <c r="AJ353" s="4" t="n">
        <v>26</v>
      </c>
      <c r="AK353" s="4" t="inlineStr">
        <is>
          <t>PKS</t>
        </is>
      </c>
      <c r="AL353" s="4" t="n"/>
      <c r="AM353" s="4" t="n"/>
      <c r="AN353" s="4" t="n"/>
      <c r="AO353" s="4" t="n"/>
      <c r="AP353" s="4" t="n"/>
      <c r="AQ353" s="4" t="n"/>
      <c r="AR353" s="4" t="n">
        <v>4630</v>
      </c>
      <c r="AS353" s="4" t="n">
        <v>27000</v>
      </c>
      <c r="AT353" s="12" t="n"/>
    </row>
    <row r="354" ht="10.5" customFormat="1" customHeight="1" s="6">
      <c r="A354" s="11" t="n">
        <v>353</v>
      </c>
      <c r="B354" s="4" t="inlineStr">
        <is>
          <t>MERCURY / VOYAGE 1</t>
        </is>
      </c>
      <c r="C354" s="4" t="inlineStr">
        <is>
          <t>REF000000</t>
        </is>
      </c>
      <c r="D354" s="7" t="n">
        <v>46095</v>
      </c>
      <c r="E354" s="4" t="n">
        <v>46104</v>
      </c>
      <c r="F354" s="4" t="inlineStr">
        <is>
          <t>RULED</t>
        </is>
      </c>
      <c r="G354" s="4" t="inlineStr">
        <is>
          <t>RULED</t>
        </is>
      </c>
      <c r="H354" s="4" t="inlineStr">
        <is>
          <t>USNYC</t>
        </is>
      </c>
      <c r="I354" s="4" t="inlineStr">
        <is>
          <t>USNYC</t>
        </is>
      </c>
      <c r="J354" s="4" t="n"/>
      <c r="K354" s="8" t="n"/>
      <c r="L354" s="4" t="inlineStr">
        <is>
          <t>ORCA REEFER</t>
        </is>
      </c>
      <c r="M354" s="4" t="inlineStr">
        <is>
          <t>ORCA REEFER</t>
        </is>
      </c>
      <c r="N354" s="4" t="n"/>
      <c r="O354" s="4" t="n"/>
      <c r="P354" s="4" t="inlineStr">
        <is>
          <t>ORCA REEFER</t>
        </is>
      </c>
      <c r="Q354" s="4" t="inlineStr">
        <is>
          <t>ORCA REEFER</t>
        </is>
      </c>
      <c r="R354" s="4" t="n"/>
      <c r="S354" s="4" t="n"/>
      <c r="T354" s="4" t="inlineStr">
        <is>
          <t>ORCA REEFER</t>
        </is>
      </c>
      <c r="U354" s="4" t="inlineStr">
        <is>
          <t>CNPJ: 02.351.006/0001-39, AVENIDA DAS ARAUCARIAS, 5126, ARAUCARIA-PR / UNITED STATES CEP 83.707-754</t>
        </is>
      </c>
      <c r="V354" s="4" t="n">
        <v>21</v>
      </c>
      <c r="W354" s="4" t="n">
        <v>0</v>
      </c>
      <c r="X354" s="4" t="n">
        <v>824285</v>
      </c>
      <c r="Y354" s="4" t="n">
        <v>750729</v>
      </c>
      <c r="Z354" s="4" t="n">
        <v>747</v>
      </c>
      <c r="AA354" s="4" t="n"/>
      <c r="AB354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4" s="4" t="inlineStr">
        <is>
          <t>ANON0000000</t>
        </is>
      </c>
      <c r="AD354" s="4" t="inlineStr">
        <is>
          <t>RH40</t>
        </is>
      </c>
      <c r="AE354" s="4" t="inlineStr">
        <is>
          <t>A1007378</t>
        </is>
      </c>
      <c r="AF354" s="4" t="n"/>
      <c r="AG354" s="4" t="inlineStr">
        <is>
          <t>FCL/FCL</t>
        </is>
      </c>
      <c r="AH354" s="4" t="inlineStr">
        <is>
          <t>GENERAL COMMODITY</t>
        </is>
      </c>
      <c r="AI354" s="4" t="n">
        <v>29194</v>
      </c>
      <c r="AJ354" s="4" t="n">
        <v>26</v>
      </c>
      <c r="AK354" s="4" t="inlineStr">
        <is>
          <t>PKS</t>
        </is>
      </c>
      <c r="AL354" s="4" t="n"/>
      <c r="AM354" s="4" t="n"/>
      <c r="AN354" s="4" t="n"/>
      <c r="AO354" s="4" t="n"/>
      <c r="AP354" s="4" t="n"/>
      <c r="AQ354" s="4" t="n"/>
      <c r="AR354" s="4" t="n">
        <v>4620</v>
      </c>
      <c r="AS354" s="4" t="n">
        <v>27000</v>
      </c>
      <c r="AT354" s="12" t="n"/>
    </row>
    <row r="355" ht="10.5" customFormat="1" customHeight="1" s="6">
      <c r="A355" s="11" t="n">
        <v>354</v>
      </c>
      <c r="B355" s="4" t="inlineStr">
        <is>
          <t>MERCURY / VOYAGE 1</t>
        </is>
      </c>
      <c r="C355" s="4" t="inlineStr">
        <is>
          <t>REF000000</t>
        </is>
      </c>
      <c r="D355" s="7" t="n">
        <v>46095</v>
      </c>
      <c r="E355" s="4" t="n">
        <v>46104</v>
      </c>
      <c r="F355" s="4" t="inlineStr">
        <is>
          <t>RULED</t>
        </is>
      </c>
      <c r="G355" s="4" t="inlineStr">
        <is>
          <t>RULED</t>
        </is>
      </c>
      <c r="H355" s="4" t="inlineStr">
        <is>
          <t>USNYC</t>
        </is>
      </c>
      <c r="I355" s="4" t="inlineStr">
        <is>
          <t>USNYC</t>
        </is>
      </c>
      <c r="J355" s="4" t="n"/>
      <c r="K355" s="8" t="n"/>
      <c r="L355" s="4" t="inlineStr">
        <is>
          <t>WHALE REEFER</t>
        </is>
      </c>
      <c r="M355" s="4" t="inlineStr">
        <is>
          <t>WHALE REEFER</t>
        </is>
      </c>
      <c r="N355" s="4" t="n"/>
      <c r="O355" s="4" t="n"/>
      <c r="P355" s="4" t="inlineStr">
        <is>
          <t>WHALE REEFER</t>
        </is>
      </c>
      <c r="Q355" s="4" t="inlineStr">
        <is>
          <t>WHALE REEFER</t>
        </is>
      </c>
      <c r="R355" s="4" t="n"/>
      <c r="S355" s="4" t="n"/>
      <c r="T355" s="4" t="inlineStr">
        <is>
          <t>WHALE REEFER</t>
        </is>
      </c>
      <c r="U355" s="4" t="inlineStr">
        <is>
          <t>CNPJ: 02.351.006/0001-39, AVENIDA DAS ARAUCARIAS, 5126, ARAUCARIA-PR / UNITED STATES CEP 83.707-754</t>
        </is>
      </c>
      <c r="V355" s="4" t="n">
        <v>21</v>
      </c>
      <c r="W355" s="4" t="n">
        <v>0</v>
      </c>
      <c r="X355" s="4" t="n">
        <v>824285</v>
      </c>
      <c r="Y355" s="4" t="n">
        <v>750729</v>
      </c>
      <c r="Z355" s="4" t="n">
        <v>747</v>
      </c>
      <c r="AA355" s="4" t="n"/>
      <c r="AB355" s="4" t="inlineStr">
        <is>
          <t>SAID TO CONTAIN / WEIGH &amp; MEASURE CONTRACT BITUMEN 9/1225 DD. 15.12.2025 BETWEEN TIE PETROL ITHALAT VE IHRACAT AS AND GRECA DISTRIBUIDORA DE ASFALTOS LTDA TOTAL CARGO NET WEIGHT: 750729 KGS TOTAL CARGO GROSS WEIGHT: 824285 KGS TOTAL NUMBER OF PACKAGES: 747 WOODEN PACKAGING: TREATED AND CERTIFIED NCM 2713.20.00</t>
        </is>
      </c>
      <c r="AC355" s="4" t="inlineStr">
        <is>
          <t>ANON0000000</t>
        </is>
      </c>
      <c r="AD355" s="4" t="inlineStr">
        <is>
          <t>RH40</t>
        </is>
      </c>
      <c r="AE355" s="4" t="n">
        <v>1142900</v>
      </c>
      <c r="AF355" s="4" t="n"/>
      <c r="AG355" s="4" t="inlineStr">
        <is>
          <t>FCL/FCL</t>
        </is>
      </c>
      <c r="AH355" s="4" t="inlineStr">
        <is>
          <t>GENERAL COMMODITY</t>
        </is>
      </c>
      <c r="AI355" s="4" t="n">
        <v>30338</v>
      </c>
      <c r="AJ355" s="4" t="n">
        <v>28</v>
      </c>
      <c r="AK355" s="4" t="inlineStr">
        <is>
          <t>PKS</t>
        </is>
      </c>
      <c r="AL355" s="4" t="n"/>
      <c r="AM355" s="4" t="n"/>
      <c r="AN355" s="4" t="n"/>
      <c r="AO355" s="4" t="n"/>
      <c r="AP355" s="4" t="n"/>
      <c r="AQ355" s="4" t="n"/>
      <c r="AR355" s="4" t="n">
        <v>4640</v>
      </c>
      <c r="AS355" s="4" t="n">
        <v>27000</v>
      </c>
      <c r="AT355" s="12" t="n"/>
    </row>
    <row r="356" ht="10.5" customFormat="1" customHeight="1" s="6">
      <c r="A356" s="11" t="n">
        <v>355</v>
      </c>
      <c r="B356" s="4" t="inlineStr">
        <is>
          <t>MERCURY / VOYAGE 1</t>
        </is>
      </c>
      <c r="C356" s="4" t="inlineStr">
        <is>
          <t>REF000000</t>
        </is>
      </c>
      <c r="D356" s="7" t="n">
        <v>46095</v>
      </c>
      <c r="E356" s="4" t="n">
        <v>46104</v>
      </c>
      <c r="F356" s="4" t="inlineStr">
        <is>
          <t>RULED</t>
        </is>
      </c>
      <c r="G356" s="4" t="inlineStr">
        <is>
          <t>RULED</t>
        </is>
      </c>
      <c r="H356" s="4" t="inlineStr">
        <is>
          <t>USNYC</t>
        </is>
      </c>
      <c r="I356" s="4" t="inlineStr">
        <is>
          <t>USNYC</t>
        </is>
      </c>
      <c r="J356" s="4" t="n"/>
      <c r="K356" s="8" t="n"/>
      <c r="L356" s="4" t="inlineStr">
        <is>
          <t>SEAL REEFER</t>
        </is>
      </c>
      <c r="M356" s="4" t="inlineStr">
        <is>
          <t>SEAL REEFER</t>
        </is>
      </c>
      <c r="N356" s="4" t="n"/>
      <c r="O356" s="4" t="n"/>
      <c r="P356" s="4" t="inlineStr">
        <is>
          <t>SEAL REEFER</t>
        </is>
      </c>
      <c r="Q356" s="4" t="inlineStr">
        <is>
          <t>SEAL REEFER</t>
        </is>
      </c>
      <c r="R356" s="4" t="n"/>
      <c r="S356" s="4" t="n"/>
      <c r="T356" s="4" t="inlineStr">
        <is>
          <t>SEAL REEFER</t>
        </is>
      </c>
      <c r="U356" s="4" t="inlineStr">
        <is>
          <t>CNPJ: 02.351.006/0001-39, AVENIDA DAS ARAUCARIAS, 5126, ARAUCARIA-PR / UNITED STATES CEP 83.707-754</t>
        </is>
      </c>
      <c r="V356" s="4" t="n">
        <v>21</v>
      </c>
      <c r="W356" s="4" t="n">
        <v>0</v>
      </c>
      <c r="X356" s="4" t="n">
        <v>232140</v>
      </c>
      <c r="Y356" s="4" t="n">
        <v>210996</v>
      </c>
      <c r="Z356" s="4" t="n">
        <v>216</v>
      </c>
      <c r="AA356" s="4" t="n"/>
      <c r="AB356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56" s="4" t="inlineStr">
        <is>
          <t>ANON0000000</t>
        </is>
      </c>
      <c r="AD356" s="4" t="inlineStr">
        <is>
          <t>RH40</t>
        </is>
      </c>
      <c r="AE356" s="4" t="n">
        <v>1145278</v>
      </c>
      <c r="AF356" s="4" t="n">
        <v>26</v>
      </c>
      <c r="AG356" s="4" t="inlineStr">
        <is>
          <t>FCL/FCL</t>
        </is>
      </c>
      <c r="AH356" s="4" t="inlineStr">
        <is>
          <t>GENERAL COMMODITY</t>
        </is>
      </c>
      <c r="AI356" s="4" t="n">
        <v>29518</v>
      </c>
      <c r="AJ356" s="4" t="n">
        <v>26</v>
      </c>
      <c r="AK356" s="4" t="inlineStr">
        <is>
          <t>PKS</t>
        </is>
      </c>
      <c r="AL356" s="4" t="n"/>
      <c r="AM356" s="4" t="n"/>
      <c r="AN356" s="4" t="n"/>
      <c r="AO356" s="4" t="n"/>
      <c r="AP356" s="4" t="n"/>
      <c r="AQ356" s="4" t="n"/>
      <c r="AR356" s="4" t="n">
        <v>4620</v>
      </c>
      <c r="AS356" s="4" t="n">
        <v>27000</v>
      </c>
      <c r="AT356" s="12" t="n"/>
    </row>
    <row r="357" ht="10.5" customFormat="1" customHeight="1" s="6">
      <c r="A357" s="11" t="n">
        <v>356</v>
      </c>
      <c r="B357" s="4" t="inlineStr">
        <is>
          <t>MERCURY / VOYAGE 1</t>
        </is>
      </c>
      <c r="C357" s="4" t="inlineStr">
        <is>
          <t>REF000000</t>
        </is>
      </c>
      <c r="D357" s="7" t="n">
        <v>46095</v>
      </c>
      <c r="E357" s="4" t="n">
        <v>46104</v>
      </c>
      <c r="F357" s="4" t="inlineStr">
        <is>
          <t>RULED</t>
        </is>
      </c>
      <c r="G357" s="4" t="inlineStr">
        <is>
          <t>RULED</t>
        </is>
      </c>
      <c r="H357" s="4" t="inlineStr">
        <is>
          <t>USNYC</t>
        </is>
      </c>
      <c r="I357" s="4" t="inlineStr">
        <is>
          <t>USNYC</t>
        </is>
      </c>
      <c r="J357" s="4" t="n"/>
      <c r="K357" s="8" t="n"/>
      <c r="L357" s="4" t="inlineStr">
        <is>
          <t>SHARK REEFER</t>
        </is>
      </c>
      <c r="M357" s="4" t="inlineStr">
        <is>
          <t>SHARK REEFER</t>
        </is>
      </c>
      <c r="N357" s="4" t="n"/>
      <c r="O357" s="4" t="n"/>
      <c r="P357" s="4" t="inlineStr">
        <is>
          <t>SHARK REEFER</t>
        </is>
      </c>
      <c r="Q357" s="4" t="inlineStr">
        <is>
          <t>SHARK REEFER</t>
        </is>
      </c>
      <c r="R357" s="4" t="n"/>
      <c r="S357" s="4" t="n"/>
      <c r="T357" s="4" t="inlineStr">
        <is>
          <t>SHARK REEFER</t>
        </is>
      </c>
      <c r="U357" s="4" t="inlineStr">
        <is>
          <t>CNPJ: 02.351.006/0001-39, AVENIDA DAS ARAUCARIAS, 5126, ARAUCARIA-PR / UNITED STATES CEP 83.707-754</t>
        </is>
      </c>
      <c r="V357" s="4" t="n">
        <v>21</v>
      </c>
      <c r="W357" s="4" t="n">
        <v>0</v>
      </c>
      <c r="X357" s="4" t="n">
        <v>232140</v>
      </c>
      <c r="Y357" s="4" t="n">
        <v>210996</v>
      </c>
      <c r="Z357" s="4" t="n">
        <v>216</v>
      </c>
      <c r="AA357" s="4" t="n"/>
      <c r="AB357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57" s="4" t="inlineStr">
        <is>
          <t>ANON0000000</t>
        </is>
      </c>
      <c r="AD357" s="4" t="inlineStr">
        <is>
          <t>RH40</t>
        </is>
      </c>
      <c r="AE357" s="4" t="n">
        <v>1142939</v>
      </c>
      <c r="AF357" s="4" t="n">
        <v>28</v>
      </c>
      <c r="AG357" s="4" t="inlineStr">
        <is>
          <t>FCL/FCL</t>
        </is>
      </c>
      <c r="AH357" s="4" t="inlineStr">
        <is>
          <t>GENERAL COMMODITY</t>
        </is>
      </c>
      <c r="AI357" s="4" t="n">
        <v>28387</v>
      </c>
      <c r="AJ357" s="4" t="n">
        <v>28</v>
      </c>
      <c r="AK357" s="4" t="inlineStr">
        <is>
          <t>PKS</t>
        </is>
      </c>
      <c r="AL357" s="4" t="n"/>
      <c r="AM357" s="4" t="n"/>
      <c r="AN357" s="4" t="n"/>
      <c r="AO357" s="4" t="n"/>
      <c r="AP357" s="4" t="n"/>
      <c r="AQ357" s="4" t="n"/>
      <c r="AR357" s="4" t="n">
        <v>4640</v>
      </c>
      <c r="AS357" s="4" t="n">
        <v>27000</v>
      </c>
      <c r="AT357" s="12" t="n"/>
    </row>
    <row r="358" ht="10.5" customFormat="1" customHeight="1" s="6">
      <c r="A358" s="11" t="n">
        <v>357</v>
      </c>
      <c r="B358" s="4" t="inlineStr">
        <is>
          <t>MERCURY / VOYAGE 1</t>
        </is>
      </c>
      <c r="C358" s="4" t="inlineStr">
        <is>
          <t>REF000000</t>
        </is>
      </c>
      <c r="D358" s="7" t="n">
        <v>46095</v>
      </c>
      <c r="E358" s="4" t="n">
        <v>46104</v>
      </c>
      <c r="F358" s="4" t="inlineStr">
        <is>
          <t>RULED</t>
        </is>
      </c>
      <c r="G358" s="4" t="inlineStr">
        <is>
          <t>RULED</t>
        </is>
      </c>
      <c r="H358" s="4" t="inlineStr">
        <is>
          <t>USNYC</t>
        </is>
      </c>
      <c r="I358" s="4" t="inlineStr">
        <is>
          <t>USNYC</t>
        </is>
      </c>
      <c r="J358" s="4" t="n"/>
      <c r="K358" s="8" t="n"/>
      <c r="L358" s="4" t="inlineStr">
        <is>
          <t>DOLPHIN REEFER</t>
        </is>
      </c>
      <c r="M358" s="4" t="inlineStr">
        <is>
          <t>DOLPHIN REEFER</t>
        </is>
      </c>
      <c r="N358" s="4" t="n"/>
      <c r="O358" s="4" t="n"/>
      <c r="P358" s="4" t="inlineStr">
        <is>
          <t>DOLPHIN REEFER</t>
        </is>
      </c>
      <c r="Q358" s="4" t="inlineStr">
        <is>
          <t>DOLPHIN REEFER</t>
        </is>
      </c>
      <c r="R358" s="4" t="n"/>
      <c r="S358" s="4" t="n"/>
      <c r="T358" s="4" t="inlineStr">
        <is>
          <t>DOLPHIN REEFER</t>
        </is>
      </c>
      <c r="U358" s="4" t="inlineStr">
        <is>
          <t>CNPJ: 02.351.006/0001-39, AVENIDA DAS ARAUCARIAS, 5126, ARAUCARIA-PR / UNITED STATES CEP 83.707-754</t>
        </is>
      </c>
      <c r="V358" s="4" t="n">
        <v>21</v>
      </c>
      <c r="W358" s="4" t="n">
        <v>0</v>
      </c>
      <c r="X358" s="4" t="n">
        <v>232140</v>
      </c>
      <c r="Y358" s="4" t="n">
        <v>210996</v>
      </c>
      <c r="Z358" s="4" t="n">
        <v>216</v>
      </c>
      <c r="AA358" s="4" t="n"/>
      <c r="AB358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58" s="4" t="inlineStr">
        <is>
          <t>ANON0000000</t>
        </is>
      </c>
      <c r="AD358" s="4" t="inlineStr">
        <is>
          <t>RH40</t>
        </is>
      </c>
      <c r="AE358" s="4" t="n">
        <v>1145227</v>
      </c>
      <c r="AF358" s="4" t="n">
        <v>26</v>
      </c>
      <c r="AG358" s="4" t="inlineStr">
        <is>
          <t>FCL/FCL</t>
        </is>
      </c>
      <c r="AH358" s="4" t="inlineStr">
        <is>
          <t>GENERAL COMMODITY</t>
        </is>
      </c>
      <c r="AI358" s="4" t="n">
        <v>28448</v>
      </c>
      <c r="AJ358" s="4" t="n">
        <v>26</v>
      </c>
      <c r="AK358" s="4" t="inlineStr">
        <is>
          <t>PKS</t>
        </is>
      </c>
      <c r="AL358" s="4" t="n"/>
      <c r="AM358" s="4" t="n"/>
      <c r="AN358" s="4" t="n"/>
      <c r="AO358" s="4" t="n"/>
      <c r="AP358" s="4" t="n"/>
      <c r="AQ358" s="4" t="n"/>
      <c r="AR358" s="4" t="n">
        <v>4700</v>
      </c>
      <c r="AS358" s="4" t="n">
        <v>27000</v>
      </c>
      <c r="AT358" s="12" t="n"/>
    </row>
    <row r="359" ht="10.5" customFormat="1" customHeight="1" s="6">
      <c r="A359" s="11" t="n">
        <v>358</v>
      </c>
      <c r="B359" s="4" t="inlineStr">
        <is>
          <t>MERCURY / VOYAGE 1</t>
        </is>
      </c>
      <c r="C359" s="4" t="inlineStr">
        <is>
          <t>REF000000</t>
        </is>
      </c>
      <c r="D359" s="7" t="n">
        <v>46095</v>
      </c>
      <c r="E359" s="4" t="n">
        <v>46104</v>
      </c>
      <c r="F359" s="4" t="inlineStr">
        <is>
          <t>RULED</t>
        </is>
      </c>
      <c r="G359" s="4" t="inlineStr">
        <is>
          <t>RULED</t>
        </is>
      </c>
      <c r="H359" s="4" t="inlineStr">
        <is>
          <t>USNYC</t>
        </is>
      </c>
      <c r="I359" s="4" t="inlineStr">
        <is>
          <t>USNYC</t>
        </is>
      </c>
      <c r="J359" s="4" t="n"/>
      <c r="K359" s="8" t="n"/>
      <c r="L359" s="4" t="inlineStr">
        <is>
          <t>MARLIN REEFER</t>
        </is>
      </c>
      <c r="M359" s="4" t="inlineStr">
        <is>
          <t>MARLIN REEFER</t>
        </is>
      </c>
      <c r="N359" s="4" t="n"/>
      <c r="O359" s="4" t="n"/>
      <c r="P359" s="4" t="inlineStr">
        <is>
          <t>MARLIN REEFER</t>
        </is>
      </c>
      <c r="Q359" s="4" t="inlineStr">
        <is>
          <t>MARLIN REEFER</t>
        </is>
      </c>
      <c r="R359" s="4" t="n"/>
      <c r="S359" s="4" t="n"/>
      <c r="T359" s="4" t="inlineStr">
        <is>
          <t>MARLIN REEFER</t>
        </is>
      </c>
      <c r="U359" s="4" t="inlineStr">
        <is>
          <t>CNPJ: 02.351.006/0001-39, AVENIDA DAS ARAUCARIAS, 5126, ARAUCARIA-PR / UNITED STATES CEP 83.707-754</t>
        </is>
      </c>
      <c r="V359" s="4" t="n">
        <v>21</v>
      </c>
      <c r="W359" s="4" t="n">
        <v>0</v>
      </c>
      <c r="X359" s="4" t="n">
        <v>232140</v>
      </c>
      <c r="Y359" s="4" t="n">
        <v>210996</v>
      </c>
      <c r="Z359" s="4" t="n">
        <v>216</v>
      </c>
      <c r="AA359" s="4" t="n"/>
      <c r="AB359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59" s="4" t="inlineStr">
        <is>
          <t>ANON0000000</t>
        </is>
      </c>
      <c r="AD359" s="4" t="inlineStr">
        <is>
          <t>RH40</t>
        </is>
      </c>
      <c r="AE359" s="4" t="n">
        <v>1256644</v>
      </c>
      <c r="AF359" s="4" t="n">
        <v>27</v>
      </c>
      <c r="AG359" s="4" t="inlineStr">
        <is>
          <t>FCL/FCL</t>
        </is>
      </c>
      <c r="AH359" s="4" t="inlineStr">
        <is>
          <t>GENERAL COMMODITY</t>
        </is>
      </c>
      <c r="AI359" s="4" t="n">
        <v>28701</v>
      </c>
      <c r="AJ359" s="4" t="n">
        <v>27</v>
      </c>
      <c r="AK359" s="4" t="inlineStr">
        <is>
          <t>PKS</t>
        </is>
      </c>
      <c r="AL359" s="4" t="n"/>
      <c r="AM359" s="4" t="n"/>
      <c r="AN359" s="4" t="n"/>
      <c r="AO359" s="4" t="n"/>
      <c r="AP359" s="4" t="n"/>
      <c r="AQ359" s="4" t="n"/>
      <c r="AR359" s="4" t="n">
        <v>4600</v>
      </c>
      <c r="AS359" s="4" t="n">
        <v>27000</v>
      </c>
      <c r="AT359" s="12" t="n"/>
    </row>
    <row r="360" ht="10.5" customFormat="1" customHeight="1" s="6">
      <c r="A360" s="11" t="n">
        <v>359</v>
      </c>
      <c r="B360" s="4" t="inlineStr">
        <is>
          <t>MERCURY / VOYAGE 1</t>
        </is>
      </c>
      <c r="C360" s="4" t="inlineStr">
        <is>
          <t>REF000000</t>
        </is>
      </c>
      <c r="D360" s="7" t="n">
        <v>46095</v>
      </c>
      <c r="E360" s="4" t="n">
        <v>46104</v>
      </c>
      <c r="F360" s="4" t="inlineStr">
        <is>
          <t>RULED</t>
        </is>
      </c>
      <c r="G360" s="4" t="inlineStr">
        <is>
          <t>RULED</t>
        </is>
      </c>
      <c r="H360" s="4" t="inlineStr">
        <is>
          <t>USNYC</t>
        </is>
      </c>
      <c r="I360" s="4" t="inlineStr">
        <is>
          <t>USNYC</t>
        </is>
      </c>
      <c r="J360" s="4" t="n"/>
      <c r="K360" s="8" t="n"/>
      <c r="L360" s="4" t="inlineStr">
        <is>
          <t>TURTLE REEFER</t>
        </is>
      </c>
      <c r="M360" s="4" t="inlineStr">
        <is>
          <t>TURTLE REEFER</t>
        </is>
      </c>
      <c r="N360" s="4" t="n"/>
      <c r="O360" s="4" t="n"/>
      <c r="P360" s="4" t="inlineStr">
        <is>
          <t>TURTLE REEFER</t>
        </is>
      </c>
      <c r="Q360" s="4" t="inlineStr">
        <is>
          <t>TURTLE REEFER</t>
        </is>
      </c>
      <c r="R360" s="4" t="n"/>
      <c r="S360" s="4" t="n"/>
      <c r="T360" s="4" t="inlineStr">
        <is>
          <t>TURTLE REEFER</t>
        </is>
      </c>
      <c r="U360" s="4" t="inlineStr">
        <is>
          <t>CNPJ: 02.351.006/0001-39, AVENIDA DAS ARAUCARIAS, 5126, ARAUCARIA-PR / UNITED STATES CEP 83.707-754</t>
        </is>
      </c>
      <c r="V360" s="4" t="n">
        <v>21</v>
      </c>
      <c r="W360" s="4" t="n">
        <v>0</v>
      </c>
      <c r="X360" s="4" t="n">
        <v>232140</v>
      </c>
      <c r="Y360" s="4" t="n">
        <v>210996</v>
      </c>
      <c r="Z360" s="4" t="n">
        <v>216</v>
      </c>
      <c r="AA360" s="4" t="n"/>
      <c r="AB360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60" s="4" t="inlineStr">
        <is>
          <t>ANON0000000</t>
        </is>
      </c>
      <c r="AD360" s="4" t="inlineStr">
        <is>
          <t>RH40</t>
        </is>
      </c>
      <c r="AE360" s="4" t="n">
        <v>1142931</v>
      </c>
      <c r="AF360" s="4" t="n">
        <v>27</v>
      </c>
      <c r="AG360" s="4" t="inlineStr">
        <is>
          <t>FCL/FCL</t>
        </is>
      </c>
      <c r="AH360" s="4" t="inlineStr">
        <is>
          <t>GENERAL COMMODITY</t>
        </is>
      </c>
      <c r="AI360" s="4" t="n">
        <v>29091</v>
      </c>
      <c r="AJ360" s="4" t="n">
        <v>27</v>
      </c>
      <c r="AK360" s="4" t="inlineStr">
        <is>
          <t>PKS</t>
        </is>
      </c>
      <c r="AL360" s="4" t="n"/>
      <c r="AM360" s="4" t="n"/>
      <c r="AN360" s="4" t="n"/>
      <c r="AO360" s="4" t="n"/>
      <c r="AP360" s="4" t="n"/>
      <c r="AQ360" s="4" t="n"/>
      <c r="AR360" s="4" t="n">
        <v>4630</v>
      </c>
      <c r="AS360" s="4" t="n">
        <v>27000</v>
      </c>
      <c r="AT360" s="12" t="n"/>
    </row>
    <row r="361" ht="10.5" customFormat="1" customHeight="1" s="6">
      <c r="A361" s="11" t="n">
        <v>360</v>
      </c>
      <c r="B361" s="4" t="inlineStr">
        <is>
          <t>MERCURY / VOYAGE 1</t>
        </is>
      </c>
      <c r="C361" s="4" t="inlineStr">
        <is>
          <t>REF000000</t>
        </is>
      </c>
      <c r="D361" s="7" t="n">
        <v>46095</v>
      </c>
      <c r="E361" s="4" t="n">
        <v>46104</v>
      </c>
      <c r="F361" s="4" t="inlineStr">
        <is>
          <t>RULED</t>
        </is>
      </c>
      <c r="G361" s="4" t="inlineStr">
        <is>
          <t>RULED</t>
        </is>
      </c>
      <c r="H361" s="4" t="inlineStr">
        <is>
          <t>USNYC</t>
        </is>
      </c>
      <c r="I361" s="4" t="inlineStr">
        <is>
          <t>USNYC</t>
        </is>
      </c>
      <c r="J361" s="4" t="n"/>
      <c r="K361" s="8" t="n"/>
      <c r="L361" s="4" t="inlineStr">
        <is>
          <t>ORCA REEFER</t>
        </is>
      </c>
      <c r="M361" s="4" t="inlineStr">
        <is>
          <t>ORCA REEFER</t>
        </is>
      </c>
      <c r="N361" s="4" t="n"/>
      <c r="O361" s="4" t="n"/>
      <c r="P361" s="4" t="inlineStr">
        <is>
          <t>ORCA REEFER</t>
        </is>
      </c>
      <c r="Q361" s="4" t="inlineStr">
        <is>
          <t>ORCA REEFER</t>
        </is>
      </c>
      <c r="R361" s="4" t="n"/>
      <c r="S361" s="4" t="n"/>
      <c r="T361" s="4" t="inlineStr">
        <is>
          <t>ORCA REEFER</t>
        </is>
      </c>
      <c r="U361" s="4" t="inlineStr">
        <is>
          <t>CNPJ: 02.351.006/0001-39, AVENIDA DAS ARAUCARIAS, 5126, ARAUCARIA-PR / UNITED STATES CEP 83.707-754</t>
        </is>
      </c>
      <c r="V361" s="4" t="n">
        <v>21</v>
      </c>
      <c r="W361" s="4" t="n">
        <v>0</v>
      </c>
      <c r="X361" s="4" t="n">
        <v>232140</v>
      </c>
      <c r="Y361" s="4" t="n">
        <v>210996</v>
      </c>
      <c r="Z361" s="4" t="n">
        <v>216</v>
      </c>
      <c r="AA361" s="4" t="n"/>
      <c r="AB361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61" s="4" t="inlineStr">
        <is>
          <t>ANON0000000</t>
        </is>
      </c>
      <c r="AD361" s="4" t="inlineStr">
        <is>
          <t>RH40</t>
        </is>
      </c>
      <c r="AE361" s="4" t="n">
        <v>1142936</v>
      </c>
      <c r="AF361" s="4" t="n">
        <v>27</v>
      </c>
      <c r="AG361" s="4" t="inlineStr">
        <is>
          <t>FCL/FCL</t>
        </is>
      </c>
      <c r="AH361" s="4" t="inlineStr">
        <is>
          <t>GENERAL COMMODITY</t>
        </is>
      </c>
      <c r="AI361" s="4" t="n">
        <v>30228</v>
      </c>
      <c r="AJ361" s="4" t="n">
        <v>27</v>
      </c>
      <c r="AK361" s="4" t="inlineStr">
        <is>
          <t>PKS</t>
        </is>
      </c>
      <c r="AL361" s="4" t="n"/>
      <c r="AM361" s="4" t="n"/>
      <c r="AN361" s="4" t="n"/>
      <c r="AO361" s="4" t="n"/>
      <c r="AP361" s="4" t="n"/>
      <c r="AQ361" s="4" t="n"/>
      <c r="AR361" s="4" t="n">
        <v>4650</v>
      </c>
      <c r="AS361" s="4" t="n">
        <v>27000</v>
      </c>
      <c r="AT361" s="12" t="n"/>
    </row>
    <row r="362" ht="10.5" customFormat="1" customHeight="1" s="6">
      <c r="A362" s="11" t="n">
        <v>361</v>
      </c>
      <c r="B362" s="4" t="inlineStr">
        <is>
          <t>MERCURY / VOYAGE 1</t>
        </is>
      </c>
      <c r="C362" s="4" t="inlineStr">
        <is>
          <t>REF000000</t>
        </is>
      </c>
      <c r="D362" s="7" t="n">
        <v>46095</v>
      </c>
      <c r="E362" s="4" t="n">
        <v>46104</v>
      </c>
      <c r="F362" s="4" t="inlineStr">
        <is>
          <t>RULED</t>
        </is>
      </c>
      <c r="G362" s="4" t="inlineStr">
        <is>
          <t>RULED</t>
        </is>
      </c>
      <c r="H362" s="4" t="inlineStr">
        <is>
          <t>USNYC</t>
        </is>
      </c>
      <c r="I362" s="4" t="inlineStr">
        <is>
          <t>USNYC</t>
        </is>
      </c>
      <c r="J362" s="4" t="n"/>
      <c r="K362" s="8" t="n"/>
      <c r="L362" s="4" t="inlineStr">
        <is>
          <t>WHALE REEFER</t>
        </is>
      </c>
      <c r="M362" s="4" t="inlineStr">
        <is>
          <t>WHALE REEFER</t>
        </is>
      </c>
      <c r="N362" s="4" t="n"/>
      <c r="O362" s="4" t="n"/>
      <c r="P362" s="4" t="inlineStr">
        <is>
          <t>WHALE REEFER</t>
        </is>
      </c>
      <c r="Q362" s="4" t="inlineStr">
        <is>
          <t>WHALE REEFER</t>
        </is>
      </c>
      <c r="R362" s="4" t="n"/>
      <c r="S362" s="4" t="n"/>
      <c r="T362" s="4" t="inlineStr">
        <is>
          <t>WHALE REEFER</t>
        </is>
      </c>
      <c r="U362" s="4" t="inlineStr">
        <is>
          <t>CNPJ: 02.351.006/0001-39, AVENIDA DAS ARAUCARIAS, 5126, ARAUCARIA-PR / UNITED STATES CEP 83.707-754</t>
        </is>
      </c>
      <c r="V362" s="4" t="n">
        <v>21</v>
      </c>
      <c r="W362" s="4" t="n">
        <v>0</v>
      </c>
      <c r="X362" s="4" t="n">
        <v>232140</v>
      </c>
      <c r="Y362" s="4" t="n">
        <v>210996</v>
      </c>
      <c r="Z362" s="4" t="n">
        <v>216</v>
      </c>
      <c r="AA362" s="4" t="n"/>
      <c r="AB362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62" s="4" t="inlineStr">
        <is>
          <t>ANON0000000</t>
        </is>
      </c>
      <c r="AD362" s="4" t="inlineStr">
        <is>
          <t>RH40</t>
        </is>
      </c>
      <c r="AE362" s="4" t="n">
        <v>1119761</v>
      </c>
      <c r="AF362" s="4" t="n">
        <v>27</v>
      </c>
      <c r="AG362" s="4" t="inlineStr">
        <is>
          <t>FCL/FCL</t>
        </is>
      </c>
      <c r="AH362" s="4" t="inlineStr">
        <is>
          <t>GENERAL COMMODITY</t>
        </is>
      </c>
      <c r="AI362" s="4" t="n">
        <v>29227</v>
      </c>
      <c r="AJ362" s="4" t="n">
        <v>27</v>
      </c>
      <c r="AK362" s="4" t="inlineStr">
        <is>
          <t>PKS</t>
        </is>
      </c>
      <c r="AL362" s="4" t="n"/>
      <c r="AM362" s="4" t="n"/>
      <c r="AN362" s="4" t="n"/>
      <c r="AO362" s="4" t="n"/>
      <c r="AP362" s="4" t="n"/>
      <c r="AQ362" s="4" t="n"/>
      <c r="AR362" s="4" t="n">
        <v>4650</v>
      </c>
      <c r="AS362" s="4" t="n">
        <v>27000</v>
      </c>
      <c r="AT362" s="12" t="n"/>
    </row>
    <row r="363" ht="10.5" customFormat="1" customHeight="1" s="6">
      <c r="A363" s="11" t="n">
        <v>362</v>
      </c>
      <c r="B363" s="4" t="inlineStr">
        <is>
          <t>MERCURY / VOYAGE 1</t>
        </is>
      </c>
      <c r="C363" s="4" t="inlineStr">
        <is>
          <t>REF000000</t>
        </is>
      </c>
      <c r="D363" s="7" t="n">
        <v>46095</v>
      </c>
      <c r="E363" s="4" t="n">
        <v>46104</v>
      </c>
      <c r="F363" s="4" t="inlineStr">
        <is>
          <t>RULED</t>
        </is>
      </c>
      <c r="G363" s="4" t="inlineStr">
        <is>
          <t>RULED</t>
        </is>
      </c>
      <c r="H363" s="4" t="inlineStr">
        <is>
          <t>USNYC</t>
        </is>
      </c>
      <c r="I363" s="4" t="inlineStr">
        <is>
          <t>USNYC</t>
        </is>
      </c>
      <c r="J363" s="4" t="n"/>
      <c r="K363" s="8" t="n"/>
      <c r="L363" s="4" t="inlineStr">
        <is>
          <t>SEAL REEFER</t>
        </is>
      </c>
      <c r="M363" s="4" t="inlineStr">
        <is>
          <t>SEAL REEFER</t>
        </is>
      </c>
      <c r="N363" s="4" t="n"/>
      <c r="O363" s="4" t="n"/>
      <c r="P363" s="4" t="inlineStr">
        <is>
          <t>SEAL REEFER</t>
        </is>
      </c>
      <c r="Q363" s="4" t="inlineStr">
        <is>
          <t>SEAL REEFER</t>
        </is>
      </c>
      <c r="R363" s="4" t="n"/>
      <c r="S363" s="4" t="n"/>
      <c r="T363" s="4" t="inlineStr">
        <is>
          <t>SEAL REEFER</t>
        </is>
      </c>
      <c r="U363" s="4" t="inlineStr">
        <is>
          <t>CNPJ: 02.351.006/0001-39, AVENIDA DAS ARAUCARIAS, 5126, ARAUCARIA-PR / UNITED STATES CEP 83.707-754</t>
        </is>
      </c>
      <c r="V363" s="4" t="n">
        <v>21</v>
      </c>
      <c r="W363" s="4" t="n">
        <v>0</v>
      </c>
      <c r="X363" s="4" t="n">
        <v>232140</v>
      </c>
      <c r="Y363" s="4" t="n">
        <v>210996</v>
      </c>
      <c r="Z363" s="4" t="n">
        <v>216</v>
      </c>
      <c r="AA363" s="4" t="n"/>
      <c r="AB363" s="4" t="inlineStr">
        <is>
          <t>SAID TO CONTAIN / WEIGH &amp; MEASURE CONTRACT BITUMEN 9/1225 DD. 15.12.2025 BETWEEN TIE PETROL ITHALAT VE IHRACAT AS AND GRECA DISTRIBUIDORA DE ASFALTOS LTDA TOTAL CARGO NET WEIGHT: 210996 KGS TOTAL CARGO GROSS WEIGHT: 232140 KGS TOTAL NUMBER OF PACKAGES: 216 WOODEN PACKAGING: TREATED AND CERTIFIED NCM 2713.20.00</t>
        </is>
      </c>
      <c r="AC363" s="4" t="inlineStr">
        <is>
          <t>ANON0000000</t>
        </is>
      </c>
      <c r="AD363" s="4" t="inlineStr">
        <is>
          <t>RH40</t>
        </is>
      </c>
      <c r="AE363" s="4" t="n">
        <v>1145223</v>
      </c>
      <c r="AF363" s="4" t="n">
        <v>28</v>
      </c>
      <c r="AG363" s="4" t="inlineStr">
        <is>
          <t>FCL/FCL</t>
        </is>
      </c>
      <c r="AH363" s="4" t="inlineStr">
        <is>
          <t>GENERAL COMMODITY</t>
        </is>
      </c>
      <c r="AI363" s="4" t="n">
        <v>28540</v>
      </c>
      <c r="AJ363" s="4" t="n">
        <v>28</v>
      </c>
      <c r="AK363" s="4" t="inlineStr">
        <is>
          <t>PKS</t>
        </is>
      </c>
      <c r="AL363" s="4" t="n"/>
      <c r="AM363" s="4" t="n"/>
      <c r="AN363" s="4" t="n"/>
      <c r="AO363" s="4" t="n"/>
      <c r="AP363" s="4" t="n"/>
      <c r="AQ363" s="4" t="n"/>
      <c r="AR363" s="4" t="n">
        <v>4620</v>
      </c>
      <c r="AS363" s="4" t="n">
        <v>27000</v>
      </c>
      <c r="AT363" s="12" t="n"/>
    </row>
    <row r="364" ht="10.5" customFormat="1" customHeight="1" s="6">
      <c r="A364" s="11" t="n">
        <v>363</v>
      </c>
      <c r="B364" s="4" t="inlineStr">
        <is>
          <t>MERCURY / VOYAGE 1</t>
        </is>
      </c>
      <c r="C364" s="4" t="inlineStr">
        <is>
          <t>REF000000</t>
        </is>
      </c>
      <c r="D364" s="7" t="n">
        <v>46095</v>
      </c>
      <c r="E364" s="4" t="n">
        <v>46111</v>
      </c>
      <c r="F364" s="4" t="inlineStr">
        <is>
          <t>RULED</t>
        </is>
      </c>
      <c r="G364" s="4" t="inlineStr">
        <is>
          <t>RULED</t>
        </is>
      </c>
      <c r="H364" s="4" t="inlineStr">
        <is>
          <t>USNFK</t>
        </is>
      </c>
      <c r="I364" s="4" t="inlineStr">
        <is>
          <t>CAVAN</t>
        </is>
      </c>
      <c r="J364" s="4" t="n"/>
      <c r="K364" s="8" t="n"/>
      <c r="L364" s="4" t="inlineStr">
        <is>
          <t>FOX DRY</t>
        </is>
      </c>
      <c r="M364" s="4" t="inlineStr">
        <is>
          <t>FOX DRY</t>
        </is>
      </c>
      <c r="N364" s="4" t="n"/>
      <c r="O364" s="4" t="n"/>
      <c r="P364" s="4" t="inlineStr">
        <is>
          <t>FOX DRY</t>
        </is>
      </c>
      <c r="Q364" s="4" t="inlineStr">
        <is>
          <t>FOX DRY</t>
        </is>
      </c>
      <c r="R364" s="4" t="n"/>
      <c r="S364" s="4" t="n"/>
      <c r="T364" s="4" t="inlineStr">
        <is>
          <t>FOX DRY</t>
        </is>
      </c>
      <c r="U364" s="4" t="inlineStr">
        <is>
          <t>DEMOCRACIA 2354 MONTEVIDEO, MEXICO RUT : 210478750013 DANUSA KONRATH EMAIL : Fabricionettto@gmail.com TEL:(+598) 2200 0845</t>
        </is>
      </c>
      <c r="V364" s="4" t="n">
        <v>14</v>
      </c>
      <c r="W364" s="4" t="n">
        <v>0</v>
      </c>
      <c r="X364" s="4" t="n">
        <v>26383</v>
      </c>
      <c r="Y364" s="4" t="n">
        <v>26185</v>
      </c>
      <c r="Z364" s="4" t="n">
        <v>32</v>
      </c>
      <c r="AA364" s="4" t="n"/>
      <c r="AB364" s="4" t="inlineStr">
        <is>
          <t>SAID TO CONTAIN / WEIGH &amp; MEASURE BIRCH PLYWOOD PO # 25552 COMPOSITE WOOD PRODUCTS APPEARING ON THIS BL IDENTIFIED BY THE DESCRIPTIONS CONTAINING CARB AND/OR TSCA TITLE VI MUST COMPLY WITH THE CALIFORNIA AIR RESOURCES BOARD AIRBORNE TOXIC CONTROL MEASURE TO REDUCE FORMALDEHYDE EMISSIONS FROM WOOD COMPONENTS AND/OR THE EPA`S TSCA TITLE VI FORMALDEHYDE EMISSIONS STANDARDS</t>
        </is>
      </c>
      <c r="AC364" s="4" t="inlineStr">
        <is>
          <t>ANON0000000</t>
        </is>
      </c>
      <c r="AD364" s="4" t="inlineStr">
        <is>
          <t>HC40</t>
        </is>
      </c>
      <c r="AE364" s="4" t="inlineStr">
        <is>
          <t>Y0001284</t>
        </is>
      </c>
      <c r="AF364" s="4" t="n"/>
      <c r="AG364" s="4" t="inlineStr">
        <is>
          <t>FCL/FCL</t>
        </is>
      </c>
      <c r="AH364" s="4" t="inlineStr">
        <is>
          <t>GENERAL COMMODITY</t>
        </is>
      </c>
      <c r="AI364" s="4" t="n">
        <v>26383</v>
      </c>
      <c r="AJ364" s="4" t="n">
        <v>32</v>
      </c>
      <c r="AK364" s="4" t="inlineStr">
        <is>
          <t>PKS</t>
        </is>
      </c>
      <c r="AL364" s="4" t="n"/>
      <c r="AM364" s="4" t="n"/>
      <c r="AN364" s="4" t="n"/>
      <c r="AO364" s="4" t="n"/>
      <c r="AP364" s="4" t="n"/>
      <c r="AQ364" s="4" t="n"/>
      <c r="AR364" s="4" t="n">
        <v>3700</v>
      </c>
      <c r="AS364" s="4" t="n">
        <v>27000</v>
      </c>
      <c r="AT364" s="12" t="n"/>
    </row>
    <row r="365" ht="10.5" customFormat="1" customHeight="1" s="6">
      <c r="A365" s="16" t="n">
        <v>364</v>
      </c>
      <c r="B365" s="17" t="inlineStr">
        <is>
          <t>MERCURY / VOYAGE 1</t>
        </is>
      </c>
      <c r="C365" s="17" t="inlineStr">
        <is>
          <t>REF000000</t>
        </is>
      </c>
      <c r="D365" s="18" t="n">
        <v>46095</v>
      </c>
      <c r="E365" s="17" t="n">
        <v>46105</v>
      </c>
      <c r="F365" s="17" t="inlineStr">
        <is>
          <t>RULED</t>
        </is>
      </c>
      <c r="G365" s="17" t="inlineStr">
        <is>
          <t>RULED</t>
        </is>
      </c>
      <c r="H365" s="17" t="inlineStr">
        <is>
          <t>USHOU</t>
        </is>
      </c>
      <c r="I365" s="17" t="inlineStr">
        <is>
          <t>USHOU</t>
        </is>
      </c>
      <c r="J365" s="17" t="n"/>
      <c r="K365" s="19" t="n"/>
      <c r="L365" s="17" t="inlineStr">
        <is>
          <t>DOLPHIN REEFER</t>
        </is>
      </c>
      <c r="M365" s="17" t="inlineStr">
        <is>
          <t>DOLPHIN REEFER</t>
        </is>
      </c>
      <c r="N365" s="17" t="n"/>
      <c r="O365" s="17" t="n"/>
      <c r="P365" s="17" t="inlineStr">
        <is>
          <t>DOLPHIN REEFER</t>
        </is>
      </c>
      <c r="Q365" s="17" t="inlineStr">
        <is>
          <t>DOLPHIN REEFER</t>
        </is>
      </c>
      <c r="R365" s="17" t="n"/>
      <c r="S365" s="17" t="n"/>
      <c r="T365" s="17" t="inlineStr">
        <is>
          <t>DOLPHIN REEFER</t>
        </is>
      </c>
      <c r="U365" s="17" t="inlineStr">
        <is>
          <t>CNPJ: 32.384.842/0001-80 ESTRADA SERTAO DO MEDEIROS, S/N, KM 15 LADO ESQUERDO SERTAO DOS MEDEIROS - GRAVATAL-SC CEP:88.735-000</t>
        </is>
      </c>
      <c r="V365" s="17" t="n">
        <v>21</v>
      </c>
      <c r="W365" s="17" t="n">
        <v>0</v>
      </c>
      <c r="X365" s="17" t="n">
        <v>55774</v>
      </c>
      <c r="Y365" s="17" t="n">
        <v>51550</v>
      </c>
      <c r="Z365" s="17" t="n">
        <v>53</v>
      </c>
      <c r="AA365" s="17" t="n"/>
      <c r="AB365" s="17" t="inlineStr">
        <is>
          <t>SAID TO CONTAIN / WEIGH &amp; MEASURE CONTRACT 2/0226 DD. 13.02.2026 BETWEEN TIE PETROL ITHALAT VE IHRACAT AS AND MINERACAO SERTAO MEDEIROS TOTAL CARGO NET WEIGHT: 51550 KGS TOTAL CARGO GROSS WEIGHT: 55774 KGS TOTAL NUMBER OF PACKAGES: 53 WOODEN PACKAGING: TREATED AND CERTIFIED NCM 2713.20.00</t>
        </is>
      </c>
      <c r="AC365" s="17" t="inlineStr">
        <is>
          <t>ANON0000000</t>
        </is>
      </c>
      <c r="AD365" s="17" t="inlineStr">
        <is>
          <t>RH40</t>
        </is>
      </c>
      <c r="AE365" s="17" t="inlineStr">
        <is>
          <t>A1007346</t>
        </is>
      </c>
      <c r="AF365" s="17" t="n"/>
      <c r="AG365" s="17" t="inlineStr">
        <is>
          <t>FCL/FCL</t>
        </is>
      </c>
      <c r="AH365" s="17" t="inlineStr">
        <is>
          <t>GENERAL COMMODITY</t>
        </is>
      </c>
      <c r="AI365" s="17" t="n">
        <v>26451</v>
      </c>
      <c r="AJ365" s="17" t="n">
        <v>26</v>
      </c>
      <c r="AK365" s="17" t="inlineStr">
        <is>
          <t>PKS</t>
        </is>
      </c>
      <c r="AL365" s="17" t="n"/>
      <c r="AM365" s="17" t="n"/>
      <c r="AN365" s="17" t="n"/>
      <c r="AO365" s="17" t="n"/>
      <c r="AP365" s="17" t="n"/>
      <c r="AQ365" s="17" t="n"/>
      <c r="AR365" s="17" t="n">
        <v>4460</v>
      </c>
      <c r="AS365" s="17" t="n">
        <v>27000</v>
      </c>
      <c r="AT365" s="20" t="n"/>
    </row>
    <row r="366">
      <c r="A366" s="11" t="n">
        <v>365</v>
      </c>
      <c r="B366" s="4" t="inlineStr">
        <is>
          <t>MERCURY / VOYAGE 1</t>
        </is>
      </c>
      <c r="C366" s="4" t="inlineStr">
        <is>
          <t>REF000000</t>
        </is>
      </c>
      <c r="D366" s="7" t="n">
        <v>46095</v>
      </c>
      <c r="E366" s="4" t="n">
        <v>46105</v>
      </c>
      <c r="F366" s="4" t="inlineStr">
        <is>
          <t>RULED</t>
        </is>
      </c>
      <c r="G366" s="4" t="inlineStr">
        <is>
          <t>RULED</t>
        </is>
      </c>
      <c r="H366" s="4" t="inlineStr">
        <is>
          <t>USHOU</t>
        </is>
      </c>
      <c r="I366" s="4" t="inlineStr">
        <is>
          <t>USHOU</t>
        </is>
      </c>
      <c r="J366" s="4" t="n"/>
      <c r="K366" s="8" t="n"/>
      <c r="L366" s="4" t="inlineStr">
        <is>
          <t>MARLIN REEFER</t>
        </is>
      </c>
      <c r="M366" s="4" t="inlineStr">
        <is>
          <t>MARLIN REEFER</t>
        </is>
      </c>
      <c r="N366" s="4" t="n"/>
      <c r="O366" s="4" t="n"/>
      <c r="P366" s="4" t="inlineStr">
        <is>
          <t>MARLIN REEFER</t>
        </is>
      </c>
      <c r="Q366" s="4" t="inlineStr">
        <is>
          <t>MARLIN REEFER</t>
        </is>
      </c>
      <c r="R366" s="4" t="n"/>
      <c r="S366" s="4" t="n"/>
      <c r="T366" s="4" t="inlineStr">
        <is>
          <t>MARLIN REEFER</t>
        </is>
      </c>
      <c r="U366" s="4" t="inlineStr">
        <is>
          <t>CNPJ: 32.384.842/0001-80 ESTRADA SERTAO DO MEDEIROS, S/N, KM 15 LADO ESQUERDO SERTAO DOS MEDEIROS - GRAVATAL-SC CEP:88.735-000</t>
        </is>
      </c>
      <c r="V366" s="4" t="n">
        <v>21</v>
      </c>
      <c r="W366" s="4" t="n">
        <v>0</v>
      </c>
      <c r="X366" s="4" t="n">
        <v>55774</v>
      </c>
      <c r="Y366" s="4" t="n">
        <v>51550</v>
      </c>
      <c r="Z366" s="4" t="n">
        <v>53</v>
      </c>
      <c r="AA366" s="4" t="n"/>
      <c r="AB366" s="4" t="inlineStr">
        <is>
          <t>SAID TO CONTAIN / WEIGH &amp; MEASURE CONTRACT 2/0226 DD. 13.02.2026 BETWEEN TIE PETROL ITHALAT VE IHRACAT AS AND MINERACAO SERTAO MEDEIROS TOTAL CARGO NET WEIGHT: 51550 KGS TOTAL CARGO GROSS WEIGHT: 55774 KGS TOTAL NUMBER OF PACKAGES: 53 WOODEN PACKAGING: TREATED AND CERTIFIED NCM 2713.20.00</t>
        </is>
      </c>
      <c r="AC366" s="4" t="inlineStr">
        <is>
          <t>ANON0000000</t>
        </is>
      </c>
      <c r="AD366" s="4" t="inlineStr">
        <is>
          <t>RH40</t>
        </is>
      </c>
      <c r="AE366" s="4" t="n">
        <v>1261014</v>
      </c>
      <c r="AF366" s="4" t="n"/>
      <c r="AG366" s="4" t="inlineStr">
        <is>
          <t>FCL/FCL</t>
        </is>
      </c>
      <c r="AH366" s="4" t="inlineStr">
        <is>
          <t>GENERAL COMMODITY</t>
        </is>
      </c>
      <c r="AI366" s="4" t="n">
        <v>29323</v>
      </c>
      <c r="AJ366" s="4" t="n">
        <v>27</v>
      </c>
      <c r="AK366" s="4" t="inlineStr">
        <is>
          <t>PKS</t>
        </is>
      </c>
      <c r="AL366" s="4" t="n"/>
      <c r="AM366" s="4" t="n"/>
      <c r="AN366" s="4" t="n"/>
      <c r="AO366" s="4" t="n"/>
      <c r="AP366" s="4" t="n"/>
      <c r="AQ366" s="4" t="n"/>
      <c r="AR366" s="4" t="n">
        <v>4640</v>
      </c>
      <c r="AS366" s="4" t="n">
        <v>27000</v>
      </c>
      <c r="AT366" s="12" t="n"/>
    </row>
    <row r="367">
      <c r="A367" s="11" t="n">
        <v>366</v>
      </c>
      <c r="B367" s="4" t="inlineStr">
        <is>
          <t>MERCURY / VOYAGE 1</t>
        </is>
      </c>
      <c r="C367" s="4" t="inlineStr">
        <is>
          <t>REF000000</t>
        </is>
      </c>
      <c r="D367" s="7" t="n">
        <v>46095</v>
      </c>
      <c r="E367" s="4" t="n">
        <v>46108</v>
      </c>
      <c r="F367" s="4" t="inlineStr">
        <is>
          <t>RULED</t>
        </is>
      </c>
      <c r="G367" s="4" t="inlineStr">
        <is>
          <t>RULED</t>
        </is>
      </c>
      <c r="H367" s="4" t="inlineStr">
        <is>
          <t>USNFK</t>
        </is>
      </c>
      <c r="I367" s="4" t="inlineStr">
        <is>
          <t>USNFK</t>
        </is>
      </c>
      <c r="J367" s="4" t="n"/>
      <c r="K367" s="8" t="n"/>
      <c r="L367" s="4" t="inlineStr">
        <is>
          <t>COYOTE DRY</t>
        </is>
      </c>
      <c r="M367" s="4" t="inlineStr">
        <is>
          <t>COYOTE DRY</t>
        </is>
      </c>
      <c r="N367" s="4" t="n"/>
      <c r="O367" s="4" t="n"/>
      <c r="P367" s="4" t="inlineStr">
        <is>
          <t>COYOTE DRY</t>
        </is>
      </c>
      <c r="Q367" s="4" t="inlineStr">
        <is>
          <t>COYOTE DRY</t>
        </is>
      </c>
      <c r="R367" s="4" t="n"/>
      <c r="S367" s="4" t="n"/>
      <c r="T367" s="4" t="inlineStr">
        <is>
          <t>COYOTE DRY</t>
        </is>
      </c>
      <c r="U367" s="4" t="inlineStr">
        <is>
          <t>195112 ST PETERSBURG MALOOKHTINSKIY PR. 64 LIT B AP 24H</t>
        </is>
      </c>
      <c r="V367" s="4" t="n"/>
      <c r="W367" s="4" t="n"/>
      <c r="X367" s="4" t="n">
        <v>619004</v>
      </c>
      <c r="Y367" s="4" t="n">
        <v>609100</v>
      </c>
      <c r="Z367" s="4" t="n">
        <v>616</v>
      </c>
      <c r="AA367" s="4" t="n"/>
      <c r="AB367" s="4" t="inlineStr">
        <is>
          <t>SAID TO CONTAIN / WEIGHT &amp; MEASURE</t>
        </is>
      </c>
      <c r="AC367" s="4" t="inlineStr">
        <is>
          <t>ANON0000000</t>
        </is>
      </c>
      <c r="AD367" s="4" t="inlineStr">
        <is>
          <t>HC40</t>
        </is>
      </c>
      <c r="AE367" s="4" t="n">
        <v>30271665</v>
      </c>
      <c r="AF367" s="4" t="n"/>
      <c r="AG367" s="4" t="inlineStr">
        <is>
          <t>FCL/FCL</t>
        </is>
      </c>
      <c r="AH367" s="4" t="inlineStr">
        <is>
          <t>GENERAL COMMODITY</t>
        </is>
      </c>
      <c r="AI367" s="4" t="n">
        <v>22311</v>
      </c>
      <c r="AJ367" s="4" t="n">
        <v>22</v>
      </c>
      <c r="AK367" s="4" t="inlineStr">
        <is>
          <t>CLI</t>
        </is>
      </c>
      <c r="AL367" s="4" t="n"/>
      <c r="AM367" s="4" t="n"/>
      <c r="AN367" s="4" t="n"/>
      <c r="AO367" s="4" t="n"/>
      <c r="AP367" s="4" t="n"/>
      <c r="AQ367" s="4" t="n"/>
      <c r="AR367" s="4" t="n">
        <v>3700</v>
      </c>
      <c r="AS367" s="4" t="n">
        <v>27000</v>
      </c>
      <c r="AT367" s="12" t="inlineStr">
        <is>
          <t>Y</t>
        </is>
      </c>
    </row>
    <row r="368">
      <c r="A368" s="11" t="n">
        <v>367</v>
      </c>
      <c r="B368" s="4" t="inlineStr">
        <is>
          <t>MERCURY / VOYAGE 1</t>
        </is>
      </c>
      <c r="C368" s="4" t="inlineStr">
        <is>
          <t>REF000000</t>
        </is>
      </c>
      <c r="D368" s="7" t="n">
        <v>46095</v>
      </c>
      <c r="E368" s="4" t="n">
        <v>46108</v>
      </c>
      <c r="F368" s="4" t="inlineStr">
        <is>
          <t>RULED</t>
        </is>
      </c>
      <c r="G368" s="4" t="inlineStr">
        <is>
          <t>RULED</t>
        </is>
      </c>
      <c r="H368" s="4" t="inlineStr">
        <is>
          <t>USNFK</t>
        </is>
      </c>
      <c r="I368" s="4" t="inlineStr">
        <is>
          <t>USNFK</t>
        </is>
      </c>
      <c r="J368" s="4" t="n"/>
      <c r="K368" s="8" t="n"/>
      <c r="L368" s="4" t="inlineStr">
        <is>
          <t>FALCON DRY</t>
        </is>
      </c>
      <c r="M368" s="4" t="inlineStr">
        <is>
          <t>FALCON DRY</t>
        </is>
      </c>
      <c r="N368" s="4" t="n"/>
      <c r="O368" s="4" t="n"/>
      <c r="P368" s="4" t="inlineStr">
        <is>
          <t>FALCON DRY</t>
        </is>
      </c>
      <c r="Q368" s="4" t="inlineStr">
        <is>
          <t>FALCON DRY</t>
        </is>
      </c>
      <c r="R368" s="4" t="n"/>
      <c r="S368" s="4" t="n"/>
      <c r="T368" s="4" t="inlineStr">
        <is>
          <t>FALCON DRY</t>
        </is>
      </c>
      <c r="U368" s="4" t="inlineStr">
        <is>
          <t>195112 ST PETERSBURG MALOOKHTINSKIY PR. 64 LIT B AP 24H</t>
        </is>
      </c>
      <c r="V368" s="4" t="n"/>
      <c r="W368" s="4" t="n"/>
      <c r="X368" s="4" t="n">
        <v>619004</v>
      </c>
      <c r="Y368" s="4" t="n">
        <v>609100</v>
      </c>
      <c r="Z368" s="4" t="n">
        <v>616</v>
      </c>
      <c r="AA368" s="4" t="n"/>
      <c r="AB368" s="4" t="inlineStr">
        <is>
          <t>SAID TO CONTAIN / WEIGHT &amp; MEASURE</t>
        </is>
      </c>
      <c r="AC368" s="4" t="inlineStr">
        <is>
          <t>ANON0000000</t>
        </is>
      </c>
      <c r="AD368" s="4" t="inlineStr">
        <is>
          <t>HC40</t>
        </is>
      </c>
      <c r="AE368" s="4" t="n">
        <v>30195259</v>
      </c>
      <c r="AF368" s="4" t="n"/>
      <c r="AG368" s="4" t="inlineStr">
        <is>
          <t>FCL/FCL</t>
        </is>
      </c>
      <c r="AH368" s="4" t="inlineStr">
        <is>
          <t>GENERAL COMMODITY</t>
        </is>
      </c>
      <c r="AI368" s="4" t="n">
        <v>22460</v>
      </c>
      <c r="AJ368" s="4" t="n">
        <v>22</v>
      </c>
      <c r="AK368" s="4" t="inlineStr">
        <is>
          <t>CLI</t>
        </is>
      </c>
      <c r="AL368" s="4" t="n"/>
      <c r="AM368" s="4" t="n"/>
      <c r="AN368" s="4" t="n"/>
      <c r="AO368" s="4" t="n"/>
      <c r="AP368" s="4" t="n"/>
      <c r="AQ368" s="4" t="n"/>
      <c r="AR368" s="4" t="n">
        <v>3700</v>
      </c>
      <c r="AS368" s="4" t="n">
        <v>27000</v>
      </c>
      <c r="AT368" s="12" t="inlineStr">
        <is>
          <t>Y</t>
        </is>
      </c>
    </row>
    <row r="369">
      <c r="A369" s="11" t="n">
        <v>368</v>
      </c>
      <c r="B369" s="4" t="inlineStr">
        <is>
          <t>MERCURY / VOYAGE 1</t>
        </is>
      </c>
      <c r="C369" s="4" t="inlineStr">
        <is>
          <t>REF000000</t>
        </is>
      </c>
      <c r="D369" s="7" t="n">
        <v>46095</v>
      </c>
      <c r="E369" s="4" t="n">
        <v>46108</v>
      </c>
      <c r="F369" s="4" t="inlineStr">
        <is>
          <t>RULED</t>
        </is>
      </c>
      <c r="G369" s="4" t="inlineStr">
        <is>
          <t>RULED</t>
        </is>
      </c>
      <c r="H369" s="4" t="inlineStr">
        <is>
          <t>USNFK</t>
        </is>
      </c>
      <c r="I369" s="4" t="inlineStr">
        <is>
          <t>USNFK</t>
        </is>
      </c>
      <c r="J369" s="4" t="n"/>
      <c r="K369" s="8" t="n"/>
      <c r="L369" s="4" t="inlineStr">
        <is>
          <t>WOLF DRY</t>
        </is>
      </c>
      <c r="M369" s="4" t="inlineStr">
        <is>
          <t>WOLF DRY</t>
        </is>
      </c>
      <c r="N369" s="4" t="n"/>
      <c r="O369" s="4" t="n"/>
      <c r="P369" s="4" t="inlineStr">
        <is>
          <t>WOLF DRY</t>
        </is>
      </c>
      <c r="Q369" s="4" t="inlineStr">
        <is>
          <t>WOLF DRY</t>
        </is>
      </c>
      <c r="R369" s="4" t="n"/>
      <c r="S369" s="4" t="n"/>
      <c r="T369" s="4" t="inlineStr">
        <is>
          <t>WOLF DRY</t>
        </is>
      </c>
      <c r="U369" s="4" t="inlineStr">
        <is>
          <t>195112 ST PETERSBURG MALOOKHTINSKIY PR. 64 LIT B AP 24H</t>
        </is>
      </c>
      <c r="V369" s="4" t="n"/>
      <c r="W369" s="4" t="n"/>
      <c r="X369" s="4" t="n">
        <v>619004</v>
      </c>
      <c r="Y369" s="4" t="n">
        <v>609100</v>
      </c>
      <c r="Z369" s="4" t="n">
        <v>616</v>
      </c>
      <c r="AA369" s="4" t="n"/>
      <c r="AB369" s="4" t="inlineStr">
        <is>
          <t>SAID TO CONTAIN / WEIGHT &amp; MEASURE</t>
        </is>
      </c>
      <c r="AC369" s="4" t="inlineStr">
        <is>
          <t>ANON0000000</t>
        </is>
      </c>
      <c r="AD369" s="4" t="inlineStr">
        <is>
          <t>HC40</t>
        </is>
      </c>
      <c r="AE369" s="4" t="n">
        <v>30284658</v>
      </c>
      <c r="AF369" s="4" t="n"/>
      <c r="AG369" s="4" t="inlineStr">
        <is>
          <t>FCL/FCL</t>
        </is>
      </c>
      <c r="AH369" s="4" t="inlineStr">
        <is>
          <t>GENERAL COMMODITY</t>
        </is>
      </c>
      <c r="AI369" s="4" t="n">
        <v>20133</v>
      </c>
      <c r="AJ369" s="4" t="n">
        <v>22</v>
      </c>
      <c r="AK369" s="4" t="inlineStr">
        <is>
          <t>CLI</t>
        </is>
      </c>
      <c r="AL369" s="4" t="n"/>
      <c r="AM369" s="4" t="n"/>
      <c r="AN369" s="4" t="n"/>
      <c r="AO369" s="4" t="n"/>
      <c r="AP369" s="4" t="n"/>
      <c r="AQ369" s="4" t="n"/>
      <c r="AR369" s="4" t="n">
        <v>3700</v>
      </c>
      <c r="AS369" s="4" t="n">
        <v>27000</v>
      </c>
      <c r="AT369" s="12" t="inlineStr">
        <is>
          <t>Y</t>
        </is>
      </c>
    </row>
    <row r="370">
      <c r="A370" s="11" t="n">
        <v>369</v>
      </c>
      <c r="B370" s="4" t="inlineStr">
        <is>
          <t>MERCURY / VOYAGE 1</t>
        </is>
      </c>
      <c r="C370" s="4" t="inlineStr">
        <is>
          <t>REF000000</t>
        </is>
      </c>
      <c r="D370" s="7" t="n">
        <v>46095</v>
      </c>
      <c r="E370" s="4" t="n">
        <v>46108</v>
      </c>
      <c r="F370" s="4" t="inlineStr">
        <is>
          <t>RULED</t>
        </is>
      </c>
      <c r="G370" s="4" t="inlineStr">
        <is>
          <t>RULED</t>
        </is>
      </c>
      <c r="H370" s="4" t="inlineStr">
        <is>
          <t>USNFK</t>
        </is>
      </c>
      <c r="I370" s="4" t="inlineStr">
        <is>
          <t>USNFK</t>
        </is>
      </c>
      <c r="J370" s="4" t="n"/>
      <c r="K370" s="8" t="n"/>
      <c r="L370" s="4" t="inlineStr">
        <is>
          <t>DEER DRY</t>
        </is>
      </c>
      <c r="M370" s="4" t="inlineStr">
        <is>
          <t>DEER DRY</t>
        </is>
      </c>
      <c r="N370" s="4" t="n"/>
      <c r="O370" s="4" t="n"/>
      <c r="P370" s="4" t="inlineStr">
        <is>
          <t>DEER DRY</t>
        </is>
      </c>
      <c r="Q370" s="4" t="inlineStr">
        <is>
          <t>DEER DRY</t>
        </is>
      </c>
      <c r="R370" s="4" t="n"/>
      <c r="S370" s="4" t="n"/>
      <c r="T370" s="4" t="inlineStr">
        <is>
          <t>DEER DRY</t>
        </is>
      </c>
      <c r="U370" s="4" t="inlineStr">
        <is>
          <t>195112 ST PETERSBURG MALOOKHTINSKIY PR. 64 LIT B AP 24H</t>
        </is>
      </c>
      <c r="V370" s="4" t="n"/>
      <c r="W370" s="4" t="n"/>
      <c r="X370" s="4" t="n">
        <v>619004</v>
      </c>
      <c r="Y370" s="4" t="n">
        <v>609100</v>
      </c>
      <c r="Z370" s="4" t="n">
        <v>616</v>
      </c>
      <c r="AA370" s="4" t="n"/>
      <c r="AB370" s="4" t="inlineStr">
        <is>
          <t>SAID TO CONTAIN / WEIGHT &amp; MEASURE</t>
        </is>
      </c>
      <c r="AC370" s="4" t="inlineStr">
        <is>
          <t>ANON0000000</t>
        </is>
      </c>
      <c r="AD370" s="4" t="inlineStr">
        <is>
          <t>HC40</t>
        </is>
      </c>
      <c r="AE370" s="4" t="n">
        <v>30385337</v>
      </c>
      <c r="AF370" s="4" t="n"/>
      <c r="AG370" s="4" t="inlineStr">
        <is>
          <t>FCL/FCL</t>
        </is>
      </c>
      <c r="AH370" s="4" t="inlineStr">
        <is>
          <t>GENERAL COMMODITY</t>
        </is>
      </c>
      <c r="AI370" s="4" t="n">
        <v>22213</v>
      </c>
      <c r="AJ370" s="4" t="n">
        <v>22</v>
      </c>
      <c r="AK370" s="4" t="inlineStr">
        <is>
          <t>CLI</t>
        </is>
      </c>
      <c r="AL370" s="4" t="n"/>
      <c r="AM370" s="4" t="n"/>
      <c r="AN370" s="4" t="n"/>
      <c r="AO370" s="4" t="n"/>
      <c r="AP370" s="4" t="n"/>
      <c r="AQ370" s="4" t="n"/>
      <c r="AR370" s="4" t="n">
        <v>3700</v>
      </c>
      <c r="AS370" s="4" t="n">
        <v>27000</v>
      </c>
      <c r="AT370" s="12" t="inlineStr">
        <is>
          <t>Y</t>
        </is>
      </c>
    </row>
    <row r="371">
      <c r="A371" s="11" t="n">
        <v>370</v>
      </c>
      <c r="B371" s="4" t="inlineStr">
        <is>
          <t>MERCURY / VOYAGE 1</t>
        </is>
      </c>
      <c r="C371" s="4" t="inlineStr">
        <is>
          <t>REF000000</t>
        </is>
      </c>
      <c r="D371" s="7" t="n">
        <v>46095</v>
      </c>
      <c r="E371" s="4" t="n">
        <v>46108</v>
      </c>
      <c r="F371" s="4" t="inlineStr">
        <is>
          <t>RULED</t>
        </is>
      </c>
      <c r="G371" s="4" t="inlineStr">
        <is>
          <t>RULED</t>
        </is>
      </c>
      <c r="H371" s="4" t="inlineStr">
        <is>
          <t>USNFK</t>
        </is>
      </c>
      <c r="I371" s="4" t="inlineStr">
        <is>
          <t>USNFK</t>
        </is>
      </c>
      <c r="J371" s="4" t="n"/>
      <c r="K371" s="8" t="n"/>
      <c r="L371" s="4" t="inlineStr">
        <is>
          <t>FOX DRY</t>
        </is>
      </c>
      <c r="M371" s="4" t="inlineStr">
        <is>
          <t>FOX DRY</t>
        </is>
      </c>
      <c r="N371" s="4" t="n"/>
      <c r="O371" s="4" t="n"/>
      <c r="P371" s="4" t="inlineStr">
        <is>
          <t>FOX DRY</t>
        </is>
      </c>
      <c r="Q371" s="4" t="inlineStr">
        <is>
          <t>FOX DRY</t>
        </is>
      </c>
      <c r="R371" s="4" t="n"/>
      <c r="S371" s="4" t="n"/>
      <c r="T371" s="4" t="inlineStr">
        <is>
          <t>FOX DRY</t>
        </is>
      </c>
      <c r="U371" s="4" t="inlineStr">
        <is>
          <t>195112 ST PETERSBURG MALOOKHTINSKIY PR. 64 LIT B AP 24H</t>
        </is>
      </c>
      <c r="V371" s="4" t="n"/>
      <c r="W371" s="4" t="n"/>
      <c r="X371" s="4" t="n">
        <v>619004</v>
      </c>
      <c r="Y371" s="4" t="n">
        <v>609100</v>
      </c>
      <c r="Z371" s="4" t="n">
        <v>616</v>
      </c>
      <c r="AA371" s="4" t="n"/>
      <c r="AB371" s="4" t="inlineStr">
        <is>
          <t>SAID TO CONTAIN / WEIGHT &amp; MEASURE</t>
        </is>
      </c>
      <c r="AC371" s="4" t="inlineStr">
        <is>
          <t>ANON0000000</t>
        </is>
      </c>
      <c r="AD371" s="4" t="inlineStr">
        <is>
          <t>HC40</t>
        </is>
      </c>
      <c r="AE371" s="4" t="n">
        <v>30270974</v>
      </c>
      <c r="AF371" s="4" t="n"/>
      <c r="AG371" s="4" t="inlineStr">
        <is>
          <t>FCL/FCL</t>
        </is>
      </c>
      <c r="AH371" s="4" t="inlineStr">
        <is>
          <t>GENERAL COMMODITY</t>
        </is>
      </c>
      <c r="AI371" s="4" t="n">
        <v>21187</v>
      </c>
      <c r="AJ371" s="4" t="n">
        <v>22</v>
      </c>
      <c r="AK371" s="4" t="inlineStr">
        <is>
          <t>CLI</t>
        </is>
      </c>
      <c r="AL371" s="4" t="n"/>
      <c r="AM371" s="4" t="n"/>
      <c r="AN371" s="4" t="n"/>
      <c r="AO371" s="4" t="n"/>
      <c r="AP371" s="4" t="n"/>
      <c r="AQ371" s="4" t="n"/>
      <c r="AR371" s="4" t="n">
        <v>3700</v>
      </c>
      <c r="AS371" s="4" t="n">
        <v>27000</v>
      </c>
      <c r="AT371" s="12" t="inlineStr">
        <is>
          <t>Y</t>
        </is>
      </c>
    </row>
    <row r="372">
      <c r="A372" s="11" t="n">
        <v>371</v>
      </c>
      <c r="B372" s="4" t="inlineStr">
        <is>
          <t>MERCURY / VOYAGE 1</t>
        </is>
      </c>
      <c r="C372" s="4" t="inlineStr">
        <is>
          <t>REF000000</t>
        </is>
      </c>
      <c r="D372" s="7" t="n">
        <v>46095</v>
      </c>
      <c r="E372" s="4" t="n">
        <v>46108</v>
      </c>
      <c r="F372" s="4" t="inlineStr">
        <is>
          <t>RULED</t>
        </is>
      </c>
      <c r="G372" s="4" t="inlineStr">
        <is>
          <t>RULED</t>
        </is>
      </c>
      <c r="H372" s="4" t="inlineStr">
        <is>
          <t>USNFK</t>
        </is>
      </c>
      <c r="I372" s="4" t="inlineStr">
        <is>
          <t>USNFK</t>
        </is>
      </c>
      <c r="J372" s="4" t="n"/>
      <c r="K372" s="8" t="n"/>
      <c r="L372" s="4" t="inlineStr">
        <is>
          <t>BISON DRY</t>
        </is>
      </c>
      <c r="M372" s="4" t="inlineStr">
        <is>
          <t>BISON DRY</t>
        </is>
      </c>
      <c r="N372" s="4" t="n"/>
      <c r="O372" s="4" t="n"/>
      <c r="P372" s="4" t="inlineStr">
        <is>
          <t>BISON DRY</t>
        </is>
      </c>
      <c r="Q372" s="4" t="inlineStr">
        <is>
          <t>BISON DRY</t>
        </is>
      </c>
      <c r="R372" s="4" t="n"/>
      <c r="S372" s="4" t="n"/>
      <c r="T372" s="4" t="inlineStr">
        <is>
          <t>BISON DRY</t>
        </is>
      </c>
      <c r="U372" s="4" t="inlineStr">
        <is>
          <t>195112 ST PETERSBURG MALOOKHTINSKIY PR. 64 LIT B AP 24H</t>
        </is>
      </c>
      <c r="V372" s="4" t="n"/>
      <c r="W372" s="4" t="n"/>
      <c r="X372" s="4" t="n">
        <v>619004</v>
      </c>
      <c r="Y372" s="4" t="n">
        <v>609100</v>
      </c>
      <c r="Z372" s="4" t="n">
        <v>616</v>
      </c>
      <c r="AA372" s="4" t="n"/>
      <c r="AB372" s="4" t="inlineStr">
        <is>
          <t>SAID TO CONTAIN / WEIGHT &amp; MEASURE</t>
        </is>
      </c>
      <c r="AC372" s="4" t="inlineStr">
        <is>
          <t>ANON0000000</t>
        </is>
      </c>
      <c r="AD372" s="4" t="inlineStr">
        <is>
          <t>HC40</t>
        </is>
      </c>
      <c r="AE372" s="4" t="n">
        <v>30284625</v>
      </c>
      <c r="AF372" s="4" t="n"/>
      <c r="AG372" s="4" t="inlineStr">
        <is>
          <t>FCL/FCL</t>
        </is>
      </c>
      <c r="AH372" s="4" t="inlineStr">
        <is>
          <t>GENERAL COMMODITY</t>
        </is>
      </c>
      <c r="AI372" s="4" t="n">
        <v>22904</v>
      </c>
      <c r="AJ372" s="4" t="n">
        <v>22</v>
      </c>
      <c r="AK372" s="4" t="inlineStr">
        <is>
          <t>CLI</t>
        </is>
      </c>
      <c r="AL372" s="4" t="n"/>
      <c r="AM372" s="4" t="n"/>
      <c r="AN372" s="4" t="n"/>
      <c r="AO372" s="4" t="n"/>
      <c r="AP372" s="4" t="n"/>
      <c r="AQ372" s="4" t="n"/>
      <c r="AR372" s="4" t="n">
        <v>3700</v>
      </c>
      <c r="AS372" s="4" t="n">
        <v>27000</v>
      </c>
      <c r="AT372" s="12" t="inlineStr">
        <is>
          <t>Y</t>
        </is>
      </c>
    </row>
    <row r="373">
      <c r="A373" s="11" t="n">
        <v>372</v>
      </c>
      <c r="B373" s="4" t="inlineStr">
        <is>
          <t>MERCURY / VOYAGE 1</t>
        </is>
      </c>
      <c r="C373" s="4" t="inlineStr">
        <is>
          <t>REF000000</t>
        </is>
      </c>
      <c r="D373" s="7" t="n">
        <v>46095</v>
      </c>
      <c r="E373" s="4" t="n">
        <v>46108</v>
      </c>
      <c r="F373" s="4" t="inlineStr">
        <is>
          <t>RULED</t>
        </is>
      </c>
      <c r="G373" s="4" t="inlineStr">
        <is>
          <t>RULED</t>
        </is>
      </c>
      <c r="H373" s="4" t="inlineStr">
        <is>
          <t>USNFK</t>
        </is>
      </c>
      <c r="I373" s="4" t="inlineStr">
        <is>
          <t>USNFK</t>
        </is>
      </c>
      <c r="J373" s="4" t="n"/>
      <c r="K373" s="8" t="n"/>
      <c r="L373" s="4" t="inlineStr">
        <is>
          <t>EAGLE DRY</t>
        </is>
      </c>
      <c r="M373" s="4" t="inlineStr">
        <is>
          <t>EAGLE DRY</t>
        </is>
      </c>
      <c r="N373" s="4" t="n"/>
      <c r="O373" s="4" t="n"/>
      <c r="P373" s="4" t="inlineStr">
        <is>
          <t>EAGLE DRY</t>
        </is>
      </c>
      <c r="Q373" s="4" t="inlineStr">
        <is>
          <t>EAGLE DRY</t>
        </is>
      </c>
      <c r="R373" s="4" t="n"/>
      <c r="S373" s="4" t="n"/>
      <c r="T373" s="4" t="inlineStr">
        <is>
          <t>EAGLE DRY</t>
        </is>
      </c>
      <c r="U373" s="4" t="inlineStr">
        <is>
          <t>195112 ST PETERSBURG MALOOKHTINSKIY PR. 64 LIT B AP 24H</t>
        </is>
      </c>
      <c r="V373" s="4" t="n"/>
      <c r="W373" s="4" t="n"/>
      <c r="X373" s="4" t="n">
        <v>619004</v>
      </c>
      <c r="Y373" s="4" t="n">
        <v>609100</v>
      </c>
      <c r="Z373" s="4" t="n">
        <v>616</v>
      </c>
      <c r="AA373" s="4" t="n"/>
      <c r="AB373" s="4" t="inlineStr">
        <is>
          <t>SAID TO CONTAIN / WEIGHT &amp; MEASURE</t>
        </is>
      </c>
      <c r="AC373" s="4" t="inlineStr">
        <is>
          <t>ANON0000000</t>
        </is>
      </c>
      <c r="AD373" s="4" t="inlineStr">
        <is>
          <t>HC40</t>
        </is>
      </c>
      <c r="AE373" s="4" t="n">
        <v>30239167</v>
      </c>
      <c r="AF373" s="4" t="n"/>
      <c r="AG373" s="4" t="inlineStr">
        <is>
          <t>FCL/FCL</t>
        </is>
      </c>
      <c r="AH373" s="4" t="inlineStr">
        <is>
          <t>GENERAL COMMODITY</t>
        </is>
      </c>
      <c r="AI373" s="4" t="n">
        <v>22263</v>
      </c>
      <c r="AJ373" s="4" t="n">
        <v>22</v>
      </c>
      <c r="AK373" s="4" t="inlineStr">
        <is>
          <t>CLI</t>
        </is>
      </c>
      <c r="AL373" s="4" t="n"/>
      <c r="AM373" s="4" t="n"/>
      <c r="AN373" s="4" t="n"/>
      <c r="AO373" s="4" t="n"/>
      <c r="AP373" s="4" t="n"/>
      <c r="AQ373" s="4" t="n"/>
      <c r="AR373" s="4" t="n">
        <v>3700</v>
      </c>
      <c r="AS373" s="4" t="n">
        <v>27000</v>
      </c>
      <c r="AT373" s="12" t="inlineStr">
        <is>
          <t>Y</t>
        </is>
      </c>
    </row>
    <row r="374">
      <c r="A374" s="11" t="n">
        <v>373</v>
      </c>
      <c r="B374" s="4" t="inlineStr">
        <is>
          <t>MERCURY / VOYAGE 1</t>
        </is>
      </c>
      <c r="C374" s="4" t="inlineStr">
        <is>
          <t>REF000000</t>
        </is>
      </c>
      <c r="D374" s="7" t="n">
        <v>46095</v>
      </c>
      <c r="E374" s="4" t="n">
        <v>46108</v>
      </c>
      <c r="F374" s="4" t="inlineStr">
        <is>
          <t>RULED</t>
        </is>
      </c>
      <c r="G374" s="4" t="inlineStr">
        <is>
          <t>RULED</t>
        </is>
      </c>
      <c r="H374" s="4" t="inlineStr">
        <is>
          <t>USNFK</t>
        </is>
      </c>
      <c r="I374" s="4" t="inlineStr">
        <is>
          <t>USNFK</t>
        </is>
      </c>
      <c r="J374" s="4" t="n"/>
      <c r="K374" s="8" t="n"/>
      <c r="L374" s="4" t="inlineStr">
        <is>
          <t>COYOTE DRY</t>
        </is>
      </c>
      <c r="M374" s="4" t="inlineStr">
        <is>
          <t>COYOTE DRY</t>
        </is>
      </c>
      <c r="N374" s="4" t="n"/>
      <c r="O374" s="4" t="n"/>
      <c r="P374" s="4" t="inlineStr">
        <is>
          <t>COYOTE DRY</t>
        </is>
      </c>
      <c r="Q374" s="4" t="inlineStr">
        <is>
          <t>COYOTE DRY</t>
        </is>
      </c>
      <c r="R374" s="4" t="n"/>
      <c r="S374" s="4" t="n"/>
      <c r="T374" s="4" t="inlineStr">
        <is>
          <t>COYOTE DRY</t>
        </is>
      </c>
      <c r="U374" s="4" t="inlineStr">
        <is>
          <t>195112 ST PETERSBURG MALOOKHTINSKIY PR. 64 LIT B AP 24H</t>
        </is>
      </c>
      <c r="V374" s="4" t="n"/>
      <c r="W374" s="4" t="n"/>
      <c r="X374" s="4" t="n">
        <v>619004</v>
      </c>
      <c r="Y374" s="4" t="n">
        <v>609100</v>
      </c>
      <c r="Z374" s="4" t="n">
        <v>616</v>
      </c>
      <c r="AA374" s="4" t="n"/>
      <c r="AB374" s="4" t="inlineStr">
        <is>
          <t>SAID TO CONTAIN / WEIGHT &amp; MEASURE</t>
        </is>
      </c>
      <c r="AC374" s="4" t="inlineStr">
        <is>
          <t>ANON0000000</t>
        </is>
      </c>
      <c r="AD374" s="4" t="inlineStr">
        <is>
          <t>HC40</t>
        </is>
      </c>
      <c r="AE374" s="4" t="n">
        <v>30195254</v>
      </c>
      <c r="AF374" s="4" t="n"/>
      <c r="AG374" s="4" t="inlineStr">
        <is>
          <t>FCL/FCL</t>
        </is>
      </c>
      <c r="AH374" s="4" t="inlineStr">
        <is>
          <t>GENERAL COMMODITY</t>
        </is>
      </c>
      <c r="AI374" s="4" t="n">
        <v>22223</v>
      </c>
      <c r="AJ374" s="4" t="n">
        <v>22</v>
      </c>
      <c r="AK374" s="4" t="inlineStr">
        <is>
          <t>CLI</t>
        </is>
      </c>
      <c r="AL374" s="4" t="n"/>
      <c r="AM374" s="4" t="n"/>
      <c r="AN374" s="4" t="n"/>
      <c r="AO374" s="4" t="n"/>
      <c r="AP374" s="4" t="n"/>
      <c r="AQ374" s="4" t="n"/>
      <c r="AR374" s="4" t="n">
        <v>3700</v>
      </c>
      <c r="AS374" s="4" t="n">
        <v>27000</v>
      </c>
      <c r="AT374" s="12" t="inlineStr">
        <is>
          <t>Y</t>
        </is>
      </c>
    </row>
    <row r="375">
      <c r="A375" s="11" t="n">
        <v>374</v>
      </c>
      <c r="B375" s="4" t="inlineStr">
        <is>
          <t>MERCURY / VOYAGE 1</t>
        </is>
      </c>
      <c r="C375" s="4" t="inlineStr">
        <is>
          <t>REF000000</t>
        </is>
      </c>
      <c r="D375" s="7" t="n">
        <v>46095</v>
      </c>
      <c r="E375" s="4" t="n">
        <v>46108</v>
      </c>
      <c r="F375" s="4" t="inlineStr">
        <is>
          <t>RULED</t>
        </is>
      </c>
      <c r="G375" s="4" t="inlineStr">
        <is>
          <t>RULED</t>
        </is>
      </c>
      <c r="H375" s="4" t="inlineStr">
        <is>
          <t>USNFK</t>
        </is>
      </c>
      <c r="I375" s="4" t="inlineStr">
        <is>
          <t>USNFK</t>
        </is>
      </c>
      <c r="J375" s="4" t="n"/>
      <c r="K375" s="8" t="n"/>
      <c r="L375" s="4" t="inlineStr">
        <is>
          <t>FALCON DRY</t>
        </is>
      </c>
      <c r="M375" s="4" t="inlineStr">
        <is>
          <t>FALCON DRY</t>
        </is>
      </c>
      <c r="N375" s="4" t="n"/>
      <c r="O375" s="4" t="n"/>
      <c r="P375" s="4" t="inlineStr">
        <is>
          <t>FALCON DRY</t>
        </is>
      </c>
      <c r="Q375" s="4" t="inlineStr">
        <is>
          <t>FALCON DRY</t>
        </is>
      </c>
      <c r="R375" s="4" t="n"/>
      <c r="S375" s="4" t="n"/>
      <c r="T375" s="4" t="inlineStr">
        <is>
          <t>FALCON DRY</t>
        </is>
      </c>
      <c r="U375" s="4" t="inlineStr">
        <is>
          <t>195112 ST PETERSBURG MALOOKHTINSKIY PR. 64 LIT B AP 24H</t>
        </is>
      </c>
      <c r="V375" s="4" t="n"/>
      <c r="W375" s="4" t="n"/>
      <c r="X375" s="4" t="n">
        <v>619004</v>
      </c>
      <c r="Y375" s="4" t="n">
        <v>609100</v>
      </c>
      <c r="Z375" s="4" t="n">
        <v>616</v>
      </c>
      <c r="AA375" s="4" t="n"/>
      <c r="AB375" s="4" t="inlineStr">
        <is>
          <t>SAID TO CONTAIN / WEIGHT &amp; MEASURE</t>
        </is>
      </c>
      <c r="AC375" s="4" t="inlineStr">
        <is>
          <t>ANON0000000</t>
        </is>
      </c>
      <c r="AD375" s="4" t="inlineStr">
        <is>
          <t>HC40</t>
        </is>
      </c>
      <c r="AE375" s="4" t="n">
        <v>30383769</v>
      </c>
      <c r="AF375" s="4" t="n"/>
      <c r="AG375" s="4" t="inlineStr">
        <is>
          <t>FCL/FCL</t>
        </is>
      </c>
      <c r="AH375" s="4" t="inlineStr">
        <is>
          <t>GENERAL COMMODITY</t>
        </is>
      </c>
      <c r="AI375" s="4" t="n">
        <v>22290</v>
      </c>
      <c r="AJ375" s="4" t="n">
        <v>22</v>
      </c>
      <c r="AK375" s="4" t="inlineStr">
        <is>
          <t>CLI</t>
        </is>
      </c>
      <c r="AL375" s="4" t="n"/>
      <c r="AM375" s="4" t="n"/>
      <c r="AN375" s="4" t="n"/>
      <c r="AO375" s="4" t="n"/>
      <c r="AP375" s="4" t="n"/>
      <c r="AQ375" s="4" t="n"/>
      <c r="AR375" s="4" t="n">
        <v>3700</v>
      </c>
      <c r="AS375" s="4" t="n">
        <v>27000</v>
      </c>
      <c r="AT375" s="12" t="inlineStr">
        <is>
          <t>Y</t>
        </is>
      </c>
    </row>
    <row r="376">
      <c r="A376" s="11" t="n">
        <v>375</v>
      </c>
      <c r="B376" s="4" t="inlineStr">
        <is>
          <t>MERCURY / VOYAGE 1</t>
        </is>
      </c>
      <c r="C376" s="4" t="inlineStr">
        <is>
          <t>REF000000</t>
        </is>
      </c>
      <c r="D376" s="7" t="n">
        <v>46095</v>
      </c>
      <c r="E376" s="4" t="n">
        <v>46108</v>
      </c>
      <c r="F376" s="4" t="inlineStr">
        <is>
          <t>RULED</t>
        </is>
      </c>
      <c r="G376" s="4" t="inlineStr">
        <is>
          <t>RULED</t>
        </is>
      </c>
      <c r="H376" s="4" t="inlineStr">
        <is>
          <t>USNFK</t>
        </is>
      </c>
      <c r="I376" s="4" t="inlineStr">
        <is>
          <t>USNFK</t>
        </is>
      </c>
      <c r="J376" s="4" t="n"/>
      <c r="K376" s="8" t="n"/>
      <c r="L376" s="4" t="inlineStr">
        <is>
          <t>WOLF DRY</t>
        </is>
      </c>
      <c r="M376" s="4" t="inlineStr">
        <is>
          <t>WOLF DRY</t>
        </is>
      </c>
      <c r="N376" s="4" t="n"/>
      <c r="O376" s="4" t="n"/>
      <c r="P376" s="4" t="inlineStr">
        <is>
          <t>WOLF DRY</t>
        </is>
      </c>
      <c r="Q376" s="4" t="inlineStr">
        <is>
          <t>WOLF DRY</t>
        </is>
      </c>
      <c r="R376" s="4" t="n"/>
      <c r="S376" s="4" t="n"/>
      <c r="T376" s="4" t="inlineStr">
        <is>
          <t>WOLF DRY</t>
        </is>
      </c>
      <c r="U376" s="4" t="inlineStr">
        <is>
          <t>195112 ST PETERSBURG MALOOKHTINSKIY PR. 64 LIT B AP 24H</t>
        </is>
      </c>
      <c r="V376" s="4" t="n"/>
      <c r="W376" s="4" t="n"/>
      <c r="X376" s="4" t="n">
        <v>619004</v>
      </c>
      <c r="Y376" s="4" t="n">
        <v>609100</v>
      </c>
      <c r="Z376" s="4" t="n">
        <v>616</v>
      </c>
      <c r="AA376" s="4" t="n"/>
      <c r="AB376" s="4" t="inlineStr">
        <is>
          <t>SAID TO CONTAIN / WEIGHT &amp; MEASURE</t>
        </is>
      </c>
      <c r="AC376" s="4" t="inlineStr">
        <is>
          <t>ANON0000000</t>
        </is>
      </c>
      <c r="AD376" s="4" t="inlineStr">
        <is>
          <t>HC40</t>
        </is>
      </c>
      <c r="AE376" s="4" t="n">
        <v>30270975</v>
      </c>
      <c r="AF376" s="4" t="n"/>
      <c r="AG376" s="4" t="inlineStr">
        <is>
          <t>FCL/FCL</t>
        </is>
      </c>
      <c r="AH376" s="4" t="inlineStr">
        <is>
          <t>GENERAL COMMODITY</t>
        </is>
      </c>
      <c r="AI376" s="4" t="n">
        <v>22534</v>
      </c>
      <c r="AJ376" s="4" t="n">
        <v>22</v>
      </c>
      <c r="AK376" s="4" t="inlineStr">
        <is>
          <t>CLI</t>
        </is>
      </c>
      <c r="AL376" s="4" t="n"/>
      <c r="AM376" s="4" t="n"/>
      <c r="AN376" s="4" t="n"/>
      <c r="AO376" s="4" t="n"/>
      <c r="AP376" s="4" t="n"/>
      <c r="AQ376" s="4" t="n"/>
      <c r="AR376" s="4" t="n">
        <v>3700</v>
      </c>
      <c r="AS376" s="4" t="n">
        <v>27000</v>
      </c>
      <c r="AT376" s="12" t="inlineStr">
        <is>
          <t>Y</t>
        </is>
      </c>
    </row>
    <row r="377">
      <c r="A377" s="11" t="n">
        <v>376</v>
      </c>
      <c r="B377" s="4" t="inlineStr">
        <is>
          <t>MERCURY / VOYAGE 1</t>
        </is>
      </c>
      <c r="C377" s="4" t="inlineStr">
        <is>
          <t>REF000000</t>
        </is>
      </c>
      <c r="D377" s="7" t="n">
        <v>46095</v>
      </c>
      <c r="E377" s="4" t="n">
        <v>46108</v>
      </c>
      <c r="F377" s="4" t="inlineStr">
        <is>
          <t>RULED</t>
        </is>
      </c>
      <c r="G377" s="4" t="inlineStr">
        <is>
          <t>RULED</t>
        </is>
      </c>
      <c r="H377" s="4" t="inlineStr">
        <is>
          <t>USNFK</t>
        </is>
      </c>
      <c r="I377" s="4" t="inlineStr">
        <is>
          <t>USNFK</t>
        </is>
      </c>
      <c r="J377" s="4" t="n"/>
      <c r="K377" s="8" t="n"/>
      <c r="L377" s="4" t="inlineStr">
        <is>
          <t>DEER DRY</t>
        </is>
      </c>
      <c r="M377" s="4" t="inlineStr">
        <is>
          <t>DEER DRY</t>
        </is>
      </c>
      <c r="N377" s="4" t="n"/>
      <c r="O377" s="4" t="n"/>
      <c r="P377" s="4" t="inlineStr">
        <is>
          <t>DEER DRY</t>
        </is>
      </c>
      <c r="Q377" s="4" t="inlineStr">
        <is>
          <t>DEER DRY</t>
        </is>
      </c>
      <c r="R377" s="4" t="n"/>
      <c r="S377" s="4" t="n"/>
      <c r="T377" s="4" t="inlineStr">
        <is>
          <t>DEER DRY</t>
        </is>
      </c>
      <c r="U377" s="4" t="inlineStr">
        <is>
          <t>195112 ST PETERSBURG MALOOKHTINSKIY PR. 64 LIT B AP 24H</t>
        </is>
      </c>
      <c r="V377" s="4" t="n"/>
      <c r="W377" s="4" t="n"/>
      <c r="X377" s="4" t="n">
        <v>619004</v>
      </c>
      <c r="Y377" s="4" t="n">
        <v>609100</v>
      </c>
      <c r="Z377" s="4" t="n">
        <v>616</v>
      </c>
      <c r="AA377" s="4" t="n"/>
      <c r="AB377" s="4" t="inlineStr">
        <is>
          <t>SAID TO CONTAIN / WEIGHT &amp; MEASURE</t>
        </is>
      </c>
      <c r="AC377" s="4" t="inlineStr">
        <is>
          <t>ANON0000000</t>
        </is>
      </c>
      <c r="AD377" s="4" t="inlineStr">
        <is>
          <t>HC40</t>
        </is>
      </c>
      <c r="AE377" s="4" t="n">
        <v>30383770</v>
      </c>
      <c r="AF377" s="4" t="n"/>
      <c r="AG377" s="4" t="inlineStr">
        <is>
          <t>FCL/FCL</t>
        </is>
      </c>
      <c r="AH377" s="4" t="inlineStr">
        <is>
          <t>GENERAL COMMODITY</t>
        </is>
      </c>
      <c r="AI377" s="4" t="n">
        <v>21136</v>
      </c>
      <c r="AJ377" s="4" t="n">
        <v>22</v>
      </c>
      <c r="AK377" s="4" t="inlineStr">
        <is>
          <t>CLI</t>
        </is>
      </c>
      <c r="AL377" s="4" t="n"/>
      <c r="AM377" s="4" t="n"/>
      <c r="AN377" s="4" t="n"/>
      <c r="AO377" s="4" t="n"/>
      <c r="AP377" s="4" t="n"/>
      <c r="AQ377" s="4" t="n"/>
      <c r="AR377" s="4" t="n">
        <v>3700</v>
      </c>
      <c r="AS377" s="4" t="n">
        <v>27000</v>
      </c>
      <c r="AT377" s="12" t="inlineStr">
        <is>
          <t>Y</t>
        </is>
      </c>
    </row>
    <row r="378">
      <c r="A378" s="11" t="n">
        <v>377</v>
      </c>
      <c r="B378" s="4" t="inlineStr">
        <is>
          <t>MERCURY / VOYAGE 1</t>
        </is>
      </c>
      <c r="C378" s="4" t="inlineStr">
        <is>
          <t>REF000000</t>
        </is>
      </c>
      <c r="D378" s="7" t="n">
        <v>46095</v>
      </c>
      <c r="E378" s="4" t="n">
        <v>46108</v>
      </c>
      <c r="F378" s="4" t="inlineStr">
        <is>
          <t>RULED</t>
        </is>
      </c>
      <c r="G378" s="4" t="inlineStr">
        <is>
          <t>RULED</t>
        </is>
      </c>
      <c r="H378" s="4" t="inlineStr">
        <is>
          <t>USNFK</t>
        </is>
      </c>
      <c r="I378" s="4" t="inlineStr">
        <is>
          <t>USNFK</t>
        </is>
      </c>
      <c r="J378" s="4" t="n"/>
      <c r="K378" s="8" t="n"/>
      <c r="L378" s="4" t="inlineStr">
        <is>
          <t>FOX DRY</t>
        </is>
      </c>
      <c r="M378" s="4" t="inlineStr">
        <is>
          <t>FOX DRY</t>
        </is>
      </c>
      <c r="N378" s="4" t="n"/>
      <c r="O378" s="4" t="n"/>
      <c r="P378" s="4" t="inlineStr">
        <is>
          <t>FOX DRY</t>
        </is>
      </c>
      <c r="Q378" s="4" t="inlineStr">
        <is>
          <t>FOX DRY</t>
        </is>
      </c>
      <c r="R378" s="4" t="n"/>
      <c r="S378" s="4" t="n"/>
      <c r="T378" s="4" t="inlineStr">
        <is>
          <t>FOX DRY</t>
        </is>
      </c>
      <c r="U378" s="4" t="inlineStr">
        <is>
          <t>195112 ST PETERSBURG MALOOKHTINSKIY PR. 64 LIT B AP 24H</t>
        </is>
      </c>
      <c r="V378" s="4" t="n"/>
      <c r="W378" s="4" t="n"/>
      <c r="X378" s="4" t="n">
        <v>619004</v>
      </c>
      <c r="Y378" s="4" t="n">
        <v>609100</v>
      </c>
      <c r="Z378" s="4" t="n">
        <v>616</v>
      </c>
      <c r="AA378" s="4" t="n"/>
      <c r="AB378" s="4" t="inlineStr">
        <is>
          <t>SAID TO CONTAIN / WEIGHT &amp; MEASURE</t>
        </is>
      </c>
      <c r="AC378" s="4" t="inlineStr">
        <is>
          <t>ANON0000000</t>
        </is>
      </c>
      <c r="AD378" s="4" t="inlineStr">
        <is>
          <t>HC40</t>
        </is>
      </c>
      <c r="AE378" s="4" t="n">
        <v>30385363</v>
      </c>
      <c r="AF378" s="4" t="n"/>
      <c r="AG378" s="4" t="inlineStr">
        <is>
          <t>FCL/FCL</t>
        </is>
      </c>
      <c r="AH378" s="4" t="inlineStr">
        <is>
          <t>GENERAL COMMODITY</t>
        </is>
      </c>
      <c r="AI378" s="4" t="n">
        <v>22222</v>
      </c>
      <c r="AJ378" s="4" t="n">
        <v>22</v>
      </c>
      <c r="AK378" s="4" t="inlineStr">
        <is>
          <t>CLI</t>
        </is>
      </c>
      <c r="AL378" s="4" t="n"/>
      <c r="AM378" s="4" t="n"/>
      <c r="AN378" s="4" t="n"/>
      <c r="AO378" s="4" t="n"/>
      <c r="AP378" s="4" t="n"/>
      <c r="AQ378" s="4" t="n"/>
      <c r="AR378" s="4" t="n">
        <v>3700</v>
      </c>
      <c r="AS378" s="4" t="n">
        <v>27000</v>
      </c>
      <c r="AT378" s="12" t="inlineStr">
        <is>
          <t>Y</t>
        </is>
      </c>
    </row>
    <row r="379">
      <c r="A379" s="11" t="n">
        <v>378</v>
      </c>
      <c r="B379" s="4" t="inlineStr">
        <is>
          <t>MERCURY / VOYAGE 1</t>
        </is>
      </c>
      <c r="C379" s="4" t="inlineStr">
        <is>
          <t>REF000000</t>
        </is>
      </c>
      <c r="D379" s="7" t="n">
        <v>46095</v>
      </c>
      <c r="E379" s="4" t="n">
        <v>46108</v>
      </c>
      <c r="F379" s="4" t="inlineStr">
        <is>
          <t>RULED</t>
        </is>
      </c>
      <c r="G379" s="4" t="inlineStr">
        <is>
          <t>RULED</t>
        </is>
      </c>
      <c r="H379" s="4" t="inlineStr">
        <is>
          <t>USNFK</t>
        </is>
      </c>
      <c r="I379" s="4" t="inlineStr">
        <is>
          <t>USNFK</t>
        </is>
      </c>
      <c r="J379" s="4" t="n"/>
      <c r="K379" s="8" t="n"/>
      <c r="L379" s="4" t="inlineStr">
        <is>
          <t>BISON DRY</t>
        </is>
      </c>
      <c r="M379" s="4" t="inlineStr">
        <is>
          <t>BISON DRY</t>
        </is>
      </c>
      <c r="N379" s="4" t="n"/>
      <c r="O379" s="4" t="n"/>
      <c r="P379" s="4" t="inlineStr">
        <is>
          <t>BISON DRY</t>
        </is>
      </c>
      <c r="Q379" s="4" t="inlineStr">
        <is>
          <t>BISON DRY</t>
        </is>
      </c>
      <c r="R379" s="4" t="n"/>
      <c r="S379" s="4" t="n"/>
      <c r="T379" s="4" t="inlineStr">
        <is>
          <t>BISON DRY</t>
        </is>
      </c>
      <c r="U379" s="4" t="inlineStr">
        <is>
          <t>195112 ST PETERSBURG MALOOKHTINSKIY PR. 64 LIT B AP 24H</t>
        </is>
      </c>
      <c r="V379" s="4" t="n"/>
      <c r="W379" s="4" t="n"/>
      <c r="X379" s="4" t="n">
        <v>619004</v>
      </c>
      <c r="Y379" s="4" t="n">
        <v>609100</v>
      </c>
      <c r="Z379" s="4" t="n">
        <v>616</v>
      </c>
      <c r="AA379" s="4" t="n"/>
      <c r="AB379" s="4" t="inlineStr">
        <is>
          <t>SAID TO CONTAIN / WEIGHT &amp; MEASURE</t>
        </is>
      </c>
      <c r="AC379" s="4" t="inlineStr">
        <is>
          <t>ANON0000000</t>
        </is>
      </c>
      <c r="AD379" s="4" t="inlineStr">
        <is>
          <t>HC40</t>
        </is>
      </c>
      <c r="AE379" s="4" t="n">
        <v>30195260</v>
      </c>
      <c r="AF379" s="4" t="n"/>
      <c r="AG379" s="4" t="inlineStr">
        <is>
          <t>FCL/FCL</t>
        </is>
      </c>
      <c r="AH379" s="4" t="inlineStr">
        <is>
          <t>GENERAL COMMODITY</t>
        </is>
      </c>
      <c r="AI379" s="4" t="n">
        <v>22355</v>
      </c>
      <c r="AJ379" s="4" t="n">
        <v>22</v>
      </c>
      <c r="AK379" s="4" t="inlineStr">
        <is>
          <t>CLI</t>
        </is>
      </c>
      <c r="AL379" s="4" t="n"/>
      <c r="AM379" s="4" t="n"/>
      <c r="AN379" s="4" t="n"/>
      <c r="AO379" s="4" t="n"/>
      <c r="AP379" s="4" t="n"/>
      <c r="AQ379" s="4" t="n"/>
      <c r="AR379" s="4" t="n">
        <v>3700</v>
      </c>
      <c r="AS379" s="4" t="n">
        <v>27000</v>
      </c>
      <c r="AT379" s="12" t="inlineStr">
        <is>
          <t>Y</t>
        </is>
      </c>
    </row>
    <row r="380">
      <c r="A380" s="11" t="n">
        <v>379</v>
      </c>
      <c r="B380" s="4" t="inlineStr">
        <is>
          <t>MERCURY / VOYAGE 1</t>
        </is>
      </c>
      <c r="C380" s="4" t="inlineStr">
        <is>
          <t>REF000000</t>
        </is>
      </c>
      <c r="D380" s="7" t="n">
        <v>46095</v>
      </c>
      <c r="E380" s="4" t="n">
        <v>46108</v>
      </c>
      <c r="F380" s="4" t="inlineStr">
        <is>
          <t>RULED</t>
        </is>
      </c>
      <c r="G380" s="4" t="inlineStr">
        <is>
          <t>RULED</t>
        </is>
      </c>
      <c r="H380" s="4" t="inlineStr">
        <is>
          <t>USNFK</t>
        </is>
      </c>
      <c r="I380" s="4" t="inlineStr">
        <is>
          <t>USNFK</t>
        </is>
      </c>
      <c r="J380" s="4" t="n"/>
      <c r="K380" s="8" t="n"/>
      <c r="L380" s="4" t="inlineStr">
        <is>
          <t>EAGLE DRY</t>
        </is>
      </c>
      <c r="M380" s="4" t="inlineStr">
        <is>
          <t>EAGLE DRY</t>
        </is>
      </c>
      <c r="N380" s="4" t="n"/>
      <c r="O380" s="4" t="n"/>
      <c r="P380" s="4" t="inlineStr">
        <is>
          <t>EAGLE DRY</t>
        </is>
      </c>
      <c r="Q380" s="4" t="inlineStr">
        <is>
          <t>EAGLE DRY</t>
        </is>
      </c>
      <c r="R380" s="4" t="n"/>
      <c r="S380" s="4" t="n"/>
      <c r="T380" s="4" t="inlineStr">
        <is>
          <t>EAGLE DRY</t>
        </is>
      </c>
      <c r="U380" s="4" t="inlineStr">
        <is>
          <t>195112 ST PETERSBURG MALOOKHTINSKIY PR. 64 LIT B AP 24H</t>
        </is>
      </c>
      <c r="V380" s="4" t="n"/>
      <c r="W380" s="4" t="n"/>
      <c r="X380" s="4" t="n">
        <v>619004</v>
      </c>
      <c r="Y380" s="4" t="n">
        <v>609100</v>
      </c>
      <c r="Z380" s="4" t="n">
        <v>616</v>
      </c>
      <c r="AA380" s="4" t="n"/>
      <c r="AB380" s="4" t="inlineStr">
        <is>
          <t>SAID TO CONTAIN / WEIGHT &amp; MEASURE</t>
        </is>
      </c>
      <c r="AC380" s="4" t="inlineStr">
        <is>
          <t>ANON0000000</t>
        </is>
      </c>
      <c r="AD380" s="4" t="inlineStr">
        <is>
          <t>HC40</t>
        </is>
      </c>
      <c r="AE380" s="4" t="n">
        <v>30284640</v>
      </c>
      <c r="AF380" s="4" t="n"/>
      <c r="AG380" s="4" t="inlineStr">
        <is>
          <t>FCL/FCL</t>
        </is>
      </c>
      <c r="AH380" s="4" t="inlineStr">
        <is>
          <t>GENERAL COMMODITY</t>
        </is>
      </c>
      <c r="AI380" s="4" t="n">
        <v>22604</v>
      </c>
      <c r="AJ380" s="4" t="n">
        <v>22</v>
      </c>
      <c r="AK380" s="4" t="inlineStr">
        <is>
          <t>CLI</t>
        </is>
      </c>
      <c r="AL380" s="4" t="n"/>
      <c r="AM380" s="4" t="n"/>
      <c r="AN380" s="4" t="n"/>
      <c r="AO380" s="4" t="n"/>
      <c r="AP380" s="4" t="n"/>
      <c r="AQ380" s="4" t="n"/>
      <c r="AR380" s="4" t="n">
        <v>3700</v>
      </c>
      <c r="AS380" s="4" t="n">
        <v>27000</v>
      </c>
      <c r="AT380" s="12" t="inlineStr">
        <is>
          <t>Y</t>
        </is>
      </c>
    </row>
    <row r="381">
      <c r="A381" s="11" t="n">
        <v>380</v>
      </c>
      <c r="B381" s="4" t="inlineStr">
        <is>
          <t>MERCURY / VOYAGE 1</t>
        </is>
      </c>
      <c r="C381" s="4" t="inlineStr">
        <is>
          <t>REF000000</t>
        </is>
      </c>
      <c r="D381" s="7" t="n">
        <v>46095</v>
      </c>
      <c r="E381" s="4" t="n">
        <v>46108</v>
      </c>
      <c r="F381" s="4" t="inlineStr">
        <is>
          <t>RULED</t>
        </is>
      </c>
      <c r="G381" s="4" t="inlineStr">
        <is>
          <t>RULED</t>
        </is>
      </c>
      <c r="H381" s="4" t="inlineStr">
        <is>
          <t>USNFK</t>
        </is>
      </c>
      <c r="I381" s="4" t="inlineStr">
        <is>
          <t>USNFK</t>
        </is>
      </c>
      <c r="J381" s="4" t="n"/>
      <c r="K381" s="8" t="n"/>
      <c r="L381" s="4" t="inlineStr">
        <is>
          <t>COYOTE DRY</t>
        </is>
      </c>
      <c r="M381" s="4" t="inlineStr">
        <is>
          <t>COYOTE DRY</t>
        </is>
      </c>
      <c r="N381" s="4" t="n"/>
      <c r="O381" s="4" t="n"/>
      <c r="P381" s="4" t="inlineStr">
        <is>
          <t>COYOTE DRY</t>
        </is>
      </c>
      <c r="Q381" s="4" t="inlineStr">
        <is>
          <t>COYOTE DRY</t>
        </is>
      </c>
      <c r="R381" s="4" t="n"/>
      <c r="S381" s="4" t="n"/>
      <c r="T381" s="4" t="inlineStr">
        <is>
          <t>COYOTE DRY</t>
        </is>
      </c>
      <c r="U381" s="4" t="inlineStr">
        <is>
          <t>195112 ST PETERSBURG MALOOKHTINSKIY PR. 64 LIT B AP 24H</t>
        </is>
      </c>
      <c r="V381" s="4" t="n"/>
      <c r="W381" s="4" t="n"/>
      <c r="X381" s="4" t="n">
        <v>619004</v>
      </c>
      <c r="Y381" s="4" t="n">
        <v>609100</v>
      </c>
      <c r="Z381" s="4" t="n">
        <v>616</v>
      </c>
      <c r="AA381" s="4" t="n"/>
      <c r="AB381" s="4" t="inlineStr">
        <is>
          <t>SAID TO CONTAIN / WEIGHT &amp; MEASURE</t>
        </is>
      </c>
      <c r="AC381" s="4" t="inlineStr">
        <is>
          <t>ANON0000000</t>
        </is>
      </c>
      <c r="AD381" s="4" t="inlineStr">
        <is>
          <t>HC40</t>
        </is>
      </c>
      <c r="AE381" s="4" t="n">
        <v>30270934</v>
      </c>
      <c r="AF381" s="4" t="n"/>
      <c r="AG381" s="4" t="inlineStr">
        <is>
          <t>FCL/FCL</t>
        </is>
      </c>
      <c r="AH381" s="4" t="inlineStr">
        <is>
          <t>GENERAL COMMODITY</t>
        </is>
      </c>
      <c r="AI381" s="4" t="n">
        <v>22425</v>
      </c>
      <c r="AJ381" s="4" t="n">
        <v>22</v>
      </c>
      <c r="AK381" s="4" t="inlineStr">
        <is>
          <t>CLI</t>
        </is>
      </c>
      <c r="AL381" s="4" t="n"/>
      <c r="AM381" s="4" t="n"/>
      <c r="AN381" s="4" t="n"/>
      <c r="AO381" s="4" t="n"/>
      <c r="AP381" s="4" t="n"/>
      <c r="AQ381" s="4" t="n"/>
      <c r="AR381" s="4" t="n">
        <v>3700</v>
      </c>
      <c r="AS381" s="4" t="n">
        <v>27000</v>
      </c>
      <c r="AT381" s="12" t="inlineStr">
        <is>
          <t>Y</t>
        </is>
      </c>
    </row>
    <row r="382">
      <c r="A382" s="11" t="n">
        <v>381</v>
      </c>
      <c r="B382" s="4" t="inlineStr">
        <is>
          <t>MERCURY / VOYAGE 1</t>
        </is>
      </c>
      <c r="C382" s="4" t="inlineStr">
        <is>
          <t>REF000000</t>
        </is>
      </c>
      <c r="D382" s="7" t="n">
        <v>46095</v>
      </c>
      <c r="E382" s="4" t="n">
        <v>46108</v>
      </c>
      <c r="F382" s="4" t="inlineStr">
        <is>
          <t>RULED</t>
        </is>
      </c>
      <c r="G382" s="4" t="inlineStr">
        <is>
          <t>RULED</t>
        </is>
      </c>
      <c r="H382" s="4" t="inlineStr">
        <is>
          <t>USNFK</t>
        </is>
      </c>
      <c r="I382" s="4" t="inlineStr">
        <is>
          <t>USNFK</t>
        </is>
      </c>
      <c r="J382" s="4" t="n"/>
      <c r="K382" s="8" t="n"/>
      <c r="L382" s="4" t="inlineStr">
        <is>
          <t>FALCON DRY</t>
        </is>
      </c>
      <c r="M382" s="4" t="inlineStr">
        <is>
          <t>FALCON DRY</t>
        </is>
      </c>
      <c r="N382" s="4" t="n"/>
      <c r="O382" s="4" t="n"/>
      <c r="P382" s="4" t="inlineStr">
        <is>
          <t>FALCON DRY</t>
        </is>
      </c>
      <c r="Q382" s="4" t="inlineStr">
        <is>
          <t>FALCON DRY</t>
        </is>
      </c>
      <c r="R382" s="4" t="n"/>
      <c r="S382" s="4" t="n"/>
      <c r="T382" s="4" t="inlineStr">
        <is>
          <t>FALCON DRY</t>
        </is>
      </c>
      <c r="U382" s="4" t="inlineStr">
        <is>
          <t>195112 ST PETERSBURG MALOOKHTINSKIY PR. 64 LIT B AP 24H</t>
        </is>
      </c>
      <c r="V382" s="4" t="n"/>
      <c r="W382" s="4" t="n"/>
      <c r="X382" s="4" t="n">
        <v>619004</v>
      </c>
      <c r="Y382" s="4" t="n">
        <v>609100</v>
      </c>
      <c r="Z382" s="4" t="n">
        <v>616</v>
      </c>
      <c r="AA382" s="4" t="n"/>
      <c r="AB382" s="4" t="inlineStr">
        <is>
          <t>SAID TO CONTAIN / WEIGHT &amp; MEASURE</t>
        </is>
      </c>
      <c r="AC382" s="4" t="inlineStr">
        <is>
          <t>ANON0000000</t>
        </is>
      </c>
      <c r="AD382" s="4" t="inlineStr">
        <is>
          <t>HC40</t>
        </is>
      </c>
      <c r="AE382" s="4" t="n">
        <v>30383143</v>
      </c>
      <c r="AF382" s="4" t="n"/>
      <c r="AG382" s="4" t="inlineStr">
        <is>
          <t>FCL/FCL</t>
        </is>
      </c>
      <c r="AH382" s="4" t="inlineStr">
        <is>
          <t>GENERAL COMMODITY</t>
        </is>
      </c>
      <c r="AI382" s="4" t="n">
        <v>22212</v>
      </c>
      <c r="AJ382" s="4" t="n">
        <v>22</v>
      </c>
      <c r="AK382" s="4" t="inlineStr">
        <is>
          <t>CLI</t>
        </is>
      </c>
      <c r="AL382" s="4" t="n"/>
      <c r="AM382" s="4" t="n"/>
      <c r="AN382" s="4" t="n"/>
      <c r="AO382" s="4" t="n"/>
      <c r="AP382" s="4" t="n"/>
      <c r="AQ382" s="4" t="n"/>
      <c r="AR382" s="4" t="n">
        <v>3700</v>
      </c>
      <c r="AS382" s="4" t="n">
        <v>27000</v>
      </c>
      <c r="AT382" s="12" t="inlineStr">
        <is>
          <t>Y</t>
        </is>
      </c>
    </row>
    <row r="383">
      <c r="A383" s="11" t="n">
        <v>382</v>
      </c>
      <c r="B383" s="4" t="inlineStr">
        <is>
          <t>MERCURY / VOYAGE 1</t>
        </is>
      </c>
      <c r="C383" s="4" t="inlineStr">
        <is>
          <t>REF000000</t>
        </is>
      </c>
      <c r="D383" s="7" t="n">
        <v>46095</v>
      </c>
      <c r="E383" s="4" t="n">
        <v>46108</v>
      </c>
      <c r="F383" s="4" t="inlineStr">
        <is>
          <t>RULED</t>
        </is>
      </c>
      <c r="G383" s="4" t="inlineStr">
        <is>
          <t>RULED</t>
        </is>
      </c>
      <c r="H383" s="4" t="inlineStr">
        <is>
          <t>USNFK</t>
        </is>
      </c>
      <c r="I383" s="4" t="inlineStr">
        <is>
          <t>USNFK</t>
        </is>
      </c>
      <c r="J383" s="4" t="n"/>
      <c r="K383" s="8" t="n"/>
      <c r="L383" s="4" t="inlineStr">
        <is>
          <t>WOLF DRY</t>
        </is>
      </c>
      <c r="M383" s="4" t="inlineStr">
        <is>
          <t>WOLF DRY</t>
        </is>
      </c>
      <c r="N383" s="4" t="n"/>
      <c r="O383" s="4" t="n"/>
      <c r="P383" s="4" t="inlineStr">
        <is>
          <t>WOLF DRY</t>
        </is>
      </c>
      <c r="Q383" s="4" t="inlineStr">
        <is>
          <t>WOLF DRY</t>
        </is>
      </c>
      <c r="R383" s="4" t="n"/>
      <c r="S383" s="4" t="n"/>
      <c r="T383" s="4" t="inlineStr">
        <is>
          <t>WOLF DRY</t>
        </is>
      </c>
      <c r="U383" s="4" t="inlineStr">
        <is>
          <t>195112 ST PETERSBURG MALOOKHTINSKIY PR. 64 LIT B AP 24H</t>
        </is>
      </c>
      <c r="V383" s="4" t="n"/>
      <c r="W383" s="4" t="n"/>
      <c r="X383" s="4" t="n">
        <v>619004</v>
      </c>
      <c r="Y383" s="4" t="n">
        <v>609100</v>
      </c>
      <c r="Z383" s="4" t="n">
        <v>616</v>
      </c>
      <c r="AA383" s="4" t="n"/>
      <c r="AB383" s="4" t="inlineStr">
        <is>
          <t>SAID TO CONTAIN / WEIGHT &amp; MEASURE</t>
        </is>
      </c>
      <c r="AC383" s="4" t="inlineStr">
        <is>
          <t>ANON0000000</t>
        </is>
      </c>
      <c r="AD383" s="4" t="inlineStr">
        <is>
          <t>HC40</t>
        </is>
      </c>
      <c r="AE383" s="4" t="n">
        <v>30239109</v>
      </c>
      <c r="AF383" s="4" t="n"/>
      <c r="AG383" s="4" t="inlineStr">
        <is>
          <t>FCL/FCL</t>
        </is>
      </c>
      <c r="AH383" s="4" t="inlineStr">
        <is>
          <t>GENERAL COMMODITY</t>
        </is>
      </c>
      <c r="AI383" s="4" t="n">
        <v>22230</v>
      </c>
      <c r="AJ383" s="4" t="n">
        <v>22</v>
      </c>
      <c r="AK383" s="4" t="inlineStr">
        <is>
          <t>CLI</t>
        </is>
      </c>
      <c r="AL383" s="4" t="n"/>
      <c r="AM383" s="4" t="n"/>
      <c r="AN383" s="4" t="n"/>
      <c r="AO383" s="4" t="n"/>
      <c r="AP383" s="4" t="n"/>
      <c r="AQ383" s="4" t="n"/>
      <c r="AR383" s="4" t="n">
        <v>3700</v>
      </c>
      <c r="AS383" s="4" t="n">
        <v>27000</v>
      </c>
      <c r="AT383" s="12" t="inlineStr">
        <is>
          <t>Y</t>
        </is>
      </c>
    </row>
    <row r="384">
      <c r="A384" s="11" t="n">
        <v>383</v>
      </c>
      <c r="B384" s="4" t="inlineStr">
        <is>
          <t>MERCURY / VOYAGE 1</t>
        </is>
      </c>
      <c r="C384" s="4" t="inlineStr">
        <is>
          <t>REF000000</t>
        </is>
      </c>
      <c r="D384" s="7" t="n">
        <v>46095</v>
      </c>
      <c r="E384" s="4" t="n">
        <v>46108</v>
      </c>
      <c r="F384" s="4" t="inlineStr">
        <is>
          <t>RULED</t>
        </is>
      </c>
      <c r="G384" s="4" t="inlineStr">
        <is>
          <t>RULED</t>
        </is>
      </c>
      <c r="H384" s="4" t="inlineStr">
        <is>
          <t>USNFK</t>
        </is>
      </c>
      <c r="I384" s="4" t="inlineStr">
        <is>
          <t>USNFK</t>
        </is>
      </c>
      <c r="J384" s="4" t="n"/>
      <c r="K384" s="8" t="n"/>
      <c r="L384" s="4" t="inlineStr">
        <is>
          <t>DEER DRY</t>
        </is>
      </c>
      <c r="M384" s="4" t="inlineStr">
        <is>
          <t>DEER DRY</t>
        </is>
      </c>
      <c r="N384" s="4" t="n"/>
      <c r="O384" s="4" t="n"/>
      <c r="P384" s="4" t="inlineStr">
        <is>
          <t>DEER DRY</t>
        </is>
      </c>
      <c r="Q384" s="4" t="inlineStr">
        <is>
          <t>DEER DRY</t>
        </is>
      </c>
      <c r="R384" s="4" t="n"/>
      <c r="S384" s="4" t="n"/>
      <c r="T384" s="4" t="inlineStr">
        <is>
          <t>DEER DRY</t>
        </is>
      </c>
      <c r="U384" s="4" t="inlineStr">
        <is>
          <t>195112 ST PETERSBURG MALOOKHTINSKIY PR. 64 LIT B AP 24H</t>
        </is>
      </c>
      <c r="V384" s="4" t="n"/>
      <c r="W384" s="4" t="n"/>
      <c r="X384" s="4" t="n">
        <v>619004</v>
      </c>
      <c r="Y384" s="4" t="n">
        <v>609100</v>
      </c>
      <c r="Z384" s="4" t="n">
        <v>616</v>
      </c>
      <c r="AA384" s="4" t="n"/>
      <c r="AB384" s="4" t="inlineStr">
        <is>
          <t>SAID TO CONTAIN / WEIGHT &amp; MEASURE</t>
        </is>
      </c>
      <c r="AC384" s="4" t="inlineStr">
        <is>
          <t>ANON0000000</t>
        </is>
      </c>
      <c r="AD384" s="4" t="inlineStr">
        <is>
          <t>HC40</t>
        </is>
      </c>
      <c r="AE384" s="4" t="n">
        <v>30284940</v>
      </c>
      <c r="AF384" s="4" t="n"/>
      <c r="AG384" s="4" t="inlineStr">
        <is>
          <t>FCL/FCL</t>
        </is>
      </c>
      <c r="AH384" s="4" t="inlineStr">
        <is>
          <t>GENERAL COMMODITY</t>
        </is>
      </c>
      <c r="AI384" s="4" t="n">
        <v>21132</v>
      </c>
      <c r="AJ384" s="4" t="n">
        <v>22</v>
      </c>
      <c r="AK384" s="4" t="inlineStr">
        <is>
          <t>CLI</t>
        </is>
      </c>
      <c r="AL384" s="4" t="n"/>
      <c r="AM384" s="4" t="n"/>
      <c r="AN384" s="4" t="n"/>
      <c r="AO384" s="4" t="n"/>
      <c r="AP384" s="4" t="n"/>
      <c r="AQ384" s="4" t="n"/>
      <c r="AR384" s="4" t="n">
        <v>3700</v>
      </c>
      <c r="AS384" s="4" t="n">
        <v>27000</v>
      </c>
      <c r="AT384" s="12" t="inlineStr">
        <is>
          <t>Y</t>
        </is>
      </c>
    </row>
    <row r="385">
      <c r="A385" s="11" t="n">
        <v>384</v>
      </c>
      <c r="B385" s="4" t="inlineStr">
        <is>
          <t>MERCURY / VOYAGE 1</t>
        </is>
      </c>
      <c r="C385" s="4" t="inlineStr">
        <is>
          <t>REF000000</t>
        </is>
      </c>
      <c r="D385" s="7" t="n">
        <v>46095</v>
      </c>
      <c r="E385" s="4" t="n">
        <v>46108</v>
      </c>
      <c r="F385" s="4" t="inlineStr">
        <is>
          <t>RULED</t>
        </is>
      </c>
      <c r="G385" s="4" t="inlineStr">
        <is>
          <t>RULED</t>
        </is>
      </c>
      <c r="H385" s="4" t="inlineStr">
        <is>
          <t>USNFK</t>
        </is>
      </c>
      <c r="I385" s="4" t="inlineStr">
        <is>
          <t>USNFK</t>
        </is>
      </c>
      <c r="J385" s="4" t="n"/>
      <c r="K385" s="8" t="n"/>
      <c r="L385" s="4" t="inlineStr">
        <is>
          <t>FOX DRY</t>
        </is>
      </c>
      <c r="M385" s="4" t="inlineStr">
        <is>
          <t>FOX DRY</t>
        </is>
      </c>
      <c r="N385" s="4" t="n"/>
      <c r="O385" s="4" t="n"/>
      <c r="P385" s="4" t="inlineStr">
        <is>
          <t>FOX DRY</t>
        </is>
      </c>
      <c r="Q385" s="4" t="inlineStr">
        <is>
          <t>FOX DRY</t>
        </is>
      </c>
      <c r="R385" s="4" t="n"/>
      <c r="S385" s="4" t="n"/>
      <c r="T385" s="4" t="inlineStr">
        <is>
          <t>FOX DRY</t>
        </is>
      </c>
      <c r="U385" s="4" t="inlineStr">
        <is>
          <t>195112 ST PETERSBURG MALOOKHTINSKIY PR. 64 LIT B AP 24H</t>
        </is>
      </c>
      <c r="V385" s="4" t="n"/>
      <c r="W385" s="4" t="n"/>
      <c r="X385" s="4" t="n">
        <v>619004</v>
      </c>
      <c r="Y385" s="4" t="n">
        <v>609100</v>
      </c>
      <c r="Z385" s="4" t="n">
        <v>616</v>
      </c>
      <c r="AA385" s="4" t="n"/>
      <c r="AB385" s="4" t="inlineStr">
        <is>
          <t>SAID TO CONTAIN / WEIGHT &amp; MEASURE</t>
        </is>
      </c>
      <c r="AC385" s="4" t="inlineStr">
        <is>
          <t>ANON0000000</t>
        </is>
      </c>
      <c r="AD385" s="4" t="inlineStr">
        <is>
          <t>HC40</t>
        </is>
      </c>
      <c r="AE385" s="4" t="n">
        <v>30270666</v>
      </c>
      <c r="AF385" s="4" t="n"/>
      <c r="AG385" s="4" t="inlineStr">
        <is>
          <t>FCL/FCL</t>
        </is>
      </c>
      <c r="AH385" s="4" t="inlineStr">
        <is>
          <t>GENERAL COMMODITY</t>
        </is>
      </c>
      <c r="AI385" s="4" t="n">
        <v>22531</v>
      </c>
      <c r="AJ385" s="4" t="n">
        <v>22</v>
      </c>
      <c r="AK385" s="4" t="inlineStr">
        <is>
          <t>CLI</t>
        </is>
      </c>
      <c r="AL385" s="4" t="n"/>
      <c r="AM385" s="4" t="n"/>
      <c r="AN385" s="4" t="n"/>
      <c r="AO385" s="4" t="n"/>
      <c r="AP385" s="4" t="n"/>
      <c r="AQ385" s="4" t="n"/>
      <c r="AR385" s="4" t="n">
        <v>3700</v>
      </c>
      <c r="AS385" s="4" t="n">
        <v>27000</v>
      </c>
      <c r="AT385" s="12" t="inlineStr">
        <is>
          <t>Y</t>
        </is>
      </c>
    </row>
    <row r="386">
      <c r="A386" s="11" t="n">
        <v>385</v>
      </c>
      <c r="B386" s="4" t="inlineStr">
        <is>
          <t>MERCURY / VOYAGE 1</t>
        </is>
      </c>
      <c r="C386" s="4" t="inlineStr">
        <is>
          <t>REF000000</t>
        </is>
      </c>
      <c r="D386" s="7" t="n">
        <v>46095</v>
      </c>
      <c r="E386" s="4" t="n">
        <v>46108</v>
      </c>
      <c r="F386" s="4" t="inlineStr">
        <is>
          <t>RULED</t>
        </is>
      </c>
      <c r="G386" s="4" t="inlineStr">
        <is>
          <t>RULED</t>
        </is>
      </c>
      <c r="H386" s="4" t="inlineStr">
        <is>
          <t>USNFK</t>
        </is>
      </c>
      <c r="I386" s="4" t="inlineStr">
        <is>
          <t>USNFK</t>
        </is>
      </c>
      <c r="J386" s="4" t="n"/>
      <c r="K386" s="8" t="n"/>
      <c r="L386" s="4" t="inlineStr">
        <is>
          <t>BISON DRY</t>
        </is>
      </c>
      <c r="M386" s="4" t="inlineStr">
        <is>
          <t>BISON DRY</t>
        </is>
      </c>
      <c r="N386" s="4" t="n"/>
      <c r="O386" s="4" t="n"/>
      <c r="P386" s="4" t="inlineStr">
        <is>
          <t>BISON DRY</t>
        </is>
      </c>
      <c r="Q386" s="4" t="inlineStr">
        <is>
          <t>BISON DRY</t>
        </is>
      </c>
      <c r="R386" s="4" t="n"/>
      <c r="S386" s="4" t="n"/>
      <c r="T386" s="4" t="inlineStr">
        <is>
          <t>BISON DRY</t>
        </is>
      </c>
      <c r="U386" s="4" t="inlineStr">
        <is>
          <t>195112 ST PETERSBURG MALOOKHTINSKIY PR. 64 LIT B AP 24H</t>
        </is>
      </c>
      <c r="V386" s="4" t="n"/>
      <c r="W386" s="4" t="n"/>
      <c r="X386" s="4" t="n">
        <v>619004</v>
      </c>
      <c r="Y386" s="4" t="n">
        <v>609100</v>
      </c>
      <c r="Z386" s="4" t="n">
        <v>616</v>
      </c>
      <c r="AA386" s="4" t="n"/>
      <c r="AB386" s="4" t="inlineStr">
        <is>
          <t>SAID TO CONTAIN / WEIGHT &amp; MEASURE</t>
        </is>
      </c>
      <c r="AC386" s="4" t="inlineStr">
        <is>
          <t>ANON0000000</t>
        </is>
      </c>
      <c r="AD386" s="4" t="inlineStr">
        <is>
          <t>HC40</t>
        </is>
      </c>
      <c r="AE386" s="4" t="n">
        <v>30270971</v>
      </c>
      <c r="AF386" s="4" t="n"/>
      <c r="AG386" s="4" t="inlineStr">
        <is>
          <t>FCL/FCL</t>
        </is>
      </c>
      <c r="AH386" s="4" t="inlineStr">
        <is>
          <t>GENERAL COMMODITY</t>
        </is>
      </c>
      <c r="AI386" s="4" t="n">
        <v>22268</v>
      </c>
      <c r="AJ386" s="4" t="n">
        <v>22</v>
      </c>
      <c r="AK386" s="4" t="inlineStr">
        <is>
          <t>CLI</t>
        </is>
      </c>
      <c r="AL386" s="4" t="n"/>
      <c r="AM386" s="4" t="n"/>
      <c r="AN386" s="4" t="n"/>
      <c r="AO386" s="4" t="n"/>
      <c r="AP386" s="4" t="n"/>
      <c r="AQ386" s="4" t="n"/>
      <c r="AR386" s="4" t="n">
        <v>3700</v>
      </c>
      <c r="AS386" s="4" t="n">
        <v>27000</v>
      </c>
      <c r="AT386" s="12" t="inlineStr">
        <is>
          <t>Y</t>
        </is>
      </c>
    </row>
    <row r="387">
      <c r="A387" s="11" t="n">
        <v>386</v>
      </c>
      <c r="B387" s="4" t="inlineStr">
        <is>
          <t>MERCURY / VOYAGE 1</t>
        </is>
      </c>
      <c r="C387" s="4" t="inlineStr">
        <is>
          <t>REF000000</t>
        </is>
      </c>
      <c r="D387" s="7" t="n">
        <v>46095</v>
      </c>
      <c r="E387" s="4" t="n">
        <v>46108</v>
      </c>
      <c r="F387" s="4" t="inlineStr">
        <is>
          <t>RULED</t>
        </is>
      </c>
      <c r="G387" s="4" t="inlineStr">
        <is>
          <t>RULED</t>
        </is>
      </c>
      <c r="H387" s="4" t="inlineStr">
        <is>
          <t>USNFK</t>
        </is>
      </c>
      <c r="I387" s="4" t="inlineStr">
        <is>
          <t>USNFK</t>
        </is>
      </c>
      <c r="J387" s="4" t="n"/>
      <c r="K387" s="8" t="n"/>
      <c r="L387" s="4" t="inlineStr">
        <is>
          <t>EAGLE DRY</t>
        </is>
      </c>
      <c r="M387" s="4" t="inlineStr">
        <is>
          <t>EAGLE DRY</t>
        </is>
      </c>
      <c r="N387" s="4" t="n"/>
      <c r="O387" s="4" t="n"/>
      <c r="P387" s="4" t="inlineStr">
        <is>
          <t>EAGLE DRY</t>
        </is>
      </c>
      <c r="Q387" s="4" t="inlineStr">
        <is>
          <t>EAGLE DRY</t>
        </is>
      </c>
      <c r="R387" s="4" t="n"/>
      <c r="S387" s="4" t="n"/>
      <c r="T387" s="4" t="inlineStr">
        <is>
          <t>EAGLE DRY</t>
        </is>
      </c>
      <c r="U387" s="4" t="inlineStr">
        <is>
          <t>195112 ST PETERSBURG MALOOKHTINSKIY PR. 64 LIT B AP 24H</t>
        </is>
      </c>
      <c r="V387" s="4" t="n"/>
      <c r="W387" s="4" t="n"/>
      <c r="X387" s="4" t="n">
        <v>619004</v>
      </c>
      <c r="Y387" s="4" t="n">
        <v>609100</v>
      </c>
      <c r="Z387" s="4" t="n">
        <v>616</v>
      </c>
      <c r="AA387" s="4" t="n"/>
      <c r="AB387" s="4" t="inlineStr">
        <is>
          <t>SAID TO CONTAIN / WEIGHT &amp; MEASURE</t>
        </is>
      </c>
      <c r="AC387" s="4" t="inlineStr">
        <is>
          <t>ANON0000000</t>
        </is>
      </c>
      <c r="AD387" s="4" t="inlineStr">
        <is>
          <t>HC40</t>
        </is>
      </c>
      <c r="AE387" s="4" t="n">
        <v>30270661</v>
      </c>
      <c r="AF387" s="4" t="n"/>
      <c r="AG387" s="4" t="inlineStr">
        <is>
          <t>FCL/FCL</t>
        </is>
      </c>
      <c r="AH387" s="4" t="inlineStr">
        <is>
          <t>GENERAL COMMODITY</t>
        </is>
      </c>
      <c r="AI387" s="4" t="n">
        <v>22259</v>
      </c>
      <c r="AJ387" s="4" t="n">
        <v>22</v>
      </c>
      <c r="AK387" s="4" t="inlineStr">
        <is>
          <t>CLI</t>
        </is>
      </c>
      <c r="AL387" s="4" t="n"/>
      <c r="AM387" s="4" t="n"/>
      <c r="AN387" s="4" t="n"/>
      <c r="AO387" s="4" t="n"/>
      <c r="AP387" s="4" t="n"/>
      <c r="AQ387" s="4" t="n"/>
      <c r="AR387" s="4" t="n">
        <v>3700</v>
      </c>
      <c r="AS387" s="4" t="n">
        <v>27000</v>
      </c>
      <c r="AT387" s="12" t="inlineStr">
        <is>
          <t>Y</t>
        </is>
      </c>
    </row>
    <row r="388">
      <c r="A388" s="11" t="n">
        <v>387</v>
      </c>
      <c r="B388" s="4" t="inlineStr">
        <is>
          <t>MERCURY / VOYAGE 1</t>
        </is>
      </c>
      <c r="C388" s="4" t="inlineStr">
        <is>
          <t>REF000000</t>
        </is>
      </c>
      <c r="D388" s="7" t="n">
        <v>46095</v>
      </c>
      <c r="E388" s="4" t="n">
        <v>46108</v>
      </c>
      <c r="F388" s="4" t="inlineStr">
        <is>
          <t>RULED</t>
        </is>
      </c>
      <c r="G388" s="4" t="inlineStr">
        <is>
          <t>RULED</t>
        </is>
      </c>
      <c r="H388" s="4" t="inlineStr">
        <is>
          <t>USNFK</t>
        </is>
      </c>
      <c r="I388" s="4" t="inlineStr">
        <is>
          <t>USNFK</t>
        </is>
      </c>
      <c r="J388" s="4" t="n"/>
      <c r="K388" s="8" t="n"/>
      <c r="L388" s="4" t="inlineStr">
        <is>
          <t>COYOTE DRY</t>
        </is>
      </c>
      <c r="M388" s="4" t="inlineStr">
        <is>
          <t>COYOTE DRY</t>
        </is>
      </c>
      <c r="N388" s="4" t="n"/>
      <c r="O388" s="4" t="n"/>
      <c r="P388" s="4" t="inlineStr">
        <is>
          <t>COYOTE DRY</t>
        </is>
      </c>
      <c r="Q388" s="4" t="inlineStr">
        <is>
          <t>COYOTE DRY</t>
        </is>
      </c>
      <c r="R388" s="4" t="n"/>
      <c r="S388" s="4" t="n"/>
      <c r="T388" s="4" t="inlineStr">
        <is>
          <t>COYOTE DRY</t>
        </is>
      </c>
      <c r="U388" s="4" t="inlineStr">
        <is>
          <t>195112 ST PETERSBURG MALOOKHTINSKIY PR. 64 LIT B AP 24H</t>
        </is>
      </c>
      <c r="V388" s="4" t="n"/>
      <c r="W388" s="4" t="n"/>
      <c r="X388" s="4" t="n">
        <v>619004</v>
      </c>
      <c r="Y388" s="4" t="n">
        <v>609100</v>
      </c>
      <c r="Z388" s="4" t="n">
        <v>616</v>
      </c>
      <c r="AA388" s="4" t="n"/>
      <c r="AB388" s="4" t="inlineStr">
        <is>
          <t>SAID TO CONTAIN / WEIGHT &amp; MEASURE</t>
        </is>
      </c>
      <c r="AC388" s="4" t="inlineStr">
        <is>
          <t>ANON0000000</t>
        </is>
      </c>
      <c r="AD388" s="4" t="inlineStr">
        <is>
          <t>HC40</t>
        </is>
      </c>
      <c r="AE388" s="4" t="n">
        <v>30195236</v>
      </c>
      <c r="AF388" s="4" t="n"/>
      <c r="AG388" s="4" t="inlineStr">
        <is>
          <t>FCL/FCL</t>
        </is>
      </c>
      <c r="AH388" s="4" t="inlineStr">
        <is>
          <t>GENERAL COMMODITY</t>
        </is>
      </c>
      <c r="AI388" s="4" t="n">
        <v>22290</v>
      </c>
      <c r="AJ388" s="4" t="n">
        <v>22</v>
      </c>
      <c r="AK388" s="4" t="inlineStr">
        <is>
          <t>CLI</t>
        </is>
      </c>
      <c r="AL388" s="4" t="n"/>
      <c r="AM388" s="4" t="n"/>
      <c r="AN388" s="4" t="n"/>
      <c r="AO388" s="4" t="n"/>
      <c r="AP388" s="4" t="n"/>
      <c r="AQ388" s="4" t="n"/>
      <c r="AR388" s="4" t="n">
        <v>3700</v>
      </c>
      <c r="AS388" s="4" t="n">
        <v>27000</v>
      </c>
      <c r="AT388" s="12" t="inlineStr">
        <is>
          <t>Y</t>
        </is>
      </c>
    </row>
    <row r="389">
      <c r="A389" s="11" t="n">
        <v>388</v>
      </c>
      <c r="B389" s="4" t="inlineStr">
        <is>
          <t>MERCURY / VOYAGE 1</t>
        </is>
      </c>
      <c r="C389" s="4" t="inlineStr">
        <is>
          <t>REF000000</t>
        </is>
      </c>
      <c r="D389" s="7" t="n">
        <v>46095</v>
      </c>
      <c r="E389" s="4" t="n">
        <v>46108</v>
      </c>
      <c r="F389" s="4" t="inlineStr">
        <is>
          <t>RULED</t>
        </is>
      </c>
      <c r="G389" s="4" t="inlineStr">
        <is>
          <t>RULED</t>
        </is>
      </c>
      <c r="H389" s="4" t="inlineStr">
        <is>
          <t>USNFK</t>
        </is>
      </c>
      <c r="I389" s="4" t="inlineStr">
        <is>
          <t>USNFK</t>
        </is>
      </c>
      <c r="J389" s="4" t="n"/>
      <c r="K389" s="8" t="n"/>
      <c r="L389" s="4" t="inlineStr">
        <is>
          <t>FALCON DRY</t>
        </is>
      </c>
      <c r="M389" s="4" t="inlineStr">
        <is>
          <t>FALCON DRY</t>
        </is>
      </c>
      <c r="N389" s="4" t="n"/>
      <c r="O389" s="4" t="n"/>
      <c r="P389" s="4" t="inlineStr">
        <is>
          <t>FALCON DRY</t>
        </is>
      </c>
      <c r="Q389" s="4" t="inlineStr">
        <is>
          <t>FALCON DRY</t>
        </is>
      </c>
      <c r="R389" s="4" t="n"/>
      <c r="S389" s="4" t="n"/>
      <c r="T389" s="4" t="inlineStr">
        <is>
          <t>FALCON DRY</t>
        </is>
      </c>
      <c r="U389" s="4" t="inlineStr">
        <is>
          <t>195112 ST PETERSBURG MALOOKHTINSKIY PR. 64 LIT B AP 24H</t>
        </is>
      </c>
      <c r="V389" s="4" t="n"/>
      <c r="W389" s="4" t="n"/>
      <c r="X389" s="4" t="n">
        <v>619004</v>
      </c>
      <c r="Y389" s="4" t="n">
        <v>609100</v>
      </c>
      <c r="Z389" s="4" t="n">
        <v>616</v>
      </c>
      <c r="AA389" s="4" t="n"/>
      <c r="AB389" s="4" t="inlineStr">
        <is>
          <t>SAID TO CONTAIN / WEIGHT &amp; MEASURE</t>
        </is>
      </c>
      <c r="AC389" s="4" t="inlineStr">
        <is>
          <t>ANON0000000</t>
        </is>
      </c>
      <c r="AD389" s="4" t="inlineStr">
        <is>
          <t>HC40</t>
        </is>
      </c>
      <c r="AE389" s="4" t="n">
        <v>30270662</v>
      </c>
      <c r="AF389" s="4" t="n"/>
      <c r="AG389" s="4" t="inlineStr">
        <is>
          <t>FCL/FCL</t>
        </is>
      </c>
      <c r="AH389" s="4" t="inlineStr">
        <is>
          <t>GENERAL COMMODITY</t>
        </is>
      </c>
      <c r="AI389" s="4" t="n">
        <v>21064</v>
      </c>
      <c r="AJ389" s="4" t="n">
        <v>22</v>
      </c>
      <c r="AK389" s="4" t="inlineStr">
        <is>
          <t>CLI</t>
        </is>
      </c>
      <c r="AL389" s="4" t="n"/>
      <c r="AM389" s="4" t="n"/>
      <c r="AN389" s="4" t="n"/>
      <c r="AO389" s="4" t="n"/>
      <c r="AP389" s="4" t="n"/>
      <c r="AQ389" s="4" t="n"/>
      <c r="AR389" s="4" t="n">
        <v>3700</v>
      </c>
      <c r="AS389" s="4" t="n">
        <v>27000</v>
      </c>
      <c r="AT389" s="12" t="inlineStr">
        <is>
          <t>Y</t>
        </is>
      </c>
    </row>
    <row r="390">
      <c r="A390" s="11" t="n">
        <v>389</v>
      </c>
      <c r="B390" s="4" t="inlineStr">
        <is>
          <t>MERCURY / VOYAGE 1</t>
        </is>
      </c>
      <c r="C390" s="4" t="inlineStr">
        <is>
          <t>REF000000</t>
        </is>
      </c>
      <c r="D390" s="7" t="n">
        <v>46095</v>
      </c>
      <c r="E390" s="4" t="n">
        <v>46108</v>
      </c>
      <c r="F390" s="4" t="inlineStr">
        <is>
          <t>RULED</t>
        </is>
      </c>
      <c r="G390" s="4" t="inlineStr">
        <is>
          <t>RULED</t>
        </is>
      </c>
      <c r="H390" s="4" t="inlineStr">
        <is>
          <t>USNFK</t>
        </is>
      </c>
      <c r="I390" s="4" t="inlineStr">
        <is>
          <t>USNFK</t>
        </is>
      </c>
      <c r="J390" s="4" t="n"/>
      <c r="K390" s="8" t="n"/>
      <c r="L390" s="4" t="inlineStr">
        <is>
          <t>WOLF DRY</t>
        </is>
      </c>
      <c r="M390" s="4" t="inlineStr">
        <is>
          <t>WOLF DRY</t>
        </is>
      </c>
      <c r="N390" s="4" t="n"/>
      <c r="O390" s="4" t="n"/>
      <c r="P390" s="4" t="inlineStr">
        <is>
          <t>WOLF DRY</t>
        </is>
      </c>
      <c r="Q390" s="4" t="inlineStr">
        <is>
          <t>WOLF DRY</t>
        </is>
      </c>
      <c r="R390" s="4" t="n"/>
      <c r="S390" s="4" t="n"/>
      <c r="T390" s="4" t="inlineStr">
        <is>
          <t>WOLF DRY</t>
        </is>
      </c>
      <c r="U390" s="4" t="inlineStr">
        <is>
          <t>195112 ST PETERSBURG MALOOKHTINSKIY PR. 64 LIT B AP 24H</t>
        </is>
      </c>
      <c r="V390" s="4" t="n"/>
      <c r="W390" s="4" t="n"/>
      <c r="X390" s="4" t="n">
        <v>619004</v>
      </c>
      <c r="Y390" s="4" t="n">
        <v>609100</v>
      </c>
      <c r="Z390" s="4" t="n">
        <v>616</v>
      </c>
      <c r="AA390" s="4" t="n"/>
      <c r="AB390" s="4" t="inlineStr">
        <is>
          <t>SAID TO CONTAIN / WEIGHT &amp; MEASURE</t>
        </is>
      </c>
      <c r="AC390" s="4" t="inlineStr">
        <is>
          <t>ANON0000000</t>
        </is>
      </c>
      <c r="AD390" s="4" t="inlineStr">
        <is>
          <t>HC40</t>
        </is>
      </c>
      <c r="AE390" s="4" t="n">
        <v>30383734</v>
      </c>
      <c r="AF390" s="4" t="n"/>
      <c r="AG390" s="4" t="inlineStr">
        <is>
          <t>FCL/FCL</t>
        </is>
      </c>
      <c r="AH390" s="4" t="inlineStr">
        <is>
          <t>GENERAL COMMODITY</t>
        </is>
      </c>
      <c r="AI390" s="4" t="n">
        <v>22239</v>
      </c>
      <c r="AJ390" s="4" t="n">
        <v>22</v>
      </c>
      <c r="AK390" s="4" t="inlineStr">
        <is>
          <t>CLI</t>
        </is>
      </c>
      <c r="AL390" s="4" t="n"/>
      <c r="AM390" s="4" t="n"/>
      <c r="AN390" s="4" t="n"/>
      <c r="AO390" s="4" t="n"/>
      <c r="AP390" s="4" t="n"/>
      <c r="AQ390" s="4" t="n"/>
      <c r="AR390" s="4" t="n">
        <v>3700</v>
      </c>
      <c r="AS390" s="4" t="n">
        <v>27000</v>
      </c>
      <c r="AT390" s="12" t="inlineStr">
        <is>
          <t>Y</t>
        </is>
      </c>
    </row>
    <row r="391">
      <c r="A391" s="11" t="n">
        <v>390</v>
      </c>
      <c r="B391" s="4" t="inlineStr">
        <is>
          <t>MERCURY / VOYAGE 1</t>
        </is>
      </c>
      <c r="C391" s="4" t="inlineStr">
        <is>
          <t>REF000000</t>
        </is>
      </c>
      <c r="D391" s="7" t="n">
        <v>46095</v>
      </c>
      <c r="E391" s="4" t="n">
        <v>46108</v>
      </c>
      <c r="F391" s="4" t="inlineStr">
        <is>
          <t>RULED</t>
        </is>
      </c>
      <c r="G391" s="4" t="inlineStr">
        <is>
          <t>RULED</t>
        </is>
      </c>
      <c r="H391" s="4" t="inlineStr">
        <is>
          <t>USNFK</t>
        </is>
      </c>
      <c r="I391" s="4" t="inlineStr">
        <is>
          <t>USNFK</t>
        </is>
      </c>
      <c r="J391" s="4" t="n"/>
      <c r="K391" s="8" t="n"/>
      <c r="L391" s="4" t="inlineStr">
        <is>
          <t>DEER DRY</t>
        </is>
      </c>
      <c r="M391" s="4" t="inlineStr">
        <is>
          <t>DEER DRY</t>
        </is>
      </c>
      <c r="N391" s="4" t="n"/>
      <c r="O391" s="4" t="n"/>
      <c r="P391" s="4" t="inlineStr">
        <is>
          <t>DEER DRY</t>
        </is>
      </c>
      <c r="Q391" s="4" t="inlineStr">
        <is>
          <t>DEER DRY</t>
        </is>
      </c>
      <c r="R391" s="4" t="n"/>
      <c r="S391" s="4" t="n"/>
      <c r="T391" s="4" t="inlineStr">
        <is>
          <t>DEER DRY</t>
        </is>
      </c>
      <c r="U391" s="4" t="inlineStr">
        <is>
          <t>195112 ST PETERSBURG MALOOKHTINSKIY PR. 64 LIT B AP 24H</t>
        </is>
      </c>
      <c r="V391" s="4" t="n"/>
      <c r="W391" s="4" t="n"/>
      <c r="X391" s="4" t="n">
        <v>619004</v>
      </c>
      <c r="Y391" s="4" t="n">
        <v>609100</v>
      </c>
      <c r="Z391" s="4" t="n">
        <v>616</v>
      </c>
      <c r="AA391" s="4" t="n"/>
      <c r="AB391" s="4" t="inlineStr">
        <is>
          <t>SAID TO CONTAIN / WEIGHT &amp; MEASURE</t>
        </is>
      </c>
      <c r="AC391" s="4" t="inlineStr">
        <is>
          <t>ANON0000000</t>
        </is>
      </c>
      <c r="AD391" s="4" t="inlineStr">
        <is>
          <t>HC40</t>
        </is>
      </c>
      <c r="AE391" s="4" t="n">
        <v>30195250</v>
      </c>
      <c r="AF391" s="4" t="n"/>
      <c r="AG391" s="4" t="inlineStr">
        <is>
          <t>FCL/FCL</t>
        </is>
      </c>
      <c r="AH391" s="4" t="inlineStr">
        <is>
          <t>GENERAL COMMODITY</t>
        </is>
      </c>
      <c r="AI391" s="4" t="n">
        <v>22281</v>
      </c>
      <c r="AJ391" s="4" t="n">
        <v>22</v>
      </c>
      <c r="AK391" s="4" t="inlineStr">
        <is>
          <t>CLI</t>
        </is>
      </c>
      <c r="AL391" s="4" t="n"/>
      <c r="AM391" s="4" t="n"/>
      <c r="AN391" s="4" t="n"/>
      <c r="AO391" s="4" t="n"/>
      <c r="AP391" s="4" t="n"/>
      <c r="AQ391" s="4" t="n"/>
      <c r="AR391" s="4" t="n">
        <v>3700</v>
      </c>
      <c r="AS391" s="4" t="n">
        <v>27000</v>
      </c>
      <c r="AT391" s="12" t="inlineStr">
        <is>
          <t>Y</t>
        </is>
      </c>
    </row>
    <row r="392">
      <c r="A392" s="11" t="n">
        <v>391</v>
      </c>
      <c r="B392" s="4" t="inlineStr">
        <is>
          <t>MERCURY / VOYAGE 1</t>
        </is>
      </c>
      <c r="C392" s="4" t="inlineStr">
        <is>
          <t>REF000000</t>
        </is>
      </c>
      <c r="D392" s="7" t="n">
        <v>46095</v>
      </c>
      <c r="E392" s="4" t="n">
        <v>46108</v>
      </c>
      <c r="F392" s="4" t="inlineStr">
        <is>
          <t>RULED</t>
        </is>
      </c>
      <c r="G392" s="4" t="inlineStr">
        <is>
          <t>RULED</t>
        </is>
      </c>
      <c r="H392" s="4" t="inlineStr">
        <is>
          <t>USNFK</t>
        </is>
      </c>
      <c r="I392" s="4" t="inlineStr">
        <is>
          <t>USNFK</t>
        </is>
      </c>
      <c r="J392" s="4" t="n"/>
      <c r="K392" s="8" t="n"/>
      <c r="L392" s="4" t="inlineStr">
        <is>
          <t>FOX DRY</t>
        </is>
      </c>
      <c r="M392" s="4" t="inlineStr">
        <is>
          <t>FOX DRY</t>
        </is>
      </c>
      <c r="N392" s="4" t="n"/>
      <c r="O392" s="4" t="n"/>
      <c r="P392" s="4" t="inlineStr">
        <is>
          <t>FOX DRY</t>
        </is>
      </c>
      <c r="Q392" s="4" t="inlineStr">
        <is>
          <t>FOX DRY</t>
        </is>
      </c>
      <c r="R392" s="4" t="n"/>
      <c r="S392" s="4" t="n"/>
      <c r="T392" s="4" t="inlineStr">
        <is>
          <t>FOX DRY</t>
        </is>
      </c>
      <c r="U392" s="4" t="inlineStr">
        <is>
          <t>195112 ST PETERSBURG MALOOKHTINSKIY PR. 64 LIT B AP 24H</t>
        </is>
      </c>
      <c r="V392" s="4" t="n"/>
      <c r="W392" s="4" t="n"/>
      <c r="X392" s="4" t="n">
        <v>619004</v>
      </c>
      <c r="Y392" s="4" t="n">
        <v>609100</v>
      </c>
      <c r="Z392" s="4" t="n">
        <v>616</v>
      </c>
      <c r="AA392" s="4" t="n"/>
      <c r="AB392" s="4" t="inlineStr">
        <is>
          <t>SAID TO CONTAIN / WEIGHT &amp; MEASURE</t>
        </is>
      </c>
      <c r="AC392" s="4" t="inlineStr">
        <is>
          <t>ANON0000000</t>
        </is>
      </c>
      <c r="AD392" s="4" t="inlineStr">
        <is>
          <t>HC40</t>
        </is>
      </c>
      <c r="AE392" s="4" t="n">
        <v>30196529</v>
      </c>
      <c r="AF392" s="4" t="n"/>
      <c r="AG392" s="4" t="inlineStr">
        <is>
          <t>FCL/FCL</t>
        </is>
      </c>
      <c r="AH392" s="4" t="inlineStr">
        <is>
          <t>GENERAL COMMODITY</t>
        </is>
      </c>
      <c r="AI392" s="4" t="n">
        <v>22297</v>
      </c>
      <c r="AJ392" s="4" t="n">
        <v>22</v>
      </c>
      <c r="AK392" s="4" t="inlineStr">
        <is>
          <t>CLI</t>
        </is>
      </c>
      <c r="AL392" s="4" t="n"/>
      <c r="AM392" s="4" t="n"/>
      <c r="AN392" s="4" t="n"/>
      <c r="AO392" s="4" t="n"/>
      <c r="AP392" s="4" t="n"/>
      <c r="AQ392" s="4" t="n"/>
      <c r="AR392" s="4" t="n">
        <v>3700</v>
      </c>
      <c r="AS392" s="4" t="n">
        <v>27000</v>
      </c>
      <c r="AT392" s="12" t="inlineStr">
        <is>
          <t>Y</t>
        </is>
      </c>
    </row>
    <row r="393">
      <c r="A393" s="11" t="n">
        <v>392</v>
      </c>
      <c r="B393" s="4" t="inlineStr">
        <is>
          <t>MERCURY / VOYAGE 1</t>
        </is>
      </c>
      <c r="C393" s="4" t="inlineStr">
        <is>
          <t>REF000000</t>
        </is>
      </c>
      <c r="D393" s="7" t="n">
        <v>46095</v>
      </c>
      <c r="E393" s="4" t="n">
        <v>46108</v>
      </c>
      <c r="F393" s="4" t="inlineStr">
        <is>
          <t>RULED</t>
        </is>
      </c>
      <c r="G393" s="4" t="inlineStr">
        <is>
          <t>RULED</t>
        </is>
      </c>
      <c r="H393" s="4" t="inlineStr">
        <is>
          <t>USNFK</t>
        </is>
      </c>
      <c r="I393" s="4" t="inlineStr">
        <is>
          <t>USNFK</t>
        </is>
      </c>
      <c r="J393" s="4" t="n"/>
      <c r="K393" s="8" t="n"/>
      <c r="L393" s="4" t="inlineStr">
        <is>
          <t>BISON DRY</t>
        </is>
      </c>
      <c r="M393" s="4" t="inlineStr">
        <is>
          <t>BISON DRY</t>
        </is>
      </c>
      <c r="N393" s="4" t="n"/>
      <c r="O393" s="4" t="n"/>
      <c r="P393" s="4" t="inlineStr">
        <is>
          <t>BISON DRY</t>
        </is>
      </c>
      <c r="Q393" s="4" t="inlineStr">
        <is>
          <t>BISON DRY</t>
        </is>
      </c>
      <c r="R393" s="4" t="n"/>
      <c r="S393" s="4" t="n"/>
      <c r="T393" s="4" t="inlineStr">
        <is>
          <t>BISON DRY</t>
        </is>
      </c>
      <c r="U393" s="4" t="inlineStr">
        <is>
          <t>195112 ST PETERSBURG MALOOKHTINSKIY PR. 64 LIT B AP 24H</t>
        </is>
      </c>
      <c r="V393" s="4" t="n"/>
      <c r="W393" s="4" t="n"/>
      <c r="X393" s="4" t="n">
        <v>619004</v>
      </c>
      <c r="Y393" s="4" t="n">
        <v>609100</v>
      </c>
      <c r="Z393" s="4" t="n">
        <v>616</v>
      </c>
      <c r="AA393" s="4" t="n"/>
      <c r="AB393" s="4" t="inlineStr">
        <is>
          <t>SAID TO CONTAIN / WEIGHT &amp; MEASURE</t>
        </is>
      </c>
      <c r="AC393" s="4" t="inlineStr">
        <is>
          <t>ANON0000000</t>
        </is>
      </c>
      <c r="AD393" s="4" t="inlineStr">
        <is>
          <t>HC40</t>
        </is>
      </c>
      <c r="AE393" s="4" t="n">
        <v>30284654</v>
      </c>
      <c r="AF393" s="4" t="n"/>
      <c r="AG393" s="4" t="inlineStr">
        <is>
          <t>FCL/FCL</t>
        </is>
      </c>
      <c r="AH393" s="4" t="inlineStr">
        <is>
          <t>GENERAL COMMODITY</t>
        </is>
      </c>
      <c r="AI393" s="4" t="n">
        <v>22693</v>
      </c>
      <c r="AJ393" s="4" t="n">
        <v>22</v>
      </c>
      <c r="AK393" s="4" t="inlineStr">
        <is>
          <t>CLI</t>
        </is>
      </c>
      <c r="AL393" s="4" t="n"/>
      <c r="AM393" s="4" t="n"/>
      <c r="AN393" s="4" t="n"/>
      <c r="AO393" s="4" t="n"/>
      <c r="AP393" s="4" t="n"/>
      <c r="AQ393" s="4" t="n"/>
      <c r="AR393" s="4" t="n">
        <v>3700</v>
      </c>
      <c r="AS393" s="4" t="n">
        <v>27000</v>
      </c>
      <c r="AT393" s="12" t="inlineStr">
        <is>
          <t>Y</t>
        </is>
      </c>
    </row>
    <row r="394">
      <c r="A394" s="11" t="n">
        <v>393</v>
      </c>
      <c r="B394" s="4" t="inlineStr">
        <is>
          <t>MERCURY / VOYAGE 1</t>
        </is>
      </c>
      <c r="C394" s="4" t="inlineStr">
        <is>
          <t>REF000000</t>
        </is>
      </c>
      <c r="D394" s="7" t="n">
        <v>46095</v>
      </c>
      <c r="E394" s="4" t="n">
        <v>46108</v>
      </c>
      <c r="F394" s="4" t="inlineStr">
        <is>
          <t>RULED</t>
        </is>
      </c>
      <c r="G394" s="4" t="inlineStr">
        <is>
          <t>RULED</t>
        </is>
      </c>
      <c r="H394" s="4" t="inlineStr">
        <is>
          <t>USNFK</t>
        </is>
      </c>
      <c r="I394" s="4" t="inlineStr">
        <is>
          <t>USNFK</t>
        </is>
      </c>
      <c r="J394" s="4" t="n"/>
      <c r="K394" s="8" t="n"/>
      <c r="L394" s="4" t="inlineStr">
        <is>
          <t>EAGLE DRY</t>
        </is>
      </c>
      <c r="M394" s="4" t="inlineStr">
        <is>
          <t>EAGLE DRY</t>
        </is>
      </c>
      <c r="N394" s="4" t="n"/>
      <c r="O394" s="4" t="n"/>
      <c r="P394" s="4" t="inlineStr">
        <is>
          <t>EAGLE DRY</t>
        </is>
      </c>
      <c r="Q394" s="4" t="inlineStr">
        <is>
          <t>EAGLE DRY</t>
        </is>
      </c>
      <c r="R394" s="4" t="n"/>
      <c r="S394" s="4" t="n"/>
      <c r="T394" s="4" t="inlineStr">
        <is>
          <t>EAGLE DRY</t>
        </is>
      </c>
      <c r="U394" s="4" t="inlineStr">
        <is>
          <t>195112 ST PETERSBURG MALOOKHTINSKIY PR. 64 LIT B AP 24H</t>
        </is>
      </c>
      <c r="V394" s="4" t="n"/>
      <c r="W394" s="4" t="n"/>
      <c r="X394" s="4" t="n">
        <v>619004</v>
      </c>
      <c r="Y394" s="4" t="n">
        <v>609100</v>
      </c>
      <c r="Z394" s="4" t="n">
        <v>616</v>
      </c>
      <c r="AA394" s="4" t="n"/>
      <c r="AB394" s="4" t="inlineStr">
        <is>
          <t>SAID TO CONTAIN / WEIGHT &amp; MEASURE</t>
        </is>
      </c>
      <c r="AC394" s="4" t="inlineStr">
        <is>
          <t>ANON0000000</t>
        </is>
      </c>
      <c r="AD394" s="4" t="inlineStr">
        <is>
          <t>HC40</t>
        </is>
      </c>
      <c r="AE394" s="4" t="n">
        <v>30385364</v>
      </c>
      <c r="AF394" s="4" t="n"/>
      <c r="AG394" s="4" t="inlineStr">
        <is>
          <t>FCL/FCL</t>
        </is>
      </c>
      <c r="AH394" s="4" t="inlineStr">
        <is>
          <t>GENERAL COMMODITY</t>
        </is>
      </c>
      <c r="AI394" s="4" t="n">
        <v>22248</v>
      </c>
      <c r="AJ394" s="4" t="n">
        <v>22</v>
      </c>
      <c r="AK394" s="4" t="inlineStr">
        <is>
          <t>CLI</t>
        </is>
      </c>
      <c r="AL394" s="4" t="n"/>
      <c r="AM394" s="4" t="n"/>
      <c r="AN394" s="4" t="n"/>
      <c r="AO394" s="4" t="n"/>
      <c r="AP394" s="4" t="n"/>
      <c r="AQ394" s="4" t="n"/>
      <c r="AR394" s="4" t="n">
        <v>3700</v>
      </c>
      <c r="AS394" s="4" t="n">
        <v>27000</v>
      </c>
      <c r="AT394" s="12" t="inlineStr">
        <is>
          <t>Y</t>
        </is>
      </c>
    </row>
    <row r="395">
      <c r="A395" s="11" t="n">
        <v>394</v>
      </c>
      <c r="B395" s="4" t="inlineStr">
        <is>
          <t>MERCURY / VOYAGE 1</t>
        </is>
      </c>
      <c r="C395" s="4" t="inlineStr">
        <is>
          <t>REF000000</t>
        </is>
      </c>
      <c r="D395" s="7" t="n">
        <v>46095</v>
      </c>
      <c r="E395" s="4" t="n">
        <v>46105</v>
      </c>
      <c r="F395" s="4" t="inlineStr">
        <is>
          <t>RULED</t>
        </is>
      </c>
      <c r="G395" s="4" t="inlineStr">
        <is>
          <t>RULED</t>
        </is>
      </c>
      <c r="H395" s="4" t="inlineStr">
        <is>
          <t>USHOU</t>
        </is>
      </c>
      <c r="I395" s="4" t="inlineStr">
        <is>
          <t>USHOU</t>
        </is>
      </c>
      <c r="J395" s="4" t="n"/>
      <c r="K395" s="8" t="n"/>
      <c r="L395" s="4" t="inlineStr">
        <is>
          <t>COYOTE DRY</t>
        </is>
      </c>
      <c r="M395" s="4" t="inlineStr">
        <is>
          <t>COYOTE DRY</t>
        </is>
      </c>
      <c r="N395" s="4" t="n"/>
      <c r="O395" s="4" t="n"/>
      <c r="P395" s="4" t="inlineStr">
        <is>
          <t>COYOTE DRY</t>
        </is>
      </c>
      <c r="Q395" s="4" t="inlineStr">
        <is>
          <t>COYOTE DRY</t>
        </is>
      </c>
      <c r="R395" s="4" t="n"/>
      <c r="S395" s="4" t="n"/>
      <c r="T395" s="4" t="inlineStr">
        <is>
          <t>COYOTE DRY</t>
        </is>
      </c>
      <c r="U395" s="4" t="inlineStr">
        <is>
          <t>195112 ST PETERSBURG MALOOKHTINSKIY PR. 64 LIT B AP 24H</t>
        </is>
      </c>
      <c r="V395" s="4" t="n"/>
      <c r="W395" s="4" t="n"/>
      <c r="X395" s="4" t="n">
        <v>20229</v>
      </c>
      <c r="Y395" s="4" t="n">
        <v>19800</v>
      </c>
      <c r="Z395" s="4" t="n">
        <v>22</v>
      </c>
      <c r="AA395" s="4" t="n"/>
      <c r="AB395" s="4" t="inlineStr">
        <is>
          <t>SAID TO CONTAIN / WEIGHT &amp; MEASURE</t>
        </is>
      </c>
      <c r="AC395" s="4" t="inlineStr">
        <is>
          <t>ANON0000000</t>
        </is>
      </c>
      <c r="AD395" s="4" t="inlineStr">
        <is>
          <t>HC40</t>
        </is>
      </c>
      <c r="AE395" s="4" t="n">
        <v>30238009</v>
      </c>
      <c r="AF395" s="4" t="n"/>
      <c r="AG395" s="4" t="inlineStr">
        <is>
          <t>FCL/FCL</t>
        </is>
      </c>
      <c r="AH395" s="4" t="inlineStr">
        <is>
          <t>GENERAL COMMODITY</t>
        </is>
      </c>
      <c r="AI395" s="4" t="n">
        <v>20229</v>
      </c>
      <c r="AJ395" s="4" t="n">
        <v>22</v>
      </c>
      <c r="AK395" s="4" t="inlineStr">
        <is>
          <t>PKS</t>
        </is>
      </c>
      <c r="AL395" s="4" t="n"/>
      <c r="AM395" s="4" t="n"/>
      <c r="AN395" s="4" t="n"/>
      <c r="AO395" s="4" t="n"/>
      <c r="AP395" s="4" t="n"/>
      <c r="AQ395" s="4" t="n"/>
      <c r="AR395" s="4" t="n">
        <v>3700</v>
      </c>
      <c r="AS395" s="4" t="n">
        <v>27000</v>
      </c>
      <c r="AT395" s="12" t="inlineStr">
        <is>
          <t>Y</t>
        </is>
      </c>
    </row>
    <row r="396">
      <c r="A396" s="11" t="n">
        <v>395</v>
      </c>
      <c r="B396" s="4" t="inlineStr">
        <is>
          <t>MERCURY / VOYAGE 1</t>
        </is>
      </c>
      <c r="C396" s="4" t="inlineStr">
        <is>
          <t>REF000000</t>
        </is>
      </c>
      <c r="D396" s="7" t="n">
        <v>46095</v>
      </c>
      <c r="E396" s="4" t="n">
        <v>46104</v>
      </c>
      <c r="F396" s="4" t="inlineStr">
        <is>
          <t>RULED</t>
        </is>
      </c>
      <c r="G396" s="4" t="inlineStr">
        <is>
          <t>RULED</t>
        </is>
      </c>
      <c r="H396" s="4" t="inlineStr">
        <is>
          <t>USNYC</t>
        </is>
      </c>
      <c r="I396" s="4" t="inlineStr">
        <is>
          <t>USNYC</t>
        </is>
      </c>
      <c r="J396" s="4" t="n"/>
      <c r="K396" s="8" t="n"/>
      <c r="L396" s="4" t="inlineStr">
        <is>
          <t>ORCA REEFER</t>
        </is>
      </c>
      <c r="M396" s="4" t="inlineStr">
        <is>
          <t>ORCA REEFER</t>
        </is>
      </c>
      <c r="N396" s="4" t="n"/>
      <c r="O396" s="4" t="n"/>
      <c r="P396" s="4" t="inlineStr">
        <is>
          <t>ORCA REEFER</t>
        </is>
      </c>
      <c r="Q396" s="4" t="inlineStr">
        <is>
          <t>ORCA REEFER</t>
        </is>
      </c>
      <c r="R396" s="4" t="n"/>
      <c r="S396" s="4" t="n"/>
      <c r="T396" s="4" t="inlineStr">
        <is>
          <t>ORCA REEFER</t>
        </is>
      </c>
      <c r="U396" s="4" t="inlineStr">
        <is>
          <t>Av. das Araucarias, 5266 - Chapada, Araucaria - PR, 83702-</t>
        </is>
      </c>
      <c r="V396" s="4" t="n">
        <v>21</v>
      </c>
      <c r="W396" s="4" t="n">
        <v>0</v>
      </c>
      <c r="X396" s="4" t="n">
        <v>429300</v>
      </c>
      <c r="Y396" s="4" t="n">
        <v>405000</v>
      </c>
      <c r="Z396" s="4" t="n">
        <v>405</v>
      </c>
      <c r="AA396" s="4" t="n"/>
      <c r="AB396" s="4" t="inlineStr">
        <is>
          <t>SAID TO CONTAIN / WEIGH &amp; MEASURE</t>
        </is>
      </c>
      <c r="AC396" s="4" t="inlineStr">
        <is>
          <t>ANON0000000</t>
        </is>
      </c>
      <c r="AD396" s="4" t="inlineStr">
        <is>
          <t>HC40</t>
        </is>
      </c>
      <c r="AE396" s="4" t="n">
        <v>30270618</v>
      </c>
      <c r="AF396" s="4" t="n"/>
      <c r="AG396" s="4" t="inlineStr">
        <is>
          <t>FCL/FCL</t>
        </is>
      </c>
      <c r="AH396" s="4" t="inlineStr">
        <is>
          <t>GENERAL COMMODITY</t>
        </is>
      </c>
      <c r="AI396" s="4" t="n">
        <v>28620</v>
      </c>
      <c r="AJ396" s="4" t="n">
        <v>27</v>
      </c>
      <c r="AK396" s="4" t="inlineStr">
        <is>
          <t>BLO</t>
        </is>
      </c>
      <c r="AL396" s="4" t="n"/>
      <c r="AM396" s="4" t="n"/>
      <c r="AN396" s="4" t="n"/>
      <c r="AO396" s="4" t="n"/>
      <c r="AP396" s="4" t="n"/>
      <c r="AQ396" s="4" t="n"/>
      <c r="AR396" s="4" t="n">
        <v>3700</v>
      </c>
      <c r="AS396" s="4" t="n">
        <v>27000</v>
      </c>
      <c r="AT396" s="12" t="n"/>
    </row>
    <row r="397">
      <c r="A397" s="11" t="n">
        <v>396</v>
      </c>
      <c r="B397" s="4" t="inlineStr">
        <is>
          <t>MERCURY / VOYAGE 1</t>
        </is>
      </c>
      <c r="C397" s="4" t="inlineStr">
        <is>
          <t>REF000000</t>
        </is>
      </c>
      <c r="D397" s="7" t="n">
        <v>46095</v>
      </c>
      <c r="E397" s="4" t="n">
        <v>46104</v>
      </c>
      <c r="F397" s="4" t="inlineStr">
        <is>
          <t>RULED</t>
        </is>
      </c>
      <c r="G397" s="4" t="inlineStr">
        <is>
          <t>RULED</t>
        </is>
      </c>
      <c r="H397" s="4" t="inlineStr">
        <is>
          <t>USNYC</t>
        </is>
      </c>
      <c r="I397" s="4" t="inlineStr">
        <is>
          <t>USNYC</t>
        </is>
      </c>
      <c r="J397" s="4" t="n"/>
      <c r="K397" s="8" t="n"/>
      <c r="L397" s="4" t="inlineStr">
        <is>
          <t>WHALE REEFER</t>
        </is>
      </c>
      <c r="M397" s="4" t="inlineStr">
        <is>
          <t>WHALE REEFER</t>
        </is>
      </c>
      <c r="N397" s="4" t="n"/>
      <c r="O397" s="4" t="n"/>
      <c r="P397" s="4" t="inlineStr">
        <is>
          <t>WHALE REEFER</t>
        </is>
      </c>
      <c r="Q397" s="4" t="inlineStr">
        <is>
          <t>WHALE REEFER</t>
        </is>
      </c>
      <c r="R397" s="4" t="n"/>
      <c r="S397" s="4" t="n"/>
      <c r="T397" s="4" t="inlineStr">
        <is>
          <t>WHALE REEFER</t>
        </is>
      </c>
      <c r="U397" s="4" t="inlineStr">
        <is>
          <t>Av. das Araucarias, 5266 - Chapada, Araucaria - PR, 83702-</t>
        </is>
      </c>
      <c r="V397" s="4" t="n">
        <v>21</v>
      </c>
      <c r="W397" s="4" t="n">
        <v>0</v>
      </c>
      <c r="X397" s="4" t="n">
        <v>429300</v>
      </c>
      <c r="Y397" s="4" t="n">
        <v>405000</v>
      </c>
      <c r="Z397" s="4" t="n">
        <v>405</v>
      </c>
      <c r="AA397" s="4" t="n"/>
      <c r="AB397" s="4" t="inlineStr">
        <is>
          <t>SAID TO CONTAIN / WEIGH &amp; MEASURE</t>
        </is>
      </c>
      <c r="AC397" s="4" t="inlineStr">
        <is>
          <t>ANON0000000</t>
        </is>
      </c>
      <c r="AD397" s="4" t="inlineStr">
        <is>
          <t>HC40</t>
        </is>
      </c>
      <c r="AE397" s="4" t="n">
        <v>30284904</v>
      </c>
      <c r="AF397" s="4" t="n"/>
      <c r="AG397" s="4" t="inlineStr">
        <is>
          <t>FCL/FCL</t>
        </is>
      </c>
      <c r="AH397" s="4" t="inlineStr">
        <is>
          <t>GENERAL COMMODITY</t>
        </is>
      </c>
      <c r="AI397" s="4" t="n">
        <v>28620</v>
      </c>
      <c r="AJ397" s="4" t="n">
        <v>27</v>
      </c>
      <c r="AK397" s="4" t="inlineStr">
        <is>
          <t>BLO</t>
        </is>
      </c>
      <c r="AL397" s="4" t="n"/>
      <c r="AM397" s="4" t="n"/>
      <c r="AN397" s="4" t="n"/>
      <c r="AO397" s="4" t="n"/>
      <c r="AP397" s="4" t="n"/>
      <c r="AQ397" s="4" t="n"/>
      <c r="AR397" s="4" t="n">
        <v>3700</v>
      </c>
      <c r="AS397" s="4" t="n">
        <v>27000</v>
      </c>
      <c r="AT397" s="12" t="n"/>
    </row>
    <row r="398">
      <c r="A398" s="11" t="n">
        <v>397</v>
      </c>
      <c r="B398" s="4" t="inlineStr">
        <is>
          <t>MERCURY / VOYAGE 1</t>
        </is>
      </c>
      <c r="C398" s="4" t="inlineStr">
        <is>
          <t>REF000000</t>
        </is>
      </c>
      <c r="D398" s="7" t="n">
        <v>46095</v>
      </c>
      <c r="E398" s="4" t="n">
        <v>46104</v>
      </c>
      <c r="F398" s="4" t="inlineStr">
        <is>
          <t>RULED</t>
        </is>
      </c>
      <c r="G398" s="4" t="inlineStr">
        <is>
          <t>RULED</t>
        </is>
      </c>
      <c r="H398" s="4" t="inlineStr">
        <is>
          <t>USNYC</t>
        </is>
      </c>
      <c r="I398" s="4" t="inlineStr">
        <is>
          <t>USNYC</t>
        </is>
      </c>
      <c r="J398" s="4" t="n"/>
      <c r="K398" s="8" t="n"/>
      <c r="L398" s="4" t="inlineStr">
        <is>
          <t>SEAL REEFER</t>
        </is>
      </c>
      <c r="M398" s="4" t="inlineStr">
        <is>
          <t>SEAL REEFER</t>
        </is>
      </c>
      <c r="N398" s="4" t="n"/>
      <c r="O398" s="4" t="n"/>
      <c r="P398" s="4" t="inlineStr">
        <is>
          <t>SEAL REEFER</t>
        </is>
      </c>
      <c r="Q398" s="4" t="inlineStr">
        <is>
          <t>SEAL REEFER</t>
        </is>
      </c>
      <c r="R398" s="4" t="n"/>
      <c r="S398" s="4" t="n"/>
      <c r="T398" s="4" t="inlineStr">
        <is>
          <t>SEAL REEFER</t>
        </is>
      </c>
      <c r="U398" s="4" t="inlineStr">
        <is>
          <t>Av. das Araucarias, 5266 - Chapada, Araucaria - PR, 83702-</t>
        </is>
      </c>
      <c r="V398" s="4" t="n">
        <v>21</v>
      </c>
      <c r="W398" s="4" t="n">
        <v>0</v>
      </c>
      <c r="X398" s="4" t="n">
        <v>429300</v>
      </c>
      <c r="Y398" s="4" t="n">
        <v>405000</v>
      </c>
      <c r="Z398" s="4" t="n">
        <v>405</v>
      </c>
      <c r="AA398" s="4" t="n"/>
      <c r="AB398" s="4" t="inlineStr">
        <is>
          <t>SAID TO CONTAIN / WEIGH &amp; MEASURE</t>
        </is>
      </c>
      <c r="AC398" s="4" t="inlineStr">
        <is>
          <t>ANON0000000</t>
        </is>
      </c>
      <c r="AD398" s="4" t="inlineStr">
        <is>
          <t>HC40</t>
        </is>
      </c>
      <c r="AE398" s="4" t="n">
        <v>30284939</v>
      </c>
      <c r="AF398" s="4" t="n"/>
      <c r="AG398" s="4" t="inlineStr">
        <is>
          <t>FCL/FCL</t>
        </is>
      </c>
      <c r="AH398" s="4" t="inlineStr">
        <is>
          <t>GENERAL COMMODITY</t>
        </is>
      </c>
      <c r="AI398" s="4" t="n">
        <v>28620</v>
      </c>
      <c r="AJ398" s="4" t="n">
        <v>27</v>
      </c>
      <c r="AK398" s="4" t="inlineStr">
        <is>
          <t>BLO</t>
        </is>
      </c>
      <c r="AL398" s="4" t="n"/>
      <c r="AM398" s="4" t="n"/>
      <c r="AN398" s="4" t="n"/>
      <c r="AO398" s="4" t="n"/>
      <c r="AP398" s="4" t="n"/>
      <c r="AQ398" s="4" t="n"/>
      <c r="AR398" s="4" t="n">
        <v>3770</v>
      </c>
      <c r="AS398" s="4" t="n">
        <v>27000</v>
      </c>
      <c r="AT398" s="12" t="n"/>
    </row>
    <row r="399">
      <c r="A399" s="11" t="n">
        <v>398</v>
      </c>
      <c r="B399" s="4" t="inlineStr">
        <is>
          <t>MERCURY / VOYAGE 1</t>
        </is>
      </c>
      <c r="C399" s="4" t="inlineStr">
        <is>
          <t>REF000000</t>
        </is>
      </c>
      <c r="D399" s="7" t="n">
        <v>46095</v>
      </c>
      <c r="E399" s="4" t="n">
        <v>46104</v>
      </c>
      <c r="F399" s="4" t="inlineStr">
        <is>
          <t>RULED</t>
        </is>
      </c>
      <c r="G399" s="4" t="inlineStr">
        <is>
          <t>RULED</t>
        </is>
      </c>
      <c r="H399" s="4" t="inlineStr">
        <is>
          <t>USNYC</t>
        </is>
      </c>
      <c r="I399" s="4" t="inlineStr">
        <is>
          <t>USNYC</t>
        </is>
      </c>
      <c r="J399" s="4" t="n"/>
      <c r="K399" s="8" t="n"/>
      <c r="L399" s="4" t="inlineStr">
        <is>
          <t>SHARK REEFER</t>
        </is>
      </c>
      <c r="M399" s="4" t="inlineStr">
        <is>
          <t>SHARK REEFER</t>
        </is>
      </c>
      <c r="N399" s="4" t="n"/>
      <c r="O399" s="4" t="n"/>
      <c r="P399" s="4" t="inlineStr">
        <is>
          <t>SHARK REEFER</t>
        </is>
      </c>
      <c r="Q399" s="4" t="inlineStr">
        <is>
          <t>SHARK REEFER</t>
        </is>
      </c>
      <c r="R399" s="4" t="n"/>
      <c r="S399" s="4" t="n"/>
      <c r="T399" s="4" t="inlineStr">
        <is>
          <t>SHARK REEFER</t>
        </is>
      </c>
      <c r="U399" s="4" t="inlineStr">
        <is>
          <t>Av. das Araucarias, 5266 - Chapada, Araucaria - PR, 83702-</t>
        </is>
      </c>
      <c r="V399" s="4" t="n">
        <v>21</v>
      </c>
      <c r="W399" s="4" t="n">
        <v>0</v>
      </c>
      <c r="X399" s="4" t="n">
        <v>429300</v>
      </c>
      <c r="Y399" s="4" t="n">
        <v>405000</v>
      </c>
      <c r="Z399" s="4" t="n">
        <v>405</v>
      </c>
      <c r="AA399" s="4" t="n"/>
      <c r="AB399" s="4" t="inlineStr">
        <is>
          <t>SAID TO CONTAIN / WEIGH &amp; MEASURE</t>
        </is>
      </c>
      <c r="AC399" s="4" t="inlineStr">
        <is>
          <t>ANON0000000</t>
        </is>
      </c>
      <c r="AD399" s="4" t="inlineStr">
        <is>
          <t>HC40</t>
        </is>
      </c>
      <c r="AE399" s="4" t="n">
        <v>30284990</v>
      </c>
      <c r="AF399" s="4" t="n"/>
      <c r="AG399" s="4" t="inlineStr">
        <is>
          <t>FCL/FCL</t>
        </is>
      </c>
      <c r="AH399" s="4" t="inlineStr">
        <is>
          <t>GENERAL COMMODITY</t>
        </is>
      </c>
      <c r="AI399" s="4" t="n">
        <v>28620</v>
      </c>
      <c r="AJ399" s="4" t="n">
        <v>27</v>
      </c>
      <c r="AK399" s="4" t="inlineStr">
        <is>
          <t>BLO</t>
        </is>
      </c>
      <c r="AL399" s="4" t="n"/>
      <c r="AM399" s="4" t="n"/>
      <c r="AN399" s="4" t="n"/>
      <c r="AO399" s="4" t="n"/>
      <c r="AP399" s="4" t="n"/>
      <c r="AQ399" s="4" t="n"/>
      <c r="AR399" s="4" t="n">
        <v>3700</v>
      </c>
      <c r="AS399" s="4" t="n">
        <v>27000</v>
      </c>
      <c r="AT399" s="12" t="n"/>
    </row>
    <row r="400">
      <c r="A400" s="11" t="n">
        <v>399</v>
      </c>
      <c r="B400" s="4" t="inlineStr">
        <is>
          <t>MERCURY / VOYAGE 1</t>
        </is>
      </c>
      <c r="C400" s="4" t="inlineStr">
        <is>
          <t>REF000000</t>
        </is>
      </c>
      <c r="D400" s="7" t="n">
        <v>46095</v>
      </c>
      <c r="E400" s="4" t="n">
        <v>46104</v>
      </c>
      <c r="F400" s="4" t="inlineStr">
        <is>
          <t>RULED</t>
        </is>
      </c>
      <c r="G400" s="4" t="inlineStr">
        <is>
          <t>RULED</t>
        </is>
      </c>
      <c r="H400" s="4" t="inlineStr">
        <is>
          <t>USNYC</t>
        </is>
      </c>
      <c r="I400" s="4" t="inlineStr">
        <is>
          <t>USNYC</t>
        </is>
      </c>
      <c r="J400" s="4" t="n"/>
      <c r="K400" s="8" t="n"/>
      <c r="L400" s="4" t="inlineStr">
        <is>
          <t>DOLPHIN REEFER</t>
        </is>
      </c>
      <c r="M400" s="4" t="inlineStr">
        <is>
          <t>DOLPHIN REEFER</t>
        </is>
      </c>
      <c r="N400" s="4" t="n"/>
      <c r="O400" s="4" t="n"/>
      <c r="P400" s="4" t="inlineStr">
        <is>
          <t>DOLPHIN REEFER</t>
        </is>
      </c>
      <c r="Q400" s="4" t="inlineStr">
        <is>
          <t>DOLPHIN REEFER</t>
        </is>
      </c>
      <c r="R400" s="4" t="n"/>
      <c r="S400" s="4" t="n"/>
      <c r="T400" s="4" t="inlineStr">
        <is>
          <t>DOLPHIN REEFER</t>
        </is>
      </c>
      <c r="U400" s="4" t="inlineStr">
        <is>
          <t>Av. das Araucarias, 5266 - Chapada, Araucaria - PR, 83702-</t>
        </is>
      </c>
      <c r="V400" s="4" t="n">
        <v>21</v>
      </c>
      <c r="W400" s="4" t="n">
        <v>0</v>
      </c>
      <c r="X400" s="4" t="n">
        <v>429300</v>
      </c>
      <c r="Y400" s="4" t="n">
        <v>405000</v>
      </c>
      <c r="Z400" s="4" t="n">
        <v>405</v>
      </c>
      <c r="AA400" s="4" t="n"/>
      <c r="AB400" s="4" t="inlineStr">
        <is>
          <t>SAID TO CONTAIN / WEIGH &amp; MEASURE</t>
        </is>
      </c>
      <c r="AC400" s="4" t="inlineStr">
        <is>
          <t>ANON0000000</t>
        </is>
      </c>
      <c r="AD400" s="4" t="inlineStr">
        <is>
          <t>HC40</t>
        </is>
      </c>
      <c r="AE400" s="4" t="n">
        <v>30270619</v>
      </c>
      <c r="AF400" s="4" t="n"/>
      <c r="AG400" s="4" t="inlineStr">
        <is>
          <t>FCL/FCL</t>
        </is>
      </c>
      <c r="AH400" s="4" t="inlineStr">
        <is>
          <t>GENERAL COMMODITY</t>
        </is>
      </c>
      <c r="AI400" s="4" t="n">
        <v>28620</v>
      </c>
      <c r="AJ400" s="4" t="n">
        <v>27</v>
      </c>
      <c r="AK400" s="4" t="inlineStr">
        <is>
          <t>BLO</t>
        </is>
      </c>
      <c r="AL400" s="4" t="n"/>
      <c r="AM400" s="4" t="n"/>
      <c r="AN400" s="4" t="n"/>
      <c r="AO400" s="4" t="n"/>
      <c r="AP400" s="4" t="n"/>
      <c r="AQ400" s="4" t="n"/>
      <c r="AR400" s="4" t="n">
        <v>3700</v>
      </c>
      <c r="AS400" s="4" t="n">
        <v>27000</v>
      </c>
      <c r="AT400" s="12" t="n"/>
    </row>
    <row r="401">
      <c r="A401" s="11" t="n">
        <v>400</v>
      </c>
      <c r="B401" s="4" t="inlineStr">
        <is>
          <t>MERCURY / VOYAGE 1</t>
        </is>
      </c>
      <c r="C401" s="4" t="inlineStr">
        <is>
          <t>REF000000</t>
        </is>
      </c>
      <c r="D401" s="7" t="n">
        <v>46095</v>
      </c>
      <c r="E401" s="4" t="n">
        <v>46104</v>
      </c>
      <c r="F401" s="4" t="inlineStr">
        <is>
          <t>RULED</t>
        </is>
      </c>
      <c r="G401" s="4" t="inlineStr">
        <is>
          <t>RULED</t>
        </is>
      </c>
      <c r="H401" s="4" t="inlineStr">
        <is>
          <t>USNYC</t>
        </is>
      </c>
      <c r="I401" s="4" t="inlineStr">
        <is>
          <t>USNYC</t>
        </is>
      </c>
      <c r="J401" s="4" t="n"/>
      <c r="K401" s="8" t="n"/>
      <c r="L401" s="4" t="inlineStr">
        <is>
          <t>MARLIN REEFER</t>
        </is>
      </c>
      <c r="M401" s="4" t="inlineStr">
        <is>
          <t>MARLIN REEFER</t>
        </is>
      </c>
      <c r="N401" s="4" t="n"/>
      <c r="O401" s="4" t="n"/>
      <c r="P401" s="4" t="inlineStr">
        <is>
          <t>MARLIN REEFER</t>
        </is>
      </c>
      <c r="Q401" s="4" t="inlineStr">
        <is>
          <t>MARLIN REEFER</t>
        </is>
      </c>
      <c r="R401" s="4" t="n"/>
      <c r="S401" s="4" t="n"/>
      <c r="T401" s="4" t="inlineStr">
        <is>
          <t>MARLIN REEFER</t>
        </is>
      </c>
      <c r="U401" s="4" t="inlineStr">
        <is>
          <t>Av. das Araucarias, 5266 - Chapada, Araucaria - PR, 83702-</t>
        </is>
      </c>
      <c r="V401" s="4" t="n">
        <v>21</v>
      </c>
      <c r="W401" s="4" t="n">
        <v>0</v>
      </c>
      <c r="X401" s="4" t="n">
        <v>429300</v>
      </c>
      <c r="Y401" s="4" t="n">
        <v>405000</v>
      </c>
      <c r="Z401" s="4" t="n">
        <v>405</v>
      </c>
      <c r="AA401" s="4" t="n"/>
      <c r="AB401" s="4" t="inlineStr">
        <is>
          <t>SAID TO CONTAIN / WEIGH &amp; MEASURE</t>
        </is>
      </c>
      <c r="AC401" s="4" t="inlineStr">
        <is>
          <t>ANON0000000</t>
        </is>
      </c>
      <c r="AD401" s="4" t="inlineStr">
        <is>
          <t>HC40</t>
        </is>
      </c>
      <c r="AE401" s="4" t="n">
        <v>30270611</v>
      </c>
      <c r="AF401" s="4" t="n"/>
      <c r="AG401" s="4" t="inlineStr">
        <is>
          <t>FCL/FCL</t>
        </is>
      </c>
      <c r="AH401" s="4" t="inlineStr">
        <is>
          <t>GENERAL COMMODITY</t>
        </is>
      </c>
      <c r="AI401" s="4" t="n">
        <v>28620</v>
      </c>
      <c r="AJ401" s="4" t="n">
        <v>27</v>
      </c>
      <c r="AK401" s="4" t="inlineStr">
        <is>
          <t>BLO</t>
        </is>
      </c>
      <c r="AL401" s="4" t="n"/>
      <c r="AM401" s="4" t="n"/>
      <c r="AN401" s="4" t="n"/>
      <c r="AO401" s="4" t="n"/>
      <c r="AP401" s="4" t="n"/>
      <c r="AQ401" s="4" t="n"/>
      <c r="AR401" s="4" t="n">
        <v>3700</v>
      </c>
      <c r="AS401" s="4" t="n">
        <v>27000</v>
      </c>
      <c r="AT401" s="12" t="n"/>
    </row>
    <row r="402">
      <c r="A402" s="11" t="n">
        <v>401</v>
      </c>
      <c r="B402" s="4" t="inlineStr">
        <is>
          <t>MERCURY / VOYAGE 1</t>
        </is>
      </c>
      <c r="C402" s="4" t="inlineStr">
        <is>
          <t>REF000000</t>
        </is>
      </c>
      <c r="D402" s="7" t="n">
        <v>46095</v>
      </c>
      <c r="E402" s="4" t="n">
        <v>46104</v>
      </c>
      <c r="F402" s="4" t="inlineStr">
        <is>
          <t>RULED</t>
        </is>
      </c>
      <c r="G402" s="4" t="inlineStr">
        <is>
          <t>RULED</t>
        </is>
      </c>
      <c r="H402" s="4" t="inlineStr">
        <is>
          <t>USNYC</t>
        </is>
      </c>
      <c r="I402" s="4" t="inlineStr">
        <is>
          <t>USNYC</t>
        </is>
      </c>
      <c r="J402" s="4" t="n"/>
      <c r="K402" s="8" t="n"/>
      <c r="L402" s="4" t="inlineStr">
        <is>
          <t>TURTLE REEFER</t>
        </is>
      </c>
      <c r="M402" s="4" t="inlineStr">
        <is>
          <t>TURTLE REEFER</t>
        </is>
      </c>
      <c r="N402" s="4" t="n"/>
      <c r="O402" s="4" t="n"/>
      <c r="P402" s="4" t="inlineStr">
        <is>
          <t>TURTLE REEFER</t>
        </is>
      </c>
      <c r="Q402" s="4" t="inlineStr">
        <is>
          <t>TURTLE REEFER</t>
        </is>
      </c>
      <c r="R402" s="4" t="n"/>
      <c r="S402" s="4" t="n"/>
      <c r="T402" s="4" t="inlineStr">
        <is>
          <t>TURTLE REEFER</t>
        </is>
      </c>
      <c r="U402" s="4" t="inlineStr">
        <is>
          <t>Av. das Araucarias, 5266 - Chapada, Araucaria - PR, 83702-</t>
        </is>
      </c>
      <c r="V402" s="4" t="n">
        <v>21</v>
      </c>
      <c r="W402" s="4" t="n">
        <v>0</v>
      </c>
      <c r="X402" s="4" t="n">
        <v>429300</v>
      </c>
      <c r="Y402" s="4" t="n">
        <v>405000</v>
      </c>
      <c r="Z402" s="4" t="n">
        <v>405</v>
      </c>
      <c r="AA402" s="4" t="n"/>
      <c r="AB402" s="4" t="inlineStr">
        <is>
          <t>SAID TO CONTAIN / WEIGH &amp; MEASURE</t>
        </is>
      </c>
      <c r="AC402" s="4" t="inlineStr">
        <is>
          <t>ANON0000000</t>
        </is>
      </c>
      <c r="AD402" s="4" t="inlineStr">
        <is>
          <t>HC40</t>
        </is>
      </c>
      <c r="AE402" s="4" t="n">
        <v>30195294</v>
      </c>
      <c r="AF402" s="4" t="n"/>
      <c r="AG402" s="4" t="inlineStr">
        <is>
          <t>FCL/FCL</t>
        </is>
      </c>
      <c r="AH402" s="4" t="inlineStr">
        <is>
          <t>GENERAL COMMODITY</t>
        </is>
      </c>
      <c r="AI402" s="4" t="n">
        <v>28620</v>
      </c>
      <c r="AJ402" s="4" t="n">
        <v>27</v>
      </c>
      <c r="AK402" s="4" t="inlineStr">
        <is>
          <t>BLO</t>
        </is>
      </c>
      <c r="AL402" s="4" t="n"/>
      <c r="AM402" s="4" t="n"/>
      <c r="AN402" s="4" t="n"/>
      <c r="AO402" s="4" t="n"/>
      <c r="AP402" s="4" t="n"/>
      <c r="AQ402" s="4" t="n"/>
      <c r="AR402" s="4" t="n">
        <v>3700</v>
      </c>
      <c r="AS402" s="4" t="n">
        <v>27000</v>
      </c>
      <c r="AT402" s="12" t="n"/>
    </row>
    <row r="403">
      <c r="A403" s="11" t="n">
        <v>402</v>
      </c>
      <c r="B403" s="4" t="inlineStr">
        <is>
          <t>MERCURY / VOYAGE 1</t>
        </is>
      </c>
      <c r="C403" s="4" t="inlineStr">
        <is>
          <t>REF000000</t>
        </is>
      </c>
      <c r="D403" s="7" t="n">
        <v>46095</v>
      </c>
      <c r="E403" s="4" t="n">
        <v>46104</v>
      </c>
      <c r="F403" s="4" t="inlineStr">
        <is>
          <t>RULED</t>
        </is>
      </c>
      <c r="G403" s="4" t="inlineStr">
        <is>
          <t>RULED</t>
        </is>
      </c>
      <c r="H403" s="4" t="inlineStr">
        <is>
          <t>USNYC</t>
        </is>
      </c>
      <c r="I403" s="4" t="inlineStr">
        <is>
          <t>USNYC</t>
        </is>
      </c>
      <c r="J403" s="4" t="n"/>
      <c r="K403" s="8" t="n"/>
      <c r="L403" s="4" t="inlineStr">
        <is>
          <t>ORCA REEFER</t>
        </is>
      </c>
      <c r="M403" s="4" t="inlineStr">
        <is>
          <t>ORCA REEFER</t>
        </is>
      </c>
      <c r="N403" s="4" t="n"/>
      <c r="O403" s="4" t="n"/>
      <c r="P403" s="4" t="inlineStr">
        <is>
          <t>ORCA REEFER</t>
        </is>
      </c>
      <c r="Q403" s="4" t="inlineStr">
        <is>
          <t>ORCA REEFER</t>
        </is>
      </c>
      <c r="R403" s="4" t="n"/>
      <c r="S403" s="4" t="n"/>
      <c r="T403" s="4" t="inlineStr">
        <is>
          <t>ORCA REEFER</t>
        </is>
      </c>
      <c r="U403" s="4" t="inlineStr">
        <is>
          <t>Av. das Araucarias, 5266 - Chapada, Araucaria - PR, 83702-</t>
        </is>
      </c>
      <c r="V403" s="4" t="n">
        <v>21</v>
      </c>
      <c r="W403" s="4" t="n">
        <v>0</v>
      </c>
      <c r="X403" s="4" t="n">
        <v>429300</v>
      </c>
      <c r="Y403" s="4" t="n">
        <v>405000</v>
      </c>
      <c r="Z403" s="4" t="n">
        <v>405</v>
      </c>
      <c r="AA403" s="4" t="n"/>
      <c r="AB403" s="4" t="inlineStr">
        <is>
          <t>SAID TO CONTAIN / WEIGH &amp; MEASURE</t>
        </is>
      </c>
      <c r="AC403" s="4" t="inlineStr">
        <is>
          <t>ANON0000000</t>
        </is>
      </c>
      <c r="AD403" s="4" t="inlineStr">
        <is>
          <t>HC40</t>
        </is>
      </c>
      <c r="AE403" s="4" t="n">
        <v>30270616</v>
      </c>
      <c r="AF403" s="4" t="n"/>
      <c r="AG403" s="4" t="inlineStr">
        <is>
          <t>FCL/FCL</t>
        </is>
      </c>
      <c r="AH403" s="4" t="inlineStr">
        <is>
          <t>GENERAL COMMODITY</t>
        </is>
      </c>
      <c r="AI403" s="4" t="n">
        <v>28620</v>
      </c>
      <c r="AJ403" s="4" t="n">
        <v>27</v>
      </c>
      <c r="AK403" s="4" t="inlineStr">
        <is>
          <t>BLO</t>
        </is>
      </c>
      <c r="AL403" s="4" t="n"/>
      <c r="AM403" s="4" t="n"/>
      <c r="AN403" s="4" t="n"/>
      <c r="AO403" s="4" t="n"/>
      <c r="AP403" s="4" t="n"/>
      <c r="AQ403" s="4" t="n"/>
      <c r="AR403" s="4" t="n">
        <v>3700</v>
      </c>
      <c r="AS403" s="4" t="n">
        <v>27000</v>
      </c>
      <c r="AT403" s="12" t="n"/>
    </row>
    <row r="404">
      <c r="A404" s="11" t="n">
        <v>403</v>
      </c>
      <c r="B404" s="4" t="inlineStr">
        <is>
          <t>MERCURY / VOYAGE 1</t>
        </is>
      </c>
      <c r="C404" s="4" t="inlineStr">
        <is>
          <t>REF000000</t>
        </is>
      </c>
      <c r="D404" s="7" t="n">
        <v>46095</v>
      </c>
      <c r="E404" s="4" t="n">
        <v>46104</v>
      </c>
      <c r="F404" s="4" t="inlineStr">
        <is>
          <t>RULED</t>
        </is>
      </c>
      <c r="G404" s="4" t="inlineStr">
        <is>
          <t>RULED</t>
        </is>
      </c>
      <c r="H404" s="4" t="inlineStr">
        <is>
          <t>USNYC</t>
        </is>
      </c>
      <c r="I404" s="4" t="inlineStr">
        <is>
          <t>USNYC</t>
        </is>
      </c>
      <c r="J404" s="4" t="n"/>
      <c r="K404" s="8" t="n"/>
      <c r="L404" s="4" t="inlineStr">
        <is>
          <t>WHALE REEFER</t>
        </is>
      </c>
      <c r="M404" s="4" t="inlineStr">
        <is>
          <t>WHALE REEFER</t>
        </is>
      </c>
      <c r="N404" s="4" t="n"/>
      <c r="O404" s="4" t="n"/>
      <c r="P404" s="4" t="inlineStr">
        <is>
          <t>WHALE REEFER</t>
        </is>
      </c>
      <c r="Q404" s="4" t="inlineStr">
        <is>
          <t>WHALE REEFER</t>
        </is>
      </c>
      <c r="R404" s="4" t="n"/>
      <c r="S404" s="4" t="n"/>
      <c r="T404" s="4" t="inlineStr">
        <is>
          <t>WHALE REEFER</t>
        </is>
      </c>
      <c r="U404" s="4" t="inlineStr">
        <is>
          <t>Av. das Araucarias, 5266 - Chapada, Araucaria - PR, 83702-</t>
        </is>
      </c>
      <c r="V404" s="4" t="n">
        <v>21</v>
      </c>
      <c r="W404" s="4" t="n">
        <v>0</v>
      </c>
      <c r="X404" s="4" t="n">
        <v>429300</v>
      </c>
      <c r="Y404" s="4" t="n">
        <v>405000</v>
      </c>
      <c r="Z404" s="4" t="n">
        <v>405</v>
      </c>
      <c r="AA404" s="4" t="n"/>
      <c r="AB404" s="4" t="inlineStr">
        <is>
          <t>SAID TO CONTAIN / WEIGH &amp; MEASURE</t>
        </is>
      </c>
      <c r="AC404" s="4" t="inlineStr">
        <is>
          <t>ANON0000000</t>
        </is>
      </c>
      <c r="AD404" s="4" t="inlineStr">
        <is>
          <t>HC40</t>
        </is>
      </c>
      <c r="AE404" s="4" t="n">
        <v>30270648</v>
      </c>
      <c r="AF404" s="4" t="n"/>
      <c r="AG404" s="4" t="inlineStr">
        <is>
          <t>FCL/FCL</t>
        </is>
      </c>
      <c r="AH404" s="4" t="inlineStr">
        <is>
          <t>GENERAL COMMODITY</t>
        </is>
      </c>
      <c r="AI404" s="4" t="n">
        <v>28620</v>
      </c>
      <c r="AJ404" s="4" t="n">
        <v>27</v>
      </c>
      <c r="AK404" s="4" t="inlineStr">
        <is>
          <t>BLO</t>
        </is>
      </c>
      <c r="AL404" s="4" t="n"/>
      <c r="AM404" s="4" t="n"/>
      <c r="AN404" s="4" t="n"/>
      <c r="AO404" s="4" t="n"/>
      <c r="AP404" s="4" t="n"/>
      <c r="AQ404" s="4" t="n"/>
      <c r="AR404" s="4" t="n">
        <v>3700</v>
      </c>
      <c r="AS404" s="4" t="n">
        <v>27000</v>
      </c>
      <c r="AT404" s="12" t="n"/>
    </row>
    <row r="405">
      <c r="A405" s="11" t="n">
        <v>404</v>
      </c>
      <c r="B405" s="4" t="inlineStr">
        <is>
          <t>MERCURY / VOYAGE 1</t>
        </is>
      </c>
      <c r="C405" s="4" t="inlineStr">
        <is>
          <t>REF000000</t>
        </is>
      </c>
      <c r="D405" s="7" t="n">
        <v>46095</v>
      </c>
      <c r="E405" s="4" t="n">
        <v>46104</v>
      </c>
      <c r="F405" s="4" t="inlineStr">
        <is>
          <t>RULED</t>
        </is>
      </c>
      <c r="G405" s="4" t="inlineStr">
        <is>
          <t>RULED</t>
        </is>
      </c>
      <c r="H405" s="4" t="inlineStr">
        <is>
          <t>USNYC</t>
        </is>
      </c>
      <c r="I405" s="4" t="inlineStr">
        <is>
          <t>USNYC</t>
        </is>
      </c>
      <c r="J405" s="4" t="n"/>
      <c r="K405" s="8" t="n"/>
      <c r="L405" s="4" t="inlineStr">
        <is>
          <t>SEAL REEFER</t>
        </is>
      </c>
      <c r="M405" s="4" t="inlineStr">
        <is>
          <t>SEAL REEFER</t>
        </is>
      </c>
      <c r="N405" s="4" t="n"/>
      <c r="O405" s="4" t="n"/>
      <c r="P405" s="4" t="inlineStr">
        <is>
          <t>SEAL REEFER</t>
        </is>
      </c>
      <c r="Q405" s="4" t="inlineStr">
        <is>
          <t>SEAL REEFER</t>
        </is>
      </c>
      <c r="R405" s="4" t="n"/>
      <c r="S405" s="4" t="n"/>
      <c r="T405" s="4" t="inlineStr">
        <is>
          <t>SEAL REEFER</t>
        </is>
      </c>
      <c r="U405" s="4" t="inlineStr">
        <is>
          <t>Av. das Araucarias, 5266 - Chapada, Araucaria - PR, 83702-</t>
        </is>
      </c>
      <c r="V405" s="4" t="n">
        <v>21</v>
      </c>
      <c r="W405" s="4" t="n">
        <v>0</v>
      </c>
      <c r="X405" s="4" t="n">
        <v>429300</v>
      </c>
      <c r="Y405" s="4" t="n">
        <v>405000</v>
      </c>
      <c r="Z405" s="4" t="n">
        <v>405</v>
      </c>
      <c r="AA405" s="4" t="n"/>
      <c r="AB405" s="4" t="inlineStr">
        <is>
          <t>SAID TO CONTAIN / WEIGH &amp; MEASURE</t>
        </is>
      </c>
      <c r="AC405" s="4" t="inlineStr">
        <is>
          <t>ANON0000000</t>
        </is>
      </c>
      <c r="AD405" s="4" t="inlineStr">
        <is>
          <t>HC40</t>
        </is>
      </c>
      <c r="AE405" s="4" t="n">
        <v>30284914</v>
      </c>
      <c r="AF405" s="4" t="n"/>
      <c r="AG405" s="4" t="inlineStr">
        <is>
          <t>FCL/FCL</t>
        </is>
      </c>
      <c r="AH405" s="4" t="inlineStr">
        <is>
          <t>GENERAL COMMODITY</t>
        </is>
      </c>
      <c r="AI405" s="4" t="n">
        <v>28620</v>
      </c>
      <c r="AJ405" s="4" t="n">
        <v>27</v>
      </c>
      <c r="AK405" s="4" t="inlineStr">
        <is>
          <t>BLO</t>
        </is>
      </c>
      <c r="AL405" s="4" t="n"/>
      <c r="AM405" s="4" t="n"/>
      <c r="AN405" s="4" t="n"/>
      <c r="AO405" s="4" t="n"/>
      <c r="AP405" s="4" t="n"/>
      <c r="AQ405" s="4" t="n"/>
      <c r="AR405" s="4" t="n">
        <v>3700</v>
      </c>
      <c r="AS405" s="4" t="n">
        <v>27000</v>
      </c>
      <c r="AT405" s="12" t="n"/>
    </row>
    <row r="406">
      <c r="A406" s="11" t="n">
        <v>405</v>
      </c>
      <c r="B406" s="4" t="inlineStr">
        <is>
          <t>MERCURY / VOYAGE 1</t>
        </is>
      </c>
      <c r="C406" s="4" t="inlineStr">
        <is>
          <t>REF000000</t>
        </is>
      </c>
      <c r="D406" s="7" t="n">
        <v>46095</v>
      </c>
      <c r="E406" s="4" t="n">
        <v>46104</v>
      </c>
      <c r="F406" s="4" t="inlineStr">
        <is>
          <t>RULED</t>
        </is>
      </c>
      <c r="G406" s="4" t="inlineStr">
        <is>
          <t>RULED</t>
        </is>
      </c>
      <c r="H406" s="4" t="inlineStr">
        <is>
          <t>USNYC</t>
        </is>
      </c>
      <c r="I406" s="4" t="inlineStr">
        <is>
          <t>USNYC</t>
        </is>
      </c>
      <c r="J406" s="4" t="n"/>
      <c r="K406" s="8" t="n"/>
      <c r="L406" s="4" t="inlineStr">
        <is>
          <t>SHARK REEFER</t>
        </is>
      </c>
      <c r="M406" s="4" t="inlineStr">
        <is>
          <t>SHARK REEFER</t>
        </is>
      </c>
      <c r="N406" s="4" t="n"/>
      <c r="O406" s="4" t="n"/>
      <c r="P406" s="4" t="inlineStr">
        <is>
          <t>SHARK REEFER</t>
        </is>
      </c>
      <c r="Q406" s="4" t="inlineStr">
        <is>
          <t>SHARK REEFER</t>
        </is>
      </c>
      <c r="R406" s="4" t="n"/>
      <c r="S406" s="4" t="n"/>
      <c r="T406" s="4" t="inlineStr">
        <is>
          <t>SHARK REEFER</t>
        </is>
      </c>
      <c r="U406" s="4" t="inlineStr">
        <is>
          <t>Av. das Araucarias, 5266 - Chapada, Araucaria - PR, 83702-</t>
        </is>
      </c>
      <c r="V406" s="4" t="n">
        <v>21</v>
      </c>
      <c r="W406" s="4" t="n">
        <v>0</v>
      </c>
      <c r="X406" s="4" t="n">
        <v>429300</v>
      </c>
      <c r="Y406" s="4" t="n">
        <v>405000</v>
      </c>
      <c r="Z406" s="4" t="n">
        <v>405</v>
      </c>
      <c r="AA406" s="4" t="n"/>
      <c r="AB406" s="4" t="inlineStr">
        <is>
          <t>SAID TO CONTAIN / WEIGH &amp; MEASURE</t>
        </is>
      </c>
      <c r="AC406" s="4" t="inlineStr">
        <is>
          <t>ANON0000000</t>
        </is>
      </c>
      <c r="AD406" s="4" t="inlineStr">
        <is>
          <t>HC40</t>
        </is>
      </c>
      <c r="AE406" s="4" t="n">
        <v>30284917</v>
      </c>
      <c r="AF406" s="4" t="n"/>
      <c r="AG406" s="4" t="inlineStr">
        <is>
          <t>FCL/FCL</t>
        </is>
      </c>
      <c r="AH406" s="4" t="inlineStr">
        <is>
          <t>GENERAL COMMODITY</t>
        </is>
      </c>
      <c r="AI406" s="4" t="n">
        <v>28620</v>
      </c>
      <c r="AJ406" s="4" t="n">
        <v>27</v>
      </c>
      <c r="AK406" s="4" t="inlineStr">
        <is>
          <t>BLO</t>
        </is>
      </c>
      <c r="AL406" s="4" t="n"/>
      <c r="AM406" s="4" t="n"/>
      <c r="AN406" s="4" t="n"/>
      <c r="AO406" s="4" t="n"/>
      <c r="AP406" s="4" t="n"/>
      <c r="AQ406" s="4" t="n"/>
      <c r="AR406" s="4" t="n">
        <v>3700</v>
      </c>
      <c r="AS406" s="4" t="n">
        <v>27000</v>
      </c>
      <c r="AT406" s="12" t="n"/>
    </row>
    <row r="407">
      <c r="A407" s="11" t="n">
        <v>406</v>
      </c>
      <c r="B407" s="4" t="inlineStr">
        <is>
          <t>MERCURY / VOYAGE 1</t>
        </is>
      </c>
      <c r="C407" s="4" t="inlineStr">
        <is>
          <t>REF000000</t>
        </is>
      </c>
      <c r="D407" s="7" t="n">
        <v>46095</v>
      </c>
      <c r="E407" s="4" t="n">
        <v>46104</v>
      </c>
      <c r="F407" s="4" t="inlineStr">
        <is>
          <t>RULED</t>
        </is>
      </c>
      <c r="G407" s="4" t="inlineStr">
        <is>
          <t>RULED</t>
        </is>
      </c>
      <c r="H407" s="4" t="inlineStr">
        <is>
          <t>USNYC</t>
        </is>
      </c>
      <c r="I407" s="4" t="inlineStr">
        <is>
          <t>USNYC</t>
        </is>
      </c>
      <c r="J407" s="4" t="n"/>
      <c r="K407" s="8" t="n"/>
      <c r="L407" s="4" t="inlineStr">
        <is>
          <t>DOLPHIN REEFER</t>
        </is>
      </c>
      <c r="M407" s="4" t="inlineStr">
        <is>
          <t>DOLPHIN REEFER</t>
        </is>
      </c>
      <c r="N407" s="4" t="n"/>
      <c r="O407" s="4" t="n"/>
      <c r="P407" s="4" t="inlineStr">
        <is>
          <t>DOLPHIN REEFER</t>
        </is>
      </c>
      <c r="Q407" s="4" t="inlineStr">
        <is>
          <t>DOLPHIN REEFER</t>
        </is>
      </c>
      <c r="R407" s="4" t="n"/>
      <c r="S407" s="4" t="n"/>
      <c r="T407" s="4" t="inlineStr">
        <is>
          <t>DOLPHIN REEFER</t>
        </is>
      </c>
      <c r="U407" s="4" t="inlineStr">
        <is>
          <t>Av. das Araucarias, 5266 - Chapada, Araucaria - PR, 83702-</t>
        </is>
      </c>
      <c r="V407" s="4" t="n">
        <v>21</v>
      </c>
      <c r="W407" s="4" t="n">
        <v>0</v>
      </c>
      <c r="X407" s="4" t="n">
        <v>429300</v>
      </c>
      <c r="Y407" s="4" t="n">
        <v>405000</v>
      </c>
      <c r="Z407" s="4" t="n">
        <v>405</v>
      </c>
      <c r="AA407" s="4" t="n"/>
      <c r="AB407" s="4" t="inlineStr">
        <is>
          <t>SAID TO CONTAIN / WEIGH &amp; MEASURE</t>
        </is>
      </c>
      <c r="AC407" s="4" t="inlineStr">
        <is>
          <t>ANON0000000</t>
        </is>
      </c>
      <c r="AD407" s="4" t="inlineStr">
        <is>
          <t>HC40</t>
        </is>
      </c>
      <c r="AE407" s="4" t="n">
        <v>30239102</v>
      </c>
      <c r="AF407" s="4" t="n"/>
      <c r="AG407" s="4" t="inlineStr">
        <is>
          <t>FCL/FCL</t>
        </is>
      </c>
      <c r="AH407" s="4" t="inlineStr">
        <is>
          <t>GENERAL COMMODITY</t>
        </is>
      </c>
      <c r="AI407" s="4" t="n">
        <v>28620</v>
      </c>
      <c r="AJ407" s="4" t="n">
        <v>27</v>
      </c>
      <c r="AK407" s="4" t="inlineStr">
        <is>
          <t>BLO</t>
        </is>
      </c>
      <c r="AL407" s="4" t="n"/>
      <c r="AM407" s="4" t="n"/>
      <c r="AN407" s="4" t="n"/>
      <c r="AO407" s="4" t="n"/>
      <c r="AP407" s="4" t="n"/>
      <c r="AQ407" s="4" t="n"/>
      <c r="AR407" s="4" t="n">
        <v>3770</v>
      </c>
      <c r="AS407" s="4" t="n">
        <v>27000</v>
      </c>
      <c r="AT407" s="12" t="n"/>
    </row>
    <row r="408">
      <c r="A408" s="11" t="n">
        <v>407</v>
      </c>
      <c r="B408" s="4" t="inlineStr">
        <is>
          <t>MERCURY / VOYAGE 1</t>
        </is>
      </c>
      <c r="C408" s="4" t="inlineStr">
        <is>
          <t>REF000000</t>
        </is>
      </c>
      <c r="D408" s="7" t="n">
        <v>46095</v>
      </c>
      <c r="E408" s="4" t="n">
        <v>46104</v>
      </c>
      <c r="F408" s="4" t="inlineStr">
        <is>
          <t>RULED</t>
        </is>
      </c>
      <c r="G408" s="4" t="inlineStr">
        <is>
          <t>RULED</t>
        </is>
      </c>
      <c r="H408" s="4" t="inlineStr">
        <is>
          <t>USNYC</t>
        </is>
      </c>
      <c r="I408" s="4" t="inlineStr">
        <is>
          <t>USNYC</t>
        </is>
      </c>
      <c r="J408" s="4" t="n"/>
      <c r="K408" s="8" t="n"/>
      <c r="L408" s="4" t="inlineStr">
        <is>
          <t>MARLIN REEFER</t>
        </is>
      </c>
      <c r="M408" s="4" t="inlineStr">
        <is>
          <t>MARLIN REEFER</t>
        </is>
      </c>
      <c r="N408" s="4" t="n"/>
      <c r="O408" s="4" t="n"/>
      <c r="P408" s="4" t="inlineStr">
        <is>
          <t>MARLIN REEFER</t>
        </is>
      </c>
      <c r="Q408" s="4" t="inlineStr">
        <is>
          <t>MARLIN REEFER</t>
        </is>
      </c>
      <c r="R408" s="4" t="n"/>
      <c r="S408" s="4" t="n"/>
      <c r="T408" s="4" t="inlineStr">
        <is>
          <t>MARLIN REEFER</t>
        </is>
      </c>
      <c r="U408" s="4" t="inlineStr">
        <is>
          <t>Av. das Araucarias, 5266 - Chapada, Araucaria - PR, 83702-</t>
        </is>
      </c>
      <c r="V408" s="4" t="n">
        <v>21</v>
      </c>
      <c r="W408" s="4" t="n">
        <v>0</v>
      </c>
      <c r="X408" s="4" t="n">
        <v>429300</v>
      </c>
      <c r="Y408" s="4" t="n">
        <v>405000</v>
      </c>
      <c r="Z408" s="4" t="n">
        <v>405</v>
      </c>
      <c r="AA408" s="4" t="n"/>
      <c r="AB408" s="4" t="inlineStr">
        <is>
          <t>SAID TO CONTAIN / WEIGH &amp; MEASURE</t>
        </is>
      </c>
      <c r="AC408" s="4" t="inlineStr">
        <is>
          <t>ANON0000000</t>
        </is>
      </c>
      <c r="AD408" s="4" t="inlineStr">
        <is>
          <t>HC40</t>
        </is>
      </c>
      <c r="AE408" s="4" t="n">
        <v>30271669</v>
      </c>
      <c r="AF408" s="4" t="n"/>
      <c r="AG408" s="4" t="inlineStr">
        <is>
          <t>FCL/FCL</t>
        </is>
      </c>
      <c r="AH408" s="4" t="inlineStr">
        <is>
          <t>GENERAL COMMODITY</t>
        </is>
      </c>
      <c r="AI408" s="4" t="n">
        <v>28620</v>
      </c>
      <c r="AJ408" s="4" t="n">
        <v>27</v>
      </c>
      <c r="AK408" s="4" t="inlineStr">
        <is>
          <t>BLO</t>
        </is>
      </c>
      <c r="AL408" s="4" t="n"/>
      <c r="AM408" s="4" t="n"/>
      <c r="AN408" s="4" t="n"/>
      <c r="AO408" s="4" t="n"/>
      <c r="AP408" s="4" t="n"/>
      <c r="AQ408" s="4" t="n"/>
      <c r="AR408" s="4" t="n">
        <v>3700</v>
      </c>
      <c r="AS408" s="4" t="n">
        <v>27000</v>
      </c>
      <c r="AT408" s="12" t="n"/>
    </row>
    <row r="409">
      <c r="A409" s="11" t="n">
        <v>408</v>
      </c>
      <c r="B409" s="4" t="inlineStr">
        <is>
          <t>MERCURY / VOYAGE 1</t>
        </is>
      </c>
      <c r="C409" s="4" t="inlineStr">
        <is>
          <t>REF000000</t>
        </is>
      </c>
      <c r="D409" s="7" t="n">
        <v>46095</v>
      </c>
      <c r="E409" s="4" t="n">
        <v>46104</v>
      </c>
      <c r="F409" s="4" t="inlineStr">
        <is>
          <t>RULED</t>
        </is>
      </c>
      <c r="G409" s="4" t="inlineStr">
        <is>
          <t>RULED</t>
        </is>
      </c>
      <c r="H409" s="4" t="inlineStr">
        <is>
          <t>USNYC</t>
        </is>
      </c>
      <c r="I409" s="4" t="inlineStr">
        <is>
          <t>USNYC</t>
        </is>
      </c>
      <c r="J409" s="4" t="n"/>
      <c r="K409" s="8" t="n"/>
      <c r="L409" s="4" t="inlineStr">
        <is>
          <t>TURTLE REEFER</t>
        </is>
      </c>
      <c r="M409" s="4" t="inlineStr">
        <is>
          <t>TURTLE REEFER</t>
        </is>
      </c>
      <c r="N409" s="4" t="n"/>
      <c r="O409" s="4" t="n"/>
      <c r="P409" s="4" t="inlineStr">
        <is>
          <t>TURTLE REEFER</t>
        </is>
      </c>
      <c r="Q409" s="4" t="inlineStr">
        <is>
          <t>TURTLE REEFER</t>
        </is>
      </c>
      <c r="R409" s="4" t="n"/>
      <c r="S409" s="4" t="n"/>
      <c r="T409" s="4" t="inlineStr">
        <is>
          <t>TURTLE REEFER</t>
        </is>
      </c>
      <c r="U409" s="4" t="inlineStr">
        <is>
          <t>Av. das Araucarias, 5266 - Chapada, Araucaria - PR, 83702-</t>
        </is>
      </c>
      <c r="V409" s="4" t="n">
        <v>21</v>
      </c>
      <c r="W409" s="4" t="n">
        <v>0</v>
      </c>
      <c r="X409" s="4" t="n">
        <v>429300</v>
      </c>
      <c r="Y409" s="4" t="n">
        <v>405000</v>
      </c>
      <c r="Z409" s="4" t="n">
        <v>405</v>
      </c>
      <c r="AA409" s="4" t="n"/>
      <c r="AB409" s="4" t="inlineStr">
        <is>
          <t>SAID TO CONTAIN / WEIGH &amp; MEASURE</t>
        </is>
      </c>
      <c r="AC409" s="4" t="inlineStr">
        <is>
          <t>ANON0000000</t>
        </is>
      </c>
      <c r="AD409" s="4" t="inlineStr">
        <is>
          <t>HC40</t>
        </is>
      </c>
      <c r="AE409" s="4" t="n">
        <v>30284975</v>
      </c>
      <c r="AF409" s="4" t="n"/>
      <c r="AG409" s="4" t="inlineStr">
        <is>
          <t>FCL/FCL</t>
        </is>
      </c>
      <c r="AH409" s="4" t="inlineStr">
        <is>
          <t>GENERAL COMMODITY</t>
        </is>
      </c>
      <c r="AI409" s="4" t="n">
        <v>28620</v>
      </c>
      <c r="AJ409" s="4" t="n">
        <v>27</v>
      </c>
      <c r="AK409" s="4" t="inlineStr">
        <is>
          <t>BLO</t>
        </is>
      </c>
      <c r="AL409" s="4" t="n"/>
      <c r="AM409" s="4" t="n"/>
      <c r="AN409" s="4" t="n"/>
      <c r="AO409" s="4" t="n"/>
      <c r="AP409" s="4" t="n"/>
      <c r="AQ409" s="4" t="n"/>
      <c r="AR409" s="4" t="n">
        <v>3770</v>
      </c>
      <c r="AS409" s="4" t="n">
        <v>27000</v>
      </c>
      <c r="AT409" s="12" t="n"/>
    </row>
    <row r="410">
      <c r="A410" s="11" t="n">
        <v>409</v>
      </c>
      <c r="B410" s="4" t="inlineStr">
        <is>
          <t>MERCURY / VOYAGE 1</t>
        </is>
      </c>
      <c r="C410" s="4" t="inlineStr">
        <is>
          <t>REF000000</t>
        </is>
      </c>
      <c r="D410" s="7" t="n">
        <v>46095</v>
      </c>
      <c r="E410" s="4" t="n">
        <v>46104</v>
      </c>
      <c r="F410" s="4" t="inlineStr">
        <is>
          <t>RULED</t>
        </is>
      </c>
      <c r="G410" s="4" t="inlineStr">
        <is>
          <t>RULED</t>
        </is>
      </c>
      <c r="H410" s="4" t="inlineStr">
        <is>
          <t>USNYC</t>
        </is>
      </c>
      <c r="I410" s="4" t="inlineStr">
        <is>
          <t>USNYC</t>
        </is>
      </c>
      <c r="J410" s="4" t="n"/>
      <c r="K410" s="8" t="n"/>
      <c r="L410" s="4" t="inlineStr">
        <is>
          <t>ORCA REEFER</t>
        </is>
      </c>
      <c r="M410" s="4" t="inlineStr">
        <is>
          <t>ORCA REEFER</t>
        </is>
      </c>
      <c r="N410" s="4" t="n"/>
      <c r="O410" s="4" t="n"/>
      <c r="P410" s="4" t="inlineStr">
        <is>
          <t>ORCA REEFER</t>
        </is>
      </c>
      <c r="Q410" s="4" t="inlineStr">
        <is>
          <t>ORCA REEFER</t>
        </is>
      </c>
      <c r="R410" s="4" t="n"/>
      <c r="S410" s="4" t="n"/>
      <c r="T410" s="4" t="inlineStr">
        <is>
          <t>ORCA REEFER</t>
        </is>
      </c>
      <c r="U410" s="4" t="inlineStr">
        <is>
          <t>Av. das Araucarias, 5266 - Chapada, Araucaria - PR, 83702-</t>
        </is>
      </c>
      <c r="V410" s="4" t="n">
        <v>21</v>
      </c>
      <c r="W410" s="4" t="n">
        <v>0</v>
      </c>
      <c r="X410" s="4" t="n">
        <v>429300</v>
      </c>
      <c r="Y410" s="4" t="n">
        <v>405000</v>
      </c>
      <c r="Z410" s="4" t="n">
        <v>405</v>
      </c>
      <c r="AA410" s="4" t="n"/>
      <c r="AB410" s="4" t="inlineStr">
        <is>
          <t>SAID TO CONTAIN / WEIGH &amp; MEASURE</t>
        </is>
      </c>
      <c r="AC410" s="4" t="inlineStr">
        <is>
          <t>ANON0000000</t>
        </is>
      </c>
      <c r="AD410" s="4" t="inlineStr">
        <is>
          <t>HC40</t>
        </is>
      </c>
      <c r="AE410" s="4" t="n">
        <v>30284913</v>
      </c>
      <c r="AF410" s="4" t="n"/>
      <c r="AG410" s="4" t="inlineStr">
        <is>
          <t>FCL/FCL</t>
        </is>
      </c>
      <c r="AH410" s="4" t="inlineStr">
        <is>
          <t>GENERAL COMMODITY</t>
        </is>
      </c>
      <c r="AI410" s="4" t="n">
        <v>28620</v>
      </c>
      <c r="AJ410" s="4" t="n">
        <v>27</v>
      </c>
      <c r="AK410" s="4" t="inlineStr">
        <is>
          <t>BLO</t>
        </is>
      </c>
      <c r="AL410" s="4" t="n"/>
      <c r="AM410" s="4" t="n"/>
      <c r="AN410" s="4" t="n"/>
      <c r="AO410" s="4" t="n"/>
      <c r="AP410" s="4" t="n"/>
      <c r="AQ410" s="4" t="n"/>
      <c r="AR410" s="4" t="n">
        <v>3700</v>
      </c>
      <c r="AS410" s="4" t="n">
        <v>27000</v>
      </c>
      <c r="AT410" s="12" t="n"/>
    </row>
    <row r="411">
      <c r="A411" s="11" t="n">
        <v>410</v>
      </c>
      <c r="B411" s="4" t="inlineStr">
        <is>
          <t>MERCURY / VOYAGE 1</t>
        </is>
      </c>
      <c r="C411" s="4" t="inlineStr">
        <is>
          <t>REF000000</t>
        </is>
      </c>
      <c r="D411" s="7" t="n">
        <v>46095</v>
      </c>
      <c r="E411" s="4" t="n">
        <v>46104</v>
      </c>
      <c r="F411" s="4" t="inlineStr">
        <is>
          <t>RULED</t>
        </is>
      </c>
      <c r="G411" s="4" t="inlineStr">
        <is>
          <t>RULED</t>
        </is>
      </c>
      <c r="H411" s="4" t="inlineStr">
        <is>
          <t>USNYC</t>
        </is>
      </c>
      <c r="I411" s="4" t="inlineStr">
        <is>
          <t>USNYC</t>
        </is>
      </c>
      <c r="J411" s="4" t="n"/>
      <c r="K411" s="8" t="n"/>
      <c r="L411" s="4" t="inlineStr">
        <is>
          <t>WHALE REEFER</t>
        </is>
      </c>
      <c r="M411" s="4" t="inlineStr">
        <is>
          <t>WHALE REEFER</t>
        </is>
      </c>
      <c r="N411" s="4" t="n"/>
      <c r="O411" s="4" t="n"/>
      <c r="P411" s="4" t="inlineStr">
        <is>
          <t>WHALE REEFER</t>
        </is>
      </c>
      <c r="Q411" s="4" t="inlineStr">
        <is>
          <t>WHALE REEFER</t>
        </is>
      </c>
      <c r="R411" s="4" t="n"/>
      <c r="S411" s="4" t="n"/>
      <c r="T411" s="4" t="inlineStr">
        <is>
          <t>WHALE REEFER</t>
        </is>
      </c>
      <c r="U411" s="4" t="inlineStr">
        <is>
          <t>Av. das Araucarias, 5266 - Chapada, Araucaria - PR, 83702-</t>
        </is>
      </c>
      <c r="V411" s="4" t="n">
        <v>21</v>
      </c>
      <c r="W411" s="4" t="n">
        <v>0</v>
      </c>
      <c r="X411" s="4" t="n">
        <v>429260</v>
      </c>
      <c r="Y411" s="4" t="n">
        <v>405000</v>
      </c>
      <c r="Z411" s="4" t="n">
        <v>405</v>
      </c>
      <c r="AA411" s="4" t="n"/>
      <c r="AB411" s="4" t="inlineStr">
        <is>
          <t>SAID TO CONTAIN / WEIGH &amp; MEASURE</t>
        </is>
      </c>
      <c r="AC411" s="4" t="inlineStr">
        <is>
          <t>ANON0000000</t>
        </is>
      </c>
      <c r="AD411" s="4" t="inlineStr">
        <is>
          <t>HC40</t>
        </is>
      </c>
      <c r="AE411" s="4" t="n">
        <v>30270609</v>
      </c>
      <c r="AF411" s="4" t="n"/>
      <c r="AG411" s="4" t="inlineStr">
        <is>
          <t>FCL/FCL</t>
        </is>
      </c>
      <c r="AH411" s="4" t="inlineStr">
        <is>
          <t>GENERAL COMMODITY</t>
        </is>
      </c>
      <c r="AI411" s="4" t="n">
        <v>28620</v>
      </c>
      <c r="AJ411" s="4" t="n">
        <v>27</v>
      </c>
      <c r="AK411" s="4" t="inlineStr">
        <is>
          <t>BLO</t>
        </is>
      </c>
      <c r="AL411" s="4" t="n"/>
      <c r="AM411" s="4" t="n"/>
      <c r="AN411" s="4" t="n"/>
      <c r="AO411" s="4" t="n"/>
      <c r="AP411" s="4" t="n"/>
      <c r="AQ411" s="4" t="n"/>
      <c r="AR411" s="4" t="n">
        <v>3750</v>
      </c>
      <c r="AS411" s="4" t="n">
        <v>27000</v>
      </c>
      <c r="AT411" s="12" t="n"/>
    </row>
    <row r="412">
      <c r="A412" s="11" t="n">
        <v>411</v>
      </c>
      <c r="B412" s="4" t="inlineStr">
        <is>
          <t>MERCURY / VOYAGE 1</t>
        </is>
      </c>
      <c r="C412" s="4" t="inlineStr">
        <is>
          <t>REF000000</t>
        </is>
      </c>
      <c r="D412" s="7" t="n">
        <v>46095</v>
      </c>
      <c r="E412" s="4" t="n">
        <v>46104</v>
      </c>
      <c r="F412" s="4" t="inlineStr">
        <is>
          <t>RULED</t>
        </is>
      </c>
      <c r="G412" s="4" t="inlineStr">
        <is>
          <t>RULED</t>
        </is>
      </c>
      <c r="H412" s="4" t="inlineStr">
        <is>
          <t>USNYC</t>
        </is>
      </c>
      <c r="I412" s="4" t="inlineStr">
        <is>
          <t>USNYC</t>
        </is>
      </c>
      <c r="J412" s="4" t="n"/>
      <c r="K412" s="8" t="n"/>
      <c r="L412" s="4" t="inlineStr">
        <is>
          <t>SEAL REEFER</t>
        </is>
      </c>
      <c r="M412" s="4" t="inlineStr">
        <is>
          <t>SEAL REEFER</t>
        </is>
      </c>
      <c r="N412" s="4" t="n"/>
      <c r="O412" s="4" t="n"/>
      <c r="P412" s="4" t="inlineStr">
        <is>
          <t>SEAL REEFER</t>
        </is>
      </c>
      <c r="Q412" s="4" t="inlineStr">
        <is>
          <t>SEAL REEFER</t>
        </is>
      </c>
      <c r="R412" s="4" t="n"/>
      <c r="S412" s="4" t="n"/>
      <c r="T412" s="4" t="inlineStr">
        <is>
          <t>SEAL REEFER</t>
        </is>
      </c>
      <c r="U412" s="4" t="inlineStr">
        <is>
          <t>Av. das Araucarias, 5266 - Chapada, Araucaria - PR, 83702-</t>
        </is>
      </c>
      <c r="V412" s="4" t="n">
        <v>21</v>
      </c>
      <c r="W412" s="4" t="n">
        <v>0</v>
      </c>
      <c r="X412" s="4" t="n">
        <v>429260</v>
      </c>
      <c r="Y412" s="4" t="n">
        <v>405000</v>
      </c>
      <c r="Z412" s="4" t="n">
        <v>405</v>
      </c>
      <c r="AA412" s="4" t="n"/>
      <c r="AB412" s="4" t="inlineStr">
        <is>
          <t>SAID TO CONTAIN / WEIGH &amp; MEASURE</t>
        </is>
      </c>
      <c r="AC412" s="4" t="inlineStr">
        <is>
          <t>ANON0000000</t>
        </is>
      </c>
      <c r="AD412" s="4" t="inlineStr">
        <is>
          <t>HC40</t>
        </is>
      </c>
      <c r="AE412" s="4" t="n">
        <v>30284919</v>
      </c>
      <c r="AF412" s="4" t="n"/>
      <c r="AG412" s="4" t="inlineStr">
        <is>
          <t>FCL/FCL</t>
        </is>
      </c>
      <c r="AH412" s="4" t="inlineStr">
        <is>
          <t>GENERAL COMMODITY</t>
        </is>
      </c>
      <c r="AI412" s="4" t="n">
        <v>28620</v>
      </c>
      <c r="AJ412" s="4" t="n">
        <v>27</v>
      </c>
      <c r="AK412" s="4" t="inlineStr">
        <is>
          <t>BLO</t>
        </is>
      </c>
      <c r="AL412" s="4" t="n"/>
      <c r="AM412" s="4" t="n"/>
      <c r="AN412" s="4" t="n"/>
      <c r="AO412" s="4" t="n"/>
      <c r="AP412" s="4" t="n"/>
      <c r="AQ412" s="4" t="n"/>
      <c r="AR412" s="4" t="n">
        <v>3700</v>
      </c>
      <c r="AS412" s="4" t="n">
        <v>27000</v>
      </c>
      <c r="AT412" s="12" t="n"/>
    </row>
    <row r="413">
      <c r="A413" s="11" t="n">
        <v>412</v>
      </c>
      <c r="B413" s="4" t="inlineStr">
        <is>
          <t>MERCURY / VOYAGE 1</t>
        </is>
      </c>
      <c r="C413" s="4" t="inlineStr">
        <is>
          <t>REF000000</t>
        </is>
      </c>
      <c r="D413" s="7" t="n">
        <v>46095</v>
      </c>
      <c r="E413" s="4" t="n">
        <v>46104</v>
      </c>
      <c r="F413" s="4" t="inlineStr">
        <is>
          <t>RULED</t>
        </is>
      </c>
      <c r="G413" s="4" t="inlineStr">
        <is>
          <t>RULED</t>
        </is>
      </c>
      <c r="H413" s="4" t="inlineStr">
        <is>
          <t>USNYC</t>
        </is>
      </c>
      <c r="I413" s="4" t="inlineStr">
        <is>
          <t>USNYC</t>
        </is>
      </c>
      <c r="J413" s="4" t="n"/>
      <c r="K413" s="8" t="n"/>
      <c r="L413" s="4" t="inlineStr">
        <is>
          <t>SHARK REEFER</t>
        </is>
      </c>
      <c r="M413" s="4" t="inlineStr">
        <is>
          <t>SHARK REEFER</t>
        </is>
      </c>
      <c r="N413" s="4" t="n"/>
      <c r="O413" s="4" t="n"/>
      <c r="P413" s="4" t="inlineStr">
        <is>
          <t>SHARK REEFER</t>
        </is>
      </c>
      <c r="Q413" s="4" t="inlineStr">
        <is>
          <t>SHARK REEFER</t>
        </is>
      </c>
      <c r="R413" s="4" t="n"/>
      <c r="S413" s="4" t="n"/>
      <c r="T413" s="4" t="inlineStr">
        <is>
          <t>SHARK REEFER</t>
        </is>
      </c>
      <c r="U413" s="4" t="inlineStr">
        <is>
          <t>Av. das Araucarias, 5266 - Chapada, Araucaria - PR, 83702-</t>
        </is>
      </c>
      <c r="V413" s="4" t="n">
        <v>21</v>
      </c>
      <c r="W413" s="4" t="n">
        <v>0</v>
      </c>
      <c r="X413" s="4" t="n">
        <v>429260</v>
      </c>
      <c r="Y413" s="4" t="n">
        <v>405000</v>
      </c>
      <c r="Z413" s="4" t="n">
        <v>405</v>
      </c>
      <c r="AA413" s="4" t="n"/>
      <c r="AB413" s="4" t="inlineStr">
        <is>
          <t>SAID TO CONTAIN / WEIGH &amp; MEASURE</t>
        </is>
      </c>
      <c r="AC413" s="4" t="inlineStr">
        <is>
          <t>ANON0000000</t>
        </is>
      </c>
      <c r="AD413" s="4" t="inlineStr">
        <is>
          <t>HC40</t>
        </is>
      </c>
      <c r="AE413" s="4" t="n">
        <v>30239106</v>
      </c>
      <c r="AF413" s="4" t="n"/>
      <c r="AG413" s="4" t="inlineStr">
        <is>
          <t>FCL/FCL</t>
        </is>
      </c>
      <c r="AH413" s="4" t="inlineStr">
        <is>
          <t>GENERAL COMMODITY</t>
        </is>
      </c>
      <c r="AI413" s="4" t="n">
        <v>28620</v>
      </c>
      <c r="AJ413" s="4" t="n">
        <v>27</v>
      </c>
      <c r="AK413" s="4" t="inlineStr">
        <is>
          <t>BLO</t>
        </is>
      </c>
      <c r="AL413" s="4" t="n"/>
      <c r="AM413" s="4" t="n"/>
      <c r="AN413" s="4" t="n"/>
      <c r="AO413" s="4" t="n"/>
      <c r="AP413" s="4" t="n"/>
      <c r="AQ413" s="4" t="n"/>
      <c r="AR413" s="4" t="n">
        <v>3700</v>
      </c>
      <c r="AS413" s="4" t="n">
        <v>27000</v>
      </c>
      <c r="AT413" s="12" t="n"/>
    </row>
    <row r="414">
      <c r="A414" s="11" t="n">
        <v>413</v>
      </c>
      <c r="B414" s="4" t="inlineStr">
        <is>
          <t>MERCURY / VOYAGE 1</t>
        </is>
      </c>
      <c r="C414" s="4" t="inlineStr">
        <is>
          <t>REF000000</t>
        </is>
      </c>
      <c r="D414" s="7" t="n">
        <v>46095</v>
      </c>
      <c r="E414" s="4" t="n">
        <v>46104</v>
      </c>
      <c r="F414" s="4" t="inlineStr">
        <is>
          <t>RULED</t>
        </is>
      </c>
      <c r="G414" s="4" t="inlineStr">
        <is>
          <t>RULED</t>
        </is>
      </c>
      <c r="H414" s="4" t="inlineStr">
        <is>
          <t>USNYC</t>
        </is>
      </c>
      <c r="I414" s="4" t="inlineStr">
        <is>
          <t>USNYC</t>
        </is>
      </c>
      <c r="J414" s="4" t="n"/>
      <c r="K414" s="8" t="n"/>
      <c r="L414" s="4" t="inlineStr">
        <is>
          <t>DOLPHIN REEFER</t>
        </is>
      </c>
      <c r="M414" s="4" t="inlineStr">
        <is>
          <t>DOLPHIN REEFER</t>
        </is>
      </c>
      <c r="N414" s="4" t="n"/>
      <c r="O414" s="4" t="n"/>
      <c r="P414" s="4" t="inlineStr">
        <is>
          <t>DOLPHIN REEFER</t>
        </is>
      </c>
      <c r="Q414" s="4" t="inlineStr">
        <is>
          <t>DOLPHIN REEFER</t>
        </is>
      </c>
      <c r="R414" s="4" t="n"/>
      <c r="S414" s="4" t="n"/>
      <c r="T414" s="4" t="inlineStr">
        <is>
          <t>DOLPHIN REEFER</t>
        </is>
      </c>
      <c r="U414" s="4" t="inlineStr">
        <is>
          <t>Av. das Araucarias, 5266 - Chapada, Araucaria - PR, 83702-</t>
        </is>
      </c>
      <c r="V414" s="4" t="n">
        <v>21</v>
      </c>
      <c r="W414" s="4" t="n">
        <v>0</v>
      </c>
      <c r="X414" s="4" t="n">
        <v>429260</v>
      </c>
      <c r="Y414" s="4" t="n">
        <v>405000</v>
      </c>
      <c r="Z414" s="4" t="n">
        <v>405</v>
      </c>
      <c r="AA414" s="4" t="n"/>
      <c r="AB414" s="4" t="inlineStr">
        <is>
          <t>SAID TO CONTAIN / WEIGH &amp; MEASURE</t>
        </is>
      </c>
      <c r="AC414" s="4" t="inlineStr">
        <is>
          <t>ANON0000000</t>
        </is>
      </c>
      <c r="AD414" s="4" t="inlineStr">
        <is>
          <t>HC40</t>
        </is>
      </c>
      <c r="AE414" s="4" t="n">
        <v>30195293</v>
      </c>
      <c r="AF414" s="4" t="n"/>
      <c r="AG414" s="4" t="inlineStr">
        <is>
          <t>FCL/FCL</t>
        </is>
      </c>
      <c r="AH414" s="4" t="inlineStr">
        <is>
          <t>GENERAL COMMODITY</t>
        </is>
      </c>
      <c r="AI414" s="4" t="n">
        <v>28620</v>
      </c>
      <c r="AJ414" s="4" t="n">
        <v>27</v>
      </c>
      <c r="AK414" s="4" t="inlineStr">
        <is>
          <t>BLO</t>
        </is>
      </c>
      <c r="AL414" s="4" t="n"/>
      <c r="AM414" s="4" t="n"/>
      <c r="AN414" s="4" t="n"/>
      <c r="AO414" s="4" t="n"/>
      <c r="AP414" s="4" t="n"/>
      <c r="AQ414" s="4" t="n"/>
      <c r="AR414" s="4" t="n">
        <v>3700</v>
      </c>
      <c r="AS414" s="4" t="n">
        <v>27000</v>
      </c>
      <c r="AT414" s="12" t="n"/>
    </row>
    <row r="415">
      <c r="A415" s="11" t="n">
        <v>414</v>
      </c>
      <c r="B415" s="4" t="inlineStr">
        <is>
          <t>MERCURY / VOYAGE 1</t>
        </is>
      </c>
      <c r="C415" s="4" t="inlineStr">
        <is>
          <t>REF000000</t>
        </is>
      </c>
      <c r="D415" s="7" t="n">
        <v>46095</v>
      </c>
      <c r="E415" s="4" t="n">
        <v>46104</v>
      </c>
      <c r="F415" s="4" t="inlineStr">
        <is>
          <t>RULED</t>
        </is>
      </c>
      <c r="G415" s="4" t="inlineStr">
        <is>
          <t>RULED</t>
        </is>
      </c>
      <c r="H415" s="4" t="inlineStr">
        <is>
          <t>USNYC</t>
        </is>
      </c>
      <c r="I415" s="4" t="inlineStr">
        <is>
          <t>USNYC</t>
        </is>
      </c>
      <c r="J415" s="4" t="n"/>
      <c r="K415" s="8" t="n"/>
      <c r="L415" s="4" t="inlineStr">
        <is>
          <t>MARLIN REEFER</t>
        </is>
      </c>
      <c r="M415" s="4" t="inlineStr">
        <is>
          <t>MARLIN REEFER</t>
        </is>
      </c>
      <c r="N415" s="4" t="n"/>
      <c r="O415" s="4" t="n"/>
      <c r="P415" s="4" t="inlineStr">
        <is>
          <t>MARLIN REEFER</t>
        </is>
      </c>
      <c r="Q415" s="4" t="inlineStr">
        <is>
          <t>MARLIN REEFER</t>
        </is>
      </c>
      <c r="R415" s="4" t="n"/>
      <c r="S415" s="4" t="n"/>
      <c r="T415" s="4" t="inlineStr">
        <is>
          <t>MARLIN REEFER</t>
        </is>
      </c>
      <c r="U415" s="4" t="inlineStr">
        <is>
          <t>Av. das Araucarias, 5266 - Chapada, Araucaria - PR, 83702-</t>
        </is>
      </c>
      <c r="V415" s="4" t="n">
        <v>21</v>
      </c>
      <c r="W415" s="4" t="n">
        <v>0</v>
      </c>
      <c r="X415" s="4" t="n">
        <v>429260</v>
      </c>
      <c r="Y415" s="4" t="n">
        <v>405000</v>
      </c>
      <c r="Z415" s="4" t="n">
        <v>405</v>
      </c>
      <c r="AA415" s="4" t="n"/>
      <c r="AB415" s="4" t="inlineStr">
        <is>
          <t>SAID TO CONTAIN / WEIGH &amp; MEASURE</t>
        </is>
      </c>
      <c r="AC415" s="4" t="inlineStr">
        <is>
          <t>ANON0000000</t>
        </is>
      </c>
      <c r="AD415" s="4" t="inlineStr">
        <is>
          <t>HC40</t>
        </is>
      </c>
      <c r="AE415" s="4" t="n">
        <v>30284976</v>
      </c>
      <c r="AF415" s="4" t="n"/>
      <c r="AG415" s="4" t="inlineStr">
        <is>
          <t>FCL/FCL</t>
        </is>
      </c>
      <c r="AH415" s="4" t="inlineStr">
        <is>
          <t>GENERAL COMMODITY</t>
        </is>
      </c>
      <c r="AI415" s="4" t="n">
        <v>28620</v>
      </c>
      <c r="AJ415" s="4" t="n">
        <v>27</v>
      </c>
      <c r="AK415" s="4" t="inlineStr">
        <is>
          <t>BLO</t>
        </is>
      </c>
      <c r="AL415" s="4" t="n"/>
      <c r="AM415" s="4" t="n"/>
      <c r="AN415" s="4" t="n"/>
      <c r="AO415" s="4" t="n"/>
      <c r="AP415" s="4" t="n"/>
      <c r="AQ415" s="4" t="n"/>
      <c r="AR415" s="4" t="n">
        <v>3700</v>
      </c>
      <c r="AS415" s="4" t="n">
        <v>27000</v>
      </c>
      <c r="AT415" s="12" t="n"/>
    </row>
    <row r="416">
      <c r="A416" s="11" t="n">
        <v>415</v>
      </c>
      <c r="B416" s="4" t="inlineStr">
        <is>
          <t>MERCURY / VOYAGE 1</t>
        </is>
      </c>
      <c r="C416" s="4" t="inlineStr">
        <is>
          <t>REF000000</t>
        </is>
      </c>
      <c r="D416" s="7" t="n">
        <v>46095</v>
      </c>
      <c r="E416" s="4" t="n">
        <v>46104</v>
      </c>
      <c r="F416" s="4" t="inlineStr">
        <is>
          <t>RULED</t>
        </is>
      </c>
      <c r="G416" s="4" t="inlineStr">
        <is>
          <t>RULED</t>
        </is>
      </c>
      <c r="H416" s="4" t="inlineStr">
        <is>
          <t>USNYC</t>
        </is>
      </c>
      <c r="I416" s="4" t="inlineStr">
        <is>
          <t>USNYC</t>
        </is>
      </c>
      <c r="J416" s="4" t="n"/>
      <c r="K416" s="8" t="n"/>
      <c r="L416" s="4" t="inlineStr">
        <is>
          <t>TURTLE REEFER</t>
        </is>
      </c>
      <c r="M416" s="4" t="inlineStr">
        <is>
          <t>TURTLE REEFER</t>
        </is>
      </c>
      <c r="N416" s="4" t="n"/>
      <c r="O416" s="4" t="n"/>
      <c r="P416" s="4" t="inlineStr">
        <is>
          <t>TURTLE REEFER</t>
        </is>
      </c>
      <c r="Q416" s="4" t="inlineStr">
        <is>
          <t>TURTLE REEFER</t>
        </is>
      </c>
      <c r="R416" s="4" t="n"/>
      <c r="S416" s="4" t="n"/>
      <c r="T416" s="4" t="inlineStr">
        <is>
          <t>TURTLE REEFER</t>
        </is>
      </c>
      <c r="U416" s="4" t="inlineStr">
        <is>
          <t>Av. das Araucarias, 5266 - Chapada, Araucaria - PR, 83702-</t>
        </is>
      </c>
      <c r="V416" s="4" t="n">
        <v>21</v>
      </c>
      <c r="W416" s="4" t="n">
        <v>0</v>
      </c>
      <c r="X416" s="4" t="n">
        <v>429260</v>
      </c>
      <c r="Y416" s="4" t="n">
        <v>405000</v>
      </c>
      <c r="Z416" s="4" t="n">
        <v>405</v>
      </c>
      <c r="AA416" s="4" t="n"/>
      <c r="AB416" s="4" t="inlineStr">
        <is>
          <t>SAID TO CONTAIN / WEIGH &amp; MEASURE</t>
        </is>
      </c>
      <c r="AC416" s="4" t="inlineStr">
        <is>
          <t>ANON0000000</t>
        </is>
      </c>
      <c r="AD416" s="4" t="inlineStr">
        <is>
          <t>HC40</t>
        </is>
      </c>
      <c r="AE416" s="4" t="n">
        <v>30270626</v>
      </c>
      <c r="AF416" s="4" t="n"/>
      <c r="AG416" s="4" t="inlineStr">
        <is>
          <t>FCL/FCL</t>
        </is>
      </c>
      <c r="AH416" s="4" t="inlineStr">
        <is>
          <t>GENERAL COMMODITY</t>
        </is>
      </c>
      <c r="AI416" s="4" t="n">
        <v>28620</v>
      </c>
      <c r="AJ416" s="4" t="n">
        <v>27</v>
      </c>
      <c r="AK416" s="4" t="inlineStr">
        <is>
          <t>BLO</t>
        </is>
      </c>
      <c r="AL416" s="4" t="n"/>
      <c r="AM416" s="4" t="n"/>
      <c r="AN416" s="4" t="n"/>
      <c r="AO416" s="4" t="n"/>
      <c r="AP416" s="4" t="n"/>
      <c r="AQ416" s="4" t="n"/>
      <c r="AR416" s="4" t="n">
        <v>3700</v>
      </c>
      <c r="AS416" s="4" t="n">
        <v>27000</v>
      </c>
      <c r="AT416" s="12" t="n"/>
    </row>
    <row r="417">
      <c r="A417" s="11" t="n">
        <v>416</v>
      </c>
      <c r="B417" s="4" t="inlineStr">
        <is>
          <t>MERCURY / VOYAGE 1</t>
        </is>
      </c>
      <c r="C417" s="4" t="inlineStr">
        <is>
          <t>REF000000</t>
        </is>
      </c>
      <c r="D417" s="7" t="n">
        <v>46095</v>
      </c>
      <c r="E417" s="4" t="n">
        <v>46104</v>
      </c>
      <c r="F417" s="4" t="inlineStr">
        <is>
          <t>RULED</t>
        </is>
      </c>
      <c r="G417" s="4" t="inlineStr">
        <is>
          <t>RULED</t>
        </is>
      </c>
      <c r="H417" s="4" t="inlineStr">
        <is>
          <t>USNYC</t>
        </is>
      </c>
      <c r="I417" s="4" t="inlineStr">
        <is>
          <t>USNYC</t>
        </is>
      </c>
      <c r="J417" s="4" t="n"/>
      <c r="K417" s="8" t="n"/>
      <c r="L417" s="4" t="inlineStr">
        <is>
          <t>ORCA REEFER</t>
        </is>
      </c>
      <c r="M417" s="4" t="inlineStr">
        <is>
          <t>ORCA REEFER</t>
        </is>
      </c>
      <c r="N417" s="4" t="n"/>
      <c r="O417" s="4" t="n"/>
      <c r="P417" s="4" t="inlineStr">
        <is>
          <t>ORCA REEFER</t>
        </is>
      </c>
      <c r="Q417" s="4" t="inlineStr">
        <is>
          <t>ORCA REEFER</t>
        </is>
      </c>
      <c r="R417" s="4" t="n"/>
      <c r="S417" s="4" t="n"/>
      <c r="T417" s="4" t="inlineStr">
        <is>
          <t>ORCA REEFER</t>
        </is>
      </c>
      <c r="U417" s="4" t="inlineStr">
        <is>
          <t>Av. das Araucarias, 5266 - Chapada, Araucaria - PR, 83702-</t>
        </is>
      </c>
      <c r="V417" s="4" t="n">
        <v>21</v>
      </c>
      <c r="W417" s="4" t="n">
        <v>0</v>
      </c>
      <c r="X417" s="4" t="n">
        <v>429260</v>
      </c>
      <c r="Y417" s="4" t="n">
        <v>405000</v>
      </c>
      <c r="Z417" s="4" t="n">
        <v>405</v>
      </c>
      <c r="AA417" s="4" t="n"/>
      <c r="AB417" s="4" t="inlineStr">
        <is>
          <t>SAID TO CONTAIN / WEIGH &amp; MEASURE</t>
        </is>
      </c>
      <c r="AC417" s="4" t="inlineStr">
        <is>
          <t>ANON0000000</t>
        </is>
      </c>
      <c r="AD417" s="4" t="inlineStr">
        <is>
          <t>HC40</t>
        </is>
      </c>
      <c r="AE417" s="4" t="n">
        <v>30239104</v>
      </c>
      <c r="AF417" s="4" t="n"/>
      <c r="AG417" s="4" t="inlineStr">
        <is>
          <t>FCL/FCL</t>
        </is>
      </c>
      <c r="AH417" s="4" t="inlineStr">
        <is>
          <t>GENERAL COMMODITY</t>
        </is>
      </c>
      <c r="AI417" s="4" t="n">
        <v>28600</v>
      </c>
      <c r="AJ417" s="4" t="n">
        <v>27</v>
      </c>
      <c r="AK417" s="4" t="inlineStr">
        <is>
          <t>BLO</t>
        </is>
      </c>
      <c r="AL417" s="4" t="n"/>
      <c r="AM417" s="4" t="n"/>
      <c r="AN417" s="4" t="n"/>
      <c r="AO417" s="4" t="n"/>
      <c r="AP417" s="4" t="n"/>
      <c r="AQ417" s="4" t="n"/>
      <c r="AR417" s="4" t="n">
        <v>3840</v>
      </c>
      <c r="AS417" s="4" t="n">
        <v>27000</v>
      </c>
      <c r="AT417" s="12" t="n"/>
    </row>
    <row r="418">
      <c r="A418" s="11" t="n">
        <v>417</v>
      </c>
      <c r="B418" s="4" t="inlineStr">
        <is>
          <t>MERCURY / VOYAGE 1</t>
        </is>
      </c>
      <c r="C418" s="4" t="inlineStr">
        <is>
          <t>REF000000</t>
        </is>
      </c>
      <c r="D418" s="7" t="n">
        <v>46095</v>
      </c>
      <c r="E418" s="4" t="n">
        <v>46104</v>
      </c>
      <c r="F418" s="4" t="inlineStr">
        <is>
          <t>RULED</t>
        </is>
      </c>
      <c r="G418" s="4" t="inlineStr">
        <is>
          <t>RULED</t>
        </is>
      </c>
      <c r="H418" s="4" t="inlineStr">
        <is>
          <t>USNYC</t>
        </is>
      </c>
      <c r="I418" s="4" t="inlineStr">
        <is>
          <t>USNYC</t>
        </is>
      </c>
      <c r="J418" s="4" t="n"/>
      <c r="K418" s="8" t="n"/>
      <c r="L418" s="4" t="inlineStr">
        <is>
          <t>WHALE REEFER</t>
        </is>
      </c>
      <c r="M418" s="4" t="inlineStr">
        <is>
          <t>WHALE REEFER</t>
        </is>
      </c>
      <c r="N418" s="4" t="n"/>
      <c r="O418" s="4" t="n"/>
      <c r="P418" s="4" t="inlineStr">
        <is>
          <t>WHALE REEFER</t>
        </is>
      </c>
      <c r="Q418" s="4" t="inlineStr">
        <is>
          <t>WHALE REEFER</t>
        </is>
      </c>
      <c r="R418" s="4" t="n"/>
      <c r="S418" s="4" t="n"/>
      <c r="T418" s="4" t="inlineStr">
        <is>
          <t>WHALE REEFER</t>
        </is>
      </c>
      <c r="U418" s="4" t="inlineStr">
        <is>
          <t>Av. das Araucarias, 5266 - Chapada, Araucaria - PR, 83702-</t>
        </is>
      </c>
      <c r="V418" s="4" t="n">
        <v>21</v>
      </c>
      <c r="W418" s="4" t="n">
        <v>0</v>
      </c>
      <c r="X418" s="4" t="n">
        <v>429260</v>
      </c>
      <c r="Y418" s="4" t="n">
        <v>405000</v>
      </c>
      <c r="Z418" s="4" t="n">
        <v>405</v>
      </c>
      <c r="AA418" s="4" t="n"/>
      <c r="AB418" s="4" t="inlineStr">
        <is>
          <t>SAID TO CONTAIN / WEIGH &amp; MEASURE</t>
        </is>
      </c>
      <c r="AC418" s="4" t="inlineStr">
        <is>
          <t>ANON0000000</t>
        </is>
      </c>
      <c r="AD418" s="4" t="inlineStr">
        <is>
          <t>HC40</t>
        </is>
      </c>
      <c r="AE418" s="4" t="n">
        <v>30195298</v>
      </c>
      <c r="AF418" s="4" t="n"/>
      <c r="AG418" s="4" t="inlineStr">
        <is>
          <t>FCL/FCL</t>
        </is>
      </c>
      <c r="AH418" s="4" t="inlineStr">
        <is>
          <t>GENERAL COMMODITY</t>
        </is>
      </c>
      <c r="AI418" s="4" t="n">
        <v>28620</v>
      </c>
      <c r="AJ418" s="4" t="n">
        <v>27</v>
      </c>
      <c r="AK418" s="4" t="inlineStr">
        <is>
          <t>BLO</t>
        </is>
      </c>
      <c r="AL418" s="4" t="n"/>
      <c r="AM418" s="4" t="n"/>
      <c r="AN418" s="4" t="n"/>
      <c r="AO418" s="4" t="n"/>
      <c r="AP418" s="4" t="n"/>
      <c r="AQ418" s="4" t="n"/>
      <c r="AR418" s="4" t="n">
        <v>3700</v>
      </c>
      <c r="AS418" s="4" t="n">
        <v>27000</v>
      </c>
      <c r="AT418" s="12" t="n"/>
    </row>
    <row r="419">
      <c r="A419" s="11" t="n">
        <v>418</v>
      </c>
      <c r="B419" s="4" t="inlineStr">
        <is>
          <t>MERCURY / VOYAGE 1</t>
        </is>
      </c>
      <c r="C419" s="4" t="inlineStr">
        <is>
          <t>REF000000</t>
        </is>
      </c>
      <c r="D419" s="7" t="n">
        <v>46095</v>
      </c>
      <c r="E419" s="4" t="n">
        <v>46104</v>
      </c>
      <c r="F419" s="4" t="inlineStr">
        <is>
          <t>RULED</t>
        </is>
      </c>
      <c r="G419" s="4" t="inlineStr">
        <is>
          <t>RULED</t>
        </is>
      </c>
      <c r="H419" s="4" t="inlineStr">
        <is>
          <t>USNYC</t>
        </is>
      </c>
      <c r="I419" s="4" t="inlineStr">
        <is>
          <t>USNYC</t>
        </is>
      </c>
      <c r="J419" s="4" t="n"/>
      <c r="K419" s="8" t="n"/>
      <c r="L419" s="4" t="inlineStr">
        <is>
          <t>SEAL REEFER</t>
        </is>
      </c>
      <c r="M419" s="4" t="inlineStr">
        <is>
          <t>SEAL REEFER</t>
        </is>
      </c>
      <c r="N419" s="4" t="n"/>
      <c r="O419" s="4" t="n"/>
      <c r="P419" s="4" t="inlineStr">
        <is>
          <t>SEAL REEFER</t>
        </is>
      </c>
      <c r="Q419" s="4" t="inlineStr">
        <is>
          <t>SEAL REEFER</t>
        </is>
      </c>
      <c r="R419" s="4" t="n"/>
      <c r="S419" s="4" t="n"/>
      <c r="T419" s="4" t="inlineStr">
        <is>
          <t>SEAL REEFER</t>
        </is>
      </c>
      <c r="U419" s="4" t="inlineStr">
        <is>
          <t>Av. das Araucarias, 5266 - Chapada, Araucaria - PR, 83702-</t>
        </is>
      </c>
      <c r="V419" s="4" t="n">
        <v>21</v>
      </c>
      <c r="W419" s="4" t="n">
        <v>0</v>
      </c>
      <c r="X419" s="4" t="n">
        <v>429260</v>
      </c>
      <c r="Y419" s="4" t="n">
        <v>405000</v>
      </c>
      <c r="Z419" s="4" t="n">
        <v>405</v>
      </c>
      <c r="AA419" s="4" t="n"/>
      <c r="AB419" s="4" t="inlineStr">
        <is>
          <t>SAID TO CONTAIN / WEIGH &amp; MEASURE</t>
        </is>
      </c>
      <c r="AC419" s="4" t="inlineStr">
        <is>
          <t>ANON0000000</t>
        </is>
      </c>
      <c r="AD419" s="4" t="inlineStr">
        <is>
          <t>HC40</t>
        </is>
      </c>
      <c r="AE419" s="4" t="n">
        <v>30239238</v>
      </c>
      <c r="AF419" s="4" t="n"/>
      <c r="AG419" s="4" t="inlineStr">
        <is>
          <t>FCL/FCL</t>
        </is>
      </c>
      <c r="AH419" s="4" t="inlineStr">
        <is>
          <t>GENERAL COMMODITY</t>
        </is>
      </c>
      <c r="AI419" s="4" t="n">
        <v>28620</v>
      </c>
      <c r="AJ419" s="4" t="n">
        <v>27</v>
      </c>
      <c r="AK419" s="4" t="inlineStr">
        <is>
          <t>BLO</t>
        </is>
      </c>
      <c r="AL419" s="4" t="n"/>
      <c r="AM419" s="4" t="n"/>
      <c r="AN419" s="4" t="n"/>
      <c r="AO419" s="4" t="n"/>
      <c r="AP419" s="4" t="n"/>
      <c r="AQ419" s="4" t="n"/>
      <c r="AR419" s="4" t="n">
        <v>3700</v>
      </c>
      <c r="AS419" s="4" t="n">
        <v>27000</v>
      </c>
      <c r="AT419" s="12" t="n"/>
    </row>
    <row r="420">
      <c r="A420" s="11" t="n">
        <v>419</v>
      </c>
      <c r="B420" s="4" t="inlineStr">
        <is>
          <t>MERCURY / VOYAGE 1</t>
        </is>
      </c>
      <c r="C420" s="4" t="inlineStr">
        <is>
          <t>REF000000</t>
        </is>
      </c>
      <c r="D420" s="7" t="n">
        <v>46095</v>
      </c>
      <c r="E420" s="4" t="n">
        <v>46104</v>
      </c>
      <c r="F420" s="4" t="inlineStr">
        <is>
          <t>RULED</t>
        </is>
      </c>
      <c r="G420" s="4" t="inlineStr">
        <is>
          <t>RULED</t>
        </is>
      </c>
      <c r="H420" s="4" t="inlineStr">
        <is>
          <t>USNYC</t>
        </is>
      </c>
      <c r="I420" s="4" t="inlineStr">
        <is>
          <t>USNYC</t>
        </is>
      </c>
      <c r="J420" s="4" t="n"/>
      <c r="K420" s="8" t="n"/>
      <c r="L420" s="4" t="inlineStr">
        <is>
          <t>SHARK REEFER</t>
        </is>
      </c>
      <c r="M420" s="4" t="inlineStr">
        <is>
          <t>SHARK REEFER</t>
        </is>
      </c>
      <c r="N420" s="4" t="n"/>
      <c r="O420" s="4" t="n"/>
      <c r="P420" s="4" t="inlineStr">
        <is>
          <t>SHARK REEFER</t>
        </is>
      </c>
      <c r="Q420" s="4" t="inlineStr">
        <is>
          <t>SHARK REEFER</t>
        </is>
      </c>
      <c r="R420" s="4" t="n"/>
      <c r="S420" s="4" t="n"/>
      <c r="T420" s="4" t="inlineStr">
        <is>
          <t>SHARK REEFER</t>
        </is>
      </c>
      <c r="U420" s="4" t="inlineStr">
        <is>
          <t>Av. das Araucarias, 5266 - Chapada, Araucaria - PR, 83702-</t>
        </is>
      </c>
      <c r="V420" s="4" t="n">
        <v>21</v>
      </c>
      <c r="W420" s="4" t="n">
        <v>0</v>
      </c>
      <c r="X420" s="4" t="n">
        <v>429260</v>
      </c>
      <c r="Y420" s="4" t="n">
        <v>405000</v>
      </c>
      <c r="Z420" s="4" t="n">
        <v>405</v>
      </c>
      <c r="AA420" s="4" t="n"/>
      <c r="AB420" s="4" t="inlineStr">
        <is>
          <t>SAID TO CONTAIN / WEIGH &amp; MEASURE</t>
        </is>
      </c>
      <c r="AC420" s="4" t="inlineStr">
        <is>
          <t>ANON0000000</t>
        </is>
      </c>
      <c r="AD420" s="4" t="inlineStr">
        <is>
          <t>HC40</t>
        </is>
      </c>
      <c r="AE420" s="4" t="n">
        <v>30284903</v>
      </c>
      <c r="AF420" s="4" t="n"/>
      <c r="AG420" s="4" t="inlineStr">
        <is>
          <t>FCL/FCL</t>
        </is>
      </c>
      <c r="AH420" s="4" t="inlineStr">
        <is>
          <t>GENERAL COMMODITY</t>
        </is>
      </c>
      <c r="AI420" s="4" t="n">
        <v>28620</v>
      </c>
      <c r="AJ420" s="4" t="n">
        <v>27</v>
      </c>
      <c r="AK420" s="4" t="inlineStr">
        <is>
          <t>BLO</t>
        </is>
      </c>
      <c r="AL420" s="4" t="n"/>
      <c r="AM420" s="4" t="n"/>
      <c r="AN420" s="4" t="n"/>
      <c r="AO420" s="4" t="n"/>
      <c r="AP420" s="4" t="n"/>
      <c r="AQ420" s="4" t="n"/>
      <c r="AR420" s="4" t="n">
        <v>3750</v>
      </c>
      <c r="AS420" s="4" t="n">
        <v>27000</v>
      </c>
      <c r="AT420" s="12" t="n"/>
    </row>
    <row r="421">
      <c r="A421" s="11" t="n">
        <v>420</v>
      </c>
      <c r="B421" s="4" t="inlineStr">
        <is>
          <t>MERCURY / VOYAGE 1</t>
        </is>
      </c>
      <c r="C421" s="4" t="inlineStr">
        <is>
          <t>REF000000</t>
        </is>
      </c>
      <c r="D421" s="7" t="n">
        <v>46095</v>
      </c>
      <c r="E421" s="4" t="n">
        <v>46104</v>
      </c>
      <c r="F421" s="4" t="inlineStr">
        <is>
          <t>RULED</t>
        </is>
      </c>
      <c r="G421" s="4" t="inlineStr">
        <is>
          <t>RULED</t>
        </is>
      </c>
      <c r="H421" s="4" t="inlineStr">
        <is>
          <t>USNYC</t>
        </is>
      </c>
      <c r="I421" s="4" t="inlineStr">
        <is>
          <t>USNYC</t>
        </is>
      </c>
      <c r="J421" s="4" t="n"/>
      <c r="K421" s="8" t="n"/>
      <c r="L421" s="4" t="inlineStr">
        <is>
          <t>DOLPHIN REEFER</t>
        </is>
      </c>
      <c r="M421" s="4" t="inlineStr">
        <is>
          <t>DOLPHIN REEFER</t>
        </is>
      </c>
      <c r="N421" s="4" t="n"/>
      <c r="O421" s="4" t="n"/>
      <c r="P421" s="4" t="inlineStr">
        <is>
          <t>DOLPHIN REEFER</t>
        </is>
      </c>
      <c r="Q421" s="4" t="inlineStr">
        <is>
          <t>DOLPHIN REEFER</t>
        </is>
      </c>
      <c r="R421" s="4" t="n"/>
      <c r="S421" s="4" t="n"/>
      <c r="T421" s="4" t="inlineStr">
        <is>
          <t>DOLPHIN REEFER</t>
        </is>
      </c>
      <c r="U421" s="4" t="inlineStr">
        <is>
          <t>Av. das Araucarias, 5266 - Chapada, Araucaria - PR, 83702-</t>
        </is>
      </c>
      <c r="V421" s="4" t="n">
        <v>21</v>
      </c>
      <c r="W421" s="4" t="n">
        <v>0</v>
      </c>
      <c r="X421" s="4" t="n">
        <v>429260</v>
      </c>
      <c r="Y421" s="4" t="n">
        <v>405000</v>
      </c>
      <c r="Z421" s="4" t="n">
        <v>405</v>
      </c>
      <c r="AA421" s="4" t="n"/>
      <c r="AB421" s="4" t="inlineStr">
        <is>
          <t>SAID TO CONTAIN / WEIGH &amp; MEASURE</t>
        </is>
      </c>
      <c r="AC421" s="4" t="inlineStr">
        <is>
          <t>ANON0000000</t>
        </is>
      </c>
      <c r="AD421" s="4" t="inlineStr">
        <is>
          <t>HC40</t>
        </is>
      </c>
      <c r="AE421" s="4" t="n">
        <v>30284938</v>
      </c>
      <c r="AF421" s="4" t="n"/>
      <c r="AG421" s="4" t="inlineStr">
        <is>
          <t>FCL/FCL</t>
        </is>
      </c>
      <c r="AH421" s="4" t="inlineStr">
        <is>
          <t>GENERAL COMMODITY</t>
        </is>
      </c>
      <c r="AI421" s="4" t="n">
        <v>28620</v>
      </c>
      <c r="AJ421" s="4" t="n">
        <v>27</v>
      </c>
      <c r="AK421" s="4" t="inlineStr">
        <is>
          <t>BLO</t>
        </is>
      </c>
      <c r="AL421" s="4" t="n"/>
      <c r="AM421" s="4" t="n"/>
      <c r="AN421" s="4" t="n"/>
      <c r="AO421" s="4" t="n"/>
      <c r="AP421" s="4" t="n"/>
      <c r="AQ421" s="4" t="n"/>
      <c r="AR421" s="4" t="n">
        <v>3700</v>
      </c>
      <c r="AS421" s="4" t="n">
        <v>27000</v>
      </c>
      <c r="AT421" s="12" t="n"/>
    </row>
    <row r="422">
      <c r="A422" s="11" t="n">
        <v>421</v>
      </c>
      <c r="B422" s="4" t="inlineStr">
        <is>
          <t>MERCURY / VOYAGE 1</t>
        </is>
      </c>
      <c r="C422" s="4" t="inlineStr">
        <is>
          <t>REF000000</t>
        </is>
      </c>
      <c r="D422" s="7" t="n">
        <v>46095</v>
      </c>
      <c r="E422" s="4" t="n">
        <v>46104</v>
      </c>
      <c r="F422" s="4" t="inlineStr">
        <is>
          <t>RULED</t>
        </is>
      </c>
      <c r="G422" s="4" t="inlineStr">
        <is>
          <t>RULED</t>
        </is>
      </c>
      <c r="H422" s="4" t="inlineStr">
        <is>
          <t>USNYC</t>
        </is>
      </c>
      <c r="I422" s="4" t="inlineStr">
        <is>
          <t>USNYC</t>
        </is>
      </c>
      <c r="J422" s="4" t="n"/>
      <c r="K422" s="8" t="n"/>
      <c r="L422" s="4" t="inlineStr">
        <is>
          <t>MARLIN REEFER</t>
        </is>
      </c>
      <c r="M422" s="4" t="inlineStr">
        <is>
          <t>MARLIN REEFER</t>
        </is>
      </c>
      <c r="N422" s="4" t="n"/>
      <c r="O422" s="4" t="n"/>
      <c r="P422" s="4" t="inlineStr">
        <is>
          <t>MARLIN REEFER</t>
        </is>
      </c>
      <c r="Q422" s="4" t="inlineStr">
        <is>
          <t>MARLIN REEFER</t>
        </is>
      </c>
      <c r="R422" s="4" t="n"/>
      <c r="S422" s="4" t="n"/>
      <c r="T422" s="4" t="inlineStr">
        <is>
          <t>MARLIN REEFER</t>
        </is>
      </c>
      <c r="U422" s="4" t="inlineStr">
        <is>
          <t>Av. das Araucarias, 5266 - Chapada, Araucaria - PR, 83702-</t>
        </is>
      </c>
      <c r="V422" s="4" t="n">
        <v>21</v>
      </c>
      <c r="W422" s="4" t="n">
        <v>0</v>
      </c>
      <c r="X422" s="4" t="n">
        <v>429260</v>
      </c>
      <c r="Y422" s="4" t="n">
        <v>405000</v>
      </c>
      <c r="Z422" s="4" t="n">
        <v>405</v>
      </c>
      <c r="AA422" s="4" t="n"/>
      <c r="AB422" s="4" t="inlineStr">
        <is>
          <t>SAID TO CONTAIN / WEIGH &amp; MEASURE</t>
        </is>
      </c>
      <c r="AC422" s="4" t="inlineStr">
        <is>
          <t>ANON0000000</t>
        </is>
      </c>
      <c r="AD422" s="4" t="inlineStr">
        <is>
          <t>HC40</t>
        </is>
      </c>
      <c r="AE422" s="4" t="n">
        <v>30284973</v>
      </c>
      <c r="AF422" s="4" t="n"/>
      <c r="AG422" s="4" t="inlineStr">
        <is>
          <t>FCL/FCL</t>
        </is>
      </c>
      <c r="AH422" s="4" t="inlineStr">
        <is>
          <t>GENERAL COMMODITY</t>
        </is>
      </c>
      <c r="AI422" s="4" t="n">
        <v>28620</v>
      </c>
      <c r="AJ422" s="4" t="n">
        <v>27</v>
      </c>
      <c r="AK422" s="4" t="inlineStr">
        <is>
          <t>BLO</t>
        </is>
      </c>
      <c r="AL422" s="4" t="n"/>
      <c r="AM422" s="4" t="n"/>
      <c r="AN422" s="4" t="n"/>
      <c r="AO422" s="4" t="n"/>
      <c r="AP422" s="4" t="n"/>
      <c r="AQ422" s="4" t="n"/>
      <c r="AR422" s="4" t="n">
        <v>3700</v>
      </c>
      <c r="AS422" s="4" t="n">
        <v>27000</v>
      </c>
      <c r="AT422" s="12" t="n"/>
    </row>
    <row r="423">
      <c r="A423" s="11" t="n">
        <v>422</v>
      </c>
      <c r="B423" s="4" t="inlineStr">
        <is>
          <t>MERCURY / VOYAGE 1</t>
        </is>
      </c>
      <c r="C423" s="4" t="inlineStr">
        <is>
          <t>REF000000</t>
        </is>
      </c>
      <c r="D423" s="7" t="n">
        <v>46095</v>
      </c>
      <c r="E423" s="4" t="n">
        <v>46104</v>
      </c>
      <c r="F423" s="4" t="inlineStr">
        <is>
          <t>RULED</t>
        </is>
      </c>
      <c r="G423" s="4" t="inlineStr">
        <is>
          <t>RULED</t>
        </is>
      </c>
      <c r="H423" s="4" t="inlineStr">
        <is>
          <t>USNYC</t>
        </is>
      </c>
      <c r="I423" s="4" t="inlineStr">
        <is>
          <t>USNYC</t>
        </is>
      </c>
      <c r="J423" s="4" t="n"/>
      <c r="K423" s="8" t="n"/>
      <c r="L423" s="4" t="inlineStr">
        <is>
          <t>TURTLE REEFER</t>
        </is>
      </c>
      <c r="M423" s="4" t="inlineStr">
        <is>
          <t>TURTLE REEFER</t>
        </is>
      </c>
      <c r="N423" s="4" t="n"/>
      <c r="O423" s="4" t="n"/>
      <c r="P423" s="4" t="inlineStr">
        <is>
          <t>TURTLE REEFER</t>
        </is>
      </c>
      <c r="Q423" s="4" t="inlineStr">
        <is>
          <t>TURTLE REEFER</t>
        </is>
      </c>
      <c r="R423" s="4" t="n"/>
      <c r="S423" s="4" t="n"/>
      <c r="T423" s="4" t="inlineStr">
        <is>
          <t>TURTLE REEFER</t>
        </is>
      </c>
      <c r="U423" s="4" t="inlineStr">
        <is>
          <t>Av. das Araucarias, 5266 - Chapada, Araucaria - PR, 83702-</t>
        </is>
      </c>
      <c r="V423" s="4" t="n">
        <v>21</v>
      </c>
      <c r="W423" s="4" t="n">
        <v>0</v>
      </c>
      <c r="X423" s="4" t="n">
        <v>429260</v>
      </c>
      <c r="Y423" s="4" t="n">
        <v>405000</v>
      </c>
      <c r="Z423" s="4" t="n">
        <v>405</v>
      </c>
      <c r="AA423" s="4" t="n"/>
      <c r="AB423" s="4" t="inlineStr">
        <is>
          <t>SAID TO CONTAIN / WEIGH &amp; MEASURE</t>
        </is>
      </c>
      <c r="AC423" s="4" t="inlineStr">
        <is>
          <t>ANON0000000</t>
        </is>
      </c>
      <c r="AD423" s="4" t="inlineStr">
        <is>
          <t>HC40</t>
        </is>
      </c>
      <c r="AE423" s="4" t="n">
        <v>30195299</v>
      </c>
      <c r="AF423" s="4" t="n"/>
      <c r="AG423" s="4" t="inlineStr">
        <is>
          <t>FCL/FCL</t>
        </is>
      </c>
      <c r="AH423" s="4" t="inlineStr">
        <is>
          <t>GENERAL COMMODITY</t>
        </is>
      </c>
      <c r="AI423" s="4" t="n">
        <v>28620</v>
      </c>
      <c r="AJ423" s="4" t="n">
        <v>27</v>
      </c>
      <c r="AK423" s="4" t="inlineStr">
        <is>
          <t>BLO</t>
        </is>
      </c>
      <c r="AL423" s="4" t="n"/>
      <c r="AM423" s="4" t="n"/>
      <c r="AN423" s="4" t="n"/>
      <c r="AO423" s="4" t="n"/>
      <c r="AP423" s="4" t="n"/>
      <c r="AQ423" s="4" t="n"/>
      <c r="AR423" s="4" t="n">
        <v>3700</v>
      </c>
      <c r="AS423" s="4" t="n">
        <v>27000</v>
      </c>
      <c r="AT423" s="12" t="n"/>
    </row>
    <row r="424">
      <c r="A424" s="11" t="n">
        <v>423</v>
      </c>
      <c r="B424" s="4" t="inlineStr">
        <is>
          <t>MERCURY / VOYAGE 1</t>
        </is>
      </c>
      <c r="C424" s="4" t="inlineStr">
        <is>
          <t>REF000000</t>
        </is>
      </c>
      <c r="D424" s="7" t="n">
        <v>46095</v>
      </c>
      <c r="E424" s="4" t="n">
        <v>46104</v>
      </c>
      <c r="F424" s="4" t="inlineStr">
        <is>
          <t>RULED</t>
        </is>
      </c>
      <c r="G424" s="4" t="inlineStr">
        <is>
          <t>RULED</t>
        </is>
      </c>
      <c r="H424" s="4" t="inlineStr">
        <is>
          <t>USNYC</t>
        </is>
      </c>
      <c r="I424" s="4" t="inlineStr">
        <is>
          <t>USNYC</t>
        </is>
      </c>
      <c r="J424" s="4" t="n"/>
      <c r="K424" s="8" t="n"/>
      <c r="L424" s="4" t="inlineStr">
        <is>
          <t>ORCA REEFER</t>
        </is>
      </c>
      <c r="M424" s="4" t="inlineStr">
        <is>
          <t>ORCA REEFER</t>
        </is>
      </c>
      <c r="N424" s="4" t="n"/>
      <c r="O424" s="4" t="n"/>
      <c r="P424" s="4" t="inlineStr">
        <is>
          <t>ORCA REEFER</t>
        </is>
      </c>
      <c r="Q424" s="4" t="inlineStr">
        <is>
          <t>ORCA REEFER</t>
        </is>
      </c>
      <c r="R424" s="4" t="n"/>
      <c r="S424" s="4" t="n"/>
      <c r="T424" s="4" t="inlineStr">
        <is>
          <t>ORCA REEFER</t>
        </is>
      </c>
      <c r="U424" s="4" t="inlineStr">
        <is>
          <t>Av. das Araucarias, 5266 - Chapada, Araucaria - PR, 83702-</t>
        </is>
      </c>
      <c r="V424" s="4" t="n">
        <v>21</v>
      </c>
      <c r="W424" s="4" t="n">
        <v>0</v>
      </c>
      <c r="X424" s="4" t="n">
        <v>429260</v>
      </c>
      <c r="Y424" s="4" t="n">
        <v>405000</v>
      </c>
      <c r="Z424" s="4" t="n">
        <v>405</v>
      </c>
      <c r="AA424" s="4" t="n"/>
      <c r="AB424" s="4" t="inlineStr">
        <is>
          <t>SAID TO CONTAIN / WEIGH &amp; MEASURE</t>
        </is>
      </c>
      <c r="AC424" s="4" t="inlineStr">
        <is>
          <t>ANON0000000</t>
        </is>
      </c>
      <c r="AD424" s="4" t="inlineStr">
        <is>
          <t>HC40</t>
        </is>
      </c>
      <c r="AE424" s="4" t="n">
        <v>30284989</v>
      </c>
      <c r="AF424" s="4" t="n"/>
      <c r="AG424" s="4" t="inlineStr">
        <is>
          <t>FCL/FCL</t>
        </is>
      </c>
      <c r="AH424" s="4" t="inlineStr">
        <is>
          <t>GENERAL COMMODITY</t>
        </is>
      </c>
      <c r="AI424" s="4" t="n">
        <v>28600</v>
      </c>
      <c r="AJ424" s="4" t="n">
        <v>27</v>
      </c>
      <c r="AK424" s="4" t="inlineStr">
        <is>
          <t>BLO</t>
        </is>
      </c>
      <c r="AL424" s="4" t="n"/>
      <c r="AM424" s="4" t="n"/>
      <c r="AN424" s="4" t="n"/>
      <c r="AO424" s="4" t="n"/>
      <c r="AP424" s="4" t="n"/>
      <c r="AQ424" s="4" t="n"/>
      <c r="AR424" s="4" t="n">
        <v>3900</v>
      </c>
      <c r="AS424" s="4" t="n">
        <v>27000</v>
      </c>
      <c r="AT424" s="12" t="n"/>
    </row>
    <row r="425">
      <c r="A425" s="11" t="n">
        <v>424</v>
      </c>
      <c r="B425" s="4" t="inlineStr">
        <is>
          <t>MERCURY / VOYAGE 1</t>
        </is>
      </c>
      <c r="C425" s="4" t="inlineStr">
        <is>
          <t>REF000000</t>
        </is>
      </c>
      <c r="D425" s="7" t="n">
        <v>46095</v>
      </c>
      <c r="E425" s="4" t="n">
        <v>46104</v>
      </c>
      <c r="F425" s="4" t="inlineStr">
        <is>
          <t>RULED</t>
        </is>
      </c>
      <c r="G425" s="4" t="inlineStr">
        <is>
          <t>RULED</t>
        </is>
      </c>
      <c r="H425" s="4" t="inlineStr">
        <is>
          <t>USNYC</t>
        </is>
      </c>
      <c r="I425" s="4" t="inlineStr">
        <is>
          <t>USNYC</t>
        </is>
      </c>
      <c r="J425" s="4" t="n"/>
      <c r="K425" s="8" t="n"/>
      <c r="L425" s="4" t="inlineStr">
        <is>
          <t>WHALE REEFER</t>
        </is>
      </c>
      <c r="M425" s="4" t="inlineStr">
        <is>
          <t>WHALE REEFER</t>
        </is>
      </c>
      <c r="N425" s="4" t="n"/>
      <c r="O425" s="4" t="n"/>
      <c r="P425" s="4" t="inlineStr">
        <is>
          <t>WHALE REEFER</t>
        </is>
      </c>
      <c r="Q425" s="4" t="inlineStr">
        <is>
          <t>WHALE REEFER</t>
        </is>
      </c>
      <c r="R425" s="4" t="n"/>
      <c r="S425" s="4" t="n"/>
      <c r="T425" s="4" t="inlineStr">
        <is>
          <t>WHALE REEFER</t>
        </is>
      </c>
      <c r="U425" s="4" t="inlineStr">
        <is>
          <t>Av. das Araucarias, 5266 - Chapada, Araucaria - PR, 83702-</t>
        </is>
      </c>
      <c r="V425" s="4" t="n">
        <v>21</v>
      </c>
      <c r="W425" s="4" t="n">
        <v>0</v>
      </c>
      <c r="X425" s="4" t="n">
        <v>429260</v>
      </c>
      <c r="Y425" s="4" t="n">
        <v>405000</v>
      </c>
      <c r="Z425" s="4" t="n">
        <v>405</v>
      </c>
      <c r="AA425" s="4" t="n"/>
      <c r="AB425" s="4" t="inlineStr">
        <is>
          <t>SAID TO CONTAIN / WEIGH &amp; MEASURE</t>
        </is>
      </c>
      <c r="AC425" s="4" t="inlineStr">
        <is>
          <t>ANON0000000</t>
        </is>
      </c>
      <c r="AD425" s="4" t="inlineStr">
        <is>
          <t>HC40</t>
        </is>
      </c>
      <c r="AE425" s="4" t="n">
        <v>30271670</v>
      </c>
      <c r="AF425" s="4" t="n"/>
      <c r="AG425" s="4" t="inlineStr">
        <is>
          <t>FCL/FCL</t>
        </is>
      </c>
      <c r="AH425" s="4" t="inlineStr">
        <is>
          <t>GENERAL COMMODITY</t>
        </is>
      </c>
      <c r="AI425" s="4" t="n">
        <v>28620</v>
      </c>
      <c r="AJ425" s="4" t="n">
        <v>27</v>
      </c>
      <c r="AK425" s="4" t="inlineStr">
        <is>
          <t>BLO</t>
        </is>
      </c>
      <c r="AL425" s="4" t="n"/>
      <c r="AM425" s="4" t="n"/>
      <c r="AN425" s="4" t="n"/>
      <c r="AO425" s="4" t="n"/>
      <c r="AP425" s="4" t="n"/>
      <c r="AQ425" s="4" t="n"/>
      <c r="AR425" s="4" t="n">
        <v>3750</v>
      </c>
      <c r="AS425" s="4" t="n">
        <v>27000</v>
      </c>
      <c r="AT425" s="12" t="n"/>
    </row>
    <row r="426">
      <c r="A426" s="11" t="n">
        <v>425</v>
      </c>
      <c r="B426" s="4" t="inlineStr">
        <is>
          <t>MERCURY / VOYAGE 1</t>
        </is>
      </c>
      <c r="C426" s="4" t="inlineStr">
        <is>
          <t>REF000000</t>
        </is>
      </c>
      <c r="D426" s="7" t="n">
        <v>46095</v>
      </c>
      <c r="E426" s="4" t="n">
        <v>46104</v>
      </c>
      <c r="F426" s="4" t="inlineStr">
        <is>
          <t>RULED</t>
        </is>
      </c>
      <c r="G426" s="4" t="inlineStr">
        <is>
          <t>RULED</t>
        </is>
      </c>
      <c r="H426" s="4" t="inlineStr">
        <is>
          <t>USNYC</t>
        </is>
      </c>
      <c r="I426" s="4" t="inlineStr">
        <is>
          <t>USNYC</t>
        </is>
      </c>
      <c r="J426" s="4" t="n"/>
      <c r="K426" s="8" t="n"/>
      <c r="L426" s="4" t="inlineStr">
        <is>
          <t>SEAL REEFER</t>
        </is>
      </c>
      <c r="M426" s="4" t="inlineStr">
        <is>
          <t>SEAL REEFER</t>
        </is>
      </c>
      <c r="N426" s="4" t="n"/>
      <c r="O426" s="4" t="n"/>
      <c r="P426" s="4" t="inlineStr">
        <is>
          <t>SEAL REEFER</t>
        </is>
      </c>
      <c r="Q426" s="4" t="inlineStr">
        <is>
          <t>SEAL REEFER</t>
        </is>
      </c>
      <c r="R426" s="4" t="n"/>
      <c r="S426" s="4" t="n"/>
      <c r="T426" s="4" t="inlineStr">
        <is>
          <t>SEAL REEFER</t>
        </is>
      </c>
      <c r="U426" s="4" t="inlineStr">
        <is>
          <t>Av. das Araucarias, 5266 - Chapada, Araucaria - PR, 83702-</t>
        </is>
      </c>
      <c r="V426" s="4" t="n">
        <v>21</v>
      </c>
      <c r="W426" s="4" t="n">
        <v>0</v>
      </c>
      <c r="X426" s="4" t="n">
        <v>429300</v>
      </c>
      <c r="Y426" s="4" t="n">
        <v>405000</v>
      </c>
      <c r="Z426" s="4" t="n">
        <v>405</v>
      </c>
      <c r="AA426" s="4" t="n"/>
      <c r="AB426" s="4" t="inlineStr">
        <is>
          <t>SAID TO CONTAIN / WEIGH &amp; MEASURE</t>
        </is>
      </c>
      <c r="AC426" s="4" t="inlineStr">
        <is>
          <t>ANON0000000</t>
        </is>
      </c>
      <c r="AD426" s="4" t="inlineStr">
        <is>
          <t>HC40</t>
        </is>
      </c>
      <c r="AE426" s="4" t="n">
        <v>30284974</v>
      </c>
      <c r="AF426" s="4" t="n"/>
      <c r="AG426" s="4" t="inlineStr">
        <is>
          <t>FCL/FCL</t>
        </is>
      </c>
      <c r="AH426" s="4" t="inlineStr">
        <is>
          <t>GENERAL COMMODITY</t>
        </is>
      </c>
      <c r="AI426" s="4" t="n">
        <v>28620</v>
      </c>
      <c r="AJ426" s="4" t="n">
        <v>27</v>
      </c>
      <c r="AK426" s="4" t="inlineStr">
        <is>
          <t>BLO</t>
        </is>
      </c>
      <c r="AL426" s="4" t="n"/>
      <c r="AM426" s="4" t="n"/>
      <c r="AN426" s="4" t="n"/>
      <c r="AO426" s="4" t="n"/>
      <c r="AP426" s="4" t="n"/>
      <c r="AQ426" s="4" t="n"/>
      <c r="AR426" s="4" t="n">
        <v>3700</v>
      </c>
      <c r="AS426" s="4" t="n">
        <v>27000</v>
      </c>
      <c r="AT426" s="12" t="n"/>
    </row>
    <row r="427">
      <c r="A427" s="11" t="n">
        <v>426</v>
      </c>
      <c r="B427" s="4" t="inlineStr">
        <is>
          <t>MERCURY / VOYAGE 1</t>
        </is>
      </c>
      <c r="C427" s="4" t="inlineStr">
        <is>
          <t>REF000000</t>
        </is>
      </c>
      <c r="D427" s="7" t="n">
        <v>46095</v>
      </c>
      <c r="E427" s="4" t="n">
        <v>46104</v>
      </c>
      <c r="F427" s="4" t="inlineStr">
        <is>
          <t>RULED</t>
        </is>
      </c>
      <c r="G427" s="4" t="inlineStr">
        <is>
          <t>RULED</t>
        </is>
      </c>
      <c r="H427" s="4" t="inlineStr">
        <is>
          <t>USNYC</t>
        </is>
      </c>
      <c r="I427" s="4" t="inlineStr">
        <is>
          <t>USNYC</t>
        </is>
      </c>
      <c r="J427" s="4" t="n"/>
      <c r="K427" s="8" t="n"/>
      <c r="L427" s="4" t="inlineStr">
        <is>
          <t>SHARK REEFER</t>
        </is>
      </c>
      <c r="M427" s="4" t="inlineStr">
        <is>
          <t>SHARK REEFER</t>
        </is>
      </c>
      <c r="N427" s="4" t="n"/>
      <c r="O427" s="4" t="n"/>
      <c r="P427" s="4" t="inlineStr">
        <is>
          <t>SHARK REEFER</t>
        </is>
      </c>
      <c r="Q427" s="4" t="inlineStr">
        <is>
          <t>SHARK REEFER</t>
        </is>
      </c>
      <c r="R427" s="4" t="n"/>
      <c r="S427" s="4" t="n"/>
      <c r="T427" s="4" t="inlineStr">
        <is>
          <t>SHARK REEFER</t>
        </is>
      </c>
      <c r="U427" s="4" t="inlineStr">
        <is>
          <t>Av. das Araucarias, 5266 - Chapada, Araucaria - PR, 83702-</t>
        </is>
      </c>
      <c r="V427" s="4" t="n">
        <v>21</v>
      </c>
      <c r="W427" s="4" t="n">
        <v>0</v>
      </c>
      <c r="X427" s="4" t="n">
        <v>429300</v>
      </c>
      <c r="Y427" s="4" t="n">
        <v>405000</v>
      </c>
      <c r="Z427" s="4" t="n">
        <v>405</v>
      </c>
      <c r="AA427" s="4" t="n"/>
      <c r="AB427" s="4" t="inlineStr">
        <is>
          <t>SAID TO CONTAIN / WEIGH &amp; MEASURE</t>
        </is>
      </c>
      <c r="AC427" s="4" t="inlineStr">
        <is>
          <t>ANON0000000</t>
        </is>
      </c>
      <c r="AD427" s="4" t="inlineStr">
        <is>
          <t>HC40</t>
        </is>
      </c>
      <c r="AE427" s="4" t="n">
        <v>30239108</v>
      </c>
      <c r="AF427" s="4" t="n"/>
      <c r="AG427" s="4" t="inlineStr">
        <is>
          <t>FCL/FCL</t>
        </is>
      </c>
      <c r="AH427" s="4" t="inlineStr">
        <is>
          <t>GENERAL COMMODITY</t>
        </is>
      </c>
      <c r="AI427" s="4" t="n">
        <v>28620</v>
      </c>
      <c r="AJ427" s="4" t="n">
        <v>27</v>
      </c>
      <c r="AK427" s="4" t="inlineStr">
        <is>
          <t>BLO</t>
        </is>
      </c>
      <c r="AL427" s="4" t="n"/>
      <c r="AM427" s="4" t="n"/>
      <c r="AN427" s="4" t="n"/>
      <c r="AO427" s="4" t="n"/>
      <c r="AP427" s="4" t="n"/>
      <c r="AQ427" s="4" t="n"/>
      <c r="AR427" s="4" t="n">
        <v>3700</v>
      </c>
      <c r="AS427" s="4" t="n">
        <v>27000</v>
      </c>
      <c r="AT427" s="12" t="n"/>
    </row>
    <row r="428">
      <c r="A428" s="11" t="n">
        <v>427</v>
      </c>
      <c r="B428" s="4" t="inlineStr">
        <is>
          <t>MERCURY / VOYAGE 1</t>
        </is>
      </c>
      <c r="C428" s="4" t="inlineStr">
        <is>
          <t>REF000000</t>
        </is>
      </c>
      <c r="D428" s="7" t="n">
        <v>46095</v>
      </c>
      <c r="E428" s="4" t="n">
        <v>46104</v>
      </c>
      <c r="F428" s="4" t="inlineStr">
        <is>
          <t>RULED</t>
        </is>
      </c>
      <c r="G428" s="4" t="inlineStr">
        <is>
          <t>RULED</t>
        </is>
      </c>
      <c r="H428" s="4" t="inlineStr">
        <is>
          <t>USNYC</t>
        </is>
      </c>
      <c r="I428" s="4" t="inlineStr">
        <is>
          <t>USNYC</t>
        </is>
      </c>
      <c r="J428" s="4" t="n"/>
      <c r="K428" s="8" t="n"/>
      <c r="L428" s="4" t="inlineStr">
        <is>
          <t>DOLPHIN REEFER</t>
        </is>
      </c>
      <c r="M428" s="4" t="inlineStr">
        <is>
          <t>DOLPHIN REEFER</t>
        </is>
      </c>
      <c r="N428" s="4" t="n"/>
      <c r="O428" s="4" t="n"/>
      <c r="P428" s="4" t="inlineStr">
        <is>
          <t>DOLPHIN REEFER</t>
        </is>
      </c>
      <c r="Q428" s="4" t="inlineStr">
        <is>
          <t>DOLPHIN REEFER</t>
        </is>
      </c>
      <c r="R428" s="4" t="n"/>
      <c r="S428" s="4" t="n"/>
      <c r="T428" s="4" t="inlineStr">
        <is>
          <t>DOLPHIN REEFER</t>
        </is>
      </c>
      <c r="U428" s="4" t="inlineStr">
        <is>
          <t>Av. das Araucarias, 5266 - Chapada, Araucaria - PR, 83702-</t>
        </is>
      </c>
      <c r="V428" s="4" t="n">
        <v>21</v>
      </c>
      <c r="W428" s="4" t="n">
        <v>0</v>
      </c>
      <c r="X428" s="4" t="n">
        <v>429300</v>
      </c>
      <c r="Y428" s="4" t="n">
        <v>405000</v>
      </c>
      <c r="Z428" s="4" t="n">
        <v>405</v>
      </c>
      <c r="AA428" s="4" t="n"/>
      <c r="AB428" s="4" t="inlineStr">
        <is>
          <t>SAID TO CONTAIN / WEIGH &amp; MEASURE</t>
        </is>
      </c>
      <c r="AC428" s="4" t="inlineStr">
        <is>
          <t>ANON0000000</t>
        </is>
      </c>
      <c r="AD428" s="4" t="inlineStr">
        <is>
          <t>HC40</t>
        </is>
      </c>
      <c r="AE428" s="4" t="n">
        <v>30270620</v>
      </c>
      <c r="AF428" s="4" t="n"/>
      <c r="AG428" s="4" t="inlineStr">
        <is>
          <t>FCL/FCL</t>
        </is>
      </c>
      <c r="AH428" s="4" t="inlineStr">
        <is>
          <t>GENERAL COMMODITY</t>
        </is>
      </c>
      <c r="AI428" s="4" t="n">
        <v>28620</v>
      </c>
      <c r="AJ428" s="4" t="n">
        <v>27</v>
      </c>
      <c r="AK428" s="4" t="inlineStr">
        <is>
          <t>BLO</t>
        </is>
      </c>
      <c r="AL428" s="4" t="n"/>
      <c r="AM428" s="4" t="n"/>
      <c r="AN428" s="4" t="n"/>
      <c r="AO428" s="4" t="n"/>
      <c r="AP428" s="4" t="n"/>
      <c r="AQ428" s="4" t="n"/>
      <c r="AR428" s="4" t="n">
        <v>3700</v>
      </c>
      <c r="AS428" s="4" t="n">
        <v>27000</v>
      </c>
      <c r="AT428" s="12" t="n"/>
    </row>
    <row r="429">
      <c r="A429" s="11" t="n">
        <v>428</v>
      </c>
      <c r="B429" s="4" t="inlineStr">
        <is>
          <t>MERCURY / VOYAGE 1</t>
        </is>
      </c>
      <c r="C429" s="4" t="inlineStr">
        <is>
          <t>REF000000</t>
        </is>
      </c>
      <c r="D429" s="7" t="n">
        <v>46095</v>
      </c>
      <c r="E429" s="4" t="n">
        <v>46104</v>
      </c>
      <c r="F429" s="4" t="inlineStr">
        <is>
          <t>RULED</t>
        </is>
      </c>
      <c r="G429" s="4" t="inlineStr">
        <is>
          <t>RULED</t>
        </is>
      </c>
      <c r="H429" s="4" t="inlineStr">
        <is>
          <t>USNYC</t>
        </is>
      </c>
      <c r="I429" s="4" t="inlineStr">
        <is>
          <t>USNYC</t>
        </is>
      </c>
      <c r="J429" s="4" t="n"/>
      <c r="K429" s="8" t="n"/>
      <c r="L429" s="4" t="inlineStr">
        <is>
          <t>MARLIN REEFER</t>
        </is>
      </c>
      <c r="M429" s="4" t="inlineStr">
        <is>
          <t>MARLIN REEFER</t>
        </is>
      </c>
      <c r="N429" s="4" t="n"/>
      <c r="O429" s="4" t="n"/>
      <c r="P429" s="4" t="inlineStr">
        <is>
          <t>MARLIN REEFER</t>
        </is>
      </c>
      <c r="Q429" s="4" t="inlineStr">
        <is>
          <t>MARLIN REEFER</t>
        </is>
      </c>
      <c r="R429" s="4" t="n"/>
      <c r="S429" s="4" t="n"/>
      <c r="T429" s="4" t="inlineStr">
        <is>
          <t>MARLIN REEFER</t>
        </is>
      </c>
      <c r="U429" s="4" t="inlineStr">
        <is>
          <t>Av. das Araucarias, 5266 - Chapada, Araucaria - PR, 83702-</t>
        </is>
      </c>
      <c r="V429" s="4" t="n">
        <v>21</v>
      </c>
      <c r="W429" s="4" t="n">
        <v>0</v>
      </c>
      <c r="X429" s="4" t="n">
        <v>429300</v>
      </c>
      <c r="Y429" s="4" t="n">
        <v>405000</v>
      </c>
      <c r="Z429" s="4" t="n">
        <v>405</v>
      </c>
      <c r="AA429" s="4" t="n"/>
      <c r="AB429" s="4" t="inlineStr">
        <is>
          <t>SAID TO CONTAIN / WEIGH &amp; MEASURE</t>
        </is>
      </c>
      <c r="AC429" s="4" t="inlineStr">
        <is>
          <t>ANON0000000</t>
        </is>
      </c>
      <c r="AD429" s="4" t="inlineStr">
        <is>
          <t>HC40</t>
        </is>
      </c>
      <c r="AE429" s="4" t="n">
        <v>30270610</v>
      </c>
      <c r="AF429" s="4" t="n"/>
      <c r="AG429" s="4" t="inlineStr">
        <is>
          <t>FCL/FCL</t>
        </is>
      </c>
      <c r="AH429" s="4" t="inlineStr">
        <is>
          <t>GENERAL COMMODITY</t>
        </is>
      </c>
      <c r="AI429" s="4" t="n">
        <v>28620</v>
      </c>
      <c r="AJ429" s="4" t="n">
        <v>27</v>
      </c>
      <c r="AK429" s="4" t="inlineStr">
        <is>
          <t>BLO</t>
        </is>
      </c>
      <c r="AL429" s="4" t="n"/>
      <c r="AM429" s="4" t="n"/>
      <c r="AN429" s="4" t="n"/>
      <c r="AO429" s="4" t="n"/>
      <c r="AP429" s="4" t="n"/>
      <c r="AQ429" s="4" t="n"/>
      <c r="AR429" s="4" t="n">
        <v>3700</v>
      </c>
      <c r="AS429" s="4" t="n">
        <v>27000</v>
      </c>
      <c r="AT429" s="12" t="n"/>
    </row>
    <row r="430">
      <c r="A430" s="11" t="n">
        <v>429</v>
      </c>
      <c r="B430" s="4" t="inlineStr">
        <is>
          <t>MERCURY / VOYAGE 1</t>
        </is>
      </c>
      <c r="C430" s="4" t="inlineStr">
        <is>
          <t>REF000000</t>
        </is>
      </c>
      <c r="D430" s="7" t="n">
        <v>46095</v>
      </c>
      <c r="E430" s="4" t="n">
        <v>46104</v>
      </c>
      <c r="F430" s="4" t="inlineStr">
        <is>
          <t>RULED</t>
        </is>
      </c>
      <c r="G430" s="4" t="inlineStr">
        <is>
          <t>RULED</t>
        </is>
      </c>
      <c r="H430" s="4" t="inlineStr">
        <is>
          <t>USNYC</t>
        </is>
      </c>
      <c r="I430" s="4" t="inlineStr">
        <is>
          <t>USNYC</t>
        </is>
      </c>
      <c r="J430" s="4" t="n"/>
      <c r="K430" s="8" t="n"/>
      <c r="L430" s="4" t="inlineStr">
        <is>
          <t>TURTLE REEFER</t>
        </is>
      </c>
      <c r="M430" s="4" t="inlineStr">
        <is>
          <t>TURTLE REEFER</t>
        </is>
      </c>
      <c r="N430" s="4" t="n"/>
      <c r="O430" s="4" t="n"/>
      <c r="P430" s="4" t="inlineStr">
        <is>
          <t>TURTLE REEFER</t>
        </is>
      </c>
      <c r="Q430" s="4" t="inlineStr">
        <is>
          <t>TURTLE REEFER</t>
        </is>
      </c>
      <c r="R430" s="4" t="n"/>
      <c r="S430" s="4" t="n"/>
      <c r="T430" s="4" t="inlineStr">
        <is>
          <t>TURTLE REEFER</t>
        </is>
      </c>
      <c r="U430" s="4" t="inlineStr">
        <is>
          <t>Av. das Araucarias, 5266 - Chapada, Araucaria - PR, 83702-</t>
        </is>
      </c>
      <c r="V430" s="4" t="n">
        <v>21</v>
      </c>
      <c r="W430" s="4" t="n">
        <v>0</v>
      </c>
      <c r="X430" s="4" t="n">
        <v>429300</v>
      </c>
      <c r="Y430" s="4" t="n">
        <v>405000</v>
      </c>
      <c r="Z430" s="4" t="n">
        <v>405</v>
      </c>
      <c r="AA430" s="4" t="n"/>
      <c r="AB430" s="4" t="inlineStr">
        <is>
          <t>SAID TO CONTAIN / WEIGH &amp; MEASURE</t>
        </is>
      </c>
      <c r="AC430" s="4" t="inlineStr">
        <is>
          <t>ANON0000000</t>
        </is>
      </c>
      <c r="AD430" s="4" t="inlineStr">
        <is>
          <t>HC40</t>
        </is>
      </c>
      <c r="AE430" s="4" t="n">
        <v>30284920</v>
      </c>
      <c r="AF430" s="4" t="n"/>
      <c r="AG430" s="4" t="inlineStr">
        <is>
          <t>FCL/FCL</t>
        </is>
      </c>
      <c r="AH430" s="4" t="inlineStr">
        <is>
          <t>GENERAL COMMODITY</t>
        </is>
      </c>
      <c r="AI430" s="4" t="n">
        <v>28620</v>
      </c>
      <c r="AJ430" s="4" t="n">
        <v>27</v>
      </c>
      <c r="AK430" s="4" t="inlineStr">
        <is>
          <t>BLO</t>
        </is>
      </c>
      <c r="AL430" s="4" t="n"/>
      <c r="AM430" s="4" t="n"/>
      <c r="AN430" s="4" t="n"/>
      <c r="AO430" s="4" t="n"/>
      <c r="AP430" s="4" t="n"/>
      <c r="AQ430" s="4" t="n"/>
      <c r="AR430" s="4" t="n">
        <v>3700</v>
      </c>
      <c r="AS430" s="4" t="n">
        <v>27000</v>
      </c>
      <c r="AT430" s="12" t="n"/>
    </row>
    <row r="431">
      <c r="A431" s="11" t="n">
        <v>430</v>
      </c>
      <c r="B431" s="4" t="inlineStr">
        <is>
          <t>MERCURY / VOYAGE 1</t>
        </is>
      </c>
      <c r="C431" s="4" t="inlineStr">
        <is>
          <t>REF000000</t>
        </is>
      </c>
      <c r="D431" s="7" t="n">
        <v>46095</v>
      </c>
      <c r="E431" s="4" t="n">
        <v>46104</v>
      </c>
      <c r="F431" s="4" t="inlineStr">
        <is>
          <t>RULED</t>
        </is>
      </c>
      <c r="G431" s="4" t="inlineStr">
        <is>
          <t>RULED</t>
        </is>
      </c>
      <c r="H431" s="4" t="inlineStr">
        <is>
          <t>USNYC</t>
        </is>
      </c>
      <c r="I431" s="4" t="inlineStr">
        <is>
          <t>USNYC</t>
        </is>
      </c>
      <c r="J431" s="4" t="n"/>
      <c r="K431" s="8" t="n"/>
      <c r="L431" s="4" t="inlineStr">
        <is>
          <t>ORCA REEFER</t>
        </is>
      </c>
      <c r="M431" s="4" t="inlineStr">
        <is>
          <t>ORCA REEFER</t>
        </is>
      </c>
      <c r="N431" s="4" t="n"/>
      <c r="O431" s="4" t="n"/>
      <c r="P431" s="4" t="inlineStr">
        <is>
          <t>ORCA REEFER</t>
        </is>
      </c>
      <c r="Q431" s="4" t="inlineStr">
        <is>
          <t>ORCA REEFER</t>
        </is>
      </c>
      <c r="R431" s="4" t="n"/>
      <c r="S431" s="4" t="n"/>
      <c r="T431" s="4" t="inlineStr">
        <is>
          <t>ORCA REEFER</t>
        </is>
      </c>
      <c r="U431" s="4" t="inlineStr">
        <is>
          <t>Av. das Araucarias, 5266 - Chapada, Araucaria - PR, 83702-</t>
        </is>
      </c>
      <c r="V431" s="4" t="n">
        <v>21</v>
      </c>
      <c r="W431" s="4" t="n">
        <v>0</v>
      </c>
      <c r="X431" s="4" t="n">
        <v>429300</v>
      </c>
      <c r="Y431" s="4" t="n">
        <v>405000</v>
      </c>
      <c r="Z431" s="4" t="n">
        <v>405</v>
      </c>
      <c r="AA431" s="4" t="n"/>
      <c r="AB431" s="4" t="inlineStr">
        <is>
          <t>SAID TO CONTAIN / WEIGH &amp; MEASURE</t>
        </is>
      </c>
      <c r="AC431" s="4" t="inlineStr">
        <is>
          <t>ANON0000000</t>
        </is>
      </c>
      <c r="AD431" s="4" t="inlineStr">
        <is>
          <t>HC40</t>
        </is>
      </c>
      <c r="AE431" s="4" t="n">
        <v>30284979</v>
      </c>
      <c r="AF431" s="4" t="n"/>
      <c r="AG431" s="4" t="inlineStr">
        <is>
          <t>FCL/FCL</t>
        </is>
      </c>
      <c r="AH431" s="4" t="inlineStr">
        <is>
          <t>GENERAL COMMODITY</t>
        </is>
      </c>
      <c r="AI431" s="4" t="n">
        <v>28620</v>
      </c>
      <c r="AJ431" s="4" t="n">
        <v>27</v>
      </c>
      <c r="AK431" s="4" t="inlineStr">
        <is>
          <t>BLO</t>
        </is>
      </c>
      <c r="AL431" s="4" t="n"/>
      <c r="AM431" s="4" t="n"/>
      <c r="AN431" s="4" t="n"/>
      <c r="AO431" s="4" t="n"/>
      <c r="AP431" s="4" t="n"/>
      <c r="AQ431" s="4" t="n"/>
      <c r="AR431" s="4" t="n">
        <v>3700</v>
      </c>
      <c r="AS431" s="4" t="n">
        <v>27000</v>
      </c>
      <c r="AT431" s="12" t="n"/>
    </row>
    <row r="432">
      <c r="A432" s="11" t="n">
        <v>431</v>
      </c>
      <c r="B432" s="4" t="inlineStr">
        <is>
          <t>MERCURY / VOYAGE 1</t>
        </is>
      </c>
      <c r="C432" s="4" t="inlineStr">
        <is>
          <t>REF000000</t>
        </is>
      </c>
      <c r="D432" s="7" t="n">
        <v>46095</v>
      </c>
      <c r="E432" s="4" t="n">
        <v>46104</v>
      </c>
      <c r="F432" s="4" t="inlineStr">
        <is>
          <t>RULED</t>
        </is>
      </c>
      <c r="G432" s="4" t="inlineStr">
        <is>
          <t>RULED</t>
        </is>
      </c>
      <c r="H432" s="4" t="inlineStr">
        <is>
          <t>USNYC</t>
        </is>
      </c>
      <c r="I432" s="4" t="inlineStr">
        <is>
          <t>USNYC</t>
        </is>
      </c>
      <c r="J432" s="4" t="n"/>
      <c r="K432" s="8" t="n"/>
      <c r="L432" s="4" t="inlineStr">
        <is>
          <t>WHALE REEFER</t>
        </is>
      </c>
      <c r="M432" s="4" t="inlineStr">
        <is>
          <t>WHALE REEFER</t>
        </is>
      </c>
      <c r="N432" s="4" t="n"/>
      <c r="O432" s="4" t="n"/>
      <c r="P432" s="4" t="inlineStr">
        <is>
          <t>WHALE REEFER</t>
        </is>
      </c>
      <c r="Q432" s="4" t="inlineStr">
        <is>
          <t>WHALE REEFER</t>
        </is>
      </c>
      <c r="R432" s="4" t="n"/>
      <c r="S432" s="4" t="n"/>
      <c r="T432" s="4" t="inlineStr">
        <is>
          <t>WHALE REEFER</t>
        </is>
      </c>
      <c r="U432" s="4" t="inlineStr">
        <is>
          <t>Av. das Araucarias, 5266 - Chapada, Araucaria - PR, 83702-</t>
        </is>
      </c>
      <c r="V432" s="4" t="n">
        <v>21</v>
      </c>
      <c r="W432" s="4" t="n">
        <v>0</v>
      </c>
      <c r="X432" s="4" t="n">
        <v>429300</v>
      </c>
      <c r="Y432" s="4" t="n">
        <v>405000</v>
      </c>
      <c r="Z432" s="4" t="n">
        <v>405</v>
      </c>
      <c r="AA432" s="4" t="n"/>
      <c r="AB432" s="4" t="inlineStr">
        <is>
          <t>SAID TO CONTAIN / WEIGH &amp; MEASURE</t>
        </is>
      </c>
      <c r="AC432" s="4" t="inlineStr">
        <is>
          <t>ANON0000000</t>
        </is>
      </c>
      <c r="AD432" s="4" t="inlineStr">
        <is>
          <t>HC40</t>
        </is>
      </c>
      <c r="AE432" s="4" t="n">
        <v>30270612</v>
      </c>
      <c r="AF432" s="4" t="n"/>
      <c r="AG432" s="4" t="inlineStr">
        <is>
          <t>FCL/FCL</t>
        </is>
      </c>
      <c r="AH432" s="4" t="inlineStr">
        <is>
          <t>GENERAL COMMODITY</t>
        </is>
      </c>
      <c r="AI432" s="4" t="n">
        <v>28620</v>
      </c>
      <c r="AJ432" s="4" t="n">
        <v>27</v>
      </c>
      <c r="AK432" s="4" t="inlineStr">
        <is>
          <t>BLO</t>
        </is>
      </c>
      <c r="AL432" s="4" t="n"/>
      <c r="AM432" s="4" t="n"/>
      <c r="AN432" s="4" t="n"/>
      <c r="AO432" s="4" t="n"/>
      <c r="AP432" s="4" t="n"/>
      <c r="AQ432" s="4" t="n"/>
      <c r="AR432" s="4" t="n">
        <v>3700</v>
      </c>
      <c r="AS432" s="4" t="n">
        <v>27000</v>
      </c>
      <c r="AT432" s="12" t="n"/>
    </row>
    <row r="433">
      <c r="A433" s="11" t="n">
        <v>432</v>
      </c>
      <c r="B433" s="4" t="inlineStr">
        <is>
          <t>MERCURY / VOYAGE 1</t>
        </is>
      </c>
      <c r="C433" s="4" t="inlineStr">
        <is>
          <t>REF000000</t>
        </is>
      </c>
      <c r="D433" s="7" t="n">
        <v>46095</v>
      </c>
      <c r="E433" s="4" t="n">
        <v>46104</v>
      </c>
      <c r="F433" s="4" t="inlineStr">
        <is>
          <t>RULED</t>
        </is>
      </c>
      <c r="G433" s="4" t="inlineStr">
        <is>
          <t>RULED</t>
        </is>
      </c>
      <c r="H433" s="4" t="inlineStr">
        <is>
          <t>USNYC</t>
        </is>
      </c>
      <c r="I433" s="4" t="inlineStr">
        <is>
          <t>USNYC</t>
        </is>
      </c>
      <c r="J433" s="4" t="n"/>
      <c r="K433" s="8" t="n"/>
      <c r="L433" s="4" t="inlineStr">
        <is>
          <t>SEAL REEFER</t>
        </is>
      </c>
      <c r="M433" s="4" t="inlineStr">
        <is>
          <t>SEAL REEFER</t>
        </is>
      </c>
      <c r="N433" s="4" t="n"/>
      <c r="O433" s="4" t="n"/>
      <c r="P433" s="4" t="inlineStr">
        <is>
          <t>SEAL REEFER</t>
        </is>
      </c>
      <c r="Q433" s="4" t="inlineStr">
        <is>
          <t>SEAL REEFER</t>
        </is>
      </c>
      <c r="R433" s="4" t="n"/>
      <c r="S433" s="4" t="n"/>
      <c r="T433" s="4" t="inlineStr">
        <is>
          <t>SEAL REEFER</t>
        </is>
      </c>
      <c r="U433" s="4" t="inlineStr">
        <is>
          <t>Av. das Araucarias, 5266 - Chapada, Araucaria - PR, 83702-</t>
        </is>
      </c>
      <c r="V433" s="4" t="n">
        <v>21</v>
      </c>
      <c r="W433" s="4" t="n">
        <v>0</v>
      </c>
      <c r="X433" s="4" t="n">
        <v>429300</v>
      </c>
      <c r="Y433" s="4" t="n">
        <v>405000</v>
      </c>
      <c r="Z433" s="4" t="n">
        <v>405</v>
      </c>
      <c r="AA433" s="4" t="n"/>
      <c r="AB433" s="4" t="inlineStr">
        <is>
          <t>SAID TO CONTAIN / WEIGH &amp; MEASURE</t>
        </is>
      </c>
      <c r="AC433" s="4" t="inlineStr">
        <is>
          <t>ANON0000000</t>
        </is>
      </c>
      <c r="AD433" s="4" t="inlineStr">
        <is>
          <t>HC40</t>
        </is>
      </c>
      <c r="AE433" s="4" t="n">
        <v>30270665</v>
      </c>
      <c r="AF433" s="4" t="n"/>
      <c r="AG433" s="4" t="inlineStr">
        <is>
          <t>FCL/FCL</t>
        </is>
      </c>
      <c r="AH433" s="4" t="inlineStr">
        <is>
          <t>GENERAL COMMODITY</t>
        </is>
      </c>
      <c r="AI433" s="4" t="n">
        <v>28620</v>
      </c>
      <c r="AJ433" s="4" t="n">
        <v>27</v>
      </c>
      <c r="AK433" s="4" t="inlineStr">
        <is>
          <t>BLO</t>
        </is>
      </c>
      <c r="AL433" s="4" t="n"/>
      <c r="AM433" s="4" t="n"/>
      <c r="AN433" s="4" t="n"/>
      <c r="AO433" s="4" t="n"/>
      <c r="AP433" s="4" t="n"/>
      <c r="AQ433" s="4" t="n"/>
      <c r="AR433" s="4" t="n">
        <v>3700</v>
      </c>
      <c r="AS433" s="4" t="n">
        <v>27000</v>
      </c>
      <c r="AT433" s="12" t="n"/>
    </row>
    <row r="434">
      <c r="A434" s="11" t="n">
        <v>433</v>
      </c>
      <c r="B434" s="4" t="inlineStr">
        <is>
          <t>MERCURY / VOYAGE 1</t>
        </is>
      </c>
      <c r="C434" s="4" t="inlineStr">
        <is>
          <t>REF000000</t>
        </is>
      </c>
      <c r="D434" s="7" t="n">
        <v>46095</v>
      </c>
      <c r="E434" s="4" t="n">
        <v>46104</v>
      </c>
      <c r="F434" s="4" t="inlineStr">
        <is>
          <t>RULED</t>
        </is>
      </c>
      <c r="G434" s="4" t="inlineStr">
        <is>
          <t>RULED</t>
        </is>
      </c>
      <c r="H434" s="4" t="inlineStr">
        <is>
          <t>USNYC</t>
        </is>
      </c>
      <c r="I434" s="4" t="inlineStr">
        <is>
          <t>USNYC</t>
        </is>
      </c>
      <c r="J434" s="4" t="n"/>
      <c r="K434" s="8" t="n"/>
      <c r="L434" s="4" t="inlineStr">
        <is>
          <t>SHARK REEFER</t>
        </is>
      </c>
      <c r="M434" s="4" t="inlineStr">
        <is>
          <t>SHARK REEFER</t>
        </is>
      </c>
      <c r="N434" s="4" t="n"/>
      <c r="O434" s="4" t="n"/>
      <c r="P434" s="4" t="inlineStr">
        <is>
          <t>SHARK REEFER</t>
        </is>
      </c>
      <c r="Q434" s="4" t="inlineStr">
        <is>
          <t>SHARK REEFER</t>
        </is>
      </c>
      <c r="R434" s="4" t="n"/>
      <c r="S434" s="4" t="n"/>
      <c r="T434" s="4" t="inlineStr">
        <is>
          <t>SHARK REEFER</t>
        </is>
      </c>
      <c r="U434" s="4" t="inlineStr">
        <is>
          <t>Av. das Araucarias, 5266 - Chapada, Araucaria - PR, 83702-</t>
        </is>
      </c>
      <c r="V434" s="4" t="n">
        <v>21</v>
      </c>
      <c r="W434" s="4" t="n">
        <v>0</v>
      </c>
      <c r="X434" s="4" t="n">
        <v>429300</v>
      </c>
      <c r="Y434" s="4" t="n">
        <v>405000</v>
      </c>
      <c r="Z434" s="4" t="n">
        <v>405</v>
      </c>
      <c r="AA434" s="4" t="n"/>
      <c r="AB434" s="4" t="inlineStr">
        <is>
          <t>SAID TO CONTAIN / WEIGH &amp; MEASURE</t>
        </is>
      </c>
      <c r="AC434" s="4" t="inlineStr">
        <is>
          <t>ANON0000000</t>
        </is>
      </c>
      <c r="AD434" s="4" t="inlineStr">
        <is>
          <t>HC40</t>
        </is>
      </c>
      <c r="AE434" s="4" t="n">
        <v>30239107</v>
      </c>
      <c r="AF434" s="4" t="n"/>
      <c r="AG434" s="4" t="inlineStr">
        <is>
          <t>FCL/FCL</t>
        </is>
      </c>
      <c r="AH434" s="4" t="inlineStr">
        <is>
          <t>GENERAL COMMODITY</t>
        </is>
      </c>
      <c r="AI434" s="4" t="n">
        <v>28620</v>
      </c>
      <c r="AJ434" s="4" t="n">
        <v>27</v>
      </c>
      <c r="AK434" s="4" t="inlineStr">
        <is>
          <t>BLO</t>
        </is>
      </c>
      <c r="AL434" s="4" t="n"/>
      <c r="AM434" s="4" t="n"/>
      <c r="AN434" s="4" t="n"/>
      <c r="AO434" s="4" t="n"/>
      <c r="AP434" s="4" t="n"/>
      <c r="AQ434" s="4" t="n"/>
      <c r="AR434" s="4" t="n">
        <v>3700</v>
      </c>
      <c r="AS434" s="4" t="n">
        <v>27000</v>
      </c>
      <c r="AT434" s="12" t="n"/>
    </row>
    <row r="435">
      <c r="A435" s="11" t="n">
        <v>434</v>
      </c>
      <c r="B435" s="4" t="inlineStr">
        <is>
          <t>MERCURY / VOYAGE 1</t>
        </is>
      </c>
      <c r="C435" s="4" t="inlineStr">
        <is>
          <t>REF000000</t>
        </is>
      </c>
      <c r="D435" s="7" t="n">
        <v>46095</v>
      </c>
      <c r="E435" s="4" t="n">
        <v>46104</v>
      </c>
      <c r="F435" s="4" t="inlineStr">
        <is>
          <t>RULED</t>
        </is>
      </c>
      <c r="G435" s="4" t="inlineStr">
        <is>
          <t>RULED</t>
        </is>
      </c>
      <c r="H435" s="4" t="inlineStr">
        <is>
          <t>USNYC</t>
        </is>
      </c>
      <c r="I435" s="4" t="inlineStr">
        <is>
          <t>USNYC</t>
        </is>
      </c>
      <c r="J435" s="4" t="n"/>
      <c r="K435" s="8" t="n"/>
      <c r="L435" s="4" t="inlineStr">
        <is>
          <t>DOLPHIN REEFER</t>
        </is>
      </c>
      <c r="M435" s="4" t="inlineStr">
        <is>
          <t>DOLPHIN REEFER</t>
        </is>
      </c>
      <c r="N435" s="4" t="n"/>
      <c r="O435" s="4" t="n"/>
      <c r="P435" s="4" t="inlineStr">
        <is>
          <t>DOLPHIN REEFER</t>
        </is>
      </c>
      <c r="Q435" s="4" t="inlineStr">
        <is>
          <t>DOLPHIN REEFER</t>
        </is>
      </c>
      <c r="R435" s="4" t="n"/>
      <c r="S435" s="4" t="n"/>
      <c r="T435" s="4" t="inlineStr">
        <is>
          <t>DOLPHIN REEFER</t>
        </is>
      </c>
      <c r="U435" s="4" t="inlineStr">
        <is>
          <t>Av. das Araucarias, 5266 - Chapada, Araucaria - PR, 83702-</t>
        </is>
      </c>
      <c r="V435" s="4" t="n">
        <v>21</v>
      </c>
      <c r="W435" s="4" t="n">
        <v>0</v>
      </c>
      <c r="X435" s="4" t="n">
        <v>429300</v>
      </c>
      <c r="Y435" s="4" t="n">
        <v>405000</v>
      </c>
      <c r="Z435" s="4" t="n">
        <v>405</v>
      </c>
      <c r="AA435" s="4" t="n"/>
      <c r="AB435" s="4" t="inlineStr">
        <is>
          <t>SAID TO CONTAIN / WEIGH &amp; MEASURE</t>
        </is>
      </c>
      <c r="AC435" s="4" t="inlineStr">
        <is>
          <t>ANON0000000</t>
        </is>
      </c>
      <c r="AD435" s="4" t="inlineStr">
        <is>
          <t>HC40</t>
        </is>
      </c>
      <c r="AE435" s="4" t="n">
        <v>30270617</v>
      </c>
      <c r="AF435" s="4" t="n"/>
      <c r="AG435" s="4" t="inlineStr">
        <is>
          <t>FCL/FCL</t>
        </is>
      </c>
      <c r="AH435" s="4" t="inlineStr">
        <is>
          <t>GENERAL COMMODITY</t>
        </is>
      </c>
      <c r="AI435" s="4" t="n">
        <v>28620</v>
      </c>
      <c r="AJ435" s="4" t="n">
        <v>27</v>
      </c>
      <c r="AK435" s="4" t="inlineStr">
        <is>
          <t>BLO</t>
        </is>
      </c>
      <c r="AL435" s="4" t="n"/>
      <c r="AM435" s="4" t="n"/>
      <c r="AN435" s="4" t="n"/>
      <c r="AO435" s="4" t="n"/>
      <c r="AP435" s="4" t="n"/>
      <c r="AQ435" s="4" t="n"/>
      <c r="AR435" s="4" t="n">
        <v>3700</v>
      </c>
      <c r="AS435" s="4" t="n">
        <v>27000</v>
      </c>
      <c r="AT435" s="12" t="n"/>
    </row>
    <row r="436">
      <c r="A436" s="11" t="n">
        <v>435</v>
      </c>
      <c r="B436" s="4" t="inlineStr">
        <is>
          <t>MERCURY / VOYAGE 1</t>
        </is>
      </c>
      <c r="C436" s="4" t="inlineStr">
        <is>
          <t>REF000000</t>
        </is>
      </c>
      <c r="D436" s="7" t="n">
        <v>46095</v>
      </c>
      <c r="E436" s="4" t="n">
        <v>46104</v>
      </c>
      <c r="F436" s="4" t="inlineStr">
        <is>
          <t>RULED</t>
        </is>
      </c>
      <c r="G436" s="4" t="inlineStr">
        <is>
          <t>RULED</t>
        </is>
      </c>
      <c r="H436" s="4" t="inlineStr">
        <is>
          <t>USNYC</t>
        </is>
      </c>
      <c r="I436" s="4" t="inlineStr">
        <is>
          <t>USNYC</t>
        </is>
      </c>
      <c r="J436" s="4" t="n"/>
      <c r="K436" s="8" t="n"/>
      <c r="L436" s="4" t="inlineStr">
        <is>
          <t>MARLIN REEFER</t>
        </is>
      </c>
      <c r="M436" s="4" t="inlineStr">
        <is>
          <t>MARLIN REEFER</t>
        </is>
      </c>
      <c r="N436" s="4" t="n"/>
      <c r="O436" s="4" t="n"/>
      <c r="P436" s="4" t="inlineStr">
        <is>
          <t>MARLIN REEFER</t>
        </is>
      </c>
      <c r="Q436" s="4" t="inlineStr">
        <is>
          <t>MARLIN REEFER</t>
        </is>
      </c>
      <c r="R436" s="4" t="n"/>
      <c r="S436" s="4" t="n"/>
      <c r="T436" s="4" t="inlineStr">
        <is>
          <t>MARLIN REEFER</t>
        </is>
      </c>
      <c r="U436" s="4" t="inlineStr">
        <is>
          <t>Av. das Araucarias, 5266 - Chapada, Araucaria - PR, 83702-</t>
        </is>
      </c>
      <c r="V436" s="4" t="n">
        <v>21</v>
      </c>
      <c r="W436" s="4" t="n">
        <v>0</v>
      </c>
      <c r="X436" s="4" t="n">
        <v>429300</v>
      </c>
      <c r="Y436" s="4" t="n">
        <v>405000</v>
      </c>
      <c r="Z436" s="4" t="n">
        <v>405</v>
      </c>
      <c r="AA436" s="4" t="n"/>
      <c r="AB436" s="4" t="inlineStr">
        <is>
          <t>SAID TO CONTAIN / WEIGH &amp; MEASURE</t>
        </is>
      </c>
      <c r="AC436" s="4" t="inlineStr">
        <is>
          <t>ANON0000000</t>
        </is>
      </c>
      <c r="AD436" s="4" t="inlineStr">
        <is>
          <t>HC40</t>
        </is>
      </c>
      <c r="AE436" s="4" t="n">
        <v>30239236</v>
      </c>
      <c r="AF436" s="4" t="n"/>
      <c r="AG436" s="4" t="inlineStr">
        <is>
          <t>FCL/FCL</t>
        </is>
      </c>
      <c r="AH436" s="4" t="inlineStr">
        <is>
          <t>GENERAL COMMODITY</t>
        </is>
      </c>
      <c r="AI436" s="4" t="n">
        <v>28620</v>
      </c>
      <c r="AJ436" s="4" t="n">
        <v>27</v>
      </c>
      <c r="AK436" s="4" t="inlineStr">
        <is>
          <t>BLO</t>
        </is>
      </c>
      <c r="AL436" s="4" t="n"/>
      <c r="AM436" s="4" t="n"/>
      <c r="AN436" s="4" t="n"/>
      <c r="AO436" s="4" t="n"/>
      <c r="AP436" s="4" t="n"/>
      <c r="AQ436" s="4" t="n"/>
      <c r="AR436" s="4" t="n">
        <v>3830</v>
      </c>
      <c r="AS436" s="4" t="n">
        <v>27000</v>
      </c>
      <c r="AT436" s="12" t="n"/>
    </row>
    <row r="437">
      <c r="A437" s="11" t="n">
        <v>436</v>
      </c>
      <c r="B437" s="4" t="inlineStr">
        <is>
          <t>MERCURY / VOYAGE 1</t>
        </is>
      </c>
      <c r="C437" s="4" t="inlineStr">
        <is>
          <t>REF000000</t>
        </is>
      </c>
      <c r="D437" s="7" t="n">
        <v>46095</v>
      </c>
      <c r="E437" s="4" t="n">
        <v>46104</v>
      </c>
      <c r="F437" s="4" t="inlineStr">
        <is>
          <t>RULED</t>
        </is>
      </c>
      <c r="G437" s="4" t="inlineStr">
        <is>
          <t>RULED</t>
        </is>
      </c>
      <c r="H437" s="4" t="inlineStr">
        <is>
          <t>USNYC</t>
        </is>
      </c>
      <c r="I437" s="4" t="inlineStr">
        <is>
          <t>USNYC</t>
        </is>
      </c>
      <c r="J437" s="4" t="n"/>
      <c r="K437" s="8" t="n"/>
      <c r="L437" s="4" t="inlineStr">
        <is>
          <t>TURTLE REEFER</t>
        </is>
      </c>
      <c r="M437" s="4" t="inlineStr">
        <is>
          <t>TURTLE REEFER</t>
        </is>
      </c>
      <c r="N437" s="4" t="n"/>
      <c r="O437" s="4" t="n"/>
      <c r="P437" s="4" t="inlineStr">
        <is>
          <t>TURTLE REEFER</t>
        </is>
      </c>
      <c r="Q437" s="4" t="inlineStr">
        <is>
          <t>TURTLE REEFER</t>
        </is>
      </c>
      <c r="R437" s="4" t="n"/>
      <c r="S437" s="4" t="n"/>
      <c r="T437" s="4" t="inlineStr">
        <is>
          <t>TURTLE REEFER</t>
        </is>
      </c>
      <c r="U437" s="4" t="inlineStr">
        <is>
          <t>Av. das Araucarias, 5266 - Chapada, Araucaria - PR, 83702-</t>
        </is>
      </c>
      <c r="V437" s="4" t="n">
        <v>21</v>
      </c>
      <c r="W437" s="4" t="n">
        <v>0</v>
      </c>
      <c r="X437" s="4" t="n">
        <v>429300</v>
      </c>
      <c r="Y437" s="4" t="n">
        <v>405000</v>
      </c>
      <c r="Z437" s="4" t="n">
        <v>405</v>
      </c>
      <c r="AA437" s="4" t="n"/>
      <c r="AB437" s="4" t="inlineStr">
        <is>
          <t>SAID TO CONTAIN / WEIGH &amp; MEASURE</t>
        </is>
      </c>
      <c r="AC437" s="4" t="inlineStr">
        <is>
          <t>ANON0000000</t>
        </is>
      </c>
      <c r="AD437" s="4" t="inlineStr">
        <is>
          <t>HC40</t>
        </is>
      </c>
      <c r="AE437" s="4" t="n">
        <v>30270614</v>
      </c>
      <c r="AF437" s="4" t="n"/>
      <c r="AG437" s="4" t="inlineStr">
        <is>
          <t>FCL/FCL</t>
        </is>
      </c>
      <c r="AH437" s="4" t="inlineStr">
        <is>
          <t>GENERAL COMMODITY</t>
        </is>
      </c>
      <c r="AI437" s="4" t="n">
        <v>28620</v>
      </c>
      <c r="AJ437" s="4" t="n">
        <v>27</v>
      </c>
      <c r="AK437" s="4" t="inlineStr">
        <is>
          <t>BLO</t>
        </is>
      </c>
      <c r="AL437" s="4" t="n"/>
      <c r="AM437" s="4" t="n"/>
      <c r="AN437" s="4" t="n"/>
      <c r="AO437" s="4" t="n"/>
      <c r="AP437" s="4" t="n"/>
      <c r="AQ437" s="4" t="n"/>
      <c r="AR437" s="4" t="n">
        <v>3700</v>
      </c>
      <c r="AS437" s="4" t="n">
        <v>27000</v>
      </c>
      <c r="AT437" s="12" t="n"/>
    </row>
    <row r="438">
      <c r="A438" s="11" t="n">
        <v>437</v>
      </c>
      <c r="B438" s="4" t="inlineStr">
        <is>
          <t>MERCURY / VOYAGE 1</t>
        </is>
      </c>
      <c r="C438" s="4" t="inlineStr">
        <is>
          <t>REF000000</t>
        </is>
      </c>
      <c r="D438" s="7" t="n">
        <v>46095</v>
      </c>
      <c r="E438" s="4" t="n">
        <v>46104</v>
      </c>
      <c r="F438" s="4" t="inlineStr">
        <is>
          <t>RULED</t>
        </is>
      </c>
      <c r="G438" s="4" t="inlineStr">
        <is>
          <t>RULED</t>
        </is>
      </c>
      <c r="H438" s="4" t="inlineStr">
        <is>
          <t>USNYC</t>
        </is>
      </c>
      <c r="I438" s="4" t="inlineStr">
        <is>
          <t>USNYC</t>
        </is>
      </c>
      <c r="J438" s="4" t="n"/>
      <c r="K438" s="8" t="n"/>
      <c r="L438" s="4" t="inlineStr">
        <is>
          <t>ORCA REEFER</t>
        </is>
      </c>
      <c r="M438" s="4" t="inlineStr">
        <is>
          <t>ORCA REEFER</t>
        </is>
      </c>
      <c r="N438" s="4" t="n"/>
      <c r="O438" s="4" t="n"/>
      <c r="P438" s="4" t="inlineStr">
        <is>
          <t>ORCA REEFER</t>
        </is>
      </c>
      <c r="Q438" s="4" t="inlineStr">
        <is>
          <t>ORCA REEFER</t>
        </is>
      </c>
      <c r="R438" s="4" t="n"/>
      <c r="S438" s="4" t="n"/>
      <c r="T438" s="4" t="inlineStr">
        <is>
          <t>ORCA REEFER</t>
        </is>
      </c>
      <c r="U438" s="4" t="inlineStr">
        <is>
          <t>Av. das Araucarias, 5266 - Chapada, Araucaria - PR, 83702-</t>
        </is>
      </c>
      <c r="V438" s="4" t="n">
        <v>21</v>
      </c>
      <c r="W438" s="4" t="n">
        <v>0</v>
      </c>
      <c r="X438" s="4" t="n">
        <v>429300</v>
      </c>
      <c r="Y438" s="4" t="n">
        <v>405000</v>
      </c>
      <c r="Z438" s="4" t="n">
        <v>405</v>
      </c>
      <c r="AA438" s="4" t="n"/>
      <c r="AB438" s="4" t="inlineStr">
        <is>
          <t>SAID TO CONTAIN / WEIGH &amp; MEASURE</t>
        </is>
      </c>
      <c r="AC438" s="4" t="inlineStr">
        <is>
          <t>ANON0000000</t>
        </is>
      </c>
      <c r="AD438" s="4" t="inlineStr">
        <is>
          <t>HC40</t>
        </is>
      </c>
      <c r="AE438" s="4" t="n">
        <v>30284971</v>
      </c>
      <c r="AF438" s="4" t="n"/>
      <c r="AG438" s="4" t="inlineStr">
        <is>
          <t>FCL/FCL</t>
        </is>
      </c>
      <c r="AH438" s="4" t="inlineStr">
        <is>
          <t>GENERAL COMMODITY</t>
        </is>
      </c>
      <c r="AI438" s="4" t="n">
        <v>28620</v>
      </c>
      <c r="AJ438" s="4" t="n">
        <v>27</v>
      </c>
      <c r="AK438" s="4" t="inlineStr">
        <is>
          <t>BLO</t>
        </is>
      </c>
      <c r="AL438" s="4" t="n"/>
      <c r="AM438" s="4" t="n"/>
      <c r="AN438" s="4" t="n"/>
      <c r="AO438" s="4" t="n"/>
      <c r="AP438" s="4" t="n"/>
      <c r="AQ438" s="4" t="n"/>
      <c r="AR438" s="4" t="n">
        <v>3700</v>
      </c>
      <c r="AS438" s="4" t="n">
        <v>27000</v>
      </c>
      <c r="AT438" s="12" t="n"/>
    </row>
    <row r="439">
      <c r="A439" s="11" t="n">
        <v>438</v>
      </c>
      <c r="B439" s="4" t="inlineStr">
        <is>
          <t>MERCURY / VOYAGE 1</t>
        </is>
      </c>
      <c r="C439" s="4" t="inlineStr">
        <is>
          <t>REF000000</t>
        </is>
      </c>
      <c r="D439" s="7" t="n">
        <v>46095</v>
      </c>
      <c r="E439" s="4" t="n">
        <v>46104</v>
      </c>
      <c r="F439" s="4" t="inlineStr">
        <is>
          <t>RULED</t>
        </is>
      </c>
      <c r="G439" s="4" t="inlineStr">
        <is>
          <t>RULED</t>
        </is>
      </c>
      <c r="H439" s="4" t="inlineStr">
        <is>
          <t>USNYC</t>
        </is>
      </c>
      <c r="I439" s="4" t="inlineStr">
        <is>
          <t>USNYC</t>
        </is>
      </c>
      <c r="J439" s="4" t="n"/>
      <c r="K439" s="8" t="n"/>
      <c r="L439" s="4" t="inlineStr">
        <is>
          <t>WHALE REEFER</t>
        </is>
      </c>
      <c r="M439" s="4" t="inlineStr">
        <is>
          <t>WHALE REEFER</t>
        </is>
      </c>
      <c r="N439" s="4" t="n"/>
      <c r="O439" s="4" t="n"/>
      <c r="P439" s="4" t="inlineStr">
        <is>
          <t>WHALE REEFER</t>
        </is>
      </c>
      <c r="Q439" s="4" t="inlineStr">
        <is>
          <t>WHALE REEFER</t>
        </is>
      </c>
      <c r="R439" s="4" t="n"/>
      <c r="S439" s="4" t="n"/>
      <c r="T439" s="4" t="inlineStr">
        <is>
          <t>WHALE REEFER</t>
        </is>
      </c>
      <c r="U439" s="4" t="inlineStr">
        <is>
          <t>Av. das Araucarias, 5266 - Chapada, Araucaria - PR, 83702-</t>
        </is>
      </c>
      <c r="V439" s="4" t="n">
        <v>21</v>
      </c>
      <c r="W439" s="4" t="n">
        <v>0</v>
      </c>
      <c r="X439" s="4" t="n">
        <v>429300</v>
      </c>
      <c r="Y439" s="4" t="n">
        <v>405000</v>
      </c>
      <c r="Z439" s="4" t="n">
        <v>405</v>
      </c>
      <c r="AA439" s="4" t="n"/>
      <c r="AB439" s="4" t="inlineStr">
        <is>
          <t>SAID TO CONTAIN / WEIGH &amp; MEASURE</t>
        </is>
      </c>
      <c r="AC439" s="4" t="inlineStr">
        <is>
          <t>ANON0000000</t>
        </is>
      </c>
      <c r="AD439" s="4" t="inlineStr">
        <is>
          <t>HC40</t>
        </is>
      </c>
      <c r="AE439" s="4" t="n">
        <v>30284916</v>
      </c>
      <c r="AF439" s="4" t="n"/>
      <c r="AG439" s="4" t="inlineStr">
        <is>
          <t>FCL/FCL</t>
        </is>
      </c>
      <c r="AH439" s="4" t="inlineStr">
        <is>
          <t>GENERAL COMMODITY</t>
        </is>
      </c>
      <c r="AI439" s="4" t="n">
        <v>28620</v>
      </c>
      <c r="AJ439" s="4" t="n">
        <v>27</v>
      </c>
      <c r="AK439" s="4" t="inlineStr">
        <is>
          <t>BLO</t>
        </is>
      </c>
      <c r="AL439" s="4" t="n"/>
      <c r="AM439" s="4" t="n"/>
      <c r="AN439" s="4" t="n"/>
      <c r="AO439" s="4" t="n"/>
      <c r="AP439" s="4" t="n"/>
      <c r="AQ439" s="4" t="n"/>
      <c r="AR439" s="4" t="n">
        <v>3700</v>
      </c>
      <c r="AS439" s="4" t="n">
        <v>27000</v>
      </c>
      <c r="AT439" s="12" t="n"/>
    </row>
    <row r="440">
      <c r="A440" s="11" t="n">
        <v>439</v>
      </c>
      <c r="B440" s="4" t="inlineStr">
        <is>
          <t>MERCURY / VOYAGE 1</t>
        </is>
      </c>
      <c r="C440" s="4" t="inlineStr">
        <is>
          <t>REF000000</t>
        </is>
      </c>
      <c r="D440" s="7" t="n">
        <v>46095</v>
      </c>
      <c r="E440" s="4" t="n">
        <v>46104</v>
      </c>
      <c r="F440" s="4" t="inlineStr">
        <is>
          <t>RULED</t>
        </is>
      </c>
      <c r="G440" s="4" t="inlineStr">
        <is>
          <t>RULED</t>
        </is>
      </c>
      <c r="H440" s="4" t="inlineStr">
        <is>
          <t>USNYC</t>
        </is>
      </c>
      <c r="I440" s="4" t="inlineStr">
        <is>
          <t>USNYC</t>
        </is>
      </c>
      <c r="J440" s="4" t="n"/>
      <c r="K440" s="8" t="n"/>
      <c r="L440" s="4" t="inlineStr">
        <is>
          <t>SEAL REEFER</t>
        </is>
      </c>
      <c r="M440" s="4" t="inlineStr">
        <is>
          <t>SEAL REEFER</t>
        </is>
      </c>
      <c r="N440" s="4" t="n"/>
      <c r="O440" s="4" t="n"/>
      <c r="P440" s="4" t="inlineStr">
        <is>
          <t>SEAL REEFER</t>
        </is>
      </c>
      <c r="Q440" s="4" t="inlineStr">
        <is>
          <t>SEAL REEFER</t>
        </is>
      </c>
      <c r="R440" s="4" t="n"/>
      <c r="S440" s="4" t="n"/>
      <c r="T440" s="4" t="inlineStr">
        <is>
          <t>SEAL REEFER</t>
        </is>
      </c>
      <c r="U440" s="4" t="inlineStr">
        <is>
          <t>Av. das Araucarias, 5266 - Chapada, Araucaria - PR, 83702-</t>
        </is>
      </c>
      <c r="V440" s="4" t="n">
        <v>21</v>
      </c>
      <c r="W440" s="4" t="n">
        <v>0</v>
      </c>
      <c r="X440" s="4" t="n">
        <v>429300</v>
      </c>
      <c r="Y440" s="4" t="n">
        <v>405000</v>
      </c>
      <c r="Z440" s="4" t="n">
        <v>405</v>
      </c>
      <c r="AA440" s="4" t="n"/>
      <c r="AB440" s="4" t="inlineStr">
        <is>
          <t>SAID TO CONTAIN / WEIGH &amp; MEASURE</t>
        </is>
      </c>
      <c r="AC440" s="4" t="inlineStr">
        <is>
          <t>ANON0000000</t>
        </is>
      </c>
      <c r="AD440" s="4" t="inlineStr">
        <is>
          <t>HC40</t>
        </is>
      </c>
      <c r="AE440" s="4" t="n">
        <v>30239237</v>
      </c>
      <c r="AF440" s="4" t="n"/>
      <c r="AG440" s="4" t="inlineStr">
        <is>
          <t>FCL/FCL</t>
        </is>
      </c>
      <c r="AH440" s="4" t="inlineStr">
        <is>
          <t>GENERAL COMMODITY</t>
        </is>
      </c>
      <c r="AI440" s="4" t="n">
        <v>28620</v>
      </c>
      <c r="AJ440" s="4" t="n">
        <v>27</v>
      </c>
      <c r="AK440" s="4" t="inlineStr">
        <is>
          <t>BLO</t>
        </is>
      </c>
      <c r="AL440" s="4" t="n"/>
      <c r="AM440" s="4" t="n"/>
      <c r="AN440" s="4" t="n"/>
      <c r="AO440" s="4" t="n"/>
      <c r="AP440" s="4" t="n"/>
      <c r="AQ440" s="4" t="n"/>
      <c r="AR440" s="4" t="n">
        <v>3700</v>
      </c>
      <c r="AS440" s="4" t="n">
        <v>27000</v>
      </c>
      <c r="AT440" s="12" t="n"/>
    </row>
    <row r="441">
      <c r="A441" s="11" t="n">
        <v>440</v>
      </c>
      <c r="B441" s="4" t="inlineStr">
        <is>
          <t>MERCURY / VOYAGE 1</t>
        </is>
      </c>
      <c r="C441" s="4" t="inlineStr">
        <is>
          <t>REF000000</t>
        </is>
      </c>
      <c r="D441" s="7" t="n">
        <v>46095</v>
      </c>
      <c r="E441" s="4" t="n">
        <v>46104</v>
      </c>
      <c r="F441" s="4" t="inlineStr">
        <is>
          <t>RULED</t>
        </is>
      </c>
      <c r="G441" s="4" t="inlineStr">
        <is>
          <t>RULED</t>
        </is>
      </c>
      <c r="H441" s="4" t="inlineStr">
        <is>
          <t>USNYC</t>
        </is>
      </c>
      <c r="I441" s="4" t="inlineStr">
        <is>
          <t>USNYC</t>
        </is>
      </c>
      <c r="J441" s="4" t="n"/>
      <c r="K441" s="8" t="n"/>
      <c r="L441" s="4" t="inlineStr">
        <is>
          <t>SHARK REEFER</t>
        </is>
      </c>
      <c r="M441" s="4" t="inlineStr">
        <is>
          <t>SHARK REEFER</t>
        </is>
      </c>
      <c r="N441" s="4" t="n"/>
      <c r="O441" s="4" t="n"/>
      <c r="P441" s="4" t="inlineStr">
        <is>
          <t>SHARK REEFER</t>
        </is>
      </c>
      <c r="Q441" s="4" t="inlineStr">
        <is>
          <t>SHARK REEFER</t>
        </is>
      </c>
      <c r="R441" s="4" t="n"/>
      <c r="S441" s="4" t="n"/>
      <c r="T441" s="4" t="inlineStr">
        <is>
          <t>SHARK REEFER</t>
        </is>
      </c>
      <c r="U441" s="4" t="inlineStr">
        <is>
          <t>Av. das Araucarias, 5266 - Chapada, Araucaria - PR, 83702-</t>
        </is>
      </c>
      <c r="V441" s="4" t="n">
        <v>21</v>
      </c>
      <c r="W441" s="4" t="n">
        <v>0</v>
      </c>
      <c r="X441" s="4" t="n">
        <v>429300</v>
      </c>
      <c r="Y441" s="4" t="n">
        <v>405000</v>
      </c>
      <c r="Z441" s="4" t="n">
        <v>405</v>
      </c>
      <c r="AA441" s="4" t="n"/>
      <c r="AB441" s="4" t="inlineStr">
        <is>
          <t>SAID TO CONTAIN / WEIGH &amp; MEASURE</t>
        </is>
      </c>
      <c r="AC441" s="4" t="inlineStr">
        <is>
          <t>ANON0000000</t>
        </is>
      </c>
      <c r="AD441" s="4" t="inlineStr">
        <is>
          <t>HC40</t>
        </is>
      </c>
      <c r="AE441" s="4" t="n">
        <v>30195300</v>
      </c>
      <c r="AF441" s="4" t="n"/>
      <c r="AG441" s="4" t="inlineStr">
        <is>
          <t>FCL/FCL</t>
        </is>
      </c>
      <c r="AH441" s="4" t="inlineStr">
        <is>
          <t>GENERAL COMMODITY</t>
        </is>
      </c>
      <c r="AI441" s="4" t="n">
        <v>28620</v>
      </c>
      <c r="AJ441" s="4" t="n">
        <v>27</v>
      </c>
      <c r="AK441" s="4" t="inlineStr">
        <is>
          <t>BLO</t>
        </is>
      </c>
      <c r="AL441" s="4" t="n"/>
      <c r="AM441" s="4" t="n"/>
      <c r="AN441" s="4" t="n"/>
      <c r="AO441" s="4" t="n"/>
      <c r="AP441" s="4" t="n"/>
      <c r="AQ441" s="4" t="n"/>
      <c r="AR441" s="4" t="n">
        <v>3700</v>
      </c>
      <c r="AS441" s="4" t="n">
        <v>27000</v>
      </c>
      <c r="AT441" s="12" t="n"/>
    </row>
    <row r="442">
      <c r="A442" s="11" t="n">
        <v>441</v>
      </c>
      <c r="B442" s="4" t="inlineStr">
        <is>
          <t>MERCURY / VOYAGE 1</t>
        </is>
      </c>
      <c r="C442" s="4" t="inlineStr">
        <is>
          <t>REF000000</t>
        </is>
      </c>
      <c r="D442" s="7" t="n">
        <v>46095</v>
      </c>
      <c r="E442" s="4" t="n">
        <v>46104</v>
      </c>
      <c r="F442" s="4" t="inlineStr">
        <is>
          <t>RULED</t>
        </is>
      </c>
      <c r="G442" s="4" t="inlineStr">
        <is>
          <t>RULED</t>
        </is>
      </c>
      <c r="H442" s="4" t="inlineStr">
        <is>
          <t>USNYC</t>
        </is>
      </c>
      <c r="I442" s="4" t="inlineStr">
        <is>
          <t>USNYC</t>
        </is>
      </c>
      <c r="J442" s="4" t="n"/>
      <c r="K442" s="8" t="n"/>
      <c r="L442" s="4" t="inlineStr">
        <is>
          <t>DOLPHIN REEFER</t>
        </is>
      </c>
      <c r="M442" s="4" t="inlineStr">
        <is>
          <t>DOLPHIN REEFER</t>
        </is>
      </c>
      <c r="N442" s="4" t="n"/>
      <c r="O442" s="4" t="n"/>
      <c r="P442" s="4" t="inlineStr">
        <is>
          <t>DOLPHIN REEFER</t>
        </is>
      </c>
      <c r="Q442" s="4" t="inlineStr">
        <is>
          <t>DOLPHIN REEFER</t>
        </is>
      </c>
      <c r="R442" s="4" t="n"/>
      <c r="S442" s="4" t="n"/>
      <c r="T442" s="4" t="inlineStr">
        <is>
          <t>DOLPHIN REEFER</t>
        </is>
      </c>
      <c r="U442" s="4" t="inlineStr">
        <is>
          <t>Av. das Araucarias, 5266 - Chapada, Araucaria - PR, 83702-</t>
        </is>
      </c>
      <c r="V442" s="4" t="n">
        <v>21</v>
      </c>
      <c r="W442" s="4" t="n">
        <v>0</v>
      </c>
      <c r="X442" s="4" t="n">
        <v>429300</v>
      </c>
      <c r="Y442" s="4" t="n">
        <v>405000</v>
      </c>
      <c r="Z442" s="4" t="n">
        <v>405</v>
      </c>
      <c r="AA442" s="4" t="n"/>
      <c r="AB442" s="4" t="inlineStr">
        <is>
          <t>SAID TO CONTAIN / WEIGH &amp; MEASURE</t>
        </is>
      </c>
      <c r="AC442" s="4" t="inlineStr">
        <is>
          <t>ANON0000000</t>
        </is>
      </c>
      <c r="AD442" s="4" t="inlineStr">
        <is>
          <t>HC40</t>
        </is>
      </c>
      <c r="AE442" s="4" t="n">
        <v>30239152</v>
      </c>
      <c r="AF442" s="4" t="n"/>
      <c r="AG442" s="4" t="inlineStr">
        <is>
          <t>FCL/FCL</t>
        </is>
      </c>
      <c r="AH442" s="4" t="inlineStr">
        <is>
          <t>GENERAL COMMODITY</t>
        </is>
      </c>
      <c r="AI442" s="4" t="n">
        <v>28620</v>
      </c>
      <c r="AJ442" s="4" t="n">
        <v>27</v>
      </c>
      <c r="AK442" s="4" t="inlineStr">
        <is>
          <t>BLO</t>
        </is>
      </c>
      <c r="AL442" s="4" t="n"/>
      <c r="AM442" s="4" t="n"/>
      <c r="AN442" s="4" t="n"/>
      <c r="AO442" s="4" t="n"/>
      <c r="AP442" s="4" t="n"/>
      <c r="AQ442" s="4" t="n"/>
      <c r="AR442" s="4" t="n">
        <v>3700</v>
      </c>
      <c r="AS442" s="4" t="n">
        <v>27000</v>
      </c>
      <c r="AT442" s="12" t="n"/>
    </row>
    <row r="443">
      <c r="A443" s="11" t="n">
        <v>442</v>
      </c>
      <c r="B443" s="4" t="inlineStr">
        <is>
          <t>MERCURY / VOYAGE 1</t>
        </is>
      </c>
      <c r="C443" s="4" t="inlineStr">
        <is>
          <t>REF000000</t>
        </is>
      </c>
      <c r="D443" s="7" t="n">
        <v>46095</v>
      </c>
      <c r="E443" s="4" t="n">
        <v>46104</v>
      </c>
      <c r="F443" s="4" t="inlineStr">
        <is>
          <t>RULED</t>
        </is>
      </c>
      <c r="G443" s="4" t="inlineStr">
        <is>
          <t>RULED</t>
        </is>
      </c>
      <c r="H443" s="4" t="inlineStr">
        <is>
          <t>USNYC</t>
        </is>
      </c>
      <c r="I443" s="4" t="inlineStr">
        <is>
          <t>USNYC</t>
        </is>
      </c>
      <c r="J443" s="4" t="n"/>
      <c r="K443" s="8" t="n"/>
      <c r="L443" s="4" t="inlineStr">
        <is>
          <t>MARLIN REEFER</t>
        </is>
      </c>
      <c r="M443" s="4" t="inlineStr">
        <is>
          <t>MARLIN REEFER</t>
        </is>
      </c>
      <c r="N443" s="4" t="n"/>
      <c r="O443" s="4" t="n"/>
      <c r="P443" s="4" t="inlineStr">
        <is>
          <t>MARLIN REEFER</t>
        </is>
      </c>
      <c r="Q443" s="4" t="inlineStr">
        <is>
          <t>MARLIN REEFER</t>
        </is>
      </c>
      <c r="R443" s="4" t="n"/>
      <c r="S443" s="4" t="n"/>
      <c r="T443" s="4" t="inlineStr">
        <is>
          <t>MARLIN REEFER</t>
        </is>
      </c>
      <c r="U443" s="4" t="inlineStr">
        <is>
          <t>Av. das Araucarias, 5266 - Chapada, Araucaria - PR, 83702-</t>
        </is>
      </c>
      <c r="V443" s="4" t="n">
        <v>21</v>
      </c>
      <c r="W443" s="4" t="n">
        <v>0</v>
      </c>
      <c r="X443" s="4" t="n">
        <v>429300</v>
      </c>
      <c r="Y443" s="4" t="n">
        <v>405000</v>
      </c>
      <c r="Z443" s="4" t="n">
        <v>405</v>
      </c>
      <c r="AA443" s="4" t="n"/>
      <c r="AB443" s="4" t="inlineStr">
        <is>
          <t>SAID TO CONTAIN / WEIGH &amp; MEASURE</t>
        </is>
      </c>
      <c r="AC443" s="4" t="inlineStr">
        <is>
          <t>ANON0000000</t>
        </is>
      </c>
      <c r="AD443" s="4" t="inlineStr">
        <is>
          <t>HC40</t>
        </is>
      </c>
      <c r="AE443" s="4" t="n">
        <v>30239103</v>
      </c>
      <c r="AF443" s="4" t="n"/>
      <c r="AG443" s="4" t="inlineStr">
        <is>
          <t>FCL/FCL</t>
        </is>
      </c>
      <c r="AH443" s="4" t="inlineStr">
        <is>
          <t>GENERAL COMMODITY</t>
        </is>
      </c>
      <c r="AI443" s="4" t="n">
        <v>28620</v>
      </c>
      <c r="AJ443" s="4" t="n">
        <v>27</v>
      </c>
      <c r="AK443" s="4" t="inlineStr">
        <is>
          <t>BLO</t>
        </is>
      </c>
      <c r="AL443" s="4" t="n"/>
      <c r="AM443" s="4" t="n"/>
      <c r="AN443" s="4" t="n"/>
      <c r="AO443" s="4" t="n"/>
      <c r="AP443" s="4" t="n"/>
      <c r="AQ443" s="4" t="n"/>
      <c r="AR443" s="4" t="n">
        <v>3700</v>
      </c>
      <c r="AS443" s="4" t="n">
        <v>27000</v>
      </c>
      <c r="AT443" s="12" t="n"/>
    </row>
    <row r="444">
      <c r="A444" s="11" t="n">
        <v>443</v>
      </c>
      <c r="B444" s="4" t="inlineStr">
        <is>
          <t>MERCURY / VOYAGE 1</t>
        </is>
      </c>
      <c r="C444" s="4" t="inlineStr">
        <is>
          <t>REF000000</t>
        </is>
      </c>
      <c r="D444" s="7" t="n">
        <v>46095</v>
      </c>
      <c r="E444" s="4" t="n">
        <v>46104</v>
      </c>
      <c r="F444" s="4" t="inlineStr">
        <is>
          <t>RULED</t>
        </is>
      </c>
      <c r="G444" s="4" t="inlineStr">
        <is>
          <t>RULED</t>
        </is>
      </c>
      <c r="H444" s="4" t="inlineStr">
        <is>
          <t>USNYC</t>
        </is>
      </c>
      <c r="I444" s="4" t="inlineStr">
        <is>
          <t>USNYC</t>
        </is>
      </c>
      <c r="J444" s="4" t="n"/>
      <c r="K444" s="8" t="n"/>
      <c r="L444" s="4" t="inlineStr">
        <is>
          <t>TURTLE REEFER</t>
        </is>
      </c>
      <c r="M444" s="4" t="inlineStr">
        <is>
          <t>TURTLE REEFER</t>
        </is>
      </c>
      <c r="N444" s="4" t="n"/>
      <c r="O444" s="4" t="n"/>
      <c r="P444" s="4" t="inlineStr">
        <is>
          <t>TURTLE REEFER</t>
        </is>
      </c>
      <c r="Q444" s="4" t="inlineStr">
        <is>
          <t>TURTLE REEFER</t>
        </is>
      </c>
      <c r="R444" s="4" t="n"/>
      <c r="S444" s="4" t="n"/>
      <c r="T444" s="4" t="inlineStr">
        <is>
          <t>TURTLE REEFER</t>
        </is>
      </c>
      <c r="U444" s="4" t="inlineStr">
        <is>
          <t>Av. das Araucarias, 5266 - Chapada, Araucaria - PR, 83702-</t>
        </is>
      </c>
      <c r="V444" s="4" t="n">
        <v>21</v>
      </c>
      <c r="W444" s="4" t="n">
        <v>0</v>
      </c>
      <c r="X444" s="4" t="n">
        <v>429300</v>
      </c>
      <c r="Y444" s="4" t="n">
        <v>405000</v>
      </c>
      <c r="Z444" s="4" t="n">
        <v>405</v>
      </c>
      <c r="AA444" s="4" t="n"/>
      <c r="AB444" s="4" t="inlineStr">
        <is>
          <t>SAID TO CONTAIN / WEIGH &amp; MEASURE</t>
        </is>
      </c>
      <c r="AC444" s="4" t="inlineStr">
        <is>
          <t>ANON0000000</t>
        </is>
      </c>
      <c r="AD444" s="4" t="inlineStr">
        <is>
          <t>HC40</t>
        </is>
      </c>
      <c r="AE444" s="4" t="n">
        <v>30270630</v>
      </c>
      <c r="AF444" s="4" t="n"/>
      <c r="AG444" s="4" t="inlineStr">
        <is>
          <t>FCL/FCL</t>
        </is>
      </c>
      <c r="AH444" s="4" t="inlineStr">
        <is>
          <t>GENERAL COMMODITY</t>
        </is>
      </c>
      <c r="AI444" s="4" t="n">
        <v>28620</v>
      </c>
      <c r="AJ444" s="4" t="n">
        <v>27</v>
      </c>
      <c r="AK444" s="4" t="inlineStr">
        <is>
          <t>BLO</t>
        </is>
      </c>
      <c r="AL444" s="4" t="n"/>
      <c r="AM444" s="4" t="n"/>
      <c r="AN444" s="4" t="n"/>
      <c r="AO444" s="4" t="n"/>
      <c r="AP444" s="4" t="n"/>
      <c r="AQ444" s="4" t="n"/>
      <c r="AR444" s="4" t="n">
        <v>3840</v>
      </c>
      <c r="AS444" s="4" t="n">
        <v>27000</v>
      </c>
      <c r="AT444" s="12" t="n"/>
    </row>
    <row r="445">
      <c r="A445" s="11" t="n">
        <v>444</v>
      </c>
      <c r="B445" s="4" t="inlineStr">
        <is>
          <t>MERCURY / VOYAGE 1</t>
        </is>
      </c>
      <c r="C445" s="4" t="inlineStr">
        <is>
          <t>REF000000</t>
        </is>
      </c>
      <c r="D445" s="7" t="n">
        <v>46095</v>
      </c>
      <c r="E445" s="4" t="n">
        <v>46104</v>
      </c>
      <c r="F445" s="4" t="inlineStr">
        <is>
          <t>RULED</t>
        </is>
      </c>
      <c r="G445" s="4" t="inlineStr">
        <is>
          <t>RULED</t>
        </is>
      </c>
      <c r="H445" s="4" t="inlineStr">
        <is>
          <t>USNYC</t>
        </is>
      </c>
      <c r="I445" s="4" t="inlineStr">
        <is>
          <t>USNYC</t>
        </is>
      </c>
      <c r="J445" s="4" t="n"/>
      <c r="K445" s="8" t="n"/>
      <c r="L445" s="4" t="inlineStr">
        <is>
          <t>ORCA REEFER</t>
        </is>
      </c>
      <c r="M445" s="4" t="inlineStr">
        <is>
          <t>ORCA REEFER</t>
        </is>
      </c>
      <c r="N445" s="4" t="n"/>
      <c r="O445" s="4" t="n"/>
      <c r="P445" s="4" t="inlineStr">
        <is>
          <t>ORCA REEFER</t>
        </is>
      </c>
      <c r="Q445" s="4" t="inlineStr">
        <is>
          <t>ORCA REEFER</t>
        </is>
      </c>
      <c r="R445" s="4" t="n"/>
      <c r="S445" s="4" t="n"/>
      <c r="T445" s="4" t="inlineStr">
        <is>
          <t>ORCA REEFER</t>
        </is>
      </c>
      <c r="U445" s="4" t="inlineStr">
        <is>
          <t>Av. das Araucarias, 5266 - Chapada, Araucaria - PR, 83702-</t>
        </is>
      </c>
      <c r="V445" s="4" t="n">
        <v>21</v>
      </c>
      <c r="W445" s="4" t="n">
        <v>0</v>
      </c>
      <c r="X445" s="4" t="n">
        <v>429300</v>
      </c>
      <c r="Y445" s="4" t="n">
        <v>405000</v>
      </c>
      <c r="Z445" s="4" t="n">
        <v>405</v>
      </c>
      <c r="AA445" s="4" t="n"/>
      <c r="AB445" s="4" t="inlineStr">
        <is>
          <t>SAID TO CONTAIN / WEIGH &amp; MEASURE</t>
        </is>
      </c>
      <c r="AC445" s="4" t="inlineStr">
        <is>
          <t>ANON0000000</t>
        </is>
      </c>
      <c r="AD445" s="4" t="inlineStr">
        <is>
          <t>HC40</t>
        </is>
      </c>
      <c r="AE445" s="4" t="n">
        <v>30271667</v>
      </c>
      <c r="AF445" s="4" t="n"/>
      <c r="AG445" s="4" t="inlineStr">
        <is>
          <t>FCL/FCL</t>
        </is>
      </c>
      <c r="AH445" s="4" t="inlineStr">
        <is>
          <t>GENERAL COMMODITY</t>
        </is>
      </c>
      <c r="AI445" s="4" t="n">
        <v>28620</v>
      </c>
      <c r="AJ445" s="4" t="n">
        <v>27</v>
      </c>
      <c r="AK445" s="4" t="inlineStr">
        <is>
          <t>BLO</t>
        </is>
      </c>
      <c r="AL445" s="4" t="n"/>
      <c r="AM445" s="4" t="n"/>
      <c r="AN445" s="4" t="n"/>
      <c r="AO445" s="4" t="n"/>
      <c r="AP445" s="4" t="n"/>
      <c r="AQ445" s="4" t="n"/>
      <c r="AR445" s="4" t="n">
        <v>3600</v>
      </c>
      <c r="AS445" s="4" t="n">
        <v>27000</v>
      </c>
      <c r="AT445" s="12" t="n"/>
    </row>
    <row r="446">
      <c r="A446" s="11" t="n">
        <v>445</v>
      </c>
      <c r="B446" s="4" t="inlineStr">
        <is>
          <t>MERCURY / VOYAGE 1</t>
        </is>
      </c>
      <c r="C446" s="4" t="inlineStr">
        <is>
          <t>REF000000</t>
        </is>
      </c>
      <c r="D446" s="7" t="n">
        <v>46095</v>
      </c>
      <c r="E446" s="4" t="n">
        <v>46104</v>
      </c>
      <c r="F446" s="4" t="inlineStr">
        <is>
          <t>RULED</t>
        </is>
      </c>
      <c r="G446" s="4" t="inlineStr">
        <is>
          <t>RULED</t>
        </is>
      </c>
      <c r="H446" s="4" t="inlineStr">
        <is>
          <t>USNYC</t>
        </is>
      </c>
      <c r="I446" s="4" t="inlineStr">
        <is>
          <t>USNYC</t>
        </is>
      </c>
      <c r="J446" s="4" t="n"/>
      <c r="K446" s="8" t="n"/>
      <c r="L446" s="4" t="inlineStr">
        <is>
          <t>WHALE REEFER</t>
        </is>
      </c>
      <c r="M446" s="4" t="inlineStr">
        <is>
          <t>WHALE REEFER</t>
        </is>
      </c>
      <c r="N446" s="4" t="n"/>
      <c r="O446" s="4" t="n"/>
      <c r="P446" s="4" t="inlineStr">
        <is>
          <t>WHALE REEFER</t>
        </is>
      </c>
      <c r="Q446" s="4" t="inlineStr">
        <is>
          <t>WHALE REEFER</t>
        </is>
      </c>
      <c r="R446" s="4" t="n"/>
      <c r="S446" s="4" t="n"/>
      <c r="T446" s="4" t="inlineStr">
        <is>
          <t>WHALE REEFER</t>
        </is>
      </c>
      <c r="U446" s="4" t="inlineStr">
        <is>
          <t>Av. das Araucarias, 5266 - Chapada, Araucaria - PR, 83702-</t>
        </is>
      </c>
      <c r="V446" s="4" t="n">
        <v>21</v>
      </c>
      <c r="W446" s="4" t="n">
        <v>0</v>
      </c>
      <c r="X446" s="4" t="n">
        <v>429300</v>
      </c>
      <c r="Y446" s="4" t="n">
        <v>405000</v>
      </c>
      <c r="Z446" s="4" t="n">
        <v>405</v>
      </c>
      <c r="AA446" s="4" t="n"/>
      <c r="AB446" s="4" t="inlineStr">
        <is>
          <t>SAID TO CONTAIN / WEIGH &amp; MEASURE</t>
        </is>
      </c>
      <c r="AC446" s="4" t="inlineStr">
        <is>
          <t>ANON0000000</t>
        </is>
      </c>
      <c r="AD446" s="4" t="inlineStr">
        <is>
          <t>HC40</t>
        </is>
      </c>
      <c r="AE446" s="4" t="n">
        <v>30270615</v>
      </c>
      <c r="AF446" s="4" t="n"/>
      <c r="AG446" s="4" t="inlineStr">
        <is>
          <t>FCL/FCL</t>
        </is>
      </c>
      <c r="AH446" s="4" t="inlineStr">
        <is>
          <t>GENERAL COMMODITY</t>
        </is>
      </c>
      <c r="AI446" s="4" t="n">
        <v>28620</v>
      </c>
      <c r="AJ446" s="4" t="n">
        <v>27</v>
      </c>
      <c r="AK446" s="4" t="inlineStr">
        <is>
          <t>BLO</t>
        </is>
      </c>
      <c r="AL446" s="4" t="n"/>
      <c r="AM446" s="4" t="n"/>
      <c r="AN446" s="4" t="n"/>
      <c r="AO446" s="4" t="n"/>
      <c r="AP446" s="4" t="n"/>
      <c r="AQ446" s="4" t="n"/>
      <c r="AR446" s="4" t="n">
        <v>3840</v>
      </c>
      <c r="AS446" s="4" t="n">
        <v>27000</v>
      </c>
      <c r="AT446" s="12" t="n"/>
    </row>
    <row r="447">
      <c r="A447" s="11" t="n">
        <v>446</v>
      </c>
      <c r="B447" s="4" t="inlineStr">
        <is>
          <t>MERCURY / VOYAGE 1</t>
        </is>
      </c>
      <c r="C447" s="4" t="inlineStr">
        <is>
          <t>REF000000</t>
        </is>
      </c>
      <c r="D447" s="7" t="n">
        <v>46095</v>
      </c>
      <c r="E447" s="4" t="n">
        <v>46104</v>
      </c>
      <c r="F447" s="4" t="inlineStr">
        <is>
          <t>RULED</t>
        </is>
      </c>
      <c r="G447" s="4" t="inlineStr">
        <is>
          <t>RULED</t>
        </is>
      </c>
      <c r="H447" s="4" t="inlineStr">
        <is>
          <t>USNYC</t>
        </is>
      </c>
      <c r="I447" s="4" t="inlineStr">
        <is>
          <t>USNYC</t>
        </is>
      </c>
      <c r="J447" s="4" t="n"/>
      <c r="K447" s="8" t="n"/>
      <c r="L447" s="4" t="inlineStr">
        <is>
          <t>SEAL REEFER</t>
        </is>
      </c>
      <c r="M447" s="4" t="inlineStr">
        <is>
          <t>SEAL REEFER</t>
        </is>
      </c>
      <c r="N447" s="4" t="n"/>
      <c r="O447" s="4" t="n"/>
      <c r="P447" s="4" t="inlineStr">
        <is>
          <t>SEAL REEFER</t>
        </is>
      </c>
      <c r="Q447" s="4" t="inlineStr">
        <is>
          <t>SEAL REEFER</t>
        </is>
      </c>
      <c r="R447" s="4" t="n"/>
      <c r="S447" s="4" t="n"/>
      <c r="T447" s="4" t="inlineStr">
        <is>
          <t>SEAL REEFER</t>
        </is>
      </c>
      <c r="U447" s="4" t="inlineStr">
        <is>
          <t>Av. das Araucarias, 5266 - Chapada, Araucaria - PR, 83702-</t>
        </is>
      </c>
      <c r="V447" s="4" t="n">
        <v>21</v>
      </c>
      <c r="W447" s="4" t="n">
        <v>0</v>
      </c>
      <c r="X447" s="4" t="n">
        <v>429300</v>
      </c>
      <c r="Y447" s="4" t="n">
        <v>405000</v>
      </c>
      <c r="Z447" s="4" t="n">
        <v>405</v>
      </c>
      <c r="AA447" s="4" t="n"/>
      <c r="AB447" s="4" t="inlineStr">
        <is>
          <t>SAID TO CONTAIN / WEIGH &amp; MEASURE</t>
        </is>
      </c>
      <c r="AC447" s="4" t="inlineStr">
        <is>
          <t>ANON0000000</t>
        </is>
      </c>
      <c r="AD447" s="4" t="inlineStr">
        <is>
          <t>HC40</t>
        </is>
      </c>
      <c r="AE447" s="4" t="n">
        <v>30284977</v>
      </c>
      <c r="AF447" s="4" t="n"/>
      <c r="AG447" s="4" t="inlineStr">
        <is>
          <t>FCL/FCL</t>
        </is>
      </c>
      <c r="AH447" s="4" t="inlineStr">
        <is>
          <t>GENERAL COMMODITY</t>
        </is>
      </c>
      <c r="AI447" s="4" t="n">
        <v>28620</v>
      </c>
      <c r="AJ447" s="4" t="n">
        <v>27</v>
      </c>
      <c r="AK447" s="4" t="inlineStr">
        <is>
          <t>BLO</t>
        </is>
      </c>
      <c r="AL447" s="4" t="n"/>
      <c r="AM447" s="4" t="n"/>
      <c r="AN447" s="4" t="n"/>
      <c r="AO447" s="4" t="n"/>
      <c r="AP447" s="4" t="n"/>
      <c r="AQ447" s="4" t="n"/>
      <c r="AR447" s="4" t="n">
        <v>3700</v>
      </c>
      <c r="AS447" s="4" t="n">
        <v>27000</v>
      </c>
      <c r="AT447" s="12" t="n"/>
    </row>
    <row r="448">
      <c r="A448" s="11" t="n">
        <v>447</v>
      </c>
      <c r="B448" s="4" t="inlineStr">
        <is>
          <t>MERCURY / VOYAGE 1</t>
        </is>
      </c>
      <c r="C448" s="4" t="inlineStr">
        <is>
          <t>REF000000</t>
        </is>
      </c>
      <c r="D448" s="7" t="n">
        <v>46095</v>
      </c>
      <c r="E448" s="4" t="n">
        <v>46104</v>
      </c>
      <c r="F448" s="4" t="inlineStr">
        <is>
          <t>RULED</t>
        </is>
      </c>
      <c r="G448" s="4" t="inlineStr">
        <is>
          <t>RULED</t>
        </is>
      </c>
      <c r="H448" s="4" t="inlineStr">
        <is>
          <t>USNYC</t>
        </is>
      </c>
      <c r="I448" s="4" t="inlineStr">
        <is>
          <t>USNYC</t>
        </is>
      </c>
      <c r="J448" s="4" t="n"/>
      <c r="K448" s="8" t="n"/>
      <c r="L448" s="4" t="inlineStr">
        <is>
          <t>SHARK REEFER</t>
        </is>
      </c>
      <c r="M448" s="4" t="inlineStr">
        <is>
          <t>SHARK REEFER</t>
        </is>
      </c>
      <c r="N448" s="4" t="n"/>
      <c r="O448" s="4" t="n"/>
      <c r="P448" s="4" t="inlineStr">
        <is>
          <t>SHARK REEFER</t>
        </is>
      </c>
      <c r="Q448" s="4" t="inlineStr">
        <is>
          <t>SHARK REEFER</t>
        </is>
      </c>
      <c r="R448" s="4" t="n"/>
      <c r="S448" s="4" t="n"/>
      <c r="T448" s="4" t="inlineStr">
        <is>
          <t>SHARK REEFER</t>
        </is>
      </c>
      <c r="U448" s="4" t="inlineStr">
        <is>
          <t>Av. das Araucarias, 5266 - Chapada, Araucaria - PR, 83702-</t>
        </is>
      </c>
      <c r="V448" s="4" t="n">
        <v>21</v>
      </c>
      <c r="W448" s="4" t="n">
        <v>0</v>
      </c>
      <c r="X448" s="4" t="n">
        <v>429300</v>
      </c>
      <c r="Y448" s="4" t="n">
        <v>405000</v>
      </c>
      <c r="Z448" s="4" t="n">
        <v>405</v>
      </c>
      <c r="AA448" s="4" t="n"/>
      <c r="AB448" s="4" t="inlineStr">
        <is>
          <t>SAID TO CONTAIN / WEIGH &amp; MEASURE</t>
        </is>
      </c>
      <c r="AC448" s="4" t="inlineStr">
        <is>
          <t>ANON0000000</t>
        </is>
      </c>
      <c r="AD448" s="4" t="inlineStr">
        <is>
          <t>HC40</t>
        </is>
      </c>
      <c r="AE448" s="4" t="n">
        <v>30284915</v>
      </c>
      <c r="AF448" s="4" t="n"/>
      <c r="AG448" s="4" t="inlineStr">
        <is>
          <t>FCL/FCL</t>
        </is>
      </c>
      <c r="AH448" s="4" t="inlineStr">
        <is>
          <t>GENERAL COMMODITY</t>
        </is>
      </c>
      <c r="AI448" s="4" t="n">
        <v>28620</v>
      </c>
      <c r="AJ448" s="4" t="n">
        <v>27</v>
      </c>
      <c r="AK448" s="4" t="inlineStr">
        <is>
          <t>BLO</t>
        </is>
      </c>
      <c r="AL448" s="4" t="n"/>
      <c r="AM448" s="4" t="n"/>
      <c r="AN448" s="4" t="n"/>
      <c r="AO448" s="4" t="n"/>
      <c r="AP448" s="4" t="n"/>
      <c r="AQ448" s="4" t="n"/>
      <c r="AR448" s="4" t="n">
        <v>3600</v>
      </c>
      <c r="AS448" s="4" t="n">
        <v>27000</v>
      </c>
      <c r="AT448" s="12" t="n"/>
    </row>
    <row r="449">
      <c r="A449" s="11" t="n">
        <v>448</v>
      </c>
      <c r="B449" s="4" t="inlineStr">
        <is>
          <t>MERCURY / VOYAGE 1</t>
        </is>
      </c>
      <c r="C449" s="4" t="inlineStr">
        <is>
          <t>REF000000</t>
        </is>
      </c>
      <c r="D449" s="7" t="n">
        <v>46095</v>
      </c>
      <c r="E449" s="4" t="n">
        <v>46104</v>
      </c>
      <c r="F449" s="4" t="inlineStr">
        <is>
          <t>RULED</t>
        </is>
      </c>
      <c r="G449" s="4" t="inlineStr">
        <is>
          <t>RULED</t>
        </is>
      </c>
      <c r="H449" s="4" t="inlineStr">
        <is>
          <t>USNYC</t>
        </is>
      </c>
      <c r="I449" s="4" t="inlineStr">
        <is>
          <t>USNYC</t>
        </is>
      </c>
      <c r="J449" s="4" t="n"/>
      <c r="K449" s="8" t="n"/>
      <c r="L449" s="4" t="inlineStr">
        <is>
          <t>DOLPHIN REEFER</t>
        </is>
      </c>
      <c r="M449" s="4" t="inlineStr">
        <is>
          <t>DOLPHIN REEFER</t>
        </is>
      </c>
      <c r="N449" s="4" t="n"/>
      <c r="O449" s="4" t="n"/>
      <c r="P449" s="4" t="inlineStr">
        <is>
          <t>DOLPHIN REEFER</t>
        </is>
      </c>
      <c r="Q449" s="4" t="inlineStr">
        <is>
          <t>DOLPHIN REEFER</t>
        </is>
      </c>
      <c r="R449" s="4" t="n"/>
      <c r="S449" s="4" t="n"/>
      <c r="T449" s="4" t="inlineStr">
        <is>
          <t>DOLPHIN REEFER</t>
        </is>
      </c>
      <c r="U449" s="4" t="inlineStr">
        <is>
          <t>Av. das Araucarias, 5266 - Chapada, Araucaria - PR, 83702-</t>
        </is>
      </c>
      <c r="V449" s="4" t="n">
        <v>21</v>
      </c>
      <c r="W449" s="4" t="n">
        <v>0</v>
      </c>
      <c r="X449" s="4" t="n">
        <v>429300</v>
      </c>
      <c r="Y449" s="4" t="n">
        <v>405000</v>
      </c>
      <c r="Z449" s="4" t="n">
        <v>405</v>
      </c>
      <c r="AA449" s="4" t="n"/>
      <c r="AB449" s="4" t="inlineStr">
        <is>
          <t>SAID TO CONTAIN / WEIGH &amp; MEASURE</t>
        </is>
      </c>
      <c r="AC449" s="4" t="inlineStr">
        <is>
          <t>ANON0000000</t>
        </is>
      </c>
      <c r="AD449" s="4" t="inlineStr">
        <is>
          <t>HC40</t>
        </is>
      </c>
      <c r="AE449" s="4" t="n">
        <v>30271662</v>
      </c>
      <c r="AF449" s="4" t="n"/>
      <c r="AG449" s="4" t="inlineStr">
        <is>
          <t>FCL/FCL</t>
        </is>
      </c>
      <c r="AH449" s="4" t="inlineStr">
        <is>
          <t>GENERAL COMMODITY</t>
        </is>
      </c>
      <c r="AI449" s="4" t="n">
        <v>28620</v>
      </c>
      <c r="AJ449" s="4" t="n">
        <v>27</v>
      </c>
      <c r="AK449" s="4" t="inlineStr">
        <is>
          <t>BLO</t>
        </is>
      </c>
      <c r="AL449" s="4" t="n"/>
      <c r="AM449" s="4" t="n"/>
      <c r="AN449" s="4" t="n"/>
      <c r="AO449" s="4" t="n"/>
      <c r="AP449" s="4" t="n"/>
      <c r="AQ449" s="4" t="n"/>
      <c r="AR449" s="4" t="n">
        <v>3700</v>
      </c>
      <c r="AS449" s="4" t="n">
        <v>27000</v>
      </c>
      <c r="AT449" s="12" t="n"/>
    </row>
    <row r="450">
      <c r="A450" s="11" t="n">
        <v>449</v>
      </c>
      <c r="B450" s="4" t="inlineStr">
        <is>
          <t>MERCURY / VOYAGE 1</t>
        </is>
      </c>
      <c r="C450" s="4" t="inlineStr">
        <is>
          <t>REF000000</t>
        </is>
      </c>
      <c r="D450" s="7" t="n">
        <v>46095</v>
      </c>
      <c r="E450" s="4" t="n">
        <v>46104</v>
      </c>
      <c r="F450" s="4" t="inlineStr">
        <is>
          <t>RULED</t>
        </is>
      </c>
      <c r="G450" s="4" t="inlineStr">
        <is>
          <t>RULED</t>
        </is>
      </c>
      <c r="H450" s="4" t="inlineStr">
        <is>
          <t>USNYC</t>
        </is>
      </c>
      <c r="I450" s="4" t="inlineStr">
        <is>
          <t>USNYC</t>
        </is>
      </c>
      <c r="J450" s="4" t="n"/>
      <c r="K450" s="8" t="n"/>
      <c r="L450" s="4" t="inlineStr">
        <is>
          <t>MARLIN REEFER</t>
        </is>
      </c>
      <c r="M450" s="4" t="inlineStr">
        <is>
          <t>MARLIN REEFER</t>
        </is>
      </c>
      <c r="N450" s="4" t="n"/>
      <c r="O450" s="4" t="n"/>
      <c r="P450" s="4" t="inlineStr">
        <is>
          <t>MARLIN REEFER</t>
        </is>
      </c>
      <c r="Q450" s="4" t="inlineStr">
        <is>
          <t>MARLIN REEFER</t>
        </is>
      </c>
      <c r="R450" s="4" t="n"/>
      <c r="S450" s="4" t="n"/>
      <c r="T450" s="4" t="inlineStr">
        <is>
          <t>MARLIN REEFER</t>
        </is>
      </c>
      <c r="U450" s="4" t="inlineStr">
        <is>
          <t>Av. das Araucarias, 5266 - Chapada, Araucaria - PR, 83702-</t>
        </is>
      </c>
      <c r="V450" s="4" t="n">
        <v>21</v>
      </c>
      <c r="W450" s="4" t="n">
        <v>0</v>
      </c>
      <c r="X450" s="4" t="n">
        <v>429300</v>
      </c>
      <c r="Y450" s="4" t="n">
        <v>405000</v>
      </c>
      <c r="Z450" s="4" t="n">
        <v>405</v>
      </c>
      <c r="AA450" s="4" t="n"/>
      <c r="AB450" s="4" t="inlineStr">
        <is>
          <t>SAID TO CONTAIN / WEIGH &amp; MEASURE</t>
        </is>
      </c>
      <c r="AC450" s="4" t="inlineStr">
        <is>
          <t>ANON0000000</t>
        </is>
      </c>
      <c r="AD450" s="4" t="inlineStr">
        <is>
          <t>HC40</t>
        </is>
      </c>
      <c r="AE450" s="4" t="n">
        <v>30195295</v>
      </c>
      <c r="AF450" s="4" t="n"/>
      <c r="AG450" s="4" t="inlineStr">
        <is>
          <t>FCL/FCL</t>
        </is>
      </c>
      <c r="AH450" s="4" t="inlineStr">
        <is>
          <t>GENERAL COMMODITY</t>
        </is>
      </c>
      <c r="AI450" s="4" t="n">
        <v>28620</v>
      </c>
      <c r="AJ450" s="4" t="n">
        <v>27</v>
      </c>
      <c r="AK450" s="4" t="inlineStr">
        <is>
          <t>BLO</t>
        </is>
      </c>
      <c r="AL450" s="4" t="n"/>
      <c r="AM450" s="4" t="n"/>
      <c r="AN450" s="4" t="n"/>
      <c r="AO450" s="4" t="n"/>
      <c r="AP450" s="4" t="n"/>
      <c r="AQ450" s="4" t="n"/>
      <c r="AR450" s="4" t="n">
        <v>3700</v>
      </c>
      <c r="AS450" s="4" t="n">
        <v>27000</v>
      </c>
      <c r="AT450" s="12" t="n"/>
    </row>
    <row r="451">
      <c r="A451" s="11" t="n">
        <v>450</v>
      </c>
      <c r="B451" s="4" t="inlineStr">
        <is>
          <t>MERCURY / VOYAGE 1</t>
        </is>
      </c>
      <c r="C451" s="4" t="inlineStr">
        <is>
          <t>REF000000</t>
        </is>
      </c>
      <c r="D451" s="7" t="n">
        <v>46095</v>
      </c>
      <c r="E451" s="4" t="n">
        <v>46104</v>
      </c>
      <c r="F451" s="4" t="inlineStr">
        <is>
          <t>RULED</t>
        </is>
      </c>
      <c r="G451" s="4" t="inlineStr">
        <is>
          <t>RULED</t>
        </is>
      </c>
      <c r="H451" s="4" t="inlineStr">
        <is>
          <t>USNYC</t>
        </is>
      </c>
      <c r="I451" s="4" t="inlineStr">
        <is>
          <t>USNYC</t>
        </is>
      </c>
      <c r="J451" s="4" t="n"/>
      <c r="K451" s="8" t="n"/>
      <c r="L451" s="4" t="inlineStr">
        <is>
          <t>TURTLE REEFER</t>
        </is>
      </c>
      <c r="M451" s="4" t="inlineStr">
        <is>
          <t>TURTLE REEFER</t>
        </is>
      </c>
      <c r="N451" s="4" t="n"/>
      <c r="O451" s="4" t="n"/>
      <c r="P451" s="4" t="inlineStr">
        <is>
          <t>TURTLE REEFER</t>
        </is>
      </c>
      <c r="Q451" s="4" t="inlineStr">
        <is>
          <t>TURTLE REEFER</t>
        </is>
      </c>
      <c r="R451" s="4" t="n"/>
      <c r="S451" s="4" t="n"/>
      <c r="T451" s="4" t="inlineStr">
        <is>
          <t>TURTLE REEFER</t>
        </is>
      </c>
      <c r="U451" s="4" t="inlineStr">
        <is>
          <t>Av. das Araucarias, 5266 - Chapada, Araucaria - PR, 83702-</t>
        </is>
      </c>
      <c r="V451" s="4" t="n">
        <v>21</v>
      </c>
      <c r="W451" s="4" t="n">
        <v>0</v>
      </c>
      <c r="X451" s="4" t="n">
        <v>429300</v>
      </c>
      <c r="Y451" s="4" t="n">
        <v>405000</v>
      </c>
      <c r="Z451" s="4" t="n">
        <v>405</v>
      </c>
      <c r="AA451" s="4" t="n"/>
      <c r="AB451" s="4" t="inlineStr">
        <is>
          <t>SAID TO CONTAIN / WEIGH &amp; MEASURE</t>
        </is>
      </c>
      <c r="AC451" s="4" t="inlineStr">
        <is>
          <t>ANON0000000</t>
        </is>
      </c>
      <c r="AD451" s="4" t="inlineStr">
        <is>
          <t>HC40</t>
        </is>
      </c>
      <c r="AE451" s="4" t="n">
        <v>30284902</v>
      </c>
      <c r="AF451" s="4" t="n"/>
      <c r="AG451" s="4" t="inlineStr">
        <is>
          <t>FCL/FCL</t>
        </is>
      </c>
      <c r="AH451" s="4" t="inlineStr">
        <is>
          <t>GENERAL COMMODITY</t>
        </is>
      </c>
      <c r="AI451" s="4" t="n">
        <v>28620</v>
      </c>
      <c r="AJ451" s="4" t="n">
        <v>27</v>
      </c>
      <c r="AK451" s="4" t="inlineStr">
        <is>
          <t>BLO</t>
        </is>
      </c>
      <c r="AL451" s="4" t="n"/>
      <c r="AM451" s="4" t="n"/>
      <c r="AN451" s="4" t="n"/>
      <c r="AO451" s="4" t="n"/>
      <c r="AP451" s="4" t="n"/>
      <c r="AQ451" s="4" t="n"/>
      <c r="AR451" s="4" t="n">
        <v>3700</v>
      </c>
      <c r="AS451" s="4" t="n">
        <v>27000</v>
      </c>
      <c r="AT451" s="12" t="n"/>
    </row>
    <row r="452">
      <c r="A452" s="11" t="n">
        <v>451</v>
      </c>
      <c r="B452" s="4" t="inlineStr">
        <is>
          <t>MERCURY / VOYAGE 1</t>
        </is>
      </c>
      <c r="C452" s="4" t="inlineStr">
        <is>
          <t>REF000000</t>
        </is>
      </c>
      <c r="D452" s="7" t="n">
        <v>46095</v>
      </c>
      <c r="E452" s="4" t="n">
        <v>46104</v>
      </c>
      <c r="F452" s="4" t="inlineStr">
        <is>
          <t>RULED</t>
        </is>
      </c>
      <c r="G452" s="4" t="inlineStr">
        <is>
          <t>RULED</t>
        </is>
      </c>
      <c r="H452" s="4" t="inlineStr">
        <is>
          <t>USNYC</t>
        </is>
      </c>
      <c r="I452" s="4" t="inlineStr">
        <is>
          <t>USNYC</t>
        </is>
      </c>
      <c r="J452" s="4" t="n"/>
      <c r="K452" s="8" t="n"/>
      <c r="L452" s="4" t="inlineStr">
        <is>
          <t>ORCA REEFER</t>
        </is>
      </c>
      <c r="M452" s="4" t="inlineStr">
        <is>
          <t>ORCA REEFER</t>
        </is>
      </c>
      <c r="N452" s="4" t="n"/>
      <c r="O452" s="4" t="n"/>
      <c r="P452" s="4" t="inlineStr">
        <is>
          <t>ORCA REEFER</t>
        </is>
      </c>
      <c r="Q452" s="4" t="inlineStr">
        <is>
          <t>ORCA REEFER</t>
        </is>
      </c>
      <c r="R452" s="4" t="n"/>
      <c r="S452" s="4" t="n"/>
      <c r="T452" s="4" t="inlineStr">
        <is>
          <t>ORCA REEFER</t>
        </is>
      </c>
      <c r="U452" s="4" t="inlineStr">
        <is>
          <t>Av. das Araucarias, 5266 - Chapada, Araucaria - PR, 83702-</t>
        </is>
      </c>
      <c r="V452" s="4" t="n">
        <v>21</v>
      </c>
      <c r="W452" s="4" t="n">
        <v>0</v>
      </c>
      <c r="X452" s="4" t="n">
        <v>429300</v>
      </c>
      <c r="Y452" s="4" t="n">
        <v>405000</v>
      </c>
      <c r="Z452" s="4" t="n">
        <v>405</v>
      </c>
      <c r="AA452" s="4" t="n"/>
      <c r="AB452" s="4" t="inlineStr">
        <is>
          <t>SAID TO CONTAIN / WEIGH &amp; MEASURE</t>
        </is>
      </c>
      <c r="AC452" s="4" t="inlineStr">
        <is>
          <t>ANON0000000</t>
        </is>
      </c>
      <c r="AD452" s="4" t="inlineStr">
        <is>
          <t>HC40</t>
        </is>
      </c>
      <c r="AE452" s="4" t="n">
        <v>30271661</v>
      </c>
      <c r="AF452" s="4" t="n"/>
      <c r="AG452" s="4" t="inlineStr">
        <is>
          <t>FCL/FCL</t>
        </is>
      </c>
      <c r="AH452" s="4" t="inlineStr">
        <is>
          <t>GENERAL COMMODITY</t>
        </is>
      </c>
      <c r="AI452" s="4" t="n">
        <v>28620</v>
      </c>
      <c r="AJ452" s="4" t="n">
        <v>27</v>
      </c>
      <c r="AK452" s="4" t="inlineStr">
        <is>
          <t>BLO</t>
        </is>
      </c>
      <c r="AL452" s="4" t="n"/>
      <c r="AM452" s="4" t="n"/>
      <c r="AN452" s="4" t="n"/>
      <c r="AO452" s="4" t="n"/>
      <c r="AP452" s="4" t="n"/>
      <c r="AQ452" s="4" t="n"/>
      <c r="AR452" s="4" t="n">
        <v>3870</v>
      </c>
      <c r="AS452" s="4" t="n">
        <v>27000</v>
      </c>
      <c r="AT452" s="12" t="n"/>
    </row>
    <row r="453">
      <c r="A453" s="11" t="n">
        <v>452</v>
      </c>
      <c r="B453" s="4" t="inlineStr">
        <is>
          <t>MERCURY / VOYAGE 1</t>
        </is>
      </c>
      <c r="C453" s="4" t="inlineStr">
        <is>
          <t>REF000000</t>
        </is>
      </c>
      <c r="D453" s="7" t="n">
        <v>46095</v>
      </c>
      <c r="E453" s="4" t="n">
        <v>46104</v>
      </c>
      <c r="F453" s="4" t="inlineStr">
        <is>
          <t>RULED</t>
        </is>
      </c>
      <c r="G453" s="4" t="inlineStr">
        <is>
          <t>RULED</t>
        </is>
      </c>
      <c r="H453" s="4" t="inlineStr">
        <is>
          <t>USNYC</t>
        </is>
      </c>
      <c r="I453" s="4" t="inlineStr">
        <is>
          <t>USNYC</t>
        </is>
      </c>
      <c r="J453" s="4" t="n"/>
      <c r="K453" s="8" t="n"/>
      <c r="L453" s="4" t="inlineStr">
        <is>
          <t>WHALE REEFER</t>
        </is>
      </c>
      <c r="M453" s="4" t="inlineStr">
        <is>
          <t>WHALE REEFER</t>
        </is>
      </c>
      <c r="N453" s="4" t="n"/>
      <c r="O453" s="4" t="n"/>
      <c r="P453" s="4" t="inlineStr">
        <is>
          <t>WHALE REEFER</t>
        </is>
      </c>
      <c r="Q453" s="4" t="inlineStr">
        <is>
          <t>WHALE REEFER</t>
        </is>
      </c>
      <c r="R453" s="4" t="n"/>
      <c r="S453" s="4" t="n"/>
      <c r="T453" s="4" t="inlineStr">
        <is>
          <t>WHALE REEFER</t>
        </is>
      </c>
      <c r="U453" s="4" t="inlineStr">
        <is>
          <t>Av. das Araucarias, 5266 - Chapada, Araucaria - PR, 83702-</t>
        </is>
      </c>
      <c r="V453" s="4" t="n">
        <v>21</v>
      </c>
      <c r="W453" s="4" t="n">
        <v>0</v>
      </c>
      <c r="X453" s="4" t="n">
        <v>429300</v>
      </c>
      <c r="Y453" s="4" t="n">
        <v>405000</v>
      </c>
      <c r="Z453" s="4" t="n">
        <v>405</v>
      </c>
      <c r="AA453" s="4" t="n"/>
      <c r="AB453" s="4" t="inlineStr">
        <is>
          <t>SAID TO CONTAIN / WEIGH &amp; MEASURE</t>
        </is>
      </c>
      <c r="AC453" s="4" t="inlineStr">
        <is>
          <t>ANON0000000</t>
        </is>
      </c>
      <c r="AD453" s="4" t="inlineStr">
        <is>
          <t>HC40</t>
        </is>
      </c>
      <c r="AE453" s="4" t="n">
        <v>30284978</v>
      </c>
      <c r="AF453" s="4" t="n"/>
      <c r="AG453" s="4" t="inlineStr">
        <is>
          <t>FCL/FCL</t>
        </is>
      </c>
      <c r="AH453" s="4" t="inlineStr">
        <is>
          <t>GENERAL COMMODITY</t>
        </is>
      </c>
      <c r="AI453" s="4" t="n">
        <v>28620</v>
      </c>
      <c r="AJ453" s="4" t="n">
        <v>27</v>
      </c>
      <c r="AK453" s="4" t="inlineStr">
        <is>
          <t>BLO</t>
        </is>
      </c>
      <c r="AL453" s="4" t="n"/>
      <c r="AM453" s="4" t="n"/>
      <c r="AN453" s="4" t="n"/>
      <c r="AO453" s="4" t="n"/>
      <c r="AP453" s="4" t="n"/>
      <c r="AQ453" s="4" t="n"/>
      <c r="AR453" s="4" t="n">
        <v>3700</v>
      </c>
      <c r="AS453" s="4" t="n">
        <v>27000</v>
      </c>
      <c r="AT453" s="12" t="n"/>
    </row>
    <row r="454">
      <c r="A454" s="11" t="n">
        <v>453</v>
      </c>
      <c r="B454" s="4" t="inlineStr">
        <is>
          <t>MERCURY / VOYAGE 1</t>
        </is>
      </c>
      <c r="C454" s="4" t="inlineStr">
        <is>
          <t>REF000000</t>
        </is>
      </c>
      <c r="D454" s="7" t="n">
        <v>46095</v>
      </c>
      <c r="E454" s="4" t="n">
        <v>46104</v>
      </c>
      <c r="F454" s="4" t="inlineStr">
        <is>
          <t>RULED</t>
        </is>
      </c>
      <c r="G454" s="4" t="inlineStr">
        <is>
          <t>RULED</t>
        </is>
      </c>
      <c r="H454" s="4" t="inlineStr">
        <is>
          <t>USNYC</t>
        </is>
      </c>
      <c r="I454" s="4" t="inlineStr">
        <is>
          <t>USNYC</t>
        </is>
      </c>
      <c r="J454" s="4" t="n"/>
      <c r="K454" s="8" t="n"/>
      <c r="L454" s="4" t="inlineStr">
        <is>
          <t>SEAL REEFER</t>
        </is>
      </c>
      <c r="M454" s="4" t="inlineStr">
        <is>
          <t>SEAL REEFER</t>
        </is>
      </c>
      <c r="N454" s="4" t="n"/>
      <c r="O454" s="4" t="n"/>
      <c r="P454" s="4" t="inlineStr">
        <is>
          <t>SEAL REEFER</t>
        </is>
      </c>
      <c r="Q454" s="4" t="inlineStr">
        <is>
          <t>SEAL REEFER</t>
        </is>
      </c>
      <c r="R454" s="4" t="n"/>
      <c r="S454" s="4" t="n"/>
      <c r="T454" s="4" t="inlineStr">
        <is>
          <t>SEAL REEFER</t>
        </is>
      </c>
      <c r="U454" s="4" t="inlineStr">
        <is>
          <t>Av. das Araucarias, 5266 - Chapada, Araucaria - PR, 83702-</t>
        </is>
      </c>
      <c r="V454" s="4" t="n">
        <v>21</v>
      </c>
      <c r="W454" s="4" t="n">
        <v>0</v>
      </c>
      <c r="X454" s="4" t="n">
        <v>429300</v>
      </c>
      <c r="Y454" s="4" t="n">
        <v>405000</v>
      </c>
      <c r="Z454" s="4" t="n">
        <v>405</v>
      </c>
      <c r="AA454" s="4" t="n"/>
      <c r="AB454" s="4" t="inlineStr">
        <is>
          <t>SAID TO CONTAIN / WEIGH &amp; MEASURE</t>
        </is>
      </c>
      <c r="AC454" s="4" t="inlineStr">
        <is>
          <t>ANON0000000</t>
        </is>
      </c>
      <c r="AD454" s="4" t="inlineStr">
        <is>
          <t>HC40</t>
        </is>
      </c>
      <c r="AE454" s="4" t="n">
        <v>30271668</v>
      </c>
      <c r="AF454" s="4" t="n"/>
      <c r="AG454" s="4" t="inlineStr">
        <is>
          <t>FCL/FCL</t>
        </is>
      </c>
      <c r="AH454" s="4" t="inlineStr">
        <is>
          <t>GENERAL COMMODITY</t>
        </is>
      </c>
      <c r="AI454" s="4" t="n">
        <v>28620</v>
      </c>
      <c r="AJ454" s="4" t="n">
        <v>27</v>
      </c>
      <c r="AK454" s="4" t="inlineStr">
        <is>
          <t>BLO</t>
        </is>
      </c>
      <c r="AL454" s="4" t="n"/>
      <c r="AM454" s="4" t="n"/>
      <c r="AN454" s="4" t="n"/>
      <c r="AO454" s="4" t="n"/>
      <c r="AP454" s="4" t="n"/>
      <c r="AQ454" s="4" t="n"/>
      <c r="AR454" s="4" t="n">
        <v>3700</v>
      </c>
      <c r="AS454" s="4" t="n">
        <v>27000</v>
      </c>
      <c r="AT454" s="12" t="n"/>
    </row>
    <row r="455">
      <c r="A455" s="11" t="n">
        <v>454</v>
      </c>
      <c r="B455" s="4" t="inlineStr">
        <is>
          <t>MERCURY / VOYAGE 1</t>
        </is>
      </c>
      <c r="C455" s="4" t="inlineStr">
        <is>
          <t>REF000000</t>
        </is>
      </c>
      <c r="D455" s="7" t="n">
        <v>46095</v>
      </c>
      <c r="E455" s="4" t="n">
        <v>46104</v>
      </c>
      <c r="F455" s="4" t="inlineStr">
        <is>
          <t>RULED</t>
        </is>
      </c>
      <c r="G455" s="4" t="inlineStr">
        <is>
          <t>RULED</t>
        </is>
      </c>
      <c r="H455" s="4" t="inlineStr">
        <is>
          <t>USNYC</t>
        </is>
      </c>
      <c r="I455" s="4" t="inlineStr">
        <is>
          <t>USNYC</t>
        </is>
      </c>
      <c r="J455" s="4" t="n"/>
      <c r="K455" s="8" t="n"/>
      <c r="L455" s="4" t="inlineStr">
        <is>
          <t>SHARK REEFER</t>
        </is>
      </c>
      <c r="M455" s="4" t="inlineStr">
        <is>
          <t>SHARK REEFER</t>
        </is>
      </c>
      <c r="N455" s="4" t="n"/>
      <c r="O455" s="4" t="n"/>
      <c r="P455" s="4" t="inlineStr">
        <is>
          <t>SHARK REEFER</t>
        </is>
      </c>
      <c r="Q455" s="4" t="inlineStr">
        <is>
          <t>SHARK REEFER</t>
        </is>
      </c>
      <c r="R455" s="4" t="n"/>
      <c r="S455" s="4" t="n"/>
      <c r="T455" s="4" t="inlineStr">
        <is>
          <t>SHARK REEFER</t>
        </is>
      </c>
      <c r="U455" s="4" t="inlineStr">
        <is>
          <t>Av. das Araucarias, 5266 - Chapada, Araucaria - PR, 83702-</t>
        </is>
      </c>
      <c r="V455" s="4" t="n">
        <v>21</v>
      </c>
      <c r="W455" s="4" t="n">
        <v>0</v>
      </c>
      <c r="X455" s="4" t="n">
        <v>429300</v>
      </c>
      <c r="Y455" s="4" t="n">
        <v>405000</v>
      </c>
      <c r="Z455" s="4" t="n">
        <v>405</v>
      </c>
      <c r="AA455" s="4" t="n"/>
      <c r="AB455" s="4" t="inlineStr">
        <is>
          <t>SAID TO CONTAIN / WEIGH &amp; MEASURE</t>
        </is>
      </c>
      <c r="AC455" s="4" t="inlineStr">
        <is>
          <t>ANON0000000</t>
        </is>
      </c>
      <c r="AD455" s="4" t="inlineStr">
        <is>
          <t>HC40</t>
        </is>
      </c>
      <c r="AE455" s="4" t="n">
        <v>30239235</v>
      </c>
      <c r="AF455" s="4" t="n"/>
      <c r="AG455" s="4" t="inlineStr">
        <is>
          <t>FCL/FCL</t>
        </is>
      </c>
      <c r="AH455" s="4" t="inlineStr">
        <is>
          <t>GENERAL COMMODITY</t>
        </is>
      </c>
      <c r="AI455" s="4" t="n">
        <v>28620</v>
      </c>
      <c r="AJ455" s="4" t="n">
        <v>27</v>
      </c>
      <c r="AK455" s="4" t="inlineStr">
        <is>
          <t>BLO</t>
        </is>
      </c>
      <c r="AL455" s="4" t="n"/>
      <c r="AM455" s="4" t="n"/>
      <c r="AN455" s="4" t="n"/>
      <c r="AO455" s="4" t="n"/>
      <c r="AP455" s="4" t="n"/>
      <c r="AQ455" s="4" t="n"/>
      <c r="AR455" s="4" t="n">
        <v>3700</v>
      </c>
      <c r="AS455" s="4" t="n">
        <v>27000</v>
      </c>
      <c r="AT455" s="12" t="n"/>
    </row>
    <row r="456">
      <c r="A456" s="11" t="n">
        <v>455</v>
      </c>
      <c r="B456" s="4" t="inlineStr">
        <is>
          <t>MERCURY / VOYAGE 1</t>
        </is>
      </c>
      <c r="C456" s="4" t="inlineStr">
        <is>
          <t>REF000000</t>
        </is>
      </c>
      <c r="D456" s="7" t="n">
        <v>46095</v>
      </c>
      <c r="E456" s="4" t="n">
        <v>46104</v>
      </c>
      <c r="F456" s="4" t="inlineStr">
        <is>
          <t>RULED</t>
        </is>
      </c>
      <c r="G456" s="4" t="inlineStr">
        <is>
          <t>RULED</t>
        </is>
      </c>
      <c r="H456" s="4" t="inlineStr">
        <is>
          <t>USNYC</t>
        </is>
      </c>
      <c r="I456" s="4" t="inlineStr">
        <is>
          <t>USNYC</t>
        </is>
      </c>
      <c r="J456" s="4" t="n"/>
      <c r="K456" s="8" t="n"/>
      <c r="L456" s="4" t="inlineStr">
        <is>
          <t>DOLPHIN REEFER</t>
        </is>
      </c>
      <c r="M456" s="4" t="inlineStr">
        <is>
          <t>DOLPHIN REEFER</t>
        </is>
      </c>
      <c r="N456" s="4" t="n"/>
      <c r="O456" s="4" t="n"/>
      <c r="P456" s="4" t="inlineStr">
        <is>
          <t>DOLPHIN REEFER</t>
        </is>
      </c>
      <c r="Q456" s="4" t="inlineStr">
        <is>
          <t>DOLPHIN REEFER</t>
        </is>
      </c>
      <c r="R456" s="4" t="n"/>
      <c r="S456" s="4" t="n"/>
      <c r="T456" s="4" t="inlineStr">
        <is>
          <t>DOLPHIN REEFER</t>
        </is>
      </c>
      <c r="U456" s="4" t="inlineStr">
        <is>
          <t>Av. das Araucarias, 5266 - Chapada, Araucaria - PR, 83702-</t>
        </is>
      </c>
      <c r="V456" s="4" t="n">
        <v>21</v>
      </c>
      <c r="W456" s="4" t="n">
        <v>0</v>
      </c>
      <c r="X456" s="4" t="n">
        <v>400680</v>
      </c>
      <c r="Y456" s="4" t="n">
        <v>378000</v>
      </c>
      <c r="Z456" s="4" t="n">
        <v>378</v>
      </c>
      <c r="AA456" s="4" t="n"/>
      <c r="AB456" s="4" t="inlineStr">
        <is>
          <t>SAID TO CONTAIN / WEIGH &amp; MEASURE</t>
        </is>
      </c>
      <c r="AC456" s="4" t="inlineStr">
        <is>
          <t>ANON0000000</t>
        </is>
      </c>
      <c r="AD456" s="4" t="inlineStr">
        <is>
          <t>HC40</t>
        </is>
      </c>
      <c r="AE456" s="4" t="n">
        <v>30271666</v>
      </c>
      <c r="AF456" s="4" t="n"/>
      <c r="AG456" s="4" t="inlineStr">
        <is>
          <t>FCL/FCL</t>
        </is>
      </c>
      <c r="AH456" s="4" t="inlineStr">
        <is>
          <t>GENERAL COMMODITY</t>
        </is>
      </c>
      <c r="AI456" s="4" t="n">
        <v>28620</v>
      </c>
      <c r="AJ456" s="4" t="n">
        <v>27</v>
      </c>
      <c r="AK456" s="4" t="inlineStr">
        <is>
          <t>BLO</t>
        </is>
      </c>
      <c r="AL456" s="4" t="n"/>
      <c r="AM456" s="4" t="n"/>
      <c r="AN456" s="4" t="n"/>
      <c r="AO456" s="4" t="n"/>
      <c r="AP456" s="4" t="n"/>
      <c r="AQ456" s="4" t="n"/>
      <c r="AR456" s="4" t="n">
        <v>3880</v>
      </c>
      <c r="AS456" s="4" t="n">
        <v>27000</v>
      </c>
      <c r="AT456" s="12" t="n"/>
    </row>
    <row r="457">
      <c r="A457" s="11" t="n">
        <v>456</v>
      </c>
      <c r="B457" s="4" t="inlineStr">
        <is>
          <t>MERCURY / VOYAGE 1</t>
        </is>
      </c>
      <c r="C457" s="4" t="inlineStr">
        <is>
          <t>REF000000</t>
        </is>
      </c>
      <c r="D457" s="7" t="n">
        <v>46095</v>
      </c>
      <c r="E457" s="4" t="n">
        <v>46104</v>
      </c>
      <c r="F457" s="4" t="inlineStr">
        <is>
          <t>RULED</t>
        </is>
      </c>
      <c r="G457" s="4" t="inlineStr">
        <is>
          <t>RULED</t>
        </is>
      </c>
      <c r="H457" s="4" t="inlineStr">
        <is>
          <t>USNYC</t>
        </is>
      </c>
      <c r="I457" s="4" t="inlineStr">
        <is>
          <t>USNYC</t>
        </is>
      </c>
      <c r="J457" s="4" t="n"/>
      <c r="K457" s="8" t="n"/>
      <c r="L457" s="4" t="inlineStr">
        <is>
          <t>MARLIN REEFER</t>
        </is>
      </c>
      <c r="M457" s="4" t="inlineStr">
        <is>
          <t>MARLIN REEFER</t>
        </is>
      </c>
      <c r="N457" s="4" t="n"/>
      <c r="O457" s="4" t="n"/>
      <c r="P457" s="4" t="inlineStr">
        <is>
          <t>MARLIN REEFER</t>
        </is>
      </c>
      <c r="Q457" s="4" t="inlineStr">
        <is>
          <t>MARLIN REEFER</t>
        </is>
      </c>
      <c r="R457" s="4" t="n"/>
      <c r="S457" s="4" t="n"/>
      <c r="T457" s="4" t="inlineStr">
        <is>
          <t>MARLIN REEFER</t>
        </is>
      </c>
      <c r="U457" s="4" t="inlineStr">
        <is>
          <t>Av. das Araucarias, 5266 - Chapada, Araucaria - PR, 83702-</t>
        </is>
      </c>
      <c r="V457" s="4" t="n">
        <v>21</v>
      </c>
      <c r="W457" s="4" t="n">
        <v>0</v>
      </c>
      <c r="X457" s="4" t="n">
        <v>400680</v>
      </c>
      <c r="Y457" s="4" t="n">
        <v>378000</v>
      </c>
      <c r="Z457" s="4" t="n">
        <v>378</v>
      </c>
      <c r="AA457" s="4" t="n"/>
      <c r="AB457" s="4" t="inlineStr">
        <is>
          <t>SAID TO CONTAIN / WEIGH &amp; MEASURE</t>
        </is>
      </c>
      <c r="AC457" s="4" t="inlineStr">
        <is>
          <t>ANON0000000</t>
        </is>
      </c>
      <c r="AD457" s="4" t="inlineStr">
        <is>
          <t>HC40</t>
        </is>
      </c>
      <c r="AE457" s="4" t="n">
        <v>30270627</v>
      </c>
      <c r="AF457" s="4" t="n"/>
      <c r="AG457" s="4" t="inlineStr">
        <is>
          <t>FCL/FCL</t>
        </is>
      </c>
      <c r="AH457" s="4" t="inlineStr">
        <is>
          <t>GENERAL COMMODITY</t>
        </is>
      </c>
      <c r="AI457" s="4" t="n">
        <v>28620</v>
      </c>
      <c r="AJ457" s="4" t="n">
        <v>27</v>
      </c>
      <c r="AK457" s="4" t="inlineStr">
        <is>
          <t>BLO</t>
        </is>
      </c>
      <c r="AL457" s="4" t="n"/>
      <c r="AM457" s="4" t="n"/>
      <c r="AN457" s="4" t="n"/>
      <c r="AO457" s="4" t="n"/>
      <c r="AP457" s="4" t="n"/>
      <c r="AQ457" s="4" t="n"/>
      <c r="AR457" s="4" t="n">
        <v>3700</v>
      </c>
      <c r="AS457" s="4" t="n">
        <v>27000</v>
      </c>
      <c r="AT457" s="12" t="n"/>
    </row>
    <row r="458">
      <c r="A458" s="11" t="n">
        <v>457</v>
      </c>
      <c r="B458" s="4" t="inlineStr">
        <is>
          <t>MERCURY / VOYAGE 1</t>
        </is>
      </c>
      <c r="C458" s="4" t="inlineStr">
        <is>
          <t>REF000000</t>
        </is>
      </c>
      <c r="D458" s="7" t="n">
        <v>46095</v>
      </c>
      <c r="E458" s="4" t="n">
        <v>46104</v>
      </c>
      <c r="F458" s="4" t="inlineStr">
        <is>
          <t>RULED</t>
        </is>
      </c>
      <c r="G458" s="4" t="inlineStr">
        <is>
          <t>RULED</t>
        </is>
      </c>
      <c r="H458" s="4" t="inlineStr">
        <is>
          <t>USNYC</t>
        </is>
      </c>
      <c r="I458" s="4" t="inlineStr">
        <is>
          <t>USNYC</t>
        </is>
      </c>
      <c r="J458" s="4" t="n"/>
      <c r="K458" s="8" t="n"/>
      <c r="L458" s="4" t="inlineStr">
        <is>
          <t>TURTLE REEFER</t>
        </is>
      </c>
      <c r="M458" s="4" t="inlineStr">
        <is>
          <t>TURTLE REEFER</t>
        </is>
      </c>
      <c r="N458" s="4" t="n"/>
      <c r="O458" s="4" t="n"/>
      <c r="P458" s="4" t="inlineStr">
        <is>
          <t>TURTLE REEFER</t>
        </is>
      </c>
      <c r="Q458" s="4" t="inlineStr">
        <is>
          <t>TURTLE REEFER</t>
        </is>
      </c>
      <c r="R458" s="4" t="n"/>
      <c r="S458" s="4" t="n"/>
      <c r="T458" s="4" t="inlineStr">
        <is>
          <t>TURTLE REEFER</t>
        </is>
      </c>
      <c r="U458" s="4" t="inlineStr">
        <is>
          <t>Av. das Araucarias, 5266 - Chapada, Araucaria - PR, 83702-</t>
        </is>
      </c>
      <c r="V458" s="4" t="n">
        <v>21</v>
      </c>
      <c r="W458" s="4" t="n">
        <v>0</v>
      </c>
      <c r="X458" s="4" t="n">
        <v>400680</v>
      </c>
      <c r="Y458" s="4" t="n">
        <v>378000</v>
      </c>
      <c r="Z458" s="4" t="n">
        <v>378</v>
      </c>
      <c r="AA458" s="4" t="n"/>
      <c r="AB458" s="4" t="inlineStr">
        <is>
          <t>SAID TO CONTAIN / WEIGH &amp; MEASURE</t>
        </is>
      </c>
      <c r="AC458" s="4" t="inlineStr">
        <is>
          <t>ANON0000000</t>
        </is>
      </c>
      <c r="AD458" s="4" t="inlineStr">
        <is>
          <t>HC40</t>
        </is>
      </c>
      <c r="AE458" s="4" t="n">
        <v>30284905</v>
      </c>
      <c r="AF458" s="4" t="n"/>
      <c r="AG458" s="4" t="inlineStr">
        <is>
          <t>FCL/FCL</t>
        </is>
      </c>
      <c r="AH458" s="4" t="inlineStr">
        <is>
          <t>GENERAL COMMODITY</t>
        </is>
      </c>
      <c r="AI458" s="4" t="n">
        <v>28620</v>
      </c>
      <c r="AJ458" s="4" t="n">
        <v>27</v>
      </c>
      <c r="AK458" s="4" t="inlineStr">
        <is>
          <t>BLO</t>
        </is>
      </c>
      <c r="AL458" s="4" t="n"/>
      <c r="AM458" s="4" t="n"/>
      <c r="AN458" s="4" t="n"/>
      <c r="AO458" s="4" t="n"/>
      <c r="AP458" s="4" t="n"/>
      <c r="AQ458" s="4" t="n"/>
      <c r="AR458" s="4" t="n">
        <v>3880</v>
      </c>
      <c r="AS458" s="4" t="n">
        <v>27000</v>
      </c>
      <c r="AT458" s="12" t="n"/>
    </row>
    <row r="459">
      <c r="A459" s="11" t="n">
        <v>458</v>
      </c>
      <c r="B459" s="4" t="inlineStr">
        <is>
          <t>MERCURY / VOYAGE 1</t>
        </is>
      </c>
      <c r="C459" s="4" t="inlineStr">
        <is>
          <t>REF000000</t>
        </is>
      </c>
      <c r="D459" s="7" t="n">
        <v>46095</v>
      </c>
      <c r="E459" s="4" t="n">
        <v>46104</v>
      </c>
      <c r="F459" s="4" t="inlineStr">
        <is>
          <t>RULED</t>
        </is>
      </c>
      <c r="G459" s="4" t="inlineStr">
        <is>
          <t>RULED</t>
        </is>
      </c>
      <c r="H459" s="4" t="inlineStr">
        <is>
          <t>USNYC</t>
        </is>
      </c>
      <c r="I459" s="4" t="inlineStr">
        <is>
          <t>USNYC</t>
        </is>
      </c>
      <c r="J459" s="4" t="n"/>
      <c r="K459" s="8" t="n"/>
      <c r="L459" s="4" t="inlineStr">
        <is>
          <t>ORCA REEFER</t>
        </is>
      </c>
      <c r="M459" s="4" t="inlineStr">
        <is>
          <t>ORCA REEFER</t>
        </is>
      </c>
      <c r="N459" s="4" t="n"/>
      <c r="O459" s="4" t="n"/>
      <c r="P459" s="4" t="inlineStr">
        <is>
          <t>ORCA REEFER</t>
        </is>
      </c>
      <c r="Q459" s="4" t="inlineStr">
        <is>
          <t>ORCA REEFER</t>
        </is>
      </c>
      <c r="R459" s="4" t="n"/>
      <c r="S459" s="4" t="n"/>
      <c r="T459" s="4" t="inlineStr">
        <is>
          <t>ORCA REEFER</t>
        </is>
      </c>
      <c r="U459" s="4" t="inlineStr">
        <is>
          <t>Av. das Araucarias, 5266 - Chapada, Araucaria - PR, 83702-</t>
        </is>
      </c>
      <c r="V459" s="4" t="n">
        <v>21</v>
      </c>
      <c r="W459" s="4" t="n">
        <v>0</v>
      </c>
      <c r="X459" s="4" t="n">
        <v>400680</v>
      </c>
      <c r="Y459" s="4" t="n">
        <v>378000</v>
      </c>
      <c r="Z459" s="4" t="n">
        <v>378</v>
      </c>
      <c r="AA459" s="4" t="n"/>
      <c r="AB459" s="4" t="inlineStr">
        <is>
          <t>SAID TO CONTAIN / WEIGH &amp; MEASURE</t>
        </is>
      </c>
      <c r="AC459" s="4" t="inlineStr">
        <is>
          <t>ANON0000000</t>
        </is>
      </c>
      <c r="AD459" s="4" t="inlineStr">
        <is>
          <t>HC40</t>
        </is>
      </c>
      <c r="AE459" s="4" t="n">
        <v>30239105</v>
      </c>
      <c r="AF459" s="4" t="n"/>
      <c r="AG459" s="4" t="inlineStr">
        <is>
          <t>FCL/FCL</t>
        </is>
      </c>
      <c r="AH459" s="4" t="inlineStr">
        <is>
          <t>GENERAL COMMODITY</t>
        </is>
      </c>
      <c r="AI459" s="4" t="n">
        <v>28620</v>
      </c>
      <c r="AJ459" s="4" t="n">
        <v>27</v>
      </c>
      <c r="AK459" s="4" t="inlineStr">
        <is>
          <t>BLO</t>
        </is>
      </c>
      <c r="AL459" s="4" t="n"/>
      <c r="AM459" s="4" t="n"/>
      <c r="AN459" s="4" t="n"/>
      <c r="AO459" s="4" t="n"/>
      <c r="AP459" s="4" t="n"/>
      <c r="AQ459" s="4" t="n"/>
      <c r="AR459" s="4" t="n">
        <v>3700</v>
      </c>
      <c r="AS459" s="4" t="n">
        <v>27000</v>
      </c>
      <c r="AT459" s="12" t="n"/>
    </row>
    <row r="460">
      <c r="A460" s="11" t="n">
        <v>459</v>
      </c>
      <c r="B460" s="4" t="inlineStr">
        <is>
          <t>MERCURY / VOYAGE 1</t>
        </is>
      </c>
      <c r="C460" s="4" t="inlineStr">
        <is>
          <t>REF000000</t>
        </is>
      </c>
      <c r="D460" s="7" t="n">
        <v>46095</v>
      </c>
      <c r="E460" s="4" t="n">
        <v>46104</v>
      </c>
      <c r="F460" s="4" t="inlineStr">
        <is>
          <t>RULED</t>
        </is>
      </c>
      <c r="G460" s="4" t="inlineStr">
        <is>
          <t>RULED</t>
        </is>
      </c>
      <c r="H460" s="4" t="inlineStr">
        <is>
          <t>USNYC</t>
        </is>
      </c>
      <c r="I460" s="4" t="inlineStr">
        <is>
          <t>USNYC</t>
        </is>
      </c>
      <c r="J460" s="4" t="n"/>
      <c r="K460" s="8" t="n"/>
      <c r="L460" s="4" t="inlineStr">
        <is>
          <t>WHALE REEFER</t>
        </is>
      </c>
      <c r="M460" s="4" t="inlineStr">
        <is>
          <t>WHALE REEFER</t>
        </is>
      </c>
      <c r="N460" s="4" t="n"/>
      <c r="O460" s="4" t="n"/>
      <c r="P460" s="4" t="inlineStr">
        <is>
          <t>WHALE REEFER</t>
        </is>
      </c>
      <c r="Q460" s="4" t="inlineStr">
        <is>
          <t>WHALE REEFER</t>
        </is>
      </c>
      <c r="R460" s="4" t="n"/>
      <c r="S460" s="4" t="n"/>
      <c r="T460" s="4" t="inlineStr">
        <is>
          <t>WHALE REEFER</t>
        </is>
      </c>
      <c r="U460" s="4" t="inlineStr">
        <is>
          <t>Av. das Araucarias, 5266 - Chapada, Araucaria - PR, 83702-</t>
        </is>
      </c>
      <c r="V460" s="4" t="n">
        <v>21</v>
      </c>
      <c r="W460" s="4" t="n">
        <v>0</v>
      </c>
      <c r="X460" s="4" t="n">
        <v>400680</v>
      </c>
      <c r="Y460" s="4" t="n">
        <v>378000</v>
      </c>
      <c r="Z460" s="4" t="n">
        <v>378</v>
      </c>
      <c r="AA460" s="4" t="n"/>
      <c r="AB460" s="4" t="inlineStr">
        <is>
          <t>SAID TO CONTAIN / WEIGH &amp; MEASURE</t>
        </is>
      </c>
      <c r="AC460" s="4" t="inlineStr">
        <is>
          <t>ANON0000000</t>
        </is>
      </c>
      <c r="AD460" s="4" t="inlineStr">
        <is>
          <t>HC40</t>
        </is>
      </c>
      <c r="AE460" s="4" t="n">
        <v>30284906</v>
      </c>
      <c r="AF460" s="4" t="n"/>
      <c r="AG460" s="4" t="inlineStr">
        <is>
          <t>FCL/FCL</t>
        </is>
      </c>
      <c r="AH460" s="4" t="inlineStr">
        <is>
          <t>GENERAL COMMODITY</t>
        </is>
      </c>
      <c r="AI460" s="4" t="n">
        <v>28620</v>
      </c>
      <c r="AJ460" s="4" t="n">
        <v>27</v>
      </c>
      <c r="AK460" s="4" t="inlineStr">
        <is>
          <t>BLO</t>
        </is>
      </c>
      <c r="AL460" s="4" t="n"/>
      <c r="AM460" s="4" t="n"/>
      <c r="AN460" s="4" t="n"/>
      <c r="AO460" s="4" t="n"/>
      <c r="AP460" s="4" t="n"/>
      <c r="AQ460" s="4" t="n"/>
      <c r="AR460" s="4" t="n">
        <v>3700</v>
      </c>
      <c r="AS460" s="4" t="n">
        <v>27000</v>
      </c>
      <c r="AT460" s="12" t="n"/>
    </row>
    <row r="461">
      <c r="A461" s="11" t="n">
        <v>460</v>
      </c>
      <c r="B461" s="4" t="inlineStr">
        <is>
          <t>MERCURY / VOYAGE 1</t>
        </is>
      </c>
      <c r="C461" s="4" t="inlineStr">
        <is>
          <t>REF000000</t>
        </is>
      </c>
      <c r="D461" s="7" t="n">
        <v>46095</v>
      </c>
      <c r="E461" s="4" t="n">
        <v>46104</v>
      </c>
      <c r="F461" s="4" t="inlineStr">
        <is>
          <t>RULED</t>
        </is>
      </c>
      <c r="G461" s="4" t="inlineStr">
        <is>
          <t>RULED</t>
        </is>
      </c>
      <c r="H461" s="4" t="inlineStr">
        <is>
          <t>USNYC</t>
        </is>
      </c>
      <c r="I461" s="4" t="inlineStr">
        <is>
          <t>USNYC</t>
        </is>
      </c>
      <c r="J461" s="4" t="n"/>
      <c r="K461" s="8" t="n"/>
      <c r="L461" s="4" t="inlineStr">
        <is>
          <t>SEAL REEFER</t>
        </is>
      </c>
      <c r="M461" s="4" t="inlineStr">
        <is>
          <t>SEAL REEFER</t>
        </is>
      </c>
      <c r="N461" s="4" t="n"/>
      <c r="O461" s="4" t="n"/>
      <c r="P461" s="4" t="inlineStr">
        <is>
          <t>SEAL REEFER</t>
        </is>
      </c>
      <c r="Q461" s="4" t="inlineStr">
        <is>
          <t>SEAL REEFER</t>
        </is>
      </c>
      <c r="R461" s="4" t="n"/>
      <c r="S461" s="4" t="n"/>
      <c r="T461" s="4" t="inlineStr">
        <is>
          <t>SEAL REEFER</t>
        </is>
      </c>
      <c r="U461" s="4" t="inlineStr">
        <is>
          <t>Av. das Araucarias, 5266 - Chapada, Araucaria - PR, 83702-</t>
        </is>
      </c>
      <c r="V461" s="4" t="n">
        <v>21</v>
      </c>
      <c r="W461" s="4" t="n">
        <v>0</v>
      </c>
      <c r="X461" s="4" t="n">
        <v>400680</v>
      </c>
      <c r="Y461" s="4" t="n">
        <v>378000</v>
      </c>
      <c r="Z461" s="4" t="n">
        <v>378</v>
      </c>
      <c r="AA461" s="4" t="n"/>
      <c r="AB461" s="4" t="inlineStr">
        <is>
          <t>SAID TO CONTAIN / WEIGH &amp; MEASURE</t>
        </is>
      </c>
      <c r="AC461" s="4" t="inlineStr">
        <is>
          <t>ANON0000000</t>
        </is>
      </c>
      <c r="AD461" s="4" t="inlineStr">
        <is>
          <t>HC40</t>
        </is>
      </c>
      <c r="AE461" s="4" t="n">
        <v>30270663</v>
      </c>
      <c r="AF461" s="4" t="n"/>
      <c r="AG461" s="4" t="inlineStr">
        <is>
          <t>FCL/FCL</t>
        </is>
      </c>
      <c r="AH461" s="4" t="inlineStr">
        <is>
          <t>GENERAL COMMODITY</t>
        </is>
      </c>
      <c r="AI461" s="4" t="n">
        <v>28620</v>
      </c>
      <c r="AJ461" s="4" t="n">
        <v>27</v>
      </c>
      <c r="AK461" s="4" t="inlineStr">
        <is>
          <t>BLO</t>
        </is>
      </c>
      <c r="AL461" s="4" t="n"/>
      <c r="AM461" s="4" t="n"/>
      <c r="AN461" s="4" t="n"/>
      <c r="AO461" s="4" t="n"/>
      <c r="AP461" s="4" t="n"/>
      <c r="AQ461" s="4" t="n"/>
      <c r="AR461" s="4" t="n">
        <v>3700</v>
      </c>
      <c r="AS461" s="4" t="n">
        <v>27000</v>
      </c>
      <c r="AT461" s="12" t="n"/>
    </row>
    <row r="462">
      <c r="A462" s="11" t="n">
        <v>461</v>
      </c>
      <c r="B462" s="4" t="inlineStr">
        <is>
          <t>MERCURY / VOYAGE 1</t>
        </is>
      </c>
      <c r="C462" s="4" t="inlineStr">
        <is>
          <t>REF000000</t>
        </is>
      </c>
      <c r="D462" s="7" t="n">
        <v>46095</v>
      </c>
      <c r="E462" s="4" t="n">
        <v>46104</v>
      </c>
      <c r="F462" s="4" t="inlineStr">
        <is>
          <t>RULED</t>
        </is>
      </c>
      <c r="G462" s="4" t="inlineStr">
        <is>
          <t>RULED</t>
        </is>
      </c>
      <c r="H462" s="4" t="inlineStr">
        <is>
          <t>USNYC</t>
        </is>
      </c>
      <c r="I462" s="4" t="inlineStr">
        <is>
          <t>USNYC</t>
        </is>
      </c>
      <c r="J462" s="4" t="n"/>
      <c r="K462" s="8" t="n"/>
      <c r="L462" s="4" t="inlineStr">
        <is>
          <t>SHARK REEFER</t>
        </is>
      </c>
      <c r="M462" s="4" t="inlineStr">
        <is>
          <t>SHARK REEFER</t>
        </is>
      </c>
      <c r="N462" s="4" t="n"/>
      <c r="O462" s="4" t="n"/>
      <c r="P462" s="4" t="inlineStr">
        <is>
          <t>SHARK REEFER</t>
        </is>
      </c>
      <c r="Q462" s="4" t="inlineStr">
        <is>
          <t>SHARK REEFER</t>
        </is>
      </c>
      <c r="R462" s="4" t="n"/>
      <c r="S462" s="4" t="n"/>
      <c r="T462" s="4" t="inlineStr">
        <is>
          <t>SHARK REEFER</t>
        </is>
      </c>
      <c r="U462" s="4" t="inlineStr">
        <is>
          <t>Av. das Araucarias, 5266 - Chapada, Araucaria - PR, 83702-</t>
        </is>
      </c>
      <c r="V462" s="4" t="n">
        <v>21</v>
      </c>
      <c r="W462" s="4" t="n">
        <v>0</v>
      </c>
      <c r="X462" s="4" t="n">
        <v>400680</v>
      </c>
      <c r="Y462" s="4" t="n">
        <v>378000</v>
      </c>
      <c r="Z462" s="4" t="n">
        <v>378</v>
      </c>
      <c r="AA462" s="4" t="n"/>
      <c r="AB462" s="4" t="inlineStr">
        <is>
          <t>SAID TO CONTAIN / WEIGH &amp; MEASURE</t>
        </is>
      </c>
      <c r="AC462" s="4" t="inlineStr">
        <is>
          <t>ANON0000000</t>
        </is>
      </c>
      <c r="AD462" s="4" t="inlineStr">
        <is>
          <t>HC40</t>
        </is>
      </c>
      <c r="AE462" s="4" t="n">
        <v>30270608</v>
      </c>
      <c r="AF462" s="4" t="n"/>
      <c r="AG462" s="4" t="inlineStr">
        <is>
          <t>FCL/FCL</t>
        </is>
      </c>
      <c r="AH462" s="4" t="inlineStr">
        <is>
          <t>GENERAL COMMODITY</t>
        </is>
      </c>
      <c r="AI462" s="4" t="n">
        <v>28620</v>
      </c>
      <c r="AJ462" s="4" t="n">
        <v>27</v>
      </c>
      <c r="AK462" s="4" t="inlineStr">
        <is>
          <t>BLO</t>
        </is>
      </c>
      <c r="AL462" s="4" t="n"/>
      <c r="AM462" s="4" t="n"/>
      <c r="AN462" s="4" t="n"/>
      <c r="AO462" s="4" t="n"/>
      <c r="AP462" s="4" t="n"/>
      <c r="AQ462" s="4" t="n"/>
      <c r="AR462" s="4" t="n">
        <v>3860</v>
      </c>
      <c r="AS462" s="4" t="n">
        <v>27000</v>
      </c>
      <c r="AT462" s="12" t="n"/>
    </row>
    <row r="463">
      <c r="A463" s="11" t="n">
        <v>462</v>
      </c>
      <c r="B463" s="4" t="inlineStr">
        <is>
          <t>MERCURY / VOYAGE 1</t>
        </is>
      </c>
      <c r="C463" s="4" t="inlineStr">
        <is>
          <t>REF000000</t>
        </is>
      </c>
      <c r="D463" s="7" t="n">
        <v>46095</v>
      </c>
      <c r="E463" s="4" t="n">
        <v>46104</v>
      </c>
      <c r="F463" s="4" t="inlineStr">
        <is>
          <t>RULED</t>
        </is>
      </c>
      <c r="G463" s="4" t="inlineStr">
        <is>
          <t>RULED</t>
        </is>
      </c>
      <c r="H463" s="4" t="inlineStr">
        <is>
          <t>USNYC</t>
        </is>
      </c>
      <c r="I463" s="4" t="inlineStr">
        <is>
          <t>USNYC</t>
        </is>
      </c>
      <c r="J463" s="4" t="n"/>
      <c r="K463" s="8" t="n"/>
      <c r="L463" s="4" t="inlineStr">
        <is>
          <t>DOLPHIN REEFER</t>
        </is>
      </c>
      <c r="M463" s="4" t="inlineStr">
        <is>
          <t>DOLPHIN REEFER</t>
        </is>
      </c>
      <c r="N463" s="4" t="n"/>
      <c r="O463" s="4" t="n"/>
      <c r="P463" s="4" t="inlineStr">
        <is>
          <t>DOLPHIN REEFER</t>
        </is>
      </c>
      <c r="Q463" s="4" t="inlineStr">
        <is>
          <t>DOLPHIN REEFER</t>
        </is>
      </c>
      <c r="R463" s="4" t="n"/>
      <c r="S463" s="4" t="n"/>
      <c r="T463" s="4" t="inlineStr">
        <is>
          <t>DOLPHIN REEFER</t>
        </is>
      </c>
      <c r="U463" s="4" t="inlineStr">
        <is>
          <t>Av. das Araucarias, 5266 - Chapada, Araucaria - PR, 83702-</t>
        </is>
      </c>
      <c r="V463" s="4" t="n">
        <v>21</v>
      </c>
      <c r="W463" s="4" t="n">
        <v>0</v>
      </c>
      <c r="X463" s="4" t="n">
        <v>400680</v>
      </c>
      <c r="Y463" s="4" t="n">
        <v>378000</v>
      </c>
      <c r="Z463" s="4" t="n">
        <v>378</v>
      </c>
      <c r="AA463" s="4" t="n"/>
      <c r="AB463" s="4" t="inlineStr">
        <is>
          <t>SAID TO CONTAIN / WEIGH &amp; MEASURE</t>
        </is>
      </c>
      <c r="AC463" s="4" t="inlineStr">
        <is>
          <t>ANON0000000</t>
        </is>
      </c>
      <c r="AD463" s="4" t="inlineStr">
        <is>
          <t>HC40</t>
        </is>
      </c>
      <c r="AE463" s="4" t="n">
        <v>30270629</v>
      </c>
      <c r="AF463" s="4" t="n"/>
      <c r="AG463" s="4" t="inlineStr">
        <is>
          <t>FCL/FCL</t>
        </is>
      </c>
      <c r="AH463" s="4" t="inlineStr">
        <is>
          <t>GENERAL COMMODITY</t>
        </is>
      </c>
      <c r="AI463" s="4" t="n">
        <v>28620</v>
      </c>
      <c r="AJ463" s="4" t="n">
        <v>27</v>
      </c>
      <c r="AK463" s="4" t="inlineStr">
        <is>
          <t>BLO</t>
        </is>
      </c>
      <c r="AL463" s="4" t="n"/>
      <c r="AM463" s="4" t="n"/>
      <c r="AN463" s="4" t="n"/>
      <c r="AO463" s="4" t="n"/>
      <c r="AP463" s="4" t="n"/>
      <c r="AQ463" s="4" t="n"/>
      <c r="AR463" s="4" t="n">
        <v>3700</v>
      </c>
      <c r="AS463" s="4" t="n">
        <v>27000</v>
      </c>
      <c r="AT463" s="12" t="n"/>
    </row>
    <row r="464">
      <c r="A464" s="11" t="n">
        <v>463</v>
      </c>
      <c r="B464" s="4" t="inlineStr">
        <is>
          <t>MERCURY / VOYAGE 1</t>
        </is>
      </c>
      <c r="C464" s="4" t="inlineStr">
        <is>
          <t>REF000000</t>
        </is>
      </c>
      <c r="D464" s="7" t="n">
        <v>46095</v>
      </c>
      <c r="E464" s="4" t="n">
        <v>46104</v>
      </c>
      <c r="F464" s="4" t="inlineStr">
        <is>
          <t>RULED</t>
        </is>
      </c>
      <c r="G464" s="4" t="inlineStr">
        <is>
          <t>RULED</t>
        </is>
      </c>
      <c r="H464" s="4" t="inlineStr">
        <is>
          <t>USNYC</t>
        </is>
      </c>
      <c r="I464" s="4" t="inlineStr">
        <is>
          <t>USNYC</t>
        </is>
      </c>
      <c r="J464" s="4" t="n"/>
      <c r="K464" s="8" t="n"/>
      <c r="L464" s="4" t="inlineStr">
        <is>
          <t>MARLIN REEFER</t>
        </is>
      </c>
      <c r="M464" s="4" t="inlineStr">
        <is>
          <t>MARLIN REEFER</t>
        </is>
      </c>
      <c r="N464" s="4" t="n"/>
      <c r="O464" s="4" t="n"/>
      <c r="P464" s="4" t="inlineStr">
        <is>
          <t>MARLIN REEFER</t>
        </is>
      </c>
      <c r="Q464" s="4" t="inlineStr">
        <is>
          <t>MARLIN REEFER</t>
        </is>
      </c>
      <c r="R464" s="4" t="n"/>
      <c r="S464" s="4" t="n"/>
      <c r="T464" s="4" t="inlineStr">
        <is>
          <t>MARLIN REEFER</t>
        </is>
      </c>
      <c r="U464" s="4" t="inlineStr">
        <is>
          <t>Av. das Araucarias, 5266 - Chapada, Araucaria - PR, 83702-</t>
        </is>
      </c>
      <c r="V464" s="4" t="n">
        <v>21</v>
      </c>
      <c r="W464" s="4" t="n">
        <v>0</v>
      </c>
      <c r="X464" s="4" t="n">
        <v>400680</v>
      </c>
      <c r="Y464" s="4" t="n">
        <v>378000</v>
      </c>
      <c r="Z464" s="4" t="n">
        <v>378</v>
      </c>
      <c r="AA464" s="4" t="n"/>
      <c r="AB464" s="4" t="inlineStr">
        <is>
          <t>SAID TO CONTAIN / WEIGH &amp; MEASURE</t>
        </is>
      </c>
      <c r="AC464" s="4" t="inlineStr">
        <is>
          <t>ANON0000000</t>
        </is>
      </c>
      <c r="AD464" s="4" t="inlineStr">
        <is>
          <t>HC40</t>
        </is>
      </c>
      <c r="AE464" s="4" t="n">
        <v>30284980</v>
      </c>
      <c r="AF464" s="4" t="n"/>
      <c r="AG464" s="4" t="inlineStr">
        <is>
          <t>FCL/FCL</t>
        </is>
      </c>
      <c r="AH464" s="4" t="inlineStr">
        <is>
          <t>GENERAL COMMODITY</t>
        </is>
      </c>
      <c r="AI464" s="4" t="n">
        <v>28620</v>
      </c>
      <c r="AJ464" s="4" t="n">
        <v>27</v>
      </c>
      <c r="AK464" s="4" t="inlineStr">
        <is>
          <t>BLO</t>
        </is>
      </c>
      <c r="AL464" s="4" t="n"/>
      <c r="AM464" s="4" t="n"/>
      <c r="AN464" s="4" t="n"/>
      <c r="AO464" s="4" t="n"/>
      <c r="AP464" s="4" t="n"/>
      <c r="AQ464" s="4" t="n"/>
      <c r="AR464" s="4" t="n">
        <v>3700</v>
      </c>
      <c r="AS464" s="4" t="n">
        <v>27000</v>
      </c>
      <c r="AT464" s="12" t="n"/>
    </row>
    <row r="465">
      <c r="A465" s="11" t="n">
        <v>464</v>
      </c>
      <c r="B465" s="4" t="inlineStr">
        <is>
          <t>MERCURY / VOYAGE 1</t>
        </is>
      </c>
      <c r="C465" s="4" t="inlineStr">
        <is>
          <t>REF000000</t>
        </is>
      </c>
      <c r="D465" s="7" t="n">
        <v>46095</v>
      </c>
      <c r="E465" s="4" t="n">
        <v>46104</v>
      </c>
      <c r="F465" s="4" t="inlineStr">
        <is>
          <t>RULED</t>
        </is>
      </c>
      <c r="G465" s="4" t="inlineStr">
        <is>
          <t>RULED</t>
        </is>
      </c>
      <c r="H465" s="4" t="inlineStr">
        <is>
          <t>USNYC</t>
        </is>
      </c>
      <c r="I465" s="4" t="inlineStr">
        <is>
          <t>USNYC</t>
        </is>
      </c>
      <c r="J465" s="4" t="n"/>
      <c r="K465" s="8" t="n"/>
      <c r="L465" s="4" t="inlineStr">
        <is>
          <t>TURTLE REEFER</t>
        </is>
      </c>
      <c r="M465" s="4" t="inlineStr">
        <is>
          <t>TURTLE REEFER</t>
        </is>
      </c>
      <c r="N465" s="4" t="n"/>
      <c r="O465" s="4" t="n"/>
      <c r="P465" s="4" t="inlineStr">
        <is>
          <t>TURTLE REEFER</t>
        </is>
      </c>
      <c r="Q465" s="4" t="inlineStr">
        <is>
          <t>TURTLE REEFER</t>
        </is>
      </c>
      <c r="R465" s="4" t="n"/>
      <c r="S465" s="4" t="n"/>
      <c r="T465" s="4" t="inlineStr">
        <is>
          <t>TURTLE REEFER</t>
        </is>
      </c>
      <c r="U465" s="4" t="inlineStr">
        <is>
          <t>Av. das Araucarias, 5266 - Chapada, Araucaria - PR, 83702-</t>
        </is>
      </c>
      <c r="V465" s="4" t="n">
        <v>21</v>
      </c>
      <c r="W465" s="4" t="n">
        <v>0</v>
      </c>
      <c r="X465" s="4" t="n">
        <v>400680</v>
      </c>
      <c r="Y465" s="4" t="n">
        <v>378000</v>
      </c>
      <c r="Z465" s="4" t="n">
        <v>378</v>
      </c>
      <c r="AA465" s="4" t="n"/>
      <c r="AB465" s="4" t="inlineStr">
        <is>
          <t>SAID TO CONTAIN / WEIGH &amp; MEASURE</t>
        </is>
      </c>
      <c r="AC465" s="4" t="inlineStr">
        <is>
          <t>ANON0000000</t>
        </is>
      </c>
      <c r="AD465" s="4" t="inlineStr">
        <is>
          <t>HC40</t>
        </is>
      </c>
      <c r="AE465" s="4" t="n">
        <v>30270613</v>
      </c>
      <c r="AF465" s="4" t="n"/>
      <c r="AG465" s="4" t="inlineStr">
        <is>
          <t>FCL/FCL</t>
        </is>
      </c>
      <c r="AH465" s="4" t="inlineStr">
        <is>
          <t>GENERAL COMMODITY</t>
        </is>
      </c>
      <c r="AI465" s="4" t="n">
        <v>28620</v>
      </c>
      <c r="AJ465" s="4" t="n">
        <v>27</v>
      </c>
      <c r="AK465" s="4" t="inlineStr">
        <is>
          <t>BLO</t>
        </is>
      </c>
      <c r="AL465" s="4" t="n"/>
      <c r="AM465" s="4" t="n"/>
      <c r="AN465" s="4" t="n"/>
      <c r="AO465" s="4" t="n"/>
      <c r="AP465" s="4" t="n"/>
      <c r="AQ465" s="4" t="n"/>
      <c r="AR465" s="4" t="n">
        <v>3700</v>
      </c>
      <c r="AS465" s="4" t="n">
        <v>27000</v>
      </c>
      <c r="AT465" s="12" t="n"/>
    </row>
    <row r="466">
      <c r="A466" s="11" t="n">
        <v>465</v>
      </c>
      <c r="B466" s="4" t="inlineStr">
        <is>
          <t>MERCURY / VOYAGE 1</t>
        </is>
      </c>
      <c r="C466" s="4" t="inlineStr">
        <is>
          <t>REF000000</t>
        </is>
      </c>
      <c r="D466" s="7" t="n">
        <v>46095</v>
      </c>
      <c r="E466" s="4" t="n">
        <v>46104</v>
      </c>
      <c r="F466" s="4" t="inlineStr">
        <is>
          <t>RULED</t>
        </is>
      </c>
      <c r="G466" s="4" t="inlineStr">
        <is>
          <t>RULED</t>
        </is>
      </c>
      <c r="H466" s="4" t="inlineStr">
        <is>
          <t>USNYC</t>
        </is>
      </c>
      <c r="I466" s="4" t="inlineStr">
        <is>
          <t>USNYC</t>
        </is>
      </c>
      <c r="J466" s="4" t="n"/>
      <c r="K466" s="8" t="n"/>
      <c r="L466" s="4" t="inlineStr">
        <is>
          <t>ORCA REEFER</t>
        </is>
      </c>
      <c r="M466" s="4" t="inlineStr">
        <is>
          <t>ORCA REEFER</t>
        </is>
      </c>
      <c r="N466" s="4" t="n"/>
      <c r="O466" s="4" t="n"/>
      <c r="P466" s="4" t="inlineStr">
        <is>
          <t>ORCA REEFER</t>
        </is>
      </c>
      <c r="Q466" s="4" t="inlineStr">
        <is>
          <t>ORCA REEFER</t>
        </is>
      </c>
      <c r="R466" s="4" t="n"/>
      <c r="S466" s="4" t="n"/>
      <c r="T466" s="4" t="inlineStr">
        <is>
          <t>ORCA REEFER</t>
        </is>
      </c>
      <c r="U466" s="4" t="inlineStr">
        <is>
          <t>Av. das Araucarias, 5266 - Chapada, Araucaria - PR, 83702-</t>
        </is>
      </c>
      <c r="V466" s="4" t="n">
        <v>21</v>
      </c>
      <c r="W466" s="4" t="n">
        <v>0</v>
      </c>
      <c r="X466" s="4" t="n">
        <v>400680</v>
      </c>
      <c r="Y466" s="4" t="n">
        <v>378000</v>
      </c>
      <c r="Z466" s="4" t="n">
        <v>378</v>
      </c>
      <c r="AA466" s="4" t="n"/>
      <c r="AB466" s="4" t="inlineStr">
        <is>
          <t>SAID TO CONTAIN / WEIGH &amp; MEASURE</t>
        </is>
      </c>
      <c r="AC466" s="4" t="inlineStr">
        <is>
          <t>ANON0000000</t>
        </is>
      </c>
      <c r="AD466" s="4" t="inlineStr">
        <is>
          <t>HC40</t>
        </is>
      </c>
      <c r="AE466" s="4" t="n">
        <v>30271663</v>
      </c>
      <c r="AF466" s="4" t="n"/>
      <c r="AG466" s="4" t="inlineStr">
        <is>
          <t>FCL/FCL</t>
        </is>
      </c>
      <c r="AH466" s="4" t="inlineStr">
        <is>
          <t>GENERAL COMMODITY</t>
        </is>
      </c>
      <c r="AI466" s="4" t="n">
        <v>28620</v>
      </c>
      <c r="AJ466" s="4" t="n">
        <v>27</v>
      </c>
      <c r="AK466" s="4" t="inlineStr">
        <is>
          <t>BLO</t>
        </is>
      </c>
      <c r="AL466" s="4" t="n"/>
      <c r="AM466" s="4" t="n"/>
      <c r="AN466" s="4" t="n"/>
      <c r="AO466" s="4" t="n"/>
      <c r="AP466" s="4" t="n"/>
      <c r="AQ466" s="4" t="n"/>
      <c r="AR466" s="4" t="n">
        <v>3700</v>
      </c>
      <c r="AS466" s="4" t="n">
        <v>27000</v>
      </c>
      <c r="AT466" s="12" t="n"/>
    </row>
    <row r="467">
      <c r="A467" s="11" t="n">
        <v>466</v>
      </c>
      <c r="B467" s="4" t="inlineStr">
        <is>
          <t>MERCURY / VOYAGE 1</t>
        </is>
      </c>
      <c r="C467" s="4" t="inlineStr">
        <is>
          <t>REF000000</t>
        </is>
      </c>
      <c r="D467" s="7" t="n">
        <v>46095</v>
      </c>
      <c r="E467" s="4" t="n">
        <v>46104</v>
      </c>
      <c r="F467" s="4" t="inlineStr">
        <is>
          <t>RULED</t>
        </is>
      </c>
      <c r="G467" s="4" t="inlineStr">
        <is>
          <t>RULED</t>
        </is>
      </c>
      <c r="H467" s="4" t="inlineStr">
        <is>
          <t>USNYC</t>
        </is>
      </c>
      <c r="I467" s="4" t="inlineStr">
        <is>
          <t>USNYC</t>
        </is>
      </c>
      <c r="J467" s="4" t="n"/>
      <c r="K467" s="8" t="n"/>
      <c r="L467" s="4" t="inlineStr">
        <is>
          <t>WHALE REEFER</t>
        </is>
      </c>
      <c r="M467" s="4" t="inlineStr">
        <is>
          <t>WHALE REEFER</t>
        </is>
      </c>
      <c r="N467" s="4" t="n"/>
      <c r="O467" s="4" t="n"/>
      <c r="P467" s="4" t="inlineStr">
        <is>
          <t>WHALE REEFER</t>
        </is>
      </c>
      <c r="Q467" s="4" t="inlineStr">
        <is>
          <t>WHALE REEFER</t>
        </is>
      </c>
      <c r="R467" s="4" t="n"/>
      <c r="S467" s="4" t="n"/>
      <c r="T467" s="4" t="inlineStr">
        <is>
          <t>WHALE REEFER</t>
        </is>
      </c>
      <c r="U467" s="4" t="inlineStr">
        <is>
          <t>Av. das Araucarias, 5266 - Chapada, Araucaria - PR, 83702-</t>
        </is>
      </c>
      <c r="V467" s="4" t="n">
        <v>21</v>
      </c>
      <c r="W467" s="4" t="n">
        <v>0</v>
      </c>
      <c r="X467" s="4" t="n">
        <v>400680</v>
      </c>
      <c r="Y467" s="4" t="n">
        <v>378000</v>
      </c>
      <c r="Z467" s="4" t="n">
        <v>378</v>
      </c>
      <c r="AA467" s="4" t="n"/>
      <c r="AB467" s="4" t="inlineStr">
        <is>
          <t>SAID TO CONTAIN / WEIGH &amp; MEASURE</t>
        </is>
      </c>
      <c r="AC467" s="4" t="inlineStr">
        <is>
          <t>ANON0000000</t>
        </is>
      </c>
      <c r="AD467" s="4" t="inlineStr">
        <is>
          <t>HC40</t>
        </is>
      </c>
      <c r="AE467" s="4" t="n">
        <v>30284972</v>
      </c>
      <c r="AF467" s="4" t="n"/>
      <c r="AG467" s="4" t="inlineStr">
        <is>
          <t>FCL/FCL</t>
        </is>
      </c>
      <c r="AH467" s="4" t="inlineStr">
        <is>
          <t>GENERAL COMMODITY</t>
        </is>
      </c>
      <c r="AI467" s="4" t="n">
        <v>28620</v>
      </c>
      <c r="AJ467" s="4" t="n">
        <v>27</v>
      </c>
      <c r="AK467" s="4" t="inlineStr">
        <is>
          <t>BLO</t>
        </is>
      </c>
      <c r="AL467" s="4" t="n"/>
      <c r="AM467" s="4" t="n"/>
      <c r="AN467" s="4" t="n"/>
      <c r="AO467" s="4" t="n"/>
      <c r="AP467" s="4" t="n"/>
      <c r="AQ467" s="4" t="n"/>
      <c r="AR467" s="4" t="n">
        <v>3700</v>
      </c>
      <c r="AS467" s="4" t="n">
        <v>27000</v>
      </c>
      <c r="AT467" s="12" t="n"/>
    </row>
    <row r="468">
      <c r="A468" s="11" t="n">
        <v>467</v>
      </c>
      <c r="B468" s="4" t="inlineStr">
        <is>
          <t>MERCURY / VOYAGE 1</t>
        </is>
      </c>
      <c r="C468" s="4" t="inlineStr">
        <is>
          <t>REF000000</t>
        </is>
      </c>
      <c r="D468" s="7" t="n">
        <v>46095</v>
      </c>
      <c r="E468" s="4" t="n">
        <v>46104</v>
      </c>
      <c r="F468" s="4" t="inlineStr">
        <is>
          <t>RULED</t>
        </is>
      </c>
      <c r="G468" s="4" t="inlineStr">
        <is>
          <t>RULED</t>
        </is>
      </c>
      <c r="H468" s="4" t="inlineStr">
        <is>
          <t>USNYC</t>
        </is>
      </c>
      <c r="I468" s="4" t="inlineStr">
        <is>
          <t>USNYC</t>
        </is>
      </c>
      <c r="J468" s="4" t="n"/>
      <c r="K468" s="8" t="n"/>
      <c r="L468" s="4" t="inlineStr">
        <is>
          <t>SEAL REEFER</t>
        </is>
      </c>
      <c r="M468" s="4" t="inlineStr">
        <is>
          <t>SEAL REEFER</t>
        </is>
      </c>
      <c r="N468" s="4" t="n"/>
      <c r="O468" s="4" t="n"/>
      <c r="P468" s="4" t="inlineStr">
        <is>
          <t>SEAL REEFER</t>
        </is>
      </c>
      <c r="Q468" s="4" t="inlineStr">
        <is>
          <t>SEAL REEFER</t>
        </is>
      </c>
      <c r="R468" s="4" t="n"/>
      <c r="S468" s="4" t="n"/>
      <c r="T468" s="4" t="inlineStr">
        <is>
          <t>SEAL REEFER</t>
        </is>
      </c>
      <c r="U468" s="4" t="inlineStr">
        <is>
          <t>Av. das Araucarias, 5266 - Chapada, Araucaria - PR, 83702-</t>
        </is>
      </c>
      <c r="V468" s="4" t="n">
        <v>21</v>
      </c>
      <c r="W468" s="4" t="n">
        <v>0</v>
      </c>
      <c r="X468" s="4" t="n">
        <v>400680</v>
      </c>
      <c r="Y468" s="4" t="n">
        <v>378000</v>
      </c>
      <c r="Z468" s="4" t="n">
        <v>378</v>
      </c>
      <c r="AA468" s="4" t="n"/>
      <c r="AB468" s="4" t="inlineStr">
        <is>
          <t>SAID TO CONTAIN / WEIGH &amp; MEASURE</t>
        </is>
      </c>
      <c r="AC468" s="4" t="inlineStr">
        <is>
          <t>ANON0000000</t>
        </is>
      </c>
      <c r="AD468" s="4" t="inlineStr">
        <is>
          <t>HC40</t>
        </is>
      </c>
      <c r="AE468" s="4" t="n">
        <v>30270649</v>
      </c>
      <c r="AF468" s="4" t="n"/>
      <c r="AG468" s="4" t="inlineStr">
        <is>
          <t>FCL/FCL</t>
        </is>
      </c>
      <c r="AH468" s="4" t="inlineStr">
        <is>
          <t>GENERAL COMMODITY</t>
        </is>
      </c>
      <c r="AI468" s="4" t="n">
        <v>28620</v>
      </c>
      <c r="AJ468" s="4" t="n">
        <v>27</v>
      </c>
      <c r="AK468" s="4" t="inlineStr">
        <is>
          <t>BLO</t>
        </is>
      </c>
      <c r="AL468" s="4" t="n"/>
      <c r="AM468" s="4" t="n"/>
      <c r="AN468" s="4" t="n"/>
      <c r="AO468" s="4" t="n"/>
      <c r="AP468" s="4" t="n"/>
      <c r="AQ468" s="4" t="n"/>
      <c r="AR468" s="4" t="n">
        <v>3700</v>
      </c>
      <c r="AS468" s="4" t="n">
        <v>27000</v>
      </c>
      <c r="AT468" s="12" t="n"/>
    </row>
    <row r="469">
      <c r="A469" s="11" t="n">
        <v>468</v>
      </c>
      <c r="B469" s="4" t="inlineStr">
        <is>
          <t>MERCURY / VOYAGE 1</t>
        </is>
      </c>
      <c r="C469" s="4" t="inlineStr">
        <is>
          <t>REF000000</t>
        </is>
      </c>
      <c r="D469" s="7" t="n">
        <v>46095</v>
      </c>
      <c r="E469" s="4" t="n">
        <v>46104</v>
      </c>
      <c r="F469" s="4" t="inlineStr">
        <is>
          <t>RULED</t>
        </is>
      </c>
      <c r="G469" s="4" t="inlineStr">
        <is>
          <t>RULED</t>
        </is>
      </c>
      <c r="H469" s="4" t="inlineStr">
        <is>
          <t>USNYC</t>
        </is>
      </c>
      <c r="I469" s="4" t="inlineStr">
        <is>
          <t>USNYC</t>
        </is>
      </c>
      <c r="J469" s="4" t="n"/>
      <c r="K469" s="8" t="n"/>
      <c r="L469" s="4" t="inlineStr">
        <is>
          <t>SHARK REEFER</t>
        </is>
      </c>
      <c r="M469" s="4" t="inlineStr">
        <is>
          <t>SHARK REEFER</t>
        </is>
      </c>
      <c r="N469" s="4" t="n"/>
      <c r="O469" s="4" t="n"/>
      <c r="P469" s="4" t="inlineStr">
        <is>
          <t>SHARK REEFER</t>
        </is>
      </c>
      <c r="Q469" s="4" t="inlineStr">
        <is>
          <t>SHARK REEFER</t>
        </is>
      </c>
      <c r="R469" s="4" t="n"/>
      <c r="S469" s="4" t="n"/>
      <c r="T469" s="4" t="inlineStr">
        <is>
          <t>SHARK REEFER</t>
        </is>
      </c>
      <c r="U469" s="4" t="inlineStr">
        <is>
          <t>Av. das Araucarias, 5266 - Chapada, Araucaria - PR, 83702-</t>
        </is>
      </c>
      <c r="V469" s="4" t="n">
        <v>21</v>
      </c>
      <c r="W469" s="4" t="n">
        <v>0</v>
      </c>
      <c r="X469" s="4" t="n">
        <v>400680</v>
      </c>
      <c r="Y469" s="4" t="n">
        <v>378000</v>
      </c>
      <c r="Z469" s="4" t="n">
        <v>378</v>
      </c>
      <c r="AA469" s="4" t="n"/>
      <c r="AB469" s="4" t="inlineStr">
        <is>
          <t>SAID TO CONTAIN / WEIGH &amp; MEASURE</t>
        </is>
      </c>
      <c r="AC469" s="4" t="inlineStr">
        <is>
          <t>ANON0000000</t>
        </is>
      </c>
      <c r="AD469" s="4" t="inlineStr">
        <is>
          <t>HC40</t>
        </is>
      </c>
      <c r="AE469" s="4" t="n">
        <v>30270628</v>
      </c>
      <c r="AF469" s="4" t="n"/>
      <c r="AG469" s="4" t="inlineStr">
        <is>
          <t>FCL/FCL</t>
        </is>
      </c>
      <c r="AH469" s="4" t="inlineStr">
        <is>
          <t>GENERAL COMMODITY</t>
        </is>
      </c>
      <c r="AI469" s="4" t="n">
        <v>28620</v>
      </c>
      <c r="AJ469" s="4" t="n">
        <v>27</v>
      </c>
      <c r="AK469" s="4" t="inlineStr">
        <is>
          <t>BLO</t>
        </is>
      </c>
      <c r="AL469" s="4" t="n"/>
      <c r="AM469" s="4" t="n"/>
      <c r="AN469" s="4" t="n"/>
      <c r="AO469" s="4" t="n"/>
      <c r="AP469" s="4" t="n"/>
      <c r="AQ469" s="4" t="n"/>
      <c r="AR469" s="4" t="n">
        <v>3700</v>
      </c>
      <c r="AS469" s="4" t="n">
        <v>27000</v>
      </c>
      <c r="AT469" s="12" t="n"/>
    </row>
    <row r="470">
      <c r="A470" s="11" t="n">
        <v>469</v>
      </c>
      <c r="B470" s="4" t="inlineStr">
        <is>
          <t>MERCURY / VOYAGE 1</t>
        </is>
      </c>
      <c r="C470" s="4" t="inlineStr">
        <is>
          <t>REF000000</t>
        </is>
      </c>
      <c r="D470" s="7" t="n">
        <v>46095</v>
      </c>
      <c r="E470" s="4" t="n">
        <v>46111</v>
      </c>
      <c r="F470" s="4" t="inlineStr">
        <is>
          <t>RULED</t>
        </is>
      </c>
      <c r="G470" s="4" t="inlineStr">
        <is>
          <t>RULED</t>
        </is>
      </c>
      <c r="H470" s="4" t="inlineStr">
        <is>
          <t>USNFK</t>
        </is>
      </c>
      <c r="I470" s="4" t="inlineStr">
        <is>
          <t>USNFK</t>
        </is>
      </c>
      <c r="J470" s="4" t="n"/>
      <c r="K470" s="8" t="n"/>
      <c r="L470" s="4" t="inlineStr">
        <is>
          <t>BISON DRY</t>
        </is>
      </c>
      <c r="M470" s="4" t="inlineStr">
        <is>
          <t>BISON DRY</t>
        </is>
      </c>
      <c r="N470" s="4" t="n"/>
      <c r="O470" s="4" t="n"/>
      <c r="P470" s="4" t="inlineStr">
        <is>
          <t>BISON DRY</t>
        </is>
      </c>
      <c r="Q470" s="4" t="inlineStr">
        <is>
          <t>BISON DRY</t>
        </is>
      </c>
      <c r="R470" s="4" t="n"/>
      <c r="S470" s="4" t="n"/>
      <c r="T470" s="4" t="inlineStr">
        <is>
          <t>BISON DRY</t>
        </is>
      </c>
      <c r="U470" s="4" t="inlineStr">
        <is>
          <t>195112 ST PETERSBURG MALOOKHTINSKIY PR. 64 LIT B AP 24H</t>
        </is>
      </c>
      <c r="V470" s="4" t="n"/>
      <c r="W470" s="4" t="n"/>
      <c r="X470" s="4" t="n">
        <v>22556</v>
      </c>
      <c r="Y470" s="4" t="n">
        <v>22000</v>
      </c>
      <c r="Z470" s="4" t="n">
        <v>22</v>
      </c>
      <c r="AA470" s="4" t="n"/>
      <c r="AB470" s="4" t="inlineStr">
        <is>
          <t>SAID TO CONTAIN / WEIGHT &amp; MEASURE</t>
        </is>
      </c>
      <c r="AC470" s="4" t="inlineStr">
        <is>
          <t>ANON0000000</t>
        </is>
      </c>
      <c r="AD470" s="4" t="inlineStr">
        <is>
          <t>HC40</t>
        </is>
      </c>
      <c r="AE470" s="4" t="n">
        <v>30383750</v>
      </c>
      <c r="AF470" s="4" t="n"/>
      <c r="AG470" s="4" t="inlineStr">
        <is>
          <t>FCL/FCL</t>
        </is>
      </c>
      <c r="AH470" s="4" t="inlineStr">
        <is>
          <t>GENERAL COMMODITY</t>
        </is>
      </c>
      <c r="AI470" s="4" t="n">
        <v>22556</v>
      </c>
      <c r="AJ470" s="4" t="n">
        <v>22</v>
      </c>
      <c r="AK470" s="4" t="inlineStr">
        <is>
          <t>PKS</t>
        </is>
      </c>
      <c r="AL470" s="4" t="n"/>
      <c r="AM470" s="4" t="n"/>
      <c r="AN470" s="4" t="n"/>
      <c r="AO470" s="4" t="n"/>
      <c r="AP470" s="4" t="n"/>
      <c r="AQ470" s="4" t="n"/>
      <c r="AR470" s="4" t="n">
        <v>3700</v>
      </c>
      <c r="AS470" s="4" t="n">
        <v>27000</v>
      </c>
      <c r="AT470" s="12" t="inlineStr">
        <is>
          <t>Y</t>
        </is>
      </c>
    </row>
    <row r="471">
      <c r="A471" s="11" t="n">
        <v>470</v>
      </c>
      <c r="B471" s="4" t="inlineStr">
        <is>
          <t>MERCURY / VOYAGE 1</t>
        </is>
      </c>
      <c r="C471" s="4" t="inlineStr">
        <is>
          <t>REF000000</t>
        </is>
      </c>
      <c r="D471" s="7" t="n">
        <v>46095</v>
      </c>
      <c r="E471" s="4" t="n">
        <v>46105</v>
      </c>
      <c r="F471" s="4" t="inlineStr">
        <is>
          <t>RULED</t>
        </is>
      </c>
      <c r="G471" s="4" t="inlineStr">
        <is>
          <t>RULED</t>
        </is>
      </c>
      <c r="H471" s="4" t="inlineStr">
        <is>
          <t>USHOU</t>
        </is>
      </c>
      <c r="I471" s="4" t="inlineStr">
        <is>
          <t>USHOU</t>
        </is>
      </c>
      <c r="J471" s="4" t="n"/>
      <c r="K471" s="8" t="n"/>
      <c r="L471" s="4" t="inlineStr">
        <is>
          <t>EAGLE DRY</t>
        </is>
      </c>
      <c r="M471" s="4" t="inlineStr">
        <is>
          <t>EAGLE DRY</t>
        </is>
      </c>
      <c r="N471" s="4" t="n"/>
      <c r="O471" s="4" t="n"/>
      <c r="P471" s="4" t="inlineStr">
        <is>
          <t>EAGLE DRY</t>
        </is>
      </c>
      <c r="Q471" s="4" t="inlineStr">
        <is>
          <t>EAGLE DRY</t>
        </is>
      </c>
      <c r="R471" s="4" t="n"/>
      <c r="S471" s="4" t="n"/>
      <c r="T471" s="4" t="inlineStr">
        <is>
          <t>EAGLE DRY</t>
        </is>
      </c>
      <c r="U471" s="4" t="inlineStr">
        <is>
          <t>RUA BLUMENAU, N 2020, SALA 1 E, BARRA DO RIO</t>
        </is>
      </c>
      <c r="V471" s="4" t="n">
        <v>14</v>
      </c>
      <c r="W471" s="4" t="n">
        <v>0</v>
      </c>
      <c r="X471" s="4" t="n">
        <v>43956</v>
      </c>
      <c r="Y471" s="4" t="n">
        <v>42500</v>
      </c>
      <c r="Z471" s="4" t="n">
        <v>40</v>
      </c>
      <c r="AA471" s="4" t="n"/>
      <c r="AB471" s="4" t="inlineStr">
        <is>
          <t>SAID TO CONTAIN / WEIGH &amp; MEASURE</t>
        </is>
      </c>
      <c r="AC471" s="4" t="inlineStr">
        <is>
          <t>ANON0000000</t>
        </is>
      </c>
      <c r="AD471" s="4" t="inlineStr">
        <is>
          <t>DC20</t>
        </is>
      </c>
      <c r="AE471" s="4" t="n">
        <v>1253852</v>
      </c>
      <c r="AF471" s="4" t="n"/>
      <c r="AG471" s="4" t="inlineStr">
        <is>
          <t>FCL/FCL</t>
        </is>
      </c>
      <c r="AH471" s="4" t="inlineStr">
        <is>
          <t>HEXAMETHYLENETETRAMINE</t>
        </is>
      </c>
      <c r="AI471" s="4" t="n">
        <v>21978</v>
      </c>
      <c r="AJ471" s="4" t="n">
        <v>20</v>
      </c>
      <c r="AK471" s="4" t="inlineStr">
        <is>
          <t>PLT</t>
        </is>
      </c>
      <c r="AL471" s="4" t="inlineStr">
        <is>
          <t>4.1</t>
        </is>
      </c>
      <c r="AM471" s="4" t="n">
        <v>1328</v>
      </c>
      <c r="AN471" s="4" t="n"/>
      <c r="AO471" s="4" t="n"/>
      <c r="AP471" s="4" t="n"/>
      <c r="AQ471" s="4" t="n"/>
      <c r="AR471" s="4" t="n">
        <v>2100</v>
      </c>
      <c r="AS471" s="4" t="n">
        <v>27000</v>
      </c>
      <c r="AT471" s="12" t="n"/>
    </row>
    <row r="472">
      <c r="A472" s="11" t="n">
        <v>471</v>
      </c>
      <c r="B472" s="4" t="inlineStr">
        <is>
          <t>MERCURY / VOYAGE 1</t>
        </is>
      </c>
      <c r="C472" s="4" t="inlineStr">
        <is>
          <t>REF000000</t>
        </is>
      </c>
      <c r="D472" s="7" t="n">
        <v>46095</v>
      </c>
      <c r="E472" s="4" t="n">
        <v>46105</v>
      </c>
      <c r="F472" s="4" t="inlineStr">
        <is>
          <t>RULED</t>
        </is>
      </c>
      <c r="G472" s="4" t="inlineStr">
        <is>
          <t>RULED</t>
        </is>
      </c>
      <c r="H472" s="4" t="inlineStr">
        <is>
          <t>USHOU</t>
        </is>
      </c>
      <c r="I472" s="4" t="inlineStr">
        <is>
          <t>USHOU</t>
        </is>
      </c>
      <c r="J472" s="4" t="n"/>
      <c r="K472" s="8" t="n"/>
      <c r="L472" s="4" t="inlineStr">
        <is>
          <t>COYOTE DRY</t>
        </is>
      </c>
      <c r="M472" s="4" t="inlineStr">
        <is>
          <t>COYOTE DRY</t>
        </is>
      </c>
      <c r="N472" s="4" t="n"/>
      <c r="O472" s="4" t="n"/>
      <c r="P472" s="4" t="inlineStr">
        <is>
          <t>COYOTE DRY</t>
        </is>
      </c>
      <c r="Q472" s="4" t="inlineStr">
        <is>
          <t>COYOTE DRY</t>
        </is>
      </c>
      <c r="R472" s="4" t="n"/>
      <c r="S472" s="4" t="n"/>
      <c r="T472" s="4" t="inlineStr">
        <is>
          <t>COYOTE DRY</t>
        </is>
      </c>
      <c r="U472" s="4" t="inlineStr">
        <is>
          <t>RUA BLUMENAU, N 2020, SALA 1 E, BARRA DO RIO</t>
        </is>
      </c>
      <c r="V472" s="4" t="n">
        <v>14</v>
      </c>
      <c r="W472" s="4" t="n">
        <v>0</v>
      </c>
      <c r="X472" s="4" t="n">
        <v>43956</v>
      </c>
      <c r="Y472" s="4" t="n">
        <v>42500</v>
      </c>
      <c r="Z472" s="4" t="n">
        <v>40</v>
      </c>
      <c r="AA472" s="4" t="n"/>
      <c r="AB472" s="4" t="inlineStr">
        <is>
          <t>SAID TO CONTAIN / WEIGH &amp; MEASURE</t>
        </is>
      </c>
      <c r="AC472" s="4" t="inlineStr">
        <is>
          <t>ANON0000000</t>
        </is>
      </c>
      <c r="AD472" s="4" t="inlineStr">
        <is>
          <t>DC20</t>
        </is>
      </c>
      <c r="AE472" s="4" t="n">
        <v>1253853</v>
      </c>
      <c r="AF472" s="4" t="n"/>
      <c r="AG472" s="4" t="inlineStr">
        <is>
          <t>FCL/FCL</t>
        </is>
      </c>
      <c r="AH472" s="4" t="inlineStr">
        <is>
          <t>HEXAMETHYLENETETRAMINE</t>
        </is>
      </c>
      <c r="AI472" s="4" t="n">
        <v>21978</v>
      </c>
      <c r="AJ472" s="4" t="n">
        <v>20</v>
      </c>
      <c r="AK472" s="4" t="inlineStr">
        <is>
          <t>PLT</t>
        </is>
      </c>
      <c r="AL472" s="4" t="inlineStr">
        <is>
          <t>4.1</t>
        </is>
      </c>
      <c r="AM472" s="4" t="n"/>
      <c r="AN472" s="4" t="n"/>
      <c r="AO472" s="4" t="n"/>
      <c r="AP472" s="4" t="n"/>
      <c r="AQ472" s="4" t="n"/>
      <c r="AR472" s="4" t="n">
        <v>2100</v>
      </c>
      <c r="AS472" s="4" t="n">
        <v>27000</v>
      </c>
      <c r="AT472" s="12" t="n"/>
    </row>
    <row r="473">
      <c r="A473" s="11" t="n">
        <v>472</v>
      </c>
      <c r="B473" s="4" t="inlineStr">
        <is>
          <t>MERCURY / VOYAGE 1</t>
        </is>
      </c>
      <c r="C473" s="4" t="inlineStr">
        <is>
          <t>REF000000</t>
        </is>
      </c>
      <c r="D473" s="7" t="n">
        <v>46095</v>
      </c>
      <c r="E473" s="4" t="n">
        <v>46111</v>
      </c>
      <c r="F473" s="4" t="inlineStr">
        <is>
          <t>RULED</t>
        </is>
      </c>
      <c r="G473" s="4" t="inlineStr">
        <is>
          <t>RULED</t>
        </is>
      </c>
      <c r="H473" s="4" t="inlineStr">
        <is>
          <t>USNFK</t>
        </is>
      </c>
      <c r="I473" s="4" t="inlineStr">
        <is>
          <t>USSEA</t>
        </is>
      </c>
      <c r="J473" s="4" t="n"/>
      <c r="K473" s="8" t="n"/>
      <c r="L473" s="4" t="inlineStr">
        <is>
          <t>ORCA REEFER</t>
        </is>
      </c>
      <c r="M473" s="4" t="inlineStr">
        <is>
          <t>ORCA REEFER</t>
        </is>
      </c>
      <c r="N473" s="4" t="n"/>
      <c r="O473" s="4" t="n"/>
      <c r="P473" s="4" t="inlineStr">
        <is>
          <t>ORCA REEFER</t>
        </is>
      </c>
      <c r="Q473" s="4" t="inlineStr">
        <is>
          <t>ORCA REEFER</t>
        </is>
      </c>
      <c r="R473" s="4" t="n"/>
      <c r="S473" s="4" t="n"/>
      <c r="T473" s="4" t="inlineStr">
        <is>
          <t>ORCA REEFER</t>
        </is>
      </c>
      <c r="U473" s="4" t="inlineStr">
        <is>
          <t>RIOJA 1275, PISO 1, OFICINA 1 ROSARIO, SANTA FE, CANADA CUIT NUMBER: 30709107123 ATT: JUAN MANUEL ORTIZ E-MAIL: Fabricionettto@gmail.com</t>
        </is>
      </c>
      <c r="V473" s="4" t="n">
        <v>21</v>
      </c>
      <c r="W473" s="4" t="n">
        <v>0</v>
      </c>
      <c r="X473" s="4" t="n">
        <v>283500</v>
      </c>
      <c r="Y473" s="4" t="n">
        <v>270000</v>
      </c>
      <c r="Z473" s="4" t="n">
        <v>270</v>
      </c>
      <c r="AA473" s="4" t="n"/>
      <c r="AB473" s="4" t="inlineStr">
        <is>
          <t>SAID TO CONTAIN / WEIGH &amp; MEASURE 10 X 40 NOR CONTAINERS SAID TO CONTAIN POLYMER MODIFIED BITUMEN PG 76E -22 HS CODE 271320 NET WEIGHT: 270,00 MTS GROSS WEIGHT: 283,95 MTS</t>
        </is>
      </c>
      <c r="AC473" s="4" t="inlineStr">
        <is>
          <t>ANON0000000</t>
        </is>
      </c>
      <c r="AD473" s="4" t="inlineStr">
        <is>
          <t>RH40</t>
        </is>
      </c>
      <c r="AE473" s="4" t="n">
        <v>1229179</v>
      </c>
      <c r="AF473" s="4" t="n"/>
      <c r="AG473" s="4" t="inlineStr">
        <is>
          <t>FCL/FCL</t>
        </is>
      </c>
      <c r="AH473" s="4" t="inlineStr">
        <is>
          <t>GENERAL COMMODITY</t>
        </is>
      </c>
      <c r="AI473" s="4" t="n">
        <v>28350</v>
      </c>
      <c r="AJ473" s="4" t="n">
        <v>27</v>
      </c>
      <c r="AK473" s="4" t="inlineStr">
        <is>
          <t>BLO</t>
        </is>
      </c>
      <c r="AL473" s="4" t="n"/>
      <c r="AM473" s="4" t="n"/>
      <c r="AN473" s="4" t="n"/>
      <c r="AO473" s="4" t="n"/>
      <c r="AP473" s="4" t="n"/>
      <c r="AQ473" s="4" t="n"/>
      <c r="AR473" s="4" t="n">
        <v>4630</v>
      </c>
      <c r="AS473" s="4" t="n">
        <v>27000</v>
      </c>
      <c r="AT473" s="12" t="n"/>
    </row>
    <row r="474">
      <c r="A474" s="11" t="n">
        <v>473</v>
      </c>
      <c r="B474" s="4" t="inlineStr">
        <is>
          <t>MERCURY / VOYAGE 1</t>
        </is>
      </c>
      <c r="C474" s="4" t="inlineStr">
        <is>
          <t>REF000000</t>
        </is>
      </c>
      <c r="D474" s="7" t="n">
        <v>46095</v>
      </c>
      <c r="E474" s="4" t="n">
        <v>46111</v>
      </c>
      <c r="F474" s="4" t="inlineStr">
        <is>
          <t>RULED</t>
        </is>
      </c>
      <c r="G474" s="4" t="inlineStr">
        <is>
          <t>RULED</t>
        </is>
      </c>
      <c r="H474" s="4" t="inlineStr">
        <is>
          <t>USNFK</t>
        </is>
      </c>
      <c r="I474" s="4" t="inlineStr">
        <is>
          <t>USSEA</t>
        </is>
      </c>
      <c r="J474" s="4" t="n"/>
      <c r="K474" s="8" t="n"/>
      <c r="L474" s="4" t="inlineStr">
        <is>
          <t>WHALE REEFER</t>
        </is>
      </c>
      <c r="M474" s="4" t="inlineStr">
        <is>
          <t>WHALE REEFER</t>
        </is>
      </c>
      <c r="N474" s="4" t="n"/>
      <c r="O474" s="4" t="n"/>
      <c r="P474" s="4" t="inlineStr">
        <is>
          <t>WHALE REEFER</t>
        </is>
      </c>
      <c r="Q474" s="4" t="inlineStr">
        <is>
          <t>WHALE REEFER</t>
        </is>
      </c>
      <c r="R474" s="4" t="n"/>
      <c r="S474" s="4" t="n"/>
      <c r="T474" s="4" t="inlineStr">
        <is>
          <t>WHALE REEFER</t>
        </is>
      </c>
      <c r="U474" s="4" t="inlineStr">
        <is>
          <t>RIOJA 1275, PISO 1, OFICINA 1 ROSARIO, SANTA FE, CANADA CUIT NUMBER: 30709107123 ATT: JUAN MANUEL ORTIZ E-MAIL: Fabricionettto@gmail.com</t>
        </is>
      </c>
      <c r="V474" s="4" t="n">
        <v>21</v>
      </c>
      <c r="W474" s="4" t="n">
        <v>0</v>
      </c>
      <c r="X474" s="4" t="n">
        <v>283500</v>
      </c>
      <c r="Y474" s="4" t="n">
        <v>270000</v>
      </c>
      <c r="Z474" s="4" t="n">
        <v>270</v>
      </c>
      <c r="AA474" s="4" t="n"/>
      <c r="AB474" s="4" t="inlineStr">
        <is>
          <t>SAID TO CONTAIN / WEIGH &amp; MEASURE 10 X 40 NOR CONTAINERS SAID TO CONTAIN POLYMER MODIFIED BITUMEN PG 76E -22 HS CODE 271320 NET WEIGHT: 270,00 MTS GROSS WEIGHT: 283,95 MTS</t>
        </is>
      </c>
      <c r="AC474" s="4" t="inlineStr">
        <is>
          <t>ANON0000000</t>
        </is>
      </c>
      <c r="AD474" s="4" t="inlineStr">
        <is>
          <t>RH40</t>
        </is>
      </c>
      <c r="AE474" s="4" t="n">
        <v>1229180</v>
      </c>
      <c r="AF474" s="4" t="n"/>
      <c r="AG474" s="4" t="inlineStr">
        <is>
          <t>FCL/FCL</t>
        </is>
      </c>
      <c r="AH474" s="4" t="inlineStr">
        <is>
          <t>GENERAL COMMODITY</t>
        </is>
      </c>
      <c r="AI474" s="4" t="n">
        <v>28350</v>
      </c>
      <c r="AJ474" s="4" t="n">
        <v>27</v>
      </c>
      <c r="AK474" s="4" t="inlineStr">
        <is>
          <t>BLO</t>
        </is>
      </c>
      <c r="AL474" s="4" t="n"/>
      <c r="AM474" s="4" t="n"/>
      <c r="AN474" s="4" t="n"/>
      <c r="AO474" s="4" t="n"/>
      <c r="AP474" s="4" t="n"/>
      <c r="AQ474" s="4" t="n"/>
      <c r="AR474" s="4" t="n">
        <v>4580</v>
      </c>
      <c r="AS474" s="4" t="n">
        <v>27000</v>
      </c>
      <c r="AT474" s="12" t="n"/>
    </row>
    <row r="475">
      <c r="A475" s="11" t="n">
        <v>474</v>
      </c>
      <c r="B475" s="4" t="inlineStr">
        <is>
          <t>MERCURY / VOYAGE 1</t>
        </is>
      </c>
      <c r="C475" s="4" t="inlineStr">
        <is>
          <t>REF000000</t>
        </is>
      </c>
      <c r="D475" s="7" t="n">
        <v>46095</v>
      </c>
      <c r="E475" s="4" t="n">
        <v>46111</v>
      </c>
      <c r="F475" s="4" t="inlineStr">
        <is>
          <t>RULED</t>
        </is>
      </c>
      <c r="G475" s="4" t="inlineStr">
        <is>
          <t>RULED</t>
        </is>
      </c>
      <c r="H475" s="4" t="inlineStr">
        <is>
          <t>USNFK</t>
        </is>
      </c>
      <c r="I475" s="4" t="inlineStr">
        <is>
          <t>USSEA</t>
        </is>
      </c>
      <c r="J475" s="4" t="n"/>
      <c r="K475" s="8" t="n"/>
      <c r="L475" s="4" t="inlineStr">
        <is>
          <t>SEAL REEFER</t>
        </is>
      </c>
      <c r="M475" s="4" t="inlineStr">
        <is>
          <t>SEAL REEFER</t>
        </is>
      </c>
      <c r="N475" s="4" t="n"/>
      <c r="O475" s="4" t="n"/>
      <c r="P475" s="4" t="inlineStr">
        <is>
          <t>SEAL REEFER</t>
        </is>
      </c>
      <c r="Q475" s="4" t="inlineStr">
        <is>
          <t>SEAL REEFER</t>
        </is>
      </c>
      <c r="R475" s="4" t="n"/>
      <c r="S475" s="4" t="n"/>
      <c r="T475" s="4" t="inlineStr">
        <is>
          <t>SEAL REEFER</t>
        </is>
      </c>
      <c r="U475" s="4" t="inlineStr">
        <is>
          <t>RIOJA 1275, PISO 1, OFICINA 1 ROSARIO, SANTA FE, CANADA CUIT NUMBER: 30709107123 ATT: JUAN MANUEL ORTIZ E-MAIL: Fabricionettto@gmail.com</t>
        </is>
      </c>
      <c r="V475" s="4" t="n">
        <v>21</v>
      </c>
      <c r="W475" s="4" t="n">
        <v>0</v>
      </c>
      <c r="X475" s="4" t="n">
        <v>283500</v>
      </c>
      <c r="Y475" s="4" t="n">
        <v>270000</v>
      </c>
      <c r="Z475" s="4" t="n">
        <v>270</v>
      </c>
      <c r="AA475" s="4" t="n"/>
      <c r="AB475" s="4" t="inlineStr">
        <is>
          <t>SAID TO CONTAIN / WEIGH &amp; MEASURE 10 X 40 NOR CONTAINERS SAID TO CONTAIN POLYMER MODIFIED BITUMEN PG 76E -22 HS CODE 271320 NET WEIGHT: 270,00 MTS GROSS WEIGHT: 283,95 MTS</t>
        </is>
      </c>
      <c r="AC475" s="4" t="inlineStr">
        <is>
          <t>ANON0000000</t>
        </is>
      </c>
      <c r="AD475" s="4" t="inlineStr">
        <is>
          <t>RH40</t>
        </is>
      </c>
      <c r="AE475" s="4" t="n">
        <v>1229177</v>
      </c>
      <c r="AF475" s="4" t="n"/>
      <c r="AG475" s="4" t="inlineStr">
        <is>
          <t>FCL/FCL</t>
        </is>
      </c>
      <c r="AH475" s="4" t="inlineStr">
        <is>
          <t>GENERAL COMMODITY</t>
        </is>
      </c>
      <c r="AI475" s="4" t="n">
        <v>28350</v>
      </c>
      <c r="AJ475" s="4" t="n">
        <v>27</v>
      </c>
      <c r="AK475" s="4" t="inlineStr">
        <is>
          <t>BLO</t>
        </is>
      </c>
      <c r="AL475" s="4" t="n"/>
      <c r="AM475" s="4" t="n"/>
      <c r="AN475" s="4" t="n"/>
      <c r="AO475" s="4" t="n"/>
      <c r="AP475" s="4" t="n"/>
      <c r="AQ475" s="4" t="n"/>
      <c r="AR475" s="4" t="n">
        <v>4630</v>
      </c>
      <c r="AS475" s="4" t="n">
        <v>27000</v>
      </c>
      <c r="AT475" s="12" t="n"/>
    </row>
    <row r="476">
      <c r="A476" s="11" t="n">
        <v>475</v>
      </c>
      <c r="B476" s="4" t="inlineStr">
        <is>
          <t>MERCURY / VOYAGE 1</t>
        </is>
      </c>
      <c r="C476" s="4" t="inlineStr">
        <is>
          <t>REF000000</t>
        </is>
      </c>
      <c r="D476" s="7" t="n">
        <v>46095</v>
      </c>
      <c r="E476" s="4" t="n">
        <v>46111</v>
      </c>
      <c r="F476" s="4" t="inlineStr">
        <is>
          <t>RULED</t>
        </is>
      </c>
      <c r="G476" s="4" t="inlineStr">
        <is>
          <t>RULED</t>
        </is>
      </c>
      <c r="H476" s="4" t="inlineStr">
        <is>
          <t>USNFK</t>
        </is>
      </c>
      <c r="I476" s="4" t="inlineStr">
        <is>
          <t>USSEA</t>
        </is>
      </c>
      <c r="J476" s="4" t="n"/>
      <c r="K476" s="8" t="n"/>
      <c r="L476" s="4" t="inlineStr">
        <is>
          <t>SHARK REEFER</t>
        </is>
      </c>
      <c r="M476" s="4" t="inlineStr">
        <is>
          <t>SHARK REEFER</t>
        </is>
      </c>
      <c r="N476" s="4" t="n"/>
      <c r="O476" s="4" t="n"/>
      <c r="P476" s="4" t="inlineStr">
        <is>
          <t>SHARK REEFER</t>
        </is>
      </c>
      <c r="Q476" s="4" t="inlineStr">
        <is>
          <t>SHARK REEFER</t>
        </is>
      </c>
      <c r="R476" s="4" t="n"/>
      <c r="S476" s="4" t="n"/>
      <c r="T476" s="4" t="inlineStr">
        <is>
          <t>SHARK REEFER</t>
        </is>
      </c>
      <c r="U476" s="4" t="inlineStr">
        <is>
          <t>RIOJA 1275, PISO 1, OFICINA 1 ROSARIO, SANTA FE, CANADA CUIT NUMBER: 30709107123 ATT: JUAN MANUEL ORTIZ E-MAIL: Fabricionettto@gmail.com</t>
        </is>
      </c>
      <c r="V476" s="4" t="n">
        <v>21</v>
      </c>
      <c r="W476" s="4" t="n">
        <v>0</v>
      </c>
      <c r="X476" s="4" t="n">
        <v>283500</v>
      </c>
      <c r="Y476" s="4" t="n">
        <v>270000</v>
      </c>
      <c r="Z476" s="4" t="n">
        <v>270</v>
      </c>
      <c r="AA476" s="4" t="n"/>
      <c r="AB476" s="4" t="inlineStr">
        <is>
          <t>SAID TO CONTAIN / WEIGH &amp; MEASURE 10 X 40 NOR CONTAINERS SAID TO CONTAIN POLYMER MODIFIED BITUMEN PG 76E -22 HS CODE 271320 NET WEIGHT: 270,00 MTS GROSS WEIGHT: 283,95 MTS</t>
        </is>
      </c>
      <c r="AC476" s="4" t="inlineStr">
        <is>
          <t>ANON0000000</t>
        </is>
      </c>
      <c r="AD476" s="4" t="inlineStr">
        <is>
          <t>RH40</t>
        </is>
      </c>
      <c r="AE476" s="4" t="n">
        <v>1229522</v>
      </c>
      <c r="AF476" s="4" t="n"/>
      <c r="AG476" s="4" t="inlineStr">
        <is>
          <t>FCL/FCL</t>
        </is>
      </c>
      <c r="AH476" s="4" t="inlineStr">
        <is>
          <t>GENERAL COMMODITY</t>
        </is>
      </c>
      <c r="AI476" s="4" t="n">
        <v>28350</v>
      </c>
      <c r="AJ476" s="4" t="n">
        <v>27</v>
      </c>
      <c r="AK476" s="4" t="inlineStr">
        <is>
          <t>BLO</t>
        </is>
      </c>
      <c r="AL476" s="4" t="n"/>
      <c r="AM476" s="4" t="n"/>
      <c r="AN476" s="4" t="n"/>
      <c r="AO476" s="4" t="n"/>
      <c r="AP476" s="4" t="n"/>
      <c r="AQ476" s="4" t="n"/>
      <c r="AR476" s="4" t="n">
        <v>4640</v>
      </c>
      <c r="AS476" s="4" t="n">
        <v>27000</v>
      </c>
      <c r="AT476" s="12" t="n"/>
    </row>
    <row r="477">
      <c r="A477" s="11" t="n">
        <v>476</v>
      </c>
      <c r="B477" s="4" t="inlineStr">
        <is>
          <t>MERCURY / VOYAGE 1</t>
        </is>
      </c>
      <c r="C477" s="4" t="inlineStr">
        <is>
          <t>REF000000</t>
        </is>
      </c>
      <c r="D477" s="7" t="n">
        <v>46095</v>
      </c>
      <c r="E477" s="4" t="n">
        <v>46111</v>
      </c>
      <c r="F477" s="4" t="inlineStr">
        <is>
          <t>RULED</t>
        </is>
      </c>
      <c r="G477" s="4" t="inlineStr">
        <is>
          <t>RULED</t>
        </is>
      </c>
      <c r="H477" s="4" t="inlineStr">
        <is>
          <t>USNFK</t>
        </is>
      </c>
      <c r="I477" s="4" t="inlineStr">
        <is>
          <t>USSEA</t>
        </is>
      </c>
      <c r="J477" s="4" t="n"/>
      <c r="K477" s="8" t="n"/>
      <c r="L477" s="4" t="inlineStr">
        <is>
          <t>DOLPHIN REEFER</t>
        </is>
      </c>
      <c r="M477" s="4" t="inlineStr">
        <is>
          <t>DOLPHIN REEFER</t>
        </is>
      </c>
      <c r="N477" s="4" t="n"/>
      <c r="O477" s="4" t="n"/>
      <c r="P477" s="4" t="inlineStr">
        <is>
          <t>DOLPHIN REEFER</t>
        </is>
      </c>
      <c r="Q477" s="4" t="inlineStr">
        <is>
          <t>DOLPHIN REEFER</t>
        </is>
      </c>
      <c r="R477" s="4" t="n"/>
      <c r="S477" s="4" t="n"/>
      <c r="T477" s="4" t="inlineStr">
        <is>
          <t>DOLPHIN REEFER</t>
        </is>
      </c>
      <c r="U477" s="4" t="inlineStr">
        <is>
          <t>RIOJA 1275, PISO 1, OFICINA 1 ROSARIO, SANTA FE, CANADA CUIT NUMBER: 30709107123 ATT: JUAN MANUEL ORTIZ E-MAIL: Fabricionettto@gmail.com</t>
        </is>
      </c>
      <c r="V477" s="4" t="n">
        <v>21</v>
      </c>
      <c r="W477" s="4" t="n">
        <v>0</v>
      </c>
      <c r="X477" s="4" t="n">
        <v>283500</v>
      </c>
      <c r="Y477" s="4" t="n">
        <v>270000</v>
      </c>
      <c r="Z477" s="4" t="n">
        <v>270</v>
      </c>
      <c r="AA477" s="4" t="n"/>
      <c r="AB477" s="4" t="inlineStr">
        <is>
          <t>SAID TO CONTAIN / WEIGH &amp; MEASURE 10 X 40 NOR CONTAINERS SAID TO CONTAIN POLYMER MODIFIED BITUMEN PG 76E -22 HS CODE 271320 NET WEIGHT: 270,00 MTS GROSS WEIGHT: 283,95 MTS</t>
        </is>
      </c>
      <c r="AC477" s="4" t="inlineStr">
        <is>
          <t>ANON0000000</t>
        </is>
      </c>
      <c r="AD477" s="4" t="inlineStr">
        <is>
          <t>RH40</t>
        </is>
      </c>
      <c r="AE477" s="4" t="n">
        <v>1229525</v>
      </c>
      <c r="AF477" s="4" t="n"/>
      <c r="AG477" s="4" t="inlineStr">
        <is>
          <t>FCL/FCL</t>
        </is>
      </c>
      <c r="AH477" s="4" t="inlineStr">
        <is>
          <t>GENERAL COMMODITY</t>
        </is>
      </c>
      <c r="AI477" s="4" t="n">
        <v>28350</v>
      </c>
      <c r="AJ477" s="4" t="n">
        <v>27</v>
      </c>
      <c r="AK477" s="4" t="inlineStr">
        <is>
          <t>BLO</t>
        </is>
      </c>
      <c r="AL477" s="4" t="n"/>
      <c r="AM477" s="4" t="n"/>
      <c r="AN477" s="4" t="n"/>
      <c r="AO477" s="4" t="n"/>
      <c r="AP477" s="4" t="n"/>
      <c r="AQ477" s="4" t="n"/>
      <c r="AR477" s="4" t="n">
        <v>4600</v>
      </c>
      <c r="AS477" s="4" t="n">
        <v>27000</v>
      </c>
      <c r="AT477" s="12" t="n"/>
    </row>
    <row r="478">
      <c r="A478" s="11" t="n">
        <v>477</v>
      </c>
      <c r="B478" s="4" t="inlineStr">
        <is>
          <t>MERCURY / VOYAGE 1</t>
        </is>
      </c>
      <c r="C478" s="4" t="inlineStr">
        <is>
          <t>REF000000</t>
        </is>
      </c>
      <c r="D478" s="7" t="n">
        <v>46095</v>
      </c>
      <c r="E478" s="4" t="n">
        <v>46111</v>
      </c>
      <c r="F478" s="4" t="inlineStr">
        <is>
          <t>RULED</t>
        </is>
      </c>
      <c r="G478" s="4" t="inlineStr">
        <is>
          <t>RULED</t>
        </is>
      </c>
      <c r="H478" s="4" t="inlineStr">
        <is>
          <t>USNFK</t>
        </is>
      </c>
      <c r="I478" s="4" t="inlineStr">
        <is>
          <t>USSEA</t>
        </is>
      </c>
      <c r="J478" s="4" t="n"/>
      <c r="K478" s="8" t="n"/>
      <c r="L478" s="4" t="inlineStr">
        <is>
          <t>MARLIN REEFER</t>
        </is>
      </c>
      <c r="M478" s="4" t="inlineStr">
        <is>
          <t>MARLIN REEFER</t>
        </is>
      </c>
      <c r="N478" s="4" t="n"/>
      <c r="O478" s="4" t="n"/>
      <c r="P478" s="4" t="inlineStr">
        <is>
          <t>MARLIN REEFER</t>
        </is>
      </c>
      <c r="Q478" s="4" t="inlineStr">
        <is>
          <t>MARLIN REEFER</t>
        </is>
      </c>
      <c r="R478" s="4" t="n"/>
      <c r="S478" s="4" t="n"/>
      <c r="T478" s="4" t="inlineStr">
        <is>
          <t>MARLIN REEFER</t>
        </is>
      </c>
      <c r="U478" s="4" t="inlineStr">
        <is>
          <t>RIOJA 1275, PISO 1, OFICINA 1 ROSARIO, SANTA FE, CANADA CUIT NUMBER: 30709107123 ATT: JUAN MANUEL ORTIZ E-MAIL: Fabricionettto@gmail.com</t>
        </is>
      </c>
      <c r="V478" s="4" t="n">
        <v>21</v>
      </c>
      <c r="W478" s="4" t="n">
        <v>0</v>
      </c>
      <c r="X478" s="4" t="n">
        <v>283500</v>
      </c>
      <c r="Y478" s="4" t="n">
        <v>270000</v>
      </c>
      <c r="Z478" s="4" t="n">
        <v>270</v>
      </c>
      <c r="AA478" s="4" t="n"/>
      <c r="AB478" s="4" t="inlineStr">
        <is>
          <t>SAID TO CONTAIN / WEIGH &amp; MEASURE 10 X 40 NOR CONTAINERS SAID TO CONTAIN POLYMER MODIFIED BITUMEN PG 76E -22 HS CODE 271320 NET WEIGHT: 270,00 MTS GROSS WEIGHT: 283,95 MTS</t>
        </is>
      </c>
      <c r="AC478" s="4" t="inlineStr">
        <is>
          <t>ANON0000000</t>
        </is>
      </c>
      <c r="AD478" s="4" t="inlineStr">
        <is>
          <t>RH40</t>
        </is>
      </c>
      <c r="AE478" s="4" t="n">
        <v>1229521</v>
      </c>
      <c r="AF478" s="4" t="n"/>
      <c r="AG478" s="4" t="inlineStr">
        <is>
          <t>FCL/FCL</t>
        </is>
      </c>
      <c r="AH478" s="4" t="inlineStr">
        <is>
          <t>GENERAL COMMODITY</t>
        </is>
      </c>
      <c r="AI478" s="4" t="n">
        <v>28350</v>
      </c>
      <c r="AJ478" s="4" t="n">
        <v>27</v>
      </c>
      <c r="AK478" s="4" t="inlineStr">
        <is>
          <t>BLO</t>
        </is>
      </c>
      <c r="AL478" s="4" t="n"/>
      <c r="AM478" s="4" t="n"/>
      <c r="AN478" s="4" t="n"/>
      <c r="AO478" s="4" t="n"/>
      <c r="AP478" s="4" t="n"/>
      <c r="AQ478" s="4" t="n"/>
      <c r="AR478" s="4" t="n">
        <v>4640</v>
      </c>
      <c r="AS478" s="4" t="n">
        <v>27000</v>
      </c>
      <c r="AT478" s="12" t="n"/>
    </row>
    <row r="479">
      <c r="A479" s="11" t="n">
        <v>478</v>
      </c>
      <c r="B479" s="4" t="inlineStr">
        <is>
          <t>MERCURY / VOYAGE 1</t>
        </is>
      </c>
      <c r="C479" s="4" t="inlineStr">
        <is>
          <t>REF000000</t>
        </is>
      </c>
      <c r="D479" s="7" t="n">
        <v>46095</v>
      </c>
      <c r="E479" s="4" t="n">
        <v>46111</v>
      </c>
      <c r="F479" s="4" t="inlineStr">
        <is>
          <t>RULED</t>
        </is>
      </c>
      <c r="G479" s="4" t="inlineStr">
        <is>
          <t>RULED</t>
        </is>
      </c>
      <c r="H479" s="4" t="inlineStr">
        <is>
          <t>USNFK</t>
        </is>
      </c>
      <c r="I479" s="4" t="inlineStr">
        <is>
          <t>USSEA</t>
        </is>
      </c>
      <c r="J479" s="4" t="n"/>
      <c r="K479" s="8" t="n"/>
      <c r="L479" s="4" t="inlineStr">
        <is>
          <t>TURTLE REEFER</t>
        </is>
      </c>
      <c r="M479" s="4" t="inlineStr">
        <is>
          <t>TURTLE REEFER</t>
        </is>
      </c>
      <c r="N479" s="4" t="n"/>
      <c r="O479" s="4" t="n"/>
      <c r="P479" s="4" t="inlineStr">
        <is>
          <t>TURTLE REEFER</t>
        </is>
      </c>
      <c r="Q479" s="4" t="inlineStr">
        <is>
          <t>TURTLE REEFER</t>
        </is>
      </c>
      <c r="R479" s="4" t="n"/>
      <c r="S479" s="4" t="n"/>
      <c r="T479" s="4" t="inlineStr">
        <is>
          <t>TURTLE REEFER</t>
        </is>
      </c>
      <c r="U479" s="4" t="inlineStr">
        <is>
          <t>RIOJA 1275, PISO 1, OFICINA 1 ROSARIO, SANTA FE, CANADA CUIT NUMBER: 30709107123 ATT: JUAN MANUEL ORTIZ E-MAIL: Fabricionettto@gmail.com</t>
        </is>
      </c>
      <c r="V479" s="4" t="n">
        <v>21</v>
      </c>
      <c r="W479" s="4" t="n">
        <v>0</v>
      </c>
      <c r="X479" s="4" t="n">
        <v>283500</v>
      </c>
      <c r="Y479" s="4" t="n">
        <v>270000</v>
      </c>
      <c r="Z479" s="4" t="n">
        <v>270</v>
      </c>
      <c r="AA479" s="4" t="n"/>
      <c r="AB479" s="4" t="inlineStr">
        <is>
          <t>SAID TO CONTAIN / WEIGH &amp; MEASURE 10 X 40 NOR CONTAINERS SAID TO CONTAIN POLYMER MODIFIED BITUMEN PG 76E -22 HS CODE 271320 NET WEIGHT: 270,00 MTS GROSS WEIGHT: 283,95 MTS</t>
        </is>
      </c>
      <c r="AC479" s="4" t="inlineStr">
        <is>
          <t>ANON0000000</t>
        </is>
      </c>
      <c r="AD479" s="4" t="inlineStr">
        <is>
          <t>RH40</t>
        </is>
      </c>
      <c r="AE479" s="4" t="n">
        <v>1229524</v>
      </c>
      <c r="AF479" s="4" t="n"/>
      <c r="AG479" s="4" t="inlineStr">
        <is>
          <t>FCL/FCL</t>
        </is>
      </c>
      <c r="AH479" s="4" t="inlineStr">
        <is>
          <t>GENERAL COMMODITY</t>
        </is>
      </c>
      <c r="AI479" s="4" t="n">
        <v>28350</v>
      </c>
      <c r="AJ479" s="4" t="n">
        <v>27</v>
      </c>
      <c r="AK479" s="4" t="inlineStr">
        <is>
          <t>BLO</t>
        </is>
      </c>
      <c r="AL479" s="4" t="n"/>
      <c r="AM479" s="4" t="n"/>
      <c r="AN479" s="4" t="n"/>
      <c r="AO479" s="4" t="n"/>
      <c r="AP479" s="4" t="n"/>
      <c r="AQ479" s="4" t="n"/>
      <c r="AR479" s="4" t="n">
        <v>4560</v>
      </c>
      <c r="AS479" s="4" t="n">
        <v>27000</v>
      </c>
      <c r="AT479" s="12" t="n"/>
    </row>
    <row r="480">
      <c r="A480" s="11" t="n">
        <v>479</v>
      </c>
      <c r="B480" s="4" t="inlineStr">
        <is>
          <t>MERCURY / VOYAGE 1</t>
        </is>
      </c>
      <c r="C480" s="4" t="inlineStr">
        <is>
          <t>REF000000</t>
        </is>
      </c>
      <c r="D480" s="7" t="n">
        <v>46095</v>
      </c>
      <c r="E480" s="4" t="n">
        <v>46111</v>
      </c>
      <c r="F480" s="4" t="inlineStr">
        <is>
          <t>RULED</t>
        </is>
      </c>
      <c r="G480" s="4" t="inlineStr">
        <is>
          <t>RULED</t>
        </is>
      </c>
      <c r="H480" s="4" t="inlineStr">
        <is>
          <t>USNFK</t>
        </is>
      </c>
      <c r="I480" s="4" t="inlineStr">
        <is>
          <t>USSEA</t>
        </is>
      </c>
      <c r="J480" s="4" t="n"/>
      <c r="K480" s="8" t="n"/>
      <c r="L480" s="4" t="inlineStr">
        <is>
          <t>ORCA REEFER</t>
        </is>
      </c>
      <c r="M480" s="4" t="inlineStr">
        <is>
          <t>ORCA REEFER</t>
        </is>
      </c>
      <c r="N480" s="4" t="n"/>
      <c r="O480" s="4" t="n"/>
      <c r="P480" s="4" t="inlineStr">
        <is>
          <t>ORCA REEFER</t>
        </is>
      </c>
      <c r="Q480" s="4" t="inlineStr">
        <is>
          <t>ORCA REEFER</t>
        </is>
      </c>
      <c r="R480" s="4" t="n"/>
      <c r="S480" s="4" t="n"/>
      <c r="T480" s="4" t="inlineStr">
        <is>
          <t>ORCA REEFER</t>
        </is>
      </c>
      <c r="U480" s="4" t="inlineStr">
        <is>
          <t>RIOJA 1275, PISO 1, OFICINA 1 ROSARIO, SANTA FE, CANADA CUIT NUMBER: 30709107123 ATT: JUAN MANUEL ORTIZ E-MAIL: Fabricionettto@gmail.com</t>
        </is>
      </c>
      <c r="V480" s="4" t="n">
        <v>21</v>
      </c>
      <c r="W480" s="4" t="n">
        <v>0</v>
      </c>
      <c r="X480" s="4" t="n">
        <v>283500</v>
      </c>
      <c r="Y480" s="4" t="n">
        <v>270000</v>
      </c>
      <c r="Z480" s="4" t="n">
        <v>270</v>
      </c>
      <c r="AA480" s="4" t="n"/>
      <c r="AB480" s="4" t="inlineStr">
        <is>
          <t>SAID TO CONTAIN / WEIGH &amp; MEASURE 10 X 40 NOR CONTAINERS SAID TO CONTAIN POLYMER MODIFIED BITUMEN PG 76E -22 HS CODE 271320 NET WEIGHT: 270,00 MTS GROSS WEIGHT: 283,95 MTS</t>
        </is>
      </c>
      <c r="AC480" s="4" t="inlineStr">
        <is>
          <t>ANON0000000</t>
        </is>
      </c>
      <c r="AD480" s="4" t="inlineStr">
        <is>
          <t>RH40</t>
        </is>
      </c>
      <c r="AE480" s="4" t="n">
        <v>1229523</v>
      </c>
      <c r="AF480" s="4" t="n"/>
      <c r="AG480" s="4" t="inlineStr">
        <is>
          <t>FCL/FCL</t>
        </is>
      </c>
      <c r="AH480" s="4" t="inlineStr">
        <is>
          <t>GENERAL COMMODITY</t>
        </is>
      </c>
      <c r="AI480" s="4" t="n">
        <v>28350</v>
      </c>
      <c r="AJ480" s="4" t="n">
        <v>27</v>
      </c>
      <c r="AK480" s="4" t="inlineStr">
        <is>
          <t>BLO</t>
        </is>
      </c>
      <c r="AL480" s="4" t="n"/>
      <c r="AM480" s="4" t="n"/>
      <c r="AN480" s="4" t="n"/>
      <c r="AO480" s="4" t="n"/>
      <c r="AP480" s="4" t="n"/>
      <c r="AQ480" s="4" t="n"/>
      <c r="AR480" s="4" t="n">
        <v>4600</v>
      </c>
      <c r="AS480" s="4" t="n">
        <v>27000</v>
      </c>
      <c r="AT480" s="12" t="n"/>
    </row>
    <row r="481">
      <c r="A481" s="11" t="n">
        <v>480</v>
      </c>
      <c r="B481" s="4" t="inlineStr">
        <is>
          <t>MERCURY / VOYAGE 1</t>
        </is>
      </c>
      <c r="C481" s="4" t="inlineStr">
        <is>
          <t>REF000000</t>
        </is>
      </c>
      <c r="D481" s="7" t="n">
        <v>46095</v>
      </c>
      <c r="E481" s="4" t="n">
        <v>46111</v>
      </c>
      <c r="F481" s="4" t="inlineStr">
        <is>
          <t>RULED</t>
        </is>
      </c>
      <c r="G481" s="4" t="inlineStr">
        <is>
          <t>RULED</t>
        </is>
      </c>
      <c r="H481" s="4" t="inlineStr">
        <is>
          <t>USNFK</t>
        </is>
      </c>
      <c r="I481" s="4" t="inlineStr">
        <is>
          <t>USSEA</t>
        </is>
      </c>
      <c r="J481" s="4" t="n"/>
      <c r="K481" s="8" t="n"/>
      <c r="L481" s="4" t="inlineStr">
        <is>
          <t>WHALE REEFER</t>
        </is>
      </c>
      <c r="M481" s="4" t="inlineStr">
        <is>
          <t>WHALE REEFER</t>
        </is>
      </c>
      <c r="N481" s="4" t="n"/>
      <c r="O481" s="4" t="n"/>
      <c r="P481" s="4" t="inlineStr">
        <is>
          <t>WHALE REEFER</t>
        </is>
      </c>
      <c r="Q481" s="4" t="inlineStr">
        <is>
          <t>WHALE REEFER</t>
        </is>
      </c>
      <c r="R481" s="4" t="n"/>
      <c r="S481" s="4" t="n"/>
      <c r="T481" s="4" t="inlineStr">
        <is>
          <t>WHALE REEFER</t>
        </is>
      </c>
      <c r="U481" s="4" t="inlineStr">
        <is>
          <t>RIOJA 1275, PISO 1, OFICINA 1 ROSARIO, SANTA FE, CANADA CUIT NUMBER: 30709107123 ATT: JUAN MANUEL ORTIZ E-MAIL: Fabricionettto@gmail.com</t>
        </is>
      </c>
      <c r="V481" s="4" t="n">
        <v>21</v>
      </c>
      <c r="W481" s="4" t="n">
        <v>0</v>
      </c>
      <c r="X481" s="4" t="n">
        <v>283500</v>
      </c>
      <c r="Y481" s="4" t="n">
        <v>270000</v>
      </c>
      <c r="Z481" s="4" t="n">
        <v>270</v>
      </c>
      <c r="AA481" s="4" t="n"/>
      <c r="AB481" s="4" t="inlineStr">
        <is>
          <t>SAID TO CONTAIN / WEIGH &amp; MEASURE 10 X 40 NOR CONTAINERS SAID TO CONTAIN POLYMER MODIFIED BITUMEN PG 76E -22 HS CODE 271320 NET WEIGHT: 270,00 MTS GROSS WEIGHT: 283,95 MTS</t>
        </is>
      </c>
      <c r="AC481" s="4" t="inlineStr">
        <is>
          <t>ANON0000000</t>
        </is>
      </c>
      <c r="AD481" s="4" t="inlineStr">
        <is>
          <t>RH40</t>
        </is>
      </c>
      <c r="AE481" s="4" t="n">
        <v>1229178</v>
      </c>
      <c r="AF481" s="4" t="n"/>
      <c r="AG481" s="4" t="inlineStr">
        <is>
          <t>FCL/FCL</t>
        </is>
      </c>
      <c r="AH481" s="4" t="inlineStr">
        <is>
          <t>GENERAL COMMODITY</t>
        </is>
      </c>
      <c r="AI481" s="4" t="n">
        <v>28350</v>
      </c>
      <c r="AJ481" s="4" t="n">
        <v>27</v>
      </c>
      <c r="AK481" s="4" t="inlineStr">
        <is>
          <t>BLO</t>
        </is>
      </c>
      <c r="AL481" s="4" t="n"/>
      <c r="AM481" s="4" t="n"/>
      <c r="AN481" s="4" t="n"/>
      <c r="AO481" s="4" t="n"/>
      <c r="AP481" s="4" t="n"/>
      <c r="AQ481" s="4" t="n"/>
      <c r="AR481" s="4" t="n">
        <v>4640</v>
      </c>
      <c r="AS481" s="4" t="n">
        <v>27000</v>
      </c>
      <c r="AT481" s="12" t="n"/>
    </row>
    <row r="482">
      <c r="A482" s="11" t="n">
        <v>481</v>
      </c>
      <c r="B482" s="4" t="inlineStr">
        <is>
          <t>MERCURY / VOYAGE 1</t>
        </is>
      </c>
      <c r="C482" s="4" t="inlineStr">
        <is>
          <t>REF000000</t>
        </is>
      </c>
      <c r="D482" s="7" t="n">
        <v>46095</v>
      </c>
      <c r="E482" s="4" t="n">
        <v>46111</v>
      </c>
      <c r="F482" s="4" t="inlineStr">
        <is>
          <t>RULED</t>
        </is>
      </c>
      <c r="G482" s="4" t="inlineStr">
        <is>
          <t>RULED</t>
        </is>
      </c>
      <c r="H482" s="4" t="inlineStr">
        <is>
          <t>USNFK</t>
        </is>
      </c>
      <c r="I482" s="4" t="inlineStr">
        <is>
          <t>USSEA</t>
        </is>
      </c>
      <c r="J482" s="4" t="n"/>
      <c r="K482" s="8" t="n"/>
      <c r="L482" s="4" t="inlineStr">
        <is>
          <t>SEAL REEFER</t>
        </is>
      </c>
      <c r="M482" s="4" t="inlineStr">
        <is>
          <t>SEAL REEFER</t>
        </is>
      </c>
      <c r="N482" s="4" t="n"/>
      <c r="O482" s="4" t="n"/>
      <c r="P482" s="4" t="inlineStr">
        <is>
          <t>SEAL REEFER</t>
        </is>
      </c>
      <c r="Q482" s="4" t="inlineStr">
        <is>
          <t>SEAL REEFER</t>
        </is>
      </c>
      <c r="R482" s="4" t="n"/>
      <c r="S482" s="4" t="n"/>
      <c r="T482" s="4" t="inlineStr">
        <is>
          <t>SEAL REEFER</t>
        </is>
      </c>
      <c r="U482" s="4" t="inlineStr">
        <is>
          <t>RIOJA 1275, PISO 1, OFICINA 1 ROSARIO, SANTA FE, CANADA CUIT NUMBER: 30709107123 ATT: JUAN MANUEL ORTIZ E-MAIL: Fabricionettto@gmail.com</t>
        </is>
      </c>
      <c r="V482" s="4" t="n">
        <v>21</v>
      </c>
      <c r="W482" s="4" t="n">
        <v>0</v>
      </c>
      <c r="X482" s="4" t="n">
        <v>283500</v>
      </c>
      <c r="Y482" s="4" t="n">
        <v>270000</v>
      </c>
      <c r="Z482" s="4" t="n">
        <v>270</v>
      </c>
      <c r="AA482" s="4" t="n"/>
      <c r="AB482" s="4" t="inlineStr">
        <is>
          <t>SAID TO CONTAIN / WEIGH &amp; MEASURE 10 X 40 NOR CONTAINERS SAID TO CONTAIN POLYMER MODIFIED BITUMEN PG 76E -22 HS CODE 271320 NET WEIGHT: 270,00 MTS GROSS WEIGHT: 283,95 MTS</t>
        </is>
      </c>
      <c r="AC482" s="4" t="inlineStr">
        <is>
          <t>ANON0000000</t>
        </is>
      </c>
      <c r="AD482" s="4" t="inlineStr">
        <is>
          <t>RH40</t>
        </is>
      </c>
      <c r="AE482" s="4" t="n">
        <v>1253873</v>
      </c>
      <c r="AF482" s="4" t="n"/>
      <c r="AG482" s="4" t="inlineStr">
        <is>
          <t>FCL/FCL</t>
        </is>
      </c>
      <c r="AH482" s="4" t="inlineStr">
        <is>
          <t>GENERAL COMMODITY</t>
        </is>
      </c>
      <c r="AI482" s="4" t="n">
        <v>28350</v>
      </c>
      <c r="AJ482" s="4" t="n">
        <v>27</v>
      </c>
      <c r="AK482" s="4" t="inlineStr">
        <is>
          <t>BLO</t>
        </is>
      </c>
      <c r="AL482" s="4" t="n"/>
      <c r="AM482" s="4" t="n"/>
      <c r="AN482" s="4" t="n"/>
      <c r="AO482" s="4" t="n"/>
      <c r="AP482" s="4" t="n"/>
      <c r="AQ482" s="4" t="n"/>
      <c r="AR482" s="4" t="n">
        <v>4630</v>
      </c>
      <c r="AS482" s="4" t="n">
        <v>27000</v>
      </c>
      <c r="AT482" s="12" t="n"/>
    </row>
    <row r="483">
      <c r="A483" s="11" t="n">
        <v>482</v>
      </c>
      <c r="B483" s="4" t="inlineStr">
        <is>
          <t>MERCURY / VOYAGE 1</t>
        </is>
      </c>
      <c r="C483" s="4" t="inlineStr">
        <is>
          <t>REF000000</t>
        </is>
      </c>
      <c r="D483" s="7" t="n">
        <v>46095</v>
      </c>
      <c r="E483" s="4" t="n">
        <v>46111</v>
      </c>
      <c r="F483" s="4" t="inlineStr">
        <is>
          <t>RULED</t>
        </is>
      </c>
      <c r="G483" s="4" t="inlineStr">
        <is>
          <t>RULED</t>
        </is>
      </c>
      <c r="H483" s="4" t="inlineStr">
        <is>
          <t>USNFK</t>
        </is>
      </c>
      <c r="I483" s="4" t="inlineStr">
        <is>
          <t>USSEA</t>
        </is>
      </c>
      <c r="J483" s="4" t="n"/>
      <c r="K483" s="8" t="n"/>
      <c r="L483" s="4" t="inlineStr">
        <is>
          <t>SHARK REEFER</t>
        </is>
      </c>
      <c r="M483" s="4" t="inlineStr">
        <is>
          <t>SHARK REEFER</t>
        </is>
      </c>
      <c r="N483" s="4" t="n"/>
      <c r="O483" s="4" t="n"/>
      <c r="P483" s="4" t="inlineStr">
        <is>
          <t>SHARK REEFER</t>
        </is>
      </c>
      <c r="Q483" s="4" t="inlineStr">
        <is>
          <t>SHARK REEFER</t>
        </is>
      </c>
      <c r="R483" s="4" t="n"/>
      <c r="S483" s="4" t="n"/>
      <c r="T483" s="4" t="inlineStr">
        <is>
          <t>SHARK REEFER</t>
        </is>
      </c>
      <c r="U483" s="4" t="inlineStr">
        <is>
          <t>RIOJA 1275, PISO 1, OFICINA 1 ROSARIO, SANTA FE, CANADA CUIT NUMBER: 30709107123 ATT: JUAN MANUEL ORTIZ E-MAIL: Fabricionettto@gmail.com</t>
        </is>
      </c>
      <c r="V483" s="4" t="n">
        <v>21</v>
      </c>
      <c r="W483" s="4" t="n">
        <v>0</v>
      </c>
      <c r="X483" s="4" t="n">
        <v>283500</v>
      </c>
      <c r="Y483" s="4" t="n">
        <v>270000</v>
      </c>
      <c r="Z483" s="4" t="n">
        <v>270</v>
      </c>
      <c r="AA483" s="4" t="n"/>
      <c r="AB483" s="4" t="inlineStr">
        <is>
          <t>SAID TO CONTAIN / WEIGH &amp; MEASURE 10 X 40NOR CONTAINERS SAID TO CONTAIN POLYMER MODIFIED BITUMEN PG 76E -22 HS CODE 271320 NET WEIGHT: 270,00 MTS GROSS WEIGHT: 283,95 MTS</t>
        </is>
      </c>
      <c r="AC483" s="4" t="inlineStr">
        <is>
          <t>ANON0000000</t>
        </is>
      </c>
      <c r="AD483" s="4" t="inlineStr">
        <is>
          <t>RH40</t>
        </is>
      </c>
      <c r="AE483" s="4" t="n">
        <v>1229528</v>
      </c>
      <c r="AF483" s="4" t="n"/>
      <c r="AG483" s="4" t="inlineStr">
        <is>
          <t>FCL/FCL</t>
        </is>
      </c>
      <c r="AH483" s="4" t="inlineStr">
        <is>
          <t>GENERAL COMMODITY</t>
        </is>
      </c>
      <c r="AI483" s="4" t="n">
        <v>28350</v>
      </c>
      <c r="AJ483" s="4" t="n">
        <v>27</v>
      </c>
      <c r="AK483" s="4" t="inlineStr">
        <is>
          <t>BLO</t>
        </is>
      </c>
      <c r="AL483" s="4" t="n"/>
      <c r="AM483" s="4" t="n"/>
      <c r="AN483" s="4" t="n"/>
      <c r="AO483" s="4" t="n"/>
      <c r="AP483" s="4" t="n"/>
      <c r="AQ483" s="4" t="n"/>
      <c r="AR483" s="4" t="n">
        <v>4700</v>
      </c>
      <c r="AS483" s="4" t="n">
        <v>27000</v>
      </c>
      <c r="AT483" s="12" t="n"/>
    </row>
    <row r="484">
      <c r="A484" s="11" t="n">
        <v>483</v>
      </c>
      <c r="B484" s="4" t="inlineStr">
        <is>
          <t>MERCURY / VOYAGE 1</t>
        </is>
      </c>
      <c r="C484" s="4" t="inlineStr">
        <is>
          <t>REF000000</t>
        </is>
      </c>
      <c r="D484" s="7" t="n">
        <v>46095</v>
      </c>
      <c r="E484" s="4" t="n">
        <v>46111</v>
      </c>
      <c r="F484" s="4" t="inlineStr">
        <is>
          <t>RULED</t>
        </is>
      </c>
      <c r="G484" s="4" t="inlineStr">
        <is>
          <t>RULED</t>
        </is>
      </c>
      <c r="H484" s="4" t="inlineStr">
        <is>
          <t>USNFK</t>
        </is>
      </c>
      <c r="I484" s="4" t="inlineStr">
        <is>
          <t>USSEA</t>
        </is>
      </c>
      <c r="J484" s="4" t="n"/>
      <c r="K484" s="8" t="n"/>
      <c r="L484" s="4" t="inlineStr">
        <is>
          <t>DOLPHIN REEFER</t>
        </is>
      </c>
      <c r="M484" s="4" t="inlineStr">
        <is>
          <t>DOLPHIN REEFER</t>
        </is>
      </c>
      <c r="N484" s="4" t="n"/>
      <c r="O484" s="4" t="n"/>
      <c r="P484" s="4" t="inlineStr">
        <is>
          <t>DOLPHIN REEFER</t>
        </is>
      </c>
      <c r="Q484" s="4" t="inlineStr">
        <is>
          <t>DOLPHIN REEFER</t>
        </is>
      </c>
      <c r="R484" s="4" t="n"/>
      <c r="S484" s="4" t="n"/>
      <c r="T484" s="4" t="inlineStr">
        <is>
          <t>DOLPHIN REEFER</t>
        </is>
      </c>
      <c r="U484" s="4" t="inlineStr">
        <is>
          <t>RIOJA 1275, PISO 1, OFICINA 1 ROSARIO, SANTA FE, CANADA CUIT NUMBER: 30709107123 ATT: JUAN MANUEL ORTIZ E-MAIL: Fabricionettto@gmail.com</t>
        </is>
      </c>
      <c r="V484" s="4" t="n">
        <v>21</v>
      </c>
      <c r="W484" s="4" t="n">
        <v>0</v>
      </c>
      <c r="X484" s="4" t="n">
        <v>283500</v>
      </c>
      <c r="Y484" s="4" t="n">
        <v>270000</v>
      </c>
      <c r="Z484" s="4" t="n">
        <v>270</v>
      </c>
      <c r="AA484" s="4" t="n"/>
      <c r="AB484" s="4" t="inlineStr">
        <is>
          <t>SAID TO CONTAIN / WEIGH &amp; MEASURE 10 X 40NOR CONTAINERS SAID TO CONTAIN POLYMER MODIFIED BITUMEN PG 76E -22 HS CODE 271320 NET WEIGHT: 270,00 MTS GROSS WEIGHT: 283,95 MTS</t>
        </is>
      </c>
      <c r="AC484" s="4" t="inlineStr">
        <is>
          <t>ANON0000000</t>
        </is>
      </c>
      <c r="AD484" s="4" t="inlineStr">
        <is>
          <t>RH40</t>
        </is>
      </c>
      <c r="AE484" s="4" t="n">
        <v>1229553</v>
      </c>
      <c r="AF484" s="4" t="n"/>
      <c r="AG484" s="4" t="inlineStr">
        <is>
          <t>FCL/FCL</t>
        </is>
      </c>
      <c r="AH484" s="4" t="inlineStr">
        <is>
          <t>GENERAL COMMODITY</t>
        </is>
      </c>
      <c r="AI484" s="4" t="n">
        <v>28350</v>
      </c>
      <c r="AJ484" s="4" t="n">
        <v>27</v>
      </c>
      <c r="AK484" s="4" t="inlineStr">
        <is>
          <t>BLO</t>
        </is>
      </c>
      <c r="AL484" s="4" t="n"/>
      <c r="AM484" s="4" t="n"/>
      <c r="AN484" s="4" t="n"/>
      <c r="AO484" s="4" t="n"/>
      <c r="AP484" s="4" t="n"/>
      <c r="AQ484" s="4" t="n"/>
      <c r="AR484" s="4" t="n">
        <v>4620</v>
      </c>
      <c r="AS484" s="4" t="n">
        <v>27000</v>
      </c>
      <c r="AT484" s="12" t="n"/>
    </row>
    <row r="485">
      <c r="A485" s="11" t="n">
        <v>484</v>
      </c>
      <c r="B485" s="4" t="inlineStr">
        <is>
          <t>MERCURY / VOYAGE 1</t>
        </is>
      </c>
      <c r="C485" s="4" t="inlineStr">
        <is>
          <t>REF000000</t>
        </is>
      </c>
      <c r="D485" s="7" t="n">
        <v>46095</v>
      </c>
      <c r="E485" s="4" t="n">
        <v>46111</v>
      </c>
      <c r="F485" s="4" t="inlineStr">
        <is>
          <t>RULED</t>
        </is>
      </c>
      <c r="G485" s="4" t="inlineStr">
        <is>
          <t>RULED</t>
        </is>
      </c>
      <c r="H485" s="4" t="inlineStr">
        <is>
          <t>USNFK</t>
        </is>
      </c>
      <c r="I485" s="4" t="inlineStr">
        <is>
          <t>USSEA</t>
        </is>
      </c>
      <c r="J485" s="4" t="n"/>
      <c r="K485" s="8" t="n"/>
      <c r="L485" s="4" t="inlineStr">
        <is>
          <t>MARLIN REEFER</t>
        </is>
      </c>
      <c r="M485" s="4" t="inlineStr">
        <is>
          <t>MARLIN REEFER</t>
        </is>
      </c>
      <c r="N485" s="4" t="n"/>
      <c r="O485" s="4" t="n"/>
      <c r="P485" s="4" t="inlineStr">
        <is>
          <t>MARLIN REEFER</t>
        </is>
      </c>
      <c r="Q485" s="4" t="inlineStr">
        <is>
          <t>MARLIN REEFER</t>
        </is>
      </c>
      <c r="R485" s="4" t="n"/>
      <c r="S485" s="4" t="n"/>
      <c r="T485" s="4" t="inlineStr">
        <is>
          <t>MARLIN REEFER</t>
        </is>
      </c>
      <c r="U485" s="4" t="inlineStr">
        <is>
          <t>RIOJA 1275, PISO 1, OFICINA 1 ROSARIO, SANTA FE, CANADA CUIT NUMBER: 30709107123 ATT: JUAN MANUEL ORTIZ E-MAIL: Fabricionettto@gmail.com</t>
        </is>
      </c>
      <c r="V485" s="4" t="n">
        <v>21</v>
      </c>
      <c r="W485" s="4" t="n">
        <v>0</v>
      </c>
      <c r="X485" s="4" t="n">
        <v>283500</v>
      </c>
      <c r="Y485" s="4" t="n">
        <v>270000</v>
      </c>
      <c r="Z485" s="4" t="n">
        <v>270</v>
      </c>
      <c r="AA485" s="4" t="n"/>
      <c r="AB485" s="4" t="inlineStr">
        <is>
          <t>SAID TO CONTAIN / WEIGH &amp; MEASURE 10 X 40NOR CONTAINERS SAID TO CONTAIN POLYMER MODIFIED BITUMEN PG 76E -22 HS CODE 271320 NET WEIGHT: 270,00 MTS GROSS WEIGHT: 283,95 MTS</t>
        </is>
      </c>
      <c r="AC485" s="4" t="inlineStr">
        <is>
          <t>ANON0000000</t>
        </is>
      </c>
      <c r="AD485" s="4" t="inlineStr">
        <is>
          <t>RH40</t>
        </is>
      </c>
      <c r="AE485" s="4" t="n">
        <v>1229554</v>
      </c>
      <c r="AF485" s="4" t="n"/>
      <c r="AG485" s="4" t="inlineStr">
        <is>
          <t>FCL/FCL</t>
        </is>
      </c>
      <c r="AH485" s="4" t="inlineStr">
        <is>
          <t>GENERAL COMMODITY</t>
        </is>
      </c>
      <c r="AI485" s="4" t="n">
        <v>28350</v>
      </c>
      <c r="AJ485" s="4" t="n">
        <v>27</v>
      </c>
      <c r="AK485" s="4" t="inlineStr">
        <is>
          <t>BLO</t>
        </is>
      </c>
      <c r="AL485" s="4" t="n"/>
      <c r="AM485" s="4" t="n"/>
      <c r="AN485" s="4" t="n"/>
      <c r="AO485" s="4" t="n"/>
      <c r="AP485" s="4" t="n"/>
      <c r="AQ485" s="4" t="n"/>
      <c r="AR485" s="4" t="n">
        <v>4640</v>
      </c>
      <c r="AS485" s="4" t="n">
        <v>27000</v>
      </c>
      <c r="AT485" s="12" t="n"/>
    </row>
    <row r="486">
      <c r="A486" s="11" t="n">
        <v>485</v>
      </c>
      <c r="B486" s="4" t="inlineStr">
        <is>
          <t>MERCURY / VOYAGE 1</t>
        </is>
      </c>
      <c r="C486" s="4" t="inlineStr">
        <is>
          <t>REF000000</t>
        </is>
      </c>
      <c r="D486" s="7" t="n">
        <v>46095</v>
      </c>
      <c r="E486" s="4" t="n">
        <v>46111</v>
      </c>
      <c r="F486" s="4" t="inlineStr">
        <is>
          <t>RULED</t>
        </is>
      </c>
      <c r="G486" s="4" t="inlineStr">
        <is>
          <t>RULED</t>
        </is>
      </c>
      <c r="H486" s="4" t="inlineStr">
        <is>
          <t>USNFK</t>
        </is>
      </c>
      <c r="I486" s="4" t="inlineStr">
        <is>
          <t>USSEA</t>
        </is>
      </c>
      <c r="J486" s="4" t="n"/>
      <c r="K486" s="8" t="n"/>
      <c r="L486" s="4" t="inlineStr">
        <is>
          <t>TURTLE REEFER</t>
        </is>
      </c>
      <c r="M486" s="4" t="inlineStr">
        <is>
          <t>TURTLE REEFER</t>
        </is>
      </c>
      <c r="N486" s="4" t="n"/>
      <c r="O486" s="4" t="n"/>
      <c r="P486" s="4" t="inlineStr">
        <is>
          <t>TURTLE REEFER</t>
        </is>
      </c>
      <c r="Q486" s="4" t="inlineStr">
        <is>
          <t>TURTLE REEFER</t>
        </is>
      </c>
      <c r="R486" s="4" t="n"/>
      <c r="S486" s="4" t="n"/>
      <c r="T486" s="4" t="inlineStr">
        <is>
          <t>TURTLE REEFER</t>
        </is>
      </c>
      <c r="U486" s="4" t="inlineStr">
        <is>
          <t>RIOJA 1275, PISO 1, OFICINA 1 ROSARIO, SANTA FE, CANADA CUIT NUMBER: 30709107123 ATT: JUAN MANUEL ORTIZ E-MAIL: Fabricionettto@gmail.com</t>
        </is>
      </c>
      <c r="V486" s="4" t="n">
        <v>21</v>
      </c>
      <c r="W486" s="4" t="n">
        <v>0</v>
      </c>
      <c r="X486" s="4" t="n">
        <v>283500</v>
      </c>
      <c r="Y486" s="4" t="n">
        <v>270000</v>
      </c>
      <c r="Z486" s="4" t="n">
        <v>270</v>
      </c>
      <c r="AA486" s="4" t="n"/>
      <c r="AB486" s="4" t="inlineStr">
        <is>
          <t>SAID TO CONTAIN / WEIGH &amp; MEASURE 10 X 40NOR CONTAINERS SAID TO CONTAIN POLYMER MODIFIED BITUMEN PG 76E -22 HS CODE 271320 NET WEIGHT: 270,00 MTS GROSS WEIGHT: 283,95 MTS</t>
        </is>
      </c>
      <c r="AC486" s="4" t="inlineStr">
        <is>
          <t>ANON0000000</t>
        </is>
      </c>
      <c r="AD486" s="4" t="inlineStr">
        <is>
          <t>RH40</t>
        </is>
      </c>
      <c r="AE486" s="4" t="n">
        <v>1229552</v>
      </c>
      <c r="AF486" s="4" t="n"/>
      <c r="AG486" s="4" t="inlineStr">
        <is>
          <t>FCL/FCL</t>
        </is>
      </c>
      <c r="AH486" s="4" t="inlineStr">
        <is>
          <t>GENERAL COMMODITY</t>
        </is>
      </c>
      <c r="AI486" s="4" t="n">
        <v>28350</v>
      </c>
      <c r="AJ486" s="4" t="n">
        <v>27</v>
      </c>
      <c r="AK486" s="4" t="inlineStr">
        <is>
          <t>BLO</t>
        </is>
      </c>
      <c r="AL486" s="4" t="n"/>
      <c r="AM486" s="4" t="n"/>
      <c r="AN486" s="4" t="n"/>
      <c r="AO486" s="4" t="n"/>
      <c r="AP486" s="4" t="n"/>
      <c r="AQ486" s="4" t="n"/>
      <c r="AR486" s="4" t="n">
        <v>4700</v>
      </c>
      <c r="AS486" s="4" t="n">
        <v>27000</v>
      </c>
      <c r="AT486" s="12" t="n"/>
    </row>
    <row r="487">
      <c r="A487" s="11" t="n">
        <v>486</v>
      </c>
      <c r="B487" s="4" t="inlineStr">
        <is>
          <t>MERCURY / VOYAGE 1</t>
        </is>
      </c>
      <c r="C487" s="4" t="inlineStr">
        <is>
          <t>REF000000</t>
        </is>
      </c>
      <c r="D487" s="7" t="n">
        <v>46095</v>
      </c>
      <c r="E487" s="4" t="n">
        <v>46111</v>
      </c>
      <c r="F487" s="4" t="inlineStr">
        <is>
          <t>RULED</t>
        </is>
      </c>
      <c r="G487" s="4" t="inlineStr">
        <is>
          <t>RULED</t>
        </is>
      </c>
      <c r="H487" s="4" t="inlineStr">
        <is>
          <t>USNFK</t>
        </is>
      </c>
      <c r="I487" s="4" t="inlineStr">
        <is>
          <t>USSEA</t>
        </is>
      </c>
      <c r="J487" s="4" t="n"/>
      <c r="K487" s="8" t="n"/>
      <c r="L487" s="4" t="inlineStr">
        <is>
          <t>ORCA REEFER</t>
        </is>
      </c>
      <c r="M487" s="4" t="inlineStr">
        <is>
          <t>ORCA REEFER</t>
        </is>
      </c>
      <c r="N487" s="4" t="n"/>
      <c r="O487" s="4" t="n"/>
      <c r="P487" s="4" t="inlineStr">
        <is>
          <t>ORCA REEFER</t>
        </is>
      </c>
      <c r="Q487" s="4" t="inlineStr">
        <is>
          <t>ORCA REEFER</t>
        </is>
      </c>
      <c r="R487" s="4" t="n"/>
      <c r="S487" s="4" t="n"/>
      <c r="T487" s="4" t="inlineStr">
        <is>
          <t>ORCA REEFER</t>
        </is>
      </c>
      <c r="U487" s="4" t="inlineStr">
        <is>
          <t>RIOJA 1275, PISO 1, OFICINA 1 ROSARIO, SANTA FE, CANADA CUIT NUMBER: 30709107123 ATT: JUAN MANUEL ORTIZ E-MAIL: Fabricionettto@gmail.com</t>
        </is>
      </c>
      <c r="V487" s="4" t="n">
        <v>21</v>
      </c>
      <c r="W487" s="4" t="n">
        <v>0</v>
      </c>
      <c r="X487" s="4" t="n">
        <v>283500</v>
      </c>
      <c r="Y487" s="4" t="n">
        <v>270000</v>
      </c>
      <c r="Z487" s="4" t="n">
        <v>270</v>
      </c>
      <c r="AA487" s="4" t="n"/>
      <c r="AB487" s="4" t="inlineStr">
        <is>
          <t>SAID TO CONTAIN / WEIGH &amp; MEASURE 10 X 40NOR CONTAINERS SAID TO CONTAIN POLYMER MODIFIED BITUMEN PG 76E -22 HS CODE 271320 NET WEIGHT: 270,00 MTS GROSS WEIGHT: 283,95 MTS</t>
        </is>
      </c>
      <c r="AC487" s="4" t="inlineStr">
        <is>
          <t>ANON0000000</t>
        </is>
      </c>
      <c r="AD487" s="4" t="inlineStr">
        <is>
          <t>RH40</t>
        </is>
      </c>
      <c r="AE487" s="4" t="n">
        <v>1229555</v>
      </c>
      <c r="AF487" s="4" t="n"/>
      <c r="AG487" s="4" t="inlineStr">
        <is>
          <t>FCL/FCL</t>
        </is>
      </c>
      <c r="AH487" s="4" t="inlineStr">
        <is>
          <t>GENERAL COMMODITY</t>
        </is>
      </c>
      <c r="AI487" s="4" t="n">
        <v>28350</v>
      </c>
      <c r="AJ487" s="4" t="n">
        <v>27</v>
      </c>
      <c r="AK487" s="4" t="inlineStr">
        <is>
          <t>BLO</t>
        </is>
      </c>
      <c r="AL487" s="4" t="n"/>
      <c r="AM487" s="4" t="n"/>
      <c r="AN487" s="4" t="n"/>
      <c r="AO487" s="4" t="n"/>
      <c r="AP487" s="4" t="n"/>
      <c r="AQ487" s="4" t="n"/>
      <c r="AR487" s="4" t="n">
        <v>4700</v>
      </c>
      <c r="AS487" s="4" t="n">
        <v>27000</v>
      </c>
      <c r="AT487" s="12" t="n"/>
    </row>
    <row r="488">
      <c r="A488" s="11" t="n">
        <v>487</v>
      </c>
      <c r="B488" s="4" t="inlineStr">
        <is>
          <t>MERCURY / VOYAGE 1</t>
        </is>
      </c>
      <c r="C488" s="4" t="inlineStr">
        <is>
          <t>REF000000</t>
        </is>
      </c>
      <c r="D488" s="7" t="n">
        <v>46095</v>
      </c>
      <c r="E488" s="4" t="n">
        <v>46111</v>
      </c>
      <c r="F488" s="4" t="inlineStr">
        <is>
          <t>RULED</t>
        </is>
      </c>
      <c r="G488" s="4" t="inlineStr">
        <is>
          <t>RULED</t>
        </is>
      </c>
      <c r="H488" s="4" t="inlineStr">
        <is>
          <t>USNFK</t>
        </is>
      </c>
      <c r="I488" s="4" t="inlineStr">
        <is>
          <t>USSEA</t>
        </is>
      </c>
      <c r="J488" s="4" t="n"/>
      <c r="K488" s="8" t="n"/>
      <c r="L488" s="4" t="inlineStr">
        <is>
          <t>WHALE REEFER</t>
        </is>
      </c>
      <c r="M488" s="4" t="inlineStr">
        <is>
          <t>WHALE REEFER</t>
        </is>
      </c>
      <c r="N488" s="4" t="n"/>
      <c r="O488" s="4" t="n"/>
      <c r="P488" s="4" t="inlineStr">
        <is>
          <t>WHALE REEFER</t>
        </is>
      </c>
      <c r="Q488" s="4" t="inlineStr">
        <is>
          <t>WHALE REEFER</t>
        </is>
      </c>
      <c r="R488" s="4" t="n"/>
      <c r="S488" s="4" t="n"/>
      <c r="T488" s="4" t="inlineStr">
        <is>
          <t>WHALE REEFER</t>
        </is>
      </c>
      <c r="U488" s="4" t="inlineStr">
        <is>
          <t>RIOJA 1275, PISO 1, OFICINA 1 ROSARIO, SANTA FE, CANADA CUIT NUMBER: 30709107123 ATT: JUAN MANUEL ORTIZ E-MAIL: Fabricionettto@gmail.com</t>
        </is>
      </c>
      <c r="V488" s="4" t="n">
        <v>21</v>
      </c>
      <c r="W488" s="4" t="n">
        <v>0</v>
      </c>
      <c r="X488" s="4" t="n">
        <v>283500</v>
      </c>
      <c r="Y488" s="4" t="n">
        <v>270000</v>
      </c>
      <c r="Z488" s="4" t="n">
        <v>270</v>
      </c>
      <c r="AA488" s="4" t="n"/>
      <c r="AB488" s="4" t="inlineStr">
        <is>
          <t>SAID TO CONTAIN / WEIGH &amp; MEASURE 10 X 40NOR CONTAINERS SAID TO CONTAIN POLYMER MODIFIED BITUMEN PG 76E -22 HS CODE 271320 NET WEIGHT: 270,00 MTS GROSS WEIGHT: 283,95 MTS</t>
        </is>
      </c>
      <c r="AC488" s="4" t="inlineStr">
        <is>
          <t>ANON0000000</t>
        </is>
      </c>
      <c r="AD488" s="4" t="inlineStr">
        <is>
          <t>RH40</t>
        </is>
      </c>
      <c r="AE488" s="4" t="n">
        <v>1229530</v>
      </c>
      <c r="AF488" s="4" t="n"/>
      <c r="AG488" s="4" t="inlineStr">
        <is>
          <t>FCL/FCL</t>
        </is>
      </c>
      <c r="AH488" s="4" t="inlineStr">
        <is>
          <t>GENERAL COMMODITY</t>
        </is>
      </c>
      <c r="AI488" s="4" t="n">
        <v>28350</v>
      </c>
      <c r="AJ488" s="4" t="n">
        <v>27</v>
      </c>
      <c r="AK488" s="4" t="inlineStr">
        <is>
          <t>BLO</t>
        </is>
      </c>
      <c r="AL488" s="4" t="n"/>
      <c r="AM488" s="4" t="n"/>
      <c r="AN488" s="4" t="n"/>
      <c r="AO488" s="4" t="n"/>
      <c r="AP488" s="4" t="n"/>
      <c r="AQ488" s="4" t="n"/>
      <c r="AR488" s="4" t="n">
        <v>4560</v>
      </c>
      <c r="AS488" s="4" t="n">
        <v>27000</v>
      </c>
      <c r="AT488" s="12" t="n"/>
    </row>
    <row r="489">
      <c r="A489" s="11" t="n">
        <v>488</v>
      </c>
      <c r="B489" s="4" t="inlineStr">
        <is>
          <t>MERCURY / VOYAGE 1</t>
        </is>
      </c>
      <c r="C489" s="4" t="inlineStr">
        <is>
          <t>REF000000</t>
        </is>
      </c>
      <c r="D489" s="7" t="n">
        <v>46095</v>
      </c>
      <c r="E489" s="4" t="n">
        <v>46111</v>
      </c>
      <c r="F489" s="4" t="inlineStr">
        <is>
          <t>RULED</t>
        </is>
      </c>
      <c r="G489" s="4" t="inlineStr">
        <is>
          <t>RULED</t>
        </is>
      </c>
      <c r="H489" s="4" t="inlineStr">
        <is>
          <t>USNFK</t>
        </is>
      </c>
      <c r="I489" s="4" t="inlineStr">
        <is>
          <t>USSEA</t>
        </is>
      </c>
      <c r="J489" s="4" t="n"/>
      <c r="K489" s="8" t="n"/>
      <c r="L489" s="4" t="inlineStr">
        <is>
          <t>SEAL REEFER</t>
        </is>
      </c>
      <c r="M489" s="4" t="inlineStr">
        <is>
          <t>SEAL REEFER</t>
        </is>
      </c>
      <c r="N489" s="4" t="n"/>
      <c r="O489" s="4" t="n"/>
      <c r="P489" s="4" t="inlineStr">
        <is>
          <t>SEAL REEFER</t>
        </is>
      </c>
      <c r="Q489" s="4" t="inlineStr">
        <is>
          <t>SEAL REEFER</t>
        </is>
      </c>
      <c r="R489" s="4" t="n"/>
      <c r="S489" s="4" t="n"/>
      <c r="T489" s="4" t="inlineStr">
        <is>
          <t>SEAL REEFER</t>
        </is>
      </c>
      <c r="U489" s="4" t="inlineStr">
        <is>
          <t>RIOJA 1275, PISO 1, OFICINA 1 ROSARIO, SANTA FE, CANADA CUIT NUMBER: 30709107123 ATT: JUAN MANUEL ORTIZ E-MAIL: Fabricionettto@gmail.com</t>
        </is>
      </c>
      <c r="V489" s="4" t="n">
        <v>21</v>
      </c>
      <c r="W489" s="4" t="n">
        <v>0</v>
      </c>
      <c r="X489" s="4" t="n">
        <v>283500</v>
      </c>
      <c r="Y489" s="4" t="n">
        <v>270000</v>
      </c>
      <c r="Z489" s="4" t="n">
        <v>270</v>
      </c>
      <c r="AA489" s="4" t="n"/>
      <c r="AB489" s="4" t="inlineStr">
        <is>
          <t>SAID TO CONTAIN / WEIGH &amp; MEASURE 10 X 40NOR CONTAINERS SAID TO CONTAIN POLYMER MODIFIED BITUMEN PG 76E -22 HS CODE 271320 NET WEIGHT: 270,00 MTS GROSS WEIGHT: 283,95 MTS</t>
        </is>
      </c>
      <c r="AC489" s="4" t="inlineStr">
        <is>
          <t>ANON0000000</t>
        </is>
      </c>
      <c r="AD489" s="4" t="inlineStr">
        <is>
          <t>RH40</t>
        </is>
      </c>
      <c r="AE489" s="4" t="n">
        <v>1229551</v>
      </c>
      <c r="AF489" s="4" t="n"/>
      <c r="AG489" s="4" t="inlineStr">
        <is>
          <t>FCL/FCL</t>
        </is>
      </c>
      <c r="AH489" s="4" t="inlineStr">
        <is>
          <t>GENERAL COMMODITY</t>
        </is>
      </c>
      <c r="AI489" s="4" t="n">
        <v>28350</v>
      </c>
      <c r="AJ489" s="4" t="n">
        <v>27</v>
      </c>
      <c r="AK489" s="4" t="inlineStr">
        <is>
          <t>BLO</t>
        </is>
      </c>
      <c r="AL489" s="4" t="n"/>
      <c r="AM489" s="4" t="n"/>
      <c r="AN489" s="4" t="n"/>
      <c r="AO489" s="4" t="n"/>
      <c r="AP489" s="4" t="n"/>
      <c r="AQ489" s="4" t="n"/>
      <c r="AR489" s="4" t="n">
        <v>4700</v>
      </c>
      <c r="AS489" s="4" t="n">
        <v>27000</v>
      </c>
      <c r="AT489" s="12" t="n"/>
    </row>
    <row r="490">
      <c r="A490" s="11" t="n">
        <v>489</v>
      </c>
      <c r="B490" s="4" t="inlineStr">
        <is>
          <t>MERCURY / VOYAGE 1</t>
        </is>
      </c>
      <c r="C490" s="4" t="inlineStr">
        <is>
          <t>REF000000</t>
        </is>
      </c>
      <c r="D490" s="7" t="n">
        <v>46095</v>
      </c>
      <c r="E490" s="4" t="n">
        <v>46111</v>
      </c>
      <c r="F490" s="4" t="inlineStr">
        <is>
          <t>RULED</t>
        </is>
      </c>
      <c r="G490" s="4" t="inlineStr">
        <is>
          <t>RULED</t>
        </is>
      </c>
      <c r="H490" s="4" t="inlineStr">
        <is>
          <t>USNFK</t>
        </is>
      </c>
      <c r="I490" s="4" t="inlineStr">
        <is>
          <t>USSEA</t>
        </is>
      </c>
      <c r="J490" s="4" t="n"/>
      <c r="K490" s="8" t="n"/>
      <c r="L490" s="4" t="inlineStr">
        <is>
          <t>SHARK REEFER</t>
        </is>
      </c>
      <c r="M490" s="4" t="inlineStr">
        <is>
          <t>SHARK REEFER</t>
        </is>
      </c>
      <c r="N490" s="4" t="n"/>
      <c r="O490" s="4" t="n"/>
      <c r="P490" s="4" t="inlineStr">
        <is>
          <t>SHARK REEFER</t>
        </is>
      </c>
      <c r="Q490" s="4" t="inlineStr">
        <is>
          <t>SHARK REEFER</t>
        </is>
      </c>
      <c r="R490" s="4" t="n"/>
      <c r="S490" s="4" t="n"/>
      <c r="T490" s="4" t="inlineStr">
        <is>
          <t>SHARK REEFER</t>
        </is>
      </c>
      <c r="U490" s="4" t="inlineStr">
        <is>
          <t>RIOJA 1275, PISO 1, OFICINA 1 ROSARIO, SANTA FE, CANADA CUIT NUMBER: 30709107123 ATT: JUAN MANUEL ORTIZ E-MAIL: Fabricionettto@gmail.com</t>
        </is>
      </c>
      <c r="V490" s="4" t="n">
        <v>21</v>
      </c>
      <c r="W490" s="4" t="n">
        <v>0</v>
      </c>
      <c r="X490" s="4" t="n">
        <v>283500</v>
      </c>
      <c r="Y490" s="4" t="n">
        <v>270000</v>
      </c>
      <c r="Z490" s="4" t="n">
        <v>270</v>
      </c>
      <c r="AA490" s="4" t="n"/>
      <c r="AB490" s="4" t="inlineStr">
        <is>
          <t>SAID TO CONTAIN / WEIGH &amp; MEASURE 10 X 40NOR CONTAINERS SAID TO CONTAIN POLYMER MODIFIED BITUMEN PG 76E -22 HS CODE 271320 NET WEIGHT: 270,00 MTS GROSS WEIGHT: 283,95 MTS</t>
        </is>
      </c>
      <c r="AC490" s="4" t="inlineStr">
        <is>
          <t>ANON0000000</t>
        </is>
      </c>
      <c r="AD490" s="4" t="inlineStr">
        <is>
          <t>RH40</t>
        </is>
      </c>
      <c r="AE490" s="4" t="n">
        <v>1229529</v>
      </c>
      <c r="AF490" s="4" t="n"/>
      <c r="AG490" s="4" t="inlineStr">
        <is>
          <t>FCL/FCL</t>
        </is>
      </c>
      <c r="AH490" s="4" t="inlineStr">
        <is>
          <t>GENERAL COMMODITY</t>
        </is>
      </c>
      <c r="AI490" s="4" t="n">
        <v>28350</v>
      </c>
      <c r="AJ490" s="4" t="n">
        <v>27</v>
      </c>
      <c r="AK490" s="4" t="inlineStr">
        <is>
          <t>BLO</t>
        </is>
      </c>
      <c r="AL490" s="4" t="n"/>
      <c r="AM490" s="4" t="n"/>
      <c r="AN490" s="4" t="n"/>
      <c r="AO490" s="4" t="n"/>
      <c r="AP490" s="4" t="n"/>
      <c r="AQ490" s="4" t="n"/>
      <c r="AR490" s="4" t="n">
        <v>4640</v>
      </c>
      <c r="AS490" s="4" t="n">
        <v>27000</v>
      </c>
      <c r="AT490" s="12" t="n"/>
    </row>
    <row r="491">
      <c r="A491" s="11" t="n">
        <v>490</v>
      </c>
      <c r="B491" s="4" t="inlineStr">
        <is>
          <t>MERCURY / VOYAGE 1</t>
        </is>
      </c>
      <c r="C491" s="4" t="inlineStr">
        <is>
          <t>REF000000</t>
        </is>
      </c>
      <c r="D491" s="7" t="n">
        <v>46095</v>
      </c>
      <c r="E491" s="4" t="n">
        <v>46111</v>
      </c>
      <c r="F491" s="4" t="inlineStr">
        <is>
          <t>RULED</t>
        </is>
      </c>
      <c r="G491" s="4" t="inlineStr">
        <is>
          <t>RULED</t>
        </is>
      </c>
      <c r="H491" s="4" t="inlineStr">
        <is>
          <t>USNFK</t>
        </is>
      </c>
      <c r="I491" s="4" t="inlineStr">
        <is>
          <t>USSEA</t>
        </is>
      </c>
      <c r="J491" s="4" t="n"/>
      <c r="K491" s="8" t="n"/>
      <c r="L491" s="4" t="inlineStr">
        <is>
          <t>DOLPHIN REEFER</t>
        </is>
      </c>
      <c r="M491" s="4" t="inlineStr">
        <is>
          <t>DOLPHIN REEFER</t>
        </is>
      </c>
      <c r="N491" s="4" t="n"/>
      <c r="O491" s="4" t="n"/>
      <c r="P491" s="4" t="inlineStr">
        <is>
          <t>DOLPHIN REEFER</t>
        </is>
      </c>
      <c r="Q491" s="4" t="inlineStr">
        <is>
          <t>DOLPHIN REEFER</t>
        </is>
      </c>
      <c r="R491" s="4" t="n"/>
      <c r="S491" s="4" t="n"/>
      <c r="T491" s="4" t="inlineStr">
        <is>
          <t>DOLPHIN REEFER</t>
        </is>
      </c>
      <c r="U491" s="4" t="inlineStr">
        <is>
          <t>RIOJA 1275, PISO 1, OFICINA 1 ROSARIO, SANTA FE, CANADA CUIT NUMBER: 30709107123 ATT: JUAN MANUEL ORTIZ E-MAIL: Fabricionettto@gmail.com</t>
        </is>
      </c>
      <c r="V491" s="4" t="n">
        <v>21</v>
      </c>
      <c r="W491" s="4" t="n">
        <v>0</v>
      </c>
      <c r="X491" s="4" t="n">
        <v>283500</v>
      </c>
      <c r="Y491" s="4" t="n">
        <v>270000</v>
      </c>
      <c r="Z491" s="4" t="n">
        <v>270</v>
      </c>
      <c r="AA491" s="4" t="n"/>
      <c r="AB491" s="4" t="inlineStr">
        <is>
          <t>SAID TO CONTAIN / WEIGH &amp; MEASURE 10 X 40NOR CONTAINERS SAID TO CONTAIN POLYMER MODIFIED BITUMEN PG 76E -22 HS CODE 271320 NET WEIGHT: 270,00 MTS GROSS WEIGHT: 283,95 MTS</t>
        </is>
      </c>
      <c r="AC491" s="4" t="inlineStr">
        <is>
          <t>ANON0000000</t>
        </is>
      </c>
      <c r="AD491" s="4" t="inlineStr">
        <is>
          <t>RH40</t>
        </is>
      </c>
      <c r="AE491" s="4" t="n">
        <v>1229526</v>
      </c>
      <c r="AF491" s="4" t="n"/>
      <c r="AG491" s="4" t="inlineStr">
        <is>
          <t>FCL/FCL</t>
        </is>
      </c>
      <c r="AH491" s="4" t="inlineStr">
        <is>
          <t>GENERAL COMMODITY</t>
        </is>
      </c>
      <c r="AI491" s="4" t="n">
        <v>28350</v>
      </c>
      <c r="AJ491" s="4" t="n">
        <v>27</v>
      </c>
      <c r="AK491" s="4" t="inlineStr">
        <is>
          <t>BLO</t>
        </is>
      </c>
      <c r="AL491" s="4" t="n"/>
      <c r="AM491" s="4" t="n"/>
      <c r="AN491" s="4" t="n"/>
      <c r="AO491" s="4" t="n"/>
      <c r="AP491" s="4" t="n"/>
      <c r="AQ491" s="4" t="n"/>
      <c r="AR491" s="4" t="n">
        <v>4620</v>
      </c>
      <c r="AS491" s="4" t="n">
        <v>27000</v>
      </c>
      <c r="AT491" s="12" t="n"/>
    </row>
    <row r="492">
      <c r="A492" s="11" t="n">
        <v>491</v>
      </c>
      <c r="B492" s="4" t="inlineStr">
        <is>
          <t>MERCURY / VOYAGE 1</t>
        </is>
      </c>
      <c r="C492" s="4" t="inlineStr">
        <is>
          <t>REF000000</t>
        </is>
      </c>
      <c r="D492" s="7" t="n">
        <v>46095</v>
      </c>
      <c r="E492" s="4" t="n">
        <v>46111</v>
      </c>
      <c r="F492" s="4" t="inlineStr">
        <is>
          <t>RULED</t>
        </is>
      </c>
      <c r="G492" s="4" t="inlineStr">
        <is>
          <t>RULED</t>
        </is>
      </c>
      <c r="H492" s="4" t="inlineStr">
        <is>
          <t>USNFK</t>
        </is>
      </c>
      <c r="I492" s="4" t="inlineStr">
        <is>
          <t>USSEA</t>
        </is>
      </c>
      <c r="J492" s="4" t="n"/>
      <c r="K492" s="8" t="n"/>
      <c r="L492" s="4" t="inlineStr">
        <is>
          <t>MARLIN REEFER</t>
        </is>
      </c>
      <c r="M492" s="4" t="inlineStr">
        <is>
          <t>MARLIN REEFER</t>
        </is>
      </c>
      <c r="N492" s="4" t="n"/>
      <c r="O492" s="4" t="n"/>
      <c r="P492" s="4" t="inlineStr">
        <is>
          <t>MARLIN REEFER</t>
        </is>
      </c>
      <c r="Q492" s="4" t="inlineStr">
        <is>
          <t>MARLIN REEFER</t>
        </is>
      </c>
      <c r="R492" s="4" t="n"/>
      <c r="S492" s="4" t="n"/>
      <c r="T492" s="4" t="inlineStr">
        <is>
          <t>MARLIN REEFER</t>
        </is>
      </c>
      <c r="U492" s="4" t="inlineStr">
        <is>
          <t>RIOJA 1275, PISO 1, OFICINA 1 ROSARIO, SANTA FE, CANADA CUIT NUMBER: 30709107123 ATT: JUAN MANUEL ORTIZ E-MAIL: Fabricionettto@gmail.com</t>
        </is>
      </c>
      <c r="V492" s="4" t="n">
        <v>21</v>
      </c>
      <c r="W492" s="4" t="n">
        <v>0</v>
      </c>
      <c r="X492" s="4" t="n">
        <v>283500</v>
      </c>
      <c r="Y492" s="4" t="n">
        <v>270000</v>
      </c>
      <c r="Z492" s="4" t="n">
        <v>270</v>
      </c>
      <c r="AA492" s="4" t="n"/>
      <c r="AB492" s="4" t="inlineStr">
        <is>
          <t>SAID TO CONTAIN / WEIGH &amp; MEASURE 10 X 40NOR CONTAINERS SAID TO CONTAIN POLYMER MODIFIED BITUMEN PG 76E -22 HS CODE 271320 NET WEIGHT: 270,00 MTS GROSS WEIGHT: 283,95 MTS</t>
        </is>
      </c>
      <c r="AC492" s="4" t="inlineStr">
        <is>
          <t>ANON0000000</t>
        </is>
      </c>
      <c r="AD492" s="4" t="inlineStr">
        <is>
          <t>RH40</t>
        </is>
      </c>
      <c r="AE492" s="4" t="n">
        <v>1229527</v>
      </c>
      <c r="AF492" s="4" t="n"/>
      <c r="AG492" s="4" t="inlineStr">
        <is>
          <t>FCL/FCL</t>
        </is>
      </c>
      <c r="AH492" s="4" t="inlineStr">
        <is>
          <t>GENERAL COMMODITY</t>
        </is>
      </c>
      <c r="AI492" s="4" t="n">
        <v>28350</v>
      </c>
      <c r="AJ492" s="4" t="n">
        <v>27</v>
      </c>
      <c r="AK492" s="4" t="inlineStr">
        <is>
          <t>BLO</t>
        </is>
      </c>
      <c r="AL492" s="4" t="n"/>
      <c r="AM492" s="4" t="n"/>
      <c r="AN492" s="4" t="n"/>
      <c r="AO492" s="4" t="n"/>
      <c r="AP492" s="4" t="n"/>
      <c r="AQ492" s="4" t="n"/>
      <c r="AR492" s="4" t="n">
        <v>4750</v>
      </c>
      <c r="AS492" s="4" t="n">
        <v>27000</v>
      </c>
      <c r="AT492" s="12" t="n"/>
    </row>
    <row r="493">
      <c r="A493" s="11" t="n">
        <v>492</v>
      </c>
      <c r="B493" s="4" t="inlineStr">
        <is>
          <t>MERCURY / VOYAGE 1</t>
        </is>
      </c>
      <c r="C493" s="4" t="inlineStr">
        <is>
          <t>REF000000</t>
        </is>
      </c>
      <c r="D493" s="7" t="n">
        <v>46095</v>
      </c>
      <c r="E493" s="4" t="n">
        <v>46111</v>
      </c>
      <c r="F493" s="4" t="inlineStr">
        <is>
          <t>RULED</t>
        </is>
      </c>
      <c r="G493" s="4" t="inlineStr">
        <is>
          <t>RULED</t>
        </is>
      </c>
      <c r="H493" s="4" t="inlineStr">
        <is>
          <t>USNFK</t>
        </is>
      </c>
      <c r="I493" s="4" t="inlineStr">
        <is>
          <t>USSEA</t>
        </is>
      </c>
      <c r="J493" s="4" t="n"/>
      <c r="K493" s="8" t="n"/>
      <c r="L493" s="4" t="inlineStr">
        <is>
          <t>TURTLE REEFER</t>
        </is>
      </c>
      <c r="M493" s="4" t="inlineStr">
        <is>
          <t>TURTLE REEFER</t>
        </is>
      </c>
      <c r="N493" s="4" t="n"/>
      <c r="O493" s="4" t="n"/>
      <c r="P493" s="4" t="inlineStr">
        <is>
          <t>TURTLE REEFER</t>
        </is>
      </c>
      <c r="Q493" s="4" t="inlineStr">
        <is>
          <t>TURTLE REEFER</t>
        </is>
      </c>
      <c r="R493" s="4" t="n"/>
      <c r="S493" s="4" t="n"/>
      <c r="T493" s="4" t="inlineStr">
        <is>
          <t>TURTLE REEFER</t>
        </is>
      </c>
      <c r="U493" s="4" t="inlineStr">
        <is>
          <t>RIOJA 1275, PISO 1, OFICINA 1 ROSARIO, SANTA FE, CANADA CUIT NUMBER: 30709107123 ATT: JUAN MANUEL ORTIZ E-MAIL: Fabricionettto@gmail.com</t>
        </is>
      </c>
      <c r="V493" s="4" t="n">
        <v>21</v>
      </c>
      <c r="W493" s="4" t="n">
        <v>0</v>
      </c>
      <c r="X493" s="4" t="n">
        <v>283500</v>
      </c>
      <c r="Y493" s="4" t="n">
        <v>270000</v>
      </c>
      <c r="Z493" s="4" t="n">
        <v>270</v>
      </c>
      <c r="AA493" s="4" t="n"/>
      <c r="AB493" s="4" t="inlineStr">
        <is>
          <t>SAID TO CONTAIN / WEIGH &amp; MEASURE 10 X 40NOR CONTAINERS SAID TO CONTAIN POLYMER MODIFIED BITUMEN PG 76E -22 HS CODE 271320 NET WEIGHT: 270,00 MTS GROSS WEIGHT: 283,95 MTS</t>
        </is>
      </c>
      <c r="AC493" s="4" t="inlineStr">
        <is>
          <t>ANON0000000</t>
        </is>
      </c>
      <c r="AD493" s="4" t="inlineStr">
        <is>
          <t>RH40</t>
        </is>
      </c>
      <c r="AE493" s="4" t="n">
        <v>1253914</v>
      </c>
      <c r="AF493" s="4" t="n"/>
      <c r="AG493" s="4" t="inlineStr">
        <is>
          <t>FCL/FCL</t>
        </is>
      </c>
      <c r="AH493" s="4" t="inlineStr">
        <is>
          <t>GENERAL COMMODITY</t>
        </is>
      </c>
      <c r="AI493" s="4" t="n">
        <v>28350</v>
      </c>
      <c r="AJ493" s="4" t="n">
        <v>27</v>
      </c>
      <c r="AK493" s="4" t="inlineStr">
        <is>
          <t>BLO</t>
        </is>
      </c>
      <c r="AL493" s="4" t="n"/>
      <c r="AM493" s="4" t="n"/>
      <c r="AN493" s="4" t="n"/>
      <c r="AO493" s="4" t="n"/>
      <c r="AP493" s="4" t="n"/>
      <c r="AQ493" s="4" t="n"/>
      <c r="AR493" s="4" t="n">
        <v>4640</v>
      </c>
      <c r="AS493" s="4" t="n">
        <v>27000</v>
      </c>
      <c r="AT493" s="12" t="n"/>
    </row>
    <row r="494">
      <c r="A494" s="11" t="n">
        <v>493</v>
      </c>
      <c r="B494" s="4" t="inlineStr">
        <is>
          <t>MERCURY / VOYAGE 1</t>
        </is>
      </c>
      <c r="C494" s="4" t="inlineStr">
        <is>
          <t>REF000000</t>
        </is>
      </c>
      <c r="D494" s="7" t="n">
        <v>46095</v>
      </c>
      <c r="E494" s="4" t="n">
        <v>46111</v>
      </c>
      <c r="F494" s="4" t="inlineStr">
        <is>
          <t>RULED</t>
        </is>
      </c>
      <c r="G494" s="4" t="inlineStr">
        <is>
          <t>RULED</t>
        </is>
      </c>
      <c r="H494" s="4" t="inlineStr">
        <is>
          <t>USNFK</t>
        </is>
      </c>
      <c r="I494" s="4" t="inlineStr">
        <is>
          <t>USSEA</t>
        </is>
      </c>
      <c r="J494" s="4" t="n"/>
      <c r="K494" s="8" t="n"/>
      <c r="L494" s="4" t="inlineStr">
        <is>
          <t>ORCA REEFER</t>
        </is>
      </c>
      <c r="M494" s="4" t="inlineStr">
        <is>
          <t>ORCA REEFER</t>
        </is>
      </c>
      <c r="N494" s="4" t="n"/>
      <c r="O494" s="4" t="n"/>
      <c r="P494" s="4" t="inlineStr">
        <is>
          <t>ORCA REEFER</t>
        </is>
      </c>
      <c r="Q494" s="4" t="inlineStr">
        <is>
          <t>ORCA REEFER</t>
        </is>
      </c>
      <c r="R494" s="4" t="n"/>
      <c r="S494" s="4" t="n"/>
      <c r="T494" s="4" t="inlineStr">
        <is>
          <t>ORCA REEFER</t>
        </is>
      </c>
      <c r="U494" s="4" t="inlineStr">
        <is>
          <t>RIOJA 1275, PISO 1, OFICINA 1 ROSARIO, SANTA FE, CANADA CUIT NUMBER: 30709107123 ATT: JUAN MANUEL ORTIZ E-MAIL: Fabricionettto@gmail.com</t>
        </is>
      </c>
      <c r="V494" s="4" t="n">
        <v>21</v>
      </c>
      <c r="W494" s="4" t="n">
        <v>0</v>
      </c>
      <c r="X494" s="4" t="n">
        <v>283500</v>
      </c>
      <c r="Y494" s="4" t="n">
        <v>270000</v>
      </c>
      <c r="Z494" s="4" t="n">
        <v>270</v>
      </c>
      <c r="AA494" s="4" t="n"/>
      <c r="AB494" s="4" t="inlineStr">
        <is>
          <t>SAID TO CONTAIN / WEIGH &amp; MEASURE 10 X 40NOR CONTAINERS SAID TO CONTAIN POLYMER MODIFIED BITUMEN PG 76E -22 HS CODE 271320 NET WEIGHT: 270,00 MTS GROSS WEIGHT: 283,95 MTS</t>
        </is>
      </c>
      <c r="AC494" s="4" t="inlineStr">
        <is>
          <t>ANON0000000</t>
        </is>
      </c>
      <c r="AD494" s="4" t="inlineStr">
        <is>
          <t>RH40</t>
        </is>
      </c>
      <c r="AE494" s="4" t="n">
        <v>1253912</v>
      </c>
      <c r="AF494" s="4" t="n"/>
      <c r="AG494" s="4" t="inlineStr">
        <is>
          <t>FCL/FCL</t>
        </is>
      </c>
      <c r="AH494" s="4" t="inlineStr">
        <is>
          <t>GENERAL COMMODITY</t>
        </is>
      </c>
      <c r="AI494" s="4" t="n">
        <v>28350</v>
      </c>
      <c r="AJ494" s="4" t="n">
        <v>27</v>
      </c>
      <c r="AK494" s="4" t="inlineStr">
        <is>
          <t>BLO</t>
        </is>
      </c>
      <c r="AL494" s="4" t="n"/>
      <c r="AM494" s="4" t="n"/>
      <c r="AN494" s="4" t="n"/>
      <c r="AO494" s="4" t="n"/>
      <c r="AP494" s="4" t="n"/>
      <c r="AQ494" s="4" t="n"/>
      <c r="AR494" s="4" t="n">
        <v>4640</v>
      </c>
      <c r="AS494" s="4" t="n">
        <v>27000</v>
      </c>
      <c r="AT494" s="12" t="n"/>
    </row>
    <row r="495">
      <c r="A495" s="11" t="n">
        <v>494</v>
      </c>
      <c r="B495" s="4" t="inlineStr">
        <is>
          <t>MERCURY / VOYAGE 1</t>
        </is>
      </c>
      <c r="C495" s="4" t="inlineStr">
        <is>
          <t>REF000000</t>
        </is>
      </c>
      <c r="D495" s="7" t="n">
        <v>46095</v>
      </c>
      <c r="E495" s="4" t="n">
        <v>46111</v>
      </c>
      <c r="F495" s="4" t="inlineStr">
        <is>
          <t>RULED</t>
        </is>
      </c>
      <c r="G495" s="4" t="inlineStr">
        <is>
          <t>RULED</t>
        </is>
      </c>
      <c r="H495" s="4" t="inlineStr">
        <is>
          <t>USNFK</t>
        </is>
      </c>
      <c r="I495" s="4" t="inlineStr">
        <is>
          <t>USSEA</t>
        </is>
      </c>
      <c r="J495" s="4" t="n"/>
      <c r="K495" s="8" t="n"/>
      <c r="L495" s="4" t="inlineStr">
        <is>
          <t>WHALE REEFER</t>
        </is>
      </c>
      <c r="M495" s="4" t="inlineStr">
        <is>
          <t>WHALE REEFER</t>
        </is>
      </c>
      <c r="N495" s="4" t="n"/>
      <c r="O495" s="4" t="n"/>
      <c r="P495" s="4" t="inlineStr">
        <is>
          <t>WHALE REEFER</t>
        </is>
      </c>
      <c r="Q495" s="4" t="inlineStr">
        <is>
          <t>WHALE REEFER</t>
        </is>
      </c>
      <c r="R495" s="4" t="n"/>
      <c r="S495" s="4" t="n"/>
      <c r="T495" s="4" t="inlineStr">
        <is>
          <t>WHALE REEFER</t>
        </is>
      </c>
      <c r="U495" s="4" t="inlineStr">
        <is>
          <t>RIOJA 1275, PISO 1, OFICINA 1 ROSARIO, SANTA FE, CANADA CUIT NUMBER: 30709107123 ATT: JUAN MANUEL ORTIZ E-MAIL: Fabricionettto@gmail.com</t>
        </is>
      </c>
      <c r="V495" s="4" t="n">
        <v>21</v>
      </c>
      <c r="W495" s="4" t="n">
        <v>0</v>
      </c>
      <c r="X495" s="4" t="n">
        <v>283500</v>
      </c>
      <c r="Y495" s="4" t="n">
        <v>270000</v>
      </c>
      <c r="Z495" s="4" t="n">
        <v>270</v>
      </c>
      <c r="AA495" s="4" t="n"/>
      <c r="AB495" s="4" t="inlineStr">
        <is>
          <t>SAID TO CONTAIN / WEIGH &amp; MEASURE 10 X 40NOR CONTAINERS SAID TO CONTAIN POLYMER MODIFIED BITUMEN PG 76E -22 HS CODE 271320 NET WEIGHT: 270,00 MTS GROSS WEIGHT: 283,95 MTS</t>
        </is>
      </c>
      <c r="AC495" s="4" t="inlineStr">
        <is>
          <t>ANON0000000</t>
        </is>
      </c>
      <c r="AD495" s="4" t="inlineStr">
        <is>
          <t>RH40</t>
        </is>
      </c>
      <c r="AE495" s="4" t="n">
        <v>1229559</v>
      </c>
      <c r="AF495" s="4" t="n"/>
      <c r="AG495" s="4" t="inlineStr">
        <is>
          <t>FCL/FCL</t>
        </is>
      </c>
      <c r="AH495" s="4" t="inlineStr">
        <is>
          <t>GENERAL COMMODITY</t>
        </is>
      </c>
      <c r="AI495" s="4" t="n">
        <v>28350</v>
      </c>
      <c r="AJ495" s="4" t="n">
        <v>27</v>
      </c>
      <c r="AK495" s="4" t="inlineStr">
        <is>
          <t>BLO</t>
        </is>
      </c>
      <c r="AL495" s="4" t="n"/>
      <c r="AM495" s="4" t="n"/>
      <c r="AN495" s="4" t="n"/>
      <c r="AO495" s="4" t="n"/>
      <c r="AP495" s="4" t="n"/>
      <c r="AQ495" s="4" t="n"/>
      <c r="AR495" s="4" t="n">
        <v>4640</v>
      </c>
      <c r="AS495" s="4" t="n">
        <v>27000</v>
      </c>
      <c r="AT495" s="12" t="n"/>
    </row>
    <row r="496">
      <c r="A496" s="11" t="n">
        <v>495</v>
      </c>
      <c r="B496" s="4" t="inlineStr">
        <is>
          <t>MERCURY / VOYAGE 1</t>
        </is>
      </c>
      <c r="C496" s="4" t="inlineStr">
        <is>
          <t>REF000000</t>
        </is>
      </c>
      <c r="D496" s="7" t="n">
        <v>46095</v>
      </c>
      <c r="E496" s="4" t="n">
        <v>46111</v>
      </c>
      <c r="F496" s="4" t="inlineStr">
        <is>
          <t>RULED</t>
        </is>
      </c>
      <c r="G496" s="4" t="inlineStr">
        <is>
          <t>RULED</t>
        </is>
      </c>
      <c r="H496" s="4" t="inlineStr">
        <is>
          <t>USNFK</t>
        </is>
      </c>
      <c r="I496" s="4" t="inlineStr">
        <is>
          <t>USSEA</t>
        </is>
      </c>
      <c r="J496" s="4" t="n"/>
      <c r="K496" s="8" t="n"/>
      <c r="L496" s="4" t="inlineStr">
        <is>
          <t>SEAL REEFER</t>
        </is>
      </c>
      <c r="M496" s="4" t="inlineStr">
        <is>
          <t>SEAL REEFER</t>
        </is>
      </c>
      <c r="N496" s="4" t="n"/>
      <c r="O496" s="4" t="n"/>
      <c r="P496" s="4" t="inlineStr">
        <is>
          <t>SEAL REEFER</t>
        </is>
      </c>
      <c r="Q496" s="4" t="inlineStr">
        <is>
          <t>SEAL REEFER</t>
        </is>
      </c>
      <c r="R496" s="4" t="n"/>
      <c r="S496" s="4" t="n"/>
      <c r="T496" s="4" t="inlineStr">
        <is>
          <t>SEAL REEFER</t>
        </is>
      </c>
      <c r="U496" s="4" t="inlineStr">
        <is>
          <t>RIOJA 1275, PISO 1, OFICINA 1 ROSARIO, SANTA FE, CANADA CUIT NUMBER: 30709107123 ATT: JUAN MANUEL ORTIZ E-MAIL: Fabricionettto@gmail.com</t>
        </is>
      </c>
      <c r="V496" s="4" t="n">
        <v>21</v>
      </c>
      <c r="W496" s="4" t="n">
        <v>0</v>
      </c>
      <c r="X496" s="4" t="n">
        <v>283500</v>
      </c>
      <c r="Y496" s="4" t="n">
        <v>270000</v>
      </c>
      <c r="Z496" s="4" t="n">
        <v>270</v>
      </c>
      <c r="AA496" s="4" t="n"/>
      <c r="AB496" s="4" t="inlineStr">
        <is>
          <t>SAID TO CONTAIN / WEIGH &amp; MEASURE 10 X 40NOR CONTAINERS SAID TO CONTAIN POLYMER MODIFIED BITUMEN PG 76E -22 HS CODE 271320 NET WEIGHT: 270,00 MTS GROSS WEIGHT: 283,95 MTS</t>
        </is>
      </c>
      <c r="AC496" s="4" t="inlineStr">
        <is>
          <t>ANON0000000</t>
        </is>
      </c>
      <c r="AD496" s="4" t="inlineStr">
        <is>
          <t>RH40</t>
        </is>
      </c>
      <c r="AE496" s="4" t="n">
        <v>1253915</v>
      </c>
      <c r="AF496" s="4" t="n"/>
      <c r="AG496" s="4" t="inlineStr">
        <is>
          <t>FCL/FCL</t>
        </is>
      </c>
      <c r="AH496" s="4" t="inlineStr">
        <is>
          <t>GENERAL COMMODITY</t>
        </is>
      </c>
      <c r="AI496" s="4" t="n">
        <v>28350</v>
      </c>
      <c r="AJ496" s="4" t="n">
        <v>27</v>
      </c>
      <c r="AK496" s="4" t="inlineStr">
        <is>
          <t>BLO</t>
        </is>
      </c>
      <c r="AL496" s="4" t="n"/>
      <c r="AM496" s="4" t="n"/>
      <c r="AN496" s="4" t="n"/>
      <c r="AO496" s="4" t="n"/>
      <c r="AP496" s="4" t="n"/>
      <c r="AQ496" s="4" t="n"/>
      <c r="AR496" s="4" t="n">
        <v>4630</v>
      </c>
      <c r="AS496" s="4" t="n">
        <v>27000</v>
      </c>
      <c r="AT496" s="12" t="n"/>
    </row>
    <row r="497">
      <c r="A497" s="11" t="n">
        <v>496</v>
      </c>
      <c r="B497" s="4" t="inlineStr">
        <is>
          <t>MERCURY / VOYAGE 1</t>
        </is>
      </c>
      <c r="C497" s="4" t="inlineStr">
        <is>
          <t>REF000000</t>
        </is>
      </c>
      <c r="D497" s="7" t="n">
        <v>46095</v>
      </c>
      <c r="E497" s="4" t="n">
        <v>46111</v>
      </c>
      <c r="F497" s="4" t="inlineStr">
        <is>
          <t>RULED</t>
        </is>
      </c>
      <c r="G497" s="4" t="inlineStr">
        <is>
          <t>RULED</t>
        </is>
      </c>
      <c r="H497" s="4" t="inlineStr">
        <is>
          <t>USNFK</t>
        </is>
      </c>
      <c r="I497" s="4" t="inlineStr">
        <is>
          <t>USSEA</t>
        </is>
      </c>
      <c r="J497" s="4" t="n"/>
      <c r="K497" s="8" t="n"/>
      <c r="L497" s="4" t="inlineStr">
        <is>
          <t>SHARK REEFER</t>
        </is>
      </c>
      <c r="M497" s="4" t="inlineStr">
        <is>
          <t>SHARK REEFER</t>
        </is>
      </c>
      <c r="N497" s="4" t="n"/>
      <c r="O497" s="4" t="n"/>
      <c r="P497" s="4" t="inlineStr">
        <is>
          <t>SHARK REEFER</t>
        </is>
      </c>
      <c r="Q497" s="4" t="inlineStr">
        <is>
          <t>SHARK REEFER</t>
        </is>
      </c>
      <c r="R497" s="4" t="n"/>
      <c r="S497" s="4" t="n"/>
      <c r="T497" s="4" t="inlineStr">
        <is>
          <t>SHARK REEFER</t>
        </is>
      </c>
      <c r="U497" s="4" t="inlineStr">
        <is>
          <t>RIOJA 1275, PISO 1, OFICINA 1 ROSARIO, SANTA FE, CANADA CUIT NUMBER: 30709107123 ATT: JUAN MANUEL ORTIZ E-MAIL: Fabricionettto@gmail.com</t>
        </is>
      </c>
      <c r="V497" s="4" t="n">
        <v>21</v>
      </c>
      <c r="W497" s="4" t="n">
        <v>0</v>
      </c>
      <c r="X497" s="4" t="n">
        <v>283500</v>
      </c>
      <c r="Y497" s="4" t="n">
        <v>270000</v>
      </c>
      <c r="Z497" s="4" t="n">
        <v>270</v>
      </c>
      <c r="AA497" s="4" t="n"/>
      <c r="AB497" s="4" t="inlineStr">
        <is>
          <t>SAID TO CONTAIN / WEIGH &amp; MEASURE 10 X 40NOR CONTAINERS SAID TO CONTAIN POLYMER MODIFIED BITUMEN PG 76E -22 HS CODE 271320 NET WEIGHT: 270,00 MTS GROSS WEIGHT: 283,95 MTS</t>
        </is>
      </c>
      <c r="AC497" s="4" t="inlineStr">
        <is>
          <t>ANON0000000</t>
        </is>
      </c>
      <c r="AD497" s="4" t="inlineStr">
        <is>
          <t>RH40</t>
        </is>
      </c>
      <c r="AE497" s="4" t="n">
        <v>1229560</v>
      </c>
      <c r="AF497" s="4" t="n"/>
      <c r="AG497" s="4" t="inlineStr">
        <is>
          <t>FCL/FCL</t>
        </is>
      </c>
      <c r="AH497" s="4" t="inlineStr">
        <is>
          <t>GENERAL COMMODITY</t>
        </is>
      </c>
      <c r="AI497" s="4" t="n">
        <v>28350</v>
      </c>
      <c r="AJ497" s="4" t="n">
        <v>27</v>
      </c>
      <c r="AK497" s="4" t="inlineStr">
        <is>
          <t>BLO</t>
        </is>
      </c>
      <c r="AL497" s="4" t="n"/>
      <c r="AM497" s="4" t="n"/>
      <c r="AN497" s="4" t="n"/>
      <c r="AO497" s="4" t="n"/>
      <c r="AP497" s="4" t="n"/>
      <c r="AQ497" s="4" t="n"/>
      <c r="AR497" s="4" t="n">
        <v>4580</v>
      </c>
      <c r="AS497" s="4" t="n">
        <v>27000</v>
      </c>
      <c r="AT497" s="12" t="n"/>
    </row>
    <row r="498">
      <c r="A498" s="11" t="n">
        <v>497</v>
      </c>
      <c r="B498" s="4" t="inlineStr">
        <is>
          <t>MERCURY / VOYAGE 1</t>
        </is>
      </c>
      <c r="C498" s="4" t="inlineStr">
        <is>
          <t>REF000000</t>
        </is>
      </c>
      <c r="D498" s="7" t="n">
        <v>46095</v>
      </c>
      <c r="E498" s="4" t="n">
        <v>46111</v>
      </c>
      <c r="F498" s="4" t="inlineStr">
        <is>
          <t>RULED</t>
        </is>
      </c>
      <c r="G498" s="4" t="inlineStr">
        <is>
          <t>RULED</t>
        </is>
      </c>
      <c r="H498" s="4" t="inlineStr">
        <is>
          <t>USNFK</t>
        </is>
      </c>
      <c r="I498" s="4" t="inlineStr">
        <is>
          <t>USSEA</t>
        </is>
      </c>
      <c r="J498" s="4" t="n"/>
      <c r="K498" s="8" t="n"/>
      <c r="L498" s="4" t="inlineStr">
        <is>
          <t>DOLPHIN REEFER</t>
        </is>
      </c>
      <c r="M498" s="4" t="inlineStr">
        <is>
          <t>DOLPHIN REEFER</t>
        </is>
      </c>
      <c r="N498" s="4" t="n"/>
      <c r="O498" s="4" t="n"/>
      <c r="P498" s="4" t="inlineStr">
        <is>
          <t>DOLPHIN REEFER</t>
        </is>
      </c>
      <c r="Q498" s="4" t="inlineStr">
        <is>
          <t>DOLPHIN REEFER</t>
        </is>
      </c>
      <c r="R498" s="4" t="n"/>
      <c r="S498" s="4" t="n"/>
      <c r="T498" s="4" t="inlineStr">
        <is>
          <t>DOLPHIN REEFER</t>
        </is>
      </c>
      <c r="U498" s="4" t="inlineStr">
        <is>
          <t>RIOJA 1275, PISO 1, OFICINA 1 ROSARIO, SANTA FE, CANADA CUIT NUMBER: 30709107123 ATT: JUAN MANUEL ORTIZ E-MAIL: Fabricionettto@gmail.com</t>
        </is>
      </c>
      <c r="V498" s="4" t="n">
        <v>21</v>
      </c>
      <c r="W498" s="4" t="n">
        <v>0</v>
      </c>
      <c r="X498" s="4" t="n">
        <v>283500</v>
      </c>
      <c r="Y498" s="4" t="n">
        <v>270000</v>
      </c>
      <c r="Z498" s="4" t="n">
        <v>270</v>
      </c>
      <c r="AA498" s="4" t="n"/>
      <c r="AB498" s="4" t="inlineStr">
        <is>
          <t>SAID TO CONTAIN / WEIGH &amp; MEASURE 10 X 40NOR CONTAINERS SAID TO CONTAIN POLYMER MODIFIED BITUMEN PG 76E -22 HS CODE 271320 NET WEIGHT: 270,00 MTS GROSS WEIGHT: 283,95 MTS</t>
        </is>
      </c>
      <c r="AC498" s="4" t="inlineStr">
        <is>
          <t>ANON0000000</t>
        </is>
      </c>
      <c r="AD498" s="4" t="inlineStr">
        <is>
          <t>RH40</t>
        </is>
      </c>
      <c r="AE498" s="4" t="n">
        <v>1229558</v>
      </c>
      <c r="AF498" s="4" t="n"/>
      <c r="AG498" s="4" t="inlineStr">
        <is>
          <t>FCL/FCL</t>
        </is>
      </c>
      <c r="AH498" s="4" t="inlineStr">
        <is>
          <t>GENERAL COMMODITY</t>
        </is>
      </c>
      <c r="AI498" s="4" t="n">
        <v>28350</v>
      </c>
      <c r="AJ498" s="4" t="n">
        <v>27</v>
      </c>
      <c r="AK498" s="4" t="inlineStr">
        <is>
          <t>BLO</t>
        </is>
      </c>
      <c r="AL498" s="4" t="n"/>
      <c r="AM498" s="4" t="n"/>
      <c r="AN498" s="4" t="n"/>
      <c r="AO498" s="4" t="n"/>
      <c r="AP498" s="4" t="n"/>
      <c r="AQ498" s="4" t="n"/>
      <c r="AR498" s="4" t="n">
        <v>4620</v>
      </c>
      <c r="AS498" s="4" t="n">
        <v>27000</v>
      </c>
      <c r="AT498" s="12" t="n"/>
    </row>
    <row r="499">
      <c r="A499" s="11" t="n">
        <v>498</v>
      </c>
      <c r="B499" s="4" t="inlineStr">
        <is>
          <t>MERCURY / VOYAGE 1</t>
        </is>
      </c>
      <c r="C499" s="4" t="inlineStr">
        <is>
          <t>REF000000</t>
        </is>
      </c>
      <c r="D499" s="7" t="n">
        <v>46095</v>
      </c>
      <c r="E499" s="4" t="n">
        <v>46111</v>
      </c>
      <c r="F499" s="4" t="inlineStr">
        <is>
          <t>RULED</t>
        </is>
      </c>
      <c r="G499" s="4" t="inlineStr">
        <is>
          <t>RULED</t>
        </is>
      </c>
      <c r="H499" s="4" t="inlineStr">
        <is>
          <t>USNFK</t>
        </is>
      </c>
      <c r="I499" s="4" t="inlineStr">
        <is>
          <t>USSEA</t>
        </is>
      </c>
      <c r="J499" s="4" t="n"/>
      <c r="K499" s="8" t="n"/>
      <c r="L499" s="4" t="inlineStr">
        <is>
          <t>MARLIN REEFER</t>
        </is>
      </c>
      <c r="M499" s="4" t="inlineStr">
        <is>
          <t>MARLIN REEFER</t>
        </is>
      </c>
      <c r="N499" s="4" t="n"/>
      <c r="O499" s="4" t="n"/>
      <c r="P499" s="4" t="inlineStr">
        <is>
          <t>MARLIN REEFER</t>
        </is>
      </c>
      <c r="Q499" s="4" t="inlineStr">
        <is>
          <t>MARLIN REEFER</t>
        </is>
      </c>
      <c r="R499" s="4" t="n"/>
      <c r="S499" s="4" t="n"/>
      <c r="T499" s="4" t="inlineStr">
        <is>
          <t>MARLIN REEFER</t>
        </is>
      </c>
      <c r="U499" s="4" t="inlineStr">
        <is>
          <t>RIOJA 1275, PISO 1, OFICINA 1 ROSARIO, SANTA FE, CANADA CUIT NUMBER: 30709107123 ATT: JUAN MANUEL ORTIZ E-MAIL: Fabricionettto@gmail.com</t>
        </is>
      </c>
      <c r="V499" s="4" t="n">
        <v>21</v>
      </c>
      <c r="W499" s="4" t="n">
        <v>0</v>
      </c>
      <c r="X499" s="4" t="n">
        <v>283500</v>
      </c>
      <c r="Y499" s="4" t="n">
        <v>270000</v>
      </c>
      <c r="Z499" s="4" t="n">
        <v>270</v>
      </c>
      <c r="AA499" s="4" t="n"/>
      <c r="AB499" s="4" t="inlineStr">
        <is>
          <t>SAID TO CONTAIN / WEIGH &amp; MEASURE 10 X 40NOR CONTAINERS SAID TO CONTAIN POLYMER MODIFIED BITUMEN PG 76E -22 HS CODE 271320 NET WEIGHT: 270,00 MTS GROSS WEIGHT: 283,95 MTS</t>
        </is>
      </c>
      <c r="AC499" s="4" t="inlineStr">
        <is>
          <t>ANON0000000</t>
        </is>
      </c>
      <c r="AD499" s="4" t="inlineStr">
        <is>
          <t>RH40</t>
        </is>
      </c>
      <c r="AE499" s="4" t="n">
        <v>1229557</v>
      </c>
      <c r="AF499" s="4" t="n"/>
      <c r="AG499" s="4" t="inlineStr">
        <is>
          <t>FCL/FCL</t>
        </is>
      </c>
      <c r="AH499" s="4" t="inlineStr">
        <is>
          <t>GENERAL COMMODITY</t>
        </is>
      </c>
      <c r="AI499" s="4" t="n">
        <v>28350</v>
      </c>
      <c r="AJ499" s="4" t="n">
        <v>27</v>
      </c>
      <c r="AK499" s="4" t="inlineStr">
        <is>
          <t>BLO</t>
        </is>
      </c>
      <c r="AL499" s="4" t="n"/>
      <c r="AM499" s="4" t="n"/>
      <c r="AN499" s="4" t="n"/>
      <c r="AO499" s="4" t="n"/>
      <c r="AP499" s="4" t="n"/>
      <c r="AQ499" s="4" t="n"/>
      <c r="AR499" s="4" t="n">
        <v>4630</v>
      </c>
      <c r="AS499" s="4" t="n">
        <v>27000</v>
      </c>
      <c r="AT499" s="12" t="n"/>
    </row>
    <row r="500">
      <c r="A500" s="11" t="n">
        <v>499</v>
      </c>
      <c r="B500" s="4" t="inlineStr">
        <is>
          <t>MERCURY / VOYAGE 1</t>
        </is>
      </c>
      <c r="C500" s="4" t="inlineStr">
        <is>
          <t>REF000000</t>
        </is>
      </c>
      <c r="D500" s="7" t="n">
        <v>46095</v>
      </c>
      <c r="E500" s="4" t="n">
        <v>46111</v>
      </c>
      <c r="F500" s="4" t="inlineStr">
        <is>
          <t>RULED</t>
        </is>
      </c>
      <c r="G500" s="4" t="inlineStr">
        <is>
          <t>RULED</t>
        </is>
      </c>
      <c r="H500" s="4" t="inlineStr">
        <is>
          <t>USNFK</t>
        </is>
      </c>
      <c r="I500" s="4" t="inlineStr">
        <is>
          <t>USSEA</t>
        </is>
      </c>
      <c r="J500" s="4" t="n"/>
      <c r="K500" s="8" t="n"/>
      <c r="L500" s="4" t="inlineStr">
        <is>
          <t>TURTLE REEFER</t>
        </is>
      </c>
      <c r="M500" s="4" t="inlineStr">
        <is>
          <t>TURTLE REEFER</t>
        </is>
      </c>
      <c r="N500" s="4" t="n"/>
      <c r="O500" s="4" t="n"/>
      <c r="P500" s="4" t="inlineStr">
        <is>
          <t>TURTLE REEFER</t>
        </is>
      </c>
      <c r="Q500" s="4" t="inlineStr">
        <is>
          <t>TURTLE REEFER</t>
        </is>
      </c>
      <c r="R500" s="4" t="n"/>
      <c r="S500" s="4" t="n"/>
      <c r="T500" s="4" t="inlineStr">
        <is>
          <t>TURTLE REEFER</t>
        </is>
      </c>
      <c r="U500" s="4" t="inlineStr">
        <is>
          <t>RIOJA 1275, PISO 1, OFICINA 1 ROSARIO, SANTA FE, CANADA CUIT NUMBER: 30709107123 ATT: JUAN MANUEL ORTIZ E-MAIL: Fabricionettto@gmail.com</t>
        </is>
      </c>
      <c r="V500" s="4" t="n">
        <v>21</v>
      </c>
      <c r="W500" s="4" t="n">
        <v>0</v>
      </c>
      <c r="X500" s="4" t="n">
        <v>283500</v>
      </c>
      <c r="Y500" s="4" t="n">
        <v>270000</v>
      </c>
      <c r="Z500" s="4" t="n">
        <v>270</v>
      </c>
      <c r="AA500" s="4" t="n"/>
      <c r="AB500" s="4" t="inlineStr">
        <is>
          <t>SAID TO CONTAIN / WEIGH &amp; MEASURE 10 X 40NOR CONTAINERS SAID TO CONTAIN POLYMER MODIFIED BITUMEN PG 76E -22 HS CODE 271320 NET WEIGHT: 270,00 MTS GROSS WEIGHT: 283,95 MTS</t>
        </is>
      </c>
      <c r="AC500" s="4" t="inlineStr">
        <is>
          <t>ANON0000000</t>
        </is>
      </c>
      <c r="AD500" s="4" t="inlineStr">
        <is>
          <t>RH40</t>
        </is>
      </c>
      <c r="AE500" s="4" t="n">
        <v>1229556</v>
      </c>
      <c r="AF500" s="4" t="n"/>
      <c r="AG500" s="4" t="inlineStr">
        <is>
          <t>FCL/FCL</t>
        </is>
      </c>
      <c r="AH500" s="4" t="inlineStr">
        <is>
          <t>GENERAL COMMODITY</t>
        </is>
      </c>
      <c r="AI500" s="4" t="n">
        <v>28350</v>
      </c>
      <c r="AJ500" s="4" t="n">
        <v>27</v>
      </c>
      <c r="AK500" s="4" t="inlineStr">
        <is>
          <t>BLO</t>
        </is>
      </c>
      <c r="AL500" s="4" t="n"/>
      <c r="AM500" s="4" t="n"/>
      <c r="AN500" s="4" t="n"/>
      <c r="AO500" s="4" t="n"/>
      <c r="AP500" s="4" t="n"/>
      <c r="AQ500" s="4" t="n"/>
      <c r="AR500" s="4" t="n">
        <v>4630</v>
      </c>
      <c r="AS500" s="4" t="n">
        <v>27000</v>
      </c>
      <c r="AT500" s="12" t="n"/>
    </row>
    <row r="501">
      <c r="A501" s="11" t="n">
        <v>500</v>
      </c>
      <c r="B501" s="4" t="inlineStr">
        <is>
          <t>MERCURY / VOYAGE 1</t>
        </is>
      </c>
      <c r="C501" s="4" t="inlineStr">
        <is>
          <t>REF000000</t>
        </is>
      </c>
      <c r="D501" s="7" t="n">
        <v>46095</v>
      </c>
      <c r="E501" s="4" t="n">
        <v>46111</v>
      </c>
      <c r="F501" s="4" t="inlineStr">
        <is>
          <t>RULED</t>
        </is>
      </c>
      <c r="G501" s="4" t="inlineStr">
        <is>
          <t>RULED</t>
        </is>
      </c>
      <c r="H501" s="4" t="inlineStr">
        <is>
          <t>USNFK</t>
        </is>
      </c>
      <c r="I501" s="4" t="inlineStr">
        <is>
          <t>USSEA</t>
        </is>
      </c>
      <c r="J501" s="4" t="n"/>
      <c r="K501" s="8" t="n"/>
      <c r="L501" s="4" t="inlineStr">
        <is>
          <t>ORCA REEFER</t>
        </is>
      </c>
      <c r="M501" s="4" t="inlineStr">
        <is>
          <t>ORCA REEFER</t>
        </is>
      </c>
      <c r="N501" s="4" t="n"/>
      <c r="O501" s="4" t="n"/>
      <c r="P501" s="4" t="inlineStr">
        <is>
          <t>ORCA REEFER</t>
        </is>
      </c>
      <c r="Q501" s="4" t="inlineStr">
        <is>
          <t>ORCA REEFER</t>
        </is>
      </c>
      <c r="R501" s="4" t="n"/>
      <c r="S501" s="4" t="n"/>
      <c r="T501" s="4" t="inlineStr">
        <is>
          <t>ORCA REEFER</t>
        </is>
      </c>
      <c r="U501" s="4" t="inlineStr">
        <is>
          <t>RIOJA 1275, PISO 1, OFICINA 1 ROSARIO, SANTA FE, CANADA CUIT NUMBER: 30709107123 ATT: JUAN MANUEL ORTIZ E-MAIL: Fabricionettto@gmail.com</t>
        </is>
      </c>
      <c r="V501" s="4" t="n">
        <v>21</v>
      </c>
      <c r="W501" s="4" t="n">
        <v>0</v>
      </c>
      <c r="X501" s="4" t="n">
        <v>283500</v>
      </c>
      <c r="Y501" s="4" t="n">
        <v>270000</v>
      </c>
      <c r="Z501" s="4" t="n">
        <v>270</v>
      </c>
      <c r="AA501" s="4" t="n"/>
      <c r="AB501" s="4" t="inlineStr">
        <is>
          <t>SAID TO CONTAIN / WEIGH &amp; MEASURE 10 X 40NOR CONTAINERS SAID TO CONTAIN POLYMER MODIFIED BITUMEN PG 76E -22 HS CODE 271320 NET WEIGHT: 270,00 MTS GROSS WEIGHT: 283,95 MTS</t>
        </is>
      </c>
      <c r="AC501" s="4" t="inlineStr">
        <is>
          <t>ANON0000000</t>
        </is>
      </c>
      <c r="AD501" s="4" t="inlineStr">
        <is>
          <t>RH40</t>
        </is>
      </c>
      <c r="AE501" s="4" t="n">
        <v>1253911</v>
      </c>
      <c r="AF501" s="4" t="n"/>
      <c r="AG501" s="4" t="inlineStr">
        <is>
          <t>FCL/FCL</t>
        </is>
      </c>
      <c r="AH501" s="4" t="inlineStr">
        <is>
          <t>GENERAL COMMODITY</t>
        </is>
      </c>
      <c r="AI501" s="4" t="n">
        <v>28350</v>
      </c>
      <c r="AJ501" s="4" t="n">
        <v>27</v>
      </c>
      <c r="AK501" s="4" t="inlineStr">
        <is>
          <t>BLO</t>
        </is>
      </c>
      <c r="AL501" s="4" t="n"/>
      <c r="AM501" s="4" t="n"/>
      <c r="AN501" s="4" t="n"/>
      <c r="AO501" s="4" t="n"/>
      <c r="AP501" s="4" t="n"/>
      <c r="AQ501" s="4" t="n"/>
      <c r="AR501" s="4" t="n">
        <v>4600</v>
      </c>
      <c r="AS501" s="4" t="n">
        <v>27000</v>
      </c>
      <c r="AT501" s="12" t="n"/>
    </row>
    <row r="502">
      <c r="A502" s="11" t="n">
        <v>501</v>
      </c>
      <c r="B502" s="4" t="inlineStr">
        <is>
          <t>MERCURY / VOYAGE 1</t>
        </is>
      </c>
      <c r="C502" s="4" t="inlineStr">
        <is>
          <t>REF000000</t>
        </is>
      </c>
      <c r="D502" s="7" t="n">
        <v>46095</v>
      </c>
      <c r="E502" s="4" t="n">
        <v>46111</v>
      </c>
      <c r="F502" s="4" t="inlineStr">
        <is>
          <t>RULED</t>
        </is>
      </c>
      <c r="G502" s="4" t="inlineStr">
        <is>
          <t>RULED</t>
        </is>
      </c>
      <c r="H502" s="4" t="inlineStr">
        <is>
          <t>USNFK</t>
        </is>
      </c>
      <c r="I502" s="4" t="inlineStr">
        <is>
          <t>USSEA</t>
        </is>
      </c>
      <c r="J502" s="4" t="n"/>
      <c r="K502" s="8" t="n"/>
      <c r="L502" s="4" t="inlineStr">
        <is>
          <t>WHALE REEFER</t>
        </is>
      </c>
      <c r="M502" s="4" t="inlineStr">
        <is>
          <t>WHALE REEFER</t>
        </is>
      </c>
      <c r="N502" s="4" t="n"/>
      <c r="O502" s="4" t="n"/>
      <c r="P502" s="4" t="inlineStr">
        <is>
          <t>WHALE REEFER</t>
        </is>
      </c>
      <c r="Q502" s="4" t="inlineStr">
        <is>
          <t>WHALE REEFER</t>
        </is>
      </c>
      <c r="R502" s="4" t="n"/>
      <c r="S502" s="4" t="n"/>
      <c r="T502" s="4" t="inlineStr">
        <is>
          <t>WHALE REEFER</t>
        </is>
      </c>
      <c r="U502" s="4" t="inlineStr">
        <is>
          <t>RIOJA 1275, PISO 1, OFICINA 1 ROSARIO, SANTA FE, CANADA CUIT NUMBER: 30709107123 ATT: JUAN MANUEL ORTIZ E-MAIL: Fabricionettto@gmail.com</t>
        </is>
      </c>
      <c r="V502" s="4" t="n">
        <v>21</v>
      </c>
      <c r="W502" s="4" t="n">
        <v>0</v>
      </c>
      <c r="X502" s="4" t="n">
        <v>283500</v>
      </c>
      <c r="Y502" s="4" t="n">
        <v>270000</v>
      </c>
      <c r="Z502" s="4" t="n">
        <v>270</v>
      </c>
      <c r="AA502" s="4" t="n"/>
      <c r="AB502" s="4" t="inlineStr">
        <is>
          <t>SAID TO CONTAIN / WEIGH &amp; MEASURE 10 X 40NOR CONTAINERS SAID TO CONTAIN POLYMER MODIFIED BITUMEN PG 76E -22 HS CODE 271320 NET WEIGHT: 270,00 MTS GROSS WEIGHT: 283,95 MTS</t>
        </is>
      </c>
      <c r="AC502" s="4" t="inlineStr">
        <is>
          <t>ANON0000000</t>
        </is>
      </c>
      <c r="AD502" s="4" t="inlineStr">
        <is>
          <t>RH40</t>
        </is>
      </c>
      <c r="AE502" s="4" t="n">
        <v>1253913</v>
      </c>
      <c r="AF502" s="4" t="n"/>
      <c r="AG502" s="4" t="inlineStr">
        <is>
          <t>FCL/FCL</t>
        </is>
      </c>
      <c r="AH502" s="4" t="inlineStr">
        <is>
          <t>GENERAL COMMODITY</t>
        </is>
      </c>
      <c r="AI502" s="4" t="n">
        <v>28350</v>
      </c>
      <c r="AJ502" s="4" t="n">
        <v>27</v>
      </c>
      <c r="AK502" s="4" t="inlineStr">
        <is>
          <t>BLO</t>
        </is>
      </c>
      <c r="AL502" s="4" t="n"/>
      <c r="AM502" s="4" t="n"/>
      <c r="AN502" s="4" t="n"/>
      <c r="AO502" s="4" t="n"/>
      <c r="AP502" s="4" t="n"/>
      <c r="AQ502" s="4" t="n"/>
      <c r="AR502" s="4" t="n">
        <v>4460</v>
      </c>
      <c r="AS502" s="4" t="n">
        <v>27000</v>
      </c>
      <c r="AT502" s="12" t="n"/>
    </row>
    <row r="503">
      <c r="A503" s="11" t="n">
        <v>502</v>
      </c>
      <c r="B503" s="4" t="inlineStr">
        <is>
          <t>MERCURY / VOYAGE 1</t>
        </is>
      </c>
      <c r="C503" s="4" t="inlineStr">
        <is>
          <t>REF000000</t>
        </is>
      </c>
      <c r="D503" s="7" t="n">
        <v>46095</v>
      </c>
      <c r="E503" s="4" t="n">
        <v>46111</v>
      </c>
      <c r="F503" s="4" t="inlineStr">
        <is>
          <t>RULED</t>
        </is>
      </c>
      <c r="G503" s="4" t="inlineStr">
        <is>
          <t>RULED</t>
        </is>
      </c>
      <c r="H503" s="4" t="inlineStr">
        <is>
          <t>USNFK</t>
        </is>
      </c>
      <c r="I503" s="4" t="inlineStr">
        <is>
          <t>USSEA</t>
        </is>
      </c>
      <c r="J503" s="4" t="n"/>
      <c r="K503" s="8" t="n"/>
      <c r="L503" s="4" t="inlineStr">
        <is>
          <t>SEAL REEFER</t>
        </is>
      </c>
      <c r="M503" s="4" t="inlineStr">
        <is>
          <t>SEAL REEFER</t>
        </is>
      </c>
      <c r="N503" s="4" t="n"/>
      <c r="O503" s="4" t="n"/>
      <c r="P503" s="4" t="inlineStr">
        <is>
          <t>SEAL REEFER</t>
        </is>
      </c>
      <c r="Q503" s="4" t="inlineStr">
        <is>
          <t>SEAL REEFER</t>
        </is>
      </c>
      <c r="R503" s="4" t="n"/>
      <c r="S503" s="4" t="n"/>
      <c r="T503" s="4" t="inlineStr">
        <is>
          <t>SEAL REEFER</t>
        </is>
      </c>
      <c r="U503" s="4" t="inlineStr">
        <is>
          <t>RIOJA 1275, PISO 1, OFICINA 1 ROSARIO, SANTA FE, CANADA CUIT NUMBER: 30709107123 ATT: JUAN MANUEL ORTIZ E-MAIL: Fabricionettto@gmail.com</t>
        </is>
      </c>
      <c r="V503" s="4" t="n">
        <v>21</v>
      </c>
      <c r="W503" s="4" t="n">
        <v>0</v>
      </c>
      <c r="X503" s="4" t="n">
        <v>198450</v>
      </c>
      <c r="Y503" s="4" t="n">
        <v>189000</v>
      </c>
      <c r="Z503" s="4" t="n">
        <v>189</v>
      </c>
      <c r="AA503" s="4" t="n"/>
      <c r="AB503" s="4" t="inlineStr">
        <is>
          <t>SAID TO CONTAIN / WEIGH &amp; MEASURE 7 X 40NOR CONTAINERS SAID TO CONTAIN POLYMER MODIFIED BITUMEN PG 76E -22 HS CODE 271320 NET WEIGHT: 189,00 MTS GROSS WEIGHT: 198,45 MTS</t>
        </is>
      </c>
      <c r="AC503" s="4" t="inlineStr">
        <is>
          <t>ANON0000000</t>
        </is>
      </c>
      <c r="AD503" s="4" t="inlineStr">
        <is>
          <t>RH40</t>
        </is>
      </c>
      <c r="AE503" s="4" t="n">
        <v>1253917</v>
      </c>
      <c r="AF503" s="4" t="n"/>
      <c r="AG503" s="4" t="inlineStr">
        <is>
          <t>FCL/FCL</t>
        </is>
      </c>
      <c r="AH503" s="4" t="inlineStr">
        <is>
          <t>GENERAL COMMODITY</t>
        </is>
      </c>
      <c r="AI503" s="4" t="n">
        <v>28350</v>
      </c>
      <c r="AJ503" s="4" t="n">
        <v>27</v>
      </c>
      <c r="AK503" s="4" t="inlineStr">
        <is>
          <t>BLO</t>
        </is>
      </c>
      <c r="AL503" s="4" t="n"/>
      <c r="AM503" s="4" t="n"/>
      <c r="AN503" s="4" t="n"/>
      <c r="AO503" s="4" t="n"/>
      <c r="AP503" s="4" t="n"/>
      <c r="AQ503" s="4" t="n"/>
      <c r="AR503" s="4" t="n">
        <v>4460</v>
      </c>
      <c r="AS503" s="4" t="n">
        <v>27000</v>
      </c>
      <c r="AT503" s="12" t="n"/>
    </row>
    <row r="504">
      <c r="A504" s="11" t="n">
        <v>503</v>
      </c>
      <c r="B504" s="4" t="inlineStr">
        <is>
          <t>MERCURY / VOYAGE 1</t>
        </is>
      </c>
      <c r="C504" s="4" t="inlineStr">
        <is>
          <t>REF000000</t>
        </is>
      </c>
      <c r="D504" s="7" t="n">
        <v>46095</v>
      </c>
      <c r="E504" s="4" t="n">
        <v>46111</v>
      </c>
      <c r="F504" s="4" t="inlineStr">
        <is>
          <t>RULED</t>
        </is>
      </c>
      <c r="G504" s="4" t="inlineStr">
        <is>
          <t>RULED</t>
        </is>
      </c>
      <c r="H504" s="4" t="inlineStr">
        <is>
          <t>USNFK</t>
        </is>
      </c>
      <c r="I504" s="4" t="inlineStr">
        <is>
          <t>USSEA</t>
        </is>
      </c>
      <c r="J504" s="4" t="n"/>
      <c r="K504" s="8" t="n"/>
      <c r="L504" s="4" t="inlineStr">
        <is>
          <t>SHARK REEFER</t>
        </is>
      </c>
      <c r="M504" s="4" t="inlineStr">
        <is>
          <t>SHARK REEFER</t>
        </is>
      </c>
      <c r="N504" s="4" t="n"/>
      <c r="O504" s="4" t="n"/>
      <c r="P504" s="4" t="inlineStr">
        <is>
          <t>SHARK REEFER</t>
        </is>
      </c>
      <c r="Q504" s="4" t="inlineStr">
        <is>
          <t>SHARK REEFER</t>
        </is>
      </c>
      <c r="R504" s="4" t="n"/>
      <c r="S504" s="4" t="n"/>
      <c r="T504" s="4" t="inlineStr">
        <is>
          <t>SHARK REEFER</t>
        </is>
      </c>
      <c r="U504" s="4" t="inlineStr">
        <is>
          <t>RIOJA 1275, PISO 1, OFICINA 1 ROSARIO, SANTA FE, CANADA CUIT NUMBER: 30709107123 ATT: JUAN MANUEL ORTIZ E-MAIL: Fabricionettto@gmail.com</t>
        </is>
      </c>
      <c r="V504" s="4" t="n">
        <v>21</v>
      </c>
      <c r="W504" s="4" t="n">
        <v>0</v>
      </c>
      <c r="X504" s="4" t="n">
        <v>198450</v>
      </c>
      <c r="Y504" s="4" t="n">
        <v>189000</v>
      </c>
      <c r="Z504" s="4" t="n">
        <v>189</v>
      </c>
      <c r="AA504" s="4" t="n"/>
      <c r="AB504" s="4" t="inlineStr">
        <is>
          <t>SAID TO CONTAIN / WEIGH &amp; MEASURE 7 X 40NOR CONTAINERS SAID TO CONTAIN POLYMER MODIFIED BITUMEN PG 76E -22 HS CODE 271320 NET WEIGHT: 189,00 MTS GROSS WEIGHT: 198,45 MTS</t>
        </is>
      </c>
      <c r="AC504" s="4" t="inlineStr">
        <is>
          <t>ANON0000000</t>
        </is>
      </c>
      <c r="AD504" s="4" t="inlineStr">
        <is>
          <t>RH40</t>
        </is>
      </c>
      <c r="AE504" s="4" t="n">
        <v>1253920</v>
      </c>
      <c r="AF504" s="4" t="n"/>
      <c r="AG504" s="4" t="inlineStr">
        <is>
          <t>FCL/FCL</t>
        </is>
      </c>
      <c r="AH504" s="4" t="inlineStr">
        <is>
          <t>GENERAL COMMODITY</t>
        </is>
      </c>
      <c r="AI504" s="4" t="n">
        <v>28350</v>
      </c>
      <c r="AJ504" s="4" t="n">
        <v>27</v>
      </c>
      <c r="AK504" s="4" t="inlineStr">
        <is>
          <t>BLO</t>
        </is>
      </c>
      <c r="AL504" s="4" t="n"/>
      <c r="AM504" s="4" t="n"/>
      <c r="AN504" s="4" t="n"/>
      <c r="AO504" s="4" t="n"/>
      <c r="AP504" s="4" t="n"/>
      <c r="AQ504" s="4" t="n"/>
      <c r="AR504" s="4" t="n">
        <v>4600</v>
      </c>
      <c r="AS504" s="4" t="n">
        <v>27000</v>
      </c>
      <c r="AT504" s="12" t="n"/>
    </row>
    <row r="505">
      <c r="A505" s="11" t="n">
        <v>504</v>
      </c>
      <c r="B505" s="4" t="inlineStr">
        <is>
          <t>MERCURY / VOYAGE 1</t>
        </is>
      </c>
      <c r="C505" s="4" t="inlineStr">
        <is>
          <t>REF000000</t>
        </is>
      </c>
      <c r="D505" s="7" t="n">
        <v>46095</v>
      </c>
      <c r="E505" s="4" t="n">
        <v>46111</v>
      </c>
      <c r="F505" s="4" t="inlineStr">
        <is>
          <t>RULED</t>
        </is>
      </c>
      <c r="G505" s="4" t="inlineStr">
        <is>
          <t>RULED</t>
        </is>
      </c>
      <c r="H505" s="4" t="inlineStr">
        <is>
          <t>USNFK</t>
        </is>
      </c>
      <c r="I505" s="4" t="inlineStr">
        <is>
          <t>USSEA</t>
        </is>
      </c>
      <c r="J505" s="4" t="n"/>
      <c r="K505" s="8" t="n"/>
      <c r="L505" s="4" t="inlineStr">
        <is>
          <t>DOLPHIN REEFER</t>
        </is>
      </c>
      <c r="M505" s="4" t="inlineStr">
        <is>
          <t>DOLPHIN REEFER</t>
        </is>
      </c>
      <c r="N505" s="4" t="n"/>
      <c r="O505" s="4" t="n"/>
      <c r="P505" s="4" t="inlineStr">
        <is>
          <t>DOLPHIN REEFER</t>
        </is>
      </c>
      <c r="Q505" s="4" t="inlineStr">
        <is>
          <t>DOLPHIN REEFER</t>
        </is>
      </c>
      <c r="R505" s="4" t="n"/>
      <c r="S505" s="4" t="n"/>
      <c r="T505" s="4" t="inlineStr">
        <is>
          <t>DOLPHIN REEFER</t>
        </is>
      </c>
      <c r="U505" s="4" t="inlineStr">
        <is>
          <t>RIOJA 1275, PISO 1, OFICINA 1 ROSARIO, SANTA FE, CANADA CUIT NUMBER: 30709107123 ATT: JUAN MANUEL ORTIZ E-MAIL: Fabricionettto@gmail.com</t>
        </is>
      </c>
      <c r="V505" s="4" t="n">
        <v>21</v>
      </c>
      <c r="W505" s="4" t="n">
        <v>0</v>
      </c>
      <c r="X505" s="4" t="n">
        <v>198450</v>
      </c>
      <c r="Y505" s="4" t="n">
        <v>189000</v>
      </c>
      <c r="Z505" s="4" t="n">
        <v>189</v>
      </c>
      <c r="AA505" s="4" t="n"/>
      <c r="AB505" s="4" t="inlineStr">
        <is>
          <t>SAID TO CONTAIN / WEIGH &amp; MEASURE 7 X 40NOR CONTAINERS SAID TO CONTAIN POLYMER MODIFIED BITUMEN PG 76E -22 HS CODE 271320 NET WEIGHT: 189,00 MTS GROSS WEIGHT: 198,45 MTS</t>
        </is>
      </c>
      <c r="AC505" s="4" t="inlineStr">
        <is>
          <t>ANON0000000</t>
        </is>
      </c>
      <c r="AD505" s="4" t="inlineStr">
        <is>
          <t>RH40</t>
        </is>
      </c>
      <c r="AE505" s="4" t="n">
        <v>1253916</v>
      </c>
      <c r="AF505" s="4" t="n"/>
      <c r="AG505" s="4" t="inlineStr">
        <is>
          <t>FCL/FCL</t>
        </is>
      </c>
      <c r="AH505" s="4" t="inlineStr">
        <is>
          <t>GENERAL COMMODITY</t>
        </is>
      </c>
      <c r="AI505" s="4" t="n">
        <v>28350</v>
      </c>
      <c r="AJ505" s="4" t="n">
        <v>27</v>
      </c>
      <c r="AK505" s="4" t="inlineStr">
        <is>
          <t>BLO</t>
        </is>
      </c>
      <c r="AL505" s="4" t="n"/>
      <c r="AM505" s="4" t="n"/>
      <c r="AN505" s="4" t="n"/>
      <c r="AO505" s="4" t="n"/>
      <c r="AP505" s="4" t="n"/>
      <c r="AQ505" s="4" t="n"/>
      <c r="AR505" s="4" t="n">
        <v>4640</v>
      </c>
      <c r="AS505" s="4" t="n">
        <v>27000</v>
      </c>
      <c r="AT505" s="12" t="n"/>
    </row>
    <row r="506">
      <c r="A506" s="11" t="n">
        <v>505</v>
      </c>
      <c r="B506" s="4" t="inlineStr">
        <is>
          <t>MERCURY / VOYAGE 1</t>
        </is>
      </c>
      <c r="C506" s="4" t="inlineStr">
        <is>
          <t>REF000000</t>
        </is>
      </c>
      <c r="D506" s="7" t="n">
        <v>46095</v>
      </c>
      <c r="E506" s="4" t="n">
        <v>46111</v>
      </c>
      <c r="F506" s="4" t="inlineStr">
        <is>
          <t>RULED</t>
        </is>
      </c>
      <c r="G506" s="4" t="inlineStr">
        <is>
          <t>RULED</t>
        </is>
      </c>
      <c r="H506" s="4" t="inlineStr">
        <is>
          <t>USNFK</t>
        </is>
      </c>
      <c r="I506" s="4" t="inlineStr">
        <is>
          <t>USSEA</t>
        </is>
      </c>
      <c r="J506" s="4" t="n"/>
      <c r="K506" s="8" t="n"/>
      <c r="L506" s="4" t="inlineStr">
        <is>
          <t>MARLIN REEFER</t>
        </is>
      </c>
      <c r="M506" s="4" t="inlineStr">
        <is>
          <t>MARLIN REEFER</t>
        </is>
      </c>
      <c r="N506" s="4" t="n"/>
      <c r="O506" s="4" t="n"/>
      <c r="P506" s="4" t="inlineStr">
        <is>
          <t>MARLIN REEFER</t>
        </is>
      </c>
      <c r="Q506" s="4" t="inlineStr">
        <is>
          <t>MARLIN REEFER</t>
        </is>
      </c>
      <c r="R506" s="4" t="n"/>
      <c r="S506" s="4" t="n"/>
      <c r="T506" s="4" t="inlineStr">
        <is>
          <t>MARLIN REEFER</t>
        </is>
      </c>
      <c r="U506" s="4" t="inlineStr">
        <is>
          <t>RIOJA 1275, PISO 1, OFICINA 1 ROSARIO, SANTA FE, CANADA CUIT NUMBER: 30709107123 ATT: JUAN MANUEL ORTIZ E-MAIL: Fabricionettto@gmail.com</t>
        </is>
      </c>
      <c r="V506" s="4" t="n">
        <v>21</v>
      </c>
      <c r="W506" s="4" t="n">
        <v>0</v>
      </c>
      <c r="X506" s="4" t="n">
        <v>198450</v>
      </c>
      <c r="Y506" s="4" t="n">
        <v>189000</v>
      </c>
      <c r="Z506" s="4" t="n">
        <v>189</v>
      </c>
      <c r="AA506" s="4" t="n"/>
      <c r="AB506" s="4" t="inlineStr">
        <is>
          <t>SAID TO CONTAIN / WEIGH &amp; MEASURE 7 X 40NOR CONTAINERS SAID TO CONTAIN POLYMER MODIFIED BITUMEN PG 76E -22 HS CODE 271320 NET WEIGHT: 189,00 MTS GROSS WEIGHT: 198,45 MTS</t>
        </is>
      </c>
      <c r="AC506" s="4" t="inlineStr">
        <is>
          <t>ANON0000000</t>
        </is>
      </c>
      <c r="AD506" s="4" t="inlineStr">
        <is>
          <t>RH40</t>
        </is>
      </c>
      <c r="AE506" s="4" t="n">
        <v>1253918</v>
      </c>
      <c r="AF506" s="4" t="n"/>
      <c r="AG506" s="4" t="inlineStr">
        <is>
          <t>FCL/FCL</t>
        </is>
      </c>
      <c r="AH506" s="4" t="inlineStr">
        <is>
          <t>GENERAL COMMODITY</t>
        </is>
      </c>
      <c r="AI506" s="4" t="n">
        <v>28350</v>
      </c>
      <c r="AJ506" s="4" t="n">
        <v>27</v>
      </c>
      <c r="AK506" s="4" t="inlineStr">
        <is>
          <t>BLO</t>
        </is>
      </c>
      <c r="AL506" s="4" t="n"/>
      <c r="AM506" s="4" t="n"/>
      <c r="AN506" s="4" t="n"/>
      <c r="AO506" s="4" t="n"/>
      <c r="AP506" s="4" t="n"/>
      <c r="AQ506" s="4" t="n"/>
      <c r="AR506" s="4" t="n">
        <v>4580</v>
      </c>
      <c r="AS506" s="4" t="n">
        <v>27000</v>
      </c>
      <c r="AT506" s="12" t="n"/>
    </row>
    <row r="507">
      <c r="A507" s="11" t="n">
        <v>506</v>
      </c>
      <c r="B507" s="4" t="inlineStr">
        <is>
          <t>MERCURY / VOYAGE 1</t>
        </is>
      </c>
      <c r="C507" s="4" t="inlineStr">
        <is>
          <t>REF000000</t>
        </is>
      </c>
      <c r="D507" s="7" t="n">
        <v>46095</v>
      </c>
      <c r="E507" s="4" t="n">
        <v>46111</v>
      </c>
      <c r="F507" s="4" t="inlineStr">
        <is>
          <t>RULED</t>
        </is>
      </c>
      <c r="G507" s="4" t="inlineStr">
        <is>
          <t>RULED</t>
        </is>
      </c>
      <c r="H507" s="4" t="inlineStr">
        <is>
          <t>USNFK</t>
        </is>
      </c>
      <c r="I507" s="4" t="inlineStr">
        <is>
          <t>USSEA</t>
        </is>
      </c>
      <c r="J507" s="4" t="n"/>
      <c r="K507" s="8" t="n"/>
      <c r="L507" s="4" t="inlineStr">
        <is>
          <t>TURTLE REEFER</t>
        </is>
      </c>
      <c r="M507" s="4" t="inlineStr">
        <is>
          <t>TURTLE REEFER</t>
        </is>
      </c>
      <c r="N507" s="4" t="n"/>
      <c r="O507" s="4" t="n"/>
      <c r="P507" s="4" t="inlineStr">
        <is>
          <t>TURTLE REEFER</t>
        </is>
      </c>
      <c r="Q507" s="4" t="inlineStr">
        <is>
          <t>TURTLE REEFER</t>
        </is>
      </c>
      <c r="R507" s="4" t="n"/>
      <c r="S507" s="4" t="n"/>
      <c r="T507" s="4" t="inlineStr">
        <is>
          <t>TURTLE REEFER</t>
        </is>
      </c>
      <c r="U507" s="4" t="inlineStr">
        <is>
          <t>RIOJA 1275, PISO 1, OFICINA 1 ROSARIO, SANTA FE, CANADA CUIT NUMBER: 30709107123 ATT: JUAN MANUEL ORTIZ E-MAIL: Fabricionettto@gmail.com</t>
        </is>
      </c>
      <c r="V507" s="4" t="n">
        <v>21</v>
      </c>
      <c r="W507" s="4" t="n">
        <v>0</v>
      </c>
      <c r="X507" s="4" t="n">
        <v>198450</v>
      </c>
      <c r="Y507" s="4" t="n">
        <v>189000</v>
      </c>
      <c r="Z507" s="4" t="n">
        <v>189</v>
      </c>
      <c r="AA507" s="4" t="n"/>
      <c r="AB507" s="4" t="inlineStr">
        <is>
          <t>SAID TO CONTAIN / WEIGH &amp; MEASURE 7 X 40NOR CONTAINERS SAID TO CONTAIN POLYMER MODIFIED BITUMEN PG 76E -22 HS CODE 271320 NET WEIGHT: 189,00 MTS GROSS WEIGHT: 198,45 MTS</t>
        </is>
      </c>
      <c r="AC507" s="4" t="inlineStr">
        <is>
          <t>ANON0000000</t>
        </is>
      </c>
      <c r="AD507" s="4" t="inlineStr">
        <is>
          <t>RH40</t>
        </is>
      </c>
      <c r="AE507" s="4" t="n">
        <v>1253871</v>
      </c>
      <c r="AF507" s="4" t="n"/>
      <c r="AG507" s="4" t="inlineStr">
        <is>
          <t>FCL/FCL</t>
        </is>
      </c>
      <c r="AH507" s="4" t="inlineStr">
        <is>
          <t>GENERAL COMMODITY</t>
        </is>
      </c>
      <c r="AI507" s="4" t="n">
        <v>28350</v>
      </c>
      <c r="AJ507" s="4" t="n">
        <v>27</v>
      </c>
      <c r="AK507" s="4" t="inlineStr">
        <is>
          <t>BLO</t>
        </is>
      </c>
      <c r="AL507" s="4" t="n"/>
      <c r="AM507" s="4" t="n"/>
      <c r="AN507" s="4" t="n"/>
      <c r="AO507" s="4" t="n"/>
      <c r="AP507" s="4" t="n"/>
      <c r="AQ507" s="4" t="n"/>
      <c r="AR507" s="4" t="n">
        <v>4600</v>
      </c>
      <c r="AS507" s="4" t="n">
        <v>27000</v>
      </c>
      <c r="AT507" s="12" t="n"/>
    </row>
    <row r="508">
      <c r="A508" s="11" t="n">
        <v>507</v>
      </c>
      <c r="B508" s="4" t="inlineStr">
        <is>
          <t>MERCURY / VOYAGE 1</t>
        </is>
      </c>
      <c r="C508" s="4" t="inlineStr">
        <is>
          <t>REF000000</t>
        </is>
      </c>
      <c r="D508" s="7" t="n">
        <v>46095</v>
      </c>
      <c r="E508" s="4" t="n">
        <v>46111</v>
      </c>
      <c r="F508" s="4" t="inlineStr">
        <is>
          <t>RULED</t>
        </is>
      </c>
      <c r="G508" s="4" t="inlineStr">
        <is>
          <t>RULED</t>
        </is>
      </c>
      <c r="H508" s="4" t="inlineStr">
        <is>
          <t>USNFK</t>
        </is>
      </c>
      <c r="I508" s="4" t="inlineStr">
        <is>
          <t>USSEA</t>
        </is>
      </c>
      <c r="J508" s="4" t="n"/>
      <c r="K508" s="8" t="n"/>
      <c r="L508" s="4" t="inlineStr">
        <is>
          <t>ORCA REEFER</t>
        </is>
      </c>
      <c r="M508" s="4" t="inlineStr">
        <is>
          <t>ORCA REEFER</t>
        </is>
      </c>
      <c r="N508" s="4" t="n"/>
      <c r="O508" s="4" t="n"/>
      <c r="P508" s="4" t="inlineStr">
        <is>
          <t>ORCA REEFER</t>
        </is>
      </c>
      <c r="Q508" s="4" t="inlineStr">
        <is>
          <t>ORCA REEFER</t>
        </is>
      </c>
      <c r="R508" s="4" t="n"/>
      <c r="S508" s="4" t="n"/>
      <c r="T508" s="4" t="inlineStr">
        <is>
          <t>ORCA REEFER</t>
        </is>
      </c>
      <c r="U508" s="4" t="inlineStr">
        <is>
          <t>RIOJA 1275, PISO 1, OFICINA 1 ROSARIO, SANTA FE, CANADA CUIT NUMBER: 30709107123 ATT: JUAN MANUEL ORTIZ E-MAIL: Fabricionettto@gmail.com</t>
        </is>
      </c>
      <c r="V508" s="4" t="n">
        <v>21</v>
      </c>
      <c r="W508" s="4" t="n">
        <v>0</v>
      </c>
      <c r="X508" s="4" t="n">
        <v>198450</v>
      </c>
      <c r="Y508" s="4" t="n">
        <v>189000</v>
      </c>
      <c r="Z508" s="4" t="n">
        <v>189</v>
      </c>
      <c r="AA508" s="4" t="n"/>
      <c r="AB508" s="4" t="inlineStr">
        <is>
          <t>SAID TO CONTAIN / WEIGH &amp; MEASURE 7 X 40NOR CONTAINERS SAID TO CONTAIN POLYMER MODIFIED BITUMEN PG 76E -22 HS CODE 271320 NET WEIGHT: 189,00 MTS GROSS WEIGHT: 198,45 MTS</t>
        </is>
      </c>
      <c r="AC508" s="4" t="inlineStr">
        <is>
          <t>ANON0000000</t>
        </is>
      </c>
      <c r="AD508" s="4" t="inlineStr">
        <is>
          <t>RH40</t>
        </is>
      </c>
      <c r="AE508" s="4" t="n">
        <v>1253872</v>
      </c>
      <c r="AF508" s="4" t="n"/>
      <c r="AG508" s="4" t="inlineStr">
        <is>
          <t>FCL/FCL</t>
        </is>
      </c>
      <c r="AH508" s="4" t="inlineStr">
        <is>
          <t>GENERAL COMMODITY</t>
        </is>
      </c>
      <c r="AI508" s="4" t="n">
        <v>28350</v>
      </c>
      <c r="AJ508" s="4" t="n">
        <v>27</v>
      </c>
      <c r="AK508" s="4" t="inlineStr">
        <is>
          <t>BLO</t>
        </is>
      </c>
      <c r="AL508" s="4" t="n"/>
      <c r="AM508" s="4" t="n"/>
      <c r="AN508" s="4" t="n"/>
      <c r="AO508" s="4" t="n"/>
      <c r="AP508" s="4" t="n"/>
      <c r="AQ508" s="4" t="n"/>
      <c r="AR508" s="4" t="n">
        <v>4810</v>
      </c>
      <c r="AS508" s="4" t="n">
        <v>27000</v>
      </c>
      <c r="AT508" s="12" t="n"/>
    </row>
    <row r="509">
      <c r="A509" s="11" t="n">
        <v>508</v>
      </c>
      <c r="B509" s="4" t="inlineStr">
        <is>
          <t>MERCURY / VOYAGE 1</t>
        </is>
      </c>
      <c r="C509" s="4" t="inlineStr">
        <is>
          <t>REF000000</t>
        </is>
      </c>
      <c r="D509" s="7" t="n">
        <v>46095</v>
      </c>
      <c r="E509" s="4" t="n">
        <v>46111</v>
      </c>
      <c r="F509" s="4" t="inlineStr">
        <is>
          <t>RULED</t>
        </is>
      </c>
      <c r="G509" s="4" t="inlineStr">
        <is>
          <t>RULED</t>
        </is>
      </c>
      <c r="H509" s="4" t="inlineStr">
        <is>
          <t>USNFK</t>
        </is>
      </c>
      <c r="I509" s="4" t="inlineStr">
        <is>
          <t>USSEA</t>
        </is>
      </c>
      <c r="J509" s="4" t="n"/>
      <c r="K509" s="8" t="n"/>
      <c r="L509" s="4" t="inlineStr">
        <is>
          <t>WHALE REEFER</t>
        </is>
      </c>
      <c r="M509" s="4" t="inlineStr">
        <is>
          <t>WHALE REEFER</t>
        </is>
      </c>
      <c r="N509" s="4" t="n"/>
      <c r="O509" s="4" t="n"/>
      <c r="P509" s="4" t="inlineStr">
        <is>
          <t>WHALE REEFER</t>
        </is>
      </c>
      <c r="Q509" s="4" t="inlineStr">
        <is>
          <t>WHALE REEFER</t>
        </is>
      </c>
      <c r="R509" s="4" t="n"/>
      <c r="S509" s="4" t="n"/>
      <c r="T509" s="4" t="inlineStr">
        <is>
          <t>WHALE REEFER</t>
        </is>
      </c>
      <c r="U509" s="4" t="inlineStr">
        <is>
          <t>RIOJA 1275, PISO 1, OFICINA 1 ROSARIO, SANTA FE, CANADA CUIT NUMBER: 30709107123 ATT: JUAN MANUEL ORTIZ E-MAIL: Fabricionettto@gmail.com</t>
        </is>
      </c>
      <c r="V509" s="4" t="n">
        <v>21</v>
      </c>
      <c r="W509" s="4" t="n">
        <v>0</v>
      </c>
      <c r="X509" s="4" t="n">
        <v>198450</v>
      </c>
      <c r="Y509" s="4" t="n">
        <v>189000</v>
      </c>
      <c r="Z509" s="4" t="n">
        <v>189</v>
      </c>
      <c r="AA509" s="4" t="n"/>
      <c r="AB509" s="4" t="inlineStr">
        <is>
          <t>SAID TO CONTAIN / WEIGH &amp; MEASURE 7 X 40NOR CONTAINERS SAID TO CONTAIN POLYMER MODIFIED BITUMEN PG 76E -22 HS CODE 271320 NET WEIGHT: 189,00 MTS GROSS WEIGHT: 198,45 MTS</t>
        </is>
      </c>
      <c r="AC509" s="4" t="inlineStr">
        <is>
          <t>ANON0000000</t>
        </is>
      </c>
      <c r="AD509" s="4" t="inlineStr">
        <is>
          <t>RH40</t>
        </is>
      </c>
      <c r="AE509" s="4" t="n">
        <v>1253919</v>
      </c>
      <c r="AF509" s="4" t="n"/>
      <c r="AG509" s="4" t="inlineStr">
        <is>
          <t>FCL/FCL</t>
        </is>
      </c>
      <c r="AH509" s="4" t="inlineStr">
        <is>
          <t>GENERAL COMMODITY</t>
        </is>
      </c>
      <c r="AI509" s="4" t="n">
        <v>28350</v>
      </c>
      <c r="AJ509" s="4" t="n">
        <v>27</v>
      </c>
      <c r="AK509" s="4" t="inlineStr">
        <is>
          <t>BLO</t>
        </is>
      </c>
      <c r="AL509" s="4" t="n"/>
      <c r="AM509" s="4" t="n"/>
      <c r="AN509" s="4" t="n"/>
      <c r="AO509" s="4" t="n"/>
      <c r="AP509" s="4" t="n"/>
      <c r="AQ509" s="4" t="n"/>
      <c r="AR509" s="4" t="n">
        <v>4640</v>
      </c>
      <c r="AS509" s="4" t="n">
        <v>27000</v>
      </c>
      <c r="AT509" s="12" t="n"/>
    </row>
    <row r="510">
      <c r="A510" s="11" t="n"/>
      <c r="B510" s="4" t="n"/>
      <c r="C510" s="4" t="n"/>
      <c r="D510" s="7" t="n"/>
      <c r="E510" s="4" t="n"/>
      <c r="F510" s="4" t="n"/>
      <c r="G510" s="4" t="n"/>
      <c r="H510" s="4" t="n"/>
      <c r="I510" s="4" t="n"/>
      <c r="J510" s="4" t="n"/>
      <c r="K510" s="8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12" t="n"/>
    </row>
    <row r="511">
      <c r="A511" s="11" t="n"/>
      <c r="B511" s="4" t="n"/>
      <c r="C511" s="4" t="n"/>
      <c r="D511" s="7" t="n"/>
      <c r="E511" s="4" t="n"/>
      <c r="F511" s="4" t="n"/>
      <c r="G511" s="4" t="n"/>
      <c r="H511" s="4" t="n"/>
      <c r="I511" s="4" t="n"/>
      <c r="J511" s="4" t="n"/>
      <c r="K511" s="8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12" t="n"/>
    </row>
    <row r="512">
      <c r="A512" s="11" t="n"/>
      <c r="B512" s="4" t="n"/>
      <c r="C512" s="4" t="n"/>
      <c r="D512" s="7" t="n"/>
      <c r="E512" s="4" t="n"/>
      <c r="F512" s="4" t="n"/>
      <c r="G512" s="4" t="n"/>
      <c r="H512" s="4" t="n"/>
      <c r="I512" s="4" t="n"/>
      <c r="J512" s="4" t="n"/>
      <c r="K512" s="8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12" t="n"/>
    </row>
    <row r="513">
      <c r="A513" s="11" t="n"/>
      <c r="B513" s="4" t="n"/>
      <c r="C513" s="4" t="n"/>
      <c r="D513" s="7" t="n"/>
      <c r="E513" s="4" t="n"/>
      <c r="F513" s="4" t="n"/>
      <c r="G513" s="4" t="n"/>
      <c r="H513" s="4" t="n"/>
      <c r="I513" s="4" t="n"/>
      <c r="J513" s="4" t="n"/>
      <c r="K513" s="8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12" t="n"/>
    </row>
    <row r="514">
      <c r="A514" s="11" t="n"/>
      <c r="B514" s="4" t="n"/>
      <c r="C514" s="4" t="n"/>
      <c r="D514" s="7" t="n"/>
      <c r="E514" s="4" t="n"/>
      <c r="F514" s="4" t="n"/>
      <c r="G514" s="4" t="n"/>
      <c r="H514" s="4" t="n"/>
      <c r="I514" s="4" t="n"/>
      <c r="J514" s="4" t="n"/>
      <c r="K514" s="8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12" t="n"/>
    </row>
    <row r="515">
      <c r="A515" s="11" t="n"/>
      <c r="B515" s="4" t="n"/>
      <c r="C515" s="4" t="n"/>
      <c r="D515" s="7" t="n"/>
      <c r="E515" s="4" t="n"/>
      <c r="F515" s="4" t="n"/>
      <c r="G515" s="4" t="n"/>
      <c r="H515" s="4" t="n"/>
      <c r="I515" s="4" t="n"/>
      <c r="J515" s="4" t="n"/>
      <c r="K515" s="8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12" t="n"/>
    </row>
    <row r="516">
      <c r="A516" s="11" t="n"/>
      <c r="B516" s="4" t="n"/>
      <c r="C516" s="4" t="n"/>
      <c r="D516" s="7" t="n"/>
      <c r="E516" s="4" t="n"/>
      <c r="F516" s="4" t="n"/>
      <c r="G516" s="4" t="n"/>
      <c r="H516" s="4" t="n"/>
      <c r="I516" s="4" t="n"/>
      <c r="J516" s="4" t="n"/>
      <c r="K516" s="8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12" t="n"/>
    </row>
    <row r="517">
      <c r="A517" s="11" t="n"/>
      <c r="B517" s="4" t="n"/>
      <c r="C517" s="4" t="n"/>
      <c r="D517" s="7" t="n"/>
      <c r="E517" s="4" t="n"/>
      <c r="F517" s="4" t="n"/>
      <c r="G517" s="4" t="n"/>
      <c r="H517" s="4" t="n"/>
      <c r="I517" s="4" t="n"/>
      <c r="J517" s="4" t="n"/>
      <c r="K517" s="8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12" t="n"/>
    </row>
    <row r="518">
      <c r="A518" s="11" t="n"/>
      <c r="B518" s="4" t="n"/>
      <c r="C518" s="4" t="n"/>
      <c r="D518" s="7" t="n"/>
      <c r="E518" s="4" t="n"/>
      <c r="F518" s="4" t="n"/>
      <c r="G518" s="4" t="n"/>
      <c r="H518" s="4" t="n"/>
      <c r="I518" s="4" t="n"/>
      <c r="J518" s="4" t="n"/>
      <c r="K518" s="8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12" t="n"/>
    </row>
    <row r="519">
      <c r="A519" s="11" t="n"/>
      <c r="B519" s="4" t="n"/>
      <c r="C519" s="4" t="n"/>
      <c r="D519" s="7" t="n"/>
      <c r="E519" s="4" t="n"/>
      <c r="F519" s="4" t="n"/>
      <c r="G519" s="4" t="n"/>
      <c r="H519" s="4" t="n"/>
      <c r="I519" s="4" t="n"/>
      <c r="J519" s="4" t="n"/>
      <c r="K519" s="8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12" t="n"/>
    </row>
    <row r="520">
      <c r="A520" s="11" t="n"/>
      <c r="B520" s="4" t="n"/>
      <c r="C520" s="4" t="n"/>
      <c r="D520" s="7" t="n"/>
      <c r="E520" s="4" t="n"/>
      <c r="F520" s="4" t="n"/>
      <c r="G520" s="4" t="n"/>
      <c r="H520" s="4" t="n"/>
      <c r="I520" s="4" t="n"/>
      <c r="J520" s="4" t="n"/>
      <c r="K520" s="8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12" t="n"/>
    </row>
    <row r="521">
      <c r="A521" s="11" t="n"/>
      <c r="B521" s="4" t="n"/>
      <c r="C521" s="4" t="n"/>
      <c r="D521" s="7" t="n"/>
      <c r="E521" s="4" t="n"/>
      <c r="F521" s="4" t="n"/>
      <c r="G521" s="4" t="n"/>
      <c r="H521" s="4" t="n"/>
      <c r="I521" s="4" t="n"/>
      <c r="J521" s="4" t="n"/>
      <c r="K521" s="8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12" t="n"/>
    </row>
    <row r="522">
      <c r="A522" s="11" t="n"/>
      <c r="B522" s="4" t="n"/>
      <c r="C522" s="4" t="n"/>
      <c r="D522" s="7" t="n"/>
      <c r="E522" s="4" t="n"/>
      <c r="F522" s="4" t="n"/>
      <c r="G522" s="4" t="n"/>
      <c r="H522" s="4" t="n"/>
      <c r="I522" s="4" t="n"/>
      <c r="J522" s="4" t="n"/>
      <c r="K522" s="8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12" t="n"/>
    </row>
    <row r="523">
      <c r="A523" s="11" t="n"/>
      <c r="B523" s="4" t="n"/>
      <c r="C523" s="4" t="n"/>
      <c r="D523" s="7" t="n"/>
      <c r="E523" s="4" t="n"/>
      <c r="F523" s="4" t="n"/>
      <c r="G523" s="4" t="n"/>
      <c r="H523" s="4" t="n"/>
      <c r="I523" s="4" t="n"/>
      <c r="J523" s="4" t="n"/>
      <c r="K523" s="8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12" t="n"/>
    </row>
    <row r="524">
      <c r="A524" s="11" t="n"/>
      <c r="B524" s="4" t="n"/>
      <c r="C524" s="4" t="n"/>
      <c r="D524" s="7" t="n"/>
      <c r="E524" s="4" t="n"/>
      <c r="F524" s="4" t="n"/>
      <c r="G524" s="4" t="n"/>
      <c r="H524" s="4" t="n"/>
      <c r="I524" s="4" t="n"/>
      <c r="J524" s="4" t="n"/>
      <c r="K524" s="8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12" t="n"/>
    </row>
    <row r="525">
      <c r="A525" s="11" t="n"/>
      <c r="B525" s="4" t="n"/>
      <c r="C525" s="4" t="n"/>
      <c r="D525" s="7" t="n"/>
      <c r="E525" s="4" t="n"/>
      <c r="F525" s="4" t="n"/>
      <c r="G525" s="4" t="n"/>
      <c r="H525" s="4" t="n"/>
      <c r="I525" s="4" t="n"/>
      <c r="J525" s="4" t="n"/>
      <c r="K525" s="8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12" t="n"/>
    </row>
    <row r="526">
      <c r="A526" s="11" t="n"/>
      <c r="B526" s="4" t="n"/>
      <c r="C526" s="4" t="n"/>
      <c r="D526" s="7" t="n"/>
      <c r="E526" s="4" t="n"/>
      <c r="F526" s="4" t="n"/>
      <c r="G526" s="4" t="n"/>
      <c r="H526" s="4" t="n"/>
      <c r="I526" s="4" t="n"/>
      <c r="J526" s="4" t="n"/>
      <c r="K526" s="8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12" t="n"/>
    </row>
    <row r="527">
      <c r="A527" s="11" t="n"/>
      <c r="B527" s="4" t="n"/>
      <c r="C527" s="4" t="n"/>
      <c r="D527" s="7" t="n"/>
      <c r="E527" s="4" t="n"/>
      <c r="F527" s="4" t="n"/>
      <c r="G527" s="4" t="n"/>
      <c r="H527" s="4" t="n"/>
      <c r="I527" s="4" t="n"/>
      <c r="J527" s="4" t="n"/>
      <c r="K527" s="8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12" t="n"/>
    </row>
    <row r="528">
      <c r="A528" s="11" t="n"/>
      <c r="B528" s="4" t="n"/>
      <c r="C528" s="4" t="n"/>
      <c r="D528" s="7" t="n"/>
      <c r="E528" s="4" t="n"/>
      <c r="F528" s="4" t="n"/>
      <c r="G528" s="4" t="n"/>
      <c r="H528" s="4" t="n"/>
      <c r="I528" s="4" t="n"/>
      <c r="J528" s="4" t="n"/>
      <c r="K528" s="8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12" t="n"/>
    </row>
  </sheetData>
  <conditionalFormatting sqref="L1:L1048576">
    <cfRule type="duplicateValues" priority="1" dxfId="0"/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Fabricio Dos Santos</dc:creator>
  <dcterms:created xmlns:dcterms="http://purl.org/dc/terms/" xmlns:xsi="http://www.w3.org/2001/XMLSchema-instance" xsi:type="dcterms:W3CDTF">2025-10-30T11:52:52Z</dcterms:created>
  <dcterms:modified xmlns:dcterms="http://purl.org/dc/terms/" xmlns:xsi="http://www.w3.org/2001/XMLSchema-instance" xsi:type="dcterms:W3CDTF">2026-04-27T00:31:37Z</dcterms:modified>
  <cp:lastModifiedBy>Fabricio Dos Santos</cp:lastModifiedBy>
</cp:coreProperties>
</file>

<file path=docProps/custom.xml><?xml version="1.0" encoding="utf-8"?>
<Properties xmlns="http://schemas.openxmlformats.org/officeDocument/2006/custom-properties">
  <property name="MSIP_Label_ab833092-088a-4dba-8d57-714b8928e4be_Enabled" fmtid="{D5CDD505-2E9C-101B-9397-08002B2CF9AE}" pid="2">
    <vt:lpwstr xmlns:vt="http://schemas.openxmlformats.org/officeDocument/2006/docPropsVTypes">true</vt:lpwstr>
  </property>
  <property name="MSIP_Label_ab833092-088a-4dba-8d57-714b8928e4be_SetDate" fmtid="{D5CDD505-2E9C-101B-9397-08002B2CF9AE}" pid="3">
    <vt:lpwstr xmlns:vt="http://schemas.openxmlformats.org/officeDocument/2006/docPropsVTypes">2025-10-30T12:49:15Z</vt:lpwstr>
  </property>
  <property name="MSIP_Label_ab833092-088a-4dba-8d57-714b8928e4be_Method" fmtid="{D5CDD505-2E9C-101B-9397-08002B2CF9AE}" pid="4">
    <vt:lpwstr xmlns:vt="http://schemas.openxmlformats.org/officeDocument/2006/docPropsVTypes">Privileged</vt:lpwstr>
  </property>
  <property name="MSIP_Label_ab833092-088a-4dba-8d57-714b8928e4be_Name" fmtid="{D5CDD505-2E9C-101B-9397-08002B2CF9AE}" pid="5">
    <vt:lpwstr xmlns:vt="http://schemas.openxmlformats.org/officeDocument/2006/docPropsVTypes">Public</vt:lpwstr>
  </property>
  <property name="MSIP_Label_ab833092-088a-4dba-8d57-714b8928e4be_SiteId" fmtid="{D5CDD505-2E9C-101B-9397-08002B2CF9AE}" pid="6">
    <vt:lpwstr xmlns:vt="http://schemas.openxmlformats.org/officeDocument/2006/docPropsVTypes">8c3dbb07-e9c4-43cc-8656-d8b75b0b8b0f</vt:lpwstr>
  </property>
  <property name="MSIP_Label_ab833092-088a-4dba-8d57-714b8928e4be_ActionId" fmtid="{D5CDD505-2E9C-101B-9397-08002B2CF9AE}" pid="7">
    <vt:lpwstr xmlns:vt="http://schemas.openxmlformats.org/officeDocument/2006/docPropsVTypes">f8be2337-889d-4a40-9c38-03f0e24d52c3</vt:lpwstr>
  </property>
  <property name="MSIP_Label_ab833092-088a-4dba-8d57-714b8928e4be_ContentBits" fmtid="{D5CDD505-2E9C-101B-9397-08002B2CF9AE}" pid="8">
    <vt:lpwstr xmlns:vt="http://schemas.openxmlformats.org/officeDocument/2006/docPropsVTypes">0</vt:lpwstr>
  </property>
  <property name="MSIP_Label_ab833092-088a-4dba-8d57-714b8928e4be_Tag" fmtid="{D5CDD505-2E9C-101B-9397-08002B2CF9AE}" pid="9">
    <vt:lpwstr xmlns:vt="http://schemas.openxmlformats.org/officeDocument/2006/docPropsVTypes">10, 0, 1, 1</vt:lpwstr>
  </property>
</Properties>
</file>